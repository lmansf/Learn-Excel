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Snippets" sheetId="3" state="visible" r:id="rId3"/>
    <sheet name="Labs" sheetId="4" state="visible" r:id="rId4"/>
    <sheet name="Output" sheetId="5" state="visible" r:id="rId5"/>
    <sheet name="Bonus" sheetId="6" state="visible" r:id="rId6"/>
    <sheet name="Answer Key" sheetId="7" state="hidden" r:id="rId7"/>
    <sheet name="Bonus Key" sheetId="8" state="hidden" r:id="rId8"/>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3">
    <numFmt numFmtId="164" formatCode="yyyy-mm-dd h:mm:ss"/>
    <numFmt numFmtId="165" formatCode="mm/dd/yyyy hh:mm"/>
    <numFmt numFmtId="166" formatCode="0.0%"/>
  </numFmts>
  <fonts count="19">
    <font>
      <name val="Calibri"/>
      <family val="2"/>
      <color theme="1"/>
      <sz val="11"/>
      <scheme val="minor"/>
    </font>
    <font>
      <b val="1"/>
    </font>
    <font>
      <b val="1"/>
      <color rgb="00000000"/>
    </font>
    <font>
      <b val="1"/>
      <color rgb="007B2C2C"/>
      <sz val="16"/>
    </font>
    <font>
      <i val="1"/>
      <color rgb="00595959"/>
    </font>
    <font>
      <b val="1"/>
      <color rgb="00FFFFFF"/>
    </font>
    <font>
      <name val="Consolas"/>
      <sz val="10"/>
    </font>
    <font>
      <b val="1"/>
      <color rgb="001F4E79"/>
      <sz val="16"/>
    </font>
    <font>
      <color rgb="00404040"/>
      <sz val="11"/>
    </font>
    <font>
      <i val="1"/>
      <color rgb="00404040"/>
      <sz val="11"/>
    </font>
    <font>
      <i val="1"/>
      <color rgb="007F7F7F"/>
    </font>
    <font>
      <i val="1"/>
      <color rgb="00404040"/>
    </font>
    <font>
      <b val="1"/>
      <color rgb="00375623"/>
      <sz val="12"/>
    </font>
    <font>
      <b val="1"/>
      <color rgb="002E75B6"/>
      <sz val="12"/>
    </font>
    <font>
      <b val="1"/>
      <color rgb="001F4E79"/>
      <sz val="22"/>
    </font>
    <font>
      <b val="1"/>
      <color rgb="00FFFFFF"/>
      <sz val="13"/>
    </font>
    <font/>
    <font>
      <b val="1"/>
      <color rgb="001F4E79"/>
      <sz val="14"/>
    </font>
    <font>
      <sz val="11"/>
    </font>
  </fonts>
  <fills count="11">
    <fill>
      <patternFill/>
    </fill>
    <fill>
      <patternFill patternType="gray125"/>
    </fill>
    <fill>
      <patternFill patternType="solid">
        <fgColor rgb="00FFD966"/>
      </patternFill>
    </fill>
    <fill>
      <patternFill patternType="solid">
        <fgColor rgb="00FFF2CC"/>
      </patternFill>
    </fill>
    <fill>
      <patternFill patternType="solid">
        <fgColor rgb="007B2C2C"/>
      </patternFill>
    </fill>
    <fill>
      <patternFill patternType="solid">
        <fgColor rgb="001F4E79"/>
      </patternFill>
    </fill>
    <fill>
      <patternFill patternType="solid">
        <fgColor rgb="00EDEDED"/>
      </patternFill>
    </fill>
    <fill>
      <patternFill patternType="solid">
        <fgColor rgb="00C6EFCE"/>
      </patternFill>
    </fill>
    <fill>
      <patternFill patternType="solid">
        <fgColor rgb="00FFC7CE"/>
      </patternFill>
    </fill>
    <fill>
      <patternFill patternType="solid">
        <fgColor rgb="00DDEBF7"/>
      </patternFill>
    </fill>
    <fill>
      <patternFill patternType="solid">
        <fgColor rgb="00F2F2F2"/>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51">
    <xf numFmtId="0" fontId="0" fillId="0" borderId="0" pivotButton="0" quotePrefix="0" xfId="0"/>
    <xf numFmtId="0" fontId="13" fillId="0" borderId="0" pivotButton="0" quotePrefix="0" xfId="0"/>
    <xf numFmtId="0" fontId="14" fillId="0" borderId="0" pivotButton="0" quotePrefix="0" xfId="0"/>
    <xf numFmtId="0" fontId="4" fillId="0" borderId="0" pivotButton="0" quotePrefix="0" xfId="0"/>
    <xf numFmtId="0" fontId="15" fillId="5" borderId="0" pivotButton="0" quotePrefix="0" xfId="0"/>
    <xf numFmtId="0" fontId="0" fillId="5" borderId="0" pivotButton="0" quotePrefix="0" xfId="0"/>
    <xf numFmtId="0" fontId="16"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3"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9" fillId="0" borderId="0" applyAlignment="1" pivotButton="0" quotePrefix="0" xfId="0">
      <alignment vertical="top" wrapText="1"/>
    </xf>
    <xf numFmtId="0" fontId="12" fillId="0" borderId="0" pivotButton="0" quotePrefix="0" xfId="0"/>
    <xf numFmtId="0" fontId="5" fillId="5"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10" fillId="0" borderId="1" applyAlignment="1" pivotButton="0" quotePrefix="0" xfId="0">
      <alignment vertical="top" wrapText="1"/>
    </xf>
    <xf numFmtId="0" fontId="11" fillId="6" borderId="1" applyAlignment="1" pivotButton="0" quotePrefix="0" xfId="0">
      <alignment horizontal="right" vertical="top"/>
    </xf>
    <xf numFmtId="0" fontId="1" fillId="0" borderId="1" applyAlignment="1" pivotButton="0" quotePrefix="0" xfId="0">
      <alignment vertical="top"/>
    </xf>
    <xf numFmtId="0" fontId="0" fillId="3" borderId="2" applyAlignment="1" pivotButton="0" quotePrefix="0" xfId="0">
      <alignment horizontal="right" vertical="top"/>
    </xf>
    <xf numFmtId="0" fontId="0" fillId="3" borderId="2" applyAlignment="1" pivotButton="0" quotePrefix="0" xfId="0">
      <alignment horizontal="left" vertical="top"/>
    </xf>
    <xf numFmtId="2" fontId="11" fillId="6" borderId="1" applyAlignment="1" pivotButton="0" quotePrefix="0" xfId="0">
      <alignment horizontal="right" vertical="top"/>
    </xf>
    <xf numFmtId="0" fontId="11" fillId="6" borderId="1" applyAlignment="1" pivotButton="0" quotePrefix="0" xfId="0">
      <alignment horizontal="left" vertical="top"/>
    </xf>
    <xf numFmtId="0" fontId="17" fillId="0" borderId="0" pivotButton="0" quotePrefix="0" xfId="0"/>
    <xf numFmtId="0" fontId="4" fillId="0" borderId="0" applyAlignment="1" pivotButton="0" quotePrefix="0" xfId="0">
      <alignment vertical="top" wrapText="1"/>
    </xf>
    <xf numFmtId="0" fontId="5" fillId="5" borderId="0" pivotButton="0" quotePrefix="0" xfId="0"/>
    <xf numFmtId="0" fontId="6" fillId="10" borderId="0" pivotButton="0" quotePrefix="0" xfId="0"/>
    <xf numFmtId="0" fontId="1" fillId="0" borderId="0" pivotButton="0" quotePrefix="0" xfId="0"/>
    <xf numFmtId="0" fontId="2" fillId="2" borderId="0" pivotButton="0" quotePrefix="0" xfId="0"/>
    <xf numFmtId="165" fontId="0" fillId="0" borderId="0" pivotButton="0" quotePrefix="0" xfId="0"/>
    <xf numFmtId="0" fontId="0" fillId="3" borderId="0" pivotButton="0" quotePrefix="0" xfId="0"/>
    <xf numFmtId="0" fontId="5" fillId="5" borderId="1" pivotButton="0" quotePrefix="0" xfId="0"/>
    <xf numFmtId="0" fontId="0" fillId="0" borderId="1" pivotButton="0" quotePrefix="0" xfId="0"/>
    <xf numFmtId="0" fontId="0" fillId="9" borderId="1" pivotButton="0" quotePrefix="0" xfId="0"/>
    <xf numFmtId="0" fontId="10" fillId="0" borderId="1" pivotButton="0" quotePrefix="0" xfId="0"/>
    <xf numFmtId="166" fontId="0" fillId="0" borderId="0" pivotButton="0" quotePrefix="0" xfId="0"/>
    <xf numFmtId="2" fontId="0" fillId="9" borderId="1" pivotButton="0" quotePrefix="0" xfId="0"/>
    <xf numFmtId="166" fontId="11" fillId="6" borderId="1" applyAlignment="1" pivotButton="0" quotePrefix="0" xfId="0">
      <alignment horizontal="right" vertical="top"/>
    </xf>
    <xf numFmtId="0" fontId="3" fillId="0" borderId="0" pivotButton="0" quotePrefix="0" xfId="0"/>
    <xf numFmtId="0" fontId="5" fillId="4" borderId="1" pivotButton="0" quotePrefix="0" xfId="0"/>
    <xf numFmtId="0" fontId="1" fillId="0" borderId="1" applyAlignment="1" pivotButton="0" quotePrefix="0" xfId="0">
      <alignment vertical="top" wrapText="1"/>
    </xf>
    <xf numFmtId="0" fontId="6" fillId="0" borderId="1" applyAlignment="1" pivotButton="0" quotePrefix="1" xfId="0">
      <alignment vertical="top" wrapText="1"/>
    </xf>
    <xf numFmtId="0" fontId="18" fillId="0" borderId="1" applyAlignment="1" pivotButton="0" quotePrefix="1" xfId="0">
      <alignment vertical="top" wrapText="1"/>
    </xf>
    <xf numFmtId="2" fontId="1" fillId="0" borderId="1" applyAlignment="1" pivotButton="0" quotePrefix="0" xfId="0">
      <alignment vertical="top" wrapText="1"/>
    </xf>
    <xf numFmtId="2" fontId="0" fillId="0" borderId="1" applyAlignment="1" pivotButton="0" quotePrefix="0" xfId="0">
      <alignment vertical="top" wrapText="1"/>
    </xf>
    <xf numFmtId="166" fontId="1" fillId="0" borderId="1" applyAlignment="1" pivotButton="0" quotePrefix="0" xfId="0">
      <alignment vertical="top" wrapText="1"/>
    </xf>
    <xf numFmtId="166" fontId="0" fillId="0" borderId="1" applyAlignment="1" pivotButton="0" quotePrefix="0" xfId="0">
      <alignment vertical="top" wrapText="1"/>
    </xf>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 Id="rIdXlcMeta" Type="http://schemas.openxmlformats.org/officeDocument/2006/relationships/sheetMetadata" Target="metadata.xml"/></Relationships>
</file>

<file path=xl/tables/table1.xml><?xml version="1.0" encoding="utf-8"?>
<table xmlns="http://schemas.openxmlformats.org/spreadsheetml/2006/main" id="1" name="tblLabs" displayName="tblLabs" ref="A1:M506" headerRowCount="1">
  <autoFilter ref="A1:M506"/>
  <tableColumns count="13">
    <tableColumn id="1" name="LabResultID"/>
    <tableColumn id="2" name="EncounterID"/>
    <tableColumn id="3" name="TestCode"/>
    <tableColumn id="4" name="TestName"/>
    <tableColumn id="5" name="ResultValue"/>
    <tableColumn id="6" name="Units"/>
    <tableColumn id="7" name="RefLow"/>
    <tableColumn id="8" name="RefHigh"/>
    <tableColumn id="9" name="AbnormalFlag"/>
    <tableColumn id="10" name="Priority"/>
    <tableColumn id="11" name="CollectedDateTime"/>
    <tableColumn id="12" name="ResultedDateTime"/>
    <tableColumn id="13" name="TATFlag"/>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table" Target="/xl/tables/table1.xml" Id="rId1" /></Relationships>
</file>

<file path=xl/worksheets/sheet1.xml><?xml version="1.0" encoding="utf-8"?>
<worksheet xmlns="http://schemas.openxmlformats.org/spreadsheetml/2006/main">
  <sheetPr>
    <tabColor rgb="001F4E79"/>
    <outlinePr summaryBelow="1" summaryRight="1"/>
    <pageSetUpPr fitToPage="1"/>
  </sheetPr>
  <dimension ref="A1:C40"/>
  <sheetViews>
    <sheetView tabSelected="1" workbookViewId="0">
      <selection activeCell="A1" sqref="A1"/>
    </sheetView>
  </sheetViews>
  <sheetFormatPr baseColWidth="8" defaultRowHeight="15"/>
  <cols>
    <col width="3" customWidth="1" min="1" max="1"/>
    <col width="26" customWidth="1" min="2" max="2"/>
    <col width="95" customWidth="1" min="3" max="3"/>
  </cols>
  <sheetData>
    <row r="1"/>
    <row r="2">
      <c r="B2" s="1" t="inlineStr">
        <is>
          <t>Lesson 5.2</t>
        </is>
      </c>
    </row>
    <row r="3">
      <c r="B3" s="2" t="inlineStr">
        <is>
          <t>VBA Fundamentals</t>
        </is>
      </c>
    </row>
    <row r="4">
      <c r="B4" s="3" t="inlineStr">
        <is>
          <t>Expert  ·  about 60 minutes  ·  Bluestone Health System (fictional)</t>
        </is>
      </c>
    </row>
    <row r="5"/>
    <row r="6">
      <c r="B6" s="4" t="inlineStr">
        <is>
          <t>What you'll learn</t>
        </is>
      </c>
      <c r="C6" s="5" t="n"/>
    </row>
    <row r="7" ht="18" customHeight="1">
      <c r="B7" s="6" t="inlineStr">
        <is>
          <t>•</t>
        </is>
      </c>
      <c r="C7" s="7" t="inlineStr">
        <is>
          <t>Navigate the Visual Basic Editor and organize code in modules</t>
        </is>
      </c>
    </row>
    <row r="8" ht="18" customHeight="1">
      <c r="B8" s="6" t="inlineStr">
        <is>
          <t>•</t>
        </is>
      </c>
      <c r="C8" s="7" t="inlineStr">
        <is>
          <t>Declare variables with the right data types and Option Explicit</t>
        </is>
      </c>
    </row>
    <row r="9" ht="18" customHeight="1">
      <c r="B9" s="6" t="inlineStr">
        <is>
          <t>•</t>
        </is>
      </c>
      <c r="C9" s="7" t="inlineStr">
        <is>
          <t>Control flow with If, Select Case, For, For Each, and Do loops</t>
        </is>
      </c>
    </row>
    <row r="10" ht="18" customHeight="1">
      <c r="B10" s="6" t="inlineStr">
        <is>
          <t>•</t>
        </is>
      </c>
      <c r="C10" s="7" t="inlineStr">
        <is>
          <t>Debug with breakpoints, stepping, the Immediate window, and Debug.Print</t>
        </is>
      </c>
    </row>
    <row r="11"/>
    <row r="12">
      <c r="B12" s="4" t="inlineStr">
        <is>
          <t>How to use this workbook</t>
        </is>
      </c>
      <c r="C12" s="5" t="n"/>
    </row>
    <row r="13" ht="33" customHeight="1">
      <c r="B13" s="8" t="inlineStr">
        <is>
          <t>1. Read the guide</t>
        </is>
      </c>
      <c r="C13" s="7" t="inlineStr">
        <is>
          <t>The lesson guide (README) explains each skill with examples: https://github.com/lmansf/learn-excel/tree/main/05-automation-vba/02-vba-fundamentals</t>
        </is>
      </c>
    </row>
    <row r="14" ht="18" customHeight="1">
      <c r="B14" s="8" t="inlineStr">
        <is>
          <t>2. Practice</t>
        </is>
      </c>
      <c r="C14" s="7" t="inlineStr">
        <is>
          <t>Go to the 'Practice' sheet. Type your answer in each yellow cell, or run the task's macro so its gray cell fills in by itself.</t>
        </is>
      </c>
    </row>
    <row r="15" ht="18" customHeight="1">
      <c r="B15" s="8" t="inlineStr">
        <is>
          <t>3. Check yourself</t>
        </is>
      </c>
      <c r="C15" s="7" t="inlineStr">
        <is>
          <t>The Check column shows ✔ Correct (green) or ✘ Not yet (red).</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33" customHeight="1">
      <c r="B18" s="8" t="inlineStr">
        <is>
          <t>Note</t>
        </is>
      </c>
      <c r="C18" s="7" t="inlineStr">
        <is>
          <t>Macros can't be saved in an .xlsx file. Before you write any code, choose File → Save As and pick 'Excel Macro-Enabled Workbook (*.xlsm)'.</t>
        </is>
      </c>
    </row>
    <row r="19" ht="33" customHeight="1">
      <c r="B19" s="8" t="inlineStr">
        <is>
          <t>Note</t>
        </is>
      </c>
      <c r="C19" s="7" t="inlineStr">
        <is>
          <t>Import starter/LabMacros.bas and starter/Snippets.bas from the lesson folder: open the Visual Basic Editor (Alt+F11; Mac: Option+F11 or Developer → Visual Basic), then File → Import File…</t>
        </is>
      </c>
    </row>
    <row r="20" ht="33" customHeight="1">
      <c r="B20" s="8" t="inlineStr">
        <is>
          <t>Note</t>
        </is>
      </c>
      <c r="C20" s="7" t="inlineStr">
        <is>
          <t>Debug.Print writes to the Immediate window. Open it in the Visual Basic Editor with Ctrl+G (Mac: View → Immediate Window) before you run the snippets.</t>
        </is>
      </c>
    </row>
    <row r="21" ht="33" customHeight="1">
      <c r="B21" s="8" t="inlineStr">
        <is>
          <t>Note</t>
        </is>
      </c>
      <c r="C21" s="7" t="inlineStr">
        <is>
          <t>The Snippets sheet shows the code for the predict-the-output tasks. The Output sheet is where your macros write their results.</t>
        </is>
      </c>
    </row>
    <row r="22"/>
    <row r="23">
      <c r="B23" s="4" t="inlineStr">
        <is>
          <t>Color legend</t>
        </is>
      </c>
      <c r="C23" s="5" t="n"/>
    </row>
    <row r="24" ht="18" customHeight="1">
      <c r="B24" s="9" t="inlineStr">
        <is>
          <t>Yellow cell</t>
        </is>
      </c>
      <c r="C24" s="7" t="inlineStr">
        <is>
          <t>Your answer goes here.</t>
        </is>
      </c>
    </row>
    <row r="25" ht="18" customHeight="1">
      <c r="B25" s="10" t="inlineStr">
        <is>
          <t>Gray cell</t>
        </is>
      </c>
      <c r="C25" s="7" t="inlineStr">
        <is>
          <t>Pre-filled summary formula. It reads the work you did on another sheet, so don't type over it.</t>
        </is>
      </c>
    </row>
    <row r="26" ht="18" customHeight="1">
      <c r="B26" s="11" t="inlineStr">
        <is>
          <t>✔ Correct</t>
        </is>
      </c>
      <c r="C26" s="7" t="inlineStr">
        <is>
          <t>Your answer matches the key.</t>
        </is>
      </c>
    </row>
    <row r="27" ht="18" customHeight="1">
      <c r="B27" s="12" t="inlineStr">
        <is>
          <t>✘ Not yet</t>
        </is>
      </c>
      <c r="C27" s="7" t="inlineStr">
        <is>
          <t>Not matching yet. Check the hint and try again.</t>
        </is>
      </c>
    </row>
    <row r="28"/>
    <row r="29">
      <c r="B29" s="4" t="inlineStr">
        <is>
          <t>Sheets in this workbook</t>
        </is>
      </c>
      <c r="C29" s="5" t="n"/>
    </row>
    <row r="30" ht="18" customHeight="1">
      <c r="B30" s="8" t="inlineStr">
        <is>
          <t>Labs</t>
        </is>
      </c>
      <c r="C30" s="7" t="inlineStr">
        <is>
          <t>Data: 505 rows, in the Excel Table 'tblLabs'</t>
        </is>
      </c>
    </row>
    <row r="31" ht="33" customHeight="1">
      <c r="B31" s="8" t="inlineStr">
        <is>
          <t>About the data</t>
        </is>
      </c>
      <c r="C31" s="7" t="inlineStr">
        <is>
          <t>505 lab results from Bluestone's three intensive care units (Bluestone Memorial, Ashby Falls, Cedar Ridge), collected January–April 2025 and listed in the order the results were released.</t>
        </is>
      </c>
    </row>
    <row r="32" ht="18" customHeight="1">
      <c r="B32" s="8" t="inlineStr">
        <is>
          <t>Disclaimer</t>
        </is>
      </c>
      <c r="C32" s="7" t="inlineStr">
        <is>
          <t>All people, places, and numbers are synthetic and fictional. Not clinical guidance.</t>
        </is>
      </c>
    </row>
    <row r="33"/>
    <row r="34"/>
    <row r="35"/>
    <row r="36"/>
    <row r="37"/>
    <row r="38"/>
    <row r="39"/>
    <row r="40"/>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40"/>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5.2 · Practice</t>
        </is>
      </c>
    </row>
    <row r="2" ht="49" customHeight="1">
      <c r="A2" s="14" t="inlineStr">
        <is>
          <t>Save this workbook as .xlsm, then import starter/LabMacros.bas and starter/Snippets.bas (VBE → File → Import File…). Tasks 2–7 are predict-the-output questions about the code on the Snippets sheet: type your prediction first, then run the snippet to check it. In tasks 1 and 8–13 you run macros, and the gray cells read what your macros wrote to the Output sheet (or to the TATFlag column on the Labs sheet).</t>
        </is>
      </c>
    </row>
    <row r="3" ht="34" customHeight="1">
      <c r="A3" s="15" t="inlineStr">
        <is>
          <t>Type your answer in each yellow cell, or run the task's macro so its gray cell fills in by itself. The Check column turns green when your answer matches. Stuck? Read the hint, then the lesson guide. Answers: right-click a sheet tab → Unhide… → 'Answer Key'.</t>
        </is>
      </c>
    </row>
    <row r="4">
      <c r="A4" s="16">
        <f>"Score: "&amp;COUNTIF(E6:E18,"✔*")&amp;" of 13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1</t>
        </is>
      </c>
      <c r="B6" s="19" t="inlineStr">
        <is>
          <t>Import the starter module, then run the Warmup macro (it's already written). It writes the number of lab rows to Output!B5, and the gray cell reads it from there.</t>
        </is>
      </c>
      <c r="C6" s="20" t="inlineStr">
        <is>
          <t>Click inside Warmup and press F5, or in Excel press Alt+F8 (Mac: Option+F8), pick Warmup, and click Run</t>
        </is>
      </c>
      <c r="D6" cm="1" s="21">
        <f t="array" ref="D6">IF(Output!B5="","",Output!B5)</f>
        <v/>
      </c>
      <c r="E6" s="22">
        <f>IF(IFERROR(D6="",FALSE),"",IF(IFERROR(AND(ISNUMBER(D6),OR(ABS(D6-'Answer Key'!$C$5)&lt;=0.0001)),FALSE),"✔ Correct","✘ Not yet"))</f>
        <v/>
      </c>
    </row>
    <row r="7" ht="36" customHeight="1">
      <c r="A7" s="18" t="inlineStr">
        <is>
          <t>2</t>
        </is>
      </c>
      <c r="B7" s="19" t="inlineStr">
        <is>
          <t>Snippet A: what number does the Immediate window show? Predict first, then run SnippetA_Typo to check.</t>
        </is>
      </c>
      <c r="C7" s="20" t="inlineStr">
        <is>
          <t>Which variable does Debug.Print actually read?</t>
        </is>
      </c>
      <c r="D7" s="23" t="n"/>
      <c r="E7" s="22">
        <f>IF(IFERROR(D7="",FALSE),"",IF(IFERROR(AND(ISNUMBER(D7),OR(ABS(D7-'Answer Key'!$C$6)&lt;=0.0001)),FALSE),"✔ Correct","✘ Not yet"))</f>
        <v/>
      </c>
    </row>
    <row r="8" ht="36" customHeight="1">
      <c r="A8" s="18" t="inlineStr">
        <is>
          <t>3</t>
        </is>
      </c>
      <c r="B8" s="19" t="inlineStr">
        <is>
          <t>Snippet B: running SnippetB_Overflow stops with a run-time error. Type the error number.</t>
        </is>
      </c>
      <c r="C8" s="20" t="inlineStr">
        <is>
          <t>Check the Integer row of the data-types table</t>
        </is>
      </c>
      <c r="D8" s="24" t="n"/>
      <c r="E8" s="22">
        <f>IF(IFERROR(D8="",FALSE),"",IF(IFERROR(OR(LOWER(TRIM(D8&amp;""))=LOWER(TRIM('Answer Key'!$C$7&amp;"")),LOWER(TRIM(D8&amp;""))="overflow",LOWER(TRIM(D8&amp;""))="error 6",LOWER(TRIM(D8&amp;""))="run-time error 6",LOWER(TRIM(D8&amp;""))="runtime error 6"),FALSE),"✔ Correct","✘ Not yet"))</f>
        <v/>
      </c>
    </row>
    <row r="9" ht="36" customHeight="1">
      <c r="A9" s="18" t="inlineStr">
        <is>
          <t>4</t>
        </is>
      </c>
      <c r="B9" s="19" t="inlineStr">
        <is>
          <t>Snippet C: what exactly does the Immediate window show? Type the whole line in the same pattern, for example 1 h 5 min.</t>
        </is>
      </c>
      <c r="C9" s="20" t="inlineStr">
        <is>
          <t>\ keeps the whole part of a division, and Mod keeps the remainder</t>
        </is>
      </c>
      <c r="D9" s="24" t="n"/>
      <c r="E9" s="22">
        <f>IF(IFERROR(D9="",FALSE),"",IF(IFERROR(OR(LOWER(TRIM(D9&amp;""))=LOWER(TRIM('Answer Key'!$C$8&amp;"")),LOWER(TRIM(D9&amp;""))="3h 19 min",LOWER(TRIM(D9&amp;""))="3 h 19min",LOWER(TRIM(D9&amp;""))="3h 19min",LOWER(TRIM(D9&amp;""))="3h19min"),FALSE),"✔ Correct","✘ Not yet"))</f>
        <v/>
      </c>
    </row>
    <row r="10" ht="36" customHeight="1">
      <c r="A10" s="18" t="inlineStr">
        <is>
          <t>5</t>
        </is>
      </c>
      <c r="B10" s="19" t="inlineStr">
        <is>
          <t>Snippet D: what number does Debug.Print hr show after the loop finishes?</t>
        </is>
      </c>
      <c r="C10" s="20" t="inlineStr">
        <is>
          <t>List every value hr takes, then apply Step one more time</t>
        </is>
      </c>
      <c r="D10" s="23" t="n"/>
      <c r="E10" s="22">
        <f>IF(IFERROR(D10="",FALSE),"",IF(IFERROR(AND(ISNUMBER(D10),OR(ABS(D10-'Answer Key'!$C$9)&lt;=0.0001)),FALSE),"✔ Correct","✘ Not yet"))</f>
        <v/>
      </c>
    </row>
    <row r="11" ht="36" customHeight="1">
      <c r="A11" s="18" t="inlineStr">
        <is>
          <t>6</t>
        </is>
      </c>
      <c r="B11" s="19" t="inlineStr">
        <is>
          <t>Snippet E: which category does the Immediate window show? (Type the word.)</t>
        </is>
      </c>
      <c r="C11" s="20" t="inlineStr">
        <is>
          <t>Select Case runs only the first Case that matches</t>
        </is>
      </c>
      <c r="D11" s="24" t="n"/>
      <c r="E11" s="22">
        <f>IF(IFERROR(D11="",FALSE),"",IF(IFERROR(OR(LOWER(TRIM(D11&amp;""))=LOWER(TRIM('Answer Key'!$C$10&amp;""))),FALSE),"✔ Correct","✘ Not yet"))</f>
        <v/>
      </c>
    </row>
    <row r="12" ht="51" customHeight="1">
      <c r="A12" s="18" t="inlineStr">
        <is>
          <t>7</t>
        </is>
      </c>
      <c r="B12" s="19" t="inlineStr">
        <is>
          <t>Snippet F: how many hours does the Immediate window show?</t>
        </is>
      </c>
      <c r="C12" s="20" t="inlineStr">
        <is>
          <t>Write down level and hours after each pass, and test the condition before every pass</t>
        </is>
      </c>
      <c r="D12" s="23" t="n"/>
      <c r="E12" s="22">
        <f>IF(IFERROR(D12="",FALSE),"",IF(IFERROR(AND(ISNUMBER(D12),OR(ABS(D12-'Answer Key'!$C$11)&lt;=0.0001)),FALSE),"✔ Correct","✘ Not yet"))</f>
        <v/>
      </c>
    </row>
    <row r="13" ht="51" customHeight="1">
      <c r="A13" s="18" t="inlineStr">
        <is>
          <t>8</t>
        </is>
      </c>
      <c r="B13" s="19" t="inlineStr">
        <is>
          <t>Complete CountCriticals: use For Each to loop over the AbnormalFlag cells (Labs column I) and count the results flagged HH or LL (critical values). Write the count to Output!B6.</t>
        </is>
      </c>
      <c r="C13" s="20" t="inlineStr">
        <is>
          <t>For Each cell In ws.Range("I2:I" &amp; lastRow) … If … Or … Then</t>
        </is>
      </c>
      <c r="D13" cm="1" s="21">
        <f t="array" ref="D13">IF(Output!B6="","",Output!B6)</f>
        <v/>
      </c>
      <c r="E13" s="22">
        <f>IF(IFERROR(D13="",FALSE),"",IF(IFERROR(AND(ISNUMBER(D13),OR(ABS(D13-'Answer Key'!$C$12)&lt;=0.0001)),FALSE),"✔ Correct","✘ Not yet"))</f>
        <v/>
      </c>
    </row>
    <row r="14" ht="51" customHeight="1">
      <c r="A14" s="18" t="inlineStr">
        <is>
          <t>9</t>
        </is>
      </c>
      <c r="B14" s="19" t="inlineStr">
        <is>
          <t>Complete AveragePotassium: loop over the rows with For…Next, add up ResultValue for every potassium result (TestCode K) and count them, then write the average to Output!B7. (Full precision or 2 decimal places are both accepted.)</t>
        </is>
      </c>
      <c r="C14" s="20" t="inlineStr">
        <is>
          <t>Two accumulators: a Double for the total and a Long for the count</t>
        </is>
      </c>
      <c r="D14" cm="1" s="25">
        <f t="array" ref="D14">IF(Output!B7="","",Output!B7)</f>
        <v/>
      </c>
      <c r="E14" s="22">
        <f>IF(IFERROR(D14="",FALSE),"",IF(IFERROR(AND(ISNUMBER(D14),OR(ABS(D14-'Answer Key'!$C$13)&lt;=0.0051)),FALSE),"✔ Correct","✘ Not yet"))</f>
        <v/>
      </c>
    </row>
    <row r="15" ht="51" customHeight="1">
      <c r="A15" s="18" t="inlineStr">
        <is>
          <t>10</t>
        </is>
      </c>
      <c r="B15" s="19" t="inlineStr">
        <is>
          <t>Complete FindFirstCritical: find the first row (from the top) whose AbnormalFlag is HH or LL, write its LabResultID to Output!B8, and leave the loop with Exit For.</t>
        </is>
      </c>
      <c r="C15" s="20" t="inlineStr">
        <is>
          <t>Case "HH", "LL" matches either value, and Exit For stops the loop</t>
        </is>
      </c>
      <c r="D15" cm="1" s="26">
        <f t="array" ref="D15">IF(Output!B8="","",Output!B8)</f>
        <v/>
      </c>
      <c r="E15" s="22">
        <f>IF(IFERROR(D15="",FALSE),"",IF(IFERROR(OR(LOWER(TRIM(D15&amp;""))=LOWER(TRIM('Answer Key'!$C$14&amp;""))),FALSE),"✔ Correct","✘ Not yet"))</f>
        <v/>
      </c>
    </row>
    <row r="16" ht="66" customHeight="1">
      <c r="A16" s="18" t="inlineStr">
        <is>
          <t>11</t>
        </is>
      </c>
      <c r="B16" s="19" t="inlineStr">
        <is>
          <t>Complete FlagSlowStat: for every STAT result whose turnaround (ResultedDateTime minus CollectedDateTime, in minutes, with DateDiff) is more than 60 minutes, write SLOW in that row's TATFlag cell (Labs column M). Leave all other rows empty. The gray cell counts the SLOW flags.</t>
        </is>
      </c>
      <c r="C16" s="20" t="inlineStr">
        <is>
          <t>Use DateDiff("n", start, finish), then combine the two tests with And or a nested If</t>
        </is>
      </c>
      <c r="D16" cm="1" s="21">
        <f t="array" ref="D16">IF(COUNTA(Labs!M2:M506)=0,"",COUNTIF(Labs!M2:M506,"SLOW"))</f>
        <v/>
      </c>
      <c r="E16" s="22">
        <f>IF(IFERROR(D16="",FALSE),"",IF(IFERROR(AND(ISNUMBER(D16),OR(ABS(D16-'Answer Key'!$C$15)&lt;=0.0001)),FALSE),"✔ Correct","✘ Not yet"))</f>
        <v/>
      </c>
    </row>
    <row r="17" ht="66" customHeight="1">
      <c r="A17" s="18" t="inlineStr">
        <is>
          <t>12</t>
        </is>
      </c>
      <c r="B17" s="19" t="inlineStr">
        <is>
          <t>Complete CountAbove and WriteCountAbove. CountAbove asks for a TestCode (InputBox) and a limit (Application.InputBox with Type:=1), then calls WriteCountAbove, which counts the results of that test above the limit, writes the count to Output!B9, and shows it in a MsgBox. Run CountAbove and enter CREAT and 2.</t>
        </is>
      </c>
      <c r="C17" s="20" t="inlineStr">
        <is>
          <t>Call a Sub that takes arguments without parentheses: SubName arg1, arg2. Convert the Variant limit with CDbl</t>
        </is>
      </c>
      <c r="D17" cm="1" s="21">
        <f t="array" ref="D17">IF(Output!B9="","",Output!B9)</f>
        <v/>
      </c>
      <c r="E17" s="22">
        <f>IF(IFERROR(D17="",FALSE),"",IF(IFERROR(AND(ISNUMBER(D17),OR(ABS(D17-'Answer Key'!$C$16)&lt;=0.0001)),FALSE),"✔ Correct","✘ Not yet"))</f>
        <v/>
      </c>
    </row>
    <row r="18" ht="81" customHeight="1">
      <c r="A18" s="18" t="inlineStr">
        <is>
          <t>13</t>
        </is>
      </c>
      <c r="B18" s="19" t="inlineStr">
        <is>
          <t>BuggyGlucoseCount (already in the starter module) should count glucose (GLU) results above 180 mg/dL and write the count to Output!B10. It has two bugs: the first stops it with a run-time error, and after you fix that one it writes 0. Use F8, the Locals window, and the Immediate window to find and fix both, then run it.</t>
        </is>
      </c>
      <c r="C18" s="20" t="inlineStr">
        <is>
          <t>When it stops, click Debug and hover over r. While it's paused, try ? ws.Cells(5, 3).Value (a glucose row) in the Immediate window</t>
        </is>
      </c>
      <c r="D18" cm="1" s="21">
        <f t="array" ref="D18">IF(Output!B10="","",Output!B10)</f>
        <v/>
      </c>
      <c r="E18" s="22">
        <f>IF(IFERROR(D18="",FALSE),"",IF(IFERROR(AND(ISNUMBER(D18),OR(ABS(D18-'Answer Key'!$C$17)&lt;=0.0001)),FALSE),"✔ Correct","✘ Not yet"))</f>
        <v/>
      </c>
    </row>
    <row r="19"/>
    <row r="20"/>
    <row r="21"/>
    <row r="22"/>
    <row r="23"/>
    <row r="24"/>
    <row r="25"/>
    <row r="26"/>
    <row r="27"/>
    <row r="28"/>
    <row r="29"/>
    <row r="30"/>
    <row r="31"/>
    <row r="32"/>
    <row r="33"/>
    <row r="34"/>
    <row r="35"/>
    <row r="36"/>
    <row r="37"/>
    <row r="38"/>
    <row r="39"/>
    <row r="40"/>
  </sheetData>
  <mergeCells count="3">
    <mergeCell ref="A2:E2"/>
    <mergeCell ref="A4:C4"/>
    <mergeCell ref="A3:E3"/>
  </mergeCells>
  <conditionalFormatting sqref="E6:E18">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tabColor rgb="007030A0"/>
    <outlinePr summaryBelow="1" summaryRight="1"/>
    <pageSetUpPr fitToPage="1"/>
  </sheetPr>
  <dimension ref="A1:A63"/>
  <sheetViews>
    <sheetView tabSelected="0" workbookViewId="0">
      <selection activeCell="A1" sqref="A1"/>
    </sheetView>
  </sheetViews>
  <sheetFormatPr baseColWidth="8" defaultRowHeight="15"/>
  <cols>
    <col width="100" customWidth="1" min="1" max="1"/>
  </cols>
  <sheetData>
    <row r="1">
      <c r="A1" s="27" t="inlineStr">
        <is>
          <t>Snippets for Practice tasks 2–7</t>
        </is>
      </c>
    </row>
    <row r="2" ht="48" customHeight="1">
      <c r="A2" s="28" t="inlineStr">
        <is>
          <t>Predict what each snippet prints, type your prediction on the Practice sheet, then run it from the Snippets module (starter/Snippets.bas) to check. Debug.Print writes to the Immediate window (Ctrl+G; Mac: View → Immediate Window).</t>
        </is>
      </c>
    </row>
    <row r="4">
      <c r="A4" s="29" t="inlineStr">
        <is>
          <t>Snippet A  ·  Practice task 2</t>
        </is>
      </c>
    </row>
    <row r="5">
      <c r="A5" s="30" t="inlineStr">
        <is>
          <t>Sub SnippetA_Typo()</t>
        </is>
      </c>
    </row>
    <row r="6">
      <c r="A6" s="30" t="inlineStr">
        <is>
          <t xml:space="preserve">    Dim drawCount As Long</t>
        </is>
      </c>
    </row>
    <row r="7">
      <c r="A7" s="30" t="inlineStr">
        <is>
          <t xml:space="preserve">    drawCount = 5</t>
        </is>
      </c>
    </row>
    <row r="8">
      <c r="A8" s="30" t="inlineStr">
        <is>
          <t xml:space="preserve">    drawCuont = drawCount + 1       ' add one more blood draw</t>
        </is>
      </c>
    </row>
    <row r="9">
      <c r="A9" s="30" t="inlineStr">
        <is>
          <t xml:space="preserve">    Debug.Print drawCount</t>
        </is>
      </c>
    </row>
    <row r="10">
      <c r="A10" s="30" t="inlineStr">
        <is>
          <t>End Sub</t>
        </is>
      </c>
    </row>
    <row r="12">
      <c r="A12" s="29" t="inlineStr">
        <is>
          <t>Snippet B  ·  Practice task 3</t>
        </is>
      </c>
    </row>
    <row r="13">
      <c r="A13" s="30" t="inlineStr">
        <is>
          <t>Sub SnippetB_Overflow()</t>
        </is>
      </c>
    </row>
    <row r="14">
      <c r="A14" s="30" t="inlineStr">
        <is>
          <t xml:space="preserve">    Dim labRows As Integer</t>
        </is>
      </c>
    </row>
    <row r="15">
      <c r="A15" s="30" t="inlineStr">
        <is>
          <t xml:space="preserve">    labRows = 51527                 ' rows in the full two-year lab file</t>
        </is>
      </c>
    </row>
    <row r="16">
      <c r="A16" s="30" t="inlineStr">
        <is>
          <t xml:space="preserve">    Debug.Print labRows</t>
        </is>
      </c>
    </row>
    <row r="17">
      <c r="A17" s="30" t="inlineStr">
        <is>
          <t>End Sub</t>
        </is>
      </c>
    </row>
    <row r="19">
      <c r="A19" s="29" t="inlineStr">
        <is>
          <t>Snippet C  ·  Practice task 4</t>
        </is>
      </c>
    </row>
    <row r="20">
      <c r="A20" s="30" t="inlineStr">
        <is>
          <t>Sub SnippetC_Turnaround()</t>
        </is>
      </c>
    </row>
    <row r="21">
      <c r="A21" s="30" t="inlineStr">
        <is>
          <t xml:space="preserve">    Dim tatMinutes As Long</t>
        </is>
      </c>
    </row>
    <row r="22">
      <c r="A22" s="30" t="inlineStr">
        <is>
          <t xml:space="preserve">    tatMinutes = 199                ' slowest STAT result on the Labs sheet</t>
        </is>
      </c>
    </row>
    <row r="23">
      <c r="A23" s="30" t="inlineStr">
        <is>
          <t xml:space="preserve">    Debug.Print tatMinutes \ 60 &amp; " h " &amp; tatMinutes Mod 60 &amp; " min"</t>
        </is>
      </c>
    </row>
    <row r="24">
      <c r="A24" s="30" t="inlineStr">
        <is>
          <t>End Sub</t>
        </is>
      </c>
    </row>
    <row r="26">
      <c r="A26" s="29" t="inlineStr">
        <is>
          <t>Snippet D  ·  Practice task 5</t>
        </is>
      </c>
    </row>
    <row r="27">
      <c r="A27" s="30" t="inlineStr">
        <is>
          <t>Sub SnippetD_VitalSigns()</t>
        </is>
      </c>
    </row>
    <row r="28">
      <c r="A28" s="30" t="inlineStr">
        <is>
          <t xml:space="preserve">    Dim hr As Long, checks As Long</t>
        </is>
      </c>
    </row>
    <row r="29">
      <c r="A29" s="30" t="inlineStr">
        <is>
          <t xml:space="preserve">    For hr = 0 To 23 Step 4         ' vital signs every 4 hours (q4h)</t>
        </is>
      </c>
    </row>
    <row r="30">
      <c r="A30" s="30" t="inlineStr">
        <is>
          <t xml:space="preserve">        checks = checks + 1</t>
        </is>
      </c>
    </row>
    <row r="31">
      <c r="A31" s="30" t="inlineStr">
        <is>
          <t xml:space="preserve">    Next hr</t>
        </is>
      </c>
    </row>
    <row r="32">
      <c r="A32" s="30" t="inlineStr">
        <is>
          <t xml:space="preserve">    Debug.Print hr</t>
        </is>
      </c>
    </row>
    <row r="33">
      <c r="A33" s="30" t="inlineStr">
        <is>
          <t>End Sub</t>
        </is>
      </c>
    </row>
    <row r="35">
      <c r="A35" s="29" t="inlineStr">
        <is>
          <t>Snippet E  ·  Practice task 6</t>
        </is>
      </c>
    </row>
    <row r="36">
      <c r="A36" s="30" t="inlineStr">
        <is>
          <t>Sub SnippetE_Lactate()</t>
        </is>
      </c>
    </row>
    <row r="37">
      <c r="A37" s="30" t="inlineStr">
        <is>
          <t xml:space="preserve">    Dim lactate As Double, category As String</t>
        </is>
      </c>
    </row>
    <row r="38">
      <c r="A38" s="30" t="inlineStr">
        <is>
          <t xml:space="preserve">    lactate = 4.6                   ' mmol/L</t>
        </is>
      </c>
    </row>
    <row r="39">
      <c r="A39" s="30" t="inlineStr">
        <is>
          <t xml:space="preserve">    Select Case lactate</t>
        </is>
      </c>
    </row>
    <row r="40">
      <c r="A40" s="30" t="inlineStr">
        <is>
          <t xml:space="preserve">        Case Is &lt; 0.5</t>
        </is>
      </c>
    </row>
    <row r="41">
      <c r="A41" s="30" t="inlineStr">
        <is>
          <t xml:space="preserve">            category = "Low"</t>
        </is>
      </c>
    </row>
    <row r="42">
      <c r="A42" s="30" t="inlineStr">
        <is>
          <t xml:space="preserve">        Case Is &lt;= 2</t>
        </is>
      </c>
    </row>
    <row r="43">
      <c r="A43" s="30" t="inlineStr">
        <is>
          <t xml:space="preserve">            category = "Normal"</t>
        </is>
      </c>
    </row>
    <row r="44">
      <c r="A44" s="30" t="inlineStr">
        <is>
          <t xml:space="preserve">        Case Is &gt; 2</t>
        </is>
      </c>
    </row>
    <row r="45">
      <c r="A45" s="30" t="inlineStr">
        <is>
          <t xml:space="preserve">            category = "Elevated"</t>
        </is>
      </c>
    </row>
    <row r="46">
      <c r="A46" s="30" t="inlineStr">
        <is>
          <t xml:space="preserve">        Case Is &gt; 4</t>
        </is>
      </c>
    </row>
    <row r="47">
      <c r="A47" s="30" t="inlineStr">
        <is>
          <t xml:space="preserve">            category = "Critical"</t>
        </is>
      </c>
    </row>
    <row r="48">
      <c r="A48" s="30" t="inlineStr">
        <is>
          <t xml:space="preserve">        Case Else</t>
        </is>
      </c>
    </row>
    <row r="49">
      <c r="A49" s="30" t="inlineStr">
        <is>
          <t xml:space="preserve">            category = "Check value"</t>
        </is>
      </c>
    </row>
    <row r="50">
      <c r="A50" s="30" t="inlineStr">
        <is>
          <t xml:space="preserve">    End Select</t>
        </is>
      </c>
    </row>
    <row r="51">
      <c r="A51" s="30" t="inlineStr">
        <is>
          <t xml:space="preserve">    Debug.Print category</t>
        </is>
      </c>
    </row>
    <row r="52">
      <c r="A52" s="30" t="inlineStr">
        <is>
          <t>End Sub</t>
        </is>
      </c>
    </row>
    <row r="54">
      <c r="A54" s="29" t="inlineStr">
        <is>
          <t>Snippet F  ·  Practice task 7</t>
        </is>
      </c>
    </row>
    <row r="55">
      <c r="A55" s="30" t="inlineStr">
        <is>
          <t>Sub SnippetF_HalfLife()</t>
        </is>
      </c>
    </row>
    <row r="56">
      <c r="A56" s="30" t="inlineStr">
        <is>
          <t xml:space="preserve">    Dim level As Double, hours As Long</t>
        </is>
      </c>
    </row>
    <row r="57">
      <c r="A57" s="30" t="inlineStr">
        <is>
          <t xml:space="preserve">    level = 400                     ' ng/mL right after the dose</t>
        </is>
      </c>
    </row>
    <row r="58">
      <c r="A58" s="30" t="inlineStr">
        <is>
          <t xml:space="preserve">    Do While level &gt; 50</t>
        </is>
      </c>
    </row>
    <row r="59">
      <c r="A59" s="30" t="inlineStr">
        <is>
          <t xml:space="preserve">        level = level / 2           ' the drug's half-life is 6 hours</t>
        </is>
      </c>
    </row>
    <row r="60">
      <c r="A60" s="30" t="inlineStr">
        <is>
          <t xml:space="preserve">        hours = hours + 6</t>
        </is>
      </c>
    </row>
    <row r="61">
      <c r="A61" s="30" t="inlineStr">
        <is>
          <t xml:space="preserve">    Loop</t>
        </is>
      </c>
    </row>
    <row r="62">
      <c r="A62" s="30" t="inlineStr">
        <is>
          <t xml:space="preserve">    Debug.Print hours</t>
        </is>
      </c>
    </row>
    <row r="63">
      <c r="A63" s="30" t="inlineStr">
        <is>
          <t>End Sub</t>
        </is>
      </c>
    </row>
  </sheetData>
  <pageMargins left="0.75" right="0.75" top="1" bottom="1" header="0.5" footer="0.5"/>
  <pageSetup orientation="portrait" fitToHeight="0" fitToWidth="1"/>
</worksheet>
</file>

<file path=xl/worksheets/sheet4.xml><?xml version="1.0" encoding="utf-8"?>
<worksheet xmlns="http://schemas.openxmlformats.org/spreadsheetml/2006/main">
  <sheetPr>
    <outlinePr summaryBelow="1" summaryRight="1"/>
    <pageSetUpPr/>
  </sheetPr>
  <dimension ref="A1:M506"/>
  <sheetViews>
    <sheetView tabSelected="0" workbookViewId="0">
      <pane ySplit="1" topLeftCell="A2" activePane="bottomLeft" state="frozen"/>
      <selection pane="bottomLeft" activeCell="A1" sqref="A1"/>
    </sheetView>
  </sheetViews>
  <sheetFormatPr baseColWidth="8" defaultRowHeight="15"/>
  <cols>
    <col width="13" customWidth="1" min="1" max="1"/>
    <col width="13" customWidth="1" min="2" max="2"/>
    <col width="10" customWidth="1" min="3" max="3"/>
    <col width="24" customWidth="1" min="4" max="4"/>
    <col width="13" customWidth="1" min="5" max="5"/>
    <col width="9" customWidth="1" min="6" max="6"/>
    <col width="9" customWidth="1" min="7" max="7"/>
    <col width="9" customWidth="1" min="8" max="8"/>
    <col width="14" customWidth="1" min="9" max="9"/>
    <col width="10" customWidth="1" min="10" max="10"/>
    <col width="18" customWidth="1" min="11" max="11"/>
    <col width="18" customWidth="1" min="12" max="12"/>
    <col width="10" customWidth="1" min="13" max="13"/>
  </cols>
  <sheetData>
    <row r="1">
      <c r="A1" s="31" t="inlineStr">
        <is>
          <t>LabResultID</t>
        </is>
      </c>
      <c r="B1" s="31" t="inlineStr">
        <is>
          <t>EncounterID</t>
        </is>
      </c>
      <c r="C1" s="31" t="inlineStr">
        <is>
          <t>TestCode</t>
        </is>
      </c>
      <c r="D1" s="31" t="inlineStr">
        <is>
          <t>TestName</t>
        </is>
      </c>
      <c r="E1" s="31" t="inlineStr">
        <is>
          <t>ResultValue</t>
        </is>
      </c>
      <c r="F1" s="31" t="inlineStr">
        <is>
          <t>Units</t>
        </is>
      </c>
      <c r="G1" s="31" t="inlineStr">
        <is>
          <t>RefLow</t>
        </is>
      </c>
      <c r="H1" s="31" t="inlineStr">
        <is>
          <t>RefHigh</t>
        </is>
      </c>
      <c r="I1" s="31" t="inlineStr">
        <is>
          <t>AbnormalFlag</t>
        </is>
      </c>
      <c r="J1" s="31" t="inlineStr">
        <is>
          <t>Priority</t>
        </is>
      </c>
      <c r="K1" s="31" t="inlineStr">
        <is>
          <t>CollectedDateTime</t>
        </is>
      </c>
      <c r="L1" s="31" t="inlineStr">
        <is>
          <t>ResultedDateTime</t>
        </is>
      </c>
      <c r="M1" s="32" t="inlineStr">
        <is>
          <t>TATFlag</t>
        </is>
      </c>
    </row>
    <row r="2">
      <c r="A2" t="inlineStr">
        <is>
          <t>LAB725446</t>
        </is>
      </c>
      <c r="B2" t="inlineStr">
        <is>
          <t>ENC110732</t>
        </is>
      </c>
      <c r="C2" t="inlineStr">
        <is>
          <t>CREAT</t>
        </is>
      </c>
      <c r="D2" t="inlineStr">
        <is>
          <t>Creatinine</t>
        </is>
      </c>
      <c r="E2" t="n">
        <v>1.11</v>
      </c>
      <c r="F2" t="inlineStr">
        <is>
          <t>mg/dL</t>
        </is>
      </c>
      <c r="G2" t="n">
        <v>0.6</v>
      </c>
      <c r="H2" t="n">
        <v>1.3</v>
      </c>
      <c r="I2" t="inlineStr">
        <is>
          <t>N</t>
        </is>
      </c>
      <c r="J2" t="inlineStr">
        <is>
          <t>STAT</t>
        </is>
      </c>
      <c r="K2" s="33" t="n">
        <v>45658.70555555556</v>
      </c>
      <c r="L2" s="33" t="n">
        <v>45658.72361111111</v>
      </c>
      <c r="M2" s="34" t="n"/>
    </row>
    <row r="3">
      <c r="A3" t="inlineStr">
        <is>
          <t>LAB725449</t>
        </is>
      </c>
      <c r="B3" t="inlineStr">
        <is>
          <t>ENC110732</t>
        </is>
      </c>
      <c r="C3" t="inlineStr">
        <is>
          <t>LACT</t>
        </is>
      </c>
      <c r="D3" t="inlineStr">
        <is>
          <t>Lactate</t>
        </is>
      </c>
      <c r="E3" t="n">
        <v>2.3</v>
      </c>
      <c r="F3" t="inlineStr">
        <is>
          <t>mmol/L</t>
        </is>
      </c>
      <c r="G3" t="n">
        <v>0.5</v>
      </c>
      <c r="H3" t="n">
        <v>2</v>
      </c>
      <c r="I3" t="inlineStr">
        <is>
          <t>H</t>
        </is>
      </c>
      <c r="J3" t="inlineStr">
        <is>
          <t>STAT</t>
        </is>
      </c>
      <c r="K3" s="33" t="n">
        <v>45658.69791666666</v>
      </c>
      <c r="L3" s="33" t="n">
        <v>45658.73611111111</v>
      </c>
      <c r="M3" s="34" t="n"/>
    </row>
    <row r="4">
      <c r="A4" t="inlineStr">
        <is>
          <t>LAB725448</t>
        </is>
      </c>
      <c r="B4" t="inlineStr">
        <is>
          <t>ENC110732</t>
        </is>
      </c>
      <c r="C4" t="inlineStr">
        <is>
          <t>HGB</t>
        </is>
      </c>
      <c r="D4" t="inlineStr">
        <is>
          <t>Hemoglobin</t>
        </is>
      </c>
      <c r="E4" t="n">
        <v>14.8</v>
      </c>
      <c r="F4" t="inlineStr">
        <is>
          <t>g/dL</t>
        </is>
      </c>
      <c r="G4" t="n">
        <v>12</v>
      </c>
      <c r="H4" t="n">
        <v>17.5</v>
      </c>
      <c r="I4" t="inlineStr">
        <is>
          <t>N</t>
        </is>
      </c>
      <c r="J4" t="inlineStr">
        <is>
          <t>STAT</t>
        </is>
      </c>
      <c r="K4" s="33" t="n">
        <v>45658.71458333333</v>
      </c>
      <c r="L4" s="33" t="n">
        <v>45658.73819444444</v>
      </c>
      <c r="M4" s="34" t="n"/>
    </row>
    <row r="5">
      <c r="A5" t="inlineStr">
        <is>
          <t>LAB725445</t>
        </is>
      </c>
      <c r="B5" t="inlineStr">
        <is>
          <t>ENC110732</t>
        </is>
      </c>
      <c r="C5" t="inlineStr">
        <is>
          <t>GLU</t>
        </is>
      </c>
      <c r="D5" t="inlineStr">
        <is>
          <t>Glucose</t>
        </is>
      </c>
      <c r="E5" t="n">
        <v>199</v>
      </c>
      <c r="F5" t="inlineStr">
        <is>
          <t>mg/dL</t>
        </is>
      </c>
      <c r="G5" t="n">
        <v>70</v>
      </c>
      <c r="H5" t="n">
        <v>99</v>
      </c>
      <c r="I5" t="inlineStr">
        <is>
          <t>H</t>
        </is>
      </c>
      <c r="J5" t="inlineStr">
        <is>
          <t>STAT</t>
        </is>
      </c>
      <c r="K5" s="33" t="n">
        <v>45658.73958333334</v>
      </c>
      <c r="L5" s="33" t="n">
        <v>45658.77013888889</v>
      </c>
      <c r="M5" s="34" t="n"/>
    </row>
    <row r="6">
      <c r="A6" t="inlineStr">
        <is>
          <t>LAB725447</t>
        </is>
      </c>
      <c r="B6" t="inlineStr">
        <is>
          <t>ENC110732</t>
        </is>
      </c>
      <c r="C6" t="inlineStr">
        <is>
          <t>WBC</t>
        </is>
      </c>
      <c r="D6" t="inlineStr">
        <is>
          <t>White Blood Cell Count</t>
        </is>
      </c>
      <c r="E6" t="n">
        <v>5.4</v>
      </c>
      <c r="F6" t="inlineStr">
        <is>
          <t>K/uL</t>
        </is>
      </c>
      <c r="G6" t="n">
        <v>4.5</v>
      </c>
      <c r="H6" t="n">
        <v>11</v>
      </c>
      <c r="I6" t="inlineStr">
        <is>
          <t>N</t>
        </is>
      </c>
      <c r="J6" t="inlineStr">
        <is>
          <t>STAT</t>
        </is>
      </c>
      <c r="K6" s="33" t="n">
        <v>45658.74236111111</v>
      </c>
      <c r="L6" s="33" t="n">
        <v>45658.78611111111</v>
      </c>
      <c r="M6" s="34" t="n"/>
    </row>
    <row r="7">
      <c r="A7" t="inlineStr">
        <is>
          <t>LAB725484</t>
        </is>
      </c>
      <c r="B7" t="inlineStr">
        <is>
          <t>ENC110747</t>
        </is>
      </c>
      <c r="C7" t="inlineStr">
        <is>
          <t>LACT</t>
        </is>
      </c>
      <c r="D7" t="inlineStr">
        <is>
          <t>Lactate</t>
        </is>
      </c>
      <c r="E7" t="n">
        <v>4.1</v>
      </c>
      <c r="F7" t="inlineStr">
        <is>
          <t>mmol/L</t>
        </is>
      </c>
      <c r="G7" t="n">
        <v>0.5</v>
      </c>
      <c r="H7" t="n">
        <v>2</v>
      </c>
      <c r="I7" t="inlineStr">
        <is>
          <t>HH</t>
        </is>
      </c>
      <c r="J7" t="inlineStr">
        <is>
          <t>STAT</t>
        </is>
      </c>
      <c r="K7" s="33" t="n">
        <v>45659.10694444444</v>
      </c>
      <c r="L7" s="33" t="n">
        <v>45659.13888888889</v>
      </c>
      <c r="M7" s="34" t="n"/>
    </row>
    <row r="8">
      <c r="A8" t="inlineStr">
        <is>
          <t>LAB725480</t>
        </is>
      </c>
      <c r="B8" t="inlineStr">
        <is>
          <t>ENC110747</t>
        </is>
      </c>
      <c r="C8" t="inlineStr">
        <is>
          <t>GLU</t>
        </is>
      </c>
      <c r="D8" t="inlineStr">
        <is>
          <t>Glucose</t>
        </is>
      </c>
      <c r="E8" t="n">
        <v>97</v>
      </c>
      <c r="F8" t="inlineStr">
        <is>
          <t>mg/dL</t>
        </is>
      </c>
      <c r="G8" t="n">
        <v>70</v>
      </c>
      <c r="H8" t="n">
        <v>99</v>
      </c>
      <c r="I8" t="inlineStr">
        <is>
          <t>N</t>
        </is>
      </c>
      <c r="J8" t="inlineStr">
        <is>
          <t>STAT</t>
        </is>
      </c>
      <c r="K8" s="33" t="n">
        <v>45659.12569444445</v>
      </c>
      <c r="L8" s="33" t="n">
        <v>45659.14513888889</v>
      </c>
      <c r="M8" s="34" t="n"/>
    </row>
    <row r="9">
      <c r="A9" t="inlineStr">
        <is>
          <t>LAB725481</t>
        </is>
      </c>
      <c r="B9" t="inlineStr">
        <is>
          <t>ENC110747</t>
        </is>
      </c>
      <c r="C9" t="inlineStr">
        <is>
          <t>CREAT</t>
        </is>
      </c>
      <c r="D9" t="inlineStr">
        <is>
          <t>Creatinine</t>
        </is>
      </c>
      <c r="E9" t="n">
        <v>0.76</v>
      </c>
      <c r="F9" t="inlineStr">
        <is>
          <t>mg/dL</t>
        </is>
      </c>
      <c r="G9" t="n">
        <v>0.6</v>
      </c>
      <c r="H9" t="n">
        <v>1.3</v>
      </c>
      <c r="I9" t="inlineStr">
        <is>
          <t>N</t>
        </is>
      </c>
      <c r="J9" t="inlineStr">
        <is>
          <t>Routine</t>
        </is>
      </c>
      <c r="K9" s="33" t="n">
        <v>45659.10486111111</v>
      </c>
      <c r="L9" s="33" t="n">
        <v>45659.19027777778</v>
      </c>
      <c r="M9" s="34" t="n"/>
    </row>
    <row r="10">
      <c r="A10" t="inlineStr">
        <is>
          <t>LAB725483</t>
        </is>
      </c>
      <c r="B10" t="inlineStr">
        <is>
          <t>ENC110747</t>
        </is>
      </c>
      <c r="C10" t="inlineStr">
        <is>
          <t>HGB</t>
        </is>
      </c>
      <c r="D10" t="inlineStr">
        <is>
          <t>Hemoglobin</t>
        </is>
      </c>
      <c r="E10" t="n">
        <v>13.3</v>
      </c>
      <c r="F10" t="inlineStr">
        <is>
          <t>g/dL</t>
        </is>
      </c>
      <c r="G10" t="n">
        <v>12</v>
      </c>
      <c r="H10" t="n">
        <v>17.5</v>
      </c>
      <c r="I10" t="inlineStr">
        <is>
          <t>N</t>
        </is>
      </c>
      <c r="J10" t="inlineStr">
        <is>
          <t>Routine</t>
        </is>
      </c>
      <c r="K10" s="33" t="n">
        <v>45659.08888888889</v>
      </c>
      <c r="L10" s="33" t="n">
        <v>45659.23819444444</v>
      </c>
      <c r="M10" s="34" t="n"/>
    </row>
    <row r="11">
      <c r="A11" t="inlineStr">
        <is>
          <t>LAB725482</t>
        </is>
      </c>
      <c r="B11" t="inlineStr">
        <is>
          <t>ENC110747</t>
        </is>
      </c>
      <c r="C11" t="inlineStr">
        <is>
          <t>WBC</t>
        </is>
      </c>
      <c r="D11" t="inlineStr">
        <is>
          <t>White Blood Cell Count</t>
        </is>
      </c>
      <c r="E11" t="n">
        <v>7.3</v>
      </c>
      <c r="F11" t="inlineStr">
        <is>
          <t>K/uL</t>
        </is>
      </c>
      <c r="G11" t="n">
        <v>4.5</v>
      </c>
      <c r="H11" t="n">
        <v>11</v>
      </c>
      <c r="I11" t="inlineStr">
        <is>
          <t>N</t>
        </is>
      </c>
      <c r="J11" t="inlineStr">
        <is>
          <t>Routine</t>
        </is>
      </c>
      <c r="K11" s="33" t="n">
        <v>45659.14375</v>
      </c>
      <c r="L11" s="33" t="n">
        <v>45659.27152777778</v>
      </c>
      <c r="M11" s="34" t="n"/>
    </row>
    <row r="12">
      <c r="A12" t="inlineStr">
        <is>
          <t>LAB725491</t>
        </is>
      </c>
      <c r="B12" t="inlineStr">
        <is>
          <t>ENC110749</t>
        </is>
      </c>
      <c r="C12" t="inlineStr">
        <is>
          <t>BUN</t>
        </is>
      </c>
      <c r="D12" t="inlineStr">
        <is>
          <t>Blood Urea Nitrogen</t>
        </is>
      </c>
      <c r="E12" t="n">
        <v>12</v>
      </c>
      <c r="F12" t="inlineStr">
        <is>
          <t>mg/dL</t>
        </is>
      </c>
      <c r="G12" t="n">
        <v>7</v>
      </c>
      <c r="H12" t="n">
        <v>20</v>
      </c>
      <c r="I12" t="inlineStr">
        <is>
          <t>N</t>
        </is>
      </c>
      <c r="J12" t="inlineStr">
        <is>
          <t>STAT</t>
        </is>
      </c>
      <c r="K12" s="33" t="n">
        <v>45659.3625</v>
      </c>
      <c r="L12" s="33" t="n">
        <v>45659.38819444444</v>
      </c>
      <c r="M12" s="34" t="n"/>
    </row>
    <row r="13">
      <c r="A13" t="inlineStr">
        <is>
          <t>LAB725486</t>
        </is>
      </c>
      <c r="B13" t="inlineStr">
        <is>
          <t>ENC110749</t>
        </is>
      </c>
      <c r="C13" t="inlineStr">
        <is>
          <t>CREAT</t>
        </is>
      </c>
      <c r="D13" t="inlineStr">
        <is>
          <t>Creatinine</t>
        </is>
      </c>
      <c r="E13" t="n">
        <v>0.8100000000000001</v>
      </c>
      <c r="F13" t="inlineStr">
        <is>
          <t>mg/dL</t>
        </is>
      </c>
      <c r="G13" t="n">
        <v>0.6</v>
      </c>
      <c r="H13" t="n">
        <v>1.3</v>
      </c>
      <c r="I13" t="inlineStr">
        <is>
          <t>N</t>
        </is>
      </c>
      <c r="J13" t="inlineStr">
        <is>
          <t>STAT</t>
        </is>
      </c>
      <c r="K13" s="33" t="n">
        <v>45659.35972222222</v>
      </c>
      <c r="L13" s="33" t="n">
        <v>45659.38958333333</v>
      </c>
      <c r="M13" s="34" t="n"/>
    </row>
    <row r="14">
      <c r="A14" t="inlineStr">
        <is>
          <t>LAB725489</t>
        </is>
      </c>
      <c r="B14" t="inlineStr">
        <is>
          <t>ENC110749</t>
        </is>
      </c>
      <c r="C14" t="inlineStr">
        <is>
          <t>NA</t>
        </is>
      </c>
      <c r="D14" t="inlineStr">
        <is>
          <t>Sodium</t>
        </is>
      </c>
      <c r="E14" t="n">
        <v>137</v>
      </c>
      <c r="F14" t="inlineStr">
        <is>
          <t>mmol/L</t>
        </is>
      </c>
      <c r="G14" t="n">
        <v>136</v>
      </c>
      <c r="H14" t="n">
        <v>145</v>
      </c>
      <c r="I14" t="inlineStr">
        <is>
          <t>N</t>
        </is>
      </c>
      <c r="J14" t="inlineStr">
        <is>
          <t>STAT</t>
        </is>
      </c>
      <c r="K14" s="33" t="n">
        <v>45659.37361111111</v>
      </c>
      <c r="L14" s="33" t="n">
        <v>45659.39722222222</v>
      </c>
      <c r="M14" s="34" t="n"/>
    </row>
    <row r="15">
      <c r="A15" t="inlineStr">
        <is>
          <t>LAB725487</t>
        </is>
      </c>
      <c r="B15" t="inlineStr">
        <is>
          <t>ENC110749</t>
        </is>
      </c>
      <c r="C15" t="inlineStr">
        <is>
          <t>WBC</t>
        </is>
      </c>
      <c r="D15" t="inlineStr">
        <is>
          <t>White Blood Cell Count</t>
        </is>
      </c>
      <c r="E15" t="n">
        <v>4.3</v>
      </c>
      <c r="F15" t="inlineStr">
        <is>
          <t>K/uL</t>
        </is>
      </c>
      <c r="G15" t="n">
        <v>4.5</v>
      </c>
      <c r="H15" t="n">
        <v>11</v>
      </c>
      <c r="I15" t="inlineStr">
        <is>
          <t>L</t>
        </is>
      </c>
      <c r="J15" t="inlineStr">
        <is>
          <t>STAT</t>
        </is>
      </c>
      <c r="K15" s="33" t="n">
        <v>45659.36527777778</v>
      </c>
      <c r="L15" s="33" t="n">
        <v>45659.40138888889</v>
      </c>
      <c r="M15" s="34" t="n"/>
    </row>
    <row r="16">
      <c r="A16" t="inlineStr">
        <is>
          <t>LAB725490</t>
        </is>
      </c>
      <c r="B16" t="inlineStr">
        <is>
          <t>ENC110749</t>
        </is>
      </c>
      <c r="C16" t="inlineStr">
        <is>
          <t>K</t>
        </is>
      </c>
      <c r="D16" t="inlineStr">
        <is>
          <t>Potassium</t>
        </is>
      </c>
      <c r="E16" t="n">
        <v>3.6</v>
      </c>
      <c r="F16" t="inlineStr">
        <is>
          <t>mmol/L</t>
        </is>
      </c>
      <c r="G16" t="n">
        <v>3.5</v>
      </c>
      <c r="H16" t="n">
        <v>5.1</v>
      </c>
      <c r="I16" t="inlineStr">
        <is>
          <t>N</t>
        </is>
      </c>
      <c r="J16" t="inlineStr">
        <is>
          <t>STAT</t>
        </is>
      </c>
      <c r="K16" s="33" t="n">
        <v>45659.38125</v>
      </c>
      <c r="L16" s="33" t="n">
        <v>45659.40138888889</v>
      </c>
      <c r="M16" s="34" t="n"/>
    </row>
    <row r="17">
      <c r="A17" t="inlineStr">
        <is>
          <t>LAB725492</t>
        </is>
      </c>
      <c r="B17" t="inlineStr">
        <is>
          <t>ENC110749</t>
        </is>
      </c>
      <c r="C17" t="inlineStr">
        <is>
          <t>PLT</t>
        </is>
      </c>
      <c r="D17" t="inlineStr">
        <is>
          <t>Platelet Count</t>
        </is>
      </c>
      <c r="E17" t="n">
        <v>196</v>
      </c>
      <c r="F17" t="inlineStr">
        <is>
          <t>K/uL</t>
        </is>
      </c>
      <c r="G17" t="n">
        <v>150</v>
      </c>
      <c r="H17" t="n">
        <v>400</v>
      </c>
      <c r="I17" t="inlineStr">
        <is>
          <t>N</t>
        </is>
      </c>
      <c r="J17" t="inlineStr">
        <is>
          <t>STAT</t>
        </is>
      </c>
      <c r="K17" s="33" t="n">
        <v>45659.38055555556</v>
      </c>
      <c r="L17" s="33" t="n">
        <v>45659.41319444445</v>
      </c>
      <c r="M17" s="34" t="n"/>
    </row>
    <row r="18">
      <c r="A18" t="inlineStr">
        <is>
          <t>LAB725493</t>
        </is>
      </c>
      <c r="B18" t="inlineStr">
        <is>
          <t>ENC110749</t>
        </is>
      </c>
      <c r="C18" t="inlineStr">
        <is>
          <t>LACT</t>
        </is>
      </c>
      <c r="D18" t="inlineStr">
        <is>
          <t>Lactate</t>
        </is>
      </c>
      <c r="E18" t="n">
        <v>3</v>
      </c>
      <c r="F18" t="inlineStr">
        <is>
          <t>mmol/L</t>
        </is>
      </c>
      <c r="G18" t="n">
        <v>0.5</v>
      </c>
      <c r="H18" t="n">
        <v>2</v>
      </c>
      <c r="I18" t="inlineStr">
        <is>
          <t>H</t>
        </is>
      </c>
      <c r="J18" t="inlineStr">
        <is>
          <t>STAT</t>
        </is>
      </c>
      <c r="K18" s="33" t="n">
        <v>45659.39166666667</v>
      </c>
      <c r="L18" s="33" t="n">
        <v>45659.42152777778</v>
      </c>
      <c r="M18" s="34" t="n"/>
    </row>
    <row r="19">
      <c r="A19" t="inlineStr">
        <is>
          <t>LAB725488</t>
        </is>
      </c>
      <c r="B19" t="inlineStr">
        <is>
          <t>ENC110749</t>
        </is>
      </c>
      <c r="C19" t="inlineStr">
        <is>
          <t>HGB</t>
        </is>
      </c>
      <c r="D19" t="inlineStr">
        <is>
          <t>Hemoglobin</t>
        </is>
      </c>
      <c r="E19" t="n">
        <v>12.9</v>
      </c>
      <c r="F19" t="inlineStr">
        <is>
          <t>g/dL</t>
        </is>
      </c>
      <c r="G19" t="n">
        <v>12</v>
      </c>
      <c r="H19" t="n">
        <v>17.5</v>
      </c>
      <c r="I19" t="inlineStr">
        <is>
          <t>N</t>
        </is>
      </c>
      <c r="J19" t="inlineStr">
        <is>
          <t>STAT</t>
        </is>
      </c>
      <c r="K19" s="33" t="n">
        <v>45659.37083333333</v>
      </c>
      <c r="L19" s="33" t="n">
        <v>45659.42361111111</v>
      </c>
      <c r="M19" s="34" t="n"/>
    </row>
    <row r="20">
      <c r="A20" t="inlineStr">
        <is>
          <t>LAB725485</t>
        </is>
      </c>
      <c r="B20" t="inlineStr">
        <is>
          <t>ENC110749</t>
        </is>
      </c>
      <c r="C20" t="inlineStr">
        <is>
          <t>GLU</t>
        </is>
      </c>
      <c r="D20" t="inlineStr">
        <is>
          <t>Glucose</t>
        </is>
      </c>
      <c r="E20" t="n">
        <v>123</v>
      </c>
      <c r="F20" t="inlineStr">
        <is>
          <t>mg/dL</t>
        </is>
      </c>
      <c r="G20" t="n">
        <v>70</v>
      </c>
      <c r="H20" t="n">
        <v>99</v>
      </c>
      <c r="I20" t="inlineStr">
        <is>
          <t>H</t>
        </is>
      </c>
      <c r="J20" t="inlineStr">
        <is>
          <t>STAT</t>
        </is>
      </c>
      <c r="K20" s="33" t="n">
        <v>45659.38333333333</v>
      </c>
      <c r="L20" s="33" t="n">
        <v>45659.42847222222</v>
      </c>
      <c r="M20" s="34" t="n"/>
    </row>
    <row r="21">
      <c r="A21" t="inlineStr">
        <is>
          <t>LAB725670</t>
        </is>
      </c>
      <c r="B21" t="inlineStr">
        <is>
          <t>ENC110848</t>
        </is>
      </c>
      <c r="C21" t="inlineStr">
        <is>
          <t>CREAT</t>
        </is>
      </c>
      <c r="D21" t="inlineStr">
        <is>
          <t>Creatinine</t>
        </is>
      </c>
      <c r="E21" t="n">
        <v>1.1</v>
      </c>
      <c r="F21" t="inlineStr">
        <is>
          <t>mg/dL</t>
        </is>
      </c>
      <c r="G21" t="n">
        <v>0.6</v>
      </c>
      <c r="H21" t="n">
        <v>1.3</v>
      </c>
      <c r="I21" t="inlineStr">
        <is>
          <t>N</t>
        </is>
      </c>
      <c r="J21" t="inlineStr">
        <is>
          <t>STAT</t>
        </is>
      </c>
      <c r="K21" s="33" t="n">
        <v>45661.85208333333</v>
      </c>
      <c r="L21" s="33" t="n">
        <v>45661.87152777778</v>
      </c>
      <c r="M21" s="34" t="n"/>
    </row>
    <row r="22">
      <c r="A22" t="inlineStr">
        <is>
          <t>LAB725673</t>
        </is>
      </c>
      <c r="B22" t="inlineStr">
        <is>
          <t>ENC110848</t>
        </is>
      </c>
      <c r="C22" t="inlineStr">
        <is>
          <t>LACT</t>
        </is>
      </c>
      <c r="D22" t="inlineStr">
        <is>
          <t>Lactate</t>
        </is>
      </c>
      <c r="E22" t="n">
        <v>2.5</v>
      </c>
      <c r="F22" t="inlineStr">
        <is>
          <t>mmol/L</t>
        </is>
      </c>
      <c r="G22" t="n">
        <v>0.5</v>
      </c>
      <c r="H22" t="n">
        <v>2</v>
      </c>
      <c r="I22" t="inlineStr">
        <is>
          <t>H</t>
        </is>
      </c>
      <c r="J22" t="inlineStr">
        <is>
          <t>STAT</t>
        </is>
      </c>
      <c r="K22" s="33" t="n">
        <v>45661.84305555555</v>
      </c>
      <c r="L22" s="33" t="n">
        <v>45661.87152777778</v>
      </c>
      <c r="M22" s="34" t="n"/>
    </row>
    <row r="23">
      <c r="A23" t="inlineStr">
        <is>
          <t>LAB725671</t>
        </is>
      </c>
      <c r="B23" t="inlineStr">
        <is>
          <t>ENC110848</t>
        </is>
      </c>
      <c r="C23" t="inlineStr">
        <is>
          <t>WBC</t>
        </is>
      </c>
      <c r="D23" t="inlineStr">
        <is>
          <t>White Blood Cell Count</t>
        </is>
      </c>
      <c r="E23" t="n">
        <v>18.9</v>
      </c>
      <c r="F23" t="inlineStr">
        <is>
          <t>K/uL</t>
        </is>
      </c>
      <c r="G23" t="n">
        <v>4.5</v>
      </c>
      <c r="H23" t="n">
        <v>11</v>
      </c>
      <c r="I23" t="inlineStr">
        <is>
          <t>H</t>
        </is>
      </c>
      <c r="J23" t="inlineStr">
        <is>
          <t>STAT</t>
        </is>
      </c>
      <c r="K23" s="33" t="n">
        <v>45661.88541666666</v>
      </c>
      <c r="L23" s="33" t="n">
        <v>45661.90902777778</v>
      </c>
      <c r="M23" s="34" t="n"/>
    </row>
    <row r="24">
      <c r="A24" t="inlineStr">
        <is>
          <t>LAB725672</t>
        </is>
      </c>
      <c r="B24" t="inlineStr">
        <is>
          <t>ENC110848</t>
        </is>
      </c>
      <c r="C24" t="inlineStr">
        <is>
          <t>HGB</t>
        </is>
      </c>
      <c r="D24" t="inlineStr">
        <is>
          <t>Hemoglobin</t>
        </is>
      </c>
      <c r="E24" t="n">
        <v>14.8</v>
      </c>
      <c r="F24" t="inlineStr">
        <is>
          <t>g/dL</t>
        </is>
      </c>
      <c r="G24" t="n">
        <v>12</v>
      </c>
      <c r="H24" t="n">
        <v>17.5</v>
      </c>
      <c r="I24" t="inlineStr">
        <is>
          <t>N</t>
        </is>
      </c>
      <c r="J24" t="inlineStr">
        <is>
          <t>Routine</t>
        </is>
      </c>
      <c r="K24" s="33" t="n">
        <v>45661.85</v>
      </c>
      <c r="L24" s="33" t="n">
        <v>45661.99375</v>
      </c>
      <c r="M24" s="34" t="n"/>
    </row>
    <row r="25">
      <c r="A25" t="inlineStr">
        <is>
          <t>LAB725669</t>
        </is>
      </c>
      <c r="B25" t="inlineStr">
        <is>
          <t>ENC110848</t>
        </is>
      </c>
      <c r="C25" t="inlineStr">
        <is>
          <t>GLU</t>
        </is>
      </c>
      <c r="D25" t="inlineStr">
        <is>
          <t>Glucose</t>
        </is>
      </c>
      <c r="E25" t="n">
        <v>205</v>
      </c>
      <c r="F25" t="inlineStr">
        <is>
          <t>mg/dL</t>
        </is>
      </c>
      <c r="G25" t="n">
        <v>70</v>
      </c>
      <c r="H25" t="n">
        <v>99</v>
      </c>
      <c r="I25" t="inlineStr">
        <is>
          <t>H</t>
        </is>
      </c>
      <c r="J25" t="inlineStr">
        <is>
          <t>Routine</t>
        </is>
      </c>
      <c r="K25" s="33" t="n">
        <v>45661.87291666667</v>
      </c>
      <c r="L25" s="33" t="n">
        <v>45662.02986111111</v>
      </c>
      <c r="M25" s="34" t="n"/>
    </row>
    <row r="26">
      <c r="A26" t="inlineStr">
        <is>
          <t>LAB725780</t>
        </is>
      </c>
      <c r="B26" t="inlineStr">
        <is>
          <t>ENC110883</t>
        </is>
      </c>
      <c r="C26" t="inlineStr">
        <is>
          <t>K</t>
        </is>
      </c>
      <c r="D26" t="inlineStr">
        <is>
          <t>Potassium</t>
        </is>
      </c>
      <c r="E26" t="n">
        <v>4.5</v>
      </c>
      <c r="F26" t="inlineStr">
        <is>
          <t>mmol/L</t>
        </is>
      </c>
      <c r="G26" t="n">
        <v>3.5</v>
      </c>
      <c r="H26" t="n">
        <v>5.1</v>
      </c>
      <c r="I26" t="inlineStr">
        <is>
          <t>N</t>
        </is>
      </c>
      <c r="J26" t="inlineStr">
        <is>
          <t>STAT</t>
        </is>
      </c>
      <c r="K26" s="33" t="n">
        <v>45663.48333333333</v>
      </c>
      <c r="L26" s="33" t="n">
        <v>45663.50069444445</v>
      </c>
      <c r="M26" s="34" t="n"/>
    </row>
    <row r="27">
      <c r="A27" t="inlineStr">
        <is>
          <t>LAB725781</t>
        </is>
      </c>
      <c r="B27" t="inlineStr">
        <is>
          <t>ENC110883</t>
        </is>
      </c>
      <c r="C27" t="inlineStr">
        <is>
          <t>LACT</t>
        </is>
      </c>
      <c r="D27" t="inlineStr">
        <is>
          <t>Lactate</t>
        </is>
      </c>
      <c r="E27" t="n">
        <v>2.8</v>
      </c>
      <c r="F27" t="inlineStr">
        <is>
          <t>mmol/L</t>
        </is>
      </c>
      <c r="G27" t="n">
        <v>0.5</v>
      </c>
      <c r="H27" t="n">
        <v>2</v>
      </c>
      <c r="I27" t="inlineStr">
        <is>
          <t>H</t>
        </is>
      </c>
      <c r="J27" t="inlineStr">
        <is>
          <t>STAT</t>
        </is>
      </c>
      <c r="K27" s="33" t="n">
        <v>45663.46111111111</v>
      </c>
      <c r="L27" s="33" t="n">
        <v>45663.50347222222</v>
      </c>
      <c r="M27" s="34" t="n"/>
    </row>
    <row r="28">
      <c r="A28" t="inlineStr">
        <is>
          <t>LAB725776</t>
        </is>
      </c>
      <c r="B28" t="inlineStr">
        <is>
          <t>ENC110883</t>
        </is>
      </c>
      <c r="C28" t="inlineStr">
        <is>
          <t>CREAT</t>
        </is>
      </c>
      <c r="D28" t="inlineStr">
        <is>
          <t>Creatinine</t>
        </is>
      </c>
      <c r="E28" t="n">
        <v>1.72</v>
      </c>
      <c r="F28" t="inlineStr">
        <is>
          <t>mg/dL</t>
        </is>
      </c>
      <c r="G28" t="n">
        <v>0.6</v>
      </c>
      <c r="H28" t="n">
        <v>1.3</v>
      </c>
      <c r="I28" t="inlineStr">
        <is>
          <t>H</t>
        </is>
      </c>
      <c r="J28" t="inlineStr">
        <is>
          <t>STAT</t>
        </is>
      </c>
      <c r="K28" s="33" t="n">
        <v>45663.47847222222</v>
      </c>
      <c r="L28" s="33" t="n">
        <v>45663.50486111111</v>
      </c>
      <c r="M28" s="34" t="n"/>
    </row>
    <row r="29">
      <c r="A29" t="inlineStr">
        <is>
          <t>LAB725778</t>
        </is>
      </c>
      <c r="B29" t="inlineStr">
        <is>
          <t>ENC110883</t>
        </is>
      </c>
      <c r="C29" t="inlineStr">
        <is>
          <t>HGB</t>
        </is>
      </c>
      <c r="D29" t="inlineStr">
        <is>
          <t>Hemoglobin</t>
        </is>
      </c>
      <c r="E29" t="n">
        <v>13.8</v>
      </c>
      <c r="F29" t="inlineStr">
        <is>
          <t>g/dL</t>
        </is>
      </c>
      <c r="G29" t="n">
        <v>12</v>
      </c>
      <c r="H29" t="n">
        <v>17.5</v>
      </c>
      <c r="I29" t="inlineStr">
        <is>
          <t>N</t>
        </is>
      </c>
      <c r="J29" t="inlineStr">
        <is>
          <t>STAT</t>
        </is>
      </c>
      <c r="K29" s="33" t="n">
        <v>45663.47361111111</v>
      </c>
      <c r="L29" s="33" t="n">
        <v>45663.51111111111</v>
      </c>
      <c r="M29" s="34" t="n"/>
    </row>
    <row r="30">
      <c r="A30" t="inlineStr">
        <is>
          <t>LAB725775</t>
        </is>
      </c>
      <c r="B30" t="inlineStr">
        <is>
          <t>ENC110883</t>
        </is>
      </c>
      <c r="C30" t="inlineStr">
        <is>
          <t>GLU</t>
        </is>
      </c>
      <c r="D30" t="inlineStr">
        <is>
          <t>Glucose</t>
        </is>
      </c>
      <c r="E30" t="n">
        <v>172</v>
      </c>
      <c r="F30" t="inlineStr">
        <is>
          <t>mg/dL</t>
        </is>
      </c>
      <c r="G30" t="n">
        <v>70</v>
      </c>
      <c r="H30" t="n">
        <v>99</v>
      </c>
      <c r="I30" t="inlineStr">
        <is>
          <t>H</t>
        </is>
      </c>
      <c r="J30" t="inlineStr">
        <is>
          <t>STAT</t>
        </is>
      </c>
      <c r="K30" s="33" t="n">
        <v>45663.49375</v>
      </c>
      <c r="L30" s="33" t="n">
        <v>45663.52013888889</v>
      </c>
      <c r="M30" s="34" t="n"/>
    </row>
    <row r="31">
      <c r="A31" t="inlineStr">
        <is>
          <t>LAB725777</t>
        </is>
      </c>
      <c r="B31" t="inlineStr">
        <is>
          <t>ENC110883</t>
        </is>
      </c>
      <c r="C31" t="inlineStr">
        <is>
          <t>WBC</t>
        </is>
      </c>
      <c r="D31" t="inlineStr">
        <is>
          <t>White Blood Cell Count</t>
        </is>
      </c>
      <c r="E31" t="n">
        <v>17.3</v>
      </c>
      <c r="F31" t="inlineStr">
        <is>
          <t>K/uL</t>
        </is>
      </c>
      <c r="G31" t="n">
        <v>4.5</v>
      </c>
      <c r="H31" t="n">
        <v>11</v>
      </c>
      <c r="I31" t="inlineStr">
        <is>
          <t>H</t>
        </is>
      </c>
      <c r="J31" t="inlineStr">
        <is>
          <t>STAT</t>
        </is>
      </c>
      <c r="K31" s="33" t="n">
        <v>45663.48055555556</v>
      </c>
      <c r="L31" s="33" t="n">
        <v>45663.54791666667</v>
      </c>
      <c r="M31" s="34" t="n"/>
    </row>
    <row r="32">
      <c r="A32" t="inlineStr">
        <is>
          <t>LAB725779</t>
        </is>
      </c>
      <c r="B32" t="inlineStr">
        <is>
          <t>ENC110883</t>
        </is>
      </c>
      <c r="C32" t="inlineStr">
        <is>
          <t>NA</t>
        </is>
      </c>
      <c r="D32" t="inlineStr">
        <is>
          <t>Sodium</t>
        </is>
      </c>
      <c r="E32" t="n">
        <v>139</v>
      </c>
      <c r="F32" t="inlineStr">
        <is>
          <t>mmol/L</t>
        </is>
      </c>
      <c r="G32" t="n">
        <v>136</v>
      </c>
      <c r="H32" t="n">
        <v>145</v>
      </c>
      <c r="I32" t="inlineStr">
        <is>
          <t>N</t>
        </is>
      </c>
      <c r="J32" t="inlineStr">
        <is>
          <t>Routine</t>
        </is>
      </c>
      <c r="K32" s="33" t="n">
        <v>45663.47916666666</v>
      </c>
      <c r="L32" s="33" t="n">
        <v>45663.61388888889</v>
      </c>
      <c r="M32" s="34" t="n"/>
    </row>
    <row r="33">
      <c r="A33" t="inlineStr">
        <is>
          <t>LAB726167</t>
        </is>
      </c>
      <c r="B33" t="inlineStr">
        <is>
          <t>ENC111079</t>
        </is>
      </c>
      <c r="C33" t="inlineStr">
        <is>
          <t>CREAT</t>
        </is>
      </c>
      <c r="D33" t="inlineStr">
        <is>
          <t>Creatinine</t>
        </is>
      </c>
      <c r="E33" t="n">
        <v>1.83</v>
      </c>
      <c r="F33" t="inlineStr">
        <is>
          <t>mg/dL</t>
        </is>
      </c>
      <c r="G33" t="n">
        <v>0.6</v>
      </c>
      <c r="H33" t="n">
        <v>1.3</v>
      </c>
      <c r="I33" t="inlineStr">
        <is>
          <t>H</t>
        </is>
      </c>
      <c r="J33" t="inlineStr">
        <is>
          <t>STAT</t>
        </is>
      </c>
      <c r="K33" s="33" t="n">
        <v>45667.97430555556</v>
      </c>
      <c r="L33" s="33" t="n">
        <v>45668.00277777778</v>
      </c>
      <c r="M33" s="34" t="n"/>
    </row>
    <row r="34">
      <c r="A34" t="inlineStr">
        <is>
          <t>LAB726166</t>
        </is>
      </c>
      <c r="B34" t="inlineStr">
        <is>
          <t>ENC111079</t>
        </is>
      </c>
      <c r="C34" t="inlineStr">
        <is>
          <t>GLU</t>
        </is>
      </c>
      <c r="D34" t="inlineStr">
        <is>
          <t>Glucose</t>
        </is>
      </c>
      <c r="E34" t="n">
        <v>134</v>
      </c>
      <c r="F34" t="inlineStr">
        <is>
          <t>mg/dL</t>
        </is>
      </c>
      <c r="G34" t="n">
        <v>70</v>
      </c>
      <c r="H34" t="n">
        <v>99</v>
      </c>
      <c r="I34" t="inlineStr">
        <is>
          <t>H</t>
        </is>
      </c>
      <c r="J34" t="inlineStr">
        <is>
          <t>STAT</t>
        </is>
      </c>
      <c r="K34" s="33" t="n">
        <v>45667.99722222222</v>
      </c>
      <c r="L34" s="33" t="n">
        <v>45668.02361111111</v>
      </c>
      <c r="M34" s="34" t="n"/>
    </row>
    <row r="35">
      <c r="A35" t="inlineStr">
        <is>
          <t>LAB726170</t>
        </is>
      </c>
      <c r="B35" t="inlineStr">
        <is>
          <t>ENC111079</t>
        </is>
      </c>
      <c r="C35" t="inlineStr">
        <is>
          <t>LACT</t>
        </is>
      </c>
      <c r="D35" t="inlineStr">
        <is>
          <t>Lactate</t>
        </is>
      </c>
      <c r="E35" t="n">
        <v>4.6</v>
      </c>
      <c r="F35" t="inlineStr">
        <is>
          <t>mmol/L</t>
        </is>
      </c>
      <c r="G35" t="n">
        <v>0.5</v>
      </c>
      <c r="H35" t="n">
        <v>2</v>
      </c>
      <c r="I35" t="inlineStr">
        <is>
          <t>HH</t>
        </is>
      </c>
      <c r="J35" t="inlineStr">
        <is>
          <t>STAT</t>
        </is>
      </c>
      <c r="K35" s="33" t="n">
        <v>45667.97638888889</v>
      </c>
      <c r="L35" s="33" t="n">
        <v>45668.03194444445</v>
      </c>
      <c r="M35" s="34" t="n"/>
    </row>
    <row r="36">
      <c r="A36" t="inlineStr">
        <is>
          <t>LAB726168</t>
        </is>
      </c>
      <c r="B36" t="inlineStr">
        <is>
          <t>ENC111079</t>
        </is>
      </c>
      <c r="C36" t="inlineStr">
        <is>
          <t>WBC</t>
        </is>
      </c>
      <c r="D36" t="inlineStr">
        <is>
          <t>White Blood Cell Count</t>
        </is>
      </c>
      <c r="E36" t="n">
        <v>19</v>
      </c>
      <c r="F36" t="inlineStr">
        <is>
          <t>K/uL</t>
        </is>
      </c>
      <c r="G36" t="n">
        <v>4.5</v>
      </c>
      <c r="H36" t="n">
        <v>11</v>
      </c>
      <c r="I36" t="inlineStr">
        <is>
          <t>H</t>
        </is>
      </c>
      <c r="J36" t="inlineStr">
        <is>
          <t>Routine</t>
        </is>
      </c>
      <c r="K36" s="33" t="n">
        <v>45667.9875</v>
      </c>
      <c r="L36" s="33" t="n">
        <v>45668.06319444445</v>
      </c>
      <c r="M36" s="34" t="n"/>
    </row>
    <row r="37">
      <c r="A37" t="inlineStr">
        <is>
          <t>LAB726169</t>
        </is>
      </c>
      <c r="B37" t="inlineStr">
        <is>
          <t>ENC111079</t>
        </is>
      </c>
      <c r="C37" t="inlineStr">
        <is>
          <t>HGB</t>
        </is>
      </c>
      <c r="D37" t="inlineStr">
        <is>
          <t>Hemoglobin</t>
        </is>
      </c>
      <c r="E37" t="n">
        <v>14</v>
      </c>
      <c r="F37" t="inlineStr">
        <is>
          <t>g/dL</t>
        </is>
      </c>
      <c r="G37" t="n">
        <v>12</v>
      </c>
      <c r="H37" t="n">
        <v>17.5</v>
      </c>
      <c r="I37" t="inlineStr">
        <is>
          <t>N</t>
        </is>
      </c>
      <c r="J37" t="inlineStr">
        <is>
          <t>Routine</t>
        </is>
      </c>
      <c r="K37" s="33" t="n">
        <v>45667.98680555556</v>
      </c>
      <c r="L37" s="33" t="n">
        <v>45668.33819444444</v>
      </c>
      <c r="M37" s="34" t="n"/>
    </row>
    <row r="38">
      <c r="A38" t="inlineStr">
        <is>
          <t>LAB726403</t>
        </is>
      </c>
      <c r="B38" t="inlineStr">
        <is>
          <t>ENC111144</t>
        </is>
      </c>
      <c r="C38" t="inlineStr">
        <is>
          <t>LACT</t>
        </is>
      </c>
      <c r="D38" t="inlineStr">
        <is>
          <t>Lactate</t>
        </is>
      </c>
      <c r="E38" t="n">
        <v>1.8</v>
      </c>
      <c r="F38" t="inlineStr">
        <is>
          <t>mmol/L</t>
        </is>
      </c>
      <c r="G38" t="n">
        <v>0.5</v>
      </c>
      <c r="H38" t="n">
        <v>2</v>
      </c>
      <c r="I38" t="inlineStr">
        <is>
          <t>N</t>
        </is>
      </c>
      <c r="J38" t="inlineStr">
        <is>
          <t>STAT</t>
        </is>
      </c>
      <c r="K38" s="33" t="n">
        <v>45670.30347222222</v>
      </c>
      <c r="L38" s="33" t="n">
        <v>45670.32291666666</v>
      </c>
      <c r="M38" s="34" t="n"/>
    </row>
    <row r="39">
      <c r="A39" t="inlineStr">
        <is>
          <t>LAB726402</t>
        </is>
      </c>
      <c r="B39" t="inlineStr">
        <is>
          <t>ENC111144</t>
        </is>
      </c>
      <c r="C39" t="inlineStr">
        <is>
          <t>HGB</t>
        </is>
      </c>
      <c r="D39" t="inlineStr">
        <is>
          <t>Hemoglobin</t>
        </is>
      </c>
      <c r="E39" t="n">
        <v>12.9</v>
      </c>
      <c r="F39" t="inlineStr">
        <is>
          <t>g/dL</t>
        </is>
      </c>
      <c r="G39" t="n">
        <v>12</v>
      </c>
      <c r="H39" t="n">
        <v>17.5</v>
      </c>
      <c r="I39" t="inlineStr">
        <is>
          <t>N</t>
        </is>
      </c>
      <c r="J39" t="inlineStr">
        <is>
          <t>STAT</t>
        </is>
      </c>
      <c r="K39" s="33" t="n">
        <v>45670.29930555556</v>
      </c>
      <c r="L39" s="33" t="n">
        <v>45670.32361111111</v>
      </c>
      <c r="M39" s="34" t="n"/>
    </row>
    <row r="40">
      <c r="A40" t="inlineStr">
        <is>
          <t>LAB726401</t>
        </is>
      </c>
      <c r="B40" t="inlineStr">
        <is>
          <t>ENC111144</t>
        </is>
      </c>
      <c r="C40" t="inlineStr">
        <is>
          <t>WBC</t>
        </is>
      </c>
      <c r="D40" t="inlineStr">
        <is>
          <t>White Blood Cell Count</t>
        </is>
      </c>
      <c r="E40" t="n">
        <v>5.7</v>
      </c>
      <c r="F40" t="inlineStr">
        <is>
          <t>K/uL</t>
        </is>
      </c>
      <c r="G40" t="n">
        <v>4.5</v>
      </c>
      <c r="H40" t="n">
        <v>11</v>
      </c>
      <c r="I40" t="inlineStr">
        <is>
          <t>N</t>
        </is>
      </c>
      <c r="J40" t="inlineStr">
        <is>
          <t>STAT</t>
        </is>
      </c>
      <c r="K40" s="33" t="n">
        <v>45670.28472222222</v>
      </c>
      <c r="L40" s="33" t="n">
        <v>45670.33541666667</v>
      </c>
      <c r="M40" s="34" t="n"/>
    </row>
    <row r="41">
      <c r="A41" t="inlineStr">
        <is>
          <t>LAB726399</t>
        </is>
      </c>
      <c r="B41" t="inlineStr">
        <is>
          <t>ENC111144</t>
        </is>
      </c>
      <c r="C41" t="inlineStr">
        <is>
          <t>GLU</t>
        </is>
      </c>
      <c r="D41" t="inlineStr">
        <is>
          <t>Glucose</t>
        </is>
      </c>
      <c r="E41" t="n">
        <v>59</v>
      </c>
      <c r="F41" t="inlineStr">
        <is>
          <t>mg/dL</t>
        </is>
      </c>
      <c r="G41" t="n">
        <v>70</v>
      </c>
      <c r="H41" t="n">
        <v>99</v>
      </c>
      <c r="I41" t="inlineStr">
        <is>
          <t>L</t>
        </is>
      </c>
      <c r="J41" t="inlineStr">
        <is>
          <t>STAT</t>
        </is>
      </c>
      <c r="K41" s="33" t="n">
        <v>45670.29236111111</v>
      </c>
      <c r="L41" s="33" t="n">
        <v>45670.34166666667</v>
      </c>
      <c r="M41" s="34" t="n"/>
    </row>
    <row r="42">
      <c r="A42" t="inlineStr">
        <is>
          <t>LAB726400</t>
        </is>
      </c>
      <c r="B42" t="inlineStr">
        <is>
          <t>ENC111144</t>
        </is>
      </c>
      <c r="C42" t="inlineStr">
        <is>
          <t>CREAT</t>
        </is>
      </c>
      <c r="D42" t="inlineStr">
        <is>
          <t>Creatinine</t>
        </is>
      </c>
      <c r="E42" t="n">
        <v>0.89</v>
      </c>
      <c r="F42" t="inlineStr">
        <is>
          <t>mg/dL</t>
        </is>
      </c>
      <c r="G42" t="n">
        <v>0.6</v>
      </c>
      <c r="H42" t="n">
        <v>1.3</v>
      </c>
      <c r="I42" t="inlineStr">
        <is>
          <t>N</t>
        </is>
      </c>
      <c r="J42" t="inlineStr">
        <is>
          <t>STAT</t>
        </is>
      </c>
      <c r="K42" s="33" t="n">
        <v>45670.31666666667</v>
      </c>
      <c r="L42" s="33" t="n">
        <v>45670.36111111111</v>
      </c>
      <c r="M42" s="34" t="n"/>
    </row>
    <row r="43">
      <c r="A43" t="inlineStr">
        <is>
          <t>LAB726429</t>
        </is>
      </c>
      <c r="B43" t="inlineStr">
        <is>
          <t>ENC111160</t>
        </is>
      </c>
      <c r="C43" t="inlineStr">
        <is>
          <t>INR</t>
        </is>
      </c>
      <c r="D43" t="inlineStr">
        <is>
          <t>Prothrombin Time INR</t>
        </is>
      </c>
      <c r="E43" t="n">
        <v>0.9</v>
      </c>
      <c r="F43" t="inlineStr">
        <is>
          <t>ratio</t>
        </is>
      </c>
      <c r="G43" t="n">
        <v>0.8</v>
      </c>
      <c r="H43" t="n">
        <v>1.2</v>
      </c>
      <c r="I43" t="inlineStr">
        <is>
          <t>N</t>
        </is>
      </c>
      <c r="J43" t="inlineStr">
        <is>
          <t>STAT</t>
        </is>
      </c>
      <c r="K43" s="33" t="n">
        <v>45670.63125</v>
      </c>
      <c r="L43" s="33" t="n">
        <v>45670.65555555555</v>
      </c>
      <c r="M43" s="34" t="n"/>
    </row>
    <row r="44">
      <c r="A44" t="inlineStr">
        <is>
          <t>LAB726428</t>
        </is>
      </c>
      <c r="B44" t="inlineStr">
        <is>
          <t>ENC111160</t>
        </is>
      </c>
      <c r="C44" t="inlineStr">
        <is>
          <t>K</t>
        </is>
      </c>
      <c r="D44" t="inlineStr">
        <is>
          <t>Potassium</t>
        </is>
      </c>
      <c r="E44" t="n">
        <v>4.1</v>
      </c>
      <c r="F44" t="inlineStr">
        <is>
          <t>mmol/L</t>
        </is>
      </c>
      <c r="G44" t="n">
        <v>3.5</v>
      </c>
      <c r="H44" t="n">
        <v>5.1</v>
      </c>
      <c r="I44" t="inlineStr">
        <is>
          <t>N</t>
        </is>
      </c>
      <c r="J44" t="inlineStr">
        <is>
          <t>STAT</t>
        </is>
      </c>
      <c r="K44" s="33" t="n">
        <v>45670.61875</v>
      </c>
      <c r="L44" s="33" t="n">
        <v>45670.65694444445</v>
      </c>
      <c r="M44" s="34" t="n"/>
    </row>
    <row r="45">
      <c r="A45" t="inlineStr">
        <is>
          <t>LAB726424</t>
        </is>
      </c>
      <c r="B45" t="inlineStr">
        <is>
          <t>ENC111160</t>
        </is>
      </c>
      <c r="C45" t="inlineStr">
        <is>
          <t>CREAT</t>
        </is>
      </c>
      <c r="D45" t="inlineStr">
        <is>
          <t>Creatinine</t>
        </is>
      </c>
      <c r="E45" t="n">
        <v>0.9</v>
      </c>
      <c r="F45" t="inlineStr">
        <is>
          <t>mg/dL</t>
        </is>
      </c>
      <c r="G45" t="n">
        <v>0.6</v>
      </c>
      <c r="H45" t="n">
        <v>1.3</v>
      </c>
      <c r="I45" t="inlineStr">
        <is>
          <t>N</t>
        </is>
      </c>
      <c r="J45" t="inlineStr">
        <is>
          <t>STAT</t>
        </is>
      </c>
      <c r="K45" s="33" t="n">
        <v>45670.65833333333</v>
      </c>
      <c r="L45" s="33" t="n">
        <v>45670.67708333334</v>
      </c>
      <c r="M45" s="34" t="n"/>
    </row>
    <row r="46">
      <c r="A46" t="inlineStr">
        <is>
          <t>LAB726427</t>
        </is>
      </c>
      <c r="B46" t="inlineStr">
        <is>
          <t>ENC111160</t>
        </is>
      </c>
      <c r="C46" t="inlineStr">
        <is>
          <t>NA</t>
        </is>
      </c>
      <c r="D46" t="inlineStr">
        <is>
          <t>Sodium</t>
        </is>
      </c>
      <c r="E46" t="n">
        <v>142</v>
      </c>
      <c r="F46" t="inlineStr">
        <is>
          <t>mmol/L</t>
        </is>
      </c>
      <c r="G46" t="n">
        <v>136</v>
      </c>
      <c r="H46" t="n">
        <v>145</v>
      </c>
      <c r="I46" t="inlineStr">
        <is>
          <t>N</t>
        </is>
      </c>
      <c r="J46" t="inlineStr">
        <is>
          <t>STAT</t>
        </is>
      </c>
      <c r="K46" s="33" t="n">
        <v>45670.63611111111</v>
      </c>
      <c r="L46" s="33" t="n">
        <v>45670.68055555555</v>
      </c>
      <c r="M46" s="34" t="n"/>
    </row>
    <row r="47">
      <c r="A47" t="inlineStr">
        <is>
          <t>LAB726426</t>
        </is>
      </c>
      <c r="B47" t="inlineStr">
        <is>
          <t>ENC111160</t>
        </is>
      </c>
      <c r="C47" t="inlineStr">
        <is>
          <t>HGB</t>
        </is>
      </c>
      <c r="D47" t="inlineStr">
        <is>
          <t>Hemoglobin</t>
        </is>
      </c>
      <c r="E47" t="n">
        <v>7.3</v>
      </c>
      <c r="F47" t="inlineStr">
        <is>
          <t>g/dL</t>
        </is>
      </c>
      <c r="G47" t="n">
        <v>12</v>
      </c>
      <c r="H47" t="n">
        <v>17.5</v>
      </c>
      <c r="I47" t="inlineStr">
        <is>
          <t>L</t>
        </is>
      </c>
      <c r="J47" t="inlineStr">
        <is>
          <t>STAT</t>
        </is>
      </c>
      <c r="K47" s="33" t="n">
        <v>45670.65555555555</v>
      </c>
      <c r="L47" s="33" t="n">
        <v>45670.69027777778</v>
      </c>
      <c r="M47" s="34" t="n"/>
    </row>
    <row r="48">
      <c r="A48" t="inlineStr">
        <is>
          <t>LAB726423</t>
        </is>
      </c>
      <c r="B48" t="inlineStr">
        <is>
          <t>ENC111160</t>
        </is>
      </c>
      <c r="C48" t="inlineStr">
        <is>
          <t>GLU</t>
        </is>
      </c>
      <c r="D48" t="inlineStr">
        <is>
          <t>Glucose</t>
        </is>
      </c>
      <c r="E48" t="n">
        <v>181</v>
      </c>
      <c r="F48" t="inlineStr">
        <is>
          <t>mg/dL</t>
        </is>
      </c>
      <c r="G48" t="n">
        <v>70</v>
      </c>
      <c r="H48" t="n">
        <v>99</v>
      </c>
      <c r="I48" t="inlineStr">
        <is>
          <t>H</t>
        </is>
      </c>
      <c r="J48" t="inlineStr">
        <is>
          <t>STAT</t>
        </is>
      </c>
      <c r="K48" s="33" t="n">
        <v>45670.65208333333</v>
      </c>
      <c r="L48" s="33" t="n">
        <v>45670.69652777778</v>
      </c>
      <c r="M48" s="34" t="n"/>
    </row>
    <row r="49">
      <c r="A49" t="inlineStr">
        <is>
          <t>LAB726425</t>
        </is>
      </c>
      <c r="B49" t="inlineStr">
        <is>
          <t>ENC111160</t>
        </is>
      </c>
      <c r="C49" t="inlineStr">
        <is>
          <t>WBC</t>
        </is>
      </c>
      <c r="D49" t="inlineStr">
        <is>
          <t>White Blood Cell Count</t>
        </is>
      </c>
      <c r="E49" t="n">
        <v>7.5</v>
      </c>
      <c r="F49" t="inlineStr">
        <is>
          <t>K/uL</t>
        </is>
      </c>
      <c r="G49" t="n">
        <v>4.5</v>
      </c>
      <c r="H49" t="n">
        <v>11</v>
      </c>
      <c r="I49" t="inlineStr">
        <is>
          <t>N</t>
        </is>
      </c>
      <c r="J49" t="inlineStr">
        <is>
          <t>STAT</t>
        </is>
      </c>
      <c r="K49" s="33" t="n">
        <v>45670.65902777778</v>
      </c>
      <c r="L49" s="33" t="n">
        <v>45670.69722222222</v>
      </c>
      <c r="M49" s="34" t="n"/>
    </row>
    <row r="50">
      <c r="A50" t="inlineStr">
        <is>
          <t>LAB726591</t>
        </is>
      </c>
      <c r="B50" t="inlineStr">
        <is>
          <t>ENC111225</t>
        </is>
      </c>
      <c r="C50" t="inlineStr">
        <is>
          <t>NA</t>
        </is>
      </c>
      <c r="D50" t="inlineStr">
        <is>
          <t>Sodium</t>
        </is>
      </c>
      <c r="E50" t="n">
        <v>140</v>
      </c>
      <c r="F50" t="inlineStr">
        <is>
          <t>mmol/L</t>
        </is>
      </c>
      <c r="G50" t="n">
        <v>136</v>
      </c>
      <c r="H50" t="n">
        <v>145</v>
      </c>
      <c r="I50" t="inlineStr">
        <is>
          <t>N</t>
        </is>
      </c>
      <c r="J50" t="inlineStr">
        <is>
          <t>STAT</t>
        </is>
      </c>
      <c r="K50" s="33" t="n">
        <v>45672.07083333333</v>
      </c>
      <c r="L50" s="33" t="n">
        <v>45672.1</v>
      </c>
      <c r="M50" s="34" t="n"/>
    </row>
    <row r="51">
      <c r="A51" t="inlineStr">
        <is>
          <t>LAB726587</t>
        </is>
      </c>
      <c r="B51" t="inlineStr">
        <is>
          <t>ENC111225</t>
        </is>
      </c>
      <c r="C51" t="inlineStr">
        <is>
          <t>GLU</t>
        </is>
      </c>
      <c r="D51" t="inlineStr">
        <is>
          <t>Glucose</t>
        </is>
      </c>
      <c r="E51" t="n">
        <v>182</v>
      </c>
      <c r="F51" t="inlineStr">
        <is>
          <t>mg/dL</t>
        </is>
      </c>
      <c r="G51" t="n">
        <v>70</v>
      </c>
      <c r="H51" t="n">
        <v>99</v>
      </c>
      <c r="I51" t="inlineStr">
        <is>
          <t>H</t>
        </is>
      </c>
      <c r="J51" t="inlineStr">
        <is>
          <t>STAT</t>
        </is>
      </c>
      <c r="K51" s="33" t="n">
        <v>45672.10208333333</v>
      </c>
      <c r="L51" s="33" t="n">
        <v>45672.13055555556</v>
      </c>
      <c r="M51" s="34" t="n"/>
    </row>
    <row r="52">
      <c r="A52" t="inlineStr">
        <is>
          <t>LAB726589</t>
        </is>
      </c>
      <c r="B52" t="inlineStr">
        <is>
          <t>ENC111225</t>
        </is>
      </c>
      <c r="C52" t="inlineStr">
        <is>
          <t>WBC</t>
        </is>
      </c>
      <c r="D52" t="inlineStr">
        <is>
          <t>White Blood Cell Count</t>
        </is>
      </c>
      <c r="E52" t="n">
        <v>27.3</v>
      </c>
      <c r="F52" t="inlineStr">
        <is>
          <t>K/uL</t>
        </is>
      </c>
      <c r="G52" t="n">
        <v>4.5</v>
      </c>
      <c r="H52" t="n">
        <v>11</v>
      </c>
      <c r="I52" t="inlineStr">
        <is>
          <t>H</t>
        </is>
      </c>
      <c r="J52" t="inlineStr">
        <is>
          <t>STAT</t>
        </is>
      </c>
      <c r="K52" s="33" t="n">
        <v>45672.07916666667</v>
      </c>
      <c r="L52" s="33" t="n">
        <v>45672.13402777778</v>
      </c>
      <c r="M52" s="34" t="n"/>
    </row>
    <row r="53">
      <c r="A53" t="inlineStr">
        <is>
          <t>LAB726593</t>
        </is>
      </c>
      <c r="B53" t="inlineStr">
        <is>
          <t>ENC111225</t>
        </is>
      </c>
      <c r="C53" t="inlineStr">
        <is>
          <t>LACT</t>
        </is>
      </c>
      <c r="D53" t="inlineStr">
        <is>
          <t>Lactate</t>
        </is>
      </c>
      <c r="E53" t="n">
        <v>3.3</v>
      </c>
      <c r="F53" t="inlineStr">
        <is>
          <t>mmol/L</t>
        </is>
      </c>
      <c r="G53" t="n">
        <v>0.5</v>
      </c>
      <c r="H53" t="n">
        <v>2</v>
      </c>
      <c r="I53" t="inlineStr">
        <is>
          <t>H</t>
        </is>
      </c>
      <c r="J53" t="inlineStr">
        <is>
          <t>STAT</t>
        </is>
      </c>
      <c r="K53" s="33" t="n">
        <v>45672.09305555555</v>
      </c>
      <c r="L53" s="33" t="n">
        <v>45672.13541666666</v>
      </c>
      <c r="M53" s="34" t="n"/>
    </row>
    <row r="54">
      <c r="A54" t="inlineStr">
        <is>
          <t>LAB726592</t>
        </is>
      </c>
      <c r="B54" t="inlineStr">
        <is>
          <t>ENC111225</t>
        </is>
      </c>
      <c r="C54" t="inlineStr">
        <is>
          <t>K</t>
        </is>
      </c>
      <c r="D54" t="inlineStr">
        <is>
          <t>Potassium</t>
        </is>
      </c>
      <c r="E54" t="n">
        <v>4.3</v>
      </c>
      <c r="F54" t="inlineStr">
        <is>
          <t>mmol/L</t>
        </is>
      </c>
      <c r="G54" t="n">
        <v>3.5</v>
      </c>
      <c r="H54" t="n">
        <v>5.1</v>
      </c>
      <c r="I54" t="inlineStr">
        <is>
          <t>N</t>
        </is>
      </c>
      <c r="J54" t="inlineStr">
        <is>
          <t>STAT</t>
        </is>
      </c>
      <c r="K54" s="33" t="n">
        <v>45672.10625</v>
      </c>
      <c r="L54" s="33" t="n">
        <v>45672.17152777778</v>
      </c>
      <c r="M54" s="34" t="n"/>
    </row>
    <row r="55">
      <c r="A55" t="inlineStr">
        <is>
          <t>LAB726590</t>
        </is>
      </c>
      <c r="B55" t="inlineStr">
        <is>
          <t>ENC111225</t>
        </is>
      </c>
      <c r="C55" t="inlineStr">
        <is>
          <t>HGB</t>
        </is>
      </c>
      <c r="D55" t="inlineStr">
        <is>
          <t>Hemoglobin</t>
        </is>
      </c>
      <c r="E55" t="n">
        <v>12</v>
      </c>
      <c r="F55" t="inlineStr">
        <is>
          <t>g/dL</t>
        </is>
      </c>
      <c r="G55" t="n">
        <v>12</v>
      </c>
      <c r="H55" t="n">
        <v>17.5</v>
      </c>
      <c r="I55" t="inlineStr">
        <is>
          <t>N</t>
        </is>
      </c>
      <c r="J55" t="inlineStr">
        <is>
          <t>Routine</t>
        </is>
      </c>
      <c r="K55" s="33" t="n">
        <v>45672.12222222222</v>
      </c>
      <c r="L55" s="33" t="n">
        <v>45672.17708333334</v>
      </c>
      <c r="M55" s="34" t="n"/>
    </row>
    <row r="56">
      <c r="A56" t="inlineStr">
        <is>
          <t>LAB726588</t>
        </is>
      </c>
      <c r="B56" t="inlineStr">
        <is>
          <t>ENC111225</t>
        </is>
      </c>
      <c r="C56" t="inlineStr">
        <is>
          <t>CREAT</t>
        </is>
      </c>
      <c r="D56" t="inlineStr">
        <is>
          <t>Creatinine</t>
        </is>
      </c>
      <c r="E56" t="n">
        <v>0.42</v>
      </c>
      <c r="F56" t="inlineStr">
        <is>
          <t>mg/dL</t>
        </is>
      </c>
      <c r="G56" t="n">
        <v>0.6</v>
      </c>
      <c r="H56" t="n">
        <v>1.3</v>
      </c>
      <c r="I56" t="inlineStr">
        <is>
          <t>L</t>
        </is>
      </c>
      <c r="J56" t="inlineStr">
        <is>
          <t>Routine</t>
        </is>
      </c>
      <c r="K56" s="33" t="n">
        <v>45672.09375</v>
      </c>
      <c r="L56" s="33" t="n">
        <v>45672.26319444444</v>
      </c>
      <c r="M56" s="34" t="n"/>
    </row>
    <row r="57">
      <c r="A57" t="inlineStr">
        <is>
          <t>LAB726596</t>
        </is>
      </c>
      <c r="B57" t="inlineStr">
        <is>
          <t>ENC111227</t>
        </is>
      </c>
      <c r="C57" t="inlineStr">
        <is>
          <t>GLU</t>
        </is>
      </c>
      <c r="D57" t="inlineStr">
        <is>
          <t>Glucose</t>
        </is>
      </c>
      <c r="E57" t="n">
        <v>86</v>
      </c>
      <c r="F57" t="inlineStr">
        <is>
          <t>mg/dL</t>
        </is>
      </c>
      <c r="G57" t="n">
        <v>70</v>
      </c>
      <c r="H57" t="n">
        <v>99</v>
      </c>
      <c r="I57" t="inlineStr">
        <is>
          <t>N</t>
        </is>
      </c>
      <c r="J57" t="inlineStr">
        <is>
          <t>STAT</t>
        </is>
      </c>
      <c r="K57" s="33" t="n">
        <v>45672.44027777778</v>
      </c>
      <c r="L57" s="33" t="n">
        <v>45672.47013888889</v>
      </c>
      <c r="M57" s="34" t="n"/>
    </row>
    <row r="58">
      <c r="A58" t="inlineStr">
        <is>
          <t>LAB726600</t>
        </is>
      </c>
      <c r="B58" t="inlineStr">
        <is>
          <t>ENC111227</t>
        </is>
      </c>
      <c r="C58" t="inlineStr">
        <is>
          <t>LACT</t>
        </is>
      </c>
      <c r="D58" t="inlineStr">
        <is>
          <t>Lactate</t>
        </is>
      </c>
      <c r="E58" t="n">
        <v>5</v>
      </c>
      <c r="F58" t="inlineStr">
        <is>
          <t>mmol/L</t>
        </is>
      </c>
      <c r="G58" t="n">
        <v>0.5</v>
      </c>
      <c r="H58" t="n">
        <v>2</v>
      </c>
      <c r="I58" t="inlineStr">
        <is>
          <t>HH</t>
        </is>
      </c>
      <c r="J58" t="inlineStr">
        <is>
          <t>STAT</t>
        </is>
      </c>
      <c r="K58" s="33" t="n">
        <v>45672.43680555555</v>
      </c>
      <c r="L58" s="33" t="n">
        <v>45672.47083333333</v>
      </c>
      <c r="M58" s="34" t="n"/>
    </row>
    <row r="59">
      <c r="A59" t="inlineStr">
        <is>
          <t>LAB726599</t>
        </is>
      </c>
      <c r="B59" t="inlineStr">
        <is>
          <t>ENC111227</t>
        </is>
      </c>
      <c r="C59" t="inlineStr">
        <is>
          <t>HGB</t>
        </is>
      </c>
      <c r="D59" t="inlineStr">
        <is>
          <t>Hemoglobin</t>
        </is>
      </c>
      <c r="E59" t="n">
        <v>12.2</v>
      </c>
      <c r="F59" t="inlineStr">
        <is>
          <t>g/dL</t>
        </is>
      </c>
      <c r="G59" t="n">
        <v>12</v>
      </c>
      <c r="H59" t="n">
        <v>17.5</v>
      </c>
      <c r="I59" t="inlineStr">
        <is>
          <t>N</t>
        </is>
      </c>
      <c r="J59" t="inlineStr">
        <is>
          <t>STAT</t>
        </is>
      </c>
      <c r="K59" s="33" t="n">
        <v>45672.45138888889</v>
      </c>
      <c r="L59" s="33" t="n">
        <v>45672.49930555555</v>
      </c>
      <c r="M59" s="34" t="n"/>
    </row>
    <row r="60">
      <c r="A60" t="inlineStr">
        <is>
          <t>LAB726598</t>
        </is>
      </c>
      <c r="B60" t="inlineStr">
        <is>
          <t>ENC111227</t>
        </is>
      </c>
      <c r="C60" t="inlineStr">
        <is>
          <t>WBC</t>
        </is>
      </c>
      <c r="D60" t="inlineStr">
        <is>
          <t>White Blood Cell Count</t>
        </is>
      </c>
      <c r="E60" t="n">
        <v>22.2</v>
      </c>
      <c r="F60" t="inlineStr">
        <is>
          <t>K/uL</t>
        </is>
      </c>
      <c r="G60" t="n">
        <v>4.5</v>
      </c>
      <c r="H60" t="n">
        <v>11</v>
      </c>
      <c r="I60" t="inlineStr">
        <is>
          <t>H</t>
        </is>
      </c>
      <c r="J60" t="inlineStr">
        <is>
          <t>STAT</t>
        </is>
      </c>
      <c r="K60" s="33" t="n">
        <v>45672.48194444444</v>
      </c>
      <c r="L60" s="33" t="n">
        <v>45672.51805555556</v>
      </c>
      <c r="M60" s="34" t="n"/>
    </row>
    <row r="61">
      <c r="A61" t="inlineStr">
        <is>
          <t>LAB726597</t>
        </is>
      </c>
      <c r="B61" t="inlineStr">
        <is>
          <t>ENC111227</t>
        </is>
      </c>
      <c r="C61" t="inlineStr">
        <is>
          <t>CREAT</t>
        </is>
      </c>
      <c r="D61" t="inlineStr">
        <is>
          <t>Creatinine</t>
        </is>
      </c>
      <c r="E61" t="n">
        <v>2.67</v>
      </c>
      <c r="F61" t="inlineStr">
        <is>
          <t>mg/dL</t>
        </is>
      </c>
      <c r="G61" t="n">
        <v>0.6</v>
      </c>
      <c r="H61" t="n">
        <v>1.3</v>
      </c>
      <c r="I61" t="inlineStr">
        <is>
          <t>H</t>
        </is>
      </c>
      <c r="J61" t="inlineStr">
        <is>
          <t>Routine</t>
        </is>
      </c>
      <c r="K61" s="33" t="n">
        <v>45672.47638888889</v>
      </c>
      <c r="L61" s="33" t="n">
        <v>45672.55208333334</v>
      </c>
      <c r="M61" s="34" t="n"/>
    </row>
    <row r="62">
      <c r="A62" t="inlineStr">
        <is>
          <t>LAB726693</t>
        </is>
      </c>
      <c r="B62" t="inlineStr">
        <is>
          <t>ENC111261</t>
        </is>
      </c>
      <c r="C62" t="inlineStr">
        <is>
          <t>WBC</t>
        </is>
      </c>
      <c r="D62" t="inlineStr">
        <is>
          <t>White Blood Cell Count</t>
        </is>
      </c>
      <c r="E62" t="n">
        <v>3</v>
      </c>
      <c r="F62" t="inlineStr">
        <is>
          <t>K/uL</t>
        </is>
      </c>
      <c r="G62" t="n">
        <v>4.5</v>
      </c>
      <c r="H62" t="n">
        <v>11</v>
      </c>
      <c r="I62" t="inlineStr">
        <is>
          <t>L</t>
        </is>
      </c>
      <c r="J62" t="inlineStr">
        <is>
          <t>STAT</t>
        </is>
      </c>
      <c r="K62" s="33" t="n">
        <v>45673.51527777778</v>
      </c>
      <c r="L62" s="33" t="n">
        <v>45673.52986111111</v>
      </c>
      <c r="M62" s="34" t="n"/>
    </row>
    <row r="63">
      <c r="A63" t="inlineStr">
        <is>
          <t>LAB726697</t>
        </is>
      </c>
      <c r="B63" t="inlineStr">
        <is>
          <t>ENC111261</t>
        </is>
      </c>
      <c r="C63" t="inlineStr">
        <is>
          <t>LACT</t>
        </is>
      </c>
      <c r="D63" t="inlineStr">
        <is>
          <t>Lactate</t>
        </is>
      </c>
      <c r="E63" t="n">
        <v>6.6</v>
      </c>
      <c r="F63" t="inlineStr">
        <is>
          <t>mmol/L</t>
        </is>
      </c>
      <c r="G63" t="n">
        <v>0.5</v>
      </c>
      <c r="H63" t="n">
        <v>2</v>
      </c>
      <c r="I63" t="inlineStr">
        <is>
          <t>HH</t>
        </is>
      </c>
      <c r="J63" t="inlineStr">
        <is>
          <t>STAT</t>
        </is>
      </c>
      <c r="K63" s="33" t="n">
        <v>45673.50555555556</v>
      </c>
      <c r="L63" s="33" t="n">
        <v>45673.52986111111</v>
      </c>
      <c r="M63" s="34" t="n"/>
    </row>
    <row r="64">
      <c r="A64" t="inlineStr">
        <is>
          <t>LAB726696</t>
        </is>
      </c>
      <c r="B64" t="inlineStr">
        <is>
          <t>ENC111261</t>
        </is>
      </c>
      <c r="C64" t="inlineStr">
        <is>
          <t>K</t>
        </is>
      </c>
      <c r="D64" t="inlineStr">
        <is>
          <t>Potassium</t>
        </is>
      </c>
      <c r="E64" t="n">
        <v>4.1</v>
      </c>
      <c r="F64" t="inlineStr">
        <is>
          <t>mmol/L</t>
        </is>
      </c>
      <c r="G64" t="n">
        <v>3.5</v>
      </c>
      <c r="H64" t="n">
        <v>5.1</v>
      </c>
      <c r="I64" t="inlineStr">
        <is>
          <t>N</t>
        </is>
      </c>
      <c r="J64" t="inlineStr">
        <is>
          <t>STAT</t>
        </is>
      </c>
      <c r="K64" s="33" t="n">
        <v>45673.53055555555</v>
      </c>
      <c r="L64" s="33" t="n">
        <v>45673.55694444444</v>
      </c>
      <c r="M64" s="34" t="n"/>
    </row>
    <row r="65">
      <c r="A65" t="inlineStr">
        <is>
          <t>LAB726695</t>
        </is>
      </c>
      <c r="B65" t="inlineStr">
        <is>
          <t>ENC111261</t>
        </is>
      </c>
      <c r="C65" t="inlineStr">
        <is>
          <t>NA</t>
        </is>
      </c>
      <c r="D65" t="inlineStr">
        <is>
          <t>Sodium</t>
        </is>
      </c>
      <c r="E65" t="n">
        <v>143</v>
      </c>
      <c r="F65" t="inlineStr">
        <is>
          <t>mmol/L</t>
        </is>
      </c>
      <c r="G65" t="n">
        <v>136</v>
      </c>
      <c r="H65" t="n">
        <v>145</v>
      </c>
      <c r="I65" t="inlineStr">
        <is>
          <t>N</t>
        </is>
      </c>
      <c r="J65" t="inlineStr">
        <is>
          <t>STAT</t>
        </is>
      </c>
      <c r="K65" s="33" t="n">
        <v>45673.52013888889</v>
      </c>
      <c r="L65" s="33" t="n">
        <v>45673.58125</v>
      </c>
      <c r="M65" s="34" t="n"/>
    </row>
    <row r="66">
      <c r="A66" t="inlineStr">
        <is>
          <t>LAB726692</t>
        </is>
      </c>
      <c r="B66" t="inlineStr">
        <is>
          <t>ENC111261</t>
        </is>
      </c>
      <c r="C66" t="inlineStr">
        <is>
          <t>CREAT</t>
        </is>
      </c>
      <c r="D66" t="inlineStr">
        <is>
          <t>Creatinine</t>
        </is>
      </c>
      <c r="E66" t="n">
        <v>1.83</v>
      </c>
      <c r="F66" t="inlineStr">
        <is>
          <t>mg/dL</t>
        </is>
      </c>
      <c r="G66" t="n">
        <v>0.6</v>
      </c>
      <c r="H66" t="n">
        <v>1.3</v>
      </c>
      <c r="I66" t="inlineStr">
        <is>
          <t>H</t>
        </is>
      </c>
      <c r="J66" t="inlineStr">
        <is>
          <t>Routine</t>
        </is>
      </c>
      <c r="K66" s="33" t="n">
        <v>45673.51180555556</v>
      </c>
      <c r="L66" s="33" t="n">
        <v>45673.59236111111</v>
      </c>
      <c r="M66" s="34" t="n"/>
    </row>
    <row r="67">
      <c r="A67" t="inlineStr">
        <is>
          <t>LAB726694</t>
        </is>
      </c>
      <c r="B67" t="inlineStr">
        <is>
          <t>ENC111261</t>
        </is>
      </c>
      <c r="C67" t="inlineStr">
        <is>
          <t>HGB</t>
        </is>
      </c>
      <c r="D67" t="inlineStr">
        <is>
          <t>Hemoglobin</t>
        </is>
      </c>
      <c r="E67" t="n">
        <v>13.6</v>
      </c>
      <c r="F67" t="inlineStr">
        <is>
          <t>g/dL</t>
        </is>
      </c>
      <c r="G67" t="n">
        <v>12</v>
      </c>
      <c r="H67" t="n">
        <v>17.5</v>
      </c>
      <c r="I67" t="inlineStr">
        <is>
          <t>N</t>
        </is>
      </c>
      <c r="J67" t="inlineStr">
        <is>
          <t>Routine</t>
        </is>
      </c>
      <c r="K67" s="33" t="n">
        <v>45673.51458333333</v>
      </c>
      <c r="L67" s="33" t="n">
        <v>45673.65625</v>
      </c>
      <c r="M67" s="34" t="n"/>
    </row>
    <row r="68">
      <c r="A68" t="inlineStr">
        <is>
          <t>LAB726691</t>
        </is>
      </c>
      <c r="B68" t="inlineStr">
        <is>
          <t>ENC111261</t>
        </is>
      </c>
      <c r="C68" t="inlineStr">
        <is>
          <t>GLU</t>
        </is>
      </c>
      <c r="D68" t="inlineStr">
        <is>
          <t>Glucose</t>
        </is>
      </c>
      <c r="E68" t="n">
        <v>88</v>
      </c>
      <c r="F68" t="inlineStr">
        <is>
          <t>mg/dL</t>
        </is>
      </c>
      <c r="G68" t="n">
        <v>70</v>
      </c>
      <c r="H68" t="n">
        <v>99</v>
      </c>
      <c r="I68" t="inlineStr">
        <is>
          <t>N</t>
        </is>
      </c>
      <c r="J68" t="inlineStr">
        <is>
          <t>Routine</t>
        </is>
      </c>
      <c r="K68" s="33" t="n">
        <v>45673.51180555556</v>
      </c>
      <c r="L68" s="33" t="n">
        <v>45673.71388888889</v>
      </c>
      <c r="M68" s="34" t="n"/>
    </row>
    <row r="69">
      <c r="A69" t="inlineStr">
        <is>
          <t>LAB726770</t>
        </is>
      </c>
      <c r="B69" t="inlineStr">
        <is>
          <t>ENC111305</t>
        </is>
      </c>
      <c r="C69" t="inlineStr">
        <is>
          <t>GLU</t>
        </is>
      </c>
      <c r="D69" t="inlineStr">
        <is>
          <t>Glucose</t>
        </is>
      </c>
      <c r="E69" t="n">
        <v>99</v>
      </c>
      <c r="F69" t="inlineStr">
        <is>
          <t>mg/dL</t>
        </is>
      </c>
      <c r="G69" t="n">
        <v>70</v>
      </c>
      <c r="H69" t="n">
        <v>99</v>
      </c>
      <c r="I69" t="inlineStr">
        <is>
          <t>N</t>
        </is>
      </c>
      <c r="J69" t="inlineStr">
        <is>
          <t>STAT</t>
        </is>
      </c>
      <c r="K69" s="33" t="n">
        <v>45674.57708333333</v>
      </c>
      <c r="L69" s="33" t="n">
        <v>45674.60555555556</v>
      </c>
      <c r="M69" s="34" t="n"/>
    </row>
    <row r="70">
      <c r="A70" t="inlineStr">
        <is>
          <t>LAB726771</t>
        </is>
      </c>
      <c r="B70" t="inlineStr">
        <is>
          <t>ENC111305</t>
        </is>
      </c>
      <c r="C70" t="inlineStr">
        <is>
          <t>CREAT</t>
        </is>
      </c>
      <c r="D70" t="inlineStr">
        <is>
          <t>Creatinine</t>
        </is>
      </c>
      <c r="E70" t="n">
        <v>1.28</v>
      </c>
      <c r="F70" t="inlineStr">
        <is>
          <t>mg/dL</t>
        </is>
      </c>
      <c r="G70" t="n">
        <v>0.6</v>
      </c>
      <c r="H70" t="n">
        <v>1.3</v>
      </c>
      <c r="I70" t="inlineStr">
        <is>
          <t>N</t>
        </is>
      </c>
      <c r="J70" t="inlineStr">
        <is>
          <t>Routine</t>
        </is>
      </c>
      <c r="K70" s="33" t="n">
        <v>45674.56319444445</v>
      </c>
      <c r="L70" s="33" t="n">
        <v>45674.64027777778</v>
      </c>
      <c r="M70" s="34" t="n"/>
    </row>
    <row r="71">
      <c r="A71" t="inlineStr">
        <is>
          <t>LAB726774</t>
        </is>
      </c>
      <c r="B71" t="inlineStr">
        <is>
          <t>ENC111305</t>
        </is>
      </c>
      <c r="C71" t="inlineStr">
        <is>
          <t>INR</t>
        </is>
      </c>
      <c r="D71" t="inlineStr">
        <is>
          <t>Prothrombin Time INR</t>
        </is>
      </c>
      <c r="E71" t="n">
        <v>0.9</v>
      </c>
      <c r="F71" t="inlineStr">
        <is>
          <t>ratio</t>
        </is>
      </c>
      <c r="G71" t="n">
        <v>0.8</v>
      </c>
      <c r="H71" t="n">
        <v>1.2</v>
      </c>
      <c r="I71" t="inlineStr">
        <is>
          <t>N</t>
        </is>
      </c>
      <c r="J71" t="inlineStr">
        <is>
          <t>Routine</t>
        </is>
      </c>
      <c r="K71" s="33" t="n">
        <v>45674.53541666667</v>
      </c>
      <c r="L71" s="33" t="n">
        <v>45674.65833333333</v>
      </c>
      <c r="M71" s="34" t="n"/>
    </row>
    <row r="72">
      <c r="A72" t="inlineStr">
        <is>
          <t>LAB726773</t>
        </is>
      </c>
      <c r="B72" t="inlineStr">
        <is>
          <t>ENC111305</t>
        </is>
      </c>
      <c r="C72" t="inlineStr">
        <is>
          <t>HGB</t>
        </is>
      </c>
      <c r="D72" t="inlineStr">
        <is>
          <t>Hemoglobin</t>
        </is>
      </c>
      <c r="E72" t="n">
        <v>11</v>
      </c>
      <c r="F72" t="inlineStr">
        <is>
          <t>g/dL</t>
        </is>
      </c>
      <c r="G72" t="n">
        <v>12</v>
      </c>
      <c r="H72" t="n">
        <v>17.5</v>
      </c>
      <c r="I72" t="inlineStr">
        <is>
          <t>L</t>
        </is>
      </c>
      <c r="J72" t="inlineStr">
        <is>
          <t>Routine</t>
        </is>
      </c>
      <c r="K72" s="33" t="n">
        <v>45674.54861111111</v>
      </c>
      <c r="L72" s="33" t="n">
        <v>45674.69583333333</v>
      </c>
      <c r="M72" s="34" t="n"/>
    </row>
    <row r="73">
      <c r="A73" t="inlineStr">
        <is>
          <t>LAB726779</t>
        </is>
      </c>
      <c r="B73" t="inlineStr">
        <is>
          <t>ENC111312</t>
        </is>
      </c>
      <c r="C73" t="inlineStr">
        <is>
          <t>GLU</t>
        </is>
      </c>
      <c r="D73" t="inlineStr">
        <is>
          <t>Glucose</t>
        </is>
      </c>
      <c r="E73" t="n">
        <v>107</v>
      </c>
      <c r="F73" t="inlineStr">
        <is>
          <t>mg/dL</t>
        </is>
      </c>
      <c r="G73" t="n">
        <v>70</v>
      </c>
      <c r="H73" t="n">
        <v>99</v>
      </c>
      <c r="I73" t="inlineStr">
        <is>
          <t>H</t>
        </is>
      </c>
      <c r="J73" t="inlineStr">
        <is>
          <t>STAT</t>
        </is>
      </c>
      <c r="K73" s="33" t="n">
        <v>45674.67847222222</v>
      </c>
      <c r="L73" s="33" t="n">
        <v>45674.70347222222</v>
      </c>
      <c r="M73" s="34" t="n"/>
    </row>
    <row r="74">
      <c r="A74" t="inlineStr">
        <is>
          <t>LAB726783</t>
        </is>
      </c>
      <c r="B74" t="inlineStr">
        <is>
          <t>ENC111312</t>
        </is>
      </c>
      <c r="C74" t="inlineStr">
        <is>
          <t>LACT</t>
        </is>
      </c>
      <c r="D74" t="inlineStr">
        <is>
          <t>Lactate</t>
        </is>
      </c>
      <c r="E74" t="n">
        <v>3.1</v>
      </c>
      <c r="F74" t="inlineStr">
        <is>
          <t>mmol/L</t>
        </is>
      </c>
      <c r="G74" t="n">
        <v>0.5</v>
      </c>
      <c r="H74" t="n">
        <v>2</v>
      </c>
      <c r="I74" t="inlineStr">
        <is>
          <t>H</t>
        </is>
      </c>
      <c r="J74" t="inlineStr">
        <is>
          <t>STAT</t>
        </is>
      </c>
      <c r="K74" s="33" t="n">
        <v>45674.68125</v>
      </c>
      <c r="L74" s="33" t="n">
        <v>45674.70555555556</v>
      </c>
      <c r="M74" s="34" t="n"/>
    </row>
    <row r="75">
      <c r="A75" t="inlineStr">
        <is>
          <t>LAB726782</t>
        </is>
      </c>
      <c r="B75" t="inlineStr">
        <is>
          <t>ENC111312</t>
        </is>
      </c>
      <c r="C75" t="inlineStr">
        <is>
          <t>HGB</t>
        </is>
      </c>
      <c r="D75" t="inlineStr">
        <is>
          <t>Hemoglobin</t>
        </is>
      </c>
      <c r="E75" t="n">
        <v>14.8</v>
      </c>
      <c r="F75" t="inlineStr">
        <is>
          <t>g/dL</t>
        </is>
      </c>
      <c r="G75" t="n">
        <v>12</v>
      </c>
      <c r="H75" t="n">
        <v>17.5</v>
      </c>
      <c r="I75" t="inlineStr">
        <is>
          <t>N</t>
        </is>
      </c>
      <c r="J75" t="inlineStr">
        <is>
          <t>STAT</t>
        </is>
      </c>
      <c r="K75" s="33" t="n">
        <v>45674.69583333333</v>
      </c>
      <c r="L75" s="33" t="n">
        <v>45674.72291666667</v>
      </c>
      <c r="M75" s="34" t="n"/>
    </row>
    <row r="76">
      <c r="A76" t="inlineStr">
        <is>
          <t>LAB726781</t>
        </is>
      </c>
      <c r="B76" t="inlineStr">
        <is>
          <t>ENC111312</t>
        </is>
      </c>
      <c r="C76" t="inlineStr">
        <is>
          <t>WBC</t>
        </is>
      </c>
      <c r="D76" t="inlineStr">
        <is>
          <t>White Blood Cell Count</t>
        </is>
      </c>
      <c r="E76" t="n">
        <v>5.4</v>
      </c>
      <c r="F76" t="inlineStr">
        <is>
          <t>K/uL</t>
        </is>
      </c>
      <c r="G76" t="n">
        <v>4.5</v>
      </c>
      <c r="H76" t="n">
        <v>11</v>
      </c>
      <c r="I76" t="inlineStr">
        <is>
          <t>N</t>
        </is>
      </c>
      <c r="J76" t="inlineStr">
        <is>
          <t>STAT</t>
        </is>
      </c>
      <c r="K76" s="33" t="n">
        <v>45674.69097222222</v>
      </c>
      <c r="L76" s="33" t="n">
        <v>45674.72361111111</v>
      </c>
      <c r="M76" s="34" t="n"/>
    </row>
    <row r="77">
      <c r="A77" t="inlineStr">
        <is>
          <t>LAB726772</t>
        </is>
      </c>
      <c r="B77" t="inlineStr">
        <is>
          <t>ENC111305</t>
        </is>
      </c>
      <c r="C77" t="inlineStr">
        <is>
          <t>WBC</t>
        </is>
      </c>
      <c r="D77" t="inlineStr">
        <is>
          <t>White Blood Cell Count</t>
        </is>
      </c>
      <c r="E77" t="n">
        <v>3.9</v>
      </c>
      <c r="F77" t="inlineStr">
        <is>
          <t>K/uL</t>
        </is>
      </c>
      <c r="G77" t="n">
        <v>4.5</v>
      </c>
      <c r="H77" t="n">
        <v>11</v>
      </c>
      <c r="I77" t="inlineStr">
        <is>
          <t>L</t>
        </is>
      </c>
      <c r="J77" t="inlineStr">
        <is>
          <t>Routine</t>
        </is>
      </c>
      <c r="K77" s="33" t="n">
        <v>45674.60208333333</v>
      </c>
      <c r="L77" s="33" t="n">
        <v>45674.75694444445</v>
      </c>
      <c r="M77" s="34" t="n"/>
    </row>
    <row r="78">
      <c r="A78" t="inlineStr">
        <is>
          <t>LAB726780</t>
        </is>
      </c>
      <c r="B78" t="inlineStr">
        <is>
          <t>ENC111312</t>
        </is>
      </c>
      <c r="C78" t="inlineStr">
        <is>
          <t>CREAT</t>
        </is>
      </c>
      <c r="D78" t="inlineStr">
        <is>
          <t>Creatinine</t>
        </is>
      </c>
      <c r="E78" t="n">
        <v>0.93</v>
      </c>
      <c r="F78" t="inlineStr">
        <is>
          <t>mg/dL</t>
        </is>
      </c>
      <c r="G78" t="n">
        <v>0.6</v>
      </c>
      <c r="H78" t="n">
        <v>1.3</v>
      </c>
      <c r="I78" t="inlineStr">
        <is>
          <t>N</t>
        </is>
      </c>
      <c r="J78" t="inlineStr">
        <is>
          <t>Routine</t>
        </is>
      </c>
      <c r="K78" s="33" t="n">
        <v>45674.71875</v>
      </c>
      <c r="L78" s="33" t="n">
        <v>45674.96527777778</v>
      </c>
      <c r="M78" s="34" t="n"/>
    </row>
    <row r="79">
      <c r="A79" t="inlineStr">
        <is>
          <t>LAB727044</t>
        </is>
      </c>
      <c r="B79" t="inlineStr">
        <is>
          <t>ENC111402</t>
        </is>
      </c>
      <c r="C79" t="inlineStr">
        <is>
          <t>LACT</t>
        </is>
      </c>
      <c r="D79" t="inlineStr">
        <is>
          <t>Lactate</t>
        </is>
      </c>
      <c r="E79" t="n">
        <v>1.9</v>
      </c>
      <c r="F79" t="inlineStr">
        <is>
          <t>mmol/L</t>
        </is>
      </c>
      <c r="G79" t="n">
        <v>0.5</v>
      </c>
      <c r="H79" t="n">
        <v>2</v>
      </c>
      <c r="I79" t="inlineStr">
        <is>
          <t>N</t>
        </is>
      </c>
      <c r="J79" t="inlineStr">
        <is>
          <t>STAT</t>
        </is>
      </c>
      <c r="K79" s="33" t="n">
        <v>45677.78472222222</v>
      </c>
      <c r="L79" s="33" t="n">
        <v>45677.80555555555</v>
      </c>
      <c r="M79" s="34" t="n"/>
    </row>
    <row r="80">
      <c r="A80" t="inlineStr">
        <is>
          <t>LAB727042</t>
        </is>
      </c>
      <c r="B80" t="inlineStr">
        <is>
          <t>ENC111402</t>
        </is>
      </c>
      <c r="C80" t="inlineStr">
        <is>
          <t>WBC</t>
        </is>
      </c>
      <c r="D80" t="inlineStr">
        <is>
          <t>White Blood Cell Count</t>
        </is>
      </c>
      <c r="E80" t="n">
        <v>14</v>
      </c>
      <c r="F80" t="inlineStr">
        <is>
          <t>K/uL</t>
        </is>
      </c>
      <c r="G80" t="n">
        <v>4.5</v>
      </c>
      <c r="H80" t="n">
        <v>11</v>
      </c>
      <c r="I80" t="inlineStr">
        <is>
          <t>H</t>
        </is>
      </c>
      <c r="J80" t="inlineStr">
        <is>
          <t>STAT</t>
        </is>
      </c>
      <c r="K80" s="33" t="n">
        <v>45677.77430555555</v>
      </c>
      <c r="L80" s="33" t="n">
        <v>45677.80625</v>
      </c>
      <c r="M80" s="34" t="n"/>
    </row>
    <row r="81">
      <c r="A81" t="inlineStr">
        <is>
          <t>LAB727041</t>
        </is>
      </c>
      <c r="B81" t="inlineStr">
        <is>
          <t>ENC111402</t>
        </is>
      </c>
      <c r="C81" t="inlineStr">
        <is>
          <t>CREAT</t>
        </is>
      </c>
      <c r="D81" t="inlineStr">
        <is>
          <t>Creatinine</t>
        </is>
      </c>
      <c r="E81" t="n">
        <v>1.03</v>
      </c>
      <c r="F81" t="inlineStr">
        <is>
          <t>mg/dL</t>
        </is>
      </c>
      <c r="G81" t="n">
        <v>0.6</v>
      </c>
      <c r="H81" t="n">
        <v>1.3</v>
      </c>
      <c r="I81" t="inlineStr">
        <is>
          <t>N</t>
        </is>
      </c>
      <c r="J81" t="inlineStr">
        <is>
          <t>STAT</t>
        </is>
      </c>
      <c r="K81" s="33" t="n">
        <v>45677.80972222222</v>
      </c>
      <c r="L81" s="33" t="n">
        <v>45677.83055555556</v>
      </c>
      <c r="M81" s="34" t="n"/>
    </row>
    <row r="82">
      <c r="A82" t="inlineStr">
        <is>
          <t>LAB727055</t>
        </is>
      </c>
      <c r="B82" t="inlineStr">
        <is>
          <t>ENC111409</t>
        </is>
      </c>
      <c r="C82" t="inlineStr">
        <is>
          <t>WBC</t>
        </is>
      </c>
      <c r="D82" t="inlineStr">
        <is>
          <t>White Blood Cell Count</t>
        </is>
      </c>
      <c r="E82" t="n">
        <v>7.3</v>
      </c>
      <c r="F82" t="inlineStr">
        <is>
          <t>K/uL</t>
        </is>
      </c>
      <c r="G82" t="n">
        <v>4.5</v>
      </c>
      <c r="H82" t="n">
        <v>11</v>
      </c>
      <c r="I82" t="inlineStr">
        <is>
          <t>N</t>
        </is>
      </c>
      <c r="J82" t="inlineStr">
        <is>
          <t>STAT</t>
        </is>
      </c>
      <c r="K82" s="33" t="n">
        <v>45677.82083333333</v>
      </c>
      <c r="L82" s="33" t="n">
        <v>45677.84375</v>
      </c>
      <c r="M82" s="34" t="n"/>
    </row>
    <row r="83">
      <c r="A83" t="inlineStr">
        <is>
          <t>LAB727057</t>
        </is>
      </c>
      <c r="B83" t="inlineStr">
        <is>
          <t>ENC111409</t>
        </is>
      </c>
      <c r="C83" t="inlineStr">
        <is>
          <t>LACT</t>
        </is>
      </c>
      <c r="D83" t="inlineStr">
        <is>
          <t>Lactate</t>
        </is>
      </c>
      <c r="E83" t="n">
        <v>1.1</v>
      </c>
      <c r="F83" t="inlineStr">
        <is>
          <t>mmol/L</t>
        </is>
      </c>
      <c r="G83" t="n">
        <v>0.5</v>
      </c>
      <c r="H83" t="n">
        <v>2</v>
      </c>
      <c r="I83" t="inlineStr">
        <is>
          <t>N</t>
        </is>
      </c>
      <c r="J83" t="inlineStr">
        <is>
          <t>STAT</t>
        </is>
      </c>
      <c r="K83" s="33" t="n">
        <v>45677.81875</v>
      </c>
      <c r="L83" s="33" t="n">
        <v>45677.86527777778</v>
      </c>
      <c r="M83" s="34" t="n"/>
    </row>
    <row r="84">
      <c r="A84" t="inlineStr">
        <is>
          <t>LAB727056</t>
        </is>
      </c>
      <c r="B84" t="inlineStr">
        <is>
          <t>ENC111409</t>
        </is>
      </c>
      <c r="C84" t="inlineStr">
        <is>
          <t>HGB</t>
        </is>
      </c>
      <c r="D84" t="inlineStr">
        <is>
          <t>Hemoglobin</t>
        </is>
      </c>
      <c r="E84" t="n">
        <v>10.6</v>
      </c>
      <c r="F84" t="inlineStr">
        <is>
          <t>g/dL</t>
        </is>
      </c>
      <c r="G84" t="n">
        <v>12</v>
      </c>
      <c r="H84" t="n">
        <v>17.5</v>
      </c>
      <c r="I84" t="inlineStr">
        <is>
          <t>L</t>
        </is>
      </c>
      <c r="J84" t="inlineStr">
        <is>
          <t>STAT</t>
        </is>
      </c>
      <c r="K84" s="33" t="n">
        <v>45677.8375</v>
      </c>
      <c r="L84" s="33" t="n">
        <v>45677.87083333333</v>
      </c>
      <c r="M84" s="34" t="n"/>
    </row>
    <row r="85">
      <c r="A85" t="inlineStr">
        <is>
          <t>LAB727053</t>
        </is>
      </c>
      <c r="B85" t="inlineStr">
        <is>
          <t>ENC111409</t>
        </is>
      </c>
      <c r="C85" t="inlineStr">
        <is>
          <t>GLU</t>
        </is>
      </c>
      <c r="D85" t="inlineStr">
        <is>
          <t>Glucose</t>
        </is>
      </c>
      <c r="E85" t="n">
        <v>108</v>
      </c>
      <c r="F85" t="inlineStr">
        <is>
          <t>mg/dL</t>
        </is>
      </c>
      <c r="G85" t="n">
        <v>70</v>
      </c>
      <c r="H85" t="n">
        <v>99</v>
      </c>
      <c r="I85" t="inlineStr">
        <is>
          <t>H</t>
        </is>
      </c>
      <c r="J85" t="inlineStr">
        <is>
          <t>STAT</t>
        </is>
      </c>
      <c r="K85" s="33" t="n">
        <v>45677.83680555555</v>
      </c>
      <c r="L85" s="33" t="n">
        <v>45677.87222222222</v>
      </c>
      <c r="M85" s="34" t="n"/>
    </row>
    <row r="86">
      <c r="A86" t="inlineStr">
        <is>
          <t>LAB727043</t>
        </is>
      </c>
      <c r="B86" t="inlineStr">
        <is>
          <t>ENC111402</t>
        </is>
      </c>
      <c r="C86" t="inlineStr">
        <is>
          <t>HGB</t>
        </is>
      </c>
      <c r="D86" t="inlineStr">
        <is>
          <t>Hemoglobin</t>
        </is>
      </c>
      <c r="E86" t="n">
        <v>11.5</v>
      </c>
      <c r="F86" t="inlineStr">
        <is>
          <t>g/dL</t>
        </is>
      </c>
      <c r="G86" t="n">
        <v>12</v>
      </c>
      <c r="H86" t="n">
        <v>17.5</v>
      </c>
      <c r="I86" t="inlineStr">
        <is>
          <t>L</t>
        </is>
      </c>
      <c r="J86" t="inlineStr">
        <is>
          <t>Routine</t>
        </is>
      </c>
      <c r="K86" s="33" t="n">
        <v>45677.78819444445</v>
      </c>
      <c r="L86" s="33" t="n">
        <v>45677.92430555556</v>
      </c>
      <c r="M86" s="34" t="n"/>
    </row>
    <row r="87">
      <c r="A87" t="inlineStr">
        <is>
          <t>LAB727040</t>
        </is>
      </c>
      <c r="B87" t="inlineStr">
        <is>
          <t>ENC111402</t>
        </is>
      </c>
      <c r="C87" t="inlineStr">
        <is>
          <t>GLU</t>
        </is>
      </c>
      <c r="D87" t="inlineStr">
        <is>
          <t>Glucose</t>
        </is>
      </c>
      <c r="E87" t="n">
        <v>181</v>
      </c>
      <c r="F87" t="inlineStr">
        <is>
          <t>mg/dL</t>
        </is>
      </c>
      <c r="G87" t="n">
        <v>70</v>
      </c>
      <c r="H87" t="n">
        <v>99</v>
      </c>
      <c r="I87" t="inlineStr">
        <is>
          <t>H</t>
        </is>
      </c>
      <c r="J87" t="inlineStr">
        <is>
          <t>Routine</t>
        </is>
      </c>
      <c r="K87" s="33" t="n">
        <v>45677.79583333333</v>
      </c>
      <c r="L87" s="33" t="n">
        <v>45678.04444444444</v>
      </c>
      <c r="M87" s="34" t="n"/>
    </row>
    <row r="88">
      <c r="A88" t="inlineStr">
        <is>
          <t>LAB727054</t>
        </is>
      </c>
      <c r="B88" t="inlineStr">
        <is>
          <t>ENC111409</t>
        </is>
      </c>
      <c r="C88" t="inlineStr">
        <is>
          <t>CREAT</t>
        </is>
      </c>
      <c r="D88" t="inlineStr">
        <is>
          <t>Creatinine</t>
        </is>
      </c>
      <c r="E88" t="n">
        <v>0.7</v>
      </c>
      <c r="F88" t="inlineStr">
        <is>
          <t>mg/dL</t>
        </is>
      </c>
      <c r="G88" t="n">
        <v>0.6</v>
      </c>
      <c r="H88" t="n">
        <v>1.3</v>
      </c>
      <c r="I88" t="inlineStr">
        <is>
          <t>N</t>
        </is>
      </c>
      <c r="J88" t="inlineStr">
        <is>
          <t>Routine</t>
        </is>
      </c>
      <c r="K88" s="33" t="n">
        <v>45677.85694444444</v>
      </c>
      <c r="L88" s="33" t="n">
        <v>45678.17777777778</v>
      </c>
      <c r="M88" s="34" t="n"/>
    </row>
    <row r="89">
      <c r="A89" t="inlineStr">
        <is>
          <t>LAB727149</t>
        </is>
      </c>
      <c r="B89" t="inlineStr">
        <is>
          <t>ENC111441</t>
        </is>
      </c>
      <c r="C89" t="inlineStr">
        <is>
          <t>WBC</t>
        </is>
      </c>
      <c r="D89" t="inlineStr">
        <is>
          <t>White Blood Cell Count</t>
        </is>
      </c>
      <c r="E89" t="n">
        <v>7.5</v>
      </c>
      <c r="F89" t="inlineStr">
        <is>
          <t>K/uL</t>
        </is>
      </c>
      <c r="G89" t="n">
        <v>4.5</v>
      </c>
      <c r="H89" t="n">
        <v>11</v>
      </c>
      <c r="I89" t="inlineStr">
        <is>
          <t>N</t>
        </is>
      </c>
      <c r="J89" t="inlineStr">
        <is>
          <t>STAT</t>
        </is>
      </c>
      <c r="K89" s="33" t="n">
        <v>45678.84097222222</v>
      </c>
      <c r="L89" s="33" t="n">
        <v>45678.86388888889</v>
      </c>
      <c r="M89" s="34" t="n"/>
    </row>
    <row r="90">
      <c r="A90" t="inlineStr">
        <is>
          <t>LAB727151</t>
        </is>
      </c>
      <c r="B90" t="inlineStr">
        <is>
          <t>ENC111441</t>
        </is>
      </c>
      <c r="C90" t="inlineStr">
        <is>
          <t>LACT</t>
        </is>
      </c>
      <c r="D90" t="inlineStr">
        <is>
          <t>Lactate</t>
        </is>
      </c>
      <c r="E90" t="n">
        <v>1.6</v>
      </c>
      <c r="F90" t="inlineStr">
        <is>
          <t>mmol/L</t>
        </is>
      </c>
      <c r="G90" t="n">
        <v>0.5</v>
      </c>
      <c r="H90" t="n">
        <v>2</v>
      </c>
      <c r="I90" t="inlineStr">
        <is>
          <t>N</t>
        </is>
      </c>
      <c r="J90" t="inlineStr">
        <is>
          <t>STAT</t>
        </is>
      </c>
      <c r="K90" s="33" t="n">
        <v>45678.80833333333</v>
      </c>
      <c r="L90" s="33" t="n">
        <v>45678.875</v>
      </c>
      <c r="M90" s="34" t="n"/>
    </row>
    <row r="91">
      <c r="A91" t="inlineStr">
        <is>
          <t>LAB727147</t>
        </is>
      </c>
      <c r="B91" t="inlineStr">
        <is>
          <t>ENC111441</t>
        </is>
      </c>
      <c r="C91" t="inlineStr">
        <is>
          <t>GLU</t>
        </is>
      </c>
      <c r="D91" t="inlineStr">
        <is>
          <t>Glucose</t>
        </is>
      </c>
      <c r="E91" t="n">
        <v>113</v>
      </c>
      <c r="F91" t="inlineStr">
        <is>
          <t>mg/dL</t>
        </is>
      </c>
      <c r="G91" t="n">
        <v>70</v>
      </c>
      <c r="H91" t="n">
        <v>99</v>
      </c>
      <c r="I91" t="inlineStr">
        <is>
          <t>H</t>
        </is>
      </c>
      <c r="J91" t="inlineStr">
        <is>
          <t>STAT</t>
        </is>
      </c>
      <c r="K91" s="33" t="n">
        <v>45678.84097222222</v>
      </c>
      <c r="L91" s="33" t="n">
        <v>45678.87708333333</v>
      </c>
      <c r="M91" s="34" t="n"/>
    </row>
    <row r="92">
      <c r="A92" t="inlineStr">
        <is>
          <t>LAB727148</t>
        </is>
      </c>
      <c r="B92" t="inlineStr">
        <is>
          <t>ENC111441</t>
        </is>
      </c>
      <c r="C92" t="inlineStr">
        <is>
          <t>CREAT</t>
        </is>
      </c>
      <c r="D92" t="inlineStr">
        <is>
          <t>Creatinine</t>
        </is>
      </c>
      <c r="E92" t="n">
        <v>1.09</v>
      </c>
      <c r="F92" t="inlineStr">
        <is>
          <t>mg/dL</t>
        </is>
      </c>
      <c r="G92" t="n">
        <v>0.6</v>
      </c>
      <c r="H92" t="n">
        <v>1.3</v>
      </c>
      <c r="I92" t="inlineStr">
        <is>
          <t>N</t>
        </is>
      </c>
      <c r="J92" t="inlineStr">
        <is>
          <t>Routine</t>
        </is>
      </c>
      <c r="K92" s="33" t="n">
        <v>45678.82361111111</v>
      </c>
      <c r="L92" s="33" t="n">
        <v>45678.94027777778</v>
      </c>
      <c r="M92" s="34" t="n"/>
    </row>
    <row r="93">
      <c r="A93" t="inlineStr">
        <is>
          <t>LAB727150</t>
        </is>
      </c>
      <c r="B93" t="inlineStr">
        <is>
          <t>ENC111441</t>
        </is>
      </c>
      <c r="C93" t="inlineStr">
        <is>
          <t>HGB</t>
        </is>
      </c>
      <c r="D93" t="inlineStr">
        <is>
          <t>Hemoglobin</t>
        </is>
      </c>
      <c r="E93" t="n">
        <v>12.3</v>
      </c>
      <c r="F93" t="inlineStr">
        <is>
          <t>g/dL</t>
        </is>
      </c>
      <c r="G93" t="n">
        <v>12</v>
      </c>
      <c r="H93" t="n">
        <v>17.5</v>
      </c>
      <c r="I93" t="inlineStr">
        <is>
          <t>N</t>
        </is>
      </c>
      <c r="J93" t="inlineStr">
        <is>
          <t>Routine</t>
        </is>
      </c>
      <c r="K93" s="33" t="n">
        <v>45678.86805555555</v>
      </c>
      <c r="L93" s="33" t="n">
        <v>45678.95486111111</v>
      </c>
      <c r="M93" s="34" t="n"/>
    </row>
    <row r="94">
      <c r="A94" t="inlineStr">
        <is>
          <t>LAB727519</t>
        </is>
      </c>
      <c r="B94" t="inlineStr">
        <is>
          <t>ENC111612</t>
        </is>
      </c>
      <c r="C94" t="inlineStr">
        <is>
          <t>LACT</t>
        </is>
      </c>
      <c r="D94" t="inlineStr">
        <is>
          <t>Lactate</t>
        </is>
      </c>
      <c r="E94" t="n">
        <v>1.8</v>
      </c>
      <c r="F94" t="inlineStr">
        <is>
          <t>mmol/L</t>
        </is>
      </c>
      <c r="G94" t="n">
        <v>0.5</v>
      </c>
      <c r="H94" t="n">
        <v>2</v>
      </c>
      <c r="I94" t="inlineStr">
        <is>
          <t>N</t>
        </is>
      </c>
      <c r="J94" t="inlineStr">
        <is>
          <t>STAT</t>
        </is>
      </c>
      <c r="K94" s="33" t="n">
        <v>45683.38333333333</v>
      </c>
      <c r="L94" s="33" t="n">
        <v>45683.40763888889</v>
      </c>
      <c r="M94" s="34" t="n"/>
    </row>
    <row r="95">
      <c r="A95" t="inlineStr">
        <is>
          <t>LAB727518</t>
        </is>
      </c>
      <c r="B95" t="inlineStr">
        <is>
          <t>ENC111612</t>
        </is>
      </c>
      <c r="C95" t="inlineStr">
        <is>
          <t>HGB</t>
        </is>
      </c>
      <c r="D95" t="inlineStr">
        <is>
          <t>Hemoglobin</t>
        </is>
      </c>
      <c r="E95" t="n">
        <v>9</v>
      </c>
      <c r="F95" t="inlineStr">
        <is>
          <t>g/dL</t>
        </is>
      </c>
      <c r="G95" t="n">
        <v>12</v>
      </c>
      <c r="H95" t="n">
        <v>17.5</v>
      </c>
      <c r="I95" t="inlineStr">
        <is>
          <t>L</t>
        </is>
      </c>
      <c r="J95" t="inlineStr">
        <is>
          <t>STAT</t>
        </is>
      </c>
      <c r="K95" s="33" t="n">
        <v>45683.40277777778</v>
      </c>
      <c r="L95" s="33" t="n">
        <v>45683.4375</v>
      </c>
      <c r="M95" s="34" t="n"/>
    </row>
    <row r="96">
      <c r="A96" t="inlineStr">
        <is>
          <t>LAB727516</t>
        </is>
      </c>
      <c r="B96" t="inlineStr">
        <is>
          <t>ENC111612</t>
        </is>
      </c>
      <c r="C96" t="inlineStr">
        <is>
          <t>CREAT</t>
        </is>
      </c>
      <c r="D96" t="inlineStr">
        <is>
          <t>Creatinine</t>
        </is>
      </c>
      <c r="E96" t="n">
        <v>0.92</v>
      </c>
      <c r="F96" t="inlineStr">
        <is>
          <t>mg/dL</t>
        </is>
      </c>
      <c r="G96" t="n">
        <v>0.6</v>
      </c>
      <c r="H96" t="n">
        <v>1.3</v>
      </c>
      <c r="I96" t="inlineStr">
        <is>
          <t>N</t>
        </is>
      </c>
      <c r="J96" t="inlineStr">
        <is>
          <t>STAT</t>
        </is>
      </c>
      <c r="K96" s="33" t="n">
        <v>45683.41458333333</v>
      </c>
      <c r="L96" s="33" t="n">
        <v>45683.44097222222</v>
      </c>
      <c r="M96" s="34" t="n"/>
    </row>
    <row r="97">
      <c r="A97" t="inlineStr">
        <is>
          <t>LAB727520</t>
        </is>
      </c>
      <c r="B97" t="inlineStr">
        <is>
          <t>ENC111612</t>
        </is>
      </c>
      <c r="C97" t="inlineStr">
        <is>
          <t>INR</t>
        </is>
      </c>
      <c r="D97" t="inlineStr">
        <is>
          <t>Prothrombin Time INR</t>
        </is>
      </c>
      <c r="E97" t="n">
        <v>1.1</v>
      </c>
      <c r="F97" t="inlineStr">
        <is>
          <t>ratio</t>
        </is>
      </c>
      <c r="G97" t="n">
        <v>0.8</v>
      </c>
      <c r="H97" t="n">
        <v>1.2</v>
      </c>
      <c r="I97" t="inlineStr">
        <is>
          <t>N</t>
        </is>
      </c>
      <c r="J97" t="inlineStr">
        <is>
          <t>STAT</t>
        </is>
      </c>
      <c r="K97" s="33" t="n">
        <v>45683.41458333333</v>
      </c>
      <c r="L97" s="33" t="n">
        <v>45683.44513888889</v>
      </c>
      <c r="M97" s="34" t="n"/>
    </row>
    <row r="98">
      <c r="A98" t="inlineStr">
        <is>
          <t>LAB727515</t>
        </is>
      </c>
      <c r="B98" t="inlineStr">
        <is>
          <t>ENC111612</t>
        </is>
      </c>
      <c r="C98" t="inlineStr">
        <is>
          <t>GLU</t>
        </is>
      </c>
      <c r="D98" t="inlineStr">
        <is>
          <t>Glucose</t>
        </is>
      </c>
      <c r="E98" t="n">
        <v>96</v>
      </c>
      <c r="F98" t="inlineStr">
        <is>
          <t>mg/dL</t>
        </is>
      </c>
      <c r="G98" t="n">
        <v>70</v>
      </c>
      <c r="H98" t="n">
        <v>99</v>
      </c>
      <c r="I98" t="inlineStr">
        <is>
          <t>N</t>
        </is>
      </c>
      <c r="J98" t="inlineStr">
        <is>
          <t>Routine</t>
        </is>
      </c>
      <c r="K98" s="33" t="n">
        <v>45683.41805555556</v>
      </c>
      <c r="L98" s="33" t="n">
        <v>45683.45555555556</v>
      </c>
      <c r="M98" s="34" t="n"/>
    </row>
    <row r="99">
      <c r="A99" t="inlineStr">
        <is>
          <t>LAB727517</t>
        </is>
      </c>
      <c r="B99" t="inlineStr">
        <is>
          <t>ENC111612</t>
        </is>
      </c>
      <c r="C99" t="inlineStr">
        <is>
          <t>WBC</t>
        </is>
      </c>
      <c r="D99" t="inlineStr">
        <is>
          <t>White Blood Cell Count</t>
        </is>
      </c>
      <c r="E99" t="n">
        <v>4.9</v>
      </c>
      <c r="F99" t="inlineStr">
        <is>
          <t>K/uL</t>
        </is>
      </c>
      <c r="G99" t="n">
        <v>4.5</v>
      </c>
      <c r="H99" t="n">
        <v>11</v>
      </c>
      <c r="I99" t="inlineStr">
        <is>
          <t>N</t>
        </is>
      </c>
      <c r="J99" t="inlineStr">
        <is>
          <t>STAT</t>
        </is>
      </c>
      <c r="K99" s="33" t="n">
        <v>45683.41736111111</v>
      </c>
      <c r="L99" s="33" t="n">
        <v>45683.47777777778</v>
      </c>
      <c r="M99" s="34" t="n"/>
    </row>
    <row r="100">
      <c r="A100" t="inlineStr">
        <is>
          <t>LAB727612</t>
        </is>
      </c>
      <c r="B100" t="inlineStr">
        <is>
          <t>ENC111644</t>
        </is>
      </c>
      <c r="C100" t="inlineStr">
        <is>
          <t>LACT</t>
        </is>
      </c>
      <c r="D100" t="inlineStr">
        <is>
          <t>Lactate</t>
        </is>
      </c>
      <c r="E100" t="n">
        <v>2.2</v>
      </c>
      <c r="F100" t="inlineStr">
        <is>
          <t>mmol/L</t>
        </is>
      </c>
      <c r="G100" t="n">
        <v>0.5</v>
      </c>
      <c r="H100" t="n">
        <v>2</v>
      </c>
      <c r="I100" t="inlineStr">
        <is>
          <t>H</t>
        </is>
      </c>
      <c r="J100" t="inlineStr">
        <is>
          <t>STAT</t>
        </is>
      </c>
      <c r="K100" s="33" t="n">
        <v>45684.39930555555</v>
      </c>
      <c r="L100" s="33" t="n">
        <v>45684.41944444444</v>
      </c>
      <c r="M100" s="34" t="n"/>
    </row>
    <row r="101">
      <c r="A101" t="inlineStr">
        <is>
          <t>LAB727609</t>
        </is>
      </c>
      <c r="B101" t="inlineStr">
        <is>
          <t>ENC111644</t>
        </is>
      </c>
      <c r="C101" t="inlineStr">
        <is>
          <t>HGB</t>
        </is>
      </c>
      <c r="D101" t="inlineStr">
        <is>
          <t>Hemoglobin</t>
        </is>
      </c>
      <c r="E101" t="n">
        <v>15</v>
      </c>
      <c r="F101" t="inlineStr">
        <is>
          <t>g/dL</t>
        </is>
      </c>
      <c r="G101" t="n">
        <v>12</v>
      </c>
      <c r="H101" t="n">
        <v>17.5</v>
      </c>
      <c r="I101" t="inlineStr">
        <is>
          <t>N</t>
        </is>
      </c>
      <c r="J101" t="inlineStr">
        <is>
          <t>Routine</t>
        </is>
      </c>
      <c r="K101" s="33" t="n">
        <v>45684.37569444445</v>
      </c>
      <c r="L101" s="33" t="n">
        <v>45684.45347222222</v>
      </c>
      <c r="M101" s="34" t="n"/>
    </row>
    <row r="102">
      <c r="A102" t="inlineStr">
        <is>
          <t>LAB727611</t>
        </is>
      </c>
      <c r="B102" t="inlineStr">
        <is>
          <t>ENC111644</t>
        </is>
      </c>
      <c r="C102" t="inlineStr">
        <is>
          <t>K</t>
        </is>
      </c>
      <c r="D102" t="inlineStr">
        <is>
          <t>Potassium</t>
        </is>
      </c>
      <c r="E102" t="n">
        <v>4.3</v>
      </c>
      <c r="F102" t="inlineStr">
        <is>
          <t>mmol/L</t>
        </is>
      </c>
      <c r="G102" t="n">
        <v>3.5</v>
      </c>
      <c r="H102" t="n">
        <v>5.1</v>
      </c>
      <c r="I102" t="inlineStr">
        <is>
          <t>N</t>
        </is>
      </c>
      <c r="J102" t="inlineStr">
        <is>
          <t>STAT</t>
        </is>
      </c>
      <c r="K102" s="33" t="n">
        <v>45684.41805555556</v>
      </c>
      <c r="L102" s="33" t="n">
        <v>45684.45694444444</v>
      </c>
      <c r="M102" s="34" t="n"/>
    </row>
    <row r="103">
      <c r="A103" t="inlineStr">
        <is>
          <t>LAB727610</t>
        </is>
      </c>
      <c r="B103" t="inlineStr">
        <is>
          <t>ENC111644</t>
        </is>
      </c>
      <c r="C103" t="inlineStr">
        <is>
          <t>NA</t>
        </is>
      </c>
      <c r="D103" t="inlineStr">
        <is>
          <t>Sodium</t>
        </is>
      </c>
      <c r="E103" t="n">
        <v>141</v>
      </c>
      <c r="F103" t="inlineStr">
        <is>
          <t>mmol/L</t>
        </is>
      </c>
      <c r="G103" t="n">
        <v>136</v>
      </c>
      <c r="H103" t="n">
        <v>145</v>
      </c>
      <c r="I103" t="inlineStr">
        <is>
          <t>N</t>
        </is>
      </c>
      <c r="J103" t="inlineStr">
        <is>
          <t>Routine</t>
        </is>
      </c>
      <c r="K103" s="33" t="n">
        <v>45684.39236111111</v>
      </c>
      <c r="L103" s="33" t="n">
        <v>45684.47222222222</v>
      </c>
      <c r="M103" s="34" t="n"/>
    </row>
    <row r="104">
      <c r="A104" t="inlineStr">
        <is>
          <t>LAB727606</t>
        </is>
      </c>
      <c r="B104" t="inlineStr">
        <is>
          <t>ENC111644</t>
        </is>
      </c>
      <c r="C104" t="inlineStr">
        <is>
          <t>GLU</t>
        </is>
      </c>
      <c r="D104" t="inlineStr">
        <is>
          <t>Glucose</t>
        </is>
      </c>
      <c r="E104" t="n">
        <v>79</v>
      </c>
      <c r="F104" t="inlineStr">
        <is>
          <t>mg/dL</t>
        </is>
      </c>
      <c r="G104" t="n">
        <v>70</v>
      </c>
      <c r="H104" t="n">
        <v>99</v>
      </c>
      <c r="I104" t="inlineStr">
        <is>
          <t>N</t>
        </is>
      </c>
      <c r="J104" t="inlineStr">
        <is>
          <t>STAT</t>
        </is>
      </c>
      <c r="K104" s="33" t="n">
        <v>45684.41805555556</v>
      </c>
      <c r="L104" s="33" t="n">
        <v>45684.47777777778</v>
      </c>
      <c r="M104" s="34" t="n"/>
    </row>
    <row r="105">
      <c r="A105" t="inlineStr">
        <is>
          <t>LAB727607</t>
        </is>
      </c>
      <c r="B105" t="inlineStr">
        <is>
          <t>ENC111644</t>
        </is>
      </c>
      <c r="C105" t="inlineStr">
        <is>
          <t>CREAT</t>
        </is>
      </c>
      <c r="D105" t="inlineStr">
        <is>
          <t>Creatinine</t>
        </is>
      </c>
      <c r="E105" t="n">
        <v>1.4</v>
      </c>
      <c r="F105" t="inlineStr">
        <is>
          <t>mg/dL</t>
        </is>
      </c>
      <c r="G105" t="n">
        <v>0.6</v>
      </c>
      <c r="H105" t="n">
        <v>1.3</v>
      </c>
      <c r="I105" t="inlineStr">
        <is>
          <t>H</t>
        </is>
      </c>
      <c r="J105" t="inlineStr">
        <is>
          <t>Routine</t>
        </is>
      </c>
      <c r="K105" s="33" t="n">
        <v>45684.38680555556</v>
      </c>
      <c r="L105" s="33" t="n">
        <v>45684.58611111111</v>
      </c>
      <c r="M105" s="34" t="n"/>
    </row>
    <row r="106">
      <c r="A106" t="inlineStr">
        <is>
          <t>LAB727608</t>
        </is>
      </c>
      <c r="B106" t="inlineStr">
        <is>
          <t>ENC111644</t>
        </is>
      </c>
      <c r="C106" t="inlineStr">
        <is>
          <t>WBC</t>
        </is>
      </c>
      <c r="D106" t="inlineStr">
        <is>
          <t>White Blood Cell Count</t>
        </is>
      </c>
      <c r="E106" t="n">
        <v>8.800000000000001</v>
      </c>
      <c r="F106" t="inlineStr">
        <is>
          <t>K/uL</t>
        </is>
      </c>
      <c r="G106" t="n">
        <v>4.5</v>
      </c>
      <c r="H106" t="n">
        <v>11</v>
      </c>
      <c r="I106" t="inlineStr">
        <is>
          <t>N</t>
        </is>
      </c>
      <c r="J106" t="inlineStr">
        <is>
          <t>Routine</t>
        </is>
      </c>
      <c r="K106" s="33" t="n">
        <v>45684.40416666667</v>
      </c>
      <c r="L106" s="33" t="n">
        <v>45684.61180555556</v>
      </c>
      <c r="M106" s="34" t="n"/>
    </row>
    <row r="107">
      <c r="A107" t="inlineStr">
        <is>
          <t>LAB727725</t>
        </is>
      </c>
      <c r="B107" t="inlineStr">
        <is>
          <t>ENC111707</t>
        </is>
      </c>
      <c r="C107" t="inlineStr">
        <is>
          <t>LACT</t>
        </is>
      </c>
      <c r="D107" t="inlineStr">
        <is>
          <t>Lactate</t>
        </is>
      </c>
      <c r="E107" t="n">
        <v>1.7</v>
      </c>
      <c r="F107" t="inlineStr">
        <is>
          <t>mmol/L</t>
        </is>
      </c>
      <c r="G107" t="n">
        <v>0.5</v>
      </c>
      <c r="H107" t="n">
        <v>2</v>
      </c>
      <c r="I107" t="inlineStr">
        <is>
          <t>N</t>
        </is>
      </c>
      <c r="J107" t="inlineStr">
        <is>
          <t>STAT</t>
        </is>
      </c>
      <c r="K107" s="33" t="n">
        <v>45685.81944444445</v>
      </c>
      <c r="L107" s="33" t="n">
        <v>45685.8375</v>
      </c>
      <c r="M107" s="34" t="n"/>
    </row>
    <row r="108">
      <c r="A108" t="inlineStr">
        <is>
          <t>LAB727721</t>
        </is>
      </c>
      <c r="B108" t="inlineStr">
        <is>
          <t>ENC111707</t>
        </is>
      </c>
      <c r="C108" t="inlineStr">
        <is>
          <t>GLU</t>
        </is>
      </c>
      <c r="D108" t="inlineStr">
        <is>
          <t>Glucose</t>
        </is>
      </c>
      <c r="E108" t="n">
        <v>125</v>
      </c>
      <c r="F108" t="inlineStr">
        <is>
          <t>mg/dL</t>
        </is>
      </c>
      <c r="G108" t="n">
        <v>70</v>
      </c>
      <c r="H108" t="n">
        <v>99</v>
      </c>
      <c r="I108" t="inlineStr">
        <is>
          <t>H</t>
        </is>
      </c>
      <c r="J108" t="inlineStr">
        <is>
          <t>STAT</t>
        </is>
      </c>
      <c r="K108" s="33" t="n">
        <v>45685.80902777778</v>
      </c>
      <c r="L108" s="33" t="n">
        <v>45685.84236111111</v>
      </c>
      <c r="M108" s="34" t="n"/>
    </row>
    <row r="109">
      <c r="A109" t="inlineStr">
        <is>
          <t>LAB727723</t>
        </is>
      </c>
      <c r="B109" t="inlineStr">
        <is>
          <t>ENC111707</t>
        </is>
      </c>
      <c r="C109" t="inlineStr">
        <is>
          <t>WBC</t>
        </is>
      </c>
      <c r="D109" t="inlineStr">
        <is>
          <t>White Blood Cell Count</t>
        </is>
      </c>
      <c r="E109" t="n">
        <v>8.800000000000001</v>
      </c>
      <c r="F109" t="inlineStr">
        <is>
          <t>K/uL</t>
        </is>
      </c>
      <c r="G109" t="n">
        <v>4.5</v>
      </c>
      <c r="H109" t="n">
        <v>11</v>
      </c>
      <c r="I109" t="inlineStr">
        <is>
          <t>N</t>
        </is>
      </c>
      <c r="J109" t="inlineStr">
        <is>
          <t>Routine</t>
        </is>
      </c>
      <c r="K109" s="33" t="n">
        <v>45685.85069444445</v>
      </c>
      <c r="L109" s="33" t="n">
        <v>45685.92152777778</v>
      </c>
      <c r="M109" s="34" t="n"/>
    </row>
    <row r="110">
      <c r="A110" t="inlineStr">
        <is>
          <t>LAB727722</t>
        </is>
      </c>
      <c r="B110" t="inlineStr">
        <is>
          <t>ENC111707</t>
        </is>
      </c>
      <c r="C110" t="inlineStr">
        <is>
          <t>CREAT</t>
        </is>
      </c>
      <c r="D110" t="inlineStr">
        <is>
          <t>Creatinine</t>
        </is>
      </c>
      <c r="E110" t="n">
        <v>1</v>
      </c>
      <c r="F110" t="inlineStr">
        <is>
          <t>mg/dL</t>
        </is>
      </c>
      <c r="G110" t="n">
        <v>0.6</v>
      </c>
      <c r="H110" t="n">
        <v>1.3</v>
      </c>
      <c r="I110" t="inlineStr">
        <is>
          <t>N</t>
        </is>
      </c>
      <c r="J110" t="inlineStr">
        <is>
          <t>STAT</t>
        </is>
      </c>
      <c r="K110" s="33" t="n">
        <v>45685.85555555556</v>
      </c>
      <c r="L110" s="33" t="n">
        <v>45685.94791666666</v>
      </c>
      <c r="M110" s="34" t="n"/>
    </row>
    <row r="111">
      <c r="A111" t="inlineStr">
        <is>
          <t>LAB727724</t>
        </is>
      </c>
      <c r="B111" t="inlineStr">
        <is>
          <t>ENC111707</t>
        </is>
      </c>
      <c r="C111" t="inlineStr">
        <is>
          <t>HGB</t>
        </is>
      </c>
      <c r="D111" t="inlineStr">
        <is>
          <t>Hemoglobin</t>
        </is>
      </c>
      <c r="E111" t="n">
        <v>8.9</v>
      </c>
      <c r="F111" t="inlineStr">
        <is>
          <t>g/dL</t>
        </is>
      </c>
      <c r="G111" t="n">
        <v>12</v>
      </c>
      <c r="H111" t="n">
        <v>17.5</v>
      </c>
      <c r="I111" t="inlineStr">
        <is>
          <t>L</t>
        </is>
      </c>
      <c r="J111" t="inlineStr">
        <is>
          <t>Routine</t>
        </is>
      </c>
      <c r="K111" s="33" t="n">
        <v>45685.84861111111</v>
      </c>
      <c r="L111" s="33" t="n">
        <v>45686.01111111111</v>
      </c>
      <c r="M111" s="34" t="n"/>
    </row>
    <row r="112">
      <c r="A112" t="inlineStr">
        <is>
          <t>LAB727957</t>
        </is>
      </c>
      <c r="B112" t="inlineStr">
        <is>
          <t>ENC111813</t>
        </is>
      </c>
      <c r="C112" t="inlineStr">
        <is>
          <t>GLU</t>
        </is>
      </c>
      <c r="D112" t="inlineStr">
        <is>
          <t>Glucose</t>
        </is>
      </c>
      <c r="E112" t="n">
        <v>139</v>
      </c>
      <c r="F112" t="inlineStr">
        <is>
          <t>mg/dL</t>
        </is>
      </c>
      <c r="G112" t="n">
        <v>70</v>
      </c>
      <c r="H112" t="n">
        <v>99</v>
      </c>
      <c r="I112" t="inlineStr">
        <is>
          <t>H</t>
        </is>
      </c>
      <c r="J112" t="inlineStr">
        <is>
          <t>STAT</t>
        </is>
      </c>
      <c r="K112" s="33" t="n">
        <v>45688.02222222222</v>
      </c>
      <c r="L112" s="33" t="n">
        <v>45688.05138888889</v>
      </c>
      <c r="M112" s="34" t="n"/>
    </row>
    <row r="113">
      <c r="A113" t="inlineStr">
        <is>
          <t>LAB727961</t>
        </is>
      </c>
      <c r="B113" t="inlineStr">
        <is>
          <t>ENC111813</t>
        </is>
      </c>
      <c r="C113" t="inlineStr">
        <is>
          <t>LACT</t>
        </is>
      </c>
      <c r="D113" t="inlineStr">
        <is>
          <t>Lactate</t>
        </is>
      </c>
      <c r="E113" t="n">
        <v>0.9</v>
      </c>
      <c r="F113" t="inlineStr">
        <is>
          <t>mmol/L</t>
        </is>
      </c>
      <c r="G113" t="n">
        <v>0.5</v>
      </c>
      <c r="H113" t="n">
        <v>2</v>
      </c>
      <c r="I113" t="inlineStr">
        <is>
          <t>N</t>
        </is>
      </c>
      <c r="J113" t="inlineStr">
        <is>
          <t>STAT</t>
        </is>
      </c>
      <c r="K113" s="33" t="n">
        <v>45688.03472222222</v>
      </c>
      <c r="L113" s="33" t="n">
        <v>45688.06805555556</v>
      </c>
      <c r="M113" s="34" t="n"/>
    </row>
    <row r="114">
      <c r="A114" t="inlineStr">
        <is>
          <t>LAB727958</t>
        </is>
      </c>
      <c r="B114" t="inlineStr">
        <is>
          <t>ENC111813</t>
        </is>
      </c>
      <c r="C114" t="inlineStr">
        <is>
          <t>CREAT</t>
        </is>
      </c>
      <c r="D114" t="inlineStr">
        <is>
          <t>Creatinine</t>
        </is>
      </c>
      <c r="E114" t="n">
        <v>2.01</v>
      </c>
      <c r="F114" t="inlineStr">
        <is>
          <t>mg/dL</t>
        </is>
      </c>
      <c r="G114" t="n">
        <v>0.6</v>
      </c>
      <c r="H114" t="n">
        <v>1.3</v>
      </c>
      <c r="I114" t="inlineStr">
        <is>
          <t>H</t>
        </is>
      </c>
      <c r="J114" t="inlineStr">
        <is>
          <t>STAT</t>
        </is>
      </c>
      <c r="K114" s="33" t="n">
        <v>45688.04027777778</v>
      </c>
      <c r="L114" s="33" t="n">
        <v>45688.08541666667</v>
      </c>
      <c r="M114" s="34" t="n"/>
    </row>
    <row r="115">
      <c r="A115" t="inlineStr">
        <is>
          <t>LAB727959</t>
        </is>
      </c>
      <c r="B115" t="inlineStr">
        <is>
          <t>ENC111813</t>
        </is>
      </c>
      <c r="C115" t="inlineStr">
        <is>
          <t>WBC</t>
        </is>
      </c>
      <c r="D115" t="inlineStr">
        <is>
          <t>White Blood Cell Count</t>
        </is>
      </c>
      <c r="E115" t="n">
        <v>13.2</v>
      </c>
      <c r="F115" t="inlineStr">
        <is>
          <t>K/uL</t>
        </is>
      </c>
      <c r="G115" t="n">
        <v>4.5</v>
      </c>
      <c r="H115" t="n">
        <v>11</v>
      </c>
      <c r="I115" t="inlineStr">
        <is>
          <t>H</t>
        </is>
      </c>
      <c r="J115" t="inlineStr">
        <is>
          <t>Routine</t>
        </is>
      </c>
      <c r="K115" s="33" t="n">
        <v>45688.05138888889</v>
      </c>
      <c r="L115" s="33" t="n">
        <v>45688.11041666667</v>
      </c>
      <c r="M115" s="34" t="n"/>
    </row>
    <row r="116">
      <c r="A116" t="inlineStr">
        <is>
          <t>LAB727960</t>
        </is>
      </c>
      <c r="B116" t="inlineStr">
        <is>
          <t>ENC111813</t>
        </is>
      </c>
      <c r="C116" t="inlineStr">
        <is>
          <t>HGB</t>
        </is>
      </c>
      <c r="D116" t="inlineStr">
        <is>
          <t>Hemoglobin</t>
        </is>
      </c>
      <c r="E116" t="n">
        <v>16.6</v>
      </c>
      <c r="F116" t="inlineStr">
        <is>
          <t>g/dL</t>
        </is>
      </c>
      <c r="G116" t="n">
        <v>12</v>
      </c>
      <c r="H116" t="n">
        <v>17.5</v>
      </c>
      <c r="I116" t="inlineStr">
        <is>
          <t>N</t>
        </is>
      </c>
      <c r="J116" t="inlineStr">
        <is>
          <t>Routine</t>
        </is>
      </c>
      <c r="K116" s="33" t="n">
        <v>45688.02708333333</v>
      </c>
      <c r="L116" s="33" t="n">
        <v>45688.16875</v>
      </c>
      <c r="M116" s="34" t="n"/>
    </row>
    <row r="117">
      <c r="A117" t="inlineStr">
        <is>
          <t>LAB728154</t>
        </is>
      </c>
      <c r="B117" t="inlineStr">
        <is>
          <t>ENC111880</t>
        </is>
      </c>
      <c r="C117" t="inlineStr">
        <is>
          <t>HGB</t>
        </is>
      </c>
      <c r="D117" t="inlineStr">
        <is>
          <t>Hemoglobin</t>
        </is>
      </c>
      <c r="E117" t="n">
        <v>12.1</v>
      </c>
      <c r="F117" t="inlineStr">
        <is>
          <t>g/dL</t>
        </is>
      </c>
      <c r="G117" t="n">
        <v>12</v>
      </c>
      <c r="H117" t="n">
        <v>17.5</v>
      </c>
      <c r="I117" t="inlineStr">
        <is>
          <t>N</t>
        </is>
      </c>
      <c r="J117" t="inlineStr">
        <is>
          <t>STAT</t>
        </is>
      </c>
      <c r="K117" s="33" t="n">
        <v>45690.50347222222</v>
      </c>
      <c r="L117" s="33" t="n">
        <v>45690.53472222222</v>
      </c>
      <c r="M117" s="34" t="n"/>
    </row>
    <row r="118">
      <c r="A118" t="inlineStr">
        <is>
          <t>LAB728153</t>
        </is>
      </c>
      <c r="B118" t="inlineStr">
        <is>
          <t>ENC111880</t>
        </is>
      </c>
      <c r="C118" t="inlineStr">
        <is>
          <t>WBC</t>
        </is>
      </c>
      <c r="D118" t="inlineStr">
        <is>
          <t>White Blood Cell Count</t>
        </is>
      </c>
      <c r="E118" t="n">
        <v>12.8</v>
      </c>
      <c r="F118" t="inlineStr">
        <is>
          <t>K/uL</t>
        </is>
      </c>
      <c r="G118" t="n">
        <v>4.5</v>
      </c>
      <c r="H118" t="n">
        <v>11</v>
      </c>
      <c r="I118" t="inlineStr">
        <is>
          <t>H</t>
        </is>
      </c>
      <c r="J118" t="inlineStr">
        <is>
          <t>STAT</t>
        </is>
      </c>
      <c r="K118" s="33" t="n">
        <v>45690.51041666666</v>
      </c>
      <c r="L118" s="33" t="n">
        <v>45690.54513888889</v>
      </c>
      <c r="M118" s="34" t="n"/>
    </row>
    <row r="119">
      <c r="A119" t="inlineStr">
        <is>
          <t>LAB728155</t>
        </is>
      </c>
      <c r="B119" t="inlineStr">
        <is>
          <t>ENC111880</t>
        </is>
      </c>
      <c r="C119" t="inlineStr">
        <is>
          <t>LACT</t>
        </is>
      </c>
      <c r="D119" t="inlineStr">
        <is>
          <t>Lactate</t>
        </is>
      </c>
      <c r="E119" t="n">
        <v>6.3</v>
      </c>
      <c r="F119" t="inlineStr">
        <is>
          <t>mmol/L</t>
        </is>
      </c>
      <c r="G119" t="n">
        <v>0.5</v>
      </c>
      <c r="H119" t="n">
        <v>2</v>
      </c>
      <c r="I119" t="inlineStr">
        <is>
          <t>HH</t>
        </is>
      </c>
      <c r="J119" t="inlineStr">
        <is>
          <t>STAT</t>
        </is>
      </c>
      <c r="K119" s="33" t="n">
        <v>45690.52569444444</v>
      </c>
      <c r="L119" s="33" t="n">
        <v>45690.57013888889</v>
      </c>
      <c r="M119" s="34" t="n"/>
    </row>
    <row r="120">
      <c r="A120" t="inlineStr">
        <is>
          <t>LAB728152</t>
        </is>
      </c>
      <c r="B120" t="inlineStr">
        <is>
          <t>ENC111880</t>
        </is>
      </c>
      <c r="C120" t="inlineStr">
        <is>
          <t>CREAT</t>
        </is>
      </c>
      <c r="D120" t="inlineStr">
        <is>
          <t>Creatinine</t>
        </is>
      </c>
      <c r="E120" t="n">
        <v>1.64</v>
      </c>
      <c r="F120" t="inlineStr">
        <is>
          <t>mg/dL</t>
        </is>
      </c>
      <c r="G120" t="n">
        <v>0.6</v>
      </c>
      <c r="H120" t="n">
        <v>1.3</v>
      </c>
      <c r="I120" t="inlineStr">
        <is>
          <t>H</t>
        </is>
      </c>
      <c r="J120" t="inlineStr">
        <is>
          <t>Routine</t>
        </is>
      </c>
      <c r="K120" s="33" t="n">
        <v>45690.52916666667</v>
      </c>
      <c r="L120" s="33" t="n">
        <v>45690.57430555556</v>
      </c>
      <c r="M120" s="34" t="n"/>
    </row>
    <row r="121">
      <c r="A121" t="inlineStr">
        <is>
          <t>LAB728151</t>
        </is>
      </c>
      <c r="B121" t="inlineStr">
        <is>
          <t>ENC111880</t>
        </is>
      </c>
      <c r="C121" t="inlineStr">
        <is>
          <t>GLU</t>
        </is>
      </c>
      <c r="D121" t="inlineStr">
        <is>
          <t>Glucose</t>
        </is>
      </c>
      <c r="E121" t="n">
        <v>128</v>
      </c>
      <c r="F121" t="inlineStr">
        <is>
          <t>mg/dL</t>
        </is>
      </c>
      <c r="G121" t="n">
        <v>70</v>
      </c>
      <c r="H121" t="n">
        <v>99</v>
      </c>
      <c r="I121" t="inlineStr">
        <is>
          <t>H</t>
        </is>
      </c>
      <c r="J121" t="inlineStr">
        <is>
          <t>Routine</t>
        </is>
      </c>
      <c r="K121" s="33" t="n">
        <v>45690.53819444445</v>
      </c>
      <c r="L121" s="33" t="n">
        <v>45690.66319444445</v>
      </c>
      <c r="M121" s="34" t="n"/>
    </row>
    <row r="122">
      <c r="A122" t="inlineStr">
        <is>
          <t>LAB728175</t>
        </is>
      </c>
      <c r="B122" t="inlineStr">
        <is>
          <t>ENC111886</t>
        </is>
      </c>
      <c r="C122" t="inlineStr">
        <is>
          <t>LACT</t>
        </is>
      </c>
      <c r="D122" t="inlineStr">
        <is>
          <t>Lactate</t>
        </is>
      </c>
      <c r="E122" t="n">
        <v>2.2</v>
      </c>
      <c r="F122" t="inlineStr">
        <is>
          <t>mmol/L</t>
        </is>
      </c>
      <c r="G122" t="n">
        <v>0.5</v>
      </c>
      <c r="H122" t="n">
        <v>2</v>
      </c>
      <c r="I122" t="inlineStr">
        <is>
          <t>H</t>
        </is>
      </c>
      <c r="J122" t="inlineStr">
        <is>
          <t>STAT</t>
        </is>
      </c>
      <c r="K122" s="33" t="n">
        <v>45690.89305555556</v>
      </c>
      <c r="L122" s="33" t="n">
        <v>45690.90972222222</v>
      </c>
      <c r="M122" s="34" t="n"/>
    </row>
    <row r="123">
      <c r="A123" t="inlineStr">
        <is>
          <t>LAB728172</t>
        </is>
      </c>
      <c r="B123" t="inlineStr">
        <is>
          <t>ENC111886</t>
        </is>
      </c>
      <c r="C123" t="inlineStr">
        <is>
          <t>CREAT</t>
        </is>
      </c>
      <c r="D123" t="inlineStr">
        <is>
          <t>Creatinine</t>
        </is>
      </c>
      <c r="E123" t="n">
        <v>1.05</v>
      </c>
      <c r="F123" t="inlineStr">
        <is>
          <t>mg/dL</t>
        </is>
      </c>
      <c r="G123" t="n">
        <v>0.6</v>
      </c>
      <c r="H123" t="n">
        <v>1.3</v>
      </c>
      <c r="I123" t="inlineStr">
        <is>
          <t>N</t>
        </is>
      </c>
      <c r="J123" t="inlineStr">
        <is>
          <t>STAT</t>
        </is>
      </c>
      <c r="K123" s="33" t="n">
        <v>45690.90416666667</v>
      </c>
      <c r="L123" s="33" t="n">
        <v>45690.93888888889</v>
      </c>
      <c r="M123" s="34" t="n"/>
    </row>
    <row r="124">
      <c r="A124" t="inlineStr">
        <is>
          <t>LAB728171</t>
        </is>
      </c>
      <c r="B124" t="inlineStr">
        <is>
          <t>ENC111886</t>
        </is>
      </c>
      <c r="C124" t="inlineStr">
        <is>
          <t>GLU</t>
        </is>
      </c>
      <c r="D124" t="inlineStr">
        <is>
          <t>Glucose</t>
        </is>
      </c>
      <c r="E124" t="n">
        <v>114</v>
      </c>
      <c r="F124" t="inlineStr">
        <is>
          <t>mg/dL</t>
        </is>
      </c>
      <c r="G124" t="n">
        <v>70</v>
      </c>
      <c r="H124" t="n">
        <v>99</v>
      </c>
      <c r="I124" t="inlineStr">
        <is>
          <t>H</t>
        </is>
      </c>
      <c r="J124" t="inlineStr">
        <is>
          <t>STAT</t>
        </is>
      </c>
      <c r="K124" s="33" t="n">
        <v>45690.91319444445</v>
      </c>
      <c r="L124" s="33" t="n">
        <v>45690.94305555556</v>
      </c>
      <c r="M124" s="34" t="n"/>
    </row>
    <row r="125">
      <c r="A125" t="inlineStr">
        <is>
          <t>LAB728173</t>
        </is>
      </c>
      <c r="B125" t="inlineStr">
        <is>
          <t>ENC111886</t>
        </is>
      </c>
      <c r="C125" t="inlineStr">
        <is>
          <t>WBC</t>
        </is>
      </c>
      <c r="D125" t="inlineStr">
        <is>
          <t>White Blood Cell Count</t>
        </is>
      </c>
      <c r="E125" t="n">
        <v>8.6</v>
      </c>
      <c r="F125" t="inlineStr">
        <is>
          <t>K/uL</t>
        </is>
      </c>
      <c r="G125" t="n">
        <v>4.5</v>
      </c>
      <c r="H125" t="n">
        <v>11</v>
      </c>
      <c r="I125" t="inlineStr">
        <is>
          <t>N</t>
        </is>
      </c>
      <c r="J125" t="inlineStr">
        <is>
          <t>Routine</t>
        </is>
      </c>
      <c r="K125" s="33" t="n">
        <v>45690.89791666667</v>
      </c>
      <c r="L125" s="33" t="n">
        <v>45690.99305555555</v>
      </c>
      <c r="M125" s="34" t="n"/>
    </row>
    <row r="126">
      <c r="A126" t="inlineStr">
        <is>
          <t>LAB728174</t>
        </is>
      </c>
      <c r="B126" t="inlineStr">
        <is>
          <t>ENC111886</t>
        </is>
      </c>
      <c r="C126" t="inlineStr">
        <is>
          <t>HGB</t>
        </is>
      </c>
      <c r="D126" t="inlineStr">
        <is>
          <t>Hemoglobin</t>
        </is>
      </c>
      <c r="E126" t="n">
        <v>13.6</v>
      </c>
      <c r="F126" t="inlineStr">
        <is>
          <t>g/dL</t>
        </is>
      </c>
      <c r="G126" t="n">
        <v>12</v>
      </c>
      <c r="H126" t="n">
        <v>17.5</v>
      </c>
      <c r="I126" t="inlineStr">
        <is>
          <t>N</t>
        </is>
      </c>
      <c r="J126" t="inlineStr">
        <is>
          <t>Routine</t>
        </is>
      </c>
      <c r="K126" s="33" t="n">
        <v>45690.86736111111</v>
      </c>
      <c r="L126" s="33" t="n">
        <v>45691.03472222222</v>
      </c>
      <c r="M126" s="34" t="n"/>
    </row>
    <row r="127">
      <c r="A127" t="inlineStr">
        <is>
          <t>LAB728223</t>
        </is>
      </c>
      <c r="B127" t="inlineStr">
        <is>
          <t>ENC111903</t>
        </is>
      </c>
      <c r="C127" t="inlineStr">
        <is>
          <t>PLT</t>
        </is>
      </c>
      <c r="D127" t="inlineStr">
        <is>
          <t>Platelet Count</t>
        </is>
      </c>
      <c r="E127" t="n">
        <v>350</v>
      </c>
      <c r="F127" t="inlineStr">
        <is>
          <t>K/uL</t>
        </is>
      </c>
      <c r="G127" t="n">
        <v>150</v>
      </c>
      <c r="H127" t="n">
        <v>400</v>
      </c>
      <c r="I127" t="inlineStr">
        <is>
          <t>N</t>
        </is>
      </c>
      <c r="J127" t="inlineStr">
        <is>
          <t>STAT</t>
        </is>
      </c>
      <c r="K127" s="33" t="n">
        <v>45691.44583333333</v>
      </c>
      <c r="L127" s="33" t="n">
        <v>45691.46180555555</v>
      </c>
      <c r="M127" s="34" t="n"/>
    </row>
    <row r="128">
      <c r="A128" t="inlineStr">
        <is>
          <t>LAB728218</t>
        </is>
      </c>
      <c r="B128" t="inlineStr">
        <is>
          <t>ENC111903</t>
        </is>
      </c>
      <c r="C128" t="inlineStr">
        <is>
          <t>GLU</t>
        </is>
      </c>
      <c r="D128" t="inlineStr">
        <is>
          <t>Glucose</t>
        </is>
      </c>
      <c r="E128" t="n">
        <v>129</v>
      </c>
      <c r="F128" t="inlineStr">
        <is>
          <t>mg/dL</t>
        </is>
      </c>
      <c r="G128" t="n">
        <v>70</v>
      </c>
      <c r="H128" t="n">
        <v>99</v>
      </c>
      <c r="I128" t="inlineStr">
        <is>
          <t>H</t>
        </is>
      </c>
      <c r="J128" t="inlineStr">
        <is>
          <t>STAT</t>
        </is>
      </c>
      <c r="K128" s="33" t="n">
        <v>45691.44722222222</v>
      </c>
      <c r="L128" s="33" t="n">
        <v>45691.46666666667</v>
      </c>
      <c r="M128" s="34" t="n"/>
    </row>
    <row r="129">
      <c r="A129" t="inlineStr">
        <is>
          <t>LAB728220</t>
        </is>
      </c>
      <c r="B129" t="inlineStr">
        <is>
          <t>ENC111903</t>
        </is>
      </c>
      <c r="C129" t="inlineStr">
        <is>
          <t>WBC</t>
        </is>
      </c>
      <c r="D129" t="inlineStr">
        <is>
          <t>White Blood Cell Count</t>
        </is>
      </c>
      <c r="E129" t="n">
        <v>20.4</v>
      </c>
      <c r="F129" t="inlineStr">
        <is>
          <t>K/uL</t>
        </is>
      </c>
      <c r="G129" t="n">
        <v>4.5</v>
      </c>
      <c r="H129" t="n">
        <v>11</v>
      </c>
      <c r="I129" t="inlineStr">
        <is>
          <t>H</t>
        </is>
      </c>
      <c r="J129" t="inlineStr">
        <is>
          <t>STAT</t>
        </is>
      </c>
      <c r="K129" s="33" t="n">
        <v>45691.44027777778</v>
      </c>
      <c r="L129" s="33" t="n">
        <v>45691.47222222222</v>
      </c>
      <c r="M129" s="34" t="n"/>
    </row>
    <row r="130">
      <c r="A130" t="inlineStr">
        <is>
          <t>LAB728219</t>
        </is>
      </c>
      <c r="B130" t="inlineStr">
        <is>
          <t>ENC111903</t>
        </is>
      </c>
      <c r="C130" t="inlineStr">
        <is>
          <t>CREAT</t>
        </is>
      </c>
      <c r="D130" t="inlineStr">
        <is>
          <t>Creatinine</t>
        </is>
      </c>
      <c r="E130" t="n">
        <v>2.17</v>
      </c>
      <c r="F130" t="inlineStr">
        <is>
          <t>mg/dL</t>
        </is>
      </c>
      <c r="G130" t="n">
        <v>0.6</v>
      </c>
      <c r="H130" t="n">
        <v>1.3</v>
      </c>
      <c r="I130" t="inlineStr">
        <is>
          <t>H</t>
        </is>
      </c>
      <c r="J130" t="inlineStr">
        <is>
          <t>STAT</t>
        </is>
      </c>
      <c r="K130" s="33" t="n">
        <v>45691.45069444444</v>
      </c>
      <c r="L130" s="33" t="n">
        <v>45691.47916666666</v>
      </c>
      <c r="M130" s="34" t="n"/>
    </row>
    <row r="131">
      <c r="A131" t="inlineStr">
        <is>
          <t>LAB728222</t>
        </is>
      </c>
      <c r="B131" t="inlineStr">
        <is>
          <t>ENC111903</t>
        </is>
      </c>
      <c r="C131" t="inlineStr">
        <is>
          <t>BUN</t>
        </is>
      </c>
      <c r="D131" t="inlineStr">
        <is>
          <t>Blood Urea Nitrogen</t>
        </is>
      </c>
      <c r="E131" t="n">
        <v>8</v>
      </c>
      <c r="F131" t="inlineStr">
        <is>
          <t>mg/dL</t>
        </is>
      </c>
      <c r="G131" t="n">
        <v>7</v>
      </c>
      <c r="H131" t="n">
        <v>20</v>
      </c>
      <c r="I131" t="inlineStr">
        <is>
          <t>N</t>
        </is>
      </c>
      <c r="J131" t="inlineStr">
        <is>
          <t>STAT</t>
        </is>
      </c>
      <c r="K131" s="33" t="n">
        <v>45691.45416666667</v>
      </c>
      <c r="L131" s="33" t="n">
        <v>45691.49513888889</v>
      </c>
      <c r="M131" s="34" t="n"/>
    </row>
    <row r="132">
      <c r="A132" t="inlineStr">
        <is>
          <t>LAB728224</t>
        </is>
      </c>
      <c r="B132" t="inlineStr">
        <is>
          <t>ENC111903</t>
        </is>
      </c>
      <c r="C132" t="inlineStr">
        <is>
          <t>LACT</t>
        </is>
      </c>
      <c r="D132" t="inlineStr">
        <is>
          <t>Lactate</t>
        </is>
      </c>
      <c r="E132" t="n">
        <v>1.2</v>
      </c>
      <c r="F132" t="inlineStr">
        <is>
          <t>mmol/L</t>
        </is>
      </c>
      <c r="G132" t="n">
        <v>0.5</v>
      </c>
      <c r="H132" t="n">
        <v>2</v>
      </c>
      <c r="I132" t="inlineStr">
        <is>
          <t>N</t>
        </is>
      </c>
      <c r="J132" t="inlineStr">
        <is>
          <t>STAT</t>
        </is>
      </c>
      <c r="K132" s="33" t="n">
        <v>45691.44861111111</v>
      </c>
      <c r="L132" s="33" t="n">
        <v>45691.51180555556</v>
      </c>
      <c r="M132" s="34" t="n"/>
    </row>
    <row r="133">
      <c r="A133" t="inlineStr">
        <is>
          <t>LAB728221</t>
        </is>
      </c>
      <c r="B133" t="inlineStr">
        <is>
          <t>ENC111903</t>
        </is>
      </c>
      <c r="C133" t="inlineStr">
        <is>
          <t>HGB</t>
        </is>
      </c>
      <c r="D133" t="inlineStr">
        <is>
          <t>Hemoglobin</t>
        </is>
      </c>
      <c r="E133" t="n">
        <v>13.4</v>
      </c>
      <c r="F133" t="inlineStr">
        <is>
          <t>g/dL</t>
        </is>
      </c>
      <c r="G133" t="n">
        <v>12</v>
      </c>
      <c r="H133" t="n">
        <v>17.5</v>
      </c>
      <c r="I133" t="inlineStr">
        <is>
          <t>N</t>
        </is>
      </c>
      <c r="J133" t="inlineStr">
        <is>
          <t>Routine</t>
        </is>
      </c>
      <c r="K133" s="33" t="n">
        <v>45691.47222222222</v>
      </c>
      <c r="L133" s="33" t="n">
        <v>45691.575</v>
      </c>
      <c r="M133" s="34" t="n"/>
    </row>
    <row r="134">
      <c r="A134" t="inlineStr">
        <is>
          <t>LAB728249</t>
        </is>
      </c>
      <c r="B134" t="inlineStr">
        <is>
          <t>ENC111918</t>
        </is>
      </c>
      <c r="C134" t="inlineStr">
        <is>
          <t>HGB</t>
        </is>
      </c>
      <c r="D134" t="inlineStr">
        <is>
          <t>Hemoglobin</t>
        </is>
      </c>
      <c r="E134" t="n">
        <v>6.3</v>
      </c>
      <c r="F134" t="inlineStr">
        <is>
          <t>g/dL</t>
        </is>
      </c>
      <c r="G134" t="n">
        <v>12</v>
      </c>
      <c r="H134" t="n">
        <v>17.5</v>
      </c>
      <c r="I134" t="inlineStr">
        <is>
          <t>LL</t>
        </is>
      </c>
      <c r="J134" t="inlineStr">
        <is>
          <t>STAT</t>
        </is>
      </c>
      <c r="K134" s="33" t="n">
        <v>45691.59444444445</v>
      </c>
      <c r="L134" s="33" t="n">
        <v>45691.61875</v>
      </c>
      <c r="M134" s="34" t="n"/>
    </row>
    <row r="135">
      <c r="A135" t="inlineStr">
        <is>
          <t>LAB728253</t>
        </is>
      </c>
      <c r="B135" t="inlineStr">
        <is>
          <t>ENC111918</t>
        </is>
      </c>
      <c r="C135" t="inlineStr">
        <is>
          <t>PLT</t>
        </is>
      </c>
      <c r="D135" t="inlineStr">
        <is>
          <t>Platelet Count</t>
        </is>
      </c>
      <c r="E135" t="n">
        <v>263</v>
      </c>
      <c r="F135" t="inlineStr">
        <is>
          <t>K/uL</t>
        </is>
      </c>
      <c r="G135" t="n">
        <v>150</v>
      </c>
      <c r="H135" t="n">
        <v>400</v>
      </c>
      <c r="I135" t="inlineStr">
        <is>
          <t>N</t>
        </is>
      </c>
      <c r="J135" t="inlineStr">
        <is>
          <t>STAT</t>
        </is>
      </c>
      <c r="K135" s="33" t="n">
        <v>45691.58611111111</v>
      </c>
      <c r="L135" s="33" t="n">
        <v>45691.61944444444</v>
      </c>
      <c r="M135" s="34" t="n"/>
    </row>
    <row r="136">
      <c r="A136" t="inlineStr">
        <is>
          <t>LAB728254</t>
        </is>
      </c>
      <c r="B136" t="inlineStr">
        <is>
          <t>ENC111918</t>
        </is>
      </c>
      <c r="C136" t="inlineStr">
        <is>
          <t>INR</t>
        </is>
      </c>
      <c r="D136" t="inlineStr">
        <is>
          <t>Prothrombin Time INR</t>
        </is>
      </c>
      <c r="E136" t="n">
        <v>1.1</v>
      </c>
      <c r="F136" t="inlineStr">
        <is>
          <t>ratio</t>
        </is>
      </c>
      <c r="G136" t="n">
        <v>0.8</v>
      </c>
      <c r="H136" t="n">
        <v>1.2</v>
      </c>
      <c r="I136" t="inlineStr">
        <is>
          <t>N</t>
        </is>
      </c>
      <c r="J136" t="inlineStr">
        <is>
          <t>STAT</t>
        </is>
      </c>
      <c r="K136" s="33" t="n">
        <v>45691.59930555556</v>
      </c>
      <c r="L136" s="33" t="n">
        <v>45691.62638888889</v>
      </c>
      <c r="M136" s="34" t="n"/>
    </row>
    <row r="137">
      <c r="A137" t="inlineStr">
        <is>
          <t>LAB728252</t>
        </is>
      </c>
      <c r="B137" t="inlineStr">
        <is>
          <t>ENC111918</t>
        </is>
      </c>
      <c r="C137" t="inlineStr">
        <is>
          <t>BUN</t>
        </is>
      </c>
      <c r="D137" t="inlineStr">
        <is>
          <t>Blood Urea Nitrogen</t>
        </is>
      </c>
      <c r="E137" t="n">
        <v>16</v>
      </c>
      <c r="F137" t="inlineStr">
        <is>
          <t>mg/dL</t>
        </is>
      </c>
      <c r="G137" t="n">
        <v>7</v>
      </c>
      <c r="H137" t="n">
        <v>20</v>
      </c>
      <c r="I137" t="inlineStr">
        <is>
          <t>N</t>
        </is>
      </c>
      <c r="J137" t="inlineStr">
        <is>
          <t>STAT</t>
        </is>
      </c>
      <c r="K137" s="33" t="n">
        <v>45691.58888888889</v>
      </c>
      <c r="L137" s="33" t="n">
        <v>45691.63958333333</v>
      </c>
      <c r="M137" s="34" t="n"/>
    </row>
    <row r="138">
      <c r="A138" t="inlineStr">
        <is>
          <t>LAB728248</t>
        </is>
      </c>
      <c r="B138" t="inlineStr">
        <is>
          <t>ENC111918</t>
        </is>
      </c>
      <c r="C138" t="inlineStr">
        <is>
          <t>WBC</t>
        </is>
      </c>
      <c r="D138" t="inlineStr">
        <is>
          <t>White Blood Cell Count</t>
        </is>
      </c>
      <c r="E138" t="n">
        <v>7.2</v>
      </c>
      <c r="F138" t="inlineStr">
        <is>
          <t>K/uL</t>
        </is>
      </c>
      <c r="G138" t="n">
        <v>4.5</v>
      </c>
      <c r="H138" t="n">
        <v>11</v>
      </c>
      <c r="I138" t="inlineStr">
        <is>
          <t>N</t>
        </is>
      </c>
      <c r="J138" t="inlineStr">
        <is>
          <t>STAT</t>
        </is>
      </c>
      <c r="K138" s="33" t="n">
        <v>45691.61666666667</v>
      </c>
      <c r="L138" s="33" t="n">
        <v>45691.64444444444</v>
      </c>
      <c r="M138" s="34" t="n"/>
    </row>
    <row r="139">
      <c r="A139" t="inlineStr">
        <is>
          <t>LAB728251</t>
        </is>
      </c>
      <c r="B139" t="inlineStr">
        <is>
          <t>ENC111918</t>
        </is>
      </c>
      <c r="C139" t="inlineStr">
        <is>
          <t>K</t>
        </is>
      </c>
      <c r="D139" t="inlineStr">
        <is>
          <t>Potassium</t>
        </is>
      </c>
      <c r="E139" t="n">
        <v>3.7</v>
      </c>
      <c r="F139" t="inlineStr">
        <is>
          <t>mmol/L</t>
        </is>
      </c>
      <c r="G139" t="n">
        <v>3.5</v>
      </c>
      <c r="H139" t="n">
        <v>5.1</v>
      </c>
      <c r="I139" t="inlineStr">
        <is>
          <t>N</t>
        </is>
      </c>
      <c r="J139" t="inlineStr">
        <is>
          <t>STAT</t>
        </is>
      </c>
      <c r="K139" s="33" t="n">
        <v>45691.62638888889</v>
      </c>
      <c r="L139" s="33" t="n">
        <v>45691.64583333334</v>
      </c>
      <c r="M139" s="34" t="n"/>
    </row>
    <row r="140">
      <c r="A140" t="inlineStr">
        <is>
          <t>LAB728247</t>
        </is>
      </c>
      <c r="B140" t="inlineStr">
        <is>
          <t>ENC111918</t>
        </is>
      </c>
      <c r="C140" t="inlineStr">
        <is>
          <t>CREAT</t>
        </is>
      </c>
      <c r="D140" t="inlineStr">
        <is>
          <t>Creatinine</t>
        </is>
      </c>
      <c r="E140" t="n">
        <v>1.2</v>
      </c>
      <c r="F140" t="inlineStr">
        <is>
          <t>mg/dL</t>
        </is>
      </c>
      <c r="G140" t="n">
        <v>0.6</v>
      </c>
      <c r="H140" t="n">
        <v>1.3</v>
      </c>
      <c r="I140" t="inlineStr">
        <is>
          <t>N</t>
        </is>
      </c>
      <c r="J140" t="inlineStr">
        <is>
          <t>Routine</t>
        </is>
      </c>
      <c r="K140" s="33" t="n">
        <v>45691.59583333333</v>
      </c>
      <c r="L140" s="33" t="n">
        <v>45691.675</v>
      </c>
      <c r="M140" s="34" t="n"/>
    </row>
    <row r="141">
      <c r="A141" t="inlineStr">
        <is>
          <t>LAB728250</t>
        </is>
      </c>
      <c r="B141" t="inlineStr">
        <is>
          <t>ENC111918</t>
        </is>
      </c>
      <c r="C141" t="inlineStr">
        <is>
          <t>NA</t>
        </is>
      </c>
      <c r="D141" t="inlineStr">
        <is>
          <t>Sodium</t>
        </is>
      </c>
      <c r="E141" t="n">
        <v>140</v>
      </c>
      <c r="F141" t="inlineStr">
        <is>
          <t>mmol/L</t>
        </is>
      </c>
      <c r="G141" t="n">
        <v>136</v>
      </c>
      <c r="H141" t="n">
        <v>145</v>
      </c>
      <c r="I141" t="inlineStr">
        <is>
          <t>N</t>
        </is>
      </c>
      <c r="J141" t="inlineStr">
        <is>
          <t>Routine</t>
        </is>
      </c>
      <c r="K141" s="33" t="n">
        <v>45691.61458333334</v>
      </c>
      <c r="L141" s="33" t="n">
        <v>45691.72013888889</v>
      </c>
      <c r="M141" s="34" t="n"/>
    </row>
    <row r="142">
      <c r="A142" t="inlineStr">
        <is>
          <t>LAB728246</t>
        </is>
      </c>
      <c r="B142" t="inlineStr">
        <is>
          <t>ENC111918</t>
        </is>
      </c>
      <c r="C142" t="inlineStr">
        <is>
          <t>GLU</t>
        </is>
      </c>
      <c r="D142" t="inlineStr">
        <is>
          <t>Glucose</t>
        </is>
      </c>
      <c r="E142" t="n">
        <v>91</v>
      </c>
      <c r="F142" t="inlineStr">
        <is>
          <t>mg/dL</t>
        </is>
      </c>
      <c r="G142" t="n">
        <v>70</v>
      </c>
      <c r="H142" t="n">
        <v>99</v>
      </c>
      <c r="I142" t="inlineStr">
        <is>
          <t>N</t>
        </is>
      </c>
      <c r="J142" t="inlineStr">
        <is>
          <t>Routine</t>
        </is>
      </c>
      <c r="K142" s="33" t="n">
        <v>45691.62569444445</v>
      </c>
      <c r="L142" s="33" t="n">
        <v>45691.82430555556</v>
      </c>
      <c r="M142" s="34" t="n"/>
    </row>
    <row r="143">
      <c r="A143" t="inlineStr">
        <is>
          <t>LAB728338</t>
        </is>
      </c>
      <c r="B143" t="inlineStr">
        <is>
          <t>ENC111944</t>
        </is>
      </c>
      <c r="C143" t="inlineStr">
        <is>
          <t>PLT</t>
        </is>
      </c>
      <c r="D143" t="inlineStr">
        <is>
          <t>Platelet Count</t>
        </is>
      </c>
      <c r="E143" t="n">
        <v>238</v>
      </c>
      <c r="F143" t="inlineStr">
        <is>
          <t>K/uL</t>
        </is>
      </c>
      <c r="G143" t="n">
        <v>150</v>
      </c>
      <c r="H143" t="n">
        <v>400</v>
      </c>
      <c r="I143" t="inlineStr">
        <is>
          <t>N</t>
        </is>
      </c>
      <c r="J143" t="inlineStr">
        <is>
          <t>STAT</t>
        </is>
      </c>
      <c r="K143" s="33" t="n">
        <v>45692.46736111111</v>
      </c>
      <c r="L143" s="33" t="n">
        <v>45692.48472222222</v>
      </c>
      <c r="M143" s="34" t="n"/>
    </row>
    <row r="144">
      <c r="A144" t="inlineStr">
        <is>
          <t>LAB728337</t>
        </is>
      </c>
      <c r="B144" t="inlineStr">
        <is>
          <t>ENC111944</t>
        </is>
      </c>
      <c r="C144" t="inlineStr">
        <is>
          <t>BUN</t>
        </is>
      </c>
      <c r="D144" t="inlineStr">
        <is>
          <t>Blood Urea Nitrogen</t>
        </is>
      </c>
      <c r="E144" t="n">
        <v>19</v>
      </c>
      <c r="F144" t="inlineStr">
        <is>
          <t>mg/dL</t>
        </is>
      </c>
      <c r="G144" t="n">
        <v>7</v>
      </c>
      <c r="H144" t="n">
        <v>20</v>
      </c>
      <c r="I144" t="inlineStr">
        <is>
          <t>N</t>
        </is>
      </c>
      <c r="J144" t="inlineStr">
        <is>
          <t>STAT</t>
        </is>
      </c>
      <c r="K144" s="33" t="n">
        <v>45692.475</v>
      </c>
      <c r="L144" s="33" t="n">
        <v>45692.4875</v>
      </c>
      <c r="M144" s="34" t="n"/>
    </row>
    <row r="145">
      <c r="A145" t="inlineStr">
        <is>
          <t>LAB728339</t>
        </is>
      </c>
      <c r="B145" t="inlineStr">
        <is>
          <t>ENC111944</t>
        </is>
      </c>
      <c r="C145" t="inlineStr">
        <is>
          <t>LACT</t>
        </is>
      </c>
      <c r="D145" t="inlineStr">
        <is>
          <t>Lactate</t>
        </is>
      </c>
      <c r="E145" t="n">
        <v>2.5</v>
      </c>
      <c r="F145" t="inlineStr">
        <is>
          <t>mmol/L</t>
        </is>
      </c>
      <c r="G145" t="n">
        <v>0.5</v>
      </c>
      <c r="H145" t="n">
        <v>2</v>
      </c>
      <c r="I145" t="inlineStr">
        <is>
          <t>H</t>
        </is>
      </c>
      <c r="J145" t="inlineStr">
        <is>
          <t>STAT</t>
        </is>
      </c>
      <c r="K145" s="33" t="n">
        <v>45692.49513888889</v>
      </c>
      <c r="L145" s="33" t="n">
        <v>45692.52916666667</v>
      </c>
      <c r="M145" s="34" t="n"/>
    </row>
    <row r="146">
      <c r="A146" t="inlineStr">
        <is>
          <t>LAB728334</t>
        </is>
      </c>
      <c r="B146" t="inlineStr">
        <is>
          <t>ENC111944</t>
        </is>
      </c>
      <c r="C146" t="inlineStr">
        <is>
          <t>CREAT</t>
        </is>
      </c>
      <c r="D146" t="inlineStr">
        <is>
          <t>Creatinine</t>
        </is>
      </c>
      <c r="E146" t="n">
        <v>1.18</v>
      </c>
      <c r="F146" t="inlineStr">
        <is>
          <t>mg/dL</t>
        </is>
      </c>
      <c r="G146" t="n">
        <v>0.6</v>
      </c>
      <c r="H146" t="n">
        <v>1.3</v>
      </c>
      <c r="I146" t="inlineStr">
        <is>
          <t>N</t>
        </is>
      </c>
      <c r="J146" t="inlineStr">
        <is>
          <t>Routine</t>
        </is>
      </c>
      <c r="K146" s="33" t="n">
        <v>45692.45902777778</v>
      </c>
      <c r="L146" s="33" t="n">
        <v>45692.57222222222</v>
      </c>
      <c r="M146" s="34" t="n"/>
    </row>
    <row r="147">
      <c r="A147" t="inlineStr">
        <is>
          <t>LAB728335</t>
        </is>
      </c>
      <c r="B147" t="inlineStr">
        <is>
          <t>ENC111944</t>
        </is>
      </c>
      <c r="C147" t="inlineStr">
        <is>
          <t>WBC</t>
        </is>
      </c>
      <c r="D147" t="inlineStr">
        <is>
          <t>White Blood Cell Count</t>
        </is>
      </c>
      <c r="E147" t="n">
        <v>5.5</v>
      </c>
      <c r="F147" t="inlineStr">
        <is>
          <t>K/uL</t>
        </is>
      </c>
      <c r="G147" t="n">
        <v>4.5</v>
      </c>
      <c r="H147" t="n">
        <v>11</v>
      </c>
      <c r="I147" t="inlineStr">
        <is>
          <t>N</t>
        </is>
      </c>
      <c r="J147" t="inlineStr">
        <is>
          <t>Routine</t>
        </is>
      </c>
      <c r="K147" s="33" t="n">
        <v>45692.48194444444</v>
      </c>
      <c r="L147" s="33" t="n">
        <v>45692.59027777778</v>
      </c>
      <c r="M147" s="34" t="n"/>
    </row>
    <row r="148">
      <c r="A148" t="inlineStr">
        <is>
          <t>LAB728333</t>
        </is>
      </c>
      <c r="B148" t="inlineStr">
        <is>
          <t>ENC111944</t>
        </is>
      </c>
      <c r="C148" t="inlineStr">
        <is>
          <t>GLU</t>
        </is>
      </c>
      <c r="D148" t="inlineStr">
        <is>
          <t>Glucose</t>
        </is>
      </c>
      <c r="E148" t="n">
        <v>104</v>
      </c>
      <c r="F148" t="inlineStr">
        <is>
          <t>mg/dL</t>
        </is>
      </c>
      <c r="G148" t="n">
        <v>70</v>
      </c>
      <c r="H148" t="n">
        <v>99</v>
      </c>
      <c r="I148" t="inlineStr">
        <is>
          <t>H</t>
        </is>
      </c>
      <c r="J148" t="inlineStr">
        <is>
          <t>Routine</t>
        </is>
      </c>
      <c r="K148" s="33" t="n">
        <v>45692.49375</v>
      </c>
      <c r="L148" s="33" t="n">
        <v>45692.71736111111</v>
      </c>
      <c r="M148" s="34" t="n"/>
    </row>
    <row r="149">
      <c r="A149" t="inlineStr">
        <is>
          <t>LAB728336</t>
        </is>
      </c>
      <c r="B149" t="inlineStr">
        <is>
          <t>ENC111944</t>
        </is>
      </c>
      <c r="C149" t="inlineStr">
        <is>
          <t>HGB</t>
        </is>
      </c>
      <c r="D149" t="inlineStr">
        <is>
          <t>Hemoglobin</t>
        </is>
      </c>
      <c r="E149" t="n">
        <v>16.3</v>
      </c>
      <c r="F149" t="inlineStr">
        <is>
          <t>g/dL</t>
        </is>
      </c>
      <c r="G149" t="n">
        <v>12</v>
      </c>
      <c r="H149" t="n">
        <v>17.5</v>
      </c>
      <c r="I149" t="inlineStr">
        <is>
          <t>N</t>
        </is>
      </c>
      <c r="J149" t="inlineStr">
        <is>
          <t>Routine</t>
        </is>
      </c>
      <c r="K149" s="33" t="n">
        <v>45692.50625</v>
      </c>
      <c r="L149" s="33" t="n">
        <v>45692.72430555556</v>
      </c>
      <c r="M149" s="34" t="n"/>
    </row>
    <row r="150">
      <c r="A150" t="inlineStr">
        <is>
          <t>LAB728416</t>
        </is>
      </c>
      <c r="B150" t="inlineStr">
        <is>
          <t>ENC111983</t>
        </is>
      </c>
      <c r="C150" t="inlineStr">
        <is>
          <t>GLU</t>
        </is>
      </c>
      <c r="D150" t="inlineStr">
        <is>
          <t>Glucose</t>
        </is>
      </c>
      <c r="E150" t="n">
        <v>76</v>
      </c>
      <c r="F150" t="inlineStr">
        <is>
          <t>mg/dL</t>
        </is>
      </c>
      <c r="G150" t="n">
        <v>70</v>
      </c>
      <c r="H150" t="n">
        <v>99</v>
      </c>
      <c r="I150" t="inlineStr">
        <is>
          <t>N</t>
        </is>
      </c>
      <c r="J150" t="inlineStr">
        <is>
          <t>STAT</t>
        </is>
      </c>
      <c r="K150" s="33" t="n">
        <v>45692.87430555555</v>
      </c>
      <c r="L150" s="33" t="n">
        <v>45692.90902777778</v>
      </c>
      <c r="M150" s="34" t="n"/>
    </row>
    <row r="151">
      <c r="A151" t="inlineStr">
        <is>
          <t>LAB728418</t>
        </is>
      </c>
      <c r="B151" t="inlineStr">
        <is>
          <t>ENC111983</t>
        </is>
      </c>
      <c r="C151" t="inlineStr">
        <is>
          <t>WBC</t>
        </is>
      </c>
      <c r="D151" t="inlineStr">
        <is>
          <t>White Blood Cell Count</t>
        </is>
      </c>
      <c r="E151" t="n">
        <v>12</v>
      </c>
      <c r="F151" t="inlineStr">
        <is>
          <t>K/uL</t>
        </is>
      </c>
      <c r="G151" t="n">
        <v>4.5</v>
      </c>
      <c r="H151" t="n">
        <v>11</v>
      </c>
      <c r="I151" t="inlineStr">
        <is>
          <t>H</t>
        </is>
      </c>
      <c r="J151" t="inlineStr">
        <is>
          <t>STAT</t>
        </is>
      </c>
      <c r="K151" s="33" t="n">
        <v>45692.88819444444</v>
      </c>
      <c r="L151" s="33" t="n">
        <v>45692.92777777778</v>
      </c>
      <c r="M151" s="34" t="n"/>
    </row>
    <row r="152">
      <c r="A152" t="inlineStr">
        <is>
          <t>LAB728420</t>
        </is>
      </c>
      <c r="B152" t="inlineStr">
        <is>
          <t>ENC111983</t>
        </is>
      </c>
      <c r="C152" t="inlineStr">
        <is>
          <t>LACT</t>
        </is>
      </c>
      <c r="D152" t="inlineStr">
        <is>
          <t>Lactate</t>
        </is>
      </c>
      <c r="E152" t="n">
        <v>2</v>
      </c>
      <c r="F152" t="inlineStr">
        <is>
          <t>mmol/L</t>
        </is>
      </c>
      <c r="G152" t="n">
        <v>0.5</v>
      </c>
      <c r="H152" t="n">
        <v>2</v>
      </c>
      <c r="I152" t="inlineStr">
        <is>
          <t>N</t>
        </is>
      </c>
      <c r="J152" t="inlineStr">
        <is>
          <t>STAT</t>
        </is>
      </c>
      <c r="K152" s="33" t="n">
        <v>45692.88333333333</v>
      </c>
      <c r="L152" s="33" t="n">
        <v>45692.92916666667</v>
      </c>
      <c r="M152" s="34" t="n"/>
    </row>
    <row r="153">
      <c r="A153" t="inlineStr">
        <is>
          <t>LAB728417</t>
        </is>
      </c>
      <c r="B153" t="inlineStr">
        <is>
          <t>ENC111983</t>
        </is>
      </c>
      <c r="C153" t="inlineStr">
        <is>
          <t>CREAT</t>
        </is>
      </c>
      <c r="D153" t="inlineStr">
        <is>
          <t>Creatinine</t>
        </is>
      </c>
      <c r="E153" t="n">
        <v>1.53</v>
      </c>
      <c r="F153" t="inlineStr">
        <is>
          <t>mg/dL</t>
        </is>
      </c>
      <c r="G153" t="n">
        <v>0.6</v>
      </c>
      <c r="H153" t="n">
        <v>1.3</v>
      </c>
      <c r="I153" t="inlineStr">
        <is>
          <t>H</t>
        </is>
      </c>
      <c r="J153" t="inlineStr">
        <is>
          <t>STAT</t>
        </is>
      </c>
      <c r="K153" s="33" t="n">
        <v>45692.90277777778</v>
      </c>
      <c r="L153" s="33" t="n">
        <v>45692.93263888889</v>
      </c>
      <c r="M153" s="34" t="n"/>
    </row>
    <row r="154">
      <c r="A154" t="inlineStr">
        <is>
          <t>LAB728419</t>
        </is>
      </c>
      <c r="B154" t="inlineStr">
        <is>
          <t>ENC111983</t>
        </is>
      </c>
      <c r="C154" t="inlineStr">
        <is>
          <t>HGB</t>
        </is>
      </c>
      <c r="D154" t="inlineStr">
        <is>
          <t>Hemoglobin</t>
        </is>
      </c>
      <c r="E154" t="n">
        <v>14.5</v>
      </c>
      <c r="F154" t="inlineStr">
        <is>
          <t>g/dL</t>
        </is>
      </c>
      <c r="G154" t="n">
        <v>12</v>
      </c>
      <c r="H154" t="n">
        <v>17.5</v>
      </c>
      <c r="I154" t="inlineStr">
        <is>
          <t>N</t>
        </is>
      </c>
      <c r="J154" t="inlineStr">
        <is>
          <t>STAT</t>
        </is>
      </c>
      <c r="K154" s="33" t="n">
        <v>45692.89375</v>
      </c>
      <c r="L154" s="33" t="n">
        <v>45692.94166666667</v>
      </c>
      <c r="M154" s="34" t="n"/>
    </row>
    <row r="155">
      <c r="A155" t="inlineStr">
        <is>
          <t>LAB728619</t>
        </is>
      </c>
      <c r="B155" t="inlineStr">
        <is>
          <t>ENC112067</t>
        </is>
      </c>
      <c r="C155" t="inlineStr">
        <is>
          <t>LACT</t>
        </is>
      </c>
      <c r="D155" t="inlineStr">
        <is>
          <t>Lactate</t>
        </is>
      </c>
      <c r="E155" t="n">
        <v>4.1</v>
      </c>
      <c r="F155" t="inlineStr">
        <is>
          <t>mmol/L</t>
        </is>
      </c>
      <c r="G155" t="n">
        <v>0.5</v>
      </c>
      <c r="H155" t="n">
        <v>2</v>
      </c>
      <c r="I155" t="inlineStr">
        <is>
          <t>HH</t>
        </is>
      </c>
      <c r="J155" t="inlineStr">
        <is>
          <t>STAT</t>
        </is>
      </c>
      <c r="K155" s="33" t="n">
        <v>45694.70416666667</v>
      </c>
      <c r="L155" s="33" t="n">
        <v>45694.73888888889</v>
      </c>
      <c r="M155" s="34" t="n"/>
    </row>
    <row r="156">
      <c r="A156" t="inlineStr">
        <is>
          <t>LAB728618</t>
        </is>
      </c>
      <c r="B156" t="inlineStr">
        <is>
          <t>ENC112067</t>
        </is>
      </c>
      <c r="C156" t="inlineStr">
        <is>
          <t>PLT</t>
        </is>
      </c>
      <c r="D156" t="inlineStr">
        <is>
          <t>Platelet Count</t>
        </is>
      </c>
      <c r="E156" t="n">
        <v>197</v>
      </c>
      <c r="F156" t="inlineStr">
        <is>
          <t>K/uL</t>
        </is>
      </c>
      <c r="G156" t="n">
        <v>150</v>
      </c>
      <c r="H156" t="n">
        <v>400</v>
      </c>
      <c r="I156" t="inlineStr">
        <is>
          <t>N</t>
        </is>
      </c>
      <c r="J156" t="inlineStr">
        <is>
          <t>STAT</t>
        </is>
      </c>
      <c r="K156" s="33" t="n">
        <v>45694.70833333334</v>
      </c>
      <c r="L156" s="33" t="n">
        <v>45694.74861111111</v>
      </c>
      <c r="M156" s="34" t="n"/>
    </row>
    <row r="157">
      <c r="A157" t="inlineStr">
        <is>
          <t>LAB728611</t>
        </is>
      </c>
      <c r="B157" t="inlineStr">
        <is>
          <t>ENC112067</t>
        </is>
      </c>
      <c r="C157" t="inlineStr">
        <is>
          <t>GLU</t>
        </is>
      </c>
      <c r="D157" t="inlineStr">
        <is>
          <t>Glucose</t>
        </is>
      </c>
      <c r="E157" t="n">
        <v>215</v>
      </c>
      <c r="F157" t="inlineStr">
        <is>
          <t>mg/dL</t>
        </is>
      </c>
      <c r="G157" t="n">
        <v>70</v>
      </c>
      <c r="H157" t="n">
        <v>99</v>
      </c>
      <c r="I157" t="inlineStr">
        <is>
          <t>H</t>
        </is>
      </c>
      <c r="J157" t="inlineStr">
        <is>
          <t>STAT</t>
        </is>
      </c>
      <c r="K157" s="33" t="n">
        <v>45694.73888888889</v>
      </c>
      <c r="L157" s="33" t="n">
        <v>45694.78472222222</v>
      </c>
      <c r="M157" s="34" t="n"/>
    </row>
    <row r="158">
      <c r="A158" t="inlineStr">
        <is>
          <t>LAB728616</t>
        </is>
      </c>
      <c r="B158" t="inlineStr">
        <is>
          <t>ENC112067</t>
        </is>
      </c>
      <c r="C158" t="inlineStr">
        <is>
          <t>K</t>
        </is>
      </c>
      <c r="D158" t="inlineStr">
        <is>
          <t>Potassium</t>
        </is>
      </c>
      <c r="E158" t="n">
        <v>4.2</v>
      </c>
      <c r="F158" t="inlineStr">
        <is>
          <t>mmol/L</t>
        </is>
      </c>
      <c r="G158" t="n">
        <v>3.5</v>
      </c>
      <c r="H158" t="n">
        <v>5.1</v>
      </c>
      <c r="I158" t="inlineStr">
        <is>
          <t>N</t>
        </is>
      </c>
      <c r="J158" t="inlineStr">
        <is>
          <t>STAT</t>
        </is>
      </c>
      <c r="K158" s="33" t="n">
        <v>45694.75416666667</v>
      </c>
      <c r="L158" s="33" t="n">
        <v>45694.78611111111</v>
      </c>
      <c r="M158" s="34" t="n"/>
    </row>
    <row r="159">
      <c r="A159" t="inlineStr">
        <is>
          <t>LAB728615</t>
        </is>
      </c>
      <c r="B159" t="inlineStr">
        <is>
          <t>ENC112067</t>
        </is>
      </c>
      <c r="C159" t="inlineStr">
        <is>
          <t>NA</t>
        </is>
      </c>
      <c r="D159" t="inlineStr">
        <is>
          <t>Sodium</t>
        </is>
      </c>
      <c r="E159" t="n">
        <v>137</v>
      </c>
      <c r="F159" t="inlineStr">
        <is>
          <t>mmol/L</t>
        </is>
      </c>
      <c r="G159" t="n">
        <v>136</v>
      </c>
      <c r="H159" t="n">
        <v>145</v>
      </c>
      <c r="I159" t="inlineStr">
        <is>
          <t>N</t>
        </is>
      </c>
      <c r="J159" t="inlineStr">
        <is>
          <t>Routine</t>
        </is>
      </c>
      <c r="K159" s="33" t="n">
        <v>45694.71805555555</v>
      </c>
      <c r="L159" s="33" t="n">
        <v>45694.83958333333</v>
      </c>
      <c r="M159" s="34" t="n"/>
    </row>
    <row r="160">
      <c r="A160" t="inlineStr">
        <is>
          <t>LAB728614</t>
        </is>
      </c>
      <c r="B160" t="inlineStr">
        <is>
          <t>ENC112067</t>
        </is>
      </c>
      <c r="C160" t="inlineStr">
        <is>
          <t>HGB</t>
        </is>
      </c>
      <c r="D160" t="inlineStr">
        <is>
          <t>Hemoglobin</t>
        </is>
      </c>
      <c r="E160" t="n">
        <v>12.9</v>
      </c>
      <c r="F160" t="inlineStr">
        <is>
          <t>g/dL</t>
        </is>
      </c>
      <c r="G160" t="n">
        <v>12</v>
      </c>
      <c r="H160" t="n">
        <v>17.5</v>
      </c>
      <c r="I160" t="inlineStr">
        <is>
          <t>N</t>
        </is>
      </c>
      <c r="J160" t="inlineStr">
        <is>
          <t>Routine</t>
        </is>
      </c>
      <c r="K160" s="33" t="n">
        <v>45694.74861111111</v>
      </c>
      <c r="L160" s="33" t="n">
        <v>45694.86597222222</v>
      </c>
      <c r="M160" s="34" t="n"/>
    </row>
    <row r="161">
      <c r="A161" t="inlineStr">
        <is>
          <t>LAB728612</t>
        </is>
      </c>
      <c r="B161" t="inlineStr">
        <is>
          <t>ENC112067</t>
        </is>
      </c>
      <c r="C161" t="inlineStr">
        <is>
          <t>CREAT</t>
        </is>
      </c>
      <c r="D161" t="inlineStr">
        <is>
          <t>Creatinine</t>
        </is>
      </c>
      <c r="E161" t="n">
        <v>0.64</v>
      </c>
      <c r="F161" t="inlineStr">
        <is>
          <t>mg/dL</t>
        </is>
      </c>
      <c r="G161" t="n">
        <v>0.6</v>
      </c>
      <c r="H161" t="n">
        <v>1.3</v>
      </c>
      <c r="I161" t="inlineStr">
        <is>
          <t>N</t>
        </is>
      </c>
      <c r="J161" t="inlineStr">
        <is>
          <t>Routine</t>
        </is>
      </c>
      <c r="K161" s="33" t="n">
        <v>45694.74444444444</v>
      </c>
      <c r="L161" s="33" t="n">
        <v>45694.86666666667</v>
      </c>
      <c r="M161" s="34" t="n"/>
    </row>
    <row r="162">
      <c r="A162" t="inlineStr">
        <is>
          <t>LAB728617</t>
        </is>
      </c>
      <c r="B162" t="inlineStr">
        <is>
          <t>ENC112067</t>
        </is>
      </c>
      <c r="C162" t="inlineStr">
        <is>
          <t>BUN</t>
        </is>
      </c>
      <c r="D162" t="inlineStr">
        <is>
          <t>Blood Urea Nitrogen</t>
        </is>
      </c>
      <c r="E162" t="n">
        <v>16</v>
      </c>
      <c r="F162" t="inlineStr">
        <is>
          <t>mg/dL</t>
        </is>
      </c>
      <c r="G162" t="n">
        <v>7</v>
      </c>
      <c r="H162" t="n">
        <v>20</v>
      </c>
      <c r="I162" t="inlineStr">
        <is>
          <t>N</t>
        </is>
      </c>
      <c r="J162" t="inlineStr">
        <is>
          <t>Routine</t>
        </is>
      </c>
      <c r="K162" s="33" t="n">
        <v>45694.73402777778</v>
      </c>
      <c r="L162" s="33" t="n">
        <v>45694.86666666667</v>
      </c>
      <c r="M162" s="34" t="n"/>
    </row>
    <row r="163">
      <c r="A163" t="inlineStr">
        <is>
          <t>LAB728613</t>
        </is>
      </c>
      <c r="B163" t="inlineStr">
        <is>
          <t>ENC112067</t>
        </is>
      </c>
      <c r="C163" t="inlineStr">
        <is>
          <t>WBC</t>
        </is>
      </c>
      <c r="D163" t="inlineStr">
        <is>
          <t>White Blood Cell Count</t>
        </is>
      </c>
      <c r="E163" t="n">
        <v>15.8</v>
      </c>
      <c r="F163" t="inlineStr">
        <is>
          <t>K/uL</t>
        </is>
      </c>
      <c r="G163" t="n">
        <v>4.5</v>
      </c>
      <c r="H163" t="n">
        <v>11</v>
      </c>
      <c r="I163" t="inlineStr">
        <is>
          <t>H</t>
        </is>
      </c>
      <c r="J163" t="inlineStr">
        <is>
          <t>Routine</t>
        </is>
      </c>
      <c r="K163" s="33" t="n">
        <v>45694.75833333333</v>
      </c>
      <c r="L163" s="33" t="n">
        <v>45694.89722222222</v>
      </c>
      <c r="M163" s="34" t="n"/>
    </row>
    <row r="164">
      <c r="A164" t="inlineStr">
        <is>
          <t>LAB728707</t>
        </is>
      </c>
      <c r="B164" t="inlineStr">
        <is>
          <t>ENC112096</t>
        </is>
      </c>
      <c r="C164" t="inlineStr">
        <is>
          <t>WBC</t>
        </is>
      </c>
      <c r="D164" t="inlineStr">
        <is>
          <t>White Blood Cell Count</t>
        </is>
      </c>
      <c r="E164" t="n">
        <v>2.6</v>
      </c>
      <c r="F164" t="inlineStr">
        <is>
          <t>K/uL</t>
        </is>
      </c>
      <c r="G164" t="n">
        <v>4.5</v>
      </c>
      <c r="H164" t="n">
        <v>11</v>
      </c>
      <c r="I164" t="inlineStr">
        <is>
          <t>L</t>
        </is>
      </c>
      <c r="J164" t="inlineStr">
        <is>
          <t>STAT</t>
        </is>
      </c>
      <c r="K164" s="33" t="n">
        <v>45695.53819444445</v>
      </c>
      <c r="L164" s="33" t="n">
        <v>45695.56736111111</v>
      </c>
      <c r="M164" s="34" t="n"/>
    </row>
    <row r="165">
      <c r="A165" t="inlineStr">
        <is>
          <t>LAB728705</t>
        </is>
      </c>
      <c r="B165" t="inlineStr">
        <is>
          <t>ENC112096</t>
        </is>
      </c>
      <c r="C165" t="inlineStr">
        <is>
          <t>GLU</t>
        </is>
      </c>
      <c r="D165" t="inlineStr">
        <is>
          <t>Glucose</t>
        </is>
      </c>
      <c r="E165" t="n">
        <v>98</v>
      </c>
      <c r="F165" t="inlineStr">
        <is>
          <t>mg/dL</t>
        </is>
      </c>
      <c r="G165" t="n">
        <v>70</v>
      </c>
      <c r="H165" t="n">
        <v>99</v>
      </c>
      <c r="I165" t="inlineStr">
        <is>
          <t>N</t>
        </is>
      </c>
      <c r="J165" t="inlineStr">
        <is>
          <t>STAT</t>
        </is>
      </c>
      <c r="K165" s="33" t="n">
        <v>45695.53819444445</v>
      </c>
      <c r="L165" s="33" t="n">
        <v>45695.58263888889</v>
      </c>
      <c r="M165" s="34" t="n"/>
    </row>
    <row r="166">
      <c r="A166" t="inlineStr">
        <is>
          <t>LAB728709</t>
        </is>
      </c>
      <c r="B166" t="inlineStr">
        <is>
          <t>ENC112096</t>
        </is>
      </c>
      <c r="C166" t="inlineStr">
        <is>
          <t>LACT</t>
        </is>
      </c>
      <c r="D166" t="inlineStr">
        <is>
          <t>Lactate</t>
        </is>
      </c>
      <c r="E166" t="n">
        <v>8.5</v>
      </c>
      <c r="F166" t="inlineStr">
        <is>
          <t>mmol/L</t>
        </is>
      </c>
      <c r="G166" t="n">
        <v>0.5</v>
      </c>
      <c r="H166" t="n">
        <v>2</v>
      </c>
      <c r="I166" t="inlineStr">
        <is>
          <t>HH</t>
        </is>
      </c>
      <c r="J166" t="inlineStr">
        <is>
          <t>STAT</t>
        </is>
      </c>
      <c r="K166" s="33" t="n">
        <v>45695.55763888889</v>
      </c>
      <c r="L166" s="33" t="n">
        <v>45695.59375</v>
      </c>
      <c r="M166" s="34" t="n"/>
    </row>
    <row r="167">
      <c r="A167" t="inlineStr">
        <is>
          <t>LAB728708</t>
        </is>
      </c>
      <c r="B167" t="inlineStr">
        <is>
          <t>ENC112096</t>
        </is>
      </c>
      <c r="C167" t="inlineStr">
        <is>
          <t>HGB</t>
        </is>
      </c>
      <c r="D167" t="inlineStr">
        <is>
          <t>Hemoglobin</t>
        </is>
      </c>
      <c r="E167" t="n">
        <v>12.2</v>
      </c>
      <c r="F167" t="inlineStr">
        <is>
          <t>g/dL</t>
        </is>
      </c>
      <c r="G167" t="n">
        <v>12</v>
      </c>
      <c r="H167" t="n">
        <v>17.5</v>
      </c>
      <c r="I167" t="inlineStr">
        <is>
          <t>N</t>
        </is>
      </c>
      <c r="J167" t="inlineStr">
        <is>
          <t>STAT</t>
        </is>
      </c>
      <c r="K167" s="33" t="n">
        <v>45695.57222222222</v>
      </c>
      <c r="L167" s="33" t="n">
        <v>45695.59583333333</v>
      </c>
      <c r="M167" s="34" t="n"/>
    </row>
    <row r="168">
      <c r="A168" t="inlineStr">
        <is>
          <t>LAB728726</t>
        </is>
      </c>
      <c r="B168" t="inlineStr">
        <is>
          <t>ENC112104</t>
        </is>
      </c>
      <c r="C168" t="inlineStr">
        <is>
          <t>HGB</t>
        </is>
      </c>
      <c r="D168" t="inlineStr">
        <is>
          <t>Hemoglobin</t>
        </is>
      </c>
      <c r="E168" t="n">
        <v>14.9</v>
      </c>
      <c r="F168" t="inlineStr">
        <is>
          <t>g/dL</t>
        </is>
      </c>
      <c r="G168" t="n">
        <v>12</v>
      </c>
      <c r="H168" t="n">
        <v>17.5</v>
      </c>
      <c r="I168" t="inlineStr">
        <is>
          <t>N</t>
        </is>
      </c>
      <c r="J168" t="inlineStr">
        <is>
          <t>STAT</t>
        </is>
      </c>
      <c r="K168" s="33" t="n">
        <v>45695.64375</v>
      </c>
      <c r="L168" s="33" t="n">
        <v>45695.6625</v>
      </c>
      <c r="M168" s="34" t="n"/>
    </row>
    <row r="169">
      <c r="A169" t="inlineStr">
        <is>
          <t>LAB728727</t>
        </is>
      </c>
      <c r="B169" t="inlineStr">
        <is>
          <t>ENC112104</t>
        </is>
      </c>
      <c r="C169" t="inlineStr">
        <is>
          <t>LACT</t>
        </is>
      </c>
      <c r="D169" t="inlineStr">
        <is>
          <t>Lactate</t>
        </is>
      </c>
      <c r="E169" t="n">
        <v>1.4</v>
      </c>
      <c r="F169" t="inlineStr">
        <is>
          <t>mmol/L</t>
        </is>
      </c>
      <c r="G169" t="n">
        <v>0.5</v>
      </c>
      <c r="H169" t="n">
        <v>2</v>
      </c>
      <c r="I169" t="inlineStr">
        <is>
          <t>N</t>
        </is>
      </c>
      <c r="J169" t="inlineStr">
        <is>
          <t>STAT</t>
        </is>
      </c>
      <c r="K169" s="33" t="n">
        <v>45695.65416666667</v>
      </c>
      <c r="L169" s="33" t="n">
        <v>45695.67361111111</v>
      </c>
      <c r="M169" s="34" t="n"/>
    </row>
    <row r="170">
      <c r="A170" t="inlineStr">
        <is>
          <t>LAB728724</t>
        </is>
      </c>
      <c r="B170" t="inlineStr">
        <is>
          <t>ENC112104</t>
        </is>
      </c>
      <c r="C170" t="inlineStr">
        <is>
          <t>CREAT</t>
        </is>
      </c>
      <c r="D170" t="inlineStr">
        <is>
          <t>Creatinine</t>
        </is>
      </c>
      <c r="E170" t="n">
        <v>1.19</v>
      </c>
      <c r="F170" t="inlineStr">
        <is>
          <t>mg/dL</t>
        </is>
      </c>
      <c r="G170" t="n">
        <v>0.6</v>
      </c>
      <c r="H170" t="n">
        <v>1.3</v>
      </c>
      <c r="I170" t="inlineStr">
        <is>
          <t>N</t>
        </is>
      </c>
      <c r="J170" t="inlineStr">
        <is>
          <t>STAT</t>
        </is>
      </c>
      <c r="K170" s="33" t="n">
        <v>45695.64305555556</v>
      </c>
      <c r="L170" s="33" t="n">
        <v>45695.67569444444</v>
      </c>
      <c r="M170" s="34" t="n"/>
    </row>
    <row r="171">
      <c r="A171" t="inlineStr">
        <is>
          <t>LAB728723</t>
        </is>
      </c>
      <c r="B171" t="inlineStr">
        <is>
          <t>ENC112104</t>
        </is>
      </c>
      <c r="C171" t="inlineStr">
        <is>
          <t>GLU</t>
        </is>
      </c>
      <c r="D171" t="inlineStr">
        <is>
          <t>Glucose</t>
        </is>
      </c>
      <c r="E171" t="n">
        <v>120</v>
      </c>
      <c r="F171" t="inlineStr">
        <is>
          <t>mg/dL</t>
        </is>
      </c>
      <c r="G171" t="n">
        <v>70</v>
      </c>
      <c r="H171" t="n">
        <v>99</v>
      </c>
      <c r="I171" t="inlineStr">
        <is>
          <t>H</t>
        </is>
      </c>
      <c r="J171" t="inlineStr">
        <is>
          <t>Routine</t>
        </is>
      </c>
      <c r="K171" s="33" t="n">
        <v>45695.64791666667</v>
      </c>
      <c r="L171" s="33" t="n">
        <v>45695.71527777778</v>
      </c>
      <c r="M171" s="34" t="n"/>
    </row>
    <row r="172">
      <c r="A172" t="inlineStr">
        <is>
          <t>LAB728725</t>
        </is>
      </c>
      <c r="B172" t="inlineStr">
        <is>
          <t>ENC112104</t>
        </is>
      </c>
      <c r="C172" t="inlineStr">
        <is>
          <t>WBC</t>
        </is>
      </c>
      <c r="D172" t="inlineStr">
        <is>
          <t>White Blood Cell Count</t>
        </is>
      </c>
      <c r="E172" t="n">
        <v>7.5</v>
      </c>
      <c r="F172" t="inlineStr">
        <is>
          <t>K/uL</t>
        </is>
      </c>
      <c r="G172" t="n">
        <v>4.5</v>
      </c>
      <c r="H172" t="n">
        <v>11</v>
      </c>
      <c r="I172" t="inlineStr">
        <is>
          <t>N</t>
        </is>
      </c>
      <c r="J172" t="inlineStr">
        <is>
          <t>STAT</t>
        </is>
      </c>
      <c r="K172" s="33" t="n">
        <v>45695.66527777778</v>
      </c>
      <c r="L172" s="33" t="n">
        <v>45695.71666666667</v>
      </c>
      <c r="M172" s="34" t="n"/>
    </row>
    <row r="173">
      <c r="A173" t="inlineStr">
        <is>
          <t>LAB728706</t>
        </is>
      </c>
      <c r="B173" t="inlineStr">
        <is>
          <t>ENC112096</t>
        </is>
      </c>
      <c r="C173" t="inlineStr">
        <is>
          <t>CREAT</t>
        </is>
      </c>
      <c r="D173" t="inlineStr">
        <is>
          <t>Creatinine</t>
        </is>
      </c>
      <c r="E173" t="n">
        <v>0.46</v>
      </c>
      <c r="F173" t="inlineStr">
        <is>
          <t>mg/dL</t>
        </is>
      </c>
      <c r="G173" t="n">
        <v>0.6</v>
      </c>
      <c r="H173" t="n">
        <v>1.3</v>
      </c>
      <c r="I173" t="inlineStr">
        <is>
          <t>L</t>
        </is>
      </c>
      <c r="J173" t="inlineStr">
        <is>
          <t>Routine</t>
        </is>
      </c>
      <c r="K173" s="33" t="n">
        <v>45695.52291666667</v>
      </c>
      <c r="L173" s="33" t="n">
        <v>45695.72083333333</v>
      </c>
      <c r="M173" s="34" t="n"/>
    </row>
    <row r="174">
      <c r="A174" t="inlineStr">
        <is>
          <t>LAB728766</t>
        </is>
      </c>
      <c r="B174" t="inlineStr">
        <is>
          <t>ENC112129</t>
        </is>
      </c>
      <c r="C174" t="inlineStr">
        <is>
          <t>CREAT</t>
        </is>
      </c>
      <c r="D174" t="inlineStr">
        <is>
          <t>Creatinine</t>
        </is>
      </c>
      <c r="E174" t="n">
        <v>1.35</v>
      </c>
      <c r="F174" t="inlineStr">
        <is>
          <t>mg/dL</t>
        </is>
      </c>
      <c r="G174" t="n">
        <v>0.6</v>
      </c>
      <c r="H174" t="n">
        <v>1.3</v>
      </c>
      <c r="I174" t="inlineStr">
        <is>
          <t>H</t>
        </is>
      </c>
      <c r="J174" t="inlineStr">
        <is>
          <t>STAT</t>
        </is>
      </c>
      <c r="K174" s="33" t="n">
        <v>45696.73125</v>
      </c>
      <c r="L174" s="33" t="n">
        <v>45696.75902777778</v>
      </c>
      <c r="M174" s="34" t="n"/>
    </row>
    <row r="175">
      <c r="A175" t="inlineStr">
        <is>
          <t>LAB728765</t>
        </is>
      </c>
      <c r="B175" t="inlineStr">
        <is>
          <t>ENC112129</t>
        </is>
      </c>
      <c r="C175" t="inlineStr">
        <is>
          <t>GLU</t>
        </is>
      </c>
      <c r="D175" t="inlineStr">
        <is>
          <t>Glucose</t>
        </is>
      </c>
      <c r="E175" t="n">
        <v>190</v>
      </c>
      <c r="F175" t="inlineStr">
        <is>
          <t>mg/dL</t>
        </is>
      </c>
      <c r="G175" t="n">
        <v>70</v>
      </c>
      <c r="H175" t="n">
        <v>99</v>
      </c>
      <c r="I175" t="inlineStr">
        <is>
          <t>H</t>
        </is>
      </c>
      <c r="J175" t="inlineStr">
        <is>
          <t>STAT</t>
        </is>
      </c>
      <c r="K175" s="33" t="n">
        <v>45696.72777777778</v>
      </c>
      <c r="L175" s="33" t="n">
        <v>45696.76180555556</v>
      </c>
      <c r="M175" s="34" t="n"/>
    </row>
    <row r="176">
      <c r="A176" t="inlineStr">
        <is>
          <t>LAB728769</t>
        </is>
      </c>
      <c r="B176" t="inlineStr">
        <is>
          <t>ENC112129</t>
        </is>
      </c>
      <c r="C176" t="inlineStr">
        <is>
          <t>LACT</t>
        </is>
      </c>
      <c r="D176" t="inlineStr">
        <is>
          <t>Lactate</t>
        </is>
      </c>
      <c r="E176" t="n">
        <v>5.9</v>
      </c>
      <c r="F176" t="inlineStr">
        <is>
          <t>mmol/L</t>
        </is>
      </c>
      <c r="G176" t="n">
        <v>0.5</v>
      </c>
      <c r="H176" t="n">
        <v>2</v>
      </c>
      <c r="I176" t="inlineStr">
        <is>
          <t>HH</t>
        </is>
      </c>
      <c r="J176" t="inlineStr">
        <is>
          <t>STAT</t>
        </is>
      </c>
      <c r="K176" s="33" t="n">
        <v>45696.72708333333</v>
      </c>
      <c r="L176" s="33" t="n">
        <v>45696.77152777778</v>
      </c>
      <c r="M176" s="34" t="n"/>
    </row>
    <row r="177">
      <c r="A177" t="inlineStr">
        <is>
          <t>LAB728767</t>
        </is>
      </c>
      <c r="B177" t="inlineStr">
        <is>
          <t>ENC112129</t>
        </is>
      </c>
      <c r="C177" t="inlineStr">
        <is>
          <t>WBC</t>
        </is>
      </c>
      <c r="D177" t="inlineStr">
        <is>
          <t>White Blood Cell Count</t>
        </is>
      </c>
      <c r="E177" t="n">
        <v>3.2</v>
      </c>
      <c r="F177" t="inlineStr">
        <is>
          <t>K/uL</t>
        </is>
      </c>
      <c r="G177" t="n">
        <v>4.5</v>
      </c>
      <c r="H177" t="n">
        <v>11</v>
      </c>
      <c r="I177" t="inlineStr">
        <is>
          <t>L</t>
        </is>
      </c>
      <c r="J177" t="inlineStr">
        <is>
          <t>STAT</t>
        </is>
      </c>
      <c r="K177" s="33" t="n">
        <v>45696.76875</v>
      </c>
      <c r="L177" s="33" t="n">
        <v>45696.80486111111</v>
      </c>
      <c r="M177" s="34" t="n"/>
    </row>
    <row r="178">
      <c r="A178" t="inlineStr">
        <is>
          <t>LAB728768</t>
        </is>
      </c>
      <c r="B178" t="inlineStr">
        <is>
          <t>ENC112129</t>
        </is>
      </c>
      <c r="C178" t="inlineStr">
        <is>
          <t>HGB</t>
        </is>
      </c>
      <c r="D178" t="inlineStr">
        <is>
          <t>Hemoglobin</t>
        </is>
      </c>
      <c r="E178" t="n">
        <v>9.800000000000001</v>
      </c>
      <c r="F178" t="inlineStr">
        <is>
          <t>g/dL</t>
        </is>
      </c>
      <c r="G178" t="n">
        <v>12</v>
      </c>
      <c r="H178" t="n">
        <v>17.5</v>
      </c>
      <c r="I178" t="inlineStr">
        <is>
          <t>L</t>
        </is>
      </c>
      <c r="J178" t="inlineStr">
        <is>
          <t>Routine</t>
        </is>
      </c>
      <c r="K178" s="33" t="n">
        <v>45696.73263888889</v>
      </c>
      <c r="L178" s="33" t="n">
        <v>45696.81111111111</v>
      </c>
      <c r="M178" s="34" t="n"/>
    </row>
    <row r="179">
      <c r="A179" t="inlineStr">
        <is>
          <t>LAB728813</t>
        </is>
      </c>
      <c r="B179" t="inlineStr">
        <is>
          <t>ENC112144</t>
        </is>
      </c>
      <c r="C179" t="inlineStr">
        <is>
          <t>LACT</t>
        </is>
      </c>
      <c r="D179" t="inlineStr">
        <is>
          <t>Lactate</t>
        </is>
      </c>
      <c r="E179" t="n">
        <v>5.6</v>
      </c>
      <c r="F179" t="inlineStr">
        <is>
          <t>mmol/L</t>
        </is>
      </c>
      <c r="G179" t="n">
        <v>0.5</v>
      </c>
      <c r="H179" t="n">
        <v>2</v>
      </c>
      <c r="I179" t="inlineStr">
        <is>
          <t>HH</t>
        </is>
      </c>
      <c r="J179" t="inlineStr">
        <is>
          <t>STAT</t>
        </is>
      </c>
      <c r="K179" s="33" t="n">
        <v>45697.51597222222</v>
      </c>
      <c r="L179" s="33" t="n">
        <v>45697.56111111111</v>
      </c>
      <c r="M179" s="34" t="n"/>
    </row>
    <row r="180">
      <c r="A180" t="inlineStr">
        <is>
          <t>LAB728809</t>
        </is>
      </c>
      <c r="B180" t="inlineStr">
        <is>
          <t>ENC112144</t>
        </is>
      </c>
      <c r="C180" t="inlineStr">
        <is>
          <t>GLU</t>
        </is>
      </c>
      <c r="D180" t="inlineStr">
        <is>
          <t>Glucose</t>
        </is>
      </c>
      <c r="E180" t="n">
        <v>148</v>
      </c>
      <c r="F180" t="inlineStr">
        <is>
          <t>mg/dL</t>
        </is>
      </c>
      <c r="G180" t="n">
        <v>70</v>
      </c>
      <c r="H180" t="n">
        <v>99</v>
      </c>
      <c r="I180" t="inlineStr">
        <is>
          <t>H</t>
        </is>
      </c>
      <c r="J180" t="inlineStr">
        <is>
          <t>STAT</t>
        </is>
      </c>
      <c r="K180" s="33" t="n">
        <v>45697.54236111111</v>
      </c>
      <c r="L180" s="33" t="n">
        <v>45697.57291666666</v>
      </c>
      <c r="M180" s="34" t="n"/>
    </row>
    <row r="181">
      <c r="A181" t="inlineStr">
        <is>
          <t>LAB728810</t>
        </is>
      </c>
      <c r="B181" t="inlineStr">
        <is>
          <t>ENC112144</t>
        </is>
      </c>
      <c r="C181" t="inlineStr">
        <is>
          <t>CREAT</t>
        </is>
      </c>
      <c r="D181" t="inlineStr">
        <is>
          <t>Creatinine</t>
        </is>
      </c>
      <c r="E181" t="n">
        <v>1.58</v>
      </c>
      <c r="F181" t="inlineStr">
        <is>
          <t>mg/dL</t>
        </is>
      </c>
      <c r="G181" t="n">
        <v>0.6</v>
      </c>
      <c r="H181" t="n">
        <v>1.3</v>
      </c>
      <c r="I181" t="inlineStr">
        <is>
          <t>H</t>
        </is>
      </c>
      <c r="J181" t="inlineStr">
        <is>
          <t>STAT</t>
        </is>
      </c>
      <c r="K181" s="33" t="n">
        <v>45697.53611111111</v>
      </c>
      <c r="L181" s="33" t="n">
        <v>45697.58055555556</v>
      </c>
      <c r="M181" s="34" t="n"/>
    </row>
    <row r="182">
      <c r="A182" t="inlineStr">
        <is>
          <t>LAB728812</t>
        </is>
      </c>
      <c r="B182" t="inlineStr">
        <is>
          <t>ENC112144</t>
        </is>
      </c>
      <c r="C182" t="inlineStr">
        <is>
          <t>HGB</t>
        </is>
      </c>
      <c r="D182" t="inlineStr">
        <is>
          <t>Hemoglobin</t>
        </is>
      </c>
      <c r="E182" t="n">
        <v>9.199999999999999</v>
      </c>
      <c r="F182" t="inlineStr">
        <is>
          <t>g/dL</t>
        </is>
      </c>
      <c r="G182" t="n">
        <v>12</v>
      </c>
      <c r="H182" t="n">
        <v>17.5</v>
      </c>
      <c r="I182" t="inlineStr">
        <is>
          <t>L</t>
        </is>
      </c>
      <c r="J182" t="inlineStr">
        <is>
          <t>Routine</t>
        </is>
      </c>
      <c r="K182" s="33" t="n">
        <v>45697.54652777778</v>
      </c>
      <c r="L182" s="33" t="n">
        <v>45697.64583333334</v>
      </c>
      <c r="M182" s="34" t="n"/>
    </row>
    <row r="183">
      <c r="A183" t="inlineStr">
        <is>
          <t>LAB728811</t>
        </is>
      </c>
      <c r="B183" t="inlineStr">
        <is>
          <t>ENC112144</t>
        </is>
      </c>
      <c r="C183" t="inlineStr">
        <is>
          <t>WBC</t>
        </is>
      </c>
      <c r="D183" t="inlineStr">
        <is>
          <t>White Blood Cell Count</t>
        </is>
      </c>
      <c r="E183" t="n">
        <v>15.3</v>
      </c>
      <c r="F183" t="inlineStr">
        <is>
          <t>K/uL</t>
        </is>
      </c>
      <c r="G183" t="n">
        <v>4.5</v>
      </c>
      <c r="H183" t="n">
        <v>11</v>
      </c>
      <c r="I183" t="inlineStr">
        <is>
          <t>H</t>
        </is>
      </c>
      <c r="J183" t="inlineStr">
        <is>
          <t>Routine</t>
        </is>
      </c>
      <c r="K183" s="33" t="n">
        <v>45697.51666666667</v>
      </c>
      <c r="L183" s="33" t="n">
        <v>45697.70625</v>
      </c>
      <c r="M183" s="34" t="n"/>
    </row>
    <row r="184">
      <c r="A184" t="inlineStr">
        <is>
          <t>LAB728867</t>
        </is>
      </c>
      <c r="B184" t="inlineStr">
        <is>
          <t>ENC112172</t>
        </is>
      </c>
      <c r="C184" t="inlineStr">
        <is>
          <t>LACT</t>
        </is>
      </c>
      <c r="D184" t="inlineStr">
        <is>
          <t>Lactate</t>
        </is>
      </c>
      <c r="E184" t="n">
        <v>2</v>
      </c>
      <c r="F184" t="inlineStr">
        <is>
          <t>mmol/L</t>
        </is>
      </c>
      <c r="G184" t="n">
        <v>0.5</v>
      </c>
      <c r="H184" t="n">
        <v>2</v>
      </c>
      <c r="I184" t="inlineStr">
        <is>
          <t>N</t>
        </is>
      </c>
      <c r="J184" t="inlineStr">
        <is>
          <t>STAT</t>
        </is>
      </c>
      <c r="K184" s="33" t="n">
        <v>45698.40555555555</v>
      </c>
      <c r="L184" s="33" t="n">
        <v>45698.43472222222</v>
      </c>
      <c r="M184" s="34" t="n"/>
    </row>
    <row r="185">
      <c r="A185" t="inlineStr">
        <is>
          <t>LAB728863</t>
        </is>
      </c>
      <c r="B185" t="inlineStr">
        <is>
          <t>ENC112172</t>
        </is>
      </c>
      <c r="C185" t="inlineStr">
        <is>
          <t>GLU</t>
        </is>
      </c>
      <c r="D185" t="inlineStr">
        <is>
          <t>Glucose</t>
        </is>
      </c>
      <c r="E185" t="n">
        <v>198</v>
      </c>
      <c r="F185" t="inlineStr">
        <is>
          <t>mg/dL</t>
        </is>
      </c>
      <c r="G185" t="n">
        <v>70</v>
      </c>
      <c r="H185" t="n">
        <v>99</v>
      </c>
      <c r="I185" t="inlineStr">
        <is>
          <t>H</t>
        </is>
      </c>
      <c r="J185" t="inlineStr">
        <is>
          <t>STAT</t>
        </is>
      </c>
      <c r="K185" s="33" t="n">
        <v>45698.42013888889</v>
      </c>
      <c r="L185" s="33" t="n">
        <v>45698.45208333333</v>
      </c>
      <c r="M185" s="34" t="n"/>
    </row>
    <row r="186">
      <c r="A186" t="inlineStr">
        <is>
          <t>LAB728866</t>
        </is>
      </c>
      <c r="B186" t="inlineStr">
        <is>
          <t>ENC112172</t>
        </is>
      </c>
      <c r="C186" t="inlineStr">
        <is>
          <t>HGB</t>
        </is>
      </c>
      <c r="D186" t="inlineStr">
        <is>
          <t>Hemoglobin</t>
        </is>
      </c>
      <c r="E186" t="n">
        <v>13.9</v>
      </c>
      <c r="F186" t="inlineStr">
        <is>
          <t>g/dL</t>
        </is>
      </c>
      <c r="G186" t="n">
        <v>12</v>
      </c>
      <c r="H186" t="n">
        <v>17.5</v>
      </c>
      <c r="I186" t="inlineStr">
        <is>
          <t>N</t>
        </is>
      </c>
      <c r="J186" t="inlineStr">
        <is>
          <t>STAT</t>
        </is>
      </c>
      <c r="K186" s="33" t="n">
        <v>45698.42777777778</v>
      </c>
      <c r="L186" s="33" t="n">
        <v>45698.46875</v>
      </c>
      <c r="M186" s="34" t="n"/>
    </row>
    <row r="187">
      <c r="A187" t="inlineStr">
        <is>
          <t>LAB728865</t>
        </is>
      </c>
      <c r="B187" t="inlineStr">
        <is>
          <t>ENC112172</t>
        </is>
      </c>
      <c r="C187" t="inlineStr">
        <is>
          <t>WBC</t>
        </is>
      </c>
      <c r="D187" t="inlineStr">
        <is>
          <t>White Blood Cell Count</t>
        </is>
      </c>
      <c r="E187" t="n">
        <v>10.6</v>
      </c>
      <c r="F187" t="inlineStr">
        <is>
          <t>K/uL</t>
        </is>
      </c>
      <c r="G187" t="n">
        <v>4.5</v>
      </c>
      <c r="H187" t="n">
        <v>11</v>
      </c>
      <c r="I187" t="inlineStr">
        <is>
          <t>N</t>
        </is>
      </c>
      <c r="J187" t="inlineStr">
        <is>
          <t>Routine</t>
        </is>
      </c>
      <c r="K187" s="33" t="n">
        <v>45698.47083333333</v>
      </c>
      <c r="L187" s="33" t="n">
        <v>45698.58402777778</v>
      </c>
      <c r="M187" s="34" t="n"/>
    </row>
    <row r="188">
      <c r="A188" t="inlineStr">
        <is>
          <t>LAB728864</t>
        </is>
      </c>
      <c r="B188" t="inlineStr">
        <is>
          <t>ENC112172</t>
        </is>
      </c>
      <c r="C188" t="inlineStr">
        <is>
          <t>CREAT</t>
        </is>
      </c>
      <c r="D188" t="inlineStr">
        <is>
          <t>Creatinine</t>
        </is>
      </c>
      <c r="E188" t="n">
        <v>2.7</v>
      </c>
      <c r="F188" t="inlineStr">
        <is>
          <t>mg/dL</t>
        </is>
      </c>
      <c r="G188" t="n">
        <v>0.6</v>
      </c>
      <c r="H188" t="n">
        <v>1.3</v>
      </c>
      <c r="I188" t="inlineStr">
        <is>
          <t>H</t>
        </is>
      </c>
      <c r="J188" t="inlineStr">
        <is>
          <t>Routine</t>
        </is>
      </c>
      <c r="K188" s="33" t="n">
        <v>45698.46527777778</v>
      </c>
      <c r="L188" s="33" t="n">
        <v>45698.67152777778</v>
      </c>
      <c r="M188" s="34" t="n"/>
    </row>
    <row r="189">
      <c r="A189" t="inlineStr">
        <is>
          <t>LAB728972</t>
        </is>
      </c>
      <c r="B189" t="inlineStr">
        <is>
          <t>ENC112225</t>
        </is>
      </c>
      <c r="C189" t="inlineStr">
        <is>
          <t>PLT</t>
        </is>
      </c>
      <c r="D189" t="inlineStr">
        <is>
          <t>Platelet Count</t>
        </is>
      </c>
      <c r="E189" t="n">
        <v>320</v>
      </c>
      <c r="F189" t="inlineStr">
        <is>
          <t>K/uL</t>
        </is>
      </c>
      <c r="G189" t="n">
        <v>150</v>
      </c>
      <c r="H189" t="n">
        <v>400</v>
      </c>
      <c r="I189" t="inlineStr">
        <is>
          <t>N</t>
        </is>
      </c>
      <c r="J189" t="inlineStr">
        <is>
          <t>STAT</t>
        </is>
      </c>
      <c r="K189" s="33" t="n">
        <v>45699.52430555555</v>
      </c>
      <c r="L189" s="33" t="n">
        <v>45699.55208333334</v>
      </c>
      <c r="M189" s="34" t="n"/>
    </row>
    <row r="190">
      <c r="A190" t="inlineStr">
        <is>
          <t>LAB728970</t>
        </is>
      </c>
      <c r="B190" t="inlineStr">
        <is>
          <t>ENC112225</t>
        </is>
      </c>
      <c r="C190" t="inlineStr">
        <is>
          <t>K</t>
        </is>
      </c>
      <c r="D190" t="inlineStr">
        <is>
          <t>Potassium</t>
        </is>
      </c>
      <c r="E190" t="n">
        <v>4.1</v>
      </c>
      <c r="F190" t="inlineStr">
        <is>
          <t>mmol/L</t>
        </is>
      </c>
      <c r="G190" t="n">
        <v>3.5</v>
      </c>
      <c r="H190" t="n">
        <v>5.1</v>
      </c>
      <c r="I190" t="inlineStr">
        <is>
          <t>N</t>
        </is>
      </c>
      <c r="J190" t="inlineStr">
        <is>
          <t>STAT</t>
        </is>
      </c>
      <c r="K190" s="33" t="n">
        <v>45699.52708333333</v>
      </c>
      <c r="L190" s="33" t="n">
        <v>45699.55486111111</v>
      </c>
      <c r="M190" s="34" t="n"/>
    </row>
    <row r="191">
      <c r="A191" t="inlineStr">
        <is>
          <t>LAB728973</t>
        </is>
      </c>
      <c r="B191" t="inlineStr">
        <is>
          <t>ENC112225</t>
        </is>
      </c>
      <c r="C191" t="inlineStr">
        <is>
          <t>LACT</t>
        </is>
      </c>
      <c r="D191" t="inlineStr">
        <is>
          <t>Lactate</t>
        </is>
      </c>
      <c r="E191" t="n">
        <v>2.1</v>
      </c>
      <c r="F191" t="inlineStr">
        <is>
          <t>mmol/L</t>
        </is>
      </c>
      <c r="G191" t="n">
        <v>0.5</v>
      </c>
      <c r="H191" t="n">
        <v>2</v>
      </c>
      <c r="I191" t="inlineStr">
        <is>
          <t>H</t>
        </is>
      </c>
      <c r="J191" t="inlineStr">
        <is>
          <t>STAT</t>
        </is>
      </c>
      <c r="K191" s="33" t="n">
        <v>45699.52708333333</v>
      </c>
      <c r="L191" s="33" t="n">
        <v>45699.55486111111</v>
      </c>
      <c r="M191" s="34" t="n"/>
    </row>
    <row r="192">
      <c r="A192" t="inlineStr">
        <is>
          <t>LAB728967</t>
        </is>
      </c>
      <c r="B192" t="inlineStr">
        <is>
          <t>ENC112225</t>
        </is>
      </c>
      <c r="C192" t="inlineStr">
        <is>
          <t>WBC</t>
        </is>
      </c>
      <c r="D192" t="inlineStr">
        <is>
          <t>White Blood Cell Count</t>
        </is>
      </c>
      <c r="E192" t="n">
        <v>19.3</v>
      </c>
      <c r="F192" t="inlineStr">
        <is>
          <t>K/uL</t>
        </is>
      </c>
      <c r="G192" t="n">
        <v>4.5</v>
      </c>
      <c r="H192" t="n">
        <v>11</v>
      </c>
      <c r="I192" t="inlineStr">
        <is>
          <t>H</t>
        </is>
      </c>
      <c r="J192" t="inlineStr">
        <is>
          <t>STAT</t>
        </is>
      </c>
      <c r="K192" s="33" t="n">
        <v>45699.54583333333</v>
      </c>
      <c r="L192" s="33" t="n">
        <v>45699.56527777778</v>
      </c>
      <c r="M192" s="34" t="n"/>
    </row>
    <row r="193">
      <c r="A193" t="inlineStr">
        <is>
          <t>LAB728971</t>
        </is>
      </c>
      <c r="B193" t="inlineStr">
        <is>
          <t>ENC112225</t>
        </is>
      </c>
      <c r="C193" t="inlineStr">
        <is>
          <t>BUN</t>
        </is>
      </c>
      <c r="D193" t="inlineStr">
        <is>
          <t>Blood Urea Nitrogen</t>
        </is>
      </c>
      <c r="E193" t="n">
        <v>13</v>
      </c>
      <c r="F193" t="inlineStr">
        <is>
          <t>mg/dL</t>
        </is>
      </c>
      <c r="G193" t="n">
        <v>7</v>
      </c>
      <c r="H193" t="n">
        <v>20</v>
      </c>
      <c r="I193" t="inlineStr">
        <is>
          <t>N</t>
        </is>
      </c>
      <c r="J193" t="inlineStr">
        <is>
          <t>STAT</t>
        </is>
      </c>
      <c r="K193" s="33" t="n">
        <v>45699.55</v>
      </c>
      <c r="L193" s="33" t="n">
        <v>45699.59027777778</v>
      </c>
      <c r="M193" s="34" t="n"/>
    </row>
    <row r="194">
      <c r="A194" t="inlineStr">
        <is>
          <t>LAB728965</t>
        </is>
      </c>
      <c r="B194" t="inlineStr">
        <is>
          <t>ENC112225</t>
        </is>
      </c>
      <c r="C194" t="inlineStr">
        <is>
          <t>GLU</t>
        </is>
      </c>
      <c r="D194" t="inlineStr">
        <is>
          <t>Glucose</t>
        </is>
      </c>
      <c r="E194" t="n">
        <v>205</v>
      </c>
      <c r="F194" t="inlineStr">
        <is>
          <t>mg/dL</t>
        </is>
      </c>
      <c r="G194" t="n">
        <v>70</v>
      </c>
      <c r="H194" t="n">
        <v>99</v>
      </c>
      <c r="I194" t="inlineStr">
        <is>
          <t>H</t>
        </is>
      </c>
      <c r="J194" t="inlineStr">
        <is>
          <t>STAT</t>
        </is>
      </c>
      <c r="K194" s="33" t="n">
        <v>45699.53263888889</v>
      </c>
      <c r="L194" s="33" t="n">
        <v>45699.59791666667</v>
      </c>
      <c r="M194" s="34" t="n"/>
    </row>
    <row r="195">
      <c r="A195" t="inlineStr">
        <is>
          <t>LAB728966</t>
        </is>
      </c>
      <c r="B195" t="inlineStr">
        <is>
          <t>ENC112225</t>
        </is>
      </c>
      <c r="C195" t="inlineStr">
        <is>
          <t>CREAT</t>
        </is>
      </c>
      <c r="D195" t="inlineStr">
        <is>
          <t>Creatinine</t>
        </is>
      </c>
      <c r="E195" t="n">
        <v>1.55</v>
      </c>
      <c r="F195" t="inlineStr">
        <is>
          <t>mg/dL</t>
        </is>
      </c>
      <c r="G195" t="n">
        <v>0.6</v>
      </c>
      <c r="H195" t="n">
        <v>1.3</v>
      </c>
      <c r="I195" t="inlineStr">
        <is>
          <t>H</t>
        </is>
      </c>
      <c r="J195" t="inlineStr">
        <is>
          <t>STAT</t>
        </is>
      </c>
      <c r="K195" s="33" t="n">
        <v>45699.55833333333</v>
      </c>
      <c r="L195" s="33" t="n">
        <v>45699.59930555556</v>
      </c>
      <c r="M195" s="34" t="n"/>
    </row>
    <row r="196">
      <c r="A196" t="inlineStr">
        <is>
          <t>LAB728969</t>
        </is>
      </c>
      <c r="B196" t="inlineStr">
        <is>
          <t>ENC112225</t>
        </is>
      </c>
      <c r="C196" t="inlineStr">
        <is>
          <t>NA</t>
        </is>
      </c>
      <c r="D196" t="inlineStr">
        <is>
          <t>Sodium</t>
        </is>
      </c>
      <c r="E196" t="n">
        <v>138</v>
      </c>
      <c r="F196" t="inlineStr">
        <is>
          <t>mmol/L</t>
        </is>
      </c>
      <c r="G196" t="n">
        <v>136</v>
      </c>
      <c r="H196" t="n">
        <v>145</v>
      </c>
      <c r="I196" t="inlineStr">
        <is>
          <t>N</t>
        </is>
      </c>
      <c r="J196" t="inlineStr">
        <is>
          <t>STAT</t>
        </is>
      </c>
      <c r="K196" s="33" t="n">
        <v>45699.54166666666</v>
      </c>
      <c r="L196" s="33" t="n">
        <v>45699.60277777778</v>
      </c>
      <c r="M196" s="34" t="n"/>
    </row>
    <row r="197">
      <c r="A197" t="inlineStr">
        <is>
          <t>LAB728968</t>
        </is>
      </c>
      <c r="B197" t="inlineStr">
        <is>
          <t>ENC112225</t>
        </is>
      </c>
      <c r="C197" t="inlineStr">
        <is>
          <t>HGB</t>
        </is>
      </c>
      <c r="D197" t="inlineStr">
        <is>
          <t>Hemoglobin</t>
        </is>
      </c>
      <c r="E197" t="n">
        <v>16.4</v>
      </c>
      <c r="F197" t="inlineStr">
        <is>
          <t>g/dL</t>
        </is>
      </c>
      <c r="G197" t="n">
        <v>12</v>
      </c>
      <c r="H197" t="n">
        <v>17.5</v>
      </c>
      <c r="I197" t="inlineStr">
        <is>
          <t>N</t>
        </is>
      </c>
      <c r="J197" t="inlineStr">
        <is>
          <t>STAT</t>
        </is>
      </c>
      <c r="K197" s="33" t="n">
        <v>45699.57569444444</v>
      </c>
      <c r="L197" s="33" t="n">
        <v>45699.61875</v>
      </c>
      <c r="M197" s="34" t="n"/>
    </row>
    <row r="198">
      <c r="A198" t="inlineStr">
        <is>
          <t>LAB729011</t>
        </is>
      </c>
      <c r="B198" t="inlineStr">
        <is>
          <t>ENC112246</t>
        </is>
      </c>
      <c r="C198" t="inlineStr">
        <is>
          <t>INR</t>
        </is>
      </c>
      <c r="D198" t="inlineStr">
        <is>
          <t>Prothrombin Time INR</t>
        </is>
      </c>
      <c r="E198" t="n">
        <v>1.1</v>
      </c>
      <c r="F198" t="inlineStr">
        <is>
          <t>ratio</t>
        </is>
      </c>
      <c r="G198" t="n">
        <v>0.8</v>
      </c>
      <c r="H198" t="n">
        <v>1.2</v>
      </c>
      <c r="I198" t="inlineStr">
        <is>
          <t>N</t>
        </is>
      </c>
      <c r="J198" t="inlineStr">
        <is>
          <t>STAT</t>
        </is>
      </c>
      <c r="K198" s="33" t="n">
        <v>45699.98819444444</v>
      </c>
      <c r="L198" s="33" t="n">
        <v>45700.00625</v>
      </c>
      <c r="M198" s="34" t="n"/>
    </row>
    <row r="199">
      <c r="A199" t="inlineStr">
        <is>
          <t>LAB729010</t>
        </is>
      </c>
      <c r="B199" t="inlineStr">
        <is>
          <t>ENC112246</t>
        </is>
      </c>
      <c r="C199" t="inlineStr">
        <is>
          <t>LACT</t>
        </is>
      </c>
      <c r="D199" t="inlineStr">
        <is>
          <t>Lactate</t>
        </is>
      </c>
      <c r="E199" t="n">
        <v>1.9</v>
      </c>
      <c r="F199" t="inlineStr">
        <is>
          <t>mmol/L</t>
        </is>
      </c>
      <c r="G199" t="n">
        <v>0.5</v>
      </c>
      <c r="H199" t="n">
        <v>2</v>
      </c>
      <c r="I199" t="inlineStr">
        <is>
          <t>N</t>
        </is>
      </c>
      <c r="J199" t="inlineStr">
        <is>
          <t>STAT</t>
        </is>
      </c>
      <c r="K199" s="33" t="n">
        <v>45700.01805555556</v>
      </c>
      <c r="L199" s="33" t="n">
        <v>45700.04097222222</v>
      </c>
      <c r="M199" s="34" t="n"/>
    </row>
    <row r="200">
      <c r="A200" t="inlineStr">
        <is>
          <t>LAB729009</t>
        </is>
      </c>
      <c r="B200" t="inlineStr">
        <is>
          <t>ENC112246</t>
        </is>
      </c>
      <c r="C200" t="inlineStr">
        <is>
          <t>HGB</t>
        </is>
      </c>
      <c r="D200" t="inlineStr">
        <is>
          <t>Hemoglobin</t>
        </is>
      </c>
      <c r="E200" t="n">
        <v>7</v>
      </c>
      <c r="F200" t="inlineStr">
        <is>
          <t>g/dL</t>
        </is>
      </c>
      <c r="G200" t="n">
        <v>12</v>
      </c>
      <c r="H200" t="n">
        <v>17.5</v>
      </c>
      <c r="I200" t="inlineStr">
        <is>
          <t>L</t>
        </is>
      </c>
      <c r="J200" t="inlineStr">
        <is>
          <t>Routine</t>
        </is>
      </c>
      <c r="K200" s="33" t="n">
        <v>45699.99652777778</v>
      </c>
      <c r="L200" s="33" t="n">
        <v>45700.0625</v>
      </c>
      <c r="M200" s="34" t="n"/>
    </row>
    <row r="201">
      <c r="A201" t="inlineStr">
        <is>
          <t>LAB729008</t>
        </is>
      </c>
      <c r="B201" t="inlineStr">
        <is>
          <t>ENC112246</t>
        </is>
      </c>
      <c r="C201" t="inlineStr">
        <is>
          <t>WBC</t>
        </is>
      </c>
      <c r="D201" t="inlineStr">
        <is>
          <t>White Blood Cell Count</t>
        </is>
      </c>
      <c r="E201" t="n">
        <v>9.6</v>
      </c>
      <c r="F201" t="inlineStr">
        <is>
          <t>K/uL</t>
        </is>
      </c>
      <c r="G201" t="n">
        <v>4.5</v>
      </c>
      <c r="H201" t="n">
        <v>11</v>
      </c>
      <c r="I201" t="inlineStr">
        <is>
          <t>N</t>
        </is>
      </c>
      <c r="J201" t="inlineStr">
        <is>
          <t>STAT</t>
        </is>
      </c>
      <c r="K201" s="33" t="n">
        <v>45700.02083333334</v>
      </c>
      <c r="L201" s="33" t="n">
        <v>45700.07222222222</v>
      </c>
      <c r="M201" s="34" t="n"/>
    </row>
    <row r="202">
      <c r="A202" t="inlineStr">
        <is>
          <t>LAB729007</t>
        </is>
      </c>
      <c r="B202" t="inlineStr">
        <is>
          <t>ENC112246</t>
        </is>
      </c>
      <c r="C202" t="inlineStr">
        <is>
          <t>CREAT</t>
        </is>
      </c>
      <c r="D202" t="inlineStr">
        <is>
          <t>Creatinine</t>
        </is>
      </c>
      <c r="E202" t="n">
        <v>0.93</v>
      </c>
      <c r="F202" t="inlineStr">
        <is>
          <t>mg/dL</t>
        </is>
      </c>
      <c r="G202" t="n">
        <v>0.6</v>
      </c>
      <c r="H202" t="n">
        <v>1.3</v>
      </c>
      <c r="I202" t="inlineStr">
        <is>
          <t>N</t>
        </is>
      </c>
      <c r="J202" t="inlineStr">
        <is>
          <t>STAT</t>
        </is>
      </c>
      <c r="K202" s="33" t="n">
        <v>45700.01527777778</v>
      </c>
      <c r="L202" s="33" t="n">
        <v>45700.07847222222</v>
      </c>
      <c r="M202" s="34" t="n"/>
    </row>
    <row r="203">
      <c r="A203" t="inlineStr">
        <is>
          <t>LAB729006</t>
        </is>
      </c>
      <c r="B203" t="inlineStr">
        <is>
          <t>ENC112246</t>
        </is>
      </c>
      <c r="C203" t="inlineStr">
        <is>
          <t>GLU</t>
        </is>
      </c>
      <c r="D203" t="inlineStr">
        <is>
          <t>Glucose</t>
        </is>
      </c>
      <c r="E203" t="n">
        <v>128</v>
      </c>
      <c r="F203" t="inlineStr">
        <is>
          <t>mg/dL</t>
        </is>
      </c>
      <c r="G203" t="n">
        <v>70</v>
      </c>
      <c r="H203" t="n">
        <v>99</v>
      </c>
      <c r="I203" t="inlineStr">
        <is>
          <t>H</t>
        </is>
      </c>
      <c r="J203" t="inlineStr">
        <is>
          <t>Routine</t>
        </is>
      </c>
      <c r="K203" s="33" t="n">
        <v>45699.99027777778</v>
      </c>
      <c r="L203" s="33" t="n">
        <v>45700.22708333333</v>
      </c>
      <c r="M203" s="34" t="n"/>
    </row>
    <row r="204">
      <c r="A204" t="inlineStr">
        <is>
          <t>LAB729161</t>
        </is>
      </c>
      <c r="B204" t="inlineStr">
        <is>
          <t>ENC112326</t>
        </is>
      </c>
      <c r="C204" t="inlineStr">
        <is>
          <t>CREAT</t>
        </is>
      </c>
      <c r="D204" t="inlineStr">
        <is>
          <t>Creatinine</t>
        </is>
      </c>
      <c r="E204" t="n">
        <v>1.61</v>
      </c>
      <c r="F204" t="inlineStr">
        <is>
          <t>mg/dL</t>
        </is>
      </c>
      <c r="G204" t="n">
        <v>0.6</v>
      </c>
      <c r="H204" t="n">
        <v>1.3</v>
      </c>
      <c r="I204" t="inlineStr">
        <is>
          <t>H</t>
        </is>
      </c>
      <c r="J204" t="inlineStr">
        <is>
          <t>STAT</t>
        </is>
      </c>
      <c r="K204" s="33" t="n">
        <v>45702.00694444445</v>
      </c>
      <c r="L204" s="33" t="n">
        <v>45702.03333333333</v>
      </c>
      <c r="M204" s="34" t="n"/>
    </row>
    <row r="205">
      <c r="A205" t="inlineStr">
        <is>
          <t>LAB729164</t>
        </is>
      </c>
      <c r="B205" t="inlineStr">
        <is>
          <t>ENC112326</t>
        </is>
      </c>
      <c r="C205" t="inlineStr">
        <is>
          <t>LACT</t>
        </is>
      </c>
      <c r="D205" t="inlineStr">
        <is>
          <t>Lactate</t>
        </is>
      </c>
      <c r="E205" t="n">
        <v>3.8</v>
      </c>
      <c r="F205" t="inlineStr">
        <is>
          <t>mmol/L</t>
        </is>
      </c>
      <c r="G205" t="n">
        <v>0.5</v>
      </c>
      <c r="H205" t="n">
        <v>2</v>
      </c>
      <c r="I205" t="inlineStr">
        <is>
          <t>H</t>
        </is>
      </c>
      <c r="J205" t="inlineStr">
        <is>
          <t>STAT</t>
        </is>
      </c>
      <c r="K205" s="33" t="n">
        <v>45702.01944444444</v>
      </c>
      <c r="L205" s="33" t="n">
        <v>45702.04027777778</v>
      </c>
      <c r="M205" s="34" t="n"/>
    </row>
    <row r="206">
      <c r="A206" t="inlineStr">
        <is>
          <t>LAB729162</t>
        </is>
      </c>
      <c r="B206" t="inlineStr">
        <is>
          <t>ENC112326</t>
        </is>
      </c>
      <c r="C206" t="inlineStr">
        <is>
          <t>WBC</t>
        </is>
      </c>
      <c r="D206" t="inlineStr">
        <is>
          <t>White Blood Cell Count</t>
        </is>
      </c>
      <c r="E206" t="n">
        <v>15</v>
      </c>
      <c r="F206" t="inlineStr">
        <is>
          <t>K/uL</t>
        </is>
      </c>
      <c r="G206" t="n">
        <v>4.5</v>
      </c>
      <c r="H206" t="n">
        <v>11</v>
      </c>
      <c r="I206" t="inlineStr">
        <is>
          <t>H</t>
        </is>
      </c>
      <c r="J206" t="inlineStr">
        <is>
          <t>STAT</t>
        </is>
      </c>
      <c r="K206" s="33" t="n">
        <v>45702.01041666666</v>
      </c>
      <c r="L206" s="33" t="n">
        <v>45702.04236111111</v>
      </c>
      <c r="M206" s="34" t="n"/>
    </row>
    <row r="207">
      <c r="A207" t="inlineStr">
        <is>
          <t>LAB729163</t>
        </is>
      </c>
      <c r="B207" t="inlineStr">
        <is>
          <t>ENC112326</t>
        </is>
      </c>
      <c r="C207" t="inlineStr">
        <is>
          <t>HGB</t>
        </is>
      </c>
      <c r="D207" t="inlineStr">
        <is>
          <t>Hemoglobin</t>
        </is>
      </c>
      <c r="E207" t="n">
        <v>14.1</v>
      </c>
      <c r="F207" t="inlineStr">
        <is>
          <t>g/dL</t>
        </is>
      </c>
      <c r="G207" t="n">
        <v>12</v>
      </c>
      <c r="H207" t="n">
        <v>17.5</v>
      </c>
      <c r="I207" t="inlineStr">
        <is>
          <t>N</t>
        </is>
      </c>
      <c r="J207" t="inlineStr">
        <is>
          <t>STAT</t>
        </is>
      </c>
      <c r="K207" s="33" t="n">
        <v>45702.01388888889</v>
      </c>
      <c r="L207" s="33" t="n">
        <v>45702.06458333333</v>
      </c>
      <c r="M207" s="34" t="n"/>
    </row>
    <row r="208">
      <c r="A208" t="inlineStr">
        <is>
          <t>LAB729160</t>
        </is>
      </c>
      <c r="B208" t="inlineStr">
        <is>
          <t>ENC112326</t>
        </is>
      </c>
      <c r="C208" t="inlineStr">
        <is>
          <t>GLU</t>
        </is>
      </c>
      <c r="D208" t="inlineStr">
        <is>
          <t>Glucose</t>
        </is>
      </c>
      <c r="E208" t="n">
        <v>165</v>
      </c>
      <c r="F208" t="inlineStr">
        <is>
          <t>mg/dL</t>
        </is>
      </c>
      <c r="G208" t="n">
        <v>70</v>
      </c>
      <c r="H208" t="n">
        <v>99</v>
      </c>
      <c r="I208" t="inlineStr">
        <is>
          <t>H</t>
        </is>
      </c>
      <c r="J208" t="inlineStr">
        <is>
          <t>Routine</t>
        </is>
      </c>
      <c r="K208" s="33" t="n">
        <v>45701.99097222222</v>
      </c>
      <c r="L208" s="33" t="n">
        <v>45702.19305555556</v>
      </c>
      <c r="M208" s="34" t="n"/>
    </row>
    <row r="209">
      <c r="A209" t="inlineStr">
        <is>
          <t>LAB729190</t>
        </is>
      </c>
      <c r="B209" t="inlineStr">
        <is>
          <t>ENC112339</t>
        </is>
      </c>
      <c r="C209" t="inlineStr">
        <is>
          <t>HGB</t>
        </is>
      </c>
      <c r="D209" t="inlineStr">
        <is>
          <t>Hemoglobin</t>
        </is>
      </c>
      <c r="E209" t="n">
        <v>14.9</v>
      </c>
      <c r="F209" t="inlineStr">
        <is>
          <t>g/dL</t>
        </is>
      </c>
      <c r="G209" t="n">
        <v>12</v>
      </c>
      <c r="H209" t="n">
        <v>17.5</v>
      </c>
      <c r="I209" t="inlineStr">
        <is>
          <t>N</t>
        </is>
      </c>
      <c r="J209" t="inlineStr">
        <is>
          <t>STAT</t>
        </is>
      </c>
      <c r="K209" s="33" t="n">
        <v>45702.69583333333</v>
      </c>
      <c r="L209" s="33" t="n">
        <v>45702.70833333334</v>
      </c>
      <c r="M209" s="34" t="n"/>
    </row>
    <row r="210">
      <c r="A210" t="inlineStr">
        <is>
          <t>LAB729191</t>
        </is>
      </c>
      <c r="B210" t="inlineStr">
        <is>
          <t>ENC112339</t>
        </is>
      </c>
      <c r="C210" t="inlineStr">
        <is>
          <t>LACT</t>
        </is>
      </c>
      <c r="D210" t="inlineStr">
        <is>
          <t>Lactate</t>
        </is>
      </c>
      <c r="E210" t="n">
        <v>2.7</v>
      </c>
      <c r="F210" t="inlineStr">
        <is>
          <t>mmol/L</t>
        </is>
      </c>
      <c r="G210" t="n">
        <v>0.5</v>
      </c>
      <c r="H210" t="n">
        <v>2</v>
      </c>
      <c r="I210" t="inlineStr">
        <is>
          <t>H</t>
        </is>
      </c>
      <c r="J210" t="inlineStr">
        <is>
          <t>STAT</t>
        </is>
      </c>
      <c r="K210" s="33" t="n">
        <v>45702.68125</v>
      </c>
      <c r="L210" s="33" t="n">
        <v>45702.70833333334</v>
      </c>
      <c r="M210" s="34" t="n"/>
    </row>
    <row r="211">
      <c r="A211" t="inlineStr">
        <is>
          <t>LAB729187</t>
        </is>
      </c>
      <c r="B211" t="inlineStr">
        <is>
          <t>ENC112339</t>
        </is>
      </c>
      <c r="C211" t="inlineStr">
        <is>
          <t>GLU</t>
        </is>
      </c>
      <c r="D211" t="inlineStr">
        <is>
          <t>Glucose</t>
        </is>
      </c>
      <c r="E211" t="n">
        <v>148</v>
      </c>
      <c r="F211" t="inlineStr">
        <is>
          <t>mg/dL</t>
        </is>
      </c>
      <c r="G211" t="n">
        <v>70</v>
      </c>
      <c r="H211" t="n">
        <v>99</v>
      </c>
      <c r="I211" t="inlineStr">
        <is>
          <t>H</t>
        </is>
      </c>
      <c r="J211" t="inlineStr">
        <is>
          <t>STAT</t>
        </is>
      </c>
      <c r="K211" s="33" t="n">
        <v>45702.70486111111</v>
      </c>
      <c r="L211" s="33" t="n">
        <v>45702.73819444444</v>
      </c>
      <c r="M211" s="34" t="n"/>
    </row>
    <row r="212">
      <c r="A212" t="inlineStr">
        <is>
          <t>LAB729188</t>
        </is>
      </c>
      <c r="B212" t="inlineStr">
        <is>
          <t>ENC112339</t>
        </is>
      </c>
      <c r="C212" t="inlineStr">
        <is>
          <t>CREAT</t>
        </is>
      </c>
      <c r="D212" t="inlineStr">
        <is>
          <t>Creatinine</t>
        </is>
      </c>
      <c r="E212" t="n">
        <v>2.06</v>
      </c>
      <c r="F212" t="inlineStr">
        <is>
          <t>mg/dL</t>
        </is>
      </c>
      <c r="G212" t="n">
        <v>0.6</v>
      </c>
      <c r="H212" t="n">
        <v>1.3</v>
      </c>
      <c r="I212" t="inlineStr">
        <is>
          <t>H</t>
        </is>
      </c>
      <c r="J212" t="inlineStr">
        <is>
          <t>Routine</t>
        </is>
      </c>
      <c r="K212" s="33" t="n">
        <v>45702.68888888889</v>
      </c>
      <c r="L212" s="33" t="n">
        <v>45702.82430555556</v>
      </c>
      <c r="M212" s="34" t="n"/>
    </row>
    <row r="213">
      <c r="A213" t="inlineStr">
        <is>
          <t>LAB729189</t>
        </is>
      </c>
      <c r="B213" t="inlineStr">
        <is>
          <t>ENC112339</t>
        </is>
      </c>
      <c r="C213" t="inlineStr">
        <is>
          <t>WBC</t>
        </is>
      </c>
      <c r="D213" t="inlineStr">
        <is>
          <t>White Blood Cell Count</t>
        </is>
      </c>
      <c r="E213" t="n">
        <v>17.9</v>
      </c>
      <c r="F213" t="inlineStr">
        <is>
          <t>K/uL</t>
        </is>
      </c>
      <c r="G213" t="n">
        <v>4.5</v>
      </c>
      <c r="H213" t="n">
        <v>11</v>
      </c>
      <c r="I213" t="inlineStr">
        <is>
          <t>H</t>
        </is>
      </c>
      <c r="J213" t="inlineStr">
        <is>
          <t>Routine</t>
        </is>
      </c>
      <c r="K213" s="33" t="n">
        <v>45702.68611111111</v>
      </c>
      <c r="L213" s="33" t="n">
        <v>45702.87291666667</v>
      </c>
      <c r="M213" s="34" t="n"/>
    </row>
    <row r="214">
      <c r="A214" t="inlineStr">
        <is>
          <t>LAB729369</t>
        </is>
      </c>
      <c r="B214" t="inlineStr">
        <is>
          <t>ENC112413</t>
        </is>
      </c>
      <c r="C214" t="inlineStr">
        <is>
          <t>HGB</t>
        </is>
      </c>
      <c r="D214" t="inlineStr">
        <is>
          <t>Hemoglobin</t>
        </is>
      </c>
      <c r="E214" t="n">
        <v>15</v>
      </c>
      <c r="F214" t="inlineStr">
        <is>
          <t>g/dL</t>
        </is>
      </c>
      <c r="G214" t="n">
        <v>12</v>
      </c>
      <c r="H214" t="n">
        <v>17.5</v>
      </c>
      <c r="I214" t="inlineStr">
        <is>
          <t>N</t>
        </is>
      </c>
      <c r="J214" t="inlineStr">
        <is>
          <t>STAT</t>
        </is>
      </c>
      <c r="K214" s="33" t="n">
        <v>45705.53888888889</v>
      </c>
      <c r="L214" s="33" t="n">
        <v>45705.56736111111</v>
      </c>
      <c r="M214" s="34" t="n"/>
    </row>
    <row r="215">
      <c r="A215" t="inlineStr">
        <is>
          <t>LAB729370</t>
        </is>
      </c>
      <c r="B215" t="inlineStr">
        <is>
          <t>ENC112413</t>
        </is>
      </c>
      <c r="C215" t="inlineStr">
        <is>
          <t>LACT</t>
        </is>
      </c>
      <c r="D215" t="inlineStr">
        <is>
          <t>Lactate</t>
        </is>
      </c>
      <c r="E215" t="n">
        <v>7.4</v>
      </c>
      <c r="F215" t="inlineStr">
        <is>
          <t>mmol/L</t>
        </is>
      </c>
      <c r="G215" t="n">
        <v>0.5</v>
      </c>
      <c r="H215" t="n">
        <v>2</v>
      </c>
      <c r="I215" t="inlineStr">
        <is>
          <t>HH</t>
        </is>
      </c>
      <c r="J215" t="inlineStr">
        <is>
          <t>STAT</t>
        </is>
      </c>
      <c r="K215" s="33" t="n">
        <v>45705.53472222222</v>
      </c>
      <c r="L215" s="33" t="n">
        <v>45705.57430555556</v>
      </c>
      <c r="M215" s="34" t="n"/>
    </row>
    <row r="216">
      <c r="A216" t="inlineStr">
        <is>
          <t>LAB729366</t>
        </is>
      </c>
      <c r="B216" t="inlineStr">
        <is>
          <t>ENC112413</t>
        </is>
      </c>
      <c r="C216" t="inlineStr">
        <is>
          <t>GLU</t>
        </is>
      </c>
      <c r="D216" t="inlineStr">
        <is>
          <t>Glucose</t>
        </is>
      </c>
      <c r="E216" t="n">
        <v>124</v>
      </c>
      <c r="F216" t="inlineStr">
        <is>
          <t>mg/dL</t>
        </is>
      </c>
      <c r="G216" t="n">
        <v>70</v>
      </c>
      <c r="H216" t="n">
        <v>99</v>
      </c>
      <c r="I216" t="inlineStr">
        <is>
          <t>H</t>
        </is>
      </c>
      <c r="J216" t="inlineStr">
        <is>
          <t>Routine</t>
        </is>
      </c>
      <c r="K216" s="33" t="n">
        <v>45705.53263888889</v>
      </c>
      <c r="L216" s="33" t="n">
        <v>45705.58402777778</v>
      </c>
      <c r="M216" s="34" t="n"/>
    </row>
    <row r="217">
      <c r="A217" t="inlineStr">
        <is>
          <t>LAB729367</t>
        </is>
      </c>
      <c r="B217" t="inlineStr">
        <is>
          <t>ENC112413</t>
        </is>
      </c>
      <c r="C217" t="inlineStr">
        <is>
          <t>CREAT</t>
        </is>
      </c>
      <c r="D217" t="inlineStr">
        <is>
          <t>Creatinine</t>
        </is>
      </c>
      <c r="E217" t="n">
        <v>0.62</v>
      </c>
      <c r="F217" t="inlineStr">
        <is>
          <t>mg/dL</t>
        </is>
      </c>
      <c r="G217" t="n">
        <v>0.6</v>
      </c>
      <c r="H217" t="n">
        <v>1.3</v>
      </c>
      <c r="I217" t="inlineStr">
        <is>
          <t>N</t>
        </is>
      </c>
      <c r="J217" t="inlineStr">
        <is>
          <t>STAT</t>
        </is>
      </c>
      <c r="K217" s="33" t="n">
        <v>45705.54652777778</v>
      </c>
      <c r="L217" s="33" t="n">
        <v>45705.59097222222</v>
      </c>
      <c r="M217" s="34" t="n"/>
    </row>
    <row r="218">
      <c r="A218" t="inlineStr">
        <is>
          <t>LAB729368</t>
        </is>
      </c>
      <c r="B218" t="inlineStr">
        <is>
          <t>ENC112413</t>
        </is>
      </c>
      <c r="C218" t="inlineStr">
        <is>
          <t>WBC</t>
        </is>
      </c>
      <c r="D218" t="inlineStr">
        <is>
          <t>White Blood Cell Count</t>
        </is>
      </c>
      <c r="E218" t="n">
        <v>21.7</v>
      </c>
      <c r="F218" t="inlineStr">
        <is>
          <t>K/uL</t>
        </is>
      </c>
      <c r="G218" t="n">
        <v>4.5</v>
      </c>
      <c r="H218" t="n">
        <v>11</v>
      </c>
      <c r="I218" t="inlineStr">
        <is>
          <t>H</t>
        </is>
      </c>
      <c r="J218" t="inlineStr">
        <is>
          <t>Routine</t>
        </is>
      </c>
      <c r="K218" s="33" t="n">
        <v>45705.54861111111</v>
      </c>
      <c r="L218" s="33" t="n">
        <v>45705.59930555556</v>
      </c>
      <c r="M218" s="34" t="n"/>
    </row>
    <row r="219">
      <c r="A219" t="inlineStr">
        <is>
          <t>LAB729402</t>
        </is>
      </c>
      <c r="B219" t="inlineStr">
        <is>
          <t>ENC112430</t>
        </is>
      </c>
      <c r="C219" t="inlineStr">
        <is>
          <t>WBC</t>
        </is>
      </c>
      <c r="D219" t="inlineStr">
        <is>
          <t>White Blood Cell Count</t>
        </is>
      </c>
      <c r="E219" t="n">
        <v>13.8</v>
      </c>
      <c r="F219" t="inlineStr">
        <is>
          <t>K/uL</t>
        </is>
      </c>
      <c r="G219" t="n">
        <v>4.5</v>
      </c>
      <c r="H219" t="n">
        <v>11</v>
      </c>
      <c r="I219" t="inlineStr">
        <is>
          <t>H</t>
        </is>
      </c>
      <c r="J219" t="inlineStr">
        <is>
          <t>STAT</t>
        </is>
      </c>
      <c r="K219" s="33" t="n">
        <v>45705.76458333333</v>
      </c>
      <c r="L219" s="33" t="n">
        <v>45705.78819444445</v>
      </c>
      <c r="M219" s="34" t="n"/>
    </row>
    <row r="220">
      <c r="A220" t="inlineStr">
        <is>
          <t>LAB729403</t>
        </is>
      </c>
      <c r="B220" t="inlineStr">
        <is>
          <t>ENC112430</t>
        </is>
      </c>
      <c r="C220" t="inlineStr">
        <is>
          <t>HGB</t>
        </is>
      </c>
      <c r="D220" t="inlineStr">
        <is>
          <t>Hemoglobin</t>
        </is>
      </c>
      <c r="E220" t="n">
        <v>15.2</v>
      </c>
      <c r="F220" t="inlineStr">
        <is>
          <t>g/dL</t>
        </is>
      </c>
      <c r="G220" t="n">
        <v>12</v>
      </c>
      <c r="H220" t="n">
        <v>17.5</v>
      </c>
      <c r="I220" t="inlineStr">
        <is>
          <t>N</t>
        </is>
      </c>
      <c r="J220" t="inlineStr">
        <is>
          <t>STAT</t>
        </is>
      </c>
      <c r="K220" s="33" t="n">
        <v>45705.76805555556</v>
      </c>
      <c r="L220" s="33" t="n">
        <v>45705.80833333333</v>
      </c>
      <c r="M220" s="34" t="n"/>
    </row>
    <row r="221">
      <c r="A221" t="inlineStr">
        <is>
          <t>LAB729401</t>
        </is>
      </c>
      <c r="B221" t="inlineStr">
        <is>
          <t>ENC112430</t>
        </is>
      </c>
      <c r="C221" t="inlineStr">
        <is>
          <t>CREAT</t>
        </is>
      </c>
      <c r="D221" t="inlineStr">
        <is>
          <t>Creatinine</t>
        </is>
      </c>
      <c r="E221" t="n">
        <v>1.83</v>
      </c>
      <c r="F221" t="inlineStr">
        <is>
          <t>mg/dL</t>
        </is>
      </c>
      <c r="G221" t="n">
        <v>0.6</v>
      </c>
      <c r="H221" t="n">
        <v>1.3</v>
      </c>
      <c r="I221" t="inlineStr">
        <is>
          <t>H</t>
        </is>
      </c>
      <c r="J221" t="inlineStr">
        <is>
          <t>STAT</t>
        </is>
      </c>
      <c r="K221" s="33" t="n">
        <v>45705.78333333333</v>
      </c>
      <c r="L221" s="33" t="n">
        <v>45705.82361111111</v>
      </c>
      <c r="M221" s="34" t="n"/>
    </row>
    <row r="222">
      <c r="A222" t="inlineStr">
        <is>
          <t>LAB729404</t>
        </is>
      </c>
      <c r="B222" t="inlineStr">
        <is>
          <t>ENC112430</t>
        </is>
      </c>
      <c r="C222" t="inlineStr">
        <is>
          <t>LACT</t>
        </is>
      </c>
      <c r="D222" t="inlineStr">
        <is>
          <t>Lactate</t>
        </is>
      </c>
      <c r="E222" t="n">
        <v>3.3</v>
      </c>
      <c r="F222" t="inlineStr">
        <is>
          <t>mmol/L</t>
        </is>
      </c>
      <c r="G222" t="n">
        <v>0.5</v>
      </c>
      <c r="H222" t="n">
        <v>2</v>
      </c>
      <c r="I222" t="inlineStr">
        <is>
          <t>H</t>
        </is>
      </c>
      <c r="J222" t="inlineStr">
        <is>
          <t>STAT</t>
        </is>
      </c>
      <c r="K222" s="33" t="n">
        <v>45705.79583333333</v>
      </c>
      <c r="L222" s="33" t="n">
        <v>45705.84930555556</v>
      </c>
      <c r="M222" s="34" t="n"/>
    </row>
    <row r="223">
      <c r="A223" t="inlineStr">
        <is>
          <t>LAB729400</t>
        </is>
      </c>
      <c r="B223" t="inlineStr">
        <is>
          <t>ENC112430</t>
        </is>
      </c>
      <c r="C223" t="inlineStr">
        <is>
          <t>GLU</t>
        </is>
      </c>
      <c r="D223" t="inlineStr">
        <is>
          <t>Glucose</t>
        </is>
      </c>
      <c r="E223" t="n">
        <v>215</v>
      </c>
      <c r="F223" t="inlineStr">
        <is>
          <t>mg/dL</t>
        </is>
      </c>
      <c r="G223" t="n">
        <v>70</v>
      </c>
      <c r="H223" t="n">
        <v>99</v>
      </c>
      <c r="I223" t="inlineStr">
        <is>
          <t>H</t>
        </is>
      </c>
      <c r="J223" t="inlineStr">
        <is>
          <t>Routine</t>
        </is>
      </c>
      <c r="K223" s="33" t="n">
        <v>45705.79375</v>
      </c>
      <c r="L223" s="33" t="n">
        <v>45705.91111111111</v>
      </c>
      <c r="M223" s="34" t="n"/>
    </row>
    <row r="224">
      <c r="A224" t="inlineStr">
        <is>
          <t>LAB729553</t>
        </is>
      </c>
      <c r="B224" t="inlineStr">
        <is>
          <t>ENC112495</t>
        </is>
      </c>
      <c r="C224" t="inlineStr">
        <is>
          <t>LACT</t>
        </is>
      </c>
      <c r="D224" t="inlineStr">
        <is>
          <t>Lactate</t>
        </is>
      </c>
      <c r="E224" t="n">
        <v>1.3</v>
      </c>
      <c r="F224" t="inlineStr">
        <is>
          <t>mmol/L</t>
        </is>
      </c>
      <c r="G224" t="n">
        <v>0.5</v>
      </c>
      <c r="H224" t="n">
        <v>2</v>
      </c>
      <c r="I224" t="inlineStr">
        <is>
          <t>N</t>
        </is>
      </c>
      <c r="J224" t="inlineStr">
        <is>
          <t>STAT</t>
        </is>
      </c>
      <c r="K224" s="33" t="n">
        <v>45707.55902777778</v>
      </c>
      <c r="L224" s="33" t="n">
        <v>45707.57777777778</v>
      </c>
      <c r="M224" s="34" t="n"/>
    </row>
    <row r="225">
      <c r="A225" t="inlineStr">
        <is>
          <t>LAB729550</t>
        </is>
      </c>
      <c r="B225" t="inlineStr">
        <is>
          <t>ENC112495</t>
        </is>
      </c>
      <c r="C225" t="inlineStr">
        <is>
          <t>CREAT</t>
        </is>
      </c>
      <c r="D225" t="inlineStr">
        <is>
          <t>Creatinine</t>
        </is>
      </c>
      <c r="E225" t="n">
        <v>0.95</v>
      </c>
      <c r="F225" t="inlineStr">
        <is>
          <t>mg/dL</t>
        </is>
      </c>
      <c r="G225" t="n">
        <v>0.6</v>
      </c>
      <c r="H225" t="n">
        <v>1.3</v>
      </c>
      <c r="I225" t="inlineStr">
        <is>
          <t>N</t>
        </is>
      </c>
      <c r="J225" t="inlineStr">
        <is>
          <t>STAT</t>
        </is>
      </c>
      <c r="K225" s="33" t="n">
        <v>45707.56527777778</v>
      </c>
      <c r="L225" s="33" t="n">
        <v>45707.58402777778</v>
      </c>
      <c r="M225" s="34" t="n"/>
    </row>
    <row r="226">
      <c r="A226" t="inlineStr">
        <is>
          <t>LAB729551</t>
        </is>
      </c>
      <c r="B226" t="inlineStr">
        <is>
          <t>ENC112495</t>
        </is>
      </c>
      <c r="C226" t="inlineStr">
        <is>
          <t>WBC</t>
        </is>
      </c>
      <c r="D226" t="inlineStr">
        <is>
          <t>White Blood Cell Count</t>
        </is>
      </c>
      <c r="E226" t="n">
        <v>5.5</v>
      </c>
      <c r="F226" t="inlineStr">
        <is>
          <t>K/uL</t>
        </is>
      </c>
      <c r="G226" t="n">
        <v>4.5</v>
      </c>
      <c r="H226" t="n">
        <v>11</v>
      </c>
      <c r="I226" t="inlineStr">
        <is>
          <t>N</t>
        </is>
      </c>
      <c r="J226" t="inlineStr">
        <is>
          <t>STAT</t>
        </is>
      </c>
      <c r="K226" s="33" t="n">
        <v>45707.56597222222</v>
      </c>
      <c r="L226" s="33" t="n">
        <v>45707.59027777778</v>
      </c>
      <c r="M226" s="34" t="n"/>
    </row>
    <row r="227">
      <c r="A227" t="inlineStr">
        <is>
          <t>LAB729552</t>
        </is>
      </c>
      <c r="B227" t="inlineStr">
        <is>
          <t>ENC112495</t>
        </is>
      </c>
      <c r="C227" t="inlineStr">
        <is>
          <t>HGB</t>
        </is>
      </c>
      <c r="D227" t="inlineStr">
        <is>
          <t>Hemoglobin</t>
        </is>
      </c>
      <c r="E227" t="n">
        <v>13.9</v>
      </c>
      <c r="F227" t="inlineStr">
        <is>
          <t>g/dL</t>
        </is>
      </c>
      <c r="G227" t="n">
        <v>12</v>
      </c>
      <c r="H227" t="n">
        <v>17.5</v>
      </c>
      <c r="I227" t="inlineStr">
        <is>
          <t>N</t>
        </is>
      </c>
      <c r="J227" t="inlineStr">
        <is>
          <t>STAT</t>
        </is>
      </c>
      <c r="K227" s="33" t="n">
        <v>45707.56875</v>
      </c>
      <c r="L227" s="33" t="n">
        <v>45707.63194444445</v>
      </c>
      <c r="M227" s="34" t="n"/>
    </row>
    <row r="228">
      <c r="A228" t="inlineStr">
        <is>
          <t>LAB729549</t>
        </is>
      </c>
      <c r="B228" t="inlineStr">
        <is>
          <t>ENC112495</t>
        </is>
      </c>
      <c r="C228" t="inlineStr">
        <is>
          <t>GLU</t>
        </is>
      </c>
      <c r="D228" t="inlineStr">
        <is>
          <t>Glucose</t>
        </is>
      </c>
      <c r="E228" t="n">
        <v>100</v>
      </c>
      <c r="F228" t="inlineStr">
        <is>
          <t>mg/dL</t>
        </is>
      </c>
      <c r="G228" t="n">
        <v>70</v>
      </c>
      <c r="H228" t="n">
        <v>99</v>
      </c>
      <c r="I228" t="inlineStr">
        <is>
          <t>H</t>
        </is>
      </c>
      <c r="J228" t="inlineStr">
        <is>
          <t>Routine</t>
        </is>
      </c>
      <c r="K228" s="33" t="n">
        <v>45707.55486111111</v>
      </c>
      <c r="L228" s="33" t="n">
        <v>45707.65208333333</v>
      </c>
      <c r="M228" s="34" t="n"/>
    </row>
    <row r="229">
      <c r="A229" t="inlineStr">
        <is>
          <t>LAB729623</t>
        </is>
      </c>
      <c r="B229" t="inlineStr">
        <is>
          <t>ENC112524</t>
        </is>
      </c>
      <c r="C229" t="inlineStr">
        <is>
          <t>GLU</t>
        </is>
      </c>
      <c r="D229" t="inlineStr">
        <is>
          <t>Glucose</t>
        </is>
      </c>
      <c r="E229" t="n">
        <v>76</v>
      </c>
      <c r="F229" t="inlineStr">
        <is>
          <t>mg/dL</t>
        </is>
      </c>
      <c r="G229" t="n">
        <v>70</v>
      </c>
      <c r="H229" t="n">
        <v>99</v>
      </c>
      <c r="I229" t="inlineStr">
        <is>
          <t>N</t>
        </is>
      </c>
      <c r="J229" t="inlineStr">
        <is>
          <t>STAT</t>
        </is>
      </c>
      <c r="K229" s="33" t="n">
        <v>45707.88472222222</v>
      </c>
      <c r="L229" s="33" t="n">
        <v>45707.91597222222</v>
      </c>
      <c r="M229" s="34" t="n"/>
    </row>
    <row r="230">
      <c r="A230" t="inlineStr">
        <is>
          <t>LAB729624</t>
        </is>
      </c>
      <c r="B230" t="inlineStr">
        <is>
          <t>ENC112524</t>
        </is>
      </c>
      <c r="C230" t="inlineStr">
        <is>
          <t>CREAT</t>
        </is>
      </c>
      <c r="D230" t="inlineStr">
        <is>
          <t>Creatinine</t>
        </is>
      </c>
      <c r="E230" t="n">
        <v>0.86</v>
      </c>
      <c r="F230" t="inlineStr">
        <is>
          <t>mg/dL</t>
        </is>
      </c>
      <c r="G230" t="n">
        <v>0.6</v>
      </c>
      <c r="H230" t="n">
        <v>1.3</v>
      </c>
      <c r="I230" t="inlineStr">
        <is>
          <t>N</t>
        </is>
      </c>
      <c r="J230" t="inlineStr">
        <is>
          <t>STAT</t>
        </is>
      </c>
      <c r="K230" s="33" t="n">
        <v>45707.91319444445</v>
      </c>
      <c r="L230" s="33" t="n">
        <v>45707.93958333333</v>
      </c>
      <c r="M230" s="34" t="n"/>
    </row>
    <row r="231">
      <c r="A231" t="inlineStr">
        <is>
          <t>LAB729625</t>
        </is>
      </c>
      <c r="B231" t="inlineStr">
        <is>
          <t>ENC112524</t>
        </is>
      </c>
      <c r="C231" t="inlineStr">
        <is>
          <t>WBC</t>
        </is>
      </c>
      <c r="D231" t="inlineStr">
        <is>
          <t>White Blood Cell Count</t>
        </is>
      </c>
      <c r="E231" t="n">
        <v>6.3</v>
      </c>
      <c r="F231" t="inlineStr">
        <is>
          <t>K/uL</t>
        </is>
      </c>
      <c r="G231" t="n">
        <v>4.5</v>
      </c>
      <c r="H231" t="n">
        <v>11</v>
      </c>
      <c r="I231" t="inlineStr">
        <is>
          <t>N</t>
        </is>
      </c>
      <c r="J231" t="inlineStr">
        <is>
          <t>STAT</t>
        </is>
      </c>
      <c r="K231" s="33" t="n">
        <v>45707.89444444444</v>
      </c>
      <c r="L231" s="33" t="n">
        <v>45707.95138888889</v>
      </c>
      <c r="M231" s="34" t="n"/>
    </row>
    <row r="232">
      <c r="A232" t="inlineStr">
        <is>
          <t>LAB729628</t>
        </is>
      </c>
      <c r="B232" t="inlineStr">
        <is>
          <t>ENC112524</t>
        </is>
      </c>
      <c r="C232" t="inlineStr">
        <is>
          <t>PLT</t>
        </is>
      </c>
      <c r="D232" t="inlineStr">
        <is>
          <t>Platelet Count</t>
        </is>
      </c>
      <c r="E232" t="n">
        <v>296</v>
      </c>
      <c r="F232" t="inlineStr">
        <is>
          <t>K/uL</t>
        </is>
      </c>
      <c r="G232" t="n">
        <v>150</v>
      </c>
      <c r="H232" t="n">
        <v>400</v>
      </c>
      <c r="I232" t="inlineStr">
        <is>
          <t>N</t>
        </is>
      </c>
      <c r="J232" t="inlineStr">
        <is>
          <t>STAT</t>
        </is>
      </c>
      <c r="K232" s="33" t="n">
        <v>45707.91944444444</v>
      </c>
      <c r="L232" s="33" t="n">
        <v>45707.95625</v>
      </c>
      <c r="M232" s="34" t="n"/>
    </row>
    <row r="233">
      <c r="A233" t="inlineStr">
        <is>
          <t>LAB729629</t>
        </is>
      </c>
      <c r="B233" t="inlineStr">
        <is>
          <t>ENC112524</t>
        </is>
      </c>
      <c r="C233" t="inlineStr">
        <is>
          <t>LACT</t>
        </is>
      </c>
      <c r="D233" t="inlineStr">
        <is>
          <t>Lactate</t>
        </is>
      </c>
      <c r="E233" t="n">
        <v>2.5</v>
      </c>
      <c r="F233" t="inlineStr">
        <is>
          <t>mmol/L</t>
        </is>
      </c>
      <c r="G233" t="n">
        <v>0.5</v>
      </c>
      <c r="H233" t="n">
        <v>2</v>
      </c>
      <c r="I233" t="inlineStr">
        <is>
          <t>H</t>
        </is>
      </c>
      <c r="J233" t="inlineStr">
        <is>
          <t>STAT</t>
        </is>
      </c>
      <c r="K233" s="33" t="n">
        <v>45707.93541666667</v>
      </c>
      <c r="L233" s="33" t="n">
        <v>45707.95763888889</v>
      </c>
      <c r="M233" s="34" t="n"/>
    </row>
    <row r="234">
      <c r="A234" t="inlineStr">
        <is>
          <t>LAB729626</t>
        </is>
      </c>
      <c r="B234" t="inlineStr">
        <is>
          <t>ENC112524</t>
        </is>
      </c>
      <c r="C234" t="inlineStr">
        <is>
          <t>HGB</t>
        </is>
      </c>
      <c r="D234" t="inlineStr">
        <is>
          <t>Hemoglobin</t>
        </is>
      </c>
      <c r="E234" t="n">
        <v>12.7</v>
      </c>
      <c r="F234" t="inlineStr">
        <is>
          <t>g/dL</t>
        </is>
      </c>
      <c r="G234" t="n">
        <v>12</v>
      </c>
      <c r="H234" t="n">
        <v>17.5</v>
      </c>
      <c r="I234" t="inlineStr">
        <is>
          <t>N</t>
        </is>
      </c>
      <c r="J234" t="inlineStr">
        <is>
          <t>Routine</t>
        </is>
      </c>
      <c r="K234" s="33" t="n">
        <v>45707.90347222222</v>
      </c>
      <c r="L234" s="33" t="n">
        <v>45707.96875</v>
      </c>
      <c r="M234" s="34" t="n"/>
    </row>
    <row r="235">
      <c r="A235" t="inlineStr">
        <is>
          <t>LAB729627</t>
        </is>
      </c>
      <c r="B235" t="inlineStr">
        <is>
          <t>ENC112524</t>
        </is>
      </c>
      <c r="C235" t="inlineStr">
        <is>
          <t>BUN</t>
        </is>
      </c>
      <c r="D235" t="inlineStr">
        <is>
          <t>Blood Urea Nitrogen</t>
        </is>
      </c>
      <c r="E235" t="n">
        <v>17</v>
      </c>
      <c r="F235" t="inlineStr">
        <is>
          <t>mg/dL</t>
        </is>
      </c>
      <c r="G235" t="n">
        <v>7</v>
      </c>
      <c r="H235" t="n">
        <v>20</v>
      </c>
      <c r="I235" t="inlineStr">
        <is>
          <t>N</t>
        </is>
      </c>
      <c r="J235" t="inlineStr">
        <is>
          <t>Routine</t>
        </is>
      </c>
      <c r="K235" s="33" t="n">
        <v>45707.93263888889</v>
      </c>
      <c r="L235" s="33" t="n">
        <v>45708.09166666667</v>
      </c>
      <c r="M235" s="34" t="n"/>
    </row>
    <row r="236">
      <c r="A236" t="inlineStr">
        <is>
          <t>LAB729760</t>
        </is>
      </c>
      <c r="B236" t="inlineStr">
        <is>
          <t>ENC112580</t>
        </is>
      </c>
      <c r="C236" t="inlineStr">
        <is>
          <t>CREAT</t>
        </is>
      </c>
      <c r="D236" t="inlineStr">
        <is>
          <t>Creatinine</t>
        </is>
      </c>
      <c r="E236" t="n">
        <v>1.29</v>
      </c>
      <c r="F236" t="inlineStr">
        <is>
          <t>mg/dL</t>
        </is>
      </c>
      <c r="G236" t="n">
        <v>0.6</v>
      </c>
      <c r="H236" t="n">
        <v>1.3</v>
      </c>
      <c r="I236" t="inlineStr">
        <is>
          <t>N</t>
        </is>
      </c>
      <c r="J236" t="inlineStr">
        <is>
          <t>STAT</t>
        </is>
      </c>
      <c r="K236" s="33" t="n">
        <v>45709.4875</v>
      </c>
      <c r="L236" s="33" t="n">
        <v>45709.51180555556</v>
      </c>
      <c r="M236" s="34" t="n"/>
    </row>
    <row r="237">
      <c r="A237" t="inlineStr">
        <is>
          <t>LAB729763</t>
        </is>
      </c>
      <c r="B237" t="inlineStr">
        <is>
          <t>ENC112580</t>
        </is>
      </c>
      <c r="C237" t="inlineStr">
        <is>
          <t>INR</t>
        </is>
      </c>
      <c r="D237" t="inlineStr">
        <is>
          <t>Prothrombin Time INR</t>
        </is>
      </c>
      <c r="E237" t="n">
        <v>1.1</v>
      </c>
      <c r="F237" t="inlineStr">
        <is>
          <t>ratio</t>
        </is>
      </c>
      <c r="G237" t="n">
        <v>0.8</v>
      </c>
      <c r="H237" t="n">
        <v>1.2</v>
      </c>
      <c r="I237" t="inlineStr">
        <is>
          <t>N</t>
        </is>
      </c>
      <c r="J237" t="inlineStr">
        <is>
          <t>STAT</t>
        </is>
      </c>
      <c r="K237" s="33" t="n">
        <v>45709.50833333333</v>
      </c>
      <c r="L237" s="33" t="n">
        <v>45709.56527777778</v>
      </c>
      <c r="M237" s="34" t="n"/>
    </row>
    <row r="238">
      <c r="A238" t="inlineStr">
        <is>
          <t>LAB729762</t>
        </is>
      </c>
      <c r="B238" t="inlineStr">
        <is>
          <t>ENC112580</t>
        </is>
      </c>
      <c r="C238" t="inlineStr">
        <is>
          <t>HGB</t>
        </is>
      </c>
      <c r="D238" t="inlineStr">
        <is>
          <t>Hemoglobin</t>
        </is>
      </c>
      <c r="E238" t="n">
        <v>10.6</v>
      </c>
      <c r="F238" t="inlineStr">
        <is>
          <t>g/dL</t>
        </is>
      </c>
      <c r="G238" t="n">
        <v>12</v>
      </c>
      <c r="H238" t="n">
        <v>17.5</v>
      </c>
      <c r="I238" t="inlineStr">
        <is>
          <t>L</t>
        </is>
      </c>
      <c r="J238" t="inlineStr">
        <is>
          <t>STAT</t>
        </is>
      </c>
      <c r="K238" s="33" t="n">
        <v>45709.53263888889</v>
      </c>
      <c r="L238" s="33" t="n">
        <v>45709.56736111111</v>
      </c>
      <c r="M238" s="34" t="n"/>
    </row>
    <row r="239">
      <c r="A239" t="inlineStr">
        <is>
          <t>LAB729761</t>
        </is>
      </c>
      <c r="B239" t="inlineStr">
        <is>
          <t>ENC112580</t>
        </is>
      </c>
      <c r="C239" t="inlineStr">
        <is>
          <t>WBC</t>
        </is>
      </c>
      <c r="D239" t="inlineStr">
        <is>
          <t>White Blood Cell Count</t>
        </is>
      </c>
      <c r="E239" t="n">
        <v>5.9</v>
      </c>
      <c r="F239" t="inlineStr">
        <is>
          <t>K/uL</t>
        </is>
      </c>
      <c r="G239" t="n">
        <v>4.5</v>
      </c>
      <c r="H239" t="n">
        <v>11</v>
      </c>
      <c r="I239" t="inlineStr">
        <is>
          <t>N</t>
        </is>
      </c>
      <c r="J239" t="inlineStr">
        <is>
          <t>STAT</t>
        </is>
      </c>
      <c r="K239" s="33" t="n">
        <v>45709.53611111111</v>
      </c>
      <c r="L239" s="33" t="n">
        <v>45709.57986111111</v>
      </c>
      <c r="M239" s="34" t="n"/>
    </row>
    <row r="240">
      <c r="A240" t="inlineStr">
        <is>
          <t>LAB729759</t>
        </is>
      </c>
      <c r="B240" t="inlineStr">
        <is>
          <t>ENC112580</t>
        </is>
      </c>
      <c r="C240" t="inlineStr">
        <is>
          <t>GLU</t>
        </is>
      </c>
      <c r="D240" t="inlineStr">
        <is>
          <t>Glucose</t>
        </is>
      </c>
      <c r="E240" t="n">
        <v>157</v>
      </c>
      <c r="F240" t="inlineStr">
        <is>
          <t>mg/dL</t>
        </is>
      </c>
      <c r="G240" t="n">
        <v>70</v>
      </c>
      <c r="H240" t="n">
        <v>99</v>
      </c>
      <c r="I240" t="inlineStr">
        <is>
          <t>H</t>
        </is>
      </c>
      <c r="J240" t="inlineStr">
        <is>
          <t>Routine</t>
        </is>
      </c>
      <c r="K240" s="33" t="n">
        <v>45709.51944444444</v>
      </c>
      <c r="L240" s="33" t="n">
        <v>45709.66875</v>
      </c>
      <c r="M240" s="34" t="n"/>
    </row>
    <row r="241">
      <c r="A241" t="inlineStr">
        <is>
          <t>LAB729798</t>
        </is>
      </c>
      <c r="B241" t="inlineStr">
        <is>
          <t>ENC112608</t>
        </is>
      </c>
      <c r="C241" t="inlineStr">
        <is>
          <t>INR</t>
        </is>
      </c>
      <c r="D241" t="inlineStr">
        <is>
          <t>Prothrombin Time INR</t>
        </is>
      </c>
      <c r="E241" t="n">
        <v>1</v>
      </c>
      <c r="F241" t="inlineStr">
        <is>
          <t>ratio</t>
        </is>
      </c>
      <c r="G241" t="n">
        <v>0.8</v>
      </c>
      <c r="H241" t="n">
        <v>1.2</v>
      </c>
      <c r="I241" t="inlineStr">
        <is>
          <t>N</t>
        </is>
      </c>
      <c r="J241" t="inlineStr">
        <is>
          <t>STAT</t>
        </is>
      </c>
      <c r="K241" s="33" t="n">
        <v>45709.84513888889</v>
      </c>
      <c r="L241" s="33" t="n">
        <v>45709.88402777778</v>
      </c>
      <c r="M241" s="34" t="n"/>
    </row>
    <row r="242">
      <c r="A242" t="inlineStr">
        <is>
          <t>LAB729794</t>
        </is>
      </c>
      <c r="B242" t="inlineStr">
        <is>
          <t>ENC112608</t>
        </is>
      </c>
      <c r="C242" t="inlineStr">
        <is>
          <t>GLU</t>
        </is>
      </c>
      <c r="D242" t="inlineStr">
        <is>
          <t>Glucose</t>
        </is>
      </c>
      <c r="E242" t="n">
        <v>99</v>
      </c>
      <c r="F242" t="inlineStr">
        <is>
          <t>mg/dL</t>
        </is>
      </c>
      <c r="G242" t="n">
        <v>70</v>
      </c>
      <c r="H242" t="n">
        <v>99</v>
      </c>
      <c r="I242" t="inlineStr">
        <is>
          <t>N</t>
        </is>
      </c>
      <c r="J242" t="inlineStr">
        <is>
          <t>STAT</t>
        </is>
      </c>
      <c r="K242" s="33" t="n">
        <v>45709.875</v>
      </c>
      <c r="L242" s="33" t="n">
        <v>45709.91319444445</v>
      </c>
      <c r="M242" s="34" t="n"/>
    </row>
    <row r="243">
      <c r="A243" t="inlineStr">
        <is>
          <t>LAB729797</t>
        </is>
      </c>
      <c r="B243" t="inlineStr">
        <is>
          <t>ENC112608</t>
        </is>
      </c>
      <c r="C243" t="inlineStr">
        <is>
          <t>HGB</t>
        </is>
      </c>
      <c r="D243" t="inlineStr">
        <is>
          <t>Hemoglobin</t>
        </is>
      </c>
      <c r="E243" t="n">
        <v>7.2</v>
      </c>
      <c r="F243" t="inlineStr">
        <is>
          <t>g/dL</t>
        </is>
      </c>
      <c r="G243" t="n">
        <v>12</v>
      </c>
      <c r="H243" t="n">
        <v>17.5</v>
      </c>
      <c r="I243" t="inlineStr">
        <is>
          <t>L</t>
        </is>
      </c>
      <c r="J243" t="inlineStr">
        <is>
          <t>STAT</t>
        </is>
      </c>
      <c r="K243" s="33" t="n">
        <v>45709.89027777778</v>
      </c>
      <c r="L243" s="33" t="n">
        <v>45709.94236111111</v>
      </c>
      <c r="M243" s="34" t="n"/>
    </row>
    <row r="244">
      <c r="A244" t="inlineStr">
        <is>
          <t>LAB729796</t>
        </is>
      </c>
      <c r="B244" t="inlineStr">
        <is>
          <t>ENC112608</t>
        </is>
      </c>
      <c r="C244" t="inlineStr">
        <is>
          <t>WBC</t>
        </is>
      </c>
      <c r="D244" t="inlineStr">
        <is>
          <t>White Blood Cell Count</t>
        </is>
      </c>
      <c r="E244" t="n">
        <v>8.4</v>
      </c>
      <c r="F244" t="inlineStr">
        <is>
          <t>K/uL</t>
        </is>
      </c>
      <c r="G244" t="n">
        <v>4.5</v>
      </c>
      <c r="H244" t="n">
        <v>11</v>
      </c>
      <c r="I244" t="inlineStr">
        <is>
          <t>N</t>
        </is>
      </c>
      <c r="J244" t="inlineStr">
        <is>
          <t>Routine</t>
        </is>
      </c>
      <c r="K244" s="33" t="n">
        <v>45709.85347222222</v>
      </c>
      <c r="L244" s="33" t="n">
        <v>45709.95694444444</v>
      </c>
      <c r="M244" s="34" t="n"/>
    </row>
    <row r="245">
      <c r="A245" t="inlineStr">
        <is>
          <t>LAB729795</t>
        </is>
      </c>
      <c r="B245" t="inlineStr">
        <is>
          <t>ENC112608</t>
        </is>
      </c>
      <c r="C245" t="inlineStr">
        <is>
          <t>CREAT</t>
        </is>
      </c>
      <c r="D245" t="inlineStr">
        <is>
          <t>Creatinine</t>
        </is>
      </c>
      <c r="E245" t="n">
        <v>1.15</v>
      </c>
      <c r="F245" t="inlineStr">
        <is>
          <t>mg/dL</t>
        </is>
      </c>
      <c r="G245" t="n">
        <v>0.6</v>
      </c>
      <c r="H245" t="n">
        <v>1.3</v>
      </c>
      <c r="I245" t="inlineStr">
        <is>
          <t>N</t>
        </is>
      </c>
      <c r="J245" t="inlineStr">
        <is>
          <t>Routine</t>
        </is>
      </c>
      <c r="K245" s="33" t="n">
        <v>45709.85486111111</v>
      </c>
      <c r="L245" s="33" t="n">
        <v>45710.26736111111</v>
      </c>
      <c r="M245" s="34" t="n"/>
    </row>
    <row r="246">
      <c r="A246" t="inlineStr">
        <is>
          <t>LAB729898</t>
        </is>
      </c>
      <c r="B246" t="inlineStr">
        <is>
          <t>ENC112645</t>
        </is>
      </c>
      <c r="C246" t="inlineStr">
        <is>
          <t>LACT</t>
        </is>
      </c>
      <c r="D246" t="inlineStr">
        <is>
          <t>Lactate</t>
        </is>
      </c>
      <c r="E246" t="n">
        <v>4.2</v>
      </c>
      <c r="F246" t="inlineStr">
        <is>
          <t>mmol/L</t>
        </is>
      </c>
      <c r="G246" t="n">
        <v>0.5</v>
      </c>
      <c r="H246" t="n">
        <v>2</v>
      </c>
      <c r="I246" t="inlineStr">
        <is>
          <t>HH</t>
        </is>
      </c>
      <c r="J246" t="inlineStr">
        <is>
          <t>STAT</t>
        </is>
      </c>
      <c r="K246" s="33" t="n">
        <v>45711.79375</v>
      </c>
      <c r="L246" s="33" t="n">
        <v>45711.84027777778</v>
      </c>
      <c r="M246" s="34" t="n"/>
    </row>
    <row r="247">
      <c r="A247" t="inlineStr">
        <is>
          <t>LAB729894</t>
        </is>
      </c>
      <c r="B247" t="inlineStr">
        <is>
          <t>ENC112645</t>
        </is>
      </c>
      <c r="C247" t="inlineStr">
        <is>
          <t>GLU</t>
        </is>
      </c>
      <c r="D247" t="inlineStr">
        <is>
          <t>Glucose</t>
        </is>
      </c>
      <c r="E247" t="n">
        <v>123</v>
      </c>
      <c r="F247" t="inlineStr">
        <is>
          <t>mg/dL</t>
        </is>
      </c>
      <c r="G247" t="n">
        <v>70</v>
      </c>
      <c r="H247" t="n">
        <v>99</v>
      </c>
      <c r="I247" t="inlineStr">
        <is>
          <t>H</t>
        </is>
      </c>
      <c r="J247" t="inlineStr">
        <is>
          <t>STAT</t>
        </is>
      </c>
      <c r="K247" s="33" t="n">
        <v>45711.82847222222</v>
      </c>
      <c r="L247" s="33" t="n">
        <v>45711.87569444445</v>
      </c>
      <c r="M247" s="34" t="n"/>
    </row>
    <row r="248">
      <c r="A248" t="inlineStr">
        <is>
          <t>LAB729895</t>
        </is>
      </c>
      <c r="B248" t="inlineStr">
        <is>
          <t>ENC112645</t>
        </is>
      </c>
      <c r="C248" t="inlineStr">
        <is>
          <t>CREAT</t>
        </is>
      </c>
      <c r="D248" t="inlineStr">
        <is>
          <t>Creatinine</t>
        </is>
      </c>
      <c r="E248" t="n">
        <v>1.14</v>
      </c>
      <c r="F248" t="inlineStr">
        <is>
          <t>mg/dL</t>
        </is>
      </c>
      <c r="G248" t="n">
        <v>0.6</v>
      </c>
      <c r="H248" t="n">
        <v>1.3</v>
      </c>
      <c r="I248" t="inlineStr">
        <is>
          <t>N</t>
        </is>
      </c>
      <c r="J248" t="inlineStr">
        <is>
          <t>Routine</t>
        </is>
      </c>
      <c r="K248" s="33" t="n">
        <v>45711.78819444445</v>
      </c>
      <c r="L248" s="33" t="n">
        <v>45711.89027777778</v>
      </c>
      <c r="M248" s="34" t="n"/>
    </row>
    <row r="249">
      <c r="A249" t="inlineStr">
        <is>
          <t>LAB729896</t>
        </is>
      </c>
      <c r="B249" t="inlineStr">
        <is>
          <t>ENC112645</t>
        </is>
      </c>
      <c r="C249" t="inlineStr">
        <is>
          <t>WBC</t>
        </is>
      </c>
      <c r="D249" t="inlineStr">
        <is>
          <t>White Blood Cell Count</t>
        </is>
      </c>
      <c r="E249" t="n">
        <v>6</v>
      </c>
      <c r="F249" t="inlineStr">
        <is>
          <t>K/uL</t>
        </is>
      </c>
      <c r="G249" t="n">
        <v>4.5</v>
      </c>
      <c r="H249" t="n">
        <v>11</v>
      </c>
      <c r="I249" t="inlineStr">
        <is>
          <t>N</t>
        </is>
      </c>
      <c r="J249" t="inlineStr">
        <is>
          <t>Routine</t>
        </is>
      </c>
      <c r="K249" s="33" t="n">
        <v>45711.82013888889</v>
      </c>
      <c r="L249" s="33" t="n">
        <v>45711.91388888889</v>
      </c>
      <c r="M249" s="34" t="n"/>
    </row>
    <row r="250">
      <c r="A250" t="inlineStr">
        <is>
          <t>LAB729897</t>
        </is>
      </c>
      <c r="B250" t="inlineStr">
        <is>
          <t>ENC112645</t>
        </is>
      </c>
      <c r="C250" t="inlineStr">
        <is>
          <t>HGB</t>
        </is>
      </c>
      <c r="D250" t="inlineStr">
        <is>
          <t>Hemoglobin</t>
        </is>
      </c>
      <c r="E250" t="n">
        <v>9.800000000000001</v>
      </c>
      <c r="F250" t="inlineStr">
        <is>
          <t>g/dL</t>
        </is>
      </c>
      <c r="G250" t="n">
        <v>12</v>
      </c>
      <c r="H250" t="n">
        <v>17.5</v>
      </c>
      <c r="I250" t="inlineStr">
        <is>
          <t>L</t>
        </is>
      </c>
      <c r="J250" t="inlineStr">
        <is>
          <t>Routine</t>
        </is>
      </c>
      <c r="K250" s="33" t="n">
        <v>45711.83125</v>
      </c>
      <c r="L250" s="33" t="n">
        <v>45711.97638888889</v>
      </c>
      <c r="M250" s="34" t="n"/>
    </row>
    <row r="251">
      <c r="A251" t="inlineStr">
        <is>
          <t>LAB729899</t>
        </is>
      </c>
      <c r="B251" t="inlineStr">
        <is>
          <t>ENC112645</t>
        </is>
      </c>
      <c r="C251" t="inlineStr">
        <is>
          <t>INR</t>
        </is>
      </c>
      <c r="D251" t="inlineStr">
        <is>
          <t>Prothrombin Time INR</t>
        </is>
      </c>
      <c r="E251" t="n">
        <v>1.1</v>
      </c>
      <c r="F251" t="inlineStr">
        <is>
          <t>ratio</t>
        </is>
      </c>
      <c r="G251" t="n">
        <v>0.8</v>
      </c>
      <c r="H251" t="n">
        <v>1.2</v>
      </c>
      <c r="I251" t="inlineStr">
        <is>
          <t>N</t>
        </is>
      </c>
      <c r="J251" t="inlineStr">
        <is>
          <t>Routine</t>
        </is>
      </c>
      <c r="K251" s="33" t="n">
        <v>45711.84513888889</v>
      </c>
      <c r="L251" s="33" t="n">
        <v>45711.99166666667</v>
      </c>
      <c r="M251" s="34" t="n"/>
    </row>
    <row r="252">
      <c r="A252" t="inlineStr">
        <is>
          <t>LAB730145</t>
        </is>
      </c>
      <c r="B252" t="inlineStr">
        <is>
          <t>ENC112749</t>
        </is>
      </c>
      <c r="C252" t="inlineStr">
        <is>
          <t>K</t>
        </is>
      </c>
      <c r="D252" t="inlineStr">
        <is>
          <t>Potassium</t>
        </is>
      </c>
      <c r="E252" t="n">
        <v>4.4</v>
      </c>
      <c r="F252" t="inlineStr">
        <is>
          <t>mmol/L</t>
        </is>
      </c>
      <c r="G252" t="n">
        <v>3.5</v>
      </c>
      <c r="H252" t="n">
        <v>5.1</v>
      </c>
      <c r="I252" t="inlineStr">
        <is>
          <t>N</t>
        </is>
      </c>
      <c r="J252" t="inlineStr">
        <is>
          <t>STAT</t>
        </is>
      </c>
      <c r="K252" s="33" t="n">
        <v>45714.04305555556</v>
      </c>
      <c r="L252" s="33" t="n">
        <v>45714.06180555555</v>
      </c>
      <c r="M252" s="34" t="n"/>
    </row>
    <row r="253">
      <c r="A253" t="inlineStr">
        <is>
          <t>LAB730142</t>
        </is>
      </c>
      <c r="B253" t="inlineStr">
        <is>
          <t>ENC112749</t>
        </is>
      </c>
      <c r="C253" t="inlineStr">
        <is>
          <t>WBC</t>
        </is>
      </c>
      <c r="D253" t="inlineStr">
        <is>
          <t>White Blood Cell Count</t>
        </is>
      </c>
      <c r="E253" t="n">
        <v>6.4</v>
      </c>
      <c r="F253" t="inlineStr">
        <is>
          <t>K/uL</t>
        </is>
      </c>
      <c r="G253" t="n">
        <v>4.5</v>
      </c>
      <c r="H253" t="n">
        <v>11</v>
      </c>
      <c r="I253" t="inlineStr">
        <is>
          <t>N</t>
        </is>
      </c>
      <c r="J253" t="inlineStr">
        <is>
          <t>STAT</t>
        </is>
      </c>
      <c r="K253" s="33" t="n">
        <v>45714.04791666667</v>
      </c>
      <c r="L253" s="33" t="n">
        <v>45714.08819444444</v>
      </c>
      <c r="M253" s="34" t="n"/>
    </row>
    <row r="254">
      <c r="A254" t="inlineStr">
        <is>
          <t>LAB730144</t>
        </is>
      </c>
      <c r="B254" t="inlineStr">
        <is>
          <t>ENC112749</t>
        </is>
      </c>
      <c r="C254" t="inlineStr">
        <is>
          <t>NA</t>
        </is>
      </c>
      <c r="D254" t="inlineStr">
        <is>
          <t>Sodium</t>
        </is>
      </c>
      <c r="E254" t="n">
        <v>142</v>
      </c>
      <c r="F254" t="inlineStr">
        <is>
          <t>mmol/L</t>
        </is>
      </c>
      <c r="G254" t="n">
        <v>136</v>
      </c>
      <c r="H254" t="n">
        <v>145</v>
      </c>
      <c r="I254" t="inlineStr">
        <is>
          <t>N</t>
        </is>
      </c>
      <c r="J254" t="inlineStr">
        <is>
          <t>STAT</t>
        </is>
      </c>
      <c r="K254" s="33" t="n">
        <v>45714.05833333333</v>
      </c>
      <c r="L254" s="33" t="n">
        <v>45714.09097222222</v>
      </c>
      <c r="M254" s="34" t="n"/>
    </row>
    <row r="255">
      <c r="A255" t="inlineStr">
        <is>
          <t>LAB730146</t>
        </is>
      </c>
      <c r="B255" t="inlineStr">
        <is>
          <t>ENC112749</t>
        </is>
      </c>
      <c r="C255" t="inlineStr">
        <is>
          <t>LACT</t>
        </is>
      </c>
      <c r="D255" t="inlineStr">
        <is>
          <t>Lactate</t>
        </is>
      </c>
      <c r="E255" t="n">
        <v>3.8</v>
      </c>
      <c r="F255" t="inlineStr">
        <is>
          <t>mmol/L</t>
        </is>
      </c>
      <c r="G255" t="n">
        <v>0.5</v>
      </c>
      <c r="H255" t="n">
        <v>2</v>
      </c>
      <c r="I255" t="inlineStr">
        <is>
          <t>H</t>
        </is>
      </c>
      <c r="J255" t="inlineStr">
        <is>
          <t>STAT</t>
        </is>
      </c>
      <c r="K255" s="33" t="n">
        <v>45714.06458333333</v>
      </c>
      <c r="L255" s="33" t="n">
        <v>45714.10486111111</v>
      </c>
      <c r="M255" s="34" t="n"/>
    </row>
    <row r="256">
      <c r="A256" t="inlineStr">
        <is>
          <t>LAB730143</t>
        </is>
      </c>
      <c r="B256" t="inlineStr">
        <is>
          <t>ENC112749</t>
        </is>
      </c>
      <c r="C256" t="inlineStr">
        <is>
          <t>HGB</t>
        </is>
      </c>
      <c r="D256" t="inlineStr">
        <is>
          <t>Hemoglobin</t>
        </is>
      </c>
      <c r="E256" t="n">
        <v>14.3</v>
      </c>
      <c r="F256" t="inlineStr">
        <is>
          <t>g/dL</t>
        </is>
      </c>
      <c r="G256" t="n">
        <v>12</v>
      </c>
      <c r="H256" t="n">
        <v>17.5</v>
      </c>
      <c r="I256" t="inlineStr">
        <is>
          <t>N</t>
        </is>
      </c>
      <c r="J256" t="inlineStr">
        <is>
          <t>Routine</t>
        </is>
      </c>
      <c r="K256" s="33" t="n">
        <v>45714.04027777778</v>
      </c>
      <c r="L256" s="33" t="n">
        <v>45714.12013888889</v>
      </c>
      <c r="M256" s="34" t="n"/>
    </row>
    <row r="257">
      <c r="A257" t="inlineStr">
        <is>
          <t>LAB730141</t>
        </is>
      </c>
      <c r="B257" t="inlineStr">
        <is>
          <t>ENC112749</t>
        </is>
      </c>
      <c r="C257" t="inlineStr">
        <is>
          <t>CREAT</t>
        </is>
      </c>
      <c r="D257" t="inlineStr">
        <is>
          <t>Creatinine</t>
        </is>
      </c>
      <c r="E257" t="n">
        <v>1.01</v>
      </c>
      <c r="F257" t="inlineStr">
        <is>
          <t>mg/dL</t>
        </is>
      </c>
      <c r="G257" t="n">
        <v>0.6</v>
      </c>
      <c r="H257" t="n">
        <v>1.3</v>
      </c>
      <c r="I257" t="inlineStr">
        <is>
          <t>N</t>
        </is>
      </c>
      <c r="J257" t="inlineStr">
        <is>
          <t>Routine</t>
        </is>
      </c>
      <c r="K257" s="33" t="n">
        <v>45714.07708333333</v>
      </c>
      <c r="L257" s="33" t="n">
        <v>45714.29236111111</v>
      </c>
      <c r="M257" s="34" t="n"/>
    </row>
    <row r="258">
      <c r="A258" t="inlineStr">
        <is>
          <t>LAB730140</t>
        </is>
      </c>
      <c r="B258" t="inlineStr">
        <is>
          <t>ENC112749</t>
        </is>
      </c>
      <c r="C258" t="inlineStr">
        <is>
          <t>GLU</t>
        </is>
      </c>
      <c r="D258" t="inlineStr">
        <is>
          <t>Glucose</t>
        </is>
      </c>
      <c r="E258" t="n">
        <v>88</v>
      </c>
      <c r="F258" t="inlineStr">
        <is>
          <t>mg/dL</t>
        </is>
      </c>
      <c r="G258" t="n">
        <v>70</v>
      </c>
      <c r="H258" t="n">
        <v>99</v>
      </c>
      <c r="I258" t="inlineStr">
        <is>
          <t>N</t>
        </is>
      </c>
      <c r="J258" t="inlineStr">
        <is>
          <t>Routine</t>
        </is>
      </c>
      <c r="K258" s="33" t="n">
        <v>45714.03611111111</v>
      </c>
      <c r="L258" s="33" t="n">
        <v>45714.31180555555</v>
      </c>
      <c r="M258" s="34" t="n"/>
    </row>
    <row r="259">
      <c r="A259" t="inlineStr">
        <is>
          <t>LAB730447</t>
        </is>
      </c>
      <c r="B259" t="inlineStr">
        <is>
          <t>ENC112880</t>
        </is>
      </c>
      <c r="C259" t="inlineStr">
        <is>
          <t>HGB</t>
        </is>
      </c>
      <c r="D259" t="inlineStr">
        <is>
          <t>Hemoglobin</t>
        </is>
      </c>
      <c r="E259" t="n">
        <v>11.1</v>
      </c>
      <c r="F259" t="inlineStr">
        <is>
          <t>g/dL</t>
        </is>
      </c>
      <c r="G259" t="n">
        <v>12</v>
      </c>
      <c r="H259" t="n">
        <v>17.5</v>
      </c>
      <c r="I259" t="inlineStr">
        <is>
          <t>L</t>
        </is>
      </c>
      <c r="J259" t="inlineStr">
        <is>
          <t>Routine</t>
        </is>
      </c>
      <c r="K259" s="33" t="n">
        <v>45718.44652777778</v>
      </c>
      <c r="L259" s="33" t="n">
        <v>45718.50902777778</v>
      </c>
      <c r="M259" s="34" t="n"/>
    </row>
    <row r="260">
      <c r="A260" t="inlineStr">
        <is>
          <t>LAB730449</t>
        </is>
      </c>
      <c r="B260" t="inlineStr">
        <is>
          <t>ENC112880</t>
        </is>
      </c>
      <c r="C260" t="inlineStr">
        <is>
          <t>K</t>
        </is>
      </c>
      <c r="D260" t="inlineStr">
        <is>
          <t>Potassium</t>
        </is>
      </c>
      <c r="E260" t="n">
        <v>4.3</v>
      </c>
      <c r="F260" t="inlineStr">
        <is>
          <t>mmol/L</t>
        </is>
      </c>
      <c r="G260" t="n">
        <v>3.5</v>
      </c>
      <c r="H260" t="n">
        <v>5.1</v>
      </c>
      <c r="I260" t="inlineStr">
        <is>
          <t>N</t>
        </is>
      </c>
      <c r="J260" t="inlineStr">
        <is>
          <t>STAT</t>
        </is>
      </c>
      <c r="K260" s="33" t="n">
        <v>45718.49513888889</v>
      </c>
      <c r="L260" s="33" t="n">
        <v>45718.52222222222</v>
      </c>
      <c r="M260" s="34" t="n"/>
    </row>
    <row r="261">
      <c r="A261" t="inlineStr">
        <is>
          <t>LAB730446</t>
        </is>
      </c>
      <c r="B261" t="inlineStr">
        <is>
          <t>ENC112880</t>
        </is>
      </c>
      <c r="C261" t="inlineStr">
        <is>
          <t>WBC</t>
        </is>
      </c>
      <c r="D261" t="inlineStr">
        <is>
          <t>White Blood Cell Count</t>
        </is>
      </c>
      <c r="E261" t="n">
        <v>13.5</v>
      </c>
      <c r="F261" t="inlineStr">
        <is>
          <t>K/uL</t>
        </is>
      </c>
      <c r="G261" t="n">
        <v>4.5</v>
      </c>
      <c r="H261" t="n">
        <v>11</v>
      </c>
      <c r="I261" t="inlineStr">
        <is>
          <t>H</t>
        </is>
      </c>
      <c r="J261" t="inlineStr">
        <is>
          <t>STAT</t>
        </is>
      </c>
      <c r="K261" s="33" t="n">
        <v>45718.49513888889</v>
      </c>
      <c r="L261" s="33" t="n">
        <v>45718.52708333333</v>
      </c>
      <c r="M261" s="34" t="n"/>
    </row>
    <row r="262">
      <c r="A262" t="inlineStr">
        <is>
          <t>LAB730445</t>
        </is>
      </c>
      <c r="B262" t="inlineStr">
        <is>
          <t>ENC112880</t>
        </is>
      </c>
      <c r="C262" t="inlineStr">
        <is>
          <t>CREAT</t>
        </is>
      </c>
      <c r="D262" t="inlineStr">
        <is>
          <t>Creatinine</t>
        </is>
      </c>
      <c r="E262" t="n">
        <v>1.99</v>
      </c>
      <c r="F262" t="inlineStr">
        <is>
          <t>mg/dL</t>
        </is>
      </c>
      <c r="G262" t="n">
        <v>0.6</v>
      </c>
      <c r="H262" t="n">
        <v>1.3</v>
      </c>
      <c r="I262" t="inlineStr">
        <is>
          <t>H</t>
        </is>
      </c>
      <c r="J262" t="inlineStr">
        <is>
          <t>Routine</t>
        </is>
      </c>
      <c r="K262" s="33" t="n">
        <v>45718.45486111111</v>
      </c>
      <c r="L262" s="33" t="n">
        <v>45718.53263888889</v>
      </c>
      <c r="M262" s="34" t="n"/>
    </row>
    <row r="263">
      <c r="A263" t="inlineStr">
        <is>
          <t>LAB730450</t>
        </is>
      </c>
      <c r="B263" t="inlineStr">
        <is>
          <t>ENC112880</t>
        </is>
      </c>
      <c r="C263" t="inlineStr">
        <is>
          <t>LACT</t>
        </is>
      </c>
      <c r="D263" t="inlineStr">
        <is>
          <t>Lactate</t>
        </is>
      </c>
      <c r="E263" t="n">
        <v>3.4</v>
      </c>
      <c r="F263" t="inlineStr">
        <is>
          <t>mmol/L</t>
        </is>
      </c>
      <c r="G263" t="n">
        <v>0.5</v>
      </c>
      <c r="H263" t="n">
        <v>2</v>
      </c>
      <c r="I263" t="inlineStr">
        <is>
          <t>H</t>
        </is>
      </c>
      <c r="J263" t="inlineStr">
        <is>
          <t>STAT</t>
        </is>
      </c>
      <c r="K263" s="33" t="n">
        <v>45718.47916666666</v>
      </c>
      <c r="L263" s="33" t="n">
        <v>45718.58055555556</v>
      </c>
      <c r="M263" s="34" t="n"/>
    </row>
    <row r="264">
      <c r="A264" t="inlineStr">
        <is>
          <t>LAB730448</t>
        </is>
      </c>
      <c r="B264" t="inlineStr">
        <is>
          <t>ENC112880</t>
        </is>
      </c>
      <c r="C264" t="inlineStr">
        <is>
          <t>NA</t>
        </is>
      </c>
      <c r="D264" t="inlineStr">
        <is>
          <t>Sodium</t>
        </is>
      </c>
      <c r="E264" t="n">
        <v>137</v>
      </c>
      <c r="F264" t="inlineStr">
        <is>
          <t>mmol/L</t>
        </is>
      </c>
      <c r="G264" t="n">
        <v>136</v>
      </c>
      <c r="H264" t="n">
        <v>145</v>
      </c>
      <c r="I264" t="inlineStr">
        <is>
          <t>N</t>
        </is>
      </c>
      <c r="J264" t="inlineStr">
        <is>
          <t>Routine</t>
        </is>
      </c>
      <c r="K264" s="33" t="n">
        <v>45718.48888888889</v>
      </c>
      <c r="L264" s="33" t="n">
        <v>45718.59375</v>
      </c>
      <c r="M264" s="34" t="n"/>
    </row>
    <row r="265">
      <c r="A265" t="inlineStr">
        <is>
          <t>LAB730444</t>
        </is>
      </c>
      <c r="B265" t="inlineStr">
        <is>
          <t>ENC112880</t>
        </is>
      </c>
      <c r="C265" t="inlineStr">
        <is>
          <t>GLU</t>
        </is>
      </c>
      <c r="D265" t="inlineStr">
        <is>
          <t>Glucose</t>
        </is>
      </c>
      <c r="E265" t="n">
        <v>201</v>
      </c>
      <c r="F265" t="inlineStr">
        <is>
          <t>mg/dL</t>
        </is>
      </c>
      <c r="G265" t="n">
        <v>70</v>
      </c>
      <c r="H265" t="n">
        <v>99</v>
      </c>
      <c r="I265" t="inlineStr">
        <is>
          <t>H</t>
        </is>
      </c>
      <c r="J265" t="inlineStr">
        <is>
          <t>Routine</t>
        </is>
      </c>
      <c r="K265" s="33" t="n">
        <v>45718.45486111111</v>
      </c>
      <c r="L265" s="33" t="n">
        <v>45718.67708333334</v>
      </c>
      <c r="M265" s="34" t="n"/>
    </row>
    <row r="266">
      <c r="A266" t="inlineStr">
        <is>
          <t>LAB730566</t>
        </is>
      </c>
      <c r="B266" t="inlineStr">
        <is>
          <t>ENC112929</t>
        </is>
      </c>
      <c r="C266" t="inlineStr">
        <is>
          <t>WBC</t>
        </is>
      </c>
      <c r="D266" t="inlineStr">
        <is>
          <t>White Blood Cell Count</t>
        </is>
      </c>
      <c r="E266" t="n">
        <v>19.7</v>
      </c>
      <c r="F266" t="inlineStr">
        <is>
          <t>K/uL</t>
        </is>
      </c>
      <c r="G266" t="n">
        <v>4.5</v>
      </c>
      <c r="H266" t="n">
        <v>11</v>
      </c>
      <c r="I266" t="inlineStr">
        <is>
          <t>H</t>
        </is>
      </c>
      <c r="J266" t="inlineStr">
        <is>
          <t>STAT</t>
        </is>
      </c>
      <c r="K266" s="33" t="n">
        <v>45720.04513888889</v>
      </c>
      <c r="L266" s="33" t="n">
        <v>45720.07777777778</v>
      </c>
      <c r="M266" s="34" t="n"/>
    </row>
    <row r="267">
      <c r="A267" t="inlineStr">
        <is>
          <t>LAB730565</t>
        </is>
      </c>
      <c r="B267" t="inlineStr">
        <is>
          <t>ENC112929</t>
        </is>
      </c>
      <c r="C267" t="inlineStr">
        <is>
          <t>CREAT</t>
        </is>
      </c>
      <c r="D267" t="inlineStr">
        <is>
          <t>Creatinine</t>
        </is>
      </c>
      <c r="E267" t="n">
        <v>0.71</v>
      </c>
      <c r="F267" t="inlineStr">
        <is>
          <t>mg/dL</t>
        </is>
      </c>
      <c r="G267" t="n">
        <v>0.6</v>
      </c>
      <c r="H267" t="n">
        <v>1.3</v>
      </c>
      <c r="I267" t="inlineStr">
        <is>
          <t>N</t>
        </is>
      </c>
      <c r="J267" t="inlineStr">
        <is>
          <t>STAT</t>
        </is>
      </c>
      <c r="K267" s="33" t="n">
        <v>45720.04583333333</v>
      </c>
      <c r="L267" s="33" t="n">
        <v>45720.07916666667</v>
      </c>
      <c r="M267" s="34" t="n"/>
    </row>
    <row r="268">
      <c r="A268" t="inlineStr">
        <is>
          <t>LAB730568</t>
        </is>
      </c>
      <c r="B268" t="inlineStr">
        <is>
          <t>ENC112929</t>
        </is>
      </c>
      <c r="C268" t="inlineStr">
        <is>
          <t>NA</t>
        </is>
      </c>
      <c r="D268" t="inlineStr">
        <is>
          <t>Sodium</t>
        </is>
      </c>
      <c r="E268" t="n">
        <v>142</v>
      </c>
      <c r="F268" t="inlineStr">
        <is>
          <t>mmol/L</t>
        </is>
      </c>
      <c r="G268" t="n">
        <v>136</v>
      </c>
      <c r="H268" t="n">
        <v>145</v>
      </c>
      <c r="I268" t="inlineStr">
        <is>
          <t>N</t>
        </is>
      </c>
      <c r="J268" t="inlineStr">
        <is>
          <t>STAT</t>
        </is>
      </c>
      <c r="K268" s="33" t="n">
        <v>45720.06041666667</v>
      </c>
      <c r="L268" s="33" t="n">
        <v>45720.09791666667</v>
      </c>
      <c r="M268" s="34" t="n"/>
    </row>
    <row r="269">
      <c r="A269" t="inlineStr">
        <is>
          <t>LAB730567</t>
        </is>
      </c>
      <c r="B269" t="inlineStr">
        <is>
          <t>ENC112929</t>
        </is>
      </c>
      <c r="C269" t="inlineStr">
        <is>
          <t>HGB</t>
        </is>
      </c>
      <c r="D269" t="inlineStr">
        <is>
          <t>Hemoglobin</t>
        </is>
      </c>
      <c r="E269" t="n">
        <v>14.8</v>
      </c>
      <c r="F269" t="inlineStr">
        <is>
          <t>g/dL</t>
        </is>
      </c>
      <c r="G269" t="n">
        <v>12</v>
      </c>
      <c r="H269" t="n">
        <v>17.5</v>
      </c>
      <c r="I269" t="inlineStr">
        <is>
          <t>N</t>
        </is>
      </c>
      <c r="J269" t="inlineStr">
        <is>
          <t>STAT</t>
        </is>
      </c>
      <c r="K269" s="33" t="n">
        <v>45720.07847222222</v>
      </c>
      <c r="L269" s="33" t="n">
        <v>45720.12083333333</v>
      </c>
      <c r="M269" s="34" t="n"/>
    </row>
    <row r="270">
      <c r="A270" t="inlineStr">
        <is>
          <t>LAB730569</t>
        </is>
      </c>
      <c r="B270" t="inlineStr">
        <is>
          <t>ENC112929</t>
        </is>
      </c>
      <c r="C270" t="inlineStr">
        <is>
          <t>K</t>
        </is>
      </c>
      <c r="D270" t="inlineStr">
        <is>
          <t>Potassium</t>
        </is>
      </c>
      <c r="E270" t="n">
        <v>4.3</v>
      </c>
      <c r="F270" t="inlineStr">
        <is>
          <t>mmol/L</t>
        </is>
      </c>
      <c r="G270" t="n">
        <v>3.5</v>
      </c>
      <c r="H270" t="n">
        <v>5.1</v>
      </c>
      <c r="I270" t="inlineStr">
        <is>
          <t>N</t>
        </is>
      </c>
      <c r="J270" t="inlineStr">
        <is>
          <t>STAT</t>
        </is>
      </c>
      <c r="K270" s="33" t="n">
        <v>45720.09236111111</v>
      </c>
      <c r="L270" s="33" t="n">
        <v>45720.12430555555</v>
      </c>
      <c r="M270" s="34" t="n"/>
    </row>
    <row r="271">
      <c r="A271" t="inlineStr">
        <is>
          <t>LAB730570</t>
        </is>
      </c>
      <c r="B271" t="inlineStr">
        <is>
          <t>ENC112929</t>
        </is>
      </c>
      <c r="C271" t="inlineStr">
        <is>
          <t>LACT</t>
        </is>
      </c>
      <c r="D271" t="inlineStr">
        <is>
          <t>Lactate</t>
        </is>
      </c>
      <c r="E271" t="n">
        <v>3.5</v>
      </c>
      <c r="F271" t="inlineStr">
        <is>
          <t>mmol/L</t>
        </is>
      </c>
      <c r="G271" t="n">
        <v>0.5</v>
      </c>
      <c r="H271" t="n">
        <v>2</v>
      </c>
      <c r="I271" t="inlineStr">
        <is>
          <t>H</t>
        </is>
      </c>
      <c r="J271" t="inlineStr">
        <is>
          <t>STAT</t>
        </is>
      </c>
      <c r="K271" s="33" t="n">
        <v>45720.09375</v>
      </c>
      <c r="L271" s="33" t="n">
        <v>45720.12986111111</v>
      </c>
      <c r="M271" s="34" t="n"/>
    </row>
    <row r="272">
      <c r="A272" t="inlineStr">
        <is>
          <t>LAB730564</t>
        </is>
      </c>
      <c r="B272" t="inlineStr">
        <is>
          <t>ENC112929</t>
        </is>
      </c>
      <c r="C272" t="inlineStr">
        <is>
          <t>GLU</t>
        </is>
      </c>
      <c r="D272" t="inlineStr">
        <is>
          <t>Glucose</t>
        </is>
      </c>
      <c r="E272" t="n">
        <v>150</v>
      </c>
      <c r="F272" t="inlineStr">
        <is>
          <t>mg/dL</t>
        </is>
      </c>
      <c r="G272" t="n">
        <v>70</v>
      </c>
      <c r="H272" t="n">
        <v>99</v>
      </c>
      <c r="I272" t="inlineStr">
        <is>
          <t>H</t>
        </is>
      </c>
      <c r="J272" t="inlineStr">
        <is>
          <t>Routine</t>
        </is>
      </c>
      <c r="K272" s="33" t="n">
        <v>45720.08055555556</v>
      </c>
      <c r="L272" s="33" t="n">
        <v>45720.20972222222</v>
      </c>
      <c r="M272" s="34" t="n"/>
    </row>
    <row r="273">
      <c r="A273" t="inlineStr">
        <is>
          <t>LAB730694</t>
        </is>
      </c>
      <c r="B273" t="inlineStr">
        <is>
          <t>ENC112990</t>
        </is>
      </c>
      <c r="C273" t="inlineStr">
        <is>
          <t>LACT</t>
        </is>
      </c>
      <c r="D273" t="inlineStr">
        <is>
          <t>Lactate</t>
        </is>
      </c>
      <c r="E273" t="n">
        <v>5.5</v>
      </c>
      <c r="F273" t="inlineStr">
        <is>
          <t>mmol/L</t>
        </is>
      </c>
      <c r="G273" t="n">
        <v>0.5</v>
      </c>
      <c r="H273" t="n">
        <v>2</v>
      </c>
      <c r="I273" t="inlineStr">
        <is>
          <t>HH</t>
        </is>
      </c>
      <c r="J273" t="inlineStr">
        <is>
          <t>STAT</t>
        </is>
      </c>
      <c r="K273" s="33" t="n">
        <v>45721.95069444444</v>
      </c>
      <c r="L273" s="33" t="n">
        <v>45721.97013888889</v>
      </c>
      <c r="M273" s="34" t="n"/>
    </row>
    <row r="274">
      <c r="A274" t="inlineStr">
        <is>
          <t>LAB730691</t>
        </is>
      </c>
      <c r="B274" t="inlineStr">
        <is>
          <t>ENC112990</t>
        </is>
      </c>
      <c r="C274" t="inlineStr">
        <is>
          <t>CREAT</t>
        </is>
      </c>
      <c r="D274" t="inlineStr">
        <is>
          <t>Creatinine</t>
        </is>
      </c>
      <c r="E274" t="n">
        <v>2.01</v>
      </c>
      <c r="F274" t="inlineStr">
        <is>
          <t>mg/dL</t>
        </is>
      </c>
      <c r="G274" t="n">
        <v>0.6</v>
      </c>
      <c r="H274" t="n">
        <v>1.3</v>
      </c>
      <c r="I274" t="inlineStr">
        <is>
          <t>H</t>
        </is>
      </c>
      <c r="J274" t="inlineStr">
        <is>
          <t>Routine</t>
        </is>
      </c>
      <c r="K274" s="33" t="n">
        <v>45721.9375</v>
      </c>
      <c r="L274" s="33" t="n">
        <v>45721.98125</v>
      </c>
      <c r="M274" s="34" t="n"/>
    </row>
    <row r="275">
      <c r="A275" t="inlineStr">
        <is>
          <t>LAB730692</t>
        </is>
      </c>
      <c r="B275" t="inlineStr">
        <is>
          <t>ENC112990</t>
        </is>
      </c>
      <c r="C275" t="inlineStr">
        <is>
          <t>WBC</t>
        </is>
      </c>
      <c r="D275" t="inlineStr">
        <is>
          <t>White Blood Cell Count</t>
        </is>
      </c>
      <c r="E275" t="n">
        <v>23.2</v>
      </c>
      <c r="F275" t="inlineStr">
        <is>
          <t>K/uL</t>
        </is>
      </c>
      <c r="G275" t="n">
        <v>4.5</v>
      </c>
      <c r="H275" t="n">
        <v>11</v>
      </c>
      <c r="I275" t="inlineStr">
        <is>
          <t>H</t>
        </is>
      </c>
      <c r="J275" t="inlineStr">
        <is>
          <t>STAT</t>
        </is>
      </c>
      <c r="K275" s="33" t="n">
        <v>45721.94444444445</v>
      </c>
      <c r="L275" s="33" t="n">
        <v>45721.99861111111</v>
      </c>
      <c r="M275" s="34" t="n"/>
    </row>
    <row r="276">
      <c r="A276" t="inlineStr">
        <is>
          <t>LAB730693</t>
        </is>
      </c>
      <c r="B276" t="inlineStr">
        <is>
          <t>ENC112990</t>
        </is>
      </c>
      <c r="C276" t="inlineStr">
        <is>
          <t>HGB</t>
        </is>
      </c>
      <c r="D276" t="inlineStr">
        <is>
          <t>Hemoglobin</t>
        </is>
      </c>
      <c r="E276" t="n">
        <v>12.6</v>
      </c>
      <c r="F276" t="inlineStr">
        <is>
          <t>g/dL</t>
        </is>
      </c>
      <c r="G276" t="n">
        <v>12</v>
      </c>
      <c r="H276" t="n">
        <v>17.5</v>
      </c>
      <c r="I276" t="inlineStr">
        <is>
          <t>N</t>
        </is>
      </c>
      <c r="J276" t="inlineStr">
        <is>
          <t>Routine</t>
        </is>
      </c>
      <c r="K276" s="33" t="n">
        <v>45721.93611111111</v>
      </c>
      <c r="L276" s="33" t="n">
        <v>45721.99861111111</v>
      </c>
      <c r="M276" s="34" t="n"/>
    </row>
    <row r="277">
      <c r="A277" t="inlineStr">
        <is>
          <t>LAB730690</t>
        </is>
      </c>
      <c r="B277" t="inlineStr">
        <is>
          <t>ENC112990</t>
        </is>
      </c>
      <c r="C277" t="inlineStr">
        <is>
          <t>GLU</t>
        </is>
      </c>
      <c r="D277" t="inlineStr">
        <is>
          <t>Glucose</t>
        </is>
      </c>
      <c r="E277" t="n">
        <v>152</v>
      </c>
      <c r="F277" t="inlineStr">
        <is>
          <t>mg/dL</t>
        </is>
      </c>
      <c r="G277" t="n">
        <v>70</v>
      </c>
      <c r="H277" t="n">
        <v>99</v>
      </c>
      <c r="I277" t="inlineStr">
        <is>
          <t>H</t>
        </is>
      </c>
      <c r="J277" t="inlineStr">
        <is>
          <t>Routine</t>
        </is>
      </c>
      <c r="K277" s="33" t="n">
        <v>45721.97777777778</v>
      </c>
      <c r="L277" s="33" t="n">
        <v>45722.18541666667</v>
      </c>
      <c r="M277" s="34" t="n"/>
    </row>
    <row r="278">
      <c r="A278" t="inlineStr">
        <is>
          <t>LAB730734</t>
        </is>
      </c>
      <c r="B278" t="inlineStr">
        <is>
          <t>ENC113004</t>
        </is>
      </c>
      <c r="C278" t="inlineStr">
        <is>
          <t>LACT</t>
        </is>
      </c>
      <c r="D278" t="inlineStr">
        <is>
          <t>Lactate</t>
        </is>
      </c>
      <c r="E278" t="n">
        <v>3.6</v>
      </c>
      <c r="F278" t="inlineStr">
        <is>
          <t>mmol/L</t>
        </is>
      </c>
      <c r="G278" t="n">
        <v>0.5</v>
      </c>
      <c r="H278" t="n">
        <v>2</v>
      </c>
      <c r="I278" t="inlineStr">
        <is>
          <t>H</t>
        </is>
      </c>
      <c r="J278" t="inlineStr">
        <is>
          <t>STAT</t>
        </is>
      </c>
      <c r="K278" s="33" t="n">
        <v>45722.51875</v>
      </c>
      <c r="L278" s="33" t="n">
        <v>45722.54722222222</v>
      </c>
      <c r="M278" s="34" t="n"/>
    </row>
    <row r="279">
      <c r="A279" t="inlineStr">
        <is>
          <t>LAB730732</t>
        </is>
      </c>
      <c r="B279" t="inlineStr">
        <is>
          <t>ENC113004</t>
        </is>
      </c>
      <c r="C279" t="inlineStr">
        <is>
          <t>WBC</t>
        </is>
      </c>
      <c r="D279" t="inlineStr">
        <is>
          <t>White Blood Cell Count</t>
        </is>
      </c>
      <c r="E279" t="n">
        <v>16.9</v>
      </c>
      <c r="F279" t="inlineStr">
        <is>
          <t>K/uL</t>
        </is>
      </c>
      <c r="G279" t="n">
        <v>4.5</v>
      </c>
      <c r="H279" t="n">
        <v>11</v>
      </c>
      <c r="I279" t="inlineStr">
        <is>
          <t>H</t>
        </is>
      </c>
      <c r="J279" t="inlineStr">
        <is>
          <t>Routine</t>
        </is>
      </c>
      <c r="K279" s="33" t="n">
        <v>45722.54791666667</v>
      </c>
      <c r="L279" s="33" t="n">
        <v>45722.65694444445</v>
      </c>
      <c r="M279" s="34" t="n"/>
    </row>
    <row r="280">
      <c r="A280" t="inlineStr">
        <is>
          <t>LAB730733</t>
        </is>
      </c>
      <c r="B280" t="inlineStr">
        <is>
          <t>ENC113004</t>
        </is>
      </c>
      <c r="C280" t="inlineStr">
        <is>
          <t>HGB</t>
        </is>
      </c>
      <c r="D280" t="inlineStr">
        <is>
          <t>Hemoglobin</t>
        </is>
      </c>
      <c r="E280" t="n">
        <v>10.9</v>
      </c>
      <c r="F280" t="inlineStr">
        <is>
          <t>g/dL</t>
        </is>
      </c>
      <c r="G280" t="n">
        <v>12</v>
      </c>
      <c r="H280" t="n">
        <v>17.5</v>
      </c>
      <c r="I280" t="inlineStr">
        <is>
          <t>L</t>
        </is>
      </c>
      <c r="J280" t="inlineStr">
        <is>
          <t>Routine</t>
        </is>
      </c>
      <c r="K280" s="33" t="n">
        <v>45722.5125</v>
      </c>
      <c r="L280" s="33" t="n">
        <v>45722.66597222222</v>
      </c>
      <c r="M280" s="34" t="n"/>
    </row>
    <row r="281">
      <c r="A281" t="inlineStr">
        <is>
          <t>LAB730731</t>
        </is>
      </c>
      <c r="B281" t="inlineStr">
        <is>
          <t>ENC113004</t>
        </is>
      </c>
      <c r="C281" t="inlineStr">
        <is>
          <t>CREAT</t>
        </is>
      </c>
      <c r="D281" t="inlineStr">
        <is>
          <t>Creatinine</t>
        </is>
      </c>
      <c r="E281" t="n">
        <v>0.92</v>
      </c>
      <c r="F281" t="inlineStr">
        <is>
          <t>mg/dL</t>
        </is>
      </c>
      <c r="G281" t="n">
        <v>0.6</v>
      </c>
      <c r="H281" t="n">
        <v>1.3</v>
      </c>
      <c r="I281" t="inlineStr">
        <is>
          <t>N</t>
        </is>
      </c>
      <c r="J281" t="inlineStr">
        <is>
          <t>Routine</t>
        </is>
      </c>
      <c r="K281" s="33" t="n">
        <v>45722.50138888889</v>
      </c>
      <c r="L281" s="33" t="n">
        <v>45722.75</v>
      </c>
      <c r="M281" s="34" t="n"/>
    </row>
    <row r="282">
      <c r="A282" t="inlineStr">
        <is>
          <t>LAB730730</t>
        </is>
      </c>
      <c r="B282" t="inlineStr">
        <is>
          <t>ENC113004</t>
        </is>
      </c>
      <c r="C282" t="inlineStr">
        <is>
          <t>GLU</t>
        </is>
      </c>
      <c r="D282" t="inlineStr">
        <is>
          <t>Glucose</t>
        </is>
      </c>
      <c r="E282" t="n">
        <v>149</v>
      </c>
      <c r="F282" t="inlineStr">
        <is>
          <t>mg/dL</t>
        </is>
      </c>
      <c r="G282" t="n">
        <v>70</v>
      </c>
      <c r="H282" t="n">
        <v>99</v>
      </c>
      <c r="I282" t="inlineStr">
        <is>
          <t>H</t>
        </is>
      </c>
      <c r="J282" t="inlineStr">
        <is>
          <t>Routine</t>
        </is>
      </c>
      <c r="K282" s="33" t="n">
        <v>45722.54652777778</v>
      </c>
      <c r="L282" s="33" t="n">
        <v>45722.86944444444</v>
      </c>
      <c r="M282" s="34" t="n"/>
    </row>
    <row r="283">
      <c r="A283" t="inlineStr">
        <is>
          <t>LAB730808</t>
        </is>
      </c>
      <c r="B283" t="inlineStr">
        <is>
          <t>ENC113049</t>
        </is>
      </c>
      <c r="C283" t="inlineStr">
        <is>
          <t>CREAT</t>
        </is>
      </c>
      <c r="D283" t="inlineStr">
        <is>
          <t>Creatinine</t>
        </is>
      </c>
      <c r="E283" t="n">
        <v>2.21</v>
      </c>
      <c r="F283" t="inlineStr">
        <is>
          <t>mg/dL</t>
        </is>
      </c>
      <c r="G283" t="n">
        <v>0.6</v>
      </c>
      <c r="H283" t="n">
        <v>1.3</v>
      </c>
      <c r="I283" t="inlineStr">
        <is>
          <t>H</t>
        </is>
      </c>
      <c r="J283" t="inlineStr">
        <is>
          <t>STAT</t>
        </is>
      </c>
      <c r="K283" s="33" t="n">
        <v>45723.725</v>
      </c>
      <c r="L283" s="33" t="n">
        <v>45723.74861111111</v>
      </c>
      <c r="M283" s="34" t="n"/>
    </row>
    <row r="284">
      <c r="A284" t="inlineStr">
        <is>
          <t>LAB730807</t>
        </is>
      </c>
      <c r="B284" t="inlineStr">
        <is>
          <t>ENC113049</t>
        </is>
      </c>
      <c r="C284" t="inlineStr">
        <is>
          <t>GLU</t>
        </is>
      </c>
      <c r="D284" t="inlineStr">
        <is>
          <t>Glucose</t>
        </is>
      </c>
      <c r="E284" t="n">
        <v>198</v>
      </c>
      <c r="F284" t="inlineStr">
        <is>
          <t>mg/dL</t>
        </is>
      </c>
      <c r="G284" t="n">
        <v>70</v>
      </c>
      <c r="H284" t="n">
        <v>99</v>
      </c>
      <c r="I284" t="inlineStr">
        <is>
          <t>H</t>
        </is>
      </c>
      <c r="J284" t="inlineStr">
        <is>
          <t>STAT</t>
        </is>
      </c>
      <c r="K284" s="33" t="n">
        <v>45723.74652777778</v>
      </c>
      <c r="L284" s="33" t="n">
        <v>45723.7625</v>
      </c>
      <c r="M284" s="34" t="n"/>
    </row>
    <row r="285">
      <c r="A285" t="inlineStr">
        <is>
          <t>LAB730809</t>
        </is>
      </c>
      <c r="B285" t="inlineStr">
        <is>
          <t>ENC113049</t>
        </is>
      </c>
      <c r="C285" t="inlineStr">
        <is>
          <t>WBC</t>
        </is>
      </c>
      <c r="D285" t="inlineStr">
        <is>
          <t>White Blood Cell Count</t>
        </is>
      </c>
      <c r="E285" t="n">
        <v>14.4</v>
      </c>
      <c r="F285" t="inlineStr">
        <is>
          <t>K/uL</t>
        </is>
      </c>
      <c r="G285" t="n">
        <v>4.5</v>
      </c>
      <c r="H285" t="n">
        <v>11</v>
      </c>
      <c r="I285" t="inlineStr">
        <is>
          <t>H</t>
        </is>
      </c>
      <c r="J285" t="inlineStr">
        <is>
          <t>Routine</t>
        </is>
      </c>
      <c r="K285" s="33" t="n">
        <v>45723.70069444444</v>
      </c>
      <c r="L285" s="33" t="n">
        <v>45723.78819444445</v>
      </c>
      <c r="M285" s="34" t="n"/>
    </row>
    <row r="286">
      <c r="A286" t="inlineStr">
        <is>
          <t>LAB730811</t>
        </is>
      </c>
      <c r="B286" t="inlineStr">
        <is>
          <t>ENC113049</t>
        </is>
      </c>
      <c r="C286" t="inlineStr">
        <is>
          <t>LACT</t>
        </is>
      </c>
      <c r="D286" t="inlineStr">
        <is>
          <t>Lactate</t>
        </is>
      </c>
      <c r="E286" t="n">
        <v>4.9</v>
      </c>
      <c r="F286" t="inlineStr">
        <is>
          <t>mmol/L</t>
        </is>
      </c>
      <c r="G286" t="n">
        <v>0.5</v>
      </c>
      <c r="H286" t="n">
        <v>2</v>
      </c>
      <c r="I286" t="inlineStr">
        <is>
          <t>HH</t>
        </is>
      </c>
      <c r="J286" t="inlineStr">
        <is>
          <t>STAT</t>
        </is>
      </c>
      <c r="K286" s="33" t="n">
        <v>45723.76319444444</v>
      </c>
      <c r="L286" s="33" t="n">
        <v>45723.79444444444</v>
      </c>
      <c r="M286" s="34" t="n"/>
    </row>
    <row r="287">
      <c r="A287" t="inlineStr">
        <is>
          <t>LAB730810</t>
        </is>
      </c>
      <c r="B287" t="inlineStr">
        <is>
          <t>ENC113049</t>
        </is>
      </c>
      <c r="C287" t="inlineStr">
        <is>
          <t>HGB</t>
        </is>
      </c>
      <c r="D287" t="inlineStr">
        <is>
          <t>Hemoglobin</t>
        </is>
      </c>
      <c r="E287" t="n">
        <v>14.4</v>
      </c>
      <c r="F287" t="inlineStr">
        <is>
          <t>g/dL</t>
        </is>
      </c>
      <c r="G287" t="n">
        <v>12</v>
      </c>
      <c r="H287" t="n">
        <v>17.5</v>
      </c>
      <c r="I287" t="inlineStr">
        <is>
          <t>N</t>
        </is>
      </c>
      <c r="J287" t="inlineStr">
        <is>
          <t>Routine</t>
        </is>
      </c>
      <c r="K287" s="33" t="n">
        <v>45723.76458333333</v>
      </c>
      <c r="L287" s="33" t="n">
        <v>45723.825</v>
      </c>
      <c r="M287" s="34" t="n"/>
    </row>
    <row r="288">
      <c r="A288" t="inlineStr">
        <is>
          <t>LAB731077</t>
        </is>
      </c>
      <c r="B288" t="inlineStr">
        <is>
          <t>ENC113149</t>
        </is>
      </c>
      <c r="C288" t="inlineStr">
        <is>
          <t>GLU</t>
        </is>
      </c>
      <c r="D288" t="inlineStr">
        <is>
          <t>Glucose</t>
        </is>
      </c>
      <c r="E288" t="n">
        <v>136</v>
      </c>
      <c r="F288" t="inlineStr">
        <is>
          <t>mg/dL</t>
        </is>
      </c>
      <c r="G288" t="n">
        <v>70</v>
      </c>
      <c r="H288" t="n">
        <v>99</v>
      </c>
      <c r="I288" t="inlineStr">
        <is>
          <t>H</t>
        </is>
      </c>
      <c r="J288" t="inlineStr">
        <is>
          <t>STAT</t>
        </is>
      </c>
      <c r="K288" s="33" t="n">
        <v>45727.45138888889</v>
      </c>
      <c r="L288" s="33" t="n">
        <v>45727.48611111111</v>
      </c>
      <c r="M288" s="34" t="n"/>
    </row>
    <row r="289">
      <c r="A289" t="inlineStr">
        <is>
          <t>LAB731079</t>
        </is>
      </c>
      <c r="B289" t="inlineStr">
        <is>
          <t>ENC113149</t>
        </is>
      </c>
      <c r="C289" t="inlineStr">
        <is>
          <t>WBC</t>
        </is>
      </c>
      <c r="D289" t="inlineStr">
        <is>
          <t>White Blood Cell Count</t>
        </is>
      </c>
      <c r="E289" t="n">
        <v>2.5</v>
      </c>
      <c r="F289" t="inlineStr">
        <is>
          <t>K/uL</t>
        </is>
      </c>
      <c r="G289" t="n">
        <v>4.5</v>
      </c>
      <c r="H289" t="n">
        <v>11</v>
      </c>
      <c r="I289" t="inlineStr">
        <is>
          <t>L</t>
        </is>
      </c>
      <c r="J289" t="inlineStr">
        <is>
          <t>STAT</t>
        </is>
      </c>
      <c r="K289" s="33" t="n">
        <v>45727.4875</v>
      </c>
      <c r="L289" s="33" t="n">
        <v>45727.5125</v>
      </c>
      <c r="M289" s="34" t="n"/>
    </row>
    <row r="290">
      <c r="A290" t="inlineStr">
        <is>
          <t>LAB731081</t>
        </is>
      </c>
      <c r="B290" t="inlineStr">
        <is>
          <t>ENC113149</t>
        </is>
      </c>
      <c r="C290" t="inlineStr">
        <is>
          <t>LACT</t>
        </is>
      </c>
      <c r="D290" t="inlineStr">
        <is>
          <t>Lactate</t>
        </is>
      </c>
      <c r="E290" t="n">
        <v>6.1</v>
      </c>
      <c r="F290" t="inlineStr">
        <is>
          <t>mmol/L</t>
        </is>
      </c>
      <c r="G290" t="n">
        <v>0.5</v>
      </c>
      <c r="H290" t="n">
        <v>2</v>
      </c>
      <c r="I290" t="inlineStr">
        <is>
          <t>HH</t>
        </is>
      </c>
      <c r="J290" t="inlineStr">
        <is>
          <t>STAT</t>
        </is>
      </c>
      <c r="K290" s="33" t="n">
        <v>45727.49444444444</v>
      </c>
      <c r="L290" s="33" t="n">
        <v>45727.51597222222</v>
      </c>
      <c r="M290" s="34" t="n"/>
    </row>
    <row r="291">
      <c r="A291" t="inlineStr">
        <is>
          <t>LAB731080</t>
        </is>
      </c>
      <c r="B291" t="inlineStr">
        <is>
          <t>ENC113149</t>
        </is>
      </c>
      <c r="C291" t="inlineStr">
        <is>
          <t>HGB</t>
        </is>
      </c>
      <c r="D291" t="inlineStr">
        <is>
          <t>Hemoglobin</t>
        </is>
      </c>
      <c r="E291" t="n">
        <v>14.2</v>
      </c>
      <c r="F291" t="inlineStr">
        <is>
          <t>g/dL</t>
        </is>
      </c>
      <c r="G291" t="n">
        <v>12</v>
      </c>
      <c r="H291" t="n">
        <v>17.5</v>
      </c>
      <c r="I291" t="inlineStr">
        <is>
          <t>N</t>
        </is>
      </c>
      <c r="J291" t="inlineStr">
        <is>
          <t>STAT</t>
        </is>
      </c>
      <c r="K291" s="33" t="n">
        <v>45727.48402777778</v>
      </c>
      <c r="L291" s="33" t="n">
        <v>45727.525</v>
      </c>
      <c r="M291" s="34" t="n"/>
    </row>
    <row r="292">
      <c r="A292" t="inlineStr">
        <is>
          <t>LAB731078</t>
        </is>
      </c>
      <c r="B292" t="inlineStr">
        <is>
          <t>ENC113149</t>
        </is>
      </c>
      <c r="C292" t="inlineStr">
        <is>
          <t>CREAT</t>
        </is>
      </c>
      <c r="D292" t="inlineStr">
        <is>
          <t>Creatinine</t>
        </is>
      </c>
      <c r="E292" t="n">
        <v>2.4</v>
      </c>
      <c r="F292" t="inlineStr">
        <is>
          <t>mg/dL</t>
        </is>
      </c>
      <c r="G292" t="n">
        <v>0.6</v>
      </c>
      <c r="H292" t="n">
        <v>1.3</v>
      </c>
      <c r="I292" t="inlineStr">
        <is>
          <t>H</t>
        </is>
      </c>
      <c r="J292" t="inlineStr">
        <is>
          <t>Routine</t>
        </is>
      </c>
      <c r="K292" s="33" t="n">
        <v>45727.47847222222</v>
      </c>
      <c r="L292" s="33" t="n">
        <v>45727.57152777778</v>
      </c>
      <c r="M292" s="34" t="n"/>
    </row>
    <row r="293">
      <c r="A293" t="inlineStr">
        <is>
          <t>LAB731148</t>
        </is>
      </c>
      <c r="B293" t="inlineStr">
        <is>
          <t>ENC113178</t>
        </is>
      </c>
      <c r="C293" t="inlineStr">
        <is>
          <t>NA</t>
        </is>
      </c>
      <c r="D293" t="inlineStr">
        <is>
          <t>Sodium</t>
        </is>
      </c>
      <c r="E293" t="n">
        <v>138</v>
      </c>
      <c r="F293" t="inlineStr">
        <is>
          <t>mmol/L</t>
        </is>
      </c>
      <c r="G293" t="n">
        <v>136</v>
      </c>
      <c r="H293" t="n">
        <v>145</v>
      </c>
      <c r="I293" t="inlineStr">
        <is>
          <t>N</t>
        </is>
      </c>
      <c r="J293" t="inlineStr">
        <is>
          <t>STAT</t>
        </is>
      </c>
      <c r="K293" s="33" t="n">
        <v>45727.92222222222</v>
      </c>
      <c r="L293" s="33" t="n">
        <v>45727.94513888889</v>
      </c>
      <c r="M293" s="34" t="n"/>
    </row>
    <row r="294">
      <c r="A294" t="inlineStr">
        <is>
          <t>LAB731150</t>
        </is>
      </c>
      <c r="B294" t="inlineStr">
        <is>
          <t>ENC113178</t>
        </is>
      </c>
      <c r="C294" t="inlineStr">
        <is>
          <t>LACT</t>
        </is>
      </c>
      <c r="D294" t="inlineStr">
        <is>
          <t>Lactate</t>
        </is>
      </c>
      <c r="E294" t="n">
        <v>2.1</v>
      </c>
      <c r="F294" t="inlineStr">
        <is>
          <t>mmol/L</t>
        </is>
      </c>
      <c r="G294" t="n">
        <v>0.5</v>
      </c>
      <c r="H294" t="n">
        <v>2</v>
      </c>
      <c r="I294" t="inlineStr">
        <is>
          <t>H</t>
        </is>
      </c>
      <c r="J294" t="inlineStr">
        <is>
          <t>STAT</t>
        </is>
      </c>
      <c r="K294" s="33" t="n">
        <v>45727.90902777778</v>
      </c>
      <c r="L294" s="33" t="n">
        <v>45727.94791666666</v>
      </c>
      <c r="M294" s="34" t="n"/>
    </row>
    <row r="295">
      <c r="A295" t="inlineStr">
        <is>
          <t>LAB731147</t>
        </is>
      </c>
      <c r="B295" t="inlineStr">
        <is>
          <t>ENC113178</t>
        </is>
      </c>
      <c r="C295" t="inlineStr">
        <is>
          <t>HGB</t>
        </is>
      </c>
      <c r="D295" t="inlineStr">
        <is>
          <t>Hemoglobin</t>
        </is>
      </c>
      <c r="E295" t="n">
        <v>14.3</v>
      </c>
      <c r="F295" t="inlineStr">
        <is>
          <t>g/dL</t>
        </is>
      </c>
      <c r="G295" t="n">
        <v>12</v>
      </c>
      <c r="H295" t="n">
        <v>17.5</v>
      </c>
      <c r="I295" t="inlineStr">
        <is>
          <t>N</t>
        </is>
      </c>
      <c r="J295" t="inlineStr">
        <is>
          <t>STAT</t>
        </is>
      </c>
      <c r="K295" s="33" t="n">
        <v>45727.91111111111</v>
      </c>
      <c r="L295" s="33" t="n">
        <v>45727.94930555556</v>
      </c>
      <c r="M295" s="34" t="n"/>
    </row>
    <row r="296">
      <c r="A296" t="inlineStr">
        <is>
          <t>LAB731146</t>
        </is>
      </c>
      <c r="B296" t="inlineStr">
        <is>
          <t>ENC113178</t>
        </is>
      </c>
      <c r="C296" t="inlineStr">
        <is>
          <t>WBC</t>
        </is>
      </c>
      <c r="D296" t="inlineStr">
        <is>
          <t>White Blood Cell Count</t>
        </is>
      </c>
      <c r="E296" t="n">
        <v>5.5</v>
      </c>
      <c r="F296" t="inlineStr">
        <is>
          <t>K/uL</t>
        </is>
      </c>
      <c r="G296" t="n">
        <v>4.5</v>
      </c>
      <c r="H296" t="n">
        <v>11</v>
      </c>
      <c r="I296" t="inlineStr">
        <is>
          <t>N</t>
        </is>
      </c>
      <c r="J296" t="inlineStr">
        <is>
          <t>STAT</t>
        </is>
      </c>
      <c r="K296" s="33" t="n">
        <v>45727.93680555555</v>
      </c>
      <c r="L296" s="33" t="n">
        <v>45727.96875</v>
      </c>
      <c r="M296" s="34" t="n"/>
    </row>
    <row r="297">
      <c r="A297" t="inlineStr">
        <is>
          <t>LAB731149</t>
        </is>
      </c>
      <c r="B297" t="inlineStr">
        <is>
          <t>ENC113178</t>
        </is>
      </c>
      <c r="C297" t="inlineStr">
        <is>
          <t>K</t>
        </is>
      </c>
      <c r="D297" t="inlineStr">
        <is>
          <t>Potassium</t>
        </is>
      </c>
      <c r="E297" t="n">
        <v>4.2</v>
      </c>
      <c r="F297" t="inlineStr">
        <is>
          <t>mmol/L</t>
        </is>
      </c>
      <c r="G297" t="n">
        <v>3.5</v>
      </c>
      <c r="H297" t="n">
        <v>5.1</v>
      </c>
      <c r="I297" t="inlineStr">
        <is>
          <t>N</t>
        </is>
      </c>
      <c r="J297" t="inlineStr">
        <is>
          <t>STAT</t>
        </is>
      </c>
      <c r="K297" s="33" t="n">
        <v>45727.94652777778</v>
      </c>
      <c r="L297" s="33" t="n">
        <v>45727.98819444444</v>
      </c>
      <c r="M297" s="34" t="n"/>
    </row>
    <row r="298">
      <c r="A298" t="inlineStr">
        <is>
          <t>LAB731144</t>
        </is>
      </c>
      <c r="B298" t="inlineStr">
        <is>
          <t>ENC113178</t>
        </is>
      </c>
      <c r="C298" t="inlineStr">
        <is>
          <t>GLU</t>
        </is>
      </c>
      <c r="D298" t="inlineStr">
        <is>
          <t>Glucose</t>
        </is>
      </c>
      <c r="E298" t="n">
        <v>93</v>
      </c>
      <c r="F298" t="inlineStr">
        <is>
          <t>mg/dL</t>
        </is>
      </c>
      <c r="G298" t="n">
        <v>70</v>
      </c>
      <c r="H298" t="n">
        <v>99</v>
      </c>
      <c r="I298" t="inlineStr">
        <is>
          <t>N</t>
        </is>
      </c>
      <c r="J298" t="inlineStr">
        <is>
          <t>Routine</t>
        </is>
      </c>
      <c r="K298" s="33" t="n">
        <v>45727.9375</v>
      </c>
      <c r="L298" s="33" t="n">
        <v>45728.06458333333</v>
      </c>
      <c r="M298" s="34" t="n"/>
    </row>
    <row r="299">
      <c r="A299" t="inlineStr">
        <is>
          <t>LAB731187</t>
        </is>
      </c>
      <c r="B299" t="inlineStr">
        <is>
          <t>ENC113184</t>
        </is>
      </c>
      <c r="C299" t="inlineStr">
        <is>
          <t>LACT</t>
        </is>
      </c>
      <c r="D299" t="inlineStr">
        <is>
          <t>Lactate</t>
        </is>
      </c>
      <c r="E299" t="n">
        <v>5.2</v>
      </c>
      <c r="F299" t="inlineStr">
        <is>
          <t>mmol/L</t>
        </is>
      </c>
      <c r="G299" t="n">
        <v>0.5</v>
      </c>
      <c r="H299" t="n">
        <v>2</v>
      </c>
      <c r="I299" t="inlineStr">
        <is>
          <t>HH</t>
        </is>
      </c>
      <c r="J299" t="inlineStr">
        <is>
          <t>STAT</t>
        </is>
      </c>
      <c r="K299" s="33" t="n">
        <v>45728.14375</v>
      </c>
      <c r="L299" s="33" t="n">
        <v>45728.18819444445</v>
      </c>
      <c r="M299" s="34" t="n"/>
    </row>
    <row r="300">
      <c r="A300" t="inlineStr">
        <is>
          <t>LAB731184</t>
        </is>
      </c>
      <c r="B300" t="inlineStr">
        <is>
          <t>ENC113184</t>
        </is>
      </c>
      <c r="C300" t="inlineStr">
        <is>
          <t>CREAT</t>
        </is>
      </c>
      <c r="D300" t="inlineStr">
        <is>
          <t>Creatinine</t>
        </is>
      </c>
      <c r="E300" t="n">
        <v>2.02</v>
      </c>
      <c r="F300" t="inlineStr">
        <is>
          <t>mg/dL</t>
        </is>
      </c>
      <c r="G300" t="n">
        <v>0.6</v>
      </c>
      <c r="H300" t="n">
        <v>1.3</v>
      </c>
      <c r="I300" t="inlineStr">
        <is>
          <t>H</t>
        </is>
      </c>
      <c r="J300" t="inlineStr">
        <is>
          <t>STAT</t>
        </is>
      </c>
      <c r="K300" s="33" t="n">
        <v>45728.17152777778</v>
      </c>
      <c r="L300" s="33" t="n">
        <v>45728.19861111111</v>
      </c>
      <c r="M300" s="34" t="n"/>
    </row>
    <row r="301">
      <c r="A301" t="inlineStr">
        <is>
          <t>LAB731186</t>
        </is>
      </c>
      <c r="B301" t="inlineStr">
        <is>
          <t>ENC113184</t>
        </is>
      </c>
      <c r="C301" t="inlineStr">
        <is>
          <t>HGB</t>
        </is>
      </c>
      <c r="D301" t="inlineStr">
        <is>
          <t>Hemoglobin</t>
        </is>
      </c>
      <c r="E301" t="n">
        <v>14.9</v>
      </c>
      <c r="F301" t="inlineStr">
        <is>
          <t>g/dL</t>
        </is>
      </c>
      <c r="G301" t="n">
        <v>12</v>
      </c>
      <c r="H301" t="n">
        <v>17.5</v>
      </c>
      <c r="I301" t="inlineStr">
        <is>
          <t>N</t>
        </is>
      </c>
      <c r="J301" t="inlineStr">
        <is>
          <t>STAT</t>
        </is>
      </c>
      <c r="K301" s="33" t="n">
        <v>45728.15069444444</v>
      </c>
      <c r="L301" s="33" t="n">
        <v>45728.19930555556</v>
      </c>
      <c r="M301" s="34" t="n"/>
    </row>
    <row r="302">
      <c r="A302" t="inlineStr">
        <is>
          <t>LAB731183</t>
        </is>
      </c>
      <c r="B302" t="inlineStr">
        <is>
          <t>ENC113184</t>
        </is>
      </c>
      <c r="C302" t="inlineStr">
        <is>
          <t>GLU</t>
        </is>
      </c>
      <c r="D302" t="inlineStr">
        <is>
          <t>Glucose</t>
        </is>
      </c>
      <c r="E302" t="n">
        <v>151</v>
      </c>
      <c r="F302" t="inlineStr">
        <is>
          <t>mg/dL</t>
        </is>
      </c>
      <c r="G302" t="n">
        <v>70</v>
      </c>
      <c r="H302" t="n">
        <v>99</v>
      </c>
      <c r="I302" t="inlineStr">
        <is>
          <t>H</t>
        </is>
      </c>
      <c r="J302" t="inlineStr">
        <is>
          <t>Routine</t>
        </is>
      </c>
      <c r="K302" s="33" t="n">
        <v>45728.14305555556</v>
      </c>
      <c r="L302" s="33" t="n">
        <v>45728.23125</v>
      </c>
      <c r="M302" s="34" t="n"/>
    </row>
    <row r="303">
      <c r="A303" t="inlineStr">
        <is>
          <t>LAB731145</t>
        </is>
      </c>
      <c r="B303" t="inlineStr">
        <is>
          <t>ENC113178</t>
        </is>
      </c>
      <c r="C303" t="inlineStr">
        <is>
          <t>CREAT</t>
        </is>
      </c>
      <c r="D303" t="inlineStr">
        <is>
          <t>Creatinine</t>
        </is>
      </c>
      <c r="E303" t="n">
        <v>1.3</v>
      </c>
      <c r="F303" t="inlineStr">
        <is>
          <t>mg/dL</t>
        </is>
      </c>
      <c r="G303" t="n">
        <v>0.6</v>
      </c>
      <c r="H303" t="n">
        <v>1.3</v>
      </c>
      <c r="I303" t="inlineStr">
        <is>
          <t>N</t>
        </is>
      </c>
      <c r="J303" t="inlineStr">
        <is>
          <t>Routine</t>
        </is>
      </c>
      <c r="K303" s="33" t="n">
        <v>45727.90138888889</v>
      </c>
      <c r="L303" s="33" t="n">
        <v>45728.27777777778</v>
      </c>
      <c r="M303" s="34" t="n"/>
    </row>
    <row r="304">
      <c r="A304" t="inlineStr">
        <is>
          <t>LAB731185</t>
        </is>
      </c>
      <c r="B304" t="inlineStr">
        <is>
          <t>ENC113184</t>
        </is>
      </c>
      <c r="C304" t="inlineStr">
        <is>
          <t>WBC</t>
        </is>
      </c>
      <c r="D304" t="inlineStr">
        <is>
          <t>White Blood Cell Count</t>
        </is>
      </c>
      <c r="E304" t="n">
        <v>7.5</v>
      </c>
      <c r="F304" t="inlineStr">
        <is>
          <t>K/uL</t>
        </is>
      </c>
      <c r="G304" t="n">
        <v>4.5</v>
      </c>
      <c r="H304" t="n">
        <v>11</v>
      </c>
      <c r="I304" t="inlineStr">
        <is>
          <t>N</t>
        </is>
      </c>
      <c r="J304" t="inlineStr">
        <is>
          <t>Routine</t>
        </is>
      </c>
      <c r="K304" s="33" t="n">
        <v>45728.16180555556</v>
      </c>
      <c r="L304" s="33" t="n">
        <v>45728.30486111111</v>
      </c>
      <c r="M304" s="34" t="n"/>
    </row>
    <row r="305">
      <c r="A305" t="inlineStr">
        <is>
          <t>LAB731254</t>
        </is>
      </c>
      <c r="B305" t="inlineStr">
        <is>
          <t>ENC113215</t>
        </is>
      </c>
      <c r="C305" t="inlineStr">
        <is>
          <t>CREAT</t>
        </is>
      </c>
      <c r="D305" t="inlineStr">
        <is>
          <t>Creatinine</t>
        </is>
      </c>
      <c r="E305" t="n">
        <v>0.67</v>
      </c>
      <c r="F305" t="inlineStr">
        <is>
          <t>mg/dL</t>
        </is>
      </c>
      <c r="G305" t="n">
        <v>0.6</v>
      </c>
      <c r="H305" t="n">
        <v>1.3</v>
      </c>
      <c r="I305" t="inlineStr">
        <is>
          <t>N</t>
        </is>
      </c>
      <c r="J305" t="inlineStr">
        <is>
          <t>Routine</t>
        </is>
      </c>
      <c r="K305" s="33" t="n">
        <v>45729.13402777778</v>
      </c>
      <c r="L305" s="33" t="n">
        <v>45729.16597222222</v>
      </c>
      <c r="M305" s="34" t="n"/>
    </row>
    <row r="306">
      <c r="A306" t="inlineStr">
        <is>
          <t>LAB731257</t>
        </is>
      </c>
      <c r="B306" t="inlineStr">
        <is>
          <t>ENC113215</t>
        </is>
      </c>
      <c r="C306" t="inlineStr">
        <is>
          <t>LACT</t>
        </is>
      </c>
      <c r="D306" t="inlineStr">
        <is>
          <t>Lactate</t>
        </is>
      </c>
      <c r="E306" t="n">
        <v>3.2</v>
      </c>
      <c r="F306" t="inlineStr">
        <is>
          <t>mmol/L</t>
        </is>
      </c>
      <c r="G306" t="n">
        <v>0.5</v>
      </c>
      <c r="H306" t="n">
        <v>2</v>
      </c>
      <c r="I306" t="inlineStr">
        <is>
          <t>H</t>
        </is>
      </c>
      <c r="J306" t="inlineStr">
        <is>
          <t>STAT</t>
        </is>
      </c>
      <c r="K306" s="33" t="n">
        <v>45729.1625</v>
      </c>
      <c r="L306" s="33" t="n">
        <v>45729.18055555555</v>
      </c>
      <c r="M306" s="34" t="n"/>
    </row>
    <row r="307">
      <c r="A307" t="inlineStr">
        <is>
          <t>LAB731256</t>
        </is>
      </c>
      <c r="B307" t="inlineStr">
        <is>
          <t>ENC113215</t>
        </is>
      </c>
      <c r="C307" t="inlineStr">
        <is>
          <t>HGB</t>
        </is>
      </c>
      <c r="D307" t="inlineStr">
        <is>
          <t>Hemoglobin</t>
        </is>
      </c>
      <c r="E307" t="n">
        <v>11.5</v>
      </c>
      <c r="F307" t="inlineStr">
        <is>
          <t>g/dL</t>
        </is>
      </c>
      <c r="G307" t="n">
        <v>12</v>
      </c>
      <c r="H307" t="n">
        <v>17.5</v>
      </c>
      <c r="I307" t="inlineStr">
        <is>
          <t>L</t>
        </is>
      </c>
      <c r="J307" t="inlineStr">
        <is>
          <t>STAT</t>
        </is>
      </c>
      <c r="K307" s="33" t="n">
        <v>45729.16597222222</v>
      </c>
      <c r="L307" s="33" t="n">
        <v>45729.18888888889</v>
      </c>
      <c r="M307" s="34" t="n"/>
    </row>
    <row r="308">
      <c r="A308" t="inlineStr">
        <is>
          <t>LAB731255</t>
        </is>
      </c>
      <c r="B308" t="inlineStr">
        <is>
          <t>ENC113215</t>
        </is>
      </c>
      <c r="C308" t="inlineStr">
        <is>
          <t>WBC</t>
        </is>
      </c>
      <c r="D308" t="inlineStr">
        <is>
          <t>White Blood Cell Count</t>
        </is>
      </c>
      <c r="E308" t="n">
        <v>6.2</v>
      </c>
      <c r="F308" t="inlineStr">
        <is>
          <t>K/uL</t>
        </is>
      </c>
      <c r="G308" t="n">
        <v>4.5</v>
      </c>
      <c r="H308" t="n">
        <v>11</v>
      </c>
      <c r="I308" t="inlineStr">
        <is>
          <t>N</t>
        </is>
      </c>
      <c r="J308" t="inlineStr">
        <is>
          <t>STAT</t>
        </is>
      </c>
      <c r="K308" s="33" t="n">
        <v>45729.1625</v>
      </c>
      <c r="L308" s="33" t="n">
        <v>45729.19097222222</v>
      </c>
      <c r="M308" s="34" t="n"/>
    </row>
    <row r="309">
      <c r="A309" t="inlineStr">
        <is>
          <t>LAB731253</t>
        </is>
      </c>
      <c r="B309" t="inlineStr">
        <is>
          <t>ENC113215</t>
        </is>
      </c>
      <c r="C309" t="inlineStr">
        <is>
          <t>GLU</t>
        </is>
      </c>
      <c r="D309" t="inlineStr">
        <is>
          <t>Glucose</t>
        </is>
      </c>
      <c r="E309" t="n">
        <v>117</v>
      </c>
      <c r="F309" t="inlineStr">
        <is>
          <t>mg/dL</t>
        </is>
      </c>
      <c r="G309" t="n">
        <v>70</v>
      </c>
      <c r="H309" t="n">
        <v>99</v>
      </c>
      <c r="I309" t="inlineStr">
        <is>
          <t>H</t>
        </is>
      </c>
      <c r="J309" t="inlineStr">
        <is>
          <t>Routine</t>
        </is>
      </c>
      <c r="K309" s="33" t="n">
        <v>45729.14097222222</v>
      </c>
      <c r="L309" s="33" t="n">
        <v>45729.46319444444</v>
      </c>
      <c r="M309" s="34" t="n"/>
    </row>
    <row r="310">
      <c r="A310" t="inlineStr">
        <is>
          <t>LAB731342</t>
        </is>
      </c>
      <c r="B310" t="inlineStr">
        <is>
          <t>ENC113252</t>
        </is>
      </c>
      <c r="C310" t="inlineStr">
        <is>
          <t>LACT</t>
        </is>
      </c>
      <c r="D310" t="inlineStr">
        <is>
          <t>Lactate</t>
        </is>
      </c>
      <c r="E310" t="n">
        <v>2.6</v>
      </c>
      <c r="F310" t="inlineStr">
        <is>
          <t>mmol/L</t>
        </is>
      </c>
      <c r="G310" t="n">
        <v>0.5</v>
      </c>
      <c r="H310" t="n">
        <v>2</v>
      </c>
      <c r="I310" t="inlineStr">
        <is>
          <t>H</t>
        </is>
      </c>
      <c r="J310" t="inlineStr">
        <is>
          <t>STAT</t>
        </is>
      </c>
      <c r="K310" s="33" t="n">
        <v>45729.96875</v>
      </c>
      <c r="L310" s="33" t="n">
        <v>45730.00208333333</v>
      </c>
      <c r="M310" s="34" t="n"/>
    </row>
    <row r="311">
      <c r="A311" t="inlineStr">
        <is>
          <t>LAB731339</t>
        </is>
      </c>
      <c r="B311" t="inlineStr">
        <is>
          <t>ENC113252</t>
        </is>
      </c>
      <c r="C311" t="inlineStr">
        <is>
          <t>K</t>
        </is>
      </c>
      <c r="D311" t="inlineStr">
        <is>
          <t>Potassium</t>
        </is>
      </c>
      <c r="E311" t="n">
        <v>3.6</v>
      </c>
      <c r="F311" t="inlineStr">
        <is>
          <t>mmol/L</t>
        </is>
      </c>
      <c r="G311" t="n">
        <v>3.5</v>
      </c>
      <c r="H311" t="n">
        <v>5.1</v>
      </c>
      <c r="I311" t="inlineStr">
        <is>
          <t>N</t>
        </is>
      </c>
      <c r="J311" t="inlineStr">
        <is>
          <t>STAT</t>
        </is>
      </c>
      <c r="K311" s="33" t="n">
        <v>45729.97222222222</v>
      </c>
      <c r="L311" s="33" t="n">
        <v>45730.00972222222</v>
      </c>
      <c r="M311" s="34" t="n"/>
    </row>
    <row r="312">
      <c r="A312" t="inlineStr">
        <is>
          <t>LAB731334</t>
        </is>
      </c>
      <c r="B312" t="inlineStr">
        <is>
          <t>ENC113252</t>
        </is>
      </c>
      <c r="C312" t="inlineStr">
        <is>
          <t>GLU</t>
        </is>
      </c>
      <c r="D312" t="inlineStr">
        <is>
          <t>Glucose</t>
        </is>
      </c>
      <c r="E312" t="n">
        <v>122</v>
      </c>
      <c r="F312" t="inlineStr">
        <is>
          <t>mg/dL</t>
        </is>
      </c>
      <c r="G312" t="n">
        <v>70</v>
      </c>
      <c r="H312" t="n">
        <v>99</v>
      </c>
      <c r="I312" t="inlineStr">
        <is>
          <t>H</t>
        </is>
      </c>
      <c r="J312" t="inlineStr">
        <is>
          <t>STAT</t>
        </is>
      </c>
      <c r="K312" s="33" t="n">
        <v>45729.97222222222</v>
      </c>
      <c r="L312" s="33" t="n">
        <v>45730.01041666666</v>
      </c>
      <c r="M312" s="34" t="n"/>
    </row>
    <row r="313">
      <c r="A313" t="inlineStr">
        <is>
          <t>LAB731340</t>
        </is>
      </c>
      <c r="B313" t="inlineStr">
        <is>
          <t>ENC113252</t>
        </is>
      </c>
      <c r="C313" t="inlineStr">
        <is>
          <t>BUN</t>
        </is>
      </c>
      <c r="D313" t="inlineStr">
        <is>
          <t>Blood Urea Nitrogen</t>
        </is>
      </c>
      <c r="E313" t="n">
        <v>10</v>
      </c>
      <c r="F313" t="inlineStr">
        <is>
          <t>mg/dL</t>
        </is>
      </c>
      <c r="G313" t="n">
        <v>7</v>
      </c>
      <c r="H313" t="n">
        <v>20</v>
      </c>
      <c r="I313" t="inlineStr">
        <is>
          <t>N</t>
        </is>
      </c>
      <c r="J313" t="inlineStr">
        <is>
          <t>STAT</t>
        </is>
      </c>
      <c r="K313" s="33" t="n">
        <v>45729.98333333333</v>
      </c>
      <c r="L313" s="33" t="n">
        <v>45730.01666666667</v>
      </c>
      <c r="M313" s="34" t="n"/>
    </row>
    <row r="314">
      <c r="A314" t="inlineStr">
        <is>
          <t>LAB731338</t>
        </is>
      </c>
      <c r="B314" t="inlineStr">
        <is>
          <t>ENC113252</t>
        </is>
      </c>
      <c r="C314" t="inlineStr">
        <is>
          <t>NA</t>
        </is>
      </c>
      <c r="D314" t="inlineStr">
        <is>
          <t>Sodium</t>
        </is>
      </c>
      <c r="E314" t="n">
        <v>137</v>
      </c>
      <c r="F314" t="inlineStr">
        <is>
          <t>mmol/L</t>
        </is>
      </c>
      <c r="G314" t="n">
        <v>136</v>
      </c>
      <c r="H314" t="n">
        <v>145</v>
      </c>
      <c r="I314" t="inlineStr">
        <is>
          <t>N</t>
        </is>
      </c>
      <c r="J314" t="inlineStr">
        <is>
          <t>STAT</t>
        </is>
      </c>
      <c r="K314" s="33" t="n">
        <v>45729.98333333333</v>
      </c>
      <c r="L314" s="33" t="n">
        <v>45730.02638888889</v>
      </c>
      <c r="M314" s="34" t="n"/>
    </row>
    <row r="315">
      <c r="A315" t="inlineStr">
        <is>
          <t>LAB731335</t>
        </is>
      </c>
      <c r="B315" t="inlineStr">
        <is>
          <t>ENC113252</t>
        </is>
      </c>
      <c r="C315" t="inlineStr">
        <is>
          <t>CREAT</t>
        </is>
      </c>
      <c r="D315" t="inlineStr">
        <is>
          <t>Creatinine</t>
        </is>
      </c>
      <c r="E315" t="n">
        <v>1.61</v>
      </c>
      <c r="F315" t="inlineStr">
        <is>
          <t>mg/dL</t>
        </is>
      </c>
      <c r="G315" t="n">
        <v>0.6</v>
      </c>
      <c r="H315" t="n">
        <v>1.3</v>
      </c>
      <c r="I315" t="inlineStr">
        <is>
          <t>H</t>
        </is>
      </c>
      <c r="J315" t="inlineStr">
        <is>
          <t>STAT</t>
        </is>
      </c>
      <c r="K315" s="33" t="n">
        <v>45730.00208333333</v>
      </c>
      <c r="L315" s="33" t="n">
        <v>45730.04097222222</v>
      </c>
      <c r="M315" s="34" t="n"/>
    </row>
    <row r="316">
      <c r="A316" t="inlineStr">
        <is>
          <t>LAB731336</t>
        </is>
      </c>
      <c r="B316" t="inlineStr">
        <is>
          <t>ENC113252</t>
        </is>
      </c>
      <c r="C316" t="inlineStr">
        <is>
          <t>WBC</t>
        </is>
      </c>
      <c r="D316" t="inlineStr">
        <is>
          <t>White Blood Cell Count</t>
        </is>
      </c>
      <c r="E316" t="n">
        <v>12.8</v>
      </c>
      <c r="F316" t="inlineStr">
        <is>
          <t>K/uL</t>
        </is>
      </c>
      <c r="G316" t="n">
        <v>4.5</v>
      </c>
      <c r="H316" t="n">
        <v>11</v>
      </c>
      <c r="I316" t="inlineStr">
        <is>
          <t>H</t>
        </is>
      </c>
      <c r="J316" t="inlineStr">
        <is>
          <t>STAT</t>
        </is>
      </c>
      <c r="K316" s="33" t="n">
        <v>45729.97986111111</v>
      </c>
      <c r="L316" s="33" t="n">
        <v>45730.04722222222</v>
      </c>
      <c r="M316" s="34" t="n"/>
    </row>
    <row r="317">
      <c r="A317" t="inlineStr">
        <is>
          <t>LAB731341</t>
        </is>
      </c>
      <c r="B317" t="inlineStr">
        <is>
          <t>ENC113252</t>
        </is>
      </c>
      <c r="C317" t="inlineStr">
        <is>
          <t>PLT</t>
        </is>
      </c>
      <c r="D317" t="inlineStr">
        <is>
          <t>Platelet Count</t>
        </is>
      </c>
      <c r="E317" t="n">
        <v>364</v>
      </c>
      <c r="F317" t="inlineStr">
        <is>
          <t>K/uL</t>
        </is>
      </c>
      <c r="G317" t="n">
        <v>150</v>
      </c>
      <c r="H317" t="n">
        <v>400</v>
      </c>
      <c r="I317" t="inlineStr">
        <is>
          <t>N</t>
        </is>
      </c>
      <c r="J317" t="inlineStr">
        <is>
          <t>STAT</t>
        </is>
      </c>
      <c r="K317" s="33" t="n">
        <v>45730.00694444445</v>
      </c>
      <c r="L317" s="33" t="n">
        <v>45730.04791666667</v>
      </c>
      <c r="M317" s="34" t="n"/>
    </row>
    <row r="318">
      <c r="A318" t="inlineStr">
        <is>
          <t>LAB731337</t>
        </is>
      </c>
      <c r="B318" t="inlineStr">
        <is>
          <t>ENC113252</t>
        </is>
      </c>
      <c r="C318" t="inlineStr">
        <is>
          <t>HGB</t>
        </is>
      </c>
      <c r="D318" t="inlineStr">
        <is>
          <t>Hemoglobin</t>
        </is>
      </c>
      <c r="E318" t="n">
        <v>12.5</v>
      </c>
      <c r="F318" t="inlineStr">
        <is>
          <t>g/dL</t>
        </is>
      </c>
      <c r="G318" t="n">
        <v>12</v>
      </c>
      <c r="H318" t="n">
        <v>17.5</v>
      </c>
      <c r="I318" t="inlineStr">
        <is>
          <t>N</t>
        </is>
      </c>
      <c r="J318" t="inlineStr">
        <is>
          <t>Routine</t>
        </is>
      </c>
      <c r="K318" s="33" t="n">
        <v>45729.98888888889</v>
      </c>
      <c r="L318" s="33" t="n">
        <v>45730.08055555556</v>
      </c>
      <c r="M318" s="34" t="n"/>
    </row>
    <row r="319">
      <c r="A319" t="inlineStr">
        <is>
          <t>LAB731397</t>
        </is>
      </c>
      <c r="B319" t="inlineStr">
        <is>
          <t>ENC113285</t>
        </is>
      </c>
      <c r="C319" t="inlineStr">
        <is>
          <t>GLU</t>
        </is>
      </c>
      <c r="D319" t="inlineStr">
        <is>
          <t>Glucose</t>
        </is>
      </c>
      <c r="E319" t="n">
        <v>127</v>
      </c>
      <c r="F319" t="inlineStr">
        <is>
          <t>mg/dL</t>
        </is>
      </c>
      <c r="G319" t="n">
        <v>70</v>
      </c>
      <c r="H319" t="n">
        <v>99</v>
      </c>
      <c r="I319" t="inlineStr">
        <is>
          <t>H</t>
        </is>
      </c>
      <c r="J319" t="inlineStr">
        <is>
          <t>STAT</t>
        </is>
      </c>
      <c r="K319" s="33" t="n">
        <v>45731.05833333333</v>
      </c>
      <c r="L319" s="33" t="n">
        <v>45731.08958333333</v>
      </c>
      <c r="M319" s="34" t="n"/>
    </row>
    <row r="320">
      <c r="A320" t="inlineStr">
        <is>
          <t>LAB731402</t>
        </is>
      </c>
      <c r="B320" t="inlineStr">
        <is>
          <t>ENC113285</t>
        </is>
      </c>
      <c r="C320" t="inlineStr">
        <is>
          <t>K</t>
        </is>
      </c>
      <c r="D320" t="inlineStr">
        <is>
          <t>Potassium</t>
        </is>
      </c>
      <c r="E320" t="n">
        <v>3.8</v>
      </c>
      <c r="F320" t="inlineStr">
        <is>
          <t>mmol/L</t>
        </is>
      </c>
      <c r="G320" t="n">
        <v>3.5</v>
      </c>
      <c r="H320" t="n">
        <v>5.1</v>
      </c>
      <c r="I320" t="inlineStr">
        <is>
          <t>N</t>
        </is>
      </c>
      <c r="J320" t="inlineStr">
        <is>
          <t>STAT</t>
        </is>
      </c>
      <c r="K320" s="33" t="n">
        <v>45731.06458333333</v>
      </c>
      <c r="L320" s="33" t="n">
        <v>45731.09652777778</v>
      </c>
      <c r="M320" s="34" t="n"/>
    </row>
    <row r="321">
      <c r="A321" t="inlineStr">
        <is>
          <t>LAB731403</t>
        </is>
      </c>
      <c r="B321" t="inlineStr">
        <is>
          <t>ENC113285</t>
        </is>
      </c>
      <c r="C321" t="inlineStr">
        <is>
          <t>LACT</t>
        </is>
      </c>
      <c r="D321" t="inlineStr">
        <is>
          <t>Lactate</t>
        </is>
      </c>
      <c r="E321" t="n">
        <v>1.7</v>
      </c>
      <c r="F321" t="inlineStr">
        <is>
          <t>mmol/L</t>
        </is>
      </c>
      <c r="G321" t="n">
        <v>0.5</v>
      </c>
      <c r="H321" t="n">
        <v>2</v>
      </c>
      <c r="I321" t="inlineStr">
        <is>
          <t>N</t>
        </is>
      </c>
      <c r="J321" t="inlineStr">
        <is>
          <t>STAT</t>
        </is>
      </c>
      <c r="K321" s="33" t="n">
        <v>45731.07291666666</v>
      </c>
      <c r="L321" s="33" t="n">
        <v>45731.10486111111</v>
      </c>
      <c r="M321" s="34" t="n"/>
    </row>
    <row r="322">
      <c r="A322" t="inlineStr">
        <is>
          <t>LAB731400</t>
        </is>
      </c>
      <c r="B322" t="inlineStr">
        <is>
          <t>ENC113285</t>
        </is>
      </c>
      <c r="C322" t="inlineStr">
        <is>
          <t>HGB</t>
        </is>
      </c>
      <c r="D322" t="inlineStr">
        <is>
          <t>Hemoglobin</t>
        </is>
      </c>
      <c r="E322" t="n">
        <v>6.1</v>
      </c>
      <c r="F322" t="inlineStr">
        <is>
          <t>g/dL</t>
        </is>
      </c>
      <c r="G322" t="n">
        <v>12</v>
      </c>
      <c r="H322" t="n">
        <v>17.5</v>
      </c>
      <c r="I322" t="inlineStr">
        <is>
          <t>LL</t>
        </is>
      </c>
      <c r="J322" t="inlineStr">
        <is>
          <t>STAT</t>
        </is>
      </c>
      <c r="K322" s="33" t="n">
        <v>45731.09097222222</v>
      </c>
      <c r="L322" s="33" t="n">
        <v>45731.10833333333</v>
      </c>
      <c r="M322" s="34" t="n"/>
    </row>
    <row r="323">
      <c r="A323" t="inlineStr">
        <is>
          <t>LAB731399</t>
        </is>
      </c>
      <c r="B323" t="inlineStr">
        <is>
          <t>ENC113285</t>
        </is>
      </c>
      <c r="C323" t="inlineStr">
        <is>
          <t>WBC</t>
        </is>
      </c>
      <c r="D323" t="inlineStr">
        <is>
          <t>White Blood Cell Count</t>
        </is>
      </c>
      <c r="E323" t="n">
        <v>7</v>
      </c>
      <c r="F323" t="inlineStr">
        <is>
          <t>K/uL</t>
        </is>
      </c>
      <c r="G323" t="n">
        <v>4.5</v>
      </c>
      <c r="H323" t="n">
        <v>11</v>
      </c>
      <c r="I323" t="inlineStr">
        <is>
          <t>N</t>
        </is>
      </c>
      <c r="J323" t="inlineStr">
        <is>
          <t>STAT</t>
        </is>
      </c>
      <c r="K323" s="33" t="n">
        <v>45731.08333333334</v>
      </c>
      <c r="L323" s="33" t="n">
        <v>45731.13819444444</v>
      </c>
      <c r="M323" s="34" t="n"/>
    </row>
    <row r="324">
      <c r="A324" t="inlineStr">
        <is>
          <t>LAB731404</t>
        </is>
      </c>
      <c r="B324" t="inlineStr">
        <is>
          <t>ENC113285</t>
        </is>
      </c>
      <c r="C324" t="inlineStr">
        <is>
          <t>INR</t>
        </is>
      </c>
      <c r="D324" t="inlineStr">
        <is>
          <t>Prothrombin Time INR</t>
        </is>
      </c>
      <c r="E324" t="n">
        <v>1</v>
      </c>
      <c r="F324" t="inlineStr">
        <is>
          <t>ratio</t>
        </is>
      </c>
      <c r="G324" t="n">
        <v>0.8</v>
      </c>
      <c r="H324" t="n">
        <v>1.2</v>
      </c>
      <c r="I324" t="inlineStr">
        <is>
          <t>N</t>
        </is>
      </c>
      <c r="J324" t="inlineStr">
        <is>
          <t>STAT</t>
        </is>
      </c>
      <c r="K324" s="33" t="n">
        <v>45731.11527777778</v>
      </c>
      <c r="L324" s="33" t="n">
        <v>45731.16875</v>
      </c>
      <c r="M324" s="34" t="n"/>
    </row>
    <row r="325">
      <c r="A325" t="inlineStr">
        <is>
          <t>LAB731401</t>
        </is>
      </c>
      <c r="B325" t="inlineStr">
        <is>
          <t>ENC113285</t>
        </is>
      </c>
      <c r="C325" t="inlineStr">
        <is>
          <t>NA</t>
        </is>
      </c>
      <c r="D325" t="inlineStr">
        <is>
          <t>Sodium</t>
        </is>
      </c>
      <c r="E325" t="n">
        <v>141</v>
      </c>
      <c r="F325" t="inlineStr">
        <is>
          <t>mmol/L</t>
        </is>
      </c>
      <c r="G325" t="n">
        <v>136</v>
      </c>
      <c r="H325" t="n">
        <v>145</v>
      </c>
      <c r="I325" t="inlineStr">
        <is>
          <t>N</t>
        </is>
      </c>
      <c r="J325" t="inlineStr">
        <is>
          <t>Routine</t>
        </is>
      </c>
      <c r="K325" s="33" t="n">
        <v>45731.06597222222</v>
      </c>
      <c r="L325" s="33" t="n">
        <v>45731.19166666667</v>
      </c>
      <c r="M325" s="34" t="n"/>
    </row>
    <row r="326">
      <c r="A326" t="inlineStr">
        <is>
          <t>LAB731398</t>
        </is>
      </c>
      <c r="B326" t="inlineStr">
        <is>
          <t>ENC113285</t>
        </is>
      </c>
      <c r="C326" t="inlineStr">
        <is>
          <t>CREAT</t>
        </is>
      </c>
      <c r="D326" t="inlineStr">
        <is>
          <t>Creatinine</t>
        </is>
      </c>
      <c r="E326" t="n">
        <v>1.12</v>
      </c>
      <c r="F326" t="inlineStr">
        <is>
          <t>mg/dL</t>
        </is>
      </c>
      <c r="G326" t="n">
        <v>0.6</v>
      </c>
      <c r="H326" t="n">
        <v>1.3</v>
      </c>
      <c r="I326" t="inlineStr">
        <is>
          <t>N</t>
        </is>
      </c>
      <c r="J326" t="inlineStr">
        <is>
          <t>Routine</t>
        </is>
      </c>
      <c r="K326" s="33" t="n">
        <v>45731.06388888889</v>
      </c>
      <c r="L326" s="33" t="n">
        <v>45731.20763888889</v>
      </c>
      <c r="M326" s="34" t="n"/>
    </row>
    <row r="327">
      <c r="A327" t="inlineStr">
        <is>
          <t>LAB731487</t>
        </is>
      </c>
      <c r="B327" t="inlineStr">
        <is>
          <t>ENC113313</t>
        </is>
      </c>
      <c r="C327" t="inlineStr">
        <is>
          <t>CREAT</t>
        </is>
      </c>
      <c r="D327" t="inlineStr">
        <is>
          <t>Creatinine</t>
        </is>
      </c>
      <c r="E327" t="n">
        <v>1.9</v>
      </c>
      <c r="F327" t="inlineStr">
        <is>
          <t>mg/dL</t>
        </is>
      </c>
      <c r="G327" t="n">
        <v>0.6</v>
      </c>
      <c r="H327" t="n">
        <v>1.3</v>
      </c>
      <c r="I327" t="inlineStr">
        <is>
          <t>H</t>
        </is>
      </c>
      <c r="J327" t="inlineStr">
        <is>
          <t>STAT</t>
        </is>
      </c>
      <c r="K327" s="33" t="n">
        <v>45732.33680555555</v>
      </c>
      <c r="L327" s="33" t="n">
        <v>45732.35694444444</v>
      </c>
      <c r="M327" s="34" t="n"/>
    </row>
    <row r="328">
      <c r="A328" t="inlineStr">
        <is>
          <t>LAB731486</t>
        </is>
      </c>
      <c r="B328" t="inlineStr">
        <is>
          <t>ENC113313</t>
        </is>
      </c>
      <c r="C328" t="inlineStr">
        <is>
          <t>GLU</t>
        </is>
      </c>
      <c r="D328" t="inlineStr">
        <is>
          <t>Glucose</t>
        </is>
      </c>
      <c r="E328" t="n">
        <v>183</v>
      </c>
      <c r="F328" t="inlineStr">
        <is>
          <t>mg/dL</t>
        </is>
      </c>
      <c r="G328" t="n">
        <v>70</v>
      </c>
      <c r="H328" t="n">
        <v>99</v>
      </c>
      <c r="I328" t="inlineStr">
        <is>
          <t>H</t>
        </is>
      </c>
      <c r="J328" t="inlineStr">
        <is>
          <t>STAT</t>
        </is>
      </c>
      <c r="K328" s="33" t="n">
        <v>45732.35555555556</v>
      </c>
      <c r="L328" s="33" t="n">
        <v>45732.38125</v>
      </c>
      <c r="M328" s="34" t="n"/>
    </row>
    <row r="329">
      <c r="A329" t="inlineStr">
        <is>
          <t>LAB731490</t>
        </is>
      </c>
      <c r="B329" t="inlineStr">
        <is>
          <t>ENC113313</t>
        </is>
      </c>
      <c r="C329" t="inlineStr">
        <is>
          <t>LACT</t>
        </is>
      </c>
      <c r="D329" t="inlineStr">
        <is>
          <t>Lactate</t>
        </is>
      </c>
      <c r="E329" t="n">
        <v>7.4</v>
      </c>
      <c r="F329" t="inlineStr">
        <is>
          <t>mmol/L</t>
        </is>
      </c>
      <c r="G329" t="n">
        <v>0.5</v>
      </c>
      <c r="H329" t="n">
        <v>2</v>
      </c>
      <c r="I329" t="inlineStr">
        <is>
          <t>HH</t>
        </is>
      </c>
      <c r="J329" t="inlineStr">
        <is>
          <t>STAT</t>
        </is>
      </c>
      <c r="K329" s="33" t="n">
        <v>45732.36180555556</v>
      </c>
      <c r="L329" s="33" t="n">
        <v>45732.38611111111</v>
      </c>
      <c r="M329" s="34" t="n"/>
    </row>
    <row r="330">
      <c r="A330" t="inlineStr">
        <is>
          <t>LAB731489</t>
        </is>
      </c>
      <c r="B330" t="inlineStr">
        <is>
          <t>ENC113313</t>
        </is>
      </c>
      <c r="C330" t="inlineStr">
        <is>
          <t>HGB</t>
        </is>
      </c>
      <c r="D330" t="inlineStr">
        <is>
          <t>Hemoglobin</t>
        </is>
      </c>
      <c r="E330" t="n">
        <v>15.8</v>
      </c>
      <c r="F330" t="inlineStr">
        <is>
          <t>g/dL</t>
        </is>
      </c>
      <c r="G330" t="n">
        <v>12</v>
      </c>
      <c r="H330" t="n">
        <v>17.5</v>
      </c>
      <c r="I330" t="inlineStr">
        <is>
          <t>N</t>
        </is>
      </c>
      <c r="J330" t="inlineStr">
        <is>
          <t>STAT</t>
        </is>
      </c>
      <c r="K330" s="33" t="n">
        <v>45732.33819444444</v>
      </c>
      <c r="L330" s="33" t="n">
        <v>45732.39791666667</v>
      </c>
      <c r="M330" s="34" t="n"/>
    </row>
    <row r="331">
      <c r="A331" t="inlineStr">
        <is>
          <t>LAB731488</t>
        </is>
      </c>
      <c r="B331" t="inlineStr">
        <is>
          <t>ENC113313</t>
        </is>
      </c>
      <c r="C331" t="inlineStr">
        <is>
          <t>WBC</t>
        </is>
      </c>
      <c r="D331" t="inlineStr">
        <is>
          <t>White Blood Cell Count</t>
        </is>
      </c>
      <c r="E331" t="n">
        <v>17.1</v>
      </c>
      <c r="F331" t="inlineStr">
        <is>
          <t>K/uL</t>
        </is>
      </c>
      <c r="G331" t="n">
        <v>4.5</v>
      </c>
      <c r="H331" t="n">
        <v>11</v>
      </c>
      <c r="I331" t="inlineStr">
        <is>
          <t>H</t>
        </is>
      </c>
      <c r="J331" t="inlineStr">
        <is>
          <t>Routine</t>
        </is>
      </c>
      <c r="K331" s="33" t="n">
        <v>45732.36041666667</v>
      </c>
      <c r="L331" s="33" t="n">
        <v>45732.45069444444</v>
      </c>
      <c r="M331" s="34" t="n"/>
    </row>
    <row r="332">
      <c r="A332" t="inlineStr">
        <is>
          <t>LAB731516</t>
        </is>
      </c>
      <c r="B332" t="inlineStr">
        <is>
          <t>ENC113320</t>
        </is>
      </c>
      <c r="C332" t="inlineStr">
        <is>
          <t>K</t>
        </is>
      </c>
      <c r="D332" t="inlineStr">
        <is>
          <t>Potassium</t>
        </is>
      </c>
      <c r="E332" t="n">
        <v>4</v>
      </c>
      <c r="F332" t="inlineStr">
        <is>
          <t>mmol/L</t>
        </is>
      </c>
      <c r="G332" t="n">
        <v>3.5</v>
      </c>
      <c r="H332" t="n">
        <v>5.1</v>
      </c>
      <c r="I332" t="inlineStr">
        <is>
          <t>N</t>
        </is>
      </c>
      <c r="J332" t="inlineStr">
        <is>
          <t>STAT</t>
        </is>
      </c>
      <c r="K332" s="33" t="n">
        <v>45732.67708333334</v>
      </c>
      <c r="L332" s="33" t="n">
        <v>45732.71597222222</v>
      </c>
      <c r="M332" s="34" t="n"/>
    </row>
    <row r="333">
      <c r="A333" t="inlineStr">
        <is>
          <t>LAB731517</t>
        </is>
      </c>
      <c r="B333" t="inlineStr">
        <is>
          <t>ENC113320</t>
        </is>
      </c>
      <c r="C333" t="inlineStr">
        <is>
          <t>BUN</t>
        </is>
      </c>
      <c r="D333" t="inlineStr">
        <is>
          <t>Blood Urea Nitrogen</t>
        </is>
      </c>
      <c r="E333" t="n">
        <v>24</v>
      </c>
      <c r="F333" t="inlineStr">
        <is>
          <t>mg/dL</t>
        </is>
      </c>
      <c r="G333" t="n">
        <v>7</v>
      </c>
      <c r="H333" t="n">
        <v>20</v>
      </c>
      <c r="I333" t="inlineStr">
        <is>
          <t>H</t>
        </is>
      </c>
      <c r="J333" t="inlineStr">
        <is>
          <t>Routine</t>
        </is>
      </c>
      <c r="K333" s="33" t="n">
        <v>45732.68194444444</v>
      </c>
      <c r="L333" s="33" t="n">
        <v>45732.72083333333</v>
      </c>
      <c r="M333" s="34" t="n"/>
    </row>
    <row r="334">
      <c r="A334" t="inlineStr">
        <is>
          <t>LAB731519</t>
        </is>
      </c>
      <c r="B334" t="inlineStr">
        <is>
          <t>ENC113320</t>
        </is>
      </c>
      <c r="C334" t="inlineStr">
        <is>
          <t>LACT</t>
        </is>
      </c>
      <c r="D334" t="inlineStr">
        <is>
          <t>Lactate</t>
        </is>
      </c>
      <c r="E334" t="n">
        <v>4.2</v>
      </c>
      <c r="F334" t="inlineStr">
        <is>
          <t>mmol/L</t>
        </is>
      </c>
      <c r="G334" t="n">
        <v>0.5</v>
      </c>
      <c r="H334" t="n">
        <v>2</v>
      </c>
      <c r="I334" t="inlineStr">
        <is>
          <t>HH</t>
        </is>
      </c>
      <c r="J334" t="inlineStr">
        <is>
          <t>STAT</t>
        </is>
      </c>
      <c r="K334" s="33" t="n">
        <v>45732.69097222222</v>
      </c>
      <c r="L334" s="33" t="n">
        <v>45732.72638888889</v>
      </c>
      <c r="M334" s="34" t="n"/>
    </row>
    <row r="335">
      <c r="A335" t="inlineStr">
        <is>
          <t>LAB731515</t>
        </is>
      </c>
      <c r="B335" t="inlineStr">
        <is>
          <t>ENC113320</t>
        </is>
      </c>
      <c r="C335" t="inlineStr">
        <is>
          <t>NA</t>
        </is>
      </c>
      <c r="D335" t="inlineStr">
        <is>
          <t>Sodium</t>
        </is>
      </c>
      <c r="E335" t="n">
        <v>141</v>
      </c>
      <c r="F335" t="inlineStr">
        <is>
          <t>mmol/L</t>
        </is>
      </c>
      <c r="G335" t="n">
        <v>136</v>
      </c>
      <c r="H335" t="n">
        <v>145</v>
      </c>
      <c r="I335" t="inlineStr">
        <is>
          <t>N</t>
        </is>
      </c>
      <c r="J335" t="inlineStr">
        <is>
          <t>STAT</t>
        </is>
      </c>
      <c r="K335" s="33" t="n">
        <v>45732.70902777778</v>
      </c>
      <c r="L335" s="33" t="n">
        <v>45732.73333333333</v>
      </c>
      <c r="M335" s="34" t="n"/>
    </row>
    <row r="336">
      <c r="A336" t="inlineStr">
        <is>
          <t>LAB731512</t>
        </is>
      </c>
      <c r="B336" t="inlineStr">
        <is>
          <t>ENC113320</t>
        </is>
      </c>
      <c r="C336" t="inlineStr">
        <is>
          <t>CREAT</t>
        </is>
      </c>
      <c r="D336" t="inlineStr">
        <is>
          <t>Creatinine</t>
        </is>
      </c>
      <c r="E336" t="n">
        <v>2.01</v>
      </c>
      <c r="F336" t="inlineStr">
        <is>
          <t>mg/dL</t>
        </is>
      </c>
      <c r="G336" t="n">
        <v>0.6</v>
      </c>
      <c r="H336" t="n">
        <v>1.3</v>
      </c>
      <c r="I336" t="inlineStr">
        <is>
          <t>H</t>
        </is>
      </c>
      <c r="J336" t="inlineStr">
        <is>
          <t>STAT</t>
        </is>
      </c>
      <c r="K336" s="33" t="n">
        <v>45732.69930555556</v>
      </c>
      <c r="L336" s="33" t="n">
        <v>45732.73472222222</v>
      </c>
      <c r="M336" s="34" t="n"/>
    </row>
    <row r="337">
      <c r="A337" t="inlineStr">
        <is>
          <t>LAB731511</t>
        </is>
      </c>
      <c r="B337" t="inlineStr">
        <is>
          <t>ENC113320</t>
        </is>
      </c>
      <c r="C337" t="inlineStr">
        <is>
          <t>GLU</t>
        </is>
      </c>
      <c r="D337" t="inlineStr">
        <is>
          <t>Glucose</t>
        </is>
      </c>
      <c r="E337" t="n">
        <v>153</v>
      </c>
      <c r="F337" t="inlineStr">
        <is>
          <t>mg/dL</t>
        </is>
      </c>
      <c r="G337" t="n">
        <v>70</v>
      </c>
      <c r="H337" t="n">
        <v>99</v>
      </c>
      <c r="I337" t="inlineStr">
        <is>
          <t>H</t>
        </is>
      </c>
      <c r="J337" t="inlineStr">
        <is>
          <t>STAT</t>
        </is>
      </c>
      <c r="K337" s="33" t="n">
        <v>45732.73541666667</v>
      </c>
      <c r="L337" s="33" t="n">
        <v>45732.76527777778</v>
      </c>
      <c r="M337" s="34" t="n"/>
    </row>
    <row r="338">
      <c r="A338" t="inlineStr">
        <is>
          <t>LAB731513</t>
        </is>
      </c>
      <c r="B338" t="inlineStr">
        <is>
          <t>ENC113320</t>
        </is>
      </c>
      <c r="C338" t="inlineStr">
        <is>
          <t>WBC</t>
        </is>
      </c>
      <c r="D338" t="inlineStr">
        <is>
          <t>White Blood Cell Count</t>
        </is>
      </c>
      <c r="E338" t="n">
        <v>24.8</v>
      </c>
      <c r="F338" t="inlineStr">
        <is>
          <t>K/uL</t>
        </is>
      </c>
      <c r="G338" t="n">
        <v>4.5</v>
      </c>
      <c r="H338" t="n">
        <v>11</v>
      </c>
      <c r="I338" t="inlineStr">
        <is>
          <t>H</t>
        </is>
      </c>
      <c r="J338" t="inlineStr">
        <is>
          <t>Routine</t>
        </is>
      </c>
      <c r="K338" s="33" t="n">
        <v>45732.69444444445</v>
      </c>
      <c r="L338" s="33" t="n">
        <v>45732.78541666667</v>
      </c>
      <c r="M338" s="34" t="n"/>
    </row>
    <row r="339">
      <c r="A339" t="inlineStr">
        <is>
          <t>LAB731539</t>
        </is>
      </c>
      <c r="B339" t="inlineStr">
        <is>
          <t>ENC113326</t>
        </is>
      </c>
      <c r="C339" t="inlineStr">
        <is>
          <t>GLU</t>
        </is>
      </c>
      <c r="D339" t="inlineStr">
        <is>
          <t>Glucose</t>
        </is>
      </c>
      <c r="E339" t="n">
        <v>100</v>
      </c>
      <c r="F339" t="inlineStr">
        <is>
          <t>mg/dL</t>
        </is>
      </c>
      <c r="G339" t="n">
        <v>70</v>
      </c>
      <c r="H339" t="n">
        <v>99</v>
      </c>
      <c r="I339" t="inlineStr">
        <is>
          <t>H</t>
        </is>
      </c>
      <c r="J339" t="inlineStr">
        <is>
          <t>STAT</t>
        </is>
      </c>
      <c r="K339" s="33" t="n">
        <v>45732.82986111111</v>
      </c>
      <c r="L339" s="33" t="n">
        <v>45732.84166666667</v>
      </c>
      <c r="M339" s="34" t="n"/>
    </row>
    <row r="340">
      <c r="A340" t="inlineStr">
        <is>
          <t>LAB731542</t>
        </is>
      </c>
      <c r="B340" t="inlineStr">
        <is>
          <t>ENC113326</t>
        </is>
      </c>
      <c r="C340" t="inlineStr">
        <is>
          <t>HGB</t>
        </is>
      </c>
      <c r="D340" t="inlineStr">
        <is>
          <t>Hemoglobin</t>
        </is>
      </c>
      <c r="E340" t="n">
        <v>12.9</v>
      </c>
      <c r="F340" t="inlineStr">
        <is>
          <t>g/dL</t>
        </is>
      </c>
      <c r="G340" t="n">
        <v>12</v>
      </c>
      <c r="H340" t="n">
        <v>17.5</v>
      </c>
      <c r="I340" t="inlineStr">
        <is>
          <t>N</t>
        </is>
      </c>
      <c r="J340" t="inlineStr">
        <is>
          <t>Routine</t>
        </is>
      </c>
      <c r="K340" s="33" t="n">
        <v>45732.78680555556</v>
      </c>
      <c r="L340" s="33" t="n">
        <v>45732.85208333333</v>
      </c>
      <c r="M340" s="34" t="n"/>
    </row>
    <row r="341">
      <c r="A341" t="inlineStr">
        <is>
          <t>LAB731543</t>
        </is>
      </c>
      <c r="B341" t="inlineStr">
        <is>
          <t>ENC113326</t>
        </is>
      </c>
      <c r="C341" t="inlineStr">
        <is>
          <t>LACT</t>
        </is>
      </c>
      <c r="D341" t="inlineStr">
        <is>
          <t>Lactate</t>
        </is>
      </c>
      <c r="E341" t="n">
        <v>2</v>
      </c>
      <c r="F341" t="inlineStr">
        <is>
          <t>mmol/L</t>
        </is>
      </c>
      <c r="G341" t="n">
        <v>0.5</v>
      </c>
      <c r="H341" t="n">
        <v>2</v>
      </c>
      <c r="I341" t="inlineStr">
        <is>
          <t>N</t>
        </is>
      </c>
      <c r="J341" t="inlineStr">
        <is>
          <t>STAT</t>
        </is>
      </c>
      <c r="K341" s="33" t="n">
        <v>45732.81111111111</v>
      </c>
      <c r="L341" s="33" t="n">
        <v>45732.85208333333</v>
      </c>
      <c r="M341" s="34" t="n"/>
    </row>
    <row r="342">
      <c r="A342" t="inlineStr">
        <is>
          <t>LAB731541</t>
        </is>
      </c>
      <c r="B342" t="inlineStr">
        <is>
          <t>ENC113326</t>
        </is>
      </c>
      <c r="C342" t="inlineStr">
        <is>
          <t>WBC</t>
        </is>
      </c>
      <c r="D342" t="inlineStr">
        <is>
          <t>White Blood Cell Count</t>
        </is>
      </c>
      <c r="E342" t="n">
        <v>7.7</v>
      </c>
      <c r="F342" t="inlineStr">
        <is>
          <t>K/uL</t>
        </is>
      </c>
      <c r="G342" t="n">
        <v>4.5</v>
      </c>
      <c r="H342" t="n">
        <v>11</v>
      </c>
      <c r="I342" t="inlineStr">
        <is>
          <t>N</t>
        </is>
      </c>
      <c r="J342" t="inlineStr">
        <is>
          <t>Routine</t>
        </is>
      </c>
      <c r="K342" s="33" t="n">
        <v>45732.80486111111</v>
      </c>
      <c r="L342" s="33" t="n">
        <v>45732.88541666666</v>
      </c>
      <c r="M342" s="34" t="n"/>
    </row>
    <row r="343">
      <c r="A343" t="inlineStr">
        <is>
          <t>LAB731514</t>
        </is>
      </c>
      <c r="B343" t="inlineStr">
        <is>
          <t>ENC113320</t>
        </is>
      </c>
      <c r="C343" t="inlineStr">
        <is>
          <t>HGB</t>
        </is>
      </c>
      <c r="D343" t="inlineStr">
        <is>
          <t>Hemoglobin</t>
        </is>
      </c>
      <c r="E343" t="n">
        <v>15.9</v>
      </c>
      <c r="F343" t="inlineStr">
        <is>
          <t>g/dL</t>
        </is>
      </c>
      <c r="G343" t="n">
        <v>12</v>
      </c>
      <c r="H343" t="n">
        <v>17.5</v>
      </c>
      <c r="I343" t="inlineStr">
        <is>
          <t>N</t>
        </is>
      </c>
      <c r="J343" t="inlineStr">
        <is>
          <t>Routine</t>
        </is>
      </c>
      <c r="K343" s="33" t="n">
        <v>45732.67986111111</v>
      </c>
      <c r="L343" s="33" t="n">
        <v>45732.88611111111</v>
      </c>
      <c r="M343" s="34" t="n"/>
    </row>
    <row r="344">
      <c r="A344" t="inlineStr">
        <is>
          <t>LAB731540</t>
        </is>
      </c>
      <c r="B344" t="inlineStr">
        <is>
          <t>ENC113326</t>
        </is>
      </c>
      <c r="C344" t="inlineStr">
        <is>
          <t>CREAT</t>
        </is>
      </c>
      <c r="D344" t="inlineStr">
        <is>
          <t>Creatinine</t>
        </is>
      </c>
      <c r="E344" t="n">
        <v>0.83</v>
      </c>
      <c r="F344" t="inlineStr">
        <is>
          <t>mg/dL</t>
        </is>
      </c>
      <c r="G344" t="n">
        <v>0.6</v>
      </c>
      <c r="H344" t="n">
        <v>1.3</v>
      </c>
      <c r="I344" t="inlineStr">
        <is>
          <t>N</t>
        </is>
      </c>
      <c r="J344" t="inlineStr">
        <is>
          <t>Routine</t>
        </is>
      </c>
      <c r="K344" s="33" t="n">
        <v>45732.83333333334</v>
      </c>
      <c r="L344" s="33" t="n">
        <v>45732.99097222222</v>
      </c>
      <c r="M344" s="34" t="n"/>
    </row>
    <row r="345">
      <c r="A345" t="inlineStr">
        <is>
          <t>LAB731518</t>
        </is>
      </c>
      <c r="B345" t="inlineStr">
        <is>
          <t>ENC113320</t>
        </is>
      </c>
      <c r="C345" t="inlineStr">
        <is>
          <t>PLT</t>
        </is>
      </c>
      <c r="D345" t="inlineStr">
        <is>
          <t>Platelet Count</t>
        </is>
      </c>
      <c r="E345" t="n">
        <v>215</v>
      </c>
      <c r="F345" t="inlineStr">
        <is>
          <t>K/uL</t>
        </is>
      </c>
      <c r="G345" t="n">
        <v>150</v>
      </c>
      <c r="H345" t="n">
        <v>400</v>
      </c>
      <c r="I345" t="inlineStr">
        <is>
          <t>N</t>
        </is>
      </c>
      <c r="J345" t="inlineStr">
        <is>
          <t>Routine</t>
        </is>
      </c>
      <c r="K345" s="33" t="n">
        <v>45732.69305555556</v>
      </c>
      <c r="L345" s="33" t="n">
        <v>45733.18055555555</v>
      </c>
      <c r="M345" s="34" t="n"/>
    </row>
    <row r="346">
      <c r="A346" t="inlineStr">
        <is>
          <t>LAB731635</t>
        </is>
      </c>
      <c r="B346" t="inlineStr">
        <is>
          <t>ENC113365</t>
        </is>
      </c>
      <c r="C346" t="inlineStr">
        <is>
          <t>GLU</t>
        </is>
      </c>
      <c r="D346" t="inlineStr">
        <is>
          <t>Glucose</t>
        </is>
      </c>
      <c r="E346" t="n">
        <v>113</v>
      </c>
      <c r="F346" t="inlineStr">
        <is>
          <t>mg/dL</t>
        </is>
      </c>
      <c r="G346" t="n">
        <v>70</v>
      </c>
      <c r="H346" t="n">
        <v>99</v>
      </c>
      <c r="I346" t="inlineStr">
        <is>
          <t>H</t>
        </is>
      </c>
      <c r="J346" t="inlineStr">
        <is>
          <t>STAT</t>
        </is>
      </c>
      <c r="K346" s="33" t="n">
        <v>45734.02083333334</v>
      </c>
      <c r="L346" s="33" t="n">
        <v>45734.04791666667</v>
      </c>
      <c r="M346" s="34" t="n"/>
    </row>
    <row r="347">
      <c r="A347" t="inlineStr">
        <is>
          <t>LAB731636</t>
        </is>
      </c>
      <c r="B347" t="inlineStr">
        <is>
          <t>ENC113365</t>
        </is>
      </c>
      <c r="C347" t="inlineStr">
        <is>
          <t>CREAT</t>
        </is>
      </c>
      <c r="D347" t="inlineStr">
        <is>
          <t>Creatinine</t>
        </is>
      </c>
      <c r="E347" t="n">
        <v>0.92</v>
      </c>
      <c r="F347" t="inlineStr">
        <is>
          <t>mg/dL</t>
        </is>
      </c>
      <c r="G347" t="n">
        <v>0.6</v>
      </c>
      <c r="H347" t="n">
        <v>1.3</v>
      </c>
      <c r="I347" t="inlineStr">
        <is>
          <t>N</t>
        </is>
      </c>
      <c r="J347" t="inlineStr">
        <is>
          <t>STAT</t>
        </is>
      </c>
      <c r="K347" s="33" t="n">
        <v>45734.02152777778</v>
      </c>
      <c r="L347" s="33" t="n">
        <v>45734.05972222222</v>
      </c>
      <c r="M347" s="34" t="n"/>
    </row>
    <row r="348">
      <c r="A348" t="inlineStr">
        <is>
          <t>LAB731639</t>
        </is>
      </c>
      <c r="B348" t="inlineStr">
        <is>
          <t>ENC113365</t>
        </is>
      </c>
      <c r="C348" t="inlineStr">
        <is>
          <t>INR</t>
        </is>
      </c>
      <c r="D348" t="inlineStr">
        <is>
          <t>Prothrombin Time INR</t>
        </is>
      </c>
      <c r="E348" t="n">
        <v>1.1</v>
      </c>
      <c r="F348" t="inlineStr">
        <is>
          <t>ratio</t>
        </is>
      </c>
      <c r="G348" t="n">
        <v>0.8</v>
      </c>
      <c r="H348" t="n">
        <v>1.2</v>
      </c>
      <c r="I348" t="inlineStr">
        <is>
          <t>N</t>
        </is>
      </c>
      <c r="J348" t="inlineStr">
        <is>
          <t>STAT</t>
        </is>
      </c>
      <c r="K348" s="33" t="n">
        <v>45734.03819444445</v>
      </c>
      <c r="L348" s="33" t="n">
        <v>45734.07152777778</v>
      </c>
      <c r="M348" s="34" t="n"/>
    </row>
    <row r="349">
      <c r="A349" t="inlineStr">
        <is>
          <t>LAB731638</t>
        </is>
      </c>
      <c r="B349" t="inlineStr">
        <is>
          <t>ENC113365</t>
        </is>
      </c>
      <c r="C349" t="inlineStr">
        <is>
          <t>HGB</t>
        </is>
      </c>
      <c r="D349" t="inlineStr">
        <is>
          <t>Hemoglobin</t>
        </is>
      </c>
      <c r="E349" t="n">
        <v>8.4</v>
      </c>
      <c r="F349" t="inlineStr">
        <is>
          <t>g/dL</t>
        </is>
      </c>
      <c r="G349" t="n">
        <v>12</v>
      </c>
      <c r="H349" t="n">
        <v>17.5</v>
      </c>
      <c r="I349" t="inlineStr">
        <is>
          <t>L</t>
        </is>
      </c>
      <c r="J349" t="inlineStr">
        <is>
          <t>STAT</t>
        </is>
      </c>
      <c r="K349" s="33" t="n">
        <v>45734.06180555555</v>
      </c>
      <c r="L349" s="33" t="n">
        <v>45734.09166666667</v>
      </c>
      <c r="M349" s="34" t="n"/>
    </row>
    <row r="350">
      <c r="A350" t="inlineStr">
        <is>
          <t>LAB731637</t>
        </is>
      </c>
      <c r="B350" t="inlineStr">
        <is>
          <t>ENC113365</t>
        </is>
      </c>
      <c r="C350" t="inlineStr">
        <is>
          <t>WBC</t>
        </is>
      </c>
      <c r="D350" t="inlineStr">
        <is>
          <t>White Blood Cell Count</t>
        </is>
      </c>
      <c r="E350" t="n">
        <v>9.1</v>
      </c>
      <c r="F350" t="inlineStr">
        <is>
          <t>K/uL</t>
        </is>
      </c>
      <c r="G350" t="n">
        <v>4.5</v>
      </c>
      <c r="H350" t="n">
        <v>11</v>
      </c>
      <c r="I350" t="inlineStr">
        <is>
          <t>N</t>
        </is>
      </c>
      <c r="J350" t="inlineStr">
        <is>
          <t>Routine</t>
        </is>
      </c>
      <c r="K350" s="33" t="n">
        <v>45734.06041666667</v>
      </c>
      <c r="L350" s="33" t="n">
        <v>45734.18541666667</v>
      </c>
      <c r="M350" s="34" t="n"/>
    </row>
    <row r="351">
      <c r="A351" t="inlineStr">
        <is>
          <t>LAB731655</t>
        </is>
      </c>
      <c r="B351" t="inlineStr">
        <is>
          <t>ENC113374</t>
        </is>
      </c>
      <c r="C351" t="inlineStr">
        <is>
          <t>GLU</t>
        </is>
      </c>
      <c r="D351" t="inlineStr">
        <is>
          <t>Glucose</t>
        </is>
      </c>
      <c r="E351" t="n">
        <v>149</v>
      </c>
      <c r="F351" t="inlineStr">
        <is>
          <t>mg/dL</t>
        </is>
      </c>
      <c r="G351" t="n">
        <v>70</v>
      </c>
      <c r="H351" t="n">
        <v>99</v>
      </c>
      <c r="I351" t="inlineStr">
        <is>
          <t>H</t>
        </is>
      </c>
      <c r="J351" t="inlineStr">
        <is>
          <t>STAT</t>
        </is>
      </c>
      <c r="K351" s="33" t="n">
        <v>45734.26736111111</v>
      </c>
      <c r="L351" s="33" t="n">
        <v>45734.29583333333</v>
      </c>
      <c r="M351" s="34" t="n"/>
    </row>
    <row r="352">
      <c r="A352" t="inlineStr">
        <is>
          <t>LAB731659</t>
        </is>
      </c>
      <c r="B352" t="inlineStr">
        <is>
          <t>ENC113374</t>
        </is>
      </c>
      <c r="C352" t="inlineStr">
        <is>
          <t>LACT</t>
        </is>
      </c>
      <c r="D352" t="inlineStr">
        <is>
          <t>Lactate</t>
        </is>
      </c>
      <c r="E352" t="n">
        <v>2.2</v>
      </c>
      <c r="F352" t="inlineStr">
        <is>
          <t>mmol/L</t>
        </is>
      </c>
      <c r="G352" t="n">
        <v>0.5</v>
      </c>
      <c r="H352" t="n">
        <v>2</v>
      </c>
      <c r="I352" t="inlineStr">
        <is>
          <t>H</t>
        </is>
      </c>
      <c r="J352" t="inlineStr">
        <is>
          <t>STAT</t>
        </is>
      </c>
      <c r="K352" s="33" t="n">
        <v>45734.29513888889</v>
      </c>
      <c r="L352" s="33" t="n">
        <v>45734.33194444444</v>
      </c>
      <c r="M352" s="34" t="n"/>
    </row>
    <row r="353">
      <c r="A353" t="inlineStr">
        <is>
          <t>LAB731658</t>
        </is>
      </c>
      <c r="B353" t="inlineStr">
        <is>
          <t>ENC113374</t>
        </is>
      </c>
      <c r="C353" t="inlineStr">
        <is>
          <t>HGB</t>
        </is>
      </c>
      <c r="D353" t="inlineStr">
        <is>
          <t>Hemoglobin</t>
        </is>
      </c>
      <c r="E353" t="n">
        <v>13.6</v>
      </c>
      <c r="F353" t="inlineStr">
        <is>
          <t>g/dL</t>
        </is>
      </c>
      <c r="G353" t="n">
        <v>12</v>
      </c>
      <c r="H353" t="n">
        <v>17.5</v>
      </c>
      <c r="I353" t="inlineStr">
        <is>
          <t>N</t>
        </is>
      </c>
      <c r="J353" t="inlineStr">
        <is>
          <t>STAT</t>
        </is>
      </c>
      <c r="K353" s="33" t="n">
        <v>45734.31319444445</v>
      </c>
      <c r="L353" s="33" t="n">
        <v>45734.33402777778</v>
      </c>
      <c r="M353" s="34" t="n"/>
    </row>
    <row r="354">
      <c r="A354" t="inlineStr">
        <is>
          <t>LAB731656</t>
        </is>
      </c>
      <c r="B354" t="inlineStr">
        <is>
          <t>ENC113374</t>
        </is>
      </c>
      <c r="C354" t="inlineStr">
        <is>
          <t>CREAT</t>
        </is>
      </c>
      <c r="D354" t="inlineStr">
        <is>
          <t>Creatinine</t>
        </is>
      </c>
      <c r="E354" t="n">
        <v>1.12</v>
      </c>
      <c r="F354" t="inlineStr">
        <is>
          <t>mg/dL</t>
        </is>
      </c>
      <c r="G354" t="n">
        <v>0.6</v>
      </c>
      <c r="H354" t="n">
        <v>1.3</v>
      </c>
      <c r="I354" t="inlineStr">
        <is>
          <t>N</t>
        </is>
      </c>
      <c r="J354" t="inlineStr">
        <is>
          <t>STAT</t>
        </is>
      </c>
      <c r="K354" s="33" t="n">
        <v>45734.31319444445</v>
      </c>
      <c r="L354" s="33" t="n">
        <v>45734.35416666666</v>
      </c>
      <c r="M354" s="34" t="n"/>
    </row>
    <row r="355">
      <c r="A355" t="inlineStr">
        <is>
          <t>LAB731657</t>
        </is>
      </c>
      <c r="B355" t="inlineStr">
        <is>
          <t>ENC113374</t>
        </is>
      </c>
      <c r="C355" t="inlineStr">
        <is>
          <t>WBC</t>
        </is>
      </c>
      <c r="D355" t="inlineStr">
        <is>
          <t>White Blood Cell Count</t>
        </is>
      </c>
      <c r="E355" t="n">
        <v>5.9</v>
      </c>
      <c r="F355" t="inlineStr">
        <is>
          <t>K/uL</t>
        </is>
      </c>
      <c r="G355" t="n">
        <v>4.5</v>
      </c>
      <c r="H355" t="n">
        <v>11</v>
      </c>
      <c r="I355" t="inlineStr">
        <is>
          <t>N</t>
        </is>
      </c>
      <c r="J355" t="inlineStr">
        <is>
          <t>Routine</t>
        </is>
      </c>
      <c r="K355" s="33" t="n">
        <v>45734.29305555556</v>
      </c>
      <c r="L355" s="33" t="n">
        <v>45734.59375</v>
      </c>
      <c r="M355" s="34" t="n"/>
    </row>
    <row r="356">
      <c r="A356" t="inlineStr">
        <is>
          <t>LAB731731</t>
        </is>
      </c>
      <c r="B356" t="inlineStr">
        <is>
          <t>ENC113407</t>
        </is>
      </c>
      <c r="C356" t="inlineStr">
        <is>
          <t>CREAT</t>
        </is>
      </c>
      <c r="D356" t="inlineStr">
        <is>
          <t>Creatinine</t>
        </is>
      </c>
      <c r="E356" t="n">
        <v>1.48</v>
      </c>
      <c r="F356" t="inlineStr">
        <is>
          <t>mg/dL</t>
        </is>
      </c>
      <c r="G356" t="n">
        <v>0.6</v>
      </c>
      <c r="H356" t="n">
        <v>1.3</v>
      </c>
      <c r="I356" t="inlineStr">
        <is>
          <t>H</t>
        </is>
      </c>
      <c r="J356" t="inlineStr">
        <is>
          <t>STAT</t>
        </is>
      </c>
      <c r="K356" s="33" t="n">
        <v>45735.14930555555</v>
      </c>
      <c r="L356" s="33" t="n">
        <v>45735.17569444444</v>
      </c>
      <c r="M356" s="34" t="n"/>
    </row>
    <row r="357">
      <c r="A357" t="inlineStr">
        <is>
          <t>LAB731732</t>
        </is>
      </c>
      <c r="B357" t="inlineStr">
        <is>
          <t>ENC113407</t>
        </is>
      </c>
      <c r="C357" t="inlineStr">
        <is>
          <t>WBC</t>
        </is>
      </c>
      <c r="D357" t="inlineStr">
        <is>
          <t>White Blood Cell Count</t>
        </is>
      </c>
      <c r="E357" t="n">
        <v>26.9</v>
      </c>
      <c r="F357" t="inlineStr">
        <is>
          <t>K/uL</t>
        </is>
      </c>
      <c r="G357" t="n">
        <v>4.5</v>
      </c>
      <c r="H357" t="n">
        <v>11</v>
      </c>
      <c r="I357" t="inlineStr">
        <is>
          <t>H</t>
        </is>
      </c>
      <c r="J357" t="inlineStr">
        <is>
          <t>STAT</t>
        </is>
      </c>
      <c r="K357" s="33" t="n">
        <v>45735.15625</v>
      </c>
      <c r="L357" s="33" t="n">
        <v>45735.17638888889</v>
      </c>
      <c r="M357" s="34" t="n"/>
    </row>
    <row r="358">
      <c r="A358" t="inlineStr">
        <is>
          <t>LAB731734</t>
        </is>
      </c>
      <c r="B358" t="inlineStr">
        <is>
          <t>ENC113407</t>
        </is>
      </c>
      <c r="C358" t="inlineStr">
        <is>
          <t>LACT</t>
        </is>
      </c>
      <c r="D358" t="inlineStr">
        <is>
          <t>Lactate</t>
        </is>
      </c>
      <c r="E358" t="n">
        <v>2.5</v>
      </c>
      <c r="F358" t="inlineStr">
        <is>
          <t>mmol/L</t>
        </is>
      </c>
      <c r="G358" t="n">
        <v>0.5</v>
      </c>
      <c r="H358" t="n">
        <v>2</v>
      </c>
      <c r="I358" t="inlineStr">
        <is>
          <t>H</t>
        </is>
      </c>
      <c r="J358" t="inlineStr">
        <is>
          <t>STAT</t>
        </is>
      </c>
      <c r="K358" s="33" t="n">
        <v>45735.15902777778</v>
      </c>
      <c r="L358" s="33" t="n">
        <v>45735.18888888889</v>
      </c>
      <c r="M358" s="34" t="n"/>
    </row>
    <row r="359">
      <c r="A359" t="inlineStr">
        <is>
          <t>LAB731730</t>
        </is>
      </c>
      <c r="B359" t="inlineStr">
        <is>
          <t>ENC113407</t>
        </is>
      </c>
      <c r="C359" t="inlineStr">
        <is>
          <t>GLU</t>
        </is>
      </c>
      <c r="D359" t="inlineStr">
        <is>
          <t>Glucose</t>
        </is>
      </c>
      <c r="E359" t="n">
        <v>257</v>
      </c>
      <c r="F359" t="inlineStr">
        <is>
          <t>mg/dL</t>
        </is>
      </c>
      <c r="G359" t="n">
        <v>70</v>
      </c>
      <c r="H359" t="n">
        <v>99</v>
      </c>
      <c r="I359" t="inlineStr">
        <is>
          <t>H</t>
        </is>
      </c>
      <c r="J359" t="inlineStr">
        <is>
          <t>STAT</t>
        </is>
      </c>
      <c r="K359" s="33" t="n">
        <v>45735.15138888889</v>
      </c>
      <c r="L359" s="33" t="n">
        <v>45735.20625</v>
      </c>
      <c r="M359" s="34" t="n"/>
    </row>
    <row r="360">
      <c r="A360" t="inlineStr">
        <is>
          <t>LAB731733</t>
        </is>
      </c>
      <c r="B360" t="inlineStr">
        <is>
          <t>ENC113407</t>
        </is>
      </c>
      <c r="C360" t="inlineStr">
        <is>
          <t>HGB</t>
        </is>
      </c>
      <c r="D360" t="inlineStr">
        <is>
          <t>Hemoglobin</t>
        </is>
      </c>
      <c r="E360" t="n">
        <v>12.8</v>
      </c>
      <c r="F360" t="inlineStr">
        <is>
          <t>g/dL</t>
        </is>
      </c>
      <c r="G360" t="n">
        <v>12</v>
      </c>
      <c r="H360" t="n">
        <v>17.5</v>
      </c>
      <c r="I360" t="inlineStr">
        <is>
          <t>N</t>
        </is>
      </c>
      <c r="J360" t="inlineStr">
        <is>
          <t>Routine</t>
        </is>
      </c>
      <c r="K360" s="33" t="n">
        <v>45735.16458333333</v>
      </c>
      <c r="L360" s="33" t="n">
        <v>45735.21875</v>
      </c>
      <c r="M360" s="34" t="n"/>
    </row>
    <row r="361">
      <c r="A361" t="inlineStr">
        <is>
          <t>LAB731868</t>
        </is>
      </c>
      <c r="B361" t="inlineStr">
        <is>
          <t>ENC113467</t>
        </is>
      </c>
      <c r="C361" t="inlineStr">
        <is>
          <t>INR</t>
        </is>
      </c>
      <c r="D361" t="inlineStr">
        <is>
          <t>Prothrombin Time INR</t>
        </is>
      </c>
      <c r="E361" t="n">
        <v>1.1</v>
      </c>
      <c r="F361" t="inlineStr">
        <is>
          <t>ratio</t>
        </is>
      </c>
      <c r="G361" t="n">
        <v>0.8</v>
      </c>
      <c r="H361" t="n">
        <v>1.2</v>
      </c>
      <c r="I361" t="inlineStr">
        <is>
          <t>N</t>
        </is>
      </c>
      <c r="J361" t="inlineStr">
        <is>
          <t>STAT</t>
        </is>
      </c>
      <c r="K361" s="33" t="n">
        <v>45736.67013888889</v>
      </c>
      <c r="L361" s="33" t="n">
        <v>45736.68888888889</v>
      </c>
      <c r="M361" s="34" t="n"/>
    </row>
    <row r="362">
      <c r="A362" t="inlineStr">
        <is>
          <t>LAB731866</t>
        </is>
      </c>
      <c r="B362" t="inlineStr">
        <is>
          <t>ENC113467</t>
        </is>
      </c>
      <c r="C362" t="inlineStr">
        <is>
          <t>HGB</t>
        </is>
      </c>
      <c r="D362" t="inlineStr">
        <is>
          <t>Hemoglobin</t>
        </is>
      </c>
      <c r="E362" t="n">
        <v>4.7</v>
      </c>
      <c r="F362" t="inlineStr">
        <is>
          <t>g/dL</t>
        </is>
      </c>
      <c r="G362" t="n">
        <v>12</v>
      </c>
      <c r="H362" t="n">
        <v>17.5</v>
      </c>
      <c r="I362" t="inlineStr">
        <is>
          <t>LL</t>
        </is>
      </c>
      <c r="J362" t="inlineStr">
        <is>
          <t>STAT</t>
        </is>
      </c>
      <c r="K362" s="33" t="n">
        <v>45736.68333333333</v>
      </c>
      <c r="L362" s="33" t="n">
        <v>45736.70972222222</v>
      </c>
      <c r="M362" s="34" t="n"/>
    </row>
    <row r="363">
      <c r="A363" t="inlineStr">
        <is>
          <t>LAB731867</t>
        </is>
      </c>
      <c r="B363" t="inlineStr">
        <is>
          <t>ENC113467</t>
        </is>
      </c>
      <c r="C363" t="inlineStr">
        <is>
          <t>LACT</t>
        </is>
      </c>
      <c r="D363" t="inlineStr">
        <is>
          <t>Lactate</t>
        </is>
      </c>
      <c r="E363" t="n">
        <v>4.1</v>
      </c>
      <c r="F363" t="inlineStr">
        <is>
          <t>mmol/L</t>
        </is>
      </c>
      <c r="G363" t="n">
        <v>0.5</v>
      </c>
      <c r="H363" t="n">
        <v>2</v>
      </c>
      <c r="I363" t="inlineStr">
        <is>
          <t>HH</t>
        </is>
      </c>
      <c r="J363" t="inlineStr">
        <is>
          <t>STAT</t>
        </is>
      </c>
      <c r="K363" s="33" t="n">
        <v>45736.68819444445</v>
      </c>
      <c r="L363" s="33" t="n">
        <v>45736.72152777778</v>
      </c>
      <c r="M363" s="34" t="n"/>
    </row>
    <row r="364">
      <c r="A364" t="inlineStr">
        <is>
          <t>LAB731865</t>
        </is>
      </c>
      <c r="B364" t="inlineStr">
        <is>
          <t>ENC113467</t>
        </is>
      </c>
      <c r="C364" t="inlineStr">
        <is>
          <t>WBC</t>
        </is>
      </c>
      <c r="D364" t="inlineStr">
        <is>
          <t>White Blood Cell Count</t>
        </is>
      </c>
      <c r="E364" t="n">
        <v>8.9</v>
      </c>
      <c r="F364" t="inlineStr">
        <is>
          <t>K/uL</t>
        </is>
      </c>
      <c r="G364" t="n">
        <v>4.5</v>
      </c>
      <c r="H364" t="n">
        <v>11</v>
      </c>
      <c r="I364" t="inlineStr">
        <is>
          <t>N</t>
        </is>
      </c>
      <c r="J364" t="inlineStr">
        <is>
          <t>STAT</t>
        </is>
      </c>
      <c r="K364" s="33" t="n">
        <v>45736.70972222222</v>
      </c>
      <c r="L364" s="33" t="n">
        <v>45736.73819444444</v>
      </c>
      <c r="M364" s="34" t="n"/>
    </row>
    <row r="365">
      <c r="A365" t="inlineStr">
        <is>
          <t>LAB731863</t>
        </is>
      </c>
      <c r="B365" t="inlineStr">
        <is>
          <t>ENC113467</t>
        </is>
      </c>
      <c r="C365" t="inlineStr">
        <is>
          <t>GLU</t>
        </is>
      </c>
      <c r="D365" t="inlineStr">
        <is>
          <t>Glucose</t>
        </is>
      </c>
      <c r="E365" t="n">
        <v>87</v>
      </c>
      <c r="F365" t="inlineStr">
        <is>
          <t>mg/dL</t>
        </is>
      </c>
      <c r="G365" t="n">
        <v>70</v>
      </c>
      <c r="H365" t="n">
        <v>99</v>
      </c>
      <c r="I365" t="inlineStr">
        <is>
          <t>N</t>
        </is>
      </c>
      <c r="J365" t="inlineStr">
        <is>
          <t>Routine</t>
        </is>
      </c>
      <c r="K365" s="33" t="n">
        <v>45736.71388888889</v>
      </c>
      <c r="L365" s="33" t="n">
        <v>45736.90694444445</v>
      </c>
      <c r="M365" s="34" t="n"/>
    </row>
    <row r="366">
      <c r="A366" t="inlineStr">
        <is>
          <t>LAB731864</t>
        </is>
      </c>
      <c r="B366" t="inlineStr">
        <is>
          <t>ENC113467</t>
        </is>
      </c>
      <c r="C366" t="inlineStr">
        <is>
          <t>CREAT</t>
        </is>
      </c>
      <c r="D366" t="inlineStr">
        <is>
          <t>Creatinine</t>
        </is>
      </c>
      <c r="E366" t="n">
        <v>1.07</v>
      </c>
      <c r="F366" t="inlineStr">
        <is>
          <t>mg/dL</t>
        </is>
      </c>
      <c r="G366" t="n">
        <v>0.6</v>
      </c>
      <c r="H366" t="n">
        <v>1.3</v>
      </c>
      <c r="I366" t="inlineStr">
        <is>
          <t>N</t>
        </is>
      </c>
      <c r="J366" t="inlineStr">
        <is>
          <t>Routine</t>
        </is>
      </c>
      <c r="K366" s="33" t="n">
        <v>45736.67708333334</v>
      </c>
      <c r="L366" s="33" t="n">
        <v>45737.05069444444</v>
      </c>
      <c r="M366" s="34" t="n"/>
    </row>
    <row r="367">
      <c r="A367" t="inlineStr">
        <is>
          <t>LAB732014</t>
        </is>
      </c>
      <c r="B367" t="inlineStr">
        <is>
          <t>ENC113536</t>
        </is>
      </c>
      <c r="C367" t="inlineStr">
        <is>
          <t>CREAT</t>
        </is>
      </c>
      <c r="D367" t="inlineStr">
        <is>
          <t>Creatinine</t>
        </is>
      </c>
      <c r="E367" t="n">
        <v>2.01</v>
      </c>
      <c r="F367" t="inlineStr">
        <is>
          <t>mg/dL</t>
        </is>
      </c>
      <c r="G367" t="n">
        <v>0.6</v>
      </c>
      <c r="H367" t="n">
        <v>1.3</v>
      </c>
      <c r="I367" t="inlineStr">
        <is>
          <t>H</t>
        </is>
      </c>
      <c r="J367" t="inlineStr">
        <is>
          <t>STAT</t>
        </is>
      </c>
      <c r="K367" s="33" t="n">
        <v>45739.04166666666</v>
      </c>
      <c r="L367" s="33" t="n">
        <v>45739.05833333333</v>
      </c>
      <c r="M367" s="34" t="n"/>
    </row>
    <row r="368">
      <c r="A368" t="inlineStr">
        <is>
          <t>LAB732013</t>
        </is>
      </c>
      <c r="B368" t="inlineStr">
        <is>
          <t>ENC113536</t>
        </is>
      </c>
      <c r="C368" t="inlineStr">
        <is>
          <t>GLU</t>
        </is>
      </c>
      <c r="D368" t="inlineStr">
        <is>
          <t>Glucose</t>
        </is>
      </c>
      <c r="E368" t="n">
        <v>226</v>
      </c>
      <c r="F368" t="inlineStr">
        <is>
          <t>mg/dL</t>
        </is>
      </c>
      <c r="G368" t="n">
        <v>70</v>
      </c>
      <c r="H368" t="n">
        <v>99</v>
      </c>
      <c r="I368" t="inlineStr">
        <is>
          <t>H</t>
        </is>
      </c>
      <c r="J368" t="inlineStr">
        <is>
          <t>STAT</t>
        </is>
      </c>
      <c r="K368" s="33" t="n">
        <v>45739.06041666667</v>
      </c>
      <c r="L368" s="33" t="n">
        <v>45739.07847222222</v>
      </c>
      <c r="M368" s="34" t="n"/>
    </row>
    <row r="369">
      <c r="A369" t="inlineStr">
        <is>
          <t>LAB732017</t>
        </is>
      </c>
      <c r="B369" t="inlineStr">
        <is>
          <t>ENC113536</t>
        </is>
      </c>
      <c r="C369" t="inlineStr">
        <is>
          <t>LACT</t>
        </is>
      </c>
      <c r="D369" t="inlineStr">
        <is>
          <t>Lactate</t>
        </is>
      </c>
      <c r="E369" t="n">
        <v>2.1</v>
      </c>
      <c r="F369" t="inlineStr">
        <is>
          <t>mmol/L</t>
        </is>
      </c>
      <c r="G369" t="n">
        <v>0.5</v>
      </c>
      <c r="H369" t="n">
        <v>2</v>
      </c>
      <c r="I369" t="inlineStr">
        <is>
          <t>H</t>
        </is>
      </c>
      <c r="J369" t="inlineStr">
        <is>
          <t>STAT</t>
        </is>
      </c>
      <c r="K369" s="33" t="n">
        <v>45739.04791666667</v>
      </c>
      <c r="L369" s="33" t="n">
        <v>45739.09583333333</v>
      </c>
      <c r="M369" s="34" t="n"/>
    </row>
    <row r="370">
      <c r="A370" t="inlineStr">
        <is>
          <t>LAB732015</t>
        </is>
      </c>
      <c r="B370" t="inlineStr">
        <is>
          <t>ENC113536</t>
        </is>
      </c>
      <c r="C370" t="inlineStr">
        <is>
          <t>WBC</t>
        </is>
      </c>
      <c r="D370" t="inlineStr">
        <is>
          <t>White Blood Cell Count</t>
        </is>
      </c>
      <c r="E370" t="n">
        <v>3.3</v>
      </c>
      <c r="F370" t="inlineStr">
        <is>
          <t>K/uL</t>
        </is>
      </c>
      <c r="G370" t="n">
        <v>4.5</v>
      </c>
      <c r="H370" t="n">
        <v>11</v>
      </c>
      <c r="I370" t="inlineStr">
        <is>
          <t>L</t>
        </is>
      </c>
      <c r="J370" t="inlineStr">
        <is>
          <t>Routine</t>
        </is>
      </c>
      <c r="K370" s="33" t="n">
        <v>45739.05138888889</v>
      </c>
      <c r="L370" s="33" t="n">
        <v>45739.10902777778</v>
      </c>
      <c r="M370" s="34" t="n"/>
    </row>
    <row r="371">
      <c r="A371" t="inlineStr">
        <is>
          <t>LAB732016</t>
        </is>
      </c>
      <c r="B371" t="inlineStr">
        <is>
          <t>ENC113536</t>
        </is>
      </c>
      <c r="C371" t="inlineStr">
        <is>
          <t>HGB</t>
        </is>
      </c>
      <c r="D371" t="inlineStr">
        <is>
          <t>Hemoglobin</t>
        </is>
      </c>
      <c r="E371" t="n">
        <v>11.4</v>
      </c>
      <c r="F371" t="inlineStr">
        <is>
          <t>g/dL</t>
        </is>
      </c>
      <c r="G371" t="n">
        <v>12</v>
      </c>
      <c r="H371" t="n">
        <v>17.5</v>
      </c>
      <c r="I371" t="inlineStr">
        <is>
          <t>L</t>
        </is>
      </c>
      <c r="J371" t="inlineStr">
        <is>
          <t>STAT</t>
        </is>
      </c>
      <c r="K371" s="33" t="n">
        <v>45739.07013888889</v>
      </c>
      <c r="L371" s="33" t="n">
        <v>45739.14027777778</v>
      </c>
      <c r="M371" s="34" t="n"/>
    </row>
    <row r="372">
      <c r="A372" t="inlineStr">
        <is>
          <t>LAB732029</t>
        </is>
      </c>
      <c r="B372" t="inlineStr">
        <is>
          <t>ENC113540</t>
        </is>
      </c>
      <c r="C372" t="inlineStr">
        <is>
          <t>LACT</t>
        </is>
      </c>
      <c r="D372" t="inlineStr">
        <is>
          <t>Lactate</t>
        </is>
      </c>
      <c r="E372" t="n">
        <v>3.2</v>
      </c>
      <c r="F372" t="inlineStr">
        <is>
          <t>mmol/L</t>
        </is>
      </c>
      <c r="G372" t="n">
        <v>0.5</v>
      </c>
      <c r="H372" t="n">
        <v>2</v>
      </c>
      <c r="I372" t="inlineStr">
        <is>
          <t>H</t>
        </is>
      </c>
      <c r="J372" t="inlineStr">
        <is>
          <t>STAT</t>
        </is>
      </c>
      <c r="K372" s="33" t="n">
        <v>45739.23263888889</v>
      </c>
      <c r="L372" s="33" t="n">
        <v>45739.24930555555</v>
      </c>
      <c r="M372" s="34" t="n"/>
    </row>
    <row r="373">
      <c r="A373" t="inlineStr">
        <is>
          <t>LAB732025</t>
        </is>
      </c>
      <c r="B373" t="inlineStr">
        <is>
          <t>ENC113540</t>
        </is>
      </c>
      <c r="C373" t="inlineStr">
        <is>
          <t>WBC</t>
        </is>
      </c>
      <c r="D373" t="inlineStr">
        <is>
          <t>White Blood Cell Count</t>
        </is>
      </c>
      <c r="E373" t="n">
        <v>5.8</v>
      </c>
      <c r="F373" t="inlineStr">
        <is>
          <t>K/uL</t>
        </is>
      </c>
      <c r="G373" t="n">
        <v>4.5</v>
      </c>
      <c r="H373" t="n">
        <v>11</v>
      </c>
      <c r="I373" t="inlineStr">
        <is>
          <t>N</t>
        </is>
      </c>
      <c r="J373" t="inlineStr">
        <is>
          <t>STAT</t>
        </is>
      </c>
      <c r="K373" s="33" t="n">
        <v>45739.25138888889</v>
      </c>
      <c r="L373" s="33" t="n">
        <v>45739.27361111111</v>
      </c>
      <c r="M373" s="34" t="n"/>
    </row>
    <row r="374">
      <c r="A374" t="inlineStr">
        <is>
          <t>LAB732028</t>
        </is>
      </c>
      <c r="B374" t="inlineStr">
        <is>
          <t>ENC113540</t>
        </is>
      </c>
      <c r="C374" t="inlineStr">
        <is>
          <t>K</t>
        </is>
      </c>
      <c r="D374" t="inlineStr">
        <is>
          <t>Potassium</t>
        </is>
      </c>
      <c r="E374" t="n">
        <v>4.3</v>
      </c>
      <c r="F374" t="inlineStr">
        <is>
          <t>mmol/L</t>
        </is>
      </c>
      <c r="G374" t="n">
        <v>3.5</v>
      </c>
      <c r="H374" t="n">
        <v>5.1</v>
      </c>
      <c r="I374" t="inlineStr">
        <is>
          <t>N</t>
        </is>
      </c>
      <c r="J374" t="inlineStr">
        <is>
          <t>STAT</t>
        </is>
      </c>
      <c r="K374" s="33" t="n">
        <v>45739.2625</v>
      </c>
      <c r="L374" s="33" t="n">
        <v>45739.28541666667</v>
      </c>
      <c r="M374" s="34" t="n"/>
    </row>
    <row r="375">
      <c r="A375" t="inlineStr">
        <is>
          <t>LAB732024</t>
        </is>
      </c>
      <c r="B375" t="inlineStr">
        <is>
          <t>ENC113540</t>
        </is>
      </c>
      <c r="C375" t="inlineStr">
        <is>
          <t>CREAT</t>
        </is>
      </c>
      <c r="D375" t="inlineStr">
        <is>
          <t>Creatinine</t>
        </is>
      </c>
      <c r="E375" t="n">
        <v>0.77</v>
      </c>
      <c r="F375" t="inlineStr">
        <is>
          <t>mg/dL</t>
        </is>
      </c>
      <c r="G375" t="n">
        <v>0.6</v>
      </c>
      <c r="H375" t="n">
        <v>1.3</v>
      </c>
      <c r="I375" t="inlineStr">
        <is>
          <t>N</t>
        </is>
      </c>
      <c r="J375" t="inlineStr">
        <is>
          <t>STAT</t>
        </is>
      </c>
      <c r="K375" s="33" t="n">
        <v>45739.24513888889</v>
      </c>
      <c r="L375" s="33" t="n">
        <v>45739.30208333334</v>
      </c>
      <c r="M375" s="34" t="n"/>
    </row>
    <row r="376">
      <c r="A376" t="inlineStr">
        <is>
          <t>LAB732026</t>
        </is>
      </c>
      <c r="B376" t="inlineStr">
        <is>
          <t>ENC113540</t>
        </is>
      </c>
      <c r="C376" t="inlineStr">
        <is>
          <t>HGB</t>
        </is>
      </c>
      <c r="D376" t="inlineStr">
        <is>
          <t>Hemoglobin</t>
        </is>
      </c>
      <c r="E376" t="n">
        <v>14.8</v>
      </c>
      <c r="F376" t="inlineStr">
        <is>
          <t>g/dL</t>
        </is>
      </c>
      <c r="G376" t="n">
        <v>12</v>
      </c>
      <c r="H376" t="n">
        <v>17.5</v>
      </c>
      <c r="I376" t="inlineStr">
        <is>
          <t>N</t>
        </is>
      </c>
      <c r="J376" t="inlineStr">
        <is>
          <t>STAT</t>
        </is>
      </c>
      <c r="K376" s="33" t="n">
        <v>45739.26319444444</v>
      </c>
      <c r="L376" s="33" t="n">
        <v>45739.32638888889</v>
      </c>
      <c r="M376" s="34" t="n"/>
    </row>
    <row r="377">
      <c r="A377" t="inlineStr">
        <is>
          <t>LAB732027</t>
        </is>
      </c>
      <c r="B377" t="inlineStr">
        <is>
          <t>ENC113540</t>
        </is>
      </c>
      <c r="C377" t="inlineStr">
        <is>
          <t>NA</t>
        </is>
      </c>
      <c r="D377" t="inlineStr">
        <is>
          <t>Sodium</t>
        </is>
      </c>
      <c r="E377" t="n">
        <v>139</v>
      </c>
      <c r="F377" t="inlineStr">
        <is>
          <t>mmol/L</t>
        </is>
      </c>
      <c r="G377" t="n">
        <v>136</v>
      </c>
      <c r="H377" t="n">
        <v>145</v>
      </c>
      <c r="I377" t="inlineStr">
        <is>
          <t>N</t>
        </is>
      </c>
      <c r="J377" t="inlineStr">
        <is>
          <t>Routine</t>
        </is>
      </c>
      <c r="K377" s="33" t="n">
        <v>45739.24930555555</v>
      </c>
      <c r="L377" s="33" t="n">
        <v>45739.4375</v>
      </c>
      <c r="M377" s="34" t="n"/>
    </row>
    <row r="378">
      <c r="A378" t="inlineStr">
        <is>
          <t>LAB732023</t>
        </is>
      </c>
      <c r="B378" t="inlineStr">
        <is>
          <t>ENC113540</t>
        </is>
      </c>
      <c r="C378" t="inlineStr">
        <is>
          <t>GLU</t>
        </is>
      </c>
      <c r="D378" t="inlineStr">
        <is>
          <t>Glucose</t>
        </is>
      </c>
      <c r="E378" t="n">
        <v>124</v>
      </c>
      <c r="F378" t="inlineStr">
        <is>
          <t>mg/dL</t>
        </is>
      </c>
      <c r="G378" t="n">
        <v>70</v>
      </c>
      <c r="H378" t="n">
        <v>99</v>
      </c>
      <c r="I378" t="inlineStr">
        <is>
          <t>H</t>
        </is>
      </c>
      <c r="J378" t="inlineStr">
        <is>
          <t>Routine</t>
        </is>
      </c>
      <c r="K378" s="33" t="n">
        <v>45739.24791666667</v>
      </c>
      <c r="L378" s="33" t="n">
        <v>45739.48402777778</v>
      </c>
      <c r="M378" s="34" t="n"/>
    </row>
    <row r="379">
      <c r="A379" t="inlineStr">
        <is>
          <t>LAB732305</t>
        </is>
      </c>
      <c r="B379" t="inlineStr">
        <is>
          <t>ENC113662</t>
        </is>
      </c>
      <c r="C379" t="inlineStr">
        <is>
          <t>LACT</t>
        </is>
      </c>
      <c r="D379" t="inlineStr">
        <is>
          <t>Lactate</t>
        </is>
      </c>
      <c r="E379" t="n">
        <v>2.6</v>
      </c>
      <c r="F379" t="inlineStr">
        <is>
          <t>mmol/L</t>
        </is>
      </c>
      <c r="G379" t="n">
        <v>0.5</v>
      </c>
      <c r="H379" t="n">
        <v>2</v>
      </c>
      <c r="I379" t="inlineStr">
        <is>
          <t>H</t>
        </is>
      </c>
      <c r="J379" t="inlineStr">
        <is>
          <t>STAT</t>
        </is>
      </c>
      <c r="K379" s="33" t="n">
        <v>45742.90069444444</v>
      </c>
      <c r="L379" s="33" t="n">
        <v>45742.92569444444</v>
      </c>
      <c r="M379" s="34" t="n"/>
    </row>
    <row r="380">
      <c r="A380" t="inlineStr">
        <is>
          <t>LAB732301</t>
        </is>
      </c>
      <c r="B380" t="inlineStr">
        <is>
          <t>ENC113662</t>
        </is>
      </c>
      <c r="C380" t="inlineStr">
        <is>
          <t>WBC</t>
        </is>
      </c>
      <c r="D380" t="inlineStr">
        <is>
          <t>White Blood Cell Count</t>
        </is>
      </c>
      <c r="E380" t="n">
        <v>7</v>
      </c>
      <c r="F380" t="inlineStr">
        <is>
          <t>K/uL</t>
        </is>
      </c>
      <c r="G380" t="n">
        <v>4.5</v>
      </c>
      <c r="H380" t="n">
        <v>11</v>
      </c>
      <c r="I380" t="inlineStr">
        <is>
          <t>N</t>
        </is>
      </c>
      <c r="J380" t="inlineStr">
        <is>
          <t>STAT</t>
        </is>
      </c>
      <c r="K380" s="33" t="n">
        <v>45742.91180555556</v>
      </c>
      <c r="L380" s="33" t="n">
        <v>45742.93888888889</v>
      </c>
      <c r="M380" s="34" t="n"/>
    </row>
    <row r="381">
      <c r="A381" t="inlineStr">
        <is>
          <t>LAB732304</t>
        </is>
      </c>
      <c r="B381" t="inlineStr">
        <is>
          <t>ENC113662</t>
        </is>
      </c>
      <c r="C381" t="inlineStr">
        <is>
          <t>K</t>
        </is>
      </c>
      <c r="D381" t="inlineStr">
        <is>
          <t>Potassium</t>
        </is>
      </c>
      <c r="E381" t="n">
        <v>3.9</v>
      </c>
      <c r="F381" t="inlineStr">
        <is>
          <t>mmol/L</t>
        </is>
      </c>
      <c r="G381" t="n">
        <v>3.5</v>
      </c>
      <c r="H381" t="n">
        <v>5.1</v>
      </c>
      <c r="I381" t="inlineStr">
        <is>
          <t>N</t>
        </is>
      </c>
      <c r="J381" t="inlineStr">
        <is>
          <t>STAT</t>
        </is>
      </c>
      <c r="K381" s="33" t="n">
        <v>45742.89930555555</v>
      </c>
      <c r="L381" s="33" t="n">
        <v>45742.94166666667</v>
      </c>
      <c r="M381" s="34" t="n"/>
    </row>
    <row r="382">
      <c r="A382" t="inlineStr">
        <is>
          <t>LAB732302</t>
        </is>
      </c>
      <c r="B382" t="inlineStr">
        <is>
          <t>ENC113662</t>
        </is>
      </c>
      <c r="C382" t="inlineStr">
        <is>
          <t>HGB</t>
        </is>
      </c>
      <c r="D382" t="inlineStr">
        <is>
          <t>Hemoglobin</t>
        </is>
      </c>
      <c r="E382" t="n">
        <v>12.3</v>
      </c>
      <c r="F382" t="inlineStr">
        <is>
          <t>g/dL</t>
        </is>
      </c>
      <c r="G382" t="n">
        <v>12</v>
      </c>
      <c r="H382" t="n">
        <v>17.5</v>
      </c>
      <c r="I382" t="inlineStr">
        <is>
          <t>N</t>
        </is>
      </c>
      <c r="J382" t="inlineStr">
        <is>
          <t>Routine</t>
        </is>
      </c>
      <c r="K382" s="33" t="n">
        <v>45742.90763888889</v>
      </c>
      <c r="L382" s="33" t="n">
        <v>45742.95902777778</v>
      </c>
      <c r="M382" s="34" t="n"/>
    </row>
    <row r="383">
      <c r="A383" t="inlineStr">
        <is>
          <t>LAB732300</t>
        </is>
      </c>
      <c r="B383" t="inlineStr">
        <is>
          <t>ENC113662</t>
        </is>
      </c>
      <c r="C383" t="inlineStr">
        <is>
          <t>CREAT</t>
        </is>
      </c>
      <c r="D383" t="inlineStr">
        <is>
          <t>Creatinine</t>
        </is>
      </c>
      <c r="E383" t="n">
        <v>0.96</v>
      </c>
      <c r="F383" t="inlineStr">
        <is>
          <t>mg/dL</t>
        </is>
      </c>
      <c r="G383" t="n">
        <v>0.6</v>
      </c>
      <c r="H383" t="n">
        <v>1.3</v>
      </c>
      <c r="I383" t="inlineStr">
        <is>
          <t>N</t>
        </is>
      </c>
      <c r="J383" t="inlineStr">
        <is>
          <t>Routine</t>
        </is>
      </c>
      <c r="K383" s="33" t="n">
        <v>45742.89930555555</v>
      </c>
      <c r="L383" s="33" t="n">
        <v>45742.97430555556</v>
      </c>
      <c r="M383" s="34" t="n"/>
    </row>
    <row r="384">
      <c r="A384" t="inlineStr">
        <is>
          <t>LAB732303</t>
        </is>
      </c>
      <c r="B384" t="inlineStr">
        <is>
          <t>ENC113662</t>
        </is>
      </c>
      <c r="C384" t="inlineStr">
        <is>
          <t>NA</t>
        </is>
      </c>
      <c r="D384" t="inlineStr">
        <is>
          <t>Sodium</t>
        </is>
      </c>
      <c r="E384" t="n">
        <v>135</v>
      </c>
      <c r="F384" t="inlineStr">
        <is>
          <t>mmol/L</t>
        </is>
      </c>
      <c r="G384" t="n">
        <v>136</v>
      </c>
      <c r="H384" t="n">
        <v>145</v>
      </c>
      <c r="I384" t="inlineStr">
        <is>
          <t>L</t>
        </is>
      </c>
      <c r="J384" t="inlineStr">
        <is>
          <t>Routine</t>
        </is>
      </c>
      <c r="K384" s="33" t="n">
        <v>45742.90833333333</v>
      </c>
      <c r="L384" s="33" t="n">
        <v>45743.01736111111</v>
      </c>
      <c r="M384" s="34" t="n"/>
    </row>
    <row r="385">
      <c r="A385" t="inlineStr">
        <is>
          <t>LAB732299</t>
        </is>
      </c>
      <c r="B385" t="inlineStr">
        <is>
          <t>ENC113662</t>
        </is>
      </c>
      <c r="C385" t="inlineStr">
        <is>
          <t>GLU</t>
        </is>
      </c>
      <c r="D385" t="inlineStr">
        <is>
          <t>Glucose</t>
        </is>
      </c>
      <c r="E385" t="n">
        <v>118</v>
      </c>
      <c r="F385" t="inlineStr">
        <is>
          <t>mg/dL</t>
        </is>
      </c>
      <c r="G385" t="n">
        <v>70</v>
      </c>
      <c r="H385" t="n">
        <v>99</v>
      </c>
      <c r="I385" t="inlineStr">
        <is>
          <t>H</t>
        </is>
      </c>
      <c r="J385" t="inlineStr">
        <is>
          <t>Routine</t>
        </is>
      </c>
      <c r="K385" s="33" t="n">
        <v>45742.88333333333</v>
      </c>
      <c r="L385" s="33" t="n">
        <v>45743.02916666667</v>
      </c>
      <c r="M385" s="34" t="n"/>
    </row>
    <row r="386">
      <c r="A386" t="inlineStr">
        <is>
          <t>LAB732503</t>
        </is>
      </c>
      <c r="B386" t="inlineStr">
        <is>
          <t>ENC113745</t>
        </is>
      </c>
      <c r="C386" t="inlineStr">
        <is>
          <t>HGB</t>
        </is>
      </c>
      <c r="D386" t="inlineStr">
        <is>
          <t>Hemoglobin</t>
        </is>
      </c>
      <c r="E386" t="n">
        <v>12.1</v>
      </c>
      <c r="F386" t="inlineStr">
        <is>
          <t>g/dL</t>
        </is>
      </c>
      <c r="G386" t="n">
        <v>12</v>
      </c>
      <c r="H386" t="n">
        <v>17.5</v>
      </c>
      <c r="I386" t="inlineStr">
        <is>
          <t>N</t>
        </is>
      </c>
      <c r="J386" t="inlineStr">
        <is>
          <t>STAT</t>
        </is>
      </c>
      <c r="K386" s="33" t="n">
        <v>45744.82361111111</v>
      </c>
      <c r="L386" s="33" t="n">
        <v>45744.84513888889</v>
      </c>
      <c r="M386" s="34" t="n"/>
    </row>
    <row r="387">
      <c r="A387" t="inlineStr">
        <is>
          <t>LAB732502</t>
        </is>
      </c>
      <c r="B387" t="inlineStr">
        <is>
          <t>ENC113745</t>
        </is>
      </c>
      <c r="C387" t="inlineStr">
        <is>
          <t>WBC</t>
        </is>
      </c>
      <c r="D387" t="inlineStr">
        <is>
          <t>White Blood Cell Count</t>
        </is>
      </c>
      <c r="E387" t="n">
        <v>16.4</v>
      </c>
      <c r="F387" t="inlineStr">
        <is>
          <t>K/uL</t>
        </is>
      </c>
      <c r="G387" t="n">
        <v>4.5</v>
      </c>
      <c r="H387" t="n">
        <v>11</v>
      </c>
      <c r="I387" t="inlineStr">
        <is>
          <t>H</t>
        </is>
      </c>
      <c r="J387" t="inlineStr">
        <is>
          <t>STAT</t>
        </is>
      </c>
      <c r="K387" s="33" t="n">
        <v>45744.81666666667</v>
      </c>
      <c r="L387" s="33" t="n">
        <v>45744.86736111111</v>
      </c>
      <c r="M387" s="34" t="n"/>
    </row>
    <row r="388">
      <c r="A388" t="inlineStr">
        <is>
          <t>LAB732504</t>
        </is>
      </c>
      <c r="B388" t="inlineStr">
        <is>
          <t>ENC113745</t>
        </is>
      </c>
      <c r="C388" t="inlineStr">
        <is>
          <t>LACT</t>
        </is>
      </c>
      <c r="D388" t="inlineStr">
        <is>
          <t>Lactate</t>
        </is>
      </c>
      <c r="E388" t="n">
        <v>1.6</v>
      </c>
      <c r="F388" t="inlineStr">
        <is>
          <t>mmol/L</t>
        </is>
      </c>
      <c r="G388" t="n">
        <v>0.5</v>
      </c>
      <c r="H388" t="n">
        <v>2</v>
      </c>
      <c r="I388" t="inlineStr">
        <is>
          <t>N</t>
        </is>
      </c>
      <c r="J388" t="inlineStr">
        <is>
          <t>STAT</t>
        </is>
      </c>
      <c r="K388" s="33" t="n">
        <v>45744.85763888889</v>
      </c>
      <c r="L388" s="33" t="n">
        <v>45744.87708333333</v>
      </c>
      <c r="M388" s="34" t="n"/>
    </row>
    <row r="389">
      <c r="A389" t="inlineStr">
        <is>
          <t>LAB732501</t>
        </is>
      </c>
      <c r="B389" t="inlineStr">
        <is>
          <t>ENC113745</t>
        </is>
      </c>
      <c r="C389" t="inlineStr">
        <is>
          <t>CREAT</t>
        </is>
      </c>
      <c r="D389" t="inlineStr">
        <is>
          <t>Creatinine</t>
        </is>
      </c>
      <c r="E389" t="n">
        <v>0.6899999999999999</v>
      </c>
      <c r="F389" t="inlineStr">
        <is>
          <t>mg/dL</t>
        </is>
      </c>
      <c r="G389" t="n">
        <v>0.6</v>
      </c>
      <c r="H389" t="n">
        <v>1.3</v>
      </c>
      <c r="I389" t="inlineStr">
        <is>
          <t>N</t>
        </is>
      </c>
      <c r="J389" t="inlineStr">
        <is>
          <t>Routine</t>
        </is>
      </c>
      <c r="K389" s="33" t="n">
        <v>45744.84930555556</v>
      </c>
      <c r="L389" s="33" t="n">
        <v>45744.95138888889</v>
      </c>
      <c r="M389" s="34" t="n"/>
    </row>
    <row r="390">
      <c r="A390" t="inlineStr">
        <is>
          <t>LAB732500</t>
        </is>
      </c>
      <c r="B390" t="inlineStr">
        <is>
          <t>ENC113745</t>
        </is>
      </c>
      <c r="C390" t="inlineStr">
        <is>
          <t>GLU</t>
        </is>
      </c>
      <c r="D390" t="inlineStr">
        <is>
          <t>Glucose</t>
        </is>
      </c>
      <c r="E390" t="n">
        <v>146</v>
      </c>
      <c r="F390" t="inlineStr">
        <is>
          <t>mg/dL</t>
        </is>
      </c>
      <c r="G390" t="n">
        <v>70</v>
      </c>
      <c r="H390" t="n">
        <v>99</v>
      </c>
      <c r="I390" t="inlineStr">
        <is>
          <t>H</t>
        </is>
      </c>
      <c r="J390" t="inlineStr">
        <is>
          <t>Routine</t>
        </is>
      </c>
      <c r="K390" s="33" t="n">
        <v>45744.84722222222</v>
      </c>
      <c r="L390" s="33" t="n">
        <v>45745.10555555556</v>
      </c>
      <c r="M390" s="34" t="n"/>
    </row>
    <row r="391">
      <c r="A391" t="inlineStr">
        <is>
          <t>LAB732812</t>
        </is>
      </c>
      <c r="B391" t="inlineStr">
        <is>
          <t>ENC113877</t>
        </is>
      </c>
      <c r="C391" t="inlineStr">
        <is>
          <t>LACT</t>
        </is>
      </c>
      <c r="D391" t="inlineStr">
        <is>
          <t>Lactate</t>
        </is>
      </c>
      <c r="E391" t="n">
        <v>3.7</v>
      </c>
      <c r="F391" t="inlineStr">
        <is>
          <t>mmol/L</t>
        </is>
      </c>
      <c r="G391" t="n">
        <v>0.5</v>
      </c>
      <c r="H391" t="n">
        <v>2</v>
      </c>
      <c r="I391" t="inlineStr">
        <is>
          <t>H</t>
        </is>
      </c>
      <c r="J391" t="inlineStr">
        <is>
          <t>STAT</t>
        </is>
      </c>
      <c r="K391" s="33" t="n">
        <v>45749.8875</v>
      </c>
      <c r="L391" s="33" t="n">
        <v>45749.91111111111</v>
      </c>
      <c r="M391" s="34" t="n"/>
    </row>
    <row r="392">
      <c r="A392" t="inlineStr">
        <is>
          <t>LAB732811</t>
        </is>
      </c>
      <c r="B392" t="inlineStr">
        <is>
          <t>ENC113877</t>
        </is>
      </c>
      <c r="C392" t="inlineStr">
        <is>
          <t>HGB</t>
        </is>
      </c>
      <c r="D392" t="inlineStr">
        <is>
          <t>Hemoglobin</t>
        </is>
      </c>
      <c r="E392" t="n">
        <v>16.5</v>
      </c>
      <c r="F392" t="inlineStr">
        <is>
          <t>g/dL</t>
        </is>
      </c>
      <c r="G392" t="n">
        <v>12</v>
      </c>
      <c r="H392" t="n">
        <v>17.5</v>
      </c>
      <c r="I392" t="inlineStr">
        <is>
          <t>N</t>
        </is>
      </c>
      <c r="J392" t="inlineStr">
        <is>
          <t>STAT</t>
        </is>
      </c>
      <c r="K392" s="33" t="n">
        <v>45749.89583333334</v>
      </c>
      <c r="L392" s="33" t="n">
        <v>45749.925</v>
      </c>
      <c r="M392" s="34" t="n"/>
    </row>
    <row r="393">
      <c r="A393" t="inlineStr">
        <is>
          <t>LAB732808</t>
        </is>
      </c>
      <c r="B393" t="inlineStr">
        <is>
          <t>ENC113877</t>
        </is>
      </c>
      <c r="C393" t="inlineStr">
        <is>
          <t>GLU</t>
        </is>
      </c>
      <c r="D393" t="inlineStr">
        <is>
          <t>Glucose</t>
        </is>
      </c>
      <c r="E393" t="n">
        <v>168</v>
      </c>
      <c r="F393" t="inlineStr">
        <is>
          <t>mg/dL</t>
        </is>
      </c>
      <c r="G393" t="n">
        <v>70</v>
      </c>
      <c r="H393" t="n">
        <v>99</v>
      </c>
      <c r="I393" t="inlineStr">
        <is>
          <t>H</t>
        </is>
      </c>
      <c r="J393" t="inlineStr">
        <is>
          <t>STAT</t>
        </is>
      </c>
      <c r="K393" s="33" t="n">
        <v>45749.91388888889</v>
      </c>
      <c r="L393" s="33" t="n">
        <v>45749.95694444444</v>
      </c>
      <c r="M393" s="34" t="n"/>
    </row>
    <row r="394">
      <c r="A394" t="inlineStr">
        <is>
          <t>LAB732810</t>
        </is>
      </c>
      <c r="B394" t="inlineStr">
        <is>
          <t>ENC113877</t>
        </is>
      </c>
      <c r="C394" t="inlineStr">
        <is>
          <t>WBC</t>
        </is>
      </c>
      <c r="D394" t="inlineStr">
        <is>
          <t>White Blood Cell Count</t>
        </is>
      </c>
      <c r="E394" t="n">
        <v>11.2</v>
      </c>
      <c r="F394" t="inlineStr">
        <is>
          <t>K/uL</t>
        </is>
      </c>
      <c r="G394" t="n">
        <v>4.5</v>
      </c>
      <c r="H394" t="n">
        <v>11</v>
      </c>
      <c r="I394" t="inlineStr">
        <is>
          <t>H</t>
        </is>
      </c>
      <c r="J394" t="inlineStr">
        <is>
          <t>STAT</t>
        </is>
      </c>
      <c r="K394" s="33" t="n">
        <v>45749.91805555556</v>
      </c>
      <c r="L394" s="33" t="n">
        <v>45749.95763888889</v>
      </c>
      <c r="M394" s="34" t="n"/>
    </row>
    <row r="395">
      <c r="A395" t="inlineStr">
        <is>
          <t>LAB732809</t>
        </is>
      </c>
      <c r="B395" t="inlineStr">
        <is>
          <t>ENC113877</t>
        </is>
      </c>
      <c r="C395" t="inlineStr">
        <is>
          <t>CREAT</t>
        </is>
      </c>
      <c r="D395" t="inlineStr">
        <is>
          <t>Creatinine</t>
        </is>
      </c>
      <c r="E395" t="n">
        <v>1.15</v>
      </c>
      <c r="F395" t="inlineStr">
        <is>
          <t>mg/dL</t>
        </is>
      </c>
      <c r="G395" t="n">
        <v>0.6</v>
      </c>
      <c r="H395" t="n">
        <v>1.3</v>
      </c>
      <c r="I395" t="inlineStr">
        <is>
          <t>N</t>
        </is>
      </c>
      <c r="J395" t="inlineStr">
        <is>
          <t>STAT</t>
        </is>
      </c>
      <c r="K395" s="33" t="n">
        <v>45749.925</v>
      </c>
      <c r="L395" s="33" t="n">
        <v>45749.95972222222</v>
      </c>
      <c r="M395" s="34" t="n"/>
    </row>
    <row r="396">
      <c r="A396" t="inlineStr">
        <is>
          <t>LAB732822</t>
        </is>
      </c>
      <c r="B396" t="inlineStr">
        <is>
          <t>ENC113880</t>
        </is>
      </c>
      <c r="C396" t="inlineStr">
        <is>
          <t>HGB</t>
        </is>
      </c>
      <c r="D396" t="inlineStr">
        <is>
          <t>Hemoglobin</t>
        </is>
      </c>
      <c r="E396" t="n">
        <v>11.3</v>
      </c>
      <c r="F396" t="inlineStr">
        <is>
          <t>g/dL</t>
        </is>
      </c>
      <c r="G396" t="n">
        <v>12</v>
      </c>
      <c r="H396" t="n">
        <v>17.5</v>
      </c>
      <c r="I396" t="inlineStr">
        <is>
          <t>L</t>
        </is>
      </c>
      <c r="J396" t="inlineStr">
        <is>
          <t>STAT</t>
        </is>
      </c>
      <c r="K396" s="33" t="n">
        <v>45750.08888888889</v>
      </c>
      <c r="L396" s="33" t="n">
        <v>45750.10694444444</v>
      </c>
      <c r="M396" s="34" t="n"/>
    </row>
    <row r="397">
      <c r="A397" t="inlineStr">
        <is>
          <t>LAB732823</t>
        </is>
      </c>
      <c r="B397" t="inlineStr">
        <is>
          <t>ENC113880</t>
        </is>
      </c>
      <c r="C397" t="inlineStr">
        <is>
          <t>LACT</t>
        </is>
      </c>
      <c r="D397" t="inlineStr">
        <is>
          <t>Lactate</t>
        </is>
      </c>
      <c r="E397" t="n">
        <v>2.7</v>
      </c>
      <c r="F397" t="inlineStr">
        <is>
          <t>mmol/L</t>
        </is>
      </c>
      <c r="G397" t="n">
        <v>0.5</v>
      </c>
      <c r="H397" t="n">
        <v>2</v>
      </c>
      <c r="I397" t="inlineStr">
        <is>
          <t>H</t>
        </is>
      </c>
      <c r="J397" t="inlineStr">
        <is>
          <t>STAT</t>
        </is>
      </c>
      <c r="K397" s="33" t="n">
        <v>45750.0875</v>
      </c>
      <c r="L397" s="33" t="n">
        <v>45750.1125</v>
      </c>
      <c r="M397" s="34" t="n"/>
    </row>
    <row r="398">
      <c r="A398" t="inlineStr">
        <is>
          <t>LAB732819</t>
        </is>
      </c>
      <c r="B398" t="inlineStr">
        <is>
          <t>ENC113880</t>
        </is>
      </c>
      <c r="C398" t="inlineStr">
        <is>
          <t>GLU</t>
        </is>
      </c>
      <c r="D398" t="inlineStr">
        <is>
          <t>Glucose</t>
        </is>
      </c>
      <c r="E398" t="n">
        <v>103</v>
      </c>
      <c r="F398" t="inlineStr">
        <is>
          <t>mg/dL</t>
        </is>
      </c>
      <c r="G398" t="n">
        <v>70</v>
      </c>
      <c r="H398" t="n">
        <v>99</v>
      </c>
      <c r="I398" t="inlineStr">
        <is>
          <t>H</t>
        </is>
      </c>
      <c r="J398" t="inlineStr">
        <is>
          <t>STAT</t>
        </is>
      </c>
      <c r="K398" s="33" t="n">
        <v>45750.09791666667</v>
      </c>
      <c r="L398" s="33" t="n">
        <v>45750.13263888889</v>
      </c>
      <c r="M398" s="34" t="n"/>
    </row>
    <row r="399">
      <c r="A399" t="inlineStr">
        <is>
          <t>LAB732820</t>
        </is>
      </c>
      <c r="B399" t="inlineStr">
        <is>
          <t>ENC113880</t>
        </is>
      </c>
      <c r="C399" t="inlineStr">
        <is>
          <t>CREAT</t>
        </is>
      </c>
      <c r="D399" t="inlineStr">
        <is>
          <t>Creatinine</t>
        </is>
      </c>
      <c r="E399" t="n">
        <v>1.04</v>
      </c>
      <c r="F399" t="inlineStr">
        <is>
          <t>mg/dL</t>
        </is>
      </c>
      <c r="G399" t="n">
        <v>0.6</v>
      </c>
      <c r="H399" t="n">
        <v>1.3</v>
      </c>
      <c r="I399" t="inlineStr">
        <is>
          <t>N</t>
        </is>
      </c>
      <c r="J399" t="inlineStr">
        <is>
          <t>STAT</t>
        </is>
      </c>
      <c r="K399" s="33" t="n">
        <v>45750.10208333333</v>
      </c>
      <c r="L399" s="33" t="n">
        <v>45750.14375</v>
      </c>
      <c r="M399" s="34" t="n"/>
    </row>
    <row r="400">
      <c r="A400" t="inlineStr">
        <is>
          <t>LAB732821</t>
        </is>
      </c>
      <c r="B400" t="inlineStr">
        <is>
          <t>ENC113880</t>
        </is>
      </c>
      <c r="C400" t="inlineStr">
        <is>
          <t>WBC</t>
        </is>
      </c>
      <c r="D400" t="inlineStr">
        <is>
          <t>White Blood Cell Count</t>
        </is>
      </c>
      <c r="E400" t="n">
        <v>6.2</v>
      </c>
      <c r="F400" t="inlineStr">
        <is>
          <t>K/uL</t>
        </is>
      </c>
      <c r="G400" t="n">
        <v>4.5</v>
      </c>
      <c r="H400" t="n">
        <v>11</v>
      </c>
      <c r="I400" t="inlineStr">
        <is>
          <t>N</t>
        </is>
      </c>
      <c r="J400" t="inlineStr">
        <is>
          <t>STAT</t>
        </is>
      </c>
      <c r="K400" s="33" t="n">
        <v>45750.1375</v>
      </c>
      <c r="L400" s="33" t="n">
        <v>45750.15763888889</v>
      </c>
      <c r="M400" s="34" t="n"/>
    </row>
    <row r="401">
      <c r="A401" t="inlineStr">
        <is>
          <t>LAB733023</t>
        </is>
      </c>
      <c r="B401" t="inlineStr">
        <is>
          <t>ENC113948</t>
        </is>
      </c>
      <c r="C401" t="inlineStr">
        <is>
          <t>INR</t>
        </is>
      </c>
      <c r="D401" t="inlineStr">
        <is>
          <t>Prothrombin Time INR</t>
        </is>
      </c>
      <c r="E401" t="n">
        <v>1.1</v>
      </c>
      <c r="F401" t="inlineStr">
        <is>
          <t>ratio</t>
        </is>
      </c>
      <c r="G401" t="n">
        <v>0.8</v>
      </c>
      <c r="H401" t="n">
        <v>1.2</v>
      </c>
      <c r="I401" t="inlineStr">
        <is>
          <t>N</t>
        </is>
      </c>
      <c r="J401" t="inlineStr">
        <is>
          <t>STAT</t>
        </is>
      </c>
      <c r="K401" s="33" t="n">
        <v>45752.60763888889</v>
      </c>
      <c r="L401" s="33" t="n">
        <v>45752.64305555556</v>
      </c>
      <c r="M401" s="34" t="n"/>
    </row>
    <row r="402">
      <c r="A402" t="inlineStr">
        <is>
          <t>LAB733019</t>
        </is>
      </c>
      <c r="B402" t="inlineStr">
        <is>
          <t>ENC113948</t>
        </is>
      </c>
      <c r="C402" t="inlineStr">
        <is>
          <t>GLU</t>
        </is>
      </c>
      <c r="D402" t="inlineStr">
        <is>
          <t>Glucose</t>
        </is>
      </c>
      <c r="E402" t="n">
        <v>109</v>
      </c>
      <c r="F402" t="inlineStr">
        <is>
          <t>mg/dL</t>
        </is>
      </c>
      <c r="G402" t="n">
        <v>70</v>
      </c>
      <c r="H402" t="n">
        <v>99</v>
      </c>
      <c r="I402" t="inlineStr">
        <is>
          <t>H</t>
        </is>
      </c>
      <c r="J402" t="inlineStr">
        <is>
          <t>STAT</t>
        </is>
      </c>
      <c r="K402" s="33" t="n">
        <v>45752.63472222222</v>
      </c>
      <c r="L402" s="33" t="n">
        <v>45752.65625</v>
      </c>
      <c r="M402" s="34" t="n"/>
    </row>
    <row r="403">
      <c r="A403" t="inlineStr">
        <is>
          <t>LAB733021</t>
        </is>
      </c>
      <c r="B403" t="inlineStr">
        <is>
          <t>ENC113948</t>
        </is>
      </c>
      <c r="C403" t="inlineStr">
        <is>
          <t>WBC</t>
        </is>
      </c>
      <c r="D403" t="inlineStr">
        <is>
          <t>White Blood Cell Count</t>
        </is>
      </c>
      <c r="E403" t="n">
        <v>6.9</v>
      </c>
      <c r="F403" t="inlineStr">
        <is>
          <t>K/uL</t>
        </is>
      </c>
      <c r="G403" t="n">
        <v>4.5</v>
      </c>
      <c r="H403" t="n">
        <v>11</v>
      </c>
      <c r="I403" t="inlineStr">
        <is>
          <t>N</t>
        </is>
      </c>
      <c r="J403" t="inlineStr">
        <is>
          <t>STAT</t>
        </is>
      </c>
      <c r="K403" s="33" t="n">
        <v>45752.59861111111</v>
      </c>
      <c r="L403" s="33" t="n">
        <v>45752.65972222222</v>
      </c>
      <c r="M403" s="34" t="n"/>
    </row>
    <row r="404">
      <c r="A404" t="inlineStr">
        <is>
          <t>LAB733020</t>
        </is>
      </c>
      <c r="B404" t="inlineStr">
        <is>
          <t>ENC113948</t>
        </is>
      </c>
      <c r="C404" t="inlineStr">
        <is>
          <t>CREAT</t>
        </is>
      </c>
      <c r="D404" t="inlineStr">
        <is>
          <t>Creatinine</t>
        </is>
      </c>
      <c r="E404" t="n">
        <v>1.33</v>
      </c>
      <c r="F404" t="inlineStr">
        <is>
          <t>mg/dL</t>
        </is>
      </c>
      <c r="G404" t="n">
        <v>0.6</v>
      </c>
      <c r="H404" t="n">
        <v>1.3</v>
      </c>
      <c r="I404" t="inlineStr">
        <is>
          <t>H</t>
        </is>
      </c>
      <c r="J404" t="inlineStr">
        <is>
          <t>Routine</t>
        </is>
      </c>
      <c r="K404" s="33" t="n">
        <v>45752.62638888889</v>
      </c>
      <c r="L404" s="33" t="n">
        <v>45752.82291666666</v>
      </c>
      <c r="M404" s="34" t="n"/>
    </row>
    <row r="405">
      <c r="A405" t="inlineStr">
        <is>
          <t>LAB733022</t>
        </is>
      </c>
      <c r="B405" t="inlineStr">
        <is>
          <t>ENC113948</t>
        </is>
      </c>
      <c r="C405" t="inlineStr">
        <is>
          <t>HGB</t>
        </is>
      </c>
      <c r="D405" t="inlineStr">
        <is>
          <t>Hemoglobin</t>
        </is>
      </c>
      <c r="E405" t="n">
        <v>7.1</v>
      </c>
      <c r="F405" t="inlineStr">
        <is>
          <t>g/dL</t>
        </is>
      </c>
      <c r="G405" t="n">
        <v>12</v>
      </c>
      <c r="H405" t="n">
        <v>17.5</v>
      </c>
      <c r="I405" t="inlineStr">
        <is>
          <t>L</t>
        </is>
      </c>
      <c r="J405" t="inlineStr">
        <is>
          <t>Routine</t>
        </is>
      </c>
      <c r="K405" s="33" t="n">
        <v>45752.62430555555</v>
      </c>
      <c r="L405" s="33" t="n">
        <v>45752.85763888889</v>
      </c>
      <c r="M405" s="34" t="n"/>
    </row>
    <row r="406">
      <c r="A406" t="inlineStr">
        <is>
          <t>LAB733233</t>
        </is>
      </c>
      <c r="B406" t="inlineStr">
        <is>
          <t>ENC114028</t>
        </is>
      </c>
      <c r="C406" t="inlineStr">
        <is>
          <t>LACT</t>
        </is>
      </c>
      <c r="D406" t="inlineStr">
        <is>
          <t>Lactate</t>
        </is>
      </c>
      <c r="E406" t="n">
        <v>3.5</v>
      </c>
      <c r="F406" t="inlineStr">
        <is>
          <t>mmol/L</t>
        </is>
      </c>
      <c r="G406" t="n">
        <v>0.5</v>
      </c>
      <c r="H406" t="n">
        <v>2</v>
      </c>
      <c r="I406" t="inlineStr">
        <is>
          <t>H</t>
        </is>
      </c>
      <c r="J406" t="inlineStr">
        <is>
          <t>STAT</t>
        </is>
      </c>
      <c r="K406" s="33" t="n">
        <v>45755.71041666667</v>
      </c>
      <c r="L406" s="33" t="n">
        <v>45755.75277777778</v>
      </c>
      <c r="M406" s="34" t="n"/>
    </row>
    <row r="407">
      <c r="A407" t="inlineStr">
        <is>
          <t>LAB733229</t>
        </is>
      </c>
      <c r="B407" t="inlineStr">
        <is>
          <t>ENC114028</t>
        </is>
      </c>
      <c r="C407" t="inlineStr">
        <is>
          <t>GLU</t>
        </is>
      </c>
      <c r="D407" t="inlineStr">
        <is>
          <t>Glucose</t>
        </is>
      </c>
      <c r="E407" t="n">
        <v>221</v>
      </c>
      <c r="F407" t="inlineStr">
        <is>
          <t>mg/dL</t>
        </is>
      </c>
      <c r="G407" t="n">
        <v>70</v>
      </c>
      <c r="H407" t="n">
        <v>99</v>
      </c>
      <c r="I407" t="inlineStr">
        <is>
          <t>H</t>
        </is>
      </c>
      <c r="J407" t="inlineStr">
        <is>
          <t>STAT</t>
        </is>
      </c>
      <c r="K407" s="33" t="n">
        <v>45755.74236111111</v>
      </c>
      <c r="L407" s="33" t="n">
        <v>45755.76041666666</v>
      </c>
      <c r="M407" s="34" t="n"/>
    </row>
    <row r="408">
      <c r="A408" t="inlineStr">
        <is>
          <t>LAB733230</t>
        </is>
      </c>
      <c r="B408" t="inlineStr">
        <is>
          <t>ENC114028</t>
        </is>
      </c>
      <c r="C408" t="inlineStr">
        <is>
          <t>CREAT</t>
        </is>
      </c>
      <c r="D408" t="inlineStr">
        <is>
          <t>Creatinine</t>
        </is>
      </c>
      <c r="E408" t="n">
        <v>1.63</v>
      </c>
      <c r="F408" t="inlineStr">
        <is>
          <t>mg/dL</t>
        </is>
      </c>
      <c r="G408" t="n">
        <v>0.6</v>
      </c>
      <c r="H408" t="n">
        <v>1.3</v>
      </c>
      <c r="I408" t="inlineStr">
        <is>
          <t>H</t>
        </is>
      </c>
      <c r="J408" t="inlineStr">
        <is>
          <t>STAT</t>
        </is>
      </c>
      <c r="K408" s="33" t="n">
        <v>45755.7375</v>
      </c>
      <c r="L408" s="33" t="n">
        <v>45755.76319444444</v>
      </c>
      <c r="M408" s="34" t="n"/>
    </row>
    <row r="409">
      <c r="A409" t="inlineStr">
        <is>
          <t>LAB733232</t>
        </is>
      </c>
      <c r="B409" t="inlineStr">
        <is>
          <t>ENC114028</t>
        </is>
      </c>
      <c r="C409" t="inlineStr">
        <is>
          <t>HGB</t>
        </is>
      </c>
      <c r="D409" t="inlineStr">
        <is>
          <t>Hemoglobin</t>
        </is>
      </c>
      <c r="E409" t="n">
        <v>11.6</v>
      </c>
      <c r="F409" t="inlineStr">
        <is>
          <t>g/dL</t>
        </is>
      </c>
      <c r="G409" t="n">
        <v>12</v>
      </c>
      <c r="H409" t="n">
        <v>17.5</v>
      </c>
      <c r="I409" t="inlineStr">
        <is>
          <t>L</t>
        </is>
      </c>
      <c r="J409" t="inlineStr">
        <is>
          <t>STAT</t>
        </is>
      </c>
      <c r="K409" s="33" t="n">
        <v>45755.76180555556</v>
      </c>
      <c r="L409" s="33" t="n">
        <v>45755.78541666667</v>
      </c>
      <c r="M409" s="34" t="n"/>
    </row>
    <row r="410">
      <c r="A410" t="inlineStr">
        <is>
          <t>LAB733231</t>
        </is>
      </c>
      <c r="B410" t="inlineStr">
        <is>
          <t>ENC114028</t>
        </is>
      </c>
      <c r="C410" t="inlineStr">
        <is>
          <t>WBC</t>
        </is>
      </c>
      <c r="D410" t="inlineStr">
        <is>
          <t>White Blood Cell Count</t>
        </is>
      </c>
      <c r="E410" t="n">
        <v>21.6</v>
      </c>
      <c r="F410" t="inlineStr">
        <is>
          <t>K/uL</t>
        </is>
      </c>
      <c r="G410" t="n">
        <v>4.5</v>
      </c>
      <c r="H410" t="n">
        <v>11</v>
      </c>
      <c r="I410" t="inlineStr">
        <is>
          <t>H</t>
        </is>
      </c>
      <c r="J410" t="inlineStr">
        <is>
          <t>Routine</t>
        </is>
      </c>
      <c r="K410" s="33" t="n">
        <v>45755.74791666667</v>
      </c>
      <c r="L410" s="33" t="n">
        <v>45755.86180555556</v>
      </c>
      <c r="M410" s="34" t="n"/>
    </row>
    <row r="411">
      <c r="A411" t="inlineStr">
        <is>
          <t>LAB733296</t>
        </is>
      </c>
      <c r="B411" t="inlineStr">
        <is>
          <t>ENC114057</t>
        </is>
      </c>
      <c r="C411" t="inlineStr">
        <is>
          <t>GLU</t>
        </is>
      </c>
      <c r="D411" t="inlineStr">
        <is>
          <t>Glucose</t>
        </is>
      </c>
      <c r="E411" t="n">
        <v>109</v>
      </c>
      <c r="F411" t="inlineStr">
        <is>
          <t>mg/dL</t>
        </is>
      </c>
      <c r="G411" t="n">
        <v>70</v>
      </c>
      <c r="H411" t="n">
        <v>99</v>
      </c>
      <c r="I411" t="inlineStr">
        <is>
          <t>H</t>
        </is>
      </c>
      <c r="J411" t="inlineStr">
        <is>
          <t>STAT</t>
        </is>
      </c>
      <c r="K411" s="33" t="n">
        <v>45756.76180555556</v>
      </c>
      <c r="L411" s="33" t="n">
        <v>45756.79444444444</v>
      </c>
      <c r="M411" s="34" t="n"/>
    </row>
    <row r="412">
      <c r="A412" t="inlineStr">
        <is>
          <t>LAB733304</t>
        </is>
      </c>
      <c r="B412" t="inlineStr">
        <is>
          <t>ENC114057</t>
        </is>
      </c>
      <c r="C412" t="inlineStr">
        <is>
          <t>LACT</t>
        </is>
      </c>
      <c r="D412" t="inlineStr">
        <is>
          <t>Lactate</t>
        </is>
      </c>
      <c r="E412" t="n">
        <v>2.5</v>
      </c>
      <c r="F412" t="inlineStr">
        <is>
          <t>mmol/L</t>
        </is>
      </c>
      <c r="G412" t="n">
        <v>0.5</v>
      </c>
      <c r="H412" t="n">
        <v>2</v>
      </c>
      <c r="I412" t="inlineStr">
        <is>
          <t>H</t>
        </is>
      </c>
      <c r="J412" t="inlineStr">
        <is>
          <t>STAT</t>
        </is>
      </c>
      <c r="K412" s="33" t="n">
        <v>45756.75555555556</v>
      </c>
      <c r="L412" s="33" t="n">
        <v>45756.8</v>
      </c>
      <c r="M412" s="34" t="n"/>
    </row>
    <row r="413">
      <c r="A413" t="inlineStr">
        <is>
          <t>LAB733302</t>
        </is>
      </c>
      <c r="B413" t="inlineStr">
        <is>
          <t>ENC114057</t>
        </is>
      </c>
      <c r="C413" t="inlineStr">
        <is>
          <t>BUN</t>
        </is>
      </c>
      <c r="D413" t="inlineStr">
        <is>
          <t>Blood Urea Nitrogen</t>
        </is>
      </c>
      <c r="E413" t="n">
        <v>14</v>
      </c>
      <c r="F413" t="inlineStr">
        <is>
          <t>mg/dL</t>
        </is>
      </c>
      <c r="G413" t="n">
        <v>7</v>
      </c>
      <c r="H413" t="n">
        <v>20</v>
      </c>
      <c r="I413" t="inlineStr">
        <is>
          <t>N</t>
        </is>
      </c>
      <c r="J413" t="inlineStr">
        <is>
          <t>STAT</t>
        </is>
      </c>
      <c r="K413" s="33" t="n">
        <v>45756.77083333334</v>
      </c>
      <c r="L413" s="33" t="n">
        <v>45756.80069444444</v>
      </c>
      <c r="M413" s="34" t="n"/>
    </row>
    <row r="414">
      <c r="A414" t="inlineStr">
        <is>
          <t>LAB733298</t>
        </is>
      </c>
      <c r="B414" t="inlineStr">
        <is>
          <t>ENC114057</t>
        </is>
      </c>
      <c r="C414" t="inlineStr">
        <is>
          <t>WBC</t>
        </is>
      </c>
      <c r="D414" t="inlineStr">
        <is>
          <t>White Blood Cell Count</t>
        </is>
      </c>
      <c r="E414" t="n">
        <v>8.199999999999999</v>
      </c>
      <c r="F414" t="inlineStr">
        <is>
          <t>K/uL</t>
        </is>
      </c>
      <c r="G414" t="n">
        <v>4.5</v>
      </c>
      <c r="H414" t="n">
        <v>11</v>
      </c>
      <c r="I414" t="inlineStr">
        <is>
          <t>N</t>
        </is>
      </c>
      <c r="J414" t="inlineStr">
        <is>
          <t>STAT</t>
        </is>
      </c>
      <c r="K414" s="33" t="n">
        <v>45756.76666666667</v>
      </c>
      <c r="L414" s="33" t="n">
        <v>45756.80277777778</v>
      </c>
      <c r="M414" s="34" t="n"/>
    </row>
    <row r="415">
      <c r="A415" t="inlineStr">
        <is>
          <t>LAB733301</t>
        </is>
      </c>
      <c r="B415" t="inlineStr">
        <is>
          <t>ENC114057</t>
        </is>
      </c>
      <c r="C415" t="inlineStr">
        <is>
          <t>K</t>
        </is>
      </c>
      <c r="D415" t="inlineStr">
        <is>
          <t>Potassium</t>
        </is>
      </c>
      <c r="E415" t="n">
        <v>3.9</v>
      </c>
      <c r="F415" t="inlineStr">
        <is>
          <t>mmol/L</t>
        </is>
      </c>
      <c r="G415" t="n">
        <v>3.5</v>
      </c>
      <c r="H415" t="n">
        <v>5.1</v>
      </c>
      <c r="I415" t="inlineStr">
        <is>
          <t>N</t>
        </is>
      </c>
      <c r="J415" t="inlineStr">
        <is>
          <t>STAT</t>
        </is>
      </c>
      <c r="K415" s="33" t="n">
        <v>45756.7625</v>
      </c>
      <c r="L415" s="33" t="n">
        <v>45756.81111111111</v>
      </c>
      <c r="M415" s="34" t="n"/>
    </row>
    <row r="416">
      <c r="A416" t="inlineStr">
        <is>
          <t>LAB733299</t>
        </is>
      </c>
      <c r="B416" t="inlineStr">
        <is>
          <t>ENC114057</t>
        </is>
      </c>
      <c r="C416" t="inlineStr">
        <is>
          <t>HGB</t>
        </is>
      </c>
      <c r="D416" t="inlineStr">
        <is>
          <t>Hemoglobin</t>
        </is>
      </c>
      <c r="E416" t="n">
        <v>14.1</v>
      </c>
      <c r="F416" t="inlineStr">
        <is>
          <t>g/dL</t>
        </is>
      </c>
      <c r="G416" t="n">
        <v>12</v>
      </c>
      <c r="H416" t="n">
        <v>17.5</v>
      </c>
      <c r="I416" t="inlineStr">
        <is>
          <t>N</t>
        </is>
      </c>
      <c r="J416" t="inlineStr">
        <is>
          <t>STAT</t>
        </is>
      </c>
      <c r="K416" s="33" t="n">
        <v>45756.76666666667</v>
      </c>
      <c r="L416" s="33" t="n">
        <v>45756.82291666666</v>
      </c>
      <c r="M416" s="34" t="n"/>
    </row>
    <row r="417">
      <c r="A417" t="inlineStr">
        <is>
          <t>LAB733303</t>
        </is>
      </c>
      <c r="B417" t="inlineStr">
        <is>
          <t>ENC114057</t>
        </is>
      </c>
      <c r="C417" t="inlineStr">
        <is>
          <t>PLT</t>
        </is>
      </c>
      <c r="D417" t="inlineStr">
        <is>
          <t>Platelet Count</t>
        </is>
      </c>
      <c r="E417" t="n">
        <v>313</v>
      </c>
      <c r="F417" t="inlineStr">
        <is>
          <t>K/uL</t>
        </is>
      </c>
      <c r="G417" t="n">
        <v>150</v>
      </c>
      <c r="H417" t="n">
        <v>400</v>
      </c>
      <c r="I417" t="inlineStr">
        <is>
          <t>N</t>
        </is>
      </c>
      <c r="J417" t="inlineStr">
        <is>
          <t>STAT</t>
        </is>
      </c>
      <c r="K417" s="33" t="n">
        <v>45756.77291666667</v>
      </c>
      <c r="L417" s="33" t="n">
        <v>45756.82847222222</v>
      </c>
      <c r="M417" s="34" t="n"/>
    </row>
    <row r="418">
      <c r="A418" t="inlineStr">
        <is>
          <t>LAB733300</t>
        </is>
      </c>
      <c r="B418" t="inlineStr">
        <is>
          <t>ENC114057</t>
        </is>
      </c>
      <c r="C418" t="inlineStr">
        <is>
          <t>NA</t>
        </is>
      </c>
      <c r="D418" t="inlineStr">
        <is>
          <t>Sodium</t>
        </is>
      </c>
      <c r="E418" t="n">
        <v>139</v>
      </c>
      <c r="F418" t="inlineStr">
        <is>
          <t>mmol/L</t>
        </is>
      </c>
      <c r="G418" t="n">
        <v>136</v>
      </c>
      <c r="H418" t="n">
        <v>145</v>
      </c>
      <c r="I418" t="inlineStr">
        <is>
          <t>N</t>
        </is>
      </c>
      <c r="J418" t="inlineStr">
        <is>
          <t>Routine</t>
        </is>
      </c>
      <c r="K418" s="33" t="n">
        <v>45756.77638888889</v>
      </c>
      <c r="L418" s="33" t="n">
        <v>45756.90763888889</v>
      </c>
      <c r="M418" s="34" t="n"/>
    </row>
    <row r="419">
      <c r="A419" t="inlineStr">
        <is>
          <t>LAB733297</t>
        </is>
      </c>
      <c r="B419" t="inlineStr">
        <is>
          <t>ENC114057</t>
        </is>
      </c>
      <c r="C419" t="inlineStr">
        <is>
          <t>CREAT</t>
        </is>
      </c>
      <c r="D419" t="inlineStr">
        <is>
          <t>Creatinine</t>
        </is>
      </c>
      <c r="E419" t="n">
        <v>0.4</v>
      </c>
      <c r="F419" t="inlineStr">
        <is>
          <t>mg/dL</t>
        </is>
      </c>
      <c r="G419" t="n">
        <v>0.6</v>
      </c>
      <c r="H419" t="n">
        <v>1.3</v>
      </c>
      <c r="I419" t="inlineStr">
        <is>
          <t>L</t>
        </is>
      </c>
      <c r="J419" t="inlineStr">
        <is>
          <t>Routine</t>
        </is>
      </c>
      <c r="K419" s="33" t="n">
        <v>45756.7875</v>
      </c>
      <c r="L419" s="33" t="n">
        <v>45757.00069444445</v>
      </c>
      <c r="M419" s="34" t="n"/>
    </row>
    <row r="420">
      <c r="A420" t="inlineStr">
        <is>
          <t>LAB733326</t>
        </is>
      </c>
      <c r="B420" t="inlineStr">
        <is>
          <t>ENC114065</t>
        </is>
      </c>
      <c r="C420" t="inlineStr">
        <is>
          <t>CREAT</t>
        </is>
      </c>
      <c r="D420" t="inlineStr">
        <is>
          <t>Creatinine</t>
        </is>
      </c>
      <c r="E420" t="n">
        <v>0.55</v>
      </c>
      <c r="F420" t="inlineStr">
        <is>
          <t>mg/dL</t>
        </is>
      </c>
      <c r="G420" t="n">
        <v>0.6</v>
      </c>
      <c r="H420" t="n">
        <v>1.3</v>
      </c>
      <c r="I420" t="inlineStr">
        <is>
          <t>L</t>
        </is>
      </c>
      <c r="J420" t="inlineStr">
        <is>
          <t>STAT</t>
        </is>
      </c>
      <c r="K420" s="33" t="n">
        <v>45757.53541666667</v>
      </c>
      <c r="L420" s="33" t="n">
        <v>45757.55972222222</v>
      </c>
      <c r="M420" s="34" t="n"/>
    </row>
    <row r="421">
      <c r="A421" t="inlineStr">
        <is>
          <t>LAB733328</t>
        </is>
      </c>
      <c r="B421" t="inlineStr">
        <is>
          <t>ENC114065</t>
        </is>
      </c>
      <c r="C421" t="inlineStr">
        <is>
          <t>HGB</t>
        </is>
      </c>
      <c r="D421" t="inlineStr">
        <is>
          <t>Hemoglobin</t>
        </is>
      </c>
      <c r="E421" t="n">
        <v>14.8</v>
      </c>
      <c r="F421" t="inlineStr">
        <is>
          <t>g/dL</t>
        </is>
      </c>
      <c r="G421" t="n">
        <v>12</v>
      </c>
      <c r="H421" t="n">
        <v>17.5</v>
      </c>
      <c r="I421" t="inlineStr">
        <is>
          <t>N</t>
        </is>
      </c>
      <c r="J421" t="inlineStr">
        <is>
          <t>STAT</t>
        </is>
      </c>
      <c r="K421" s="33" t="n">
        <v>45757.53125</v>
      </c>
      <c r="L421" s="33" t="n">
        <v>45757.56666666667</v>
      </c>
      <c r="M421" s="34" t="n"/>
    </row>
    <row r="422">
      <c r="A422" t="inlineStr">
        <is>
          <t>LAB733325</t>
        </is>
      </c>
      <c r="B422" t="inlineStr">
        <is>
          <t>ENC114065</t>
        </is>
      </c>
      <c r="C422" t="inlineStr">
        <is>
          <t>GLU</t>
        </is>
      </c>
      <c r="D422" t="inlineStr">
        <is>
          <t>Glucose</t>
        </is>
      </c>
      <c r="E422" t="n">
        <v>131</v>
      </c>
      <c r="F422" t="inlineStr">
        <is>
          <t>mg/dL</t>
        </is>
      </c>
      <c r="G422" t="n">
        <v>70</v>
      </c>
      <c r="H422" t="n">
        <v>99</v>
      </c>
      <c r="I422" t="inlineStr">
        <is>
          <t>H</t>
        </is>
      </c>
      <c r="J422" t="inlineStr">
        <is>
          <t>Routine</t>
        </is>
      </c>
      <c r="K422" s="33" t="n">
        <v>45757.53194444445</v>
      </c>
      <c r="L422" s="33" t="n">
        <v>45757.61736111111</v>
      </c>
      <c r="M422" s="34" t="n"/>
    </row>
    <row r="423">
      <c r="A423" t="inlineStr">
        <is>
          <t>LAB733329</t>
        </is>
      </c>
      <c r="B423" t="inlineStr">
        <is>
          <t>ENC114065</t>
        </is>
      </c>
      <c r="C423" t="inlineStr">
        <is>
          <t>LACT</t>
        </is>
      </c>
      <c r="D423" t="inlineStr">
        <is>
          <t>Lactate</t>
        </is>
      </c>
      <c r="E423" t="n">
        <v>2.8</v>
      </c>
      <c r="F423" t="inlineStr">
        <is>
          <t>mmol/L</t>
        </is>
      </c>
      <c r="G423" t="n">
        <v>0.5</v>
      </c>
      <c r="H423" t="n">
        <v>2</v>
      </c>
      <c r="I423" t="inlineStr">
        <is>
          <t>H</t>
        </is>
      </c>
      <c r="J423" t="inlineStr">
        <is>
          <t>STAT</t>
        </is>
      </c>
      <c r="K423" s="33" t="n">
        <v>45757.56319444445</v>
      </c>
      <c r="L423" s="33" t="n">
        <v>45757.70138888889</v>
      </c>
      <c r="M423" s="34" t="n"/>
    </row>
    <row r="424">
      <c r="A424" t="inlineStr">
        <is>
          <t>LAB733327</t>
        </is>
      </c>
      <c r="B424" t="inlineStr">
        <is>
          <t>ENC114065</t>
        </is>
      </c>
      <c r="C424" t="inlineStr">
        <is>
          <t>WBC</t>
        </is>
      </c>
      <c r="D424" t="inlineStr">
        <is>
          <t>White Blood Cell Count</t>
        </is>
      </c>
      <c r="E424" t="n">
        <v>20.8</v>
      </c>
      <c r="F424" t="inlineStr">
        <is>
          <t>K/uL</t>
        </is>
      </c>
      <c r="G424" t="n">
        <v>4.5</v>
      </c>
      <c r="H424" t="n">
        <v>11</v>
      </c>
      <c r="I424" t="inlineStr">
        <is>
          <t>H</t>
        </is>
      </c>
      <c r="J424" t="inlineStr">
        <is>
          <t>Routine</t>
        </is>
      </c>
      <c r="K424" s="33" t="n">
        <v>45757.53263888889</v>
      </c>
      <c r="L424" s="33" t="n">
        <v>45757.83958333333</v>
      </c>
      <c r="M424" s="34" t="n"/>
    </row>
    <row r="425">
      <c r="A425" t="inlineStr">
        <is>
          <t>LAB733502</t>
        </is>
      </c>
      <c r="B425" t="inlineStr">
        <is>
          <t>ENC114148</t>
        </is>
      </c>
      <c r="C425" t="inlineStr">
        <is>
          <t>WBC</t>
        </is>
      </c>
      <c r="D425" t="inlineStr">
        <is>
          <t>White Blood Cell Count</t>
        </is>
      </c>
      <c r="E425" t="n">
        <v>9</v>
      </c>
      <c r="F425" t="inlineStr">
        <is>
          <t>K/uL</t>
        </is>
      </c>
      <c r="G425" t="n">
        <v>4.5</v>
      </c>
      <c r="H425" t="n">
        <v>11</v>
      </c>
      <c r="I425" t="inlineStr">
        <is>
          <t>N</t>
        </is>
      </c>
      <c r="J425" t="inlineStr">
        <is>
          <t>STAT</t>
        </is>
      </c>
      <c r="K425" s="33" t="n">
        <v>45760.48680555556</v>
      </c>
      <c r="L425" s="33" t="n">
        <v>45760.51111111111</v>
      </c>
      <c r="M425" s="34" t="n"/>
    </row>
    <row r="426">
      <c r="A426" t="inlineStr">
        <is>
          <t>LAB733504</t>
        </is>
      </c>
      <c r="B426" t="inlineStr">
        <is>
          <t>ENC114148</t>
        </is>
      </c>
      <c r="C426" t="inlineStr">
        <is>
          <t>LACT</t>
        </is>
      </c>
      <c r="D426" t="inlineStr">
        <is>
          <t>Lactate</t>
        </is>
      </c>
      <c r="E426" t="n">
        <v>3.2</v>
      </c>
      <c r="F426" t="inlineStr">
        <is>
          <t>mmol/L</t>
        </is>
      </c>
      <c r="G426" t="n">
        <v>0.5</v>
      </c>
      <c r="H426" t="n">
        <v>2</v>
      </c>
      <c r="I426" t="inlineStr">
        <is>
          <t>H</t>
        </is>
      </c>
      <c r="J426" t="inlineStr">
        <is>
          <t>STAT</t>
        </is>
      </c>
      <c r="K426" s="33" t="n">
        <v>45760.51180555556</v>
      </c>
      <c r="L426" s="33" t="n">
        <v>45760.53541666667</v>
      </c>
      <c r="M426" s="34" t="n"/>
    </row>
    <row r="427">
      <c r="A427" t="inlineStr">
        <is>
          <t>LAB733503</t>
        </is>
      </c>
      <c r="B427" t="inlineStr">
        <is>
          <t>ENC114148</t>
        </is>
      </c>
      <c r="C427" t="inlineStr">
        <is>
          <t>HGB</t>
        </is>
      </c>
      <c r="D427" t="inlineStr">
        <is>
          <t>Hemoglobin</t>
        </is>
      </c>
      <c r="E427" t="n">
        <v>13.5</v>
      </c>
      <c r="F427" t="inlineStr">
        <is>
          <t>g/dL</t>
        </is>
      </c>
      <c r="G427" t="n">
        <v>12</v>
      </c>
      <c r="H427" t="n">
        <v>17.5</v>
      </c>
      <c r="I427" t="inlineStr">
        <is>
          <t>N</t>
        </is>
      </c>
      <c r="J427" t="inlineStr">
        <is>
          <t>STAT</t>
        </is>
      </c>
      <c r="K427" s="33" t="n">
        <v>45760.52361111111</v>
      </c>
      <c r="L427" s="33" t="n">
        <v>45760.56597222222</v>
      </c>
      <c r="M427" s="34" t="n"/>
    </row>
    <row r="428">
      <c r="A428" t="inlineStr">
        <is>
          <t>LAB733500</t>
        </is>
      </c>
      <c r="B428" t="inlineStr">
        <is>
          <t>ENC114148</t>
        </is>
      </c>
      <c r="C428" t="inlineStr">
        <is>
          <t>GLU</t>
        </is>
      </c>
      <c r="D428" t="inlineStr">
        <is>
          <t>Glucose</t>
        </is>
      </c>
      <c r="E428" t="n">
        <v>159</v>
      </c>
      <c r="F428" t="inlineStr">
        <is>
          <t>mg/dL</t>
        </is>
      </c>
      <c r="G428" t="n">
        <v>70</v>
      </c>
      <c r="H428" t="n">
        <v>99</v>
      </c>
      <c r="I428" t="inlineStr">
        <is>
          <t>H</t>
        </is>
      </c>
      <c r="J428" t="inlineStr">
        <is>
          <t>STAT</t>
        </is>
      </c>
      <c r="K428" s="33" t="n">
        <v>45760.54097222222</v>
      </c>
      <c r="L428" s="33" t="n">
        <v>45760.57916666667</v>
      </c>
      <c r="M428" s="34" t="n"/>
    </row>
    <row r="429">
      <c r="A429" t="inlineStr">
        <is>
          <t>LAB733501</t>
        </is>
      </c>
      <c r="B429" t="inlineStr">
        <is>
          <t>ENC114148</t>
        </is>
      </c>
      <c r="C429" t="inlineStr">
        <is>
          <t>CREAT</t>
        </is>
      </c>
      <c r="D429" t="inlineStr">
        <is>
          <t>Creatinine</t>
        </is>
      </c>
      <c r="E429" t="n">
        <v>1.05</v>
      </c>
      <c r="F429" t="inlineStr">
        <is>
          <t>mg/dL</t>
        </is>
      </c>
      <c r="G429" t="n">
        <v>0.6</v>
      </c>
      <c r="H429" t="n">
        <v>1.3</v>
      </c>
      <c r="I429" t="inlineStr">
        <is>
          <t>N</t>
        </is>
      </c>
      <c r="J429" t="inlineStr">
        <is>
          <t>Routine</t>
        </is>
      </c>
      <c r="K429" s="33" t="n">
        <v>45760.52152777778</v>
      </c>
      <c r="L429" s="33" t="n">
        <v>45760.58541666667</v>
      </c>
      <c r="M429" s="34" t="n"/>
    </row>
    <row r="430">
      <c r="A430" t="inlineStr">
        <is>
          <t>LAB733529</t>
        </is>
      </c>
      <c r="B430" t="inlineStr">
        <is>
          <t>ENC114156</t>
        </is>
      </c>
      <c r="C430" t="inlineStr">
        <is>
          <t>HGB</t>
        </is>
      </c>
      <c r="D430" t="inlineStr">
        <is>
          <t>Hemoglobin</t>
        </is>
      </c>
      <c r="E430" t="n">
        <v>8</v>
      </c>
      <c r="F430" t="inlineStr">
        <is>
          <t>g/dL</t>
        </is>
      </c>
      <c r="G430" t="n">
        <v>12</v>
      </c>
      <c r="H430" t="n">
        <v>17.5</v>
      </c>
      <c r="I430" t="inlineStr">
        <is>
          <t>L</t>
        </is>
      </c>
      <c r="J430" t="inlineStr">
        <is>
          <t>STAT</t>
        </is>
      </c>
      <c r="K430" s="33" t="n">
        <v>45760.80069444444</v>
      </c>
      <c r="L430" s="33" t="n">
        <v>45760.81875</v>
      </c>
      <c r="M430" s="34" t="n"/>
    </row>
    <row r="431">
      <c r="A431" t="inlineStr">
        <is>
          <t>LAB733532</t>
        </is>
      </c>
      <c r="B431" t="inlineStr">
        <is>
          <t>ENC114156</t>
        </is>
      </c>
      <c r="C431" t="inlineStr">
        <is>
          <t>LACT</t>
        </is>
      </c>
      <c r="D431" t="inlineStr">
        <is>
          <t>Lactate</t>
        </is>
      </c>
      <c r="E431" t="n">
        <v>2.7</v>
      </c>
      <c r="F431" t="inlineStr">
        <is>
          <t>mmol/L</t>
        </is>
      </c>
      <c r="G431" t="n">
        <v>0.5</v>
      </c>
      <c r="H431" t="n">
        <v>2</v>
      </c>
      <c r="I431" t="inlineStr">
        <is>
          <t>H</t>
        </is>
      </c>
      <c r="J431" t="inlineStr">
        <is>
          <t>STAT</t>
        </is>
      </c>
      <c r="K431" s="33" t="n">
        <v>45760.83055555556</v>
      </c>
      <c r="L431" s="33" t="n">
        <v>45760.85555555556</v>
      </c>
      <c r="M431" s="34" t="n"/>
    </row>
    <row r="432">
      <c r="A432" t="inlineStr">
        <is>
          <t>LAB733530</t>
        </is>
      </c>
      <c r="B432" t="inlineStr">
        <is>
          <t>ENC114156</t>
        </is>
      </c>
      <c r="C432" t="inlineStr">
        <is>
          <t>NA</t>
        </is>
      </c>
      <c r="D432" t="inlineStr">
        <is>
          <t>Sodium</t>
        </is>
      </c>
      <c r="E432" t="n">
        <v>139</v>
      </c>
      <c r="F432" t="inlineStr">
        <is>
          <t>mmol/L</t>
        </is>
      </c>
      <c r="G432" t="n">
        <v>136</v>
      </c>
      <c r="H432" t="n">
        <v>145</v>
      </c>
      <c r="I432" t="inlineStr">
        <is>
          <t>N</t>
        </is>
      </c>
      <c r="J432" t="inlineStr">
        <is>
          <t>STAT</t>
        </is>
      </c>
      <c r="K432" s="33" t="n">
        <v>45760.81041666667</v>
      </c>
      <c r="L432" s="33" t="n">
        <v>45760.8625</v>
      </c>
      <c r="M432" s="34" t="n"/>
    </row>
    <row r="433">
      <c r="A433" t="inlineStr">
        <is>
          <t>LAB733533</t>
        </is>
      </c>
      <c r="B433" t="inlineStr">
        <is>
          <t>ENC114156</t>
        </is>
      </c>
      <c r="C433" t="inlineStr">
        <is>
          <t>INR</t>
        </is>
      </c>
      <c r="D433" t="inlineStr">
        <is>
          <t>Prothrombin Time INR</t>
        </is>
      </c>
      <c r="E433" t="n">
        <v>1</v>
      </c>
      <c r="F433" t="inlineStr">
        <is>
          <t>ratio</t>
        </is>
      </c>
      <c r="G433" t="n">
        <v>0.8</v>
      </c>
      <c r="H433" t="n">
        <v>1.2</v>
      </c>
      <c r="I433" t="inlineStr">
        <is>
          <t>N</t>
        </is>
      </c>
      <c r="J433" t="inlineStr">
        <is>
          <t>STAT</t>
        </is>
      </c>
      <c r="K433" s="33" t="n">
        <v>45760.82013888889</v>
      </c>
      <c r="L433" s="33" t="n">
        <v>45760.86319444444</v>
      </c>
      <c r="M433" s="34" t="n"/>
    </row>
    <row r="434">
      <c r="A434" t="inlineStr">
        <is>
          <t>LAB733527</t>
        </is>
      </c>
      <c r="B434" t="inlineStr">
        <is>
          <t>ENC114156</t>
        </is>
      </c>
      <c r="C434" t="inlineStr">
        <is>
          <t>CREAT</t>
        </is>
      </c>
      <c r="D434" t="inlineStr">
        <is>
          <t>Creatinine</t>
        </is>
      </c>
      <c r="E434" t="n">
        <v>1.02</v>
      </c>
      <c r="F434" t="inlineStr">
        <is>
          <t>mg/dL</t>
        </is>
      </c>
      <c r="G434" t="n">
        <v>0.6</v>
      </c>
      <c r="H434" t="n">
        <v>1.3</v>
      </c>
      <c r="I434" t="inlineStr">
        <is>
          <t>N</t>
        </is>
      </c>
      <c r="J434" t="inlineStr">
        <is>
          <t>Routine</t>
        </is>
      </c>
      <c r="K434" s="33" t="n">
        <v>45760.80416666667</v>
      </c>
      <c r="L434" s="33" t="n">
        <v>45760.86527777778</v>
      </c>
      <c r="M434" s="34" t="n"/>
    </row>
    <row r="435">
      <c r="A435" t="inlineStr">
        <is>
          <t>LAB733526</t>
        </is>
      </c>
      <c r="B435" t="inlineStr">
        <is>
          <t>ENC114156</t>
        </is>
      </c>
      <c r="C435" t="inlineStr">
        <is>
          <t>GLU</t>
        </is>
      </c>
      <c r="D435" t="inlineStr">
        <is>
          <t>Glucose</t>
        </is>
      </c>
      <c r="E435" t="n">
        <v>184</v>
      </c>
      <c r="F435" t="inlineStr">
        <is>
          <t>mg/dL</t>
        </is>
      </c>
      <c r="G435" t="n">
        <v>70</v>
      </c>
      <c r="H435" t="n">
        <v>99</v>
      </c>
      <c r="I435" t="inlineStr">
        <is>
          <t>H</t>
        </is>
      </c>
      <c r="J435" t="inlineStr">
        <is>
          <t>STAT</t>
        </is>
      </c>
      <c r="K435" s="33" t="n">
        <v>45760.84097222222</v>
      </c>
      <c r="L435" s="33" t="n">
        <v>45760.87291666667</v>
      </c>
      <c r="M435" s="34" t="n"/>
    </row>
    <row r="436">
      <c r="A436" t="inlineStr">
        <is>
          <t>LAB733531</t>
        </is>
      </c>
      <c r="B436" t="inlineStr">
        <is>
          <t>ENC114156</t>
        </is>
      </c>
      <c r="C436" t="inlineStr">
        <is>
          <t>K</t>
        </is>
      </c>
      <c r="D436" t="inlineStr">
        <is>
          <t>Potassium</t>
        </is>
      </c>
      <c r="E436" t="n">
        <v>3.9</v>
      </c>
      <c r="F436" t="inlineStr">
        <is>
          <t>mmol/L</t>
        </is>
      </c>
      <c r="G436" t="n">
        <v>3.5</v>
      </c>
      <c r="H436" t="n">
        <v>5.1</v>
      </c>
      <c r="I436" t="inlineStr">
        <is>
          <t>N</t>
        </is>
      </c>
      <c r="J436" t="inlineStr">
        <is>
          <t>STAT</t>
        </is>
      </c>
      <c r="K436" s="33" t="n">
        <v>45760.84027777778</v>
      </c>
      <c r="L436" s="33" t="n">
        <v>45760.87708333333</v>
      </c>
      <c r="M436" s="34" t="n"/>
    </row>
    <row r="437">
      <c r="A437" t="inlineStr">
        <is>
          <t>LAB733528</t>
        </is>
      </c>
      <c r="B437" t="inlineStr">
        <is>
          <t>ENC114156</t>
        </is>
      </c>
      <c r="C437" t="inlineStr">
        <is>
          <t>WBC</t>
        </is>
      </c>
      <c r="D437" t="inlineStr">
        <is>
          <t>White Blood Cell Count</t>
        </is>
      </c>
      <c r="E437" t="n">
        <v>5.6</v>
      </c>
      <c r="F437" t="inlineStr">
        <is>
          <t>K/uL</t>
        </is>
      </c>
      <c r="G437" t="n">
        <v>4.5</v>
      </c>
      <c r="H437" t="n">
        <v>11</v>
      </c>
      <c r="I437" t="inlineStr">
        <is>
          <t>N</t>
        </is>
      </c>
      <c r="J437" t="inlineStr">
        <is>
          <t>Routine</t>
        </is>
      </c>
      <c r="K437" s="33" t="n">
        <v>45760.85208333333</v>
      </c>
      <c r="L437" s="33" t="n">
        <v>45761.15555555555</v>
      </c>
      <c r="M437" s="34" t="n"/>
    </row>
    <row r="438">
      <c r="A438" t="inlineStr">
        <is>
          <t>LAB733580</t>
        </is>
      </c>
      <c r="B438" t="inlineStr">
        <is>
          <t>ENC114183</t>
        </is>
      </c>
      <c r="C438" t="inlineStr">
        <is>
          <t>LACT</t>
        </is>
      </c>
      <c r="D438" t="inlineStr">
        <is>
          <t>Lactate</t>
        </is>
      </c>
      <c r="E438" t="n">
        <v>3.5</v>
      </c>
      <c r="F438" t="inlineStr">
        <is>
          <t>mmol/L</t>
        </is>
      </c>
      <c r="G438" t="n">
        <v>0.5</v>
      </c>
      <c r="H438" t="n">
        <v>2</v>
      </c>
      <c r="I438" t="inlineStr">
        <is>
          <t>H</t>
        </is>
      </c>
      <c r="J438" t="inlineStr">
        <is>
          <t>STAT</t>
        </is>
      </c>
      <c r="K438" s="33" t="n">
        <v>45761.67777777778</v>
      </c>
      <c r="L438" s="33" t="n">
        <v>45761.70763888889</v>
      </c>
      <c r="M438" s="34" t="n"/>
    </row>
    <row r="439">
      <c r="A439" t="inlineStr">
        <is>
          <t>LAB733575</t>
        </is>
      </c>
      <c r="B439" t="inlineStr">
        <is>
          <t>ENC114183</t>
        </is>
      </c>
      <c r="C439" t="inlineStr">
        <is>
          <t>HGB</t>
        </is>
      </c>
      <c r="D439" t="inlineStr">
        <is>
          <t>Hemoglobin</t>
        </is>
      </c>
      <c r="E439" t="n">
        <v>14</v>
      </c>
      <c r="F439" t="inlineStr">
        <is>
          <t>g/dL</t>
        </is>
      </c>
      <c r="G439" t="n">
        <v>12</v>
      </c>
      <c r="H439" t="n">
        <v>17.5</v>
      </c>
      <c r="I439" t="inlineStr">
        <is>
          <t>N</t>
        </is>
      </c>
      <c r="J439" t="inlineStr">
        <is>
          <t>STAT</t>
        </is>
      </c>
      <c r="K439" s="33" t="n">
        <v>45761.69027777778</v>
      </c>
      <c r="L439" s="33" t="n">
        <v>45761.70972222222</v>
      </c>
      <c r="M439" s="34" t="n"/>
    </row>
    <row r="440">
      <c r="A440" t="inlineStr">
        <is>
          <t>LAB733574</t>
        </is>
      </c>
      <c r="B440" t="inlineStr">
        <is>
          <t>ENC114183</t>
        </is>
      </c>
      <c r="C440" t="inlineStr">
        <is>
          <t>WBC</t>
        </is>
      </c>
      <c r="D440" t="inlineStr">
        <is>
          <t>White Blood Cell Count</t>
        </is>
      </c>
      <c r="E440" t="n">
        <v>8.300000000000001</v>
      </c>
      <c r="F440" t="inlineStr">
        <is>
          <t>K/uL</t>
        </is>
      </c>
      <c r="G440" t="n">
        <v>4.5</v>
      </c>
      <c r="H440" t="n">
        <v>11</v>
      </c>
      <c r="I440" t="inlineStr">
        <is>
          <t>N</t>
        </is>
      </c>
      <c r="J440" t="inlineStr">
        <is>
          <t>STAT</t>
        </is>
      </c>
      <c r="K440" s="33" t="n">
        <v>45761.70694444444</v>
      </c>
      <c r="L440" s="33" t="n">
        <v>45761.72638888889</v>
      </c>
      <c r="M440" s="34" t="n"/>
    </row>
    <row r="441">
      <c r="A441" t="inlineStr">
        <is>
          <t>LAB733577</t>
        </is>
      </c>
      <c r="B441" t="inlineStr">
        <is>
          <t>ENC114183</t>
        </is>
      </c>
      <c r="C441" t="inlineStr">
        <is>
          <t>K</t>
        </is>
      </c>
      <c r="D441" t="inlineStr">
        <is>
          <t>Potassium</t>
        </is>
      </c>
      <c r="E441" t="n">
        <v>4.3</v>
      </c>
      <c r="F441" t="inlineStr">
        <is>
          <t>mmol/L</t>
        </is>
      </c>
      <c r="G441" t="n">
        <v>3.5</v>
      </c>
      <c r="H441" t="n">
        <v>5.1</v>
      </c>
      <c r="I441" t="inlineStr">
        <is>
          <t>N</t>
        </is>
      </c>
      <c r="J441" t="inlineStr">
        <is>
          <t>STAT</t>
        </is>
      </c>
      <c r="K441" s="33" t="n">
        <v>45761.71041666667</v>
      </c>
      <c r="L441" s="33" t="n">
        <v>45761.72708333333</v>
      </c>
      <c r="M441" s="34" t="n"/>
    </row>
    <row r="442">
      <c r="A442" t="inlineStr">
        <is>
          <t>LAB733573</t>
        </is>
      </c>
      <c r="B442" t="inlineStr">
        <is>
          <t>ENC114183</t>
        </is>
      </c>
      <c r="C442" t="inlineStr">
        <is>
          <t>CREAT</t>
        </is>
      </c>
      <c r="D442" t="inlineStr">
        <is>
          <t>Creatinine</t>
        </is>
      </c>
      <c r="E442" t="n">
        <v>0.55</v>
      </c>
      <c r="F442" t="inlineStr">
        <is>
          <t>mg/dL</t>
        </is>
      </c>
      <c r="G442" t="n">
        <v>0.6</v>
      </c>
      <c r="H442" t="n">
        <v>1.3</v>
      </c>
      <c r="I442" t="inlineStr">
        <is>
          <t>L</t>
        </is>
      </c>
      <c r="J442" t="inlineStr">
        <is>
          <t>STAT</t>
        </is>
      </c>
      <c r="K442" s="33" t="n">
        <v>45761.72708333333</v>
      </c>
      <c r="L442" s="33" t="n">
        <v>45761.74930555555</v>
      </c>
      <c r="M442" s="34" t="n"/>
    </row>
    <row r="443">
      <c r="A443" t="inlineStr">
        <is>
          <t>LAB733576</t>
        </is>
      </c>
      <c r="B443" t="inlineStr">
        <is>
          <t>ENC114183</t>
        </is>
      </c>
      <c r="C443" t="inlineStr">
        <is>
          <t>NA</t>
        </is>
      </c>
      <c r="D443" t="inlineStr">
        <is>
          <t>Sodium</t>
        </is>
      </c>
      <c r="E443" t="n">
        <v>140</v>
      </c>
      <c r="F443" t="inlineStr">
        <is>
          <t>mmol/L</t>
        </is>
      </c>
      <c r="G443" t="n">
        <v>136</v>
      </c>
      <c r="H443" t="n">
        <v>145</v>
      </c>
      <c r="I443" t="inlineStr">
        <is>
          <t>N</t>
        </is>
      </c>
      <c r="J443" t="inlineStr">
        <is>
          <t>STAT</t>
        </is>
      </c>
      <c r="K443" s="33" t="n">
        <v>45761.71180555555</v>
      </c>
      <c r="L443" s="33" t="n">
        <v>45761.76805555556</v>
      </c>
      <c r="M443" s="34" t="n"/>
    </row>
    <row r="444">
      <c r="A444" t="inlineStr">
        <is>
          <t>LAB733578</t>
        </is>
      </c>
      <c r="B444" t="inlineStr">
        <is>
          <t>ENC114183</t>
        </is>
      </c>
      <c r="C444" t="inlineStr">
        <is>
          <t>BUN</t>
        </is>
      </c>
      <c r="D444" t="inlineStr">
        <is>
          <t>Blood Urea Nitrogen</t>
        </is>
      </c>
      <c r="E444" t="n">
        <v>12</v>
      </c>
      <c r="F444" t="inlineStr">
        <is>
          <t>mg/dL</t>
        </is>
      </c>
      <c r="G444" t="n">
        <v>7</v>
      </c>
      <c r="H444" t="n">
        <v>20</v>
      </c>
      <c r="I444" t="inlineStr">
        <is>
          <t>N</t>
        </is>
      </c>
      <c r="J444" t="inlineStr">
        <is>
          <t>Routine</t>
        </is>
      </c>
      <c r="K444" s="33" t="n">
        <v>45761.72222222222</v>
      </c>
      <c r="L444" s="33" t="n">
        <v>45761.77638888889</v>
      </c>
      <c r="M444" s="34" t="n"/>
    </row>
    <row r="445">
      <c r="A445" t="inlineStr">
        <is>
          <t>LAB733572</t>
        </is>
      </c>
      <c r="B445" t="inlineStr">
        <is>
          <t>ENC114183</t>
        </is>
      </c>
      <c r="C445" t="inlineStr">
        <is>
          <t>GLU</t>
        </is>
      </c>
      <c r="D445" t="inlineStr">
        <is>
          <t>Glucose</t>
        </is>
      </c>
      <c r="E445" t="n">
        <v>204</v>
      </c>
      <c r="F445" t="inlineStr">
        <is>
          <t>mg/dL</t>
        </is>
      </c>
      <c r="G445" t="n">
        <v>70</v>
      </c>
      <c r="H445" t="n">
        <v>99</v>
      </c>
      <c r="I445" t="inlineStr">
        <is>
          <t>H</t>
        </is>
      </c>
      <c r="J445" t="inlineStr">
        <is>
          <t>Routine</t>
        </is>
      </c>
      <c r="K445" s="33" t="n">
        <v>45761.72013888889</v>
      </c>
      <c r="L445" s="33" t="n">
        <v>45761.81527777778</v>
      </c>
      <c r="M445" s="34" t="n"/>
    </row>
    <row r="446">
      <c r="A446" t="inlineStr">
        <is>
          <t>LAB733579</t>
        </is>
      </c>
      <c r="B446" t="inlineStr">
        <is>
          <t>ENC114183</t>
        </is>
      </c>
      <c r="C446" t="inlineStr">
        <is>
          <t>PLT</t>
        </is>
      </c>
      <c r="D446" t="inlineStr">
        <is>
          <t>Platelet Count</t>
        </is>
      </c>
      <c r="E446" t="n">
        <v>237</v>
      </c>
      <c r="F446" t="inlineStr">
        <is>
          <t>K/uL</t>
        </is>
      </c>
      <c r="G446" t="n">
        <v>150</v>
      </c>
      <c r="H446" t="n">
        <v>400</v>
      </c>
      <c r="I446" t="inlineStr">
        <is>
          <t>N</t>
        </is>
      </c>
      <c r="J446" t="inlineStr">
        <is>
          <t>Routine</t>
        </is>
      </c>
      <c r="K446" s="33" t="n">
        <v>45761.72291666667</v>
      </c>
      <c r="L446" s="33" t="n">
        <v>45761.82222222222</v>
      </c>
      <c r="M446" s="34" t="n"/>
    </row>
    <row r="447">
      <c r="A447" t="inlineStr">
        <is>
          <t>LAB733715</t>
        </is>
      </c>
      <c r="B447" t="inlineStr">
        <is>
          <t>ENC114244</t>
        </is>
      </c>
      <c r="C447" t="inlineStr">
        <is>
          <t>LACT</t>
        </is>
      </c>
      <c r="D447" t="inlineStr">
        <is>
          <t>Lactate</t>
        </is>
      </c>
      <c r="E447" t="n">
        <v>2.2</v>
      </c>
      <c r="F447" t="inlineStr">
        <is>
          <t>mmol/L</t>
        </is>
      </c>
      <c r="G447" t="n">
        <v>0.5</v>
      </c>
      <c r="H447" t="n">
        <v>2</v>
      </c>
      <c r="I447" t="inlineStr">
        <is>
          <t>H</t>
        </is>
      </c>
      <c r="J447" t="inlineStr">
        <is>
          <t>STAT</t>
        </is>
      </c>
      <c r="K447" s="33" t="n">
        <v>45763.66180555556</v>
      </c>
      <c r="L447" s="33" t="n">
        <v>45763.68333333333</v>
      </c>
      <c r="M447" s="34" t="n"/>
    </row>
    <row r="448">
      <c r="A448" t="inlineStr">
        <is>
          <t>LAB733712</t>
        </is>
      </c>
      <c r="B448" t="inlineStr">
        <is>
          <t>ENC114244</t>
        </is>
      </c>
      <c r="C448" t="inlineStr">
        <is>
          <t>CREAT</t>
        </is>
      </c>
      <c r="D448" t="inlineStr">
        <is>
          <t>Creatinine</t>
        </is>
      </c>
      <c r="E448" t="n">
        <v>0.93</v>
      </c>
      <c r="F448" t="inlineStr">
        <is>
          <t>mg/dL</t>
        </is>
      </c>
      <c r="G448" t="n">
        <v>0.6</v>
      </c>
      <c r="H448" t="n">
        <v>1.3</v>
      </c>
      <c r="I448" t="inlineStr">
        <is>
          <t>N</t>
        </is>
      </c>
      <c r="J448" t="inlineStr">
        <is>
          <t>STAT</t>
        </is>
      </c>
      <c r="K448" s="33" t="n">
        <v>45763.67013888889</v>
      </c>
      <c r="L448" s="33" t="n">
        <v>45763.68888888889</v>
      </c>
      <c r="M448" s="34" t="n"/>
    </row>
    <row r="449">
      <c r="A449" t="inlineStr">
        <is>
          <t>LAB733711</t>
        </is>
      </c>
      <c r="B449" t="inlineStr">
        <is>
          <t>ENC114244</t>
        </is>
      </c>
      <c r="C449" t="inlineStr">
        <is>
          <t>GLU</t>
        </is>
      </c>
      <c r="D449" t="inlineStr">
        <is>
          <t>Glucose</t>
        </is>
      </c>
      <c r="E449" t="n">
        <v>153</v>
      </c>
      <c r="F449" t="inlineStr">
        <is>
          <t>mg/dL</t>
        </is>
      </c>
      <c r="G449" t="n">
        <v>70</v>
      </c>
      <c r="H449" t="n">
        <v>99</v>
      </c>
      <c r="I449" t="inlineStr">
        <is>
          <t>H</t>
        </is>
      </c>
      <c r="J449" t="inlineStr">
        <is>
          <t>STAT</t>
        </is>
      </c>
      <c r="K449" s="33" t="n">
        <v>45763.67152777778</v>
      </c>
      <c r="L449" s="33" t="n">
        <v>45763.7</v>
      </c>
      <c r="M449" s="34" t="n"/>
    </row>
    <row r="450">
      <c r="A450" t="inlineStr">
        <is>
          <t>LAB733713</t>
        </is>
      </c>
      <c r="B450" t="inlineStr">
        <is>
          <t>ENC114244</t>
        </is>
      </c>
      <c r="C450" t="inlineStr">
        <is>
          <t>WBC</t>
        </is>
      </c>
      <c r="D450" t="inlineStr">
        <is>
          <t>White Blood Cell Count</t>
        </is>
      </c>
      <c r="E450" t="n">
        <v>7.7</v>
      </c>
      <c r="F450" t="inlineStr">
        <is>
          <t>K/uL</t>
        </is>
      </c>
      <c r="G450" t="n">
        <v>4.5</v>
      </c>
      <c r="H450" t="n">
        <v>11</v>
      </c>
      <c r="I450" t="inlineStr">
        <is>
          <t>N</t>
        </is>
      </c>
      <c r="J450" t="inlineStr">
        <is>
          <t>STAT</t>
        </is>
      </c>
      <c r="K450" s="33" t="n">
        <v>45763.67708333334</v>
      </c>
      <c r="L450" s="33" t="n">
        <v>45763.70416666667</v>
      </c>
      <c r="M450" s="34" t="n"/>
    </row>
    <row r="451">
      <c r="A451" t="inlineStr">
        <is>
          <t>LAB733714</t>
        </is>
      </c>
      <c r="B451" t="inlineStr">
        <is>
          <t>ENC114244</t>
        </is>
      </c>
      <c r="C451" t="inlineStr">
        <is>
          <t>HGB</t>
        </is>
      </c>
      <c r="D451" t="inlineStr">
        <is>
          <t>Hemoglobin</t>
        </is>
      </c>
      <c r="E451" t="n">
        <v>15.5</v>
      </c>
      <c r="F451" t="inlineStr">
        <is>
          <t>g/dL</t>
        </is>
      </c>
      <c r="G451" t="n">
        <v>12</v>
      </c>
      <c r="H451" t="n">
        <v>17.5</v>
      </c>
      <c r="I451" t="inlineStr">
        <is>
          <t>N</t>
        </is>
      </c>
      <c r="J451" t="inlineStr">
        <is>
          <t>STAT</t>
        </is>
      </c>
      <c r="K451" s="33" t="n">
        <v>45763.70694444444</v>
      </c>
      <c r="L451" s="33" t="n">
        <v>45763.74027777778</v>
      </c>
      <c r="M451" s="34" t="n"/>
    </row>
    <row r="452">
      <c r="A452" t="inlineStr">
        <is>
          <t>LAB733856</t>
        </is>
      </c>
      <c r="B452" t="inlineStr">
        <is>
          <t>ENC114304</t>
        </is>
      </c>
      <c r="C452" t="inlineStr">
        <is>
          <t>LACT</t>
        </is>
      </c>
      <c r="D452" t="inlineStr">
        <is>
          <t>Lactate</t>
        </is>
      </c>
      <c r="E452" t="n">
        <v>2.5</v>
      </c>
      <c r="F452" t="inlineStr">
        <is>
          <t>mmol/L</t>
        </is>
      </c>
      <c r="G452" t="n">
        <v>0.5</v>
      </c>
      <c r="H452" t="n">
        <v>2</v>
      </c>
      <c r="I452" t="inlineStr">
        <is>
          <t>H</t>
        </is>
      </c>
      <c r="J452" t="inlineStr">
        <is>
          <t>STAT</t>
        </is>
      </c>
      <c r="K452" s="33" t="n">
        <v>45765.40972222222</v>
      </c>
      <c r="L452" s="33" t="n">
        <v>45765.43402777778</v>
      </c>
      <c r="M452" s="34" t="n"/>
    </row>
    <row r="453">
      <c r="A453" t="inlineStr">
        <is>
          <t>LAB733853</t>
        </is>
      </c>
      <c r="B453" t="inlineStr">
        <is>
          <t>ENC114304</t>
        </is>
      </c>
      <c r="C453" t="inlineStr">
        <is>
          <t>K</t>
        </is>
      </c>
      <c r="D453" t="inlineStr">
        <is>
          <t>Potassium</t>
        </is>
      </c>
      <c r="E453" t="n">
        <v>4.3</v>
      </c>
      <c r="F453" t="inlineStr">
        <is>
          <t>mmol/L</t>
        </is>
      </c>
      <c r="G453" t="n">
        <v>3.5</v>
      </c>
      <c r="H453" t="n">
        <v>5.1</v>
      </c>
      <c r="I453" t="inlineStr">
        <is>
          <t>N</t>
        </is>
      </c>
      <c r="J453" t="inlineStr">
        <is>
          <t>STAT</t>
        </is>
      </c>
      <c r="K453" s="33" t="n">
        <v>45765.39861111111</v>
      </c>
      <c r="L453" s="33" t="n">
        <v>45765.43472222222</v>
      </c>
      <c r="M453" s="34" t="n"/>
    </row>
    <row r="454">
      <c r="A454" t="inlineStr">
        <is>
          <t>LAB733854</t>
        </is>
      </c>
      <c r="B454" t="inlineStr">
        <is>
          <t>ENC114304</t>
        </is>
      </c>
      <c r="C454" t="inlineStr">
        <is>
          <t>BUN</t>
        </is>
      </c>
      <c r="D454" t="inlineStr">
        <is>
          <t>Blood Urea Nitrogen</t>
        </is>
      </c>
      <c r="E454" t="n">
        <v>17</v>
      </c>
      <c r="F454" t="inlineStr">
        <is>
          <t>mg/dL</t>
        </is>
      </c>
      <c r="G454" t="n">
        <v>7</v>
      </c>
      <c r="H454" t="n">
        <v>20</v>
      </c>
      <c r="I454" t="inlineStr">
        <is>
          <t>N</t>
        </is>
      </c>
      <c r="J454" t="inlineStr">
        <is>
          <t>STAT</t>
        </is>
      </c>
      <c r="K454" s="33" t="n">
        <v>45765.42083333333</v>
      </c>
      <c r="L454" s="33" t="n">
        <v>45765.44166666667</v>
      </c>
      <c r="M454" s="34" t="n"/>
    </row>
    <row r="455">
      <c r="A455" t="inlineStr">
        <is>
          <t>LAB733850</t>
        </is>
      </c>
      <c r="B455" t="inlineStr">
        <is>
          <t>ENC114304</t>
        </is>
      </c>
      <c r="C455" t="inlineStr">
        <is>
          <t>WBC</t>
        </is>
      </c>
      <c r="D455" t="inlineStr">
        <is>
          <t>White Blood Cell Count</t>
        </is>
      </c>
      <c r="E455" t="n">
        <v>2.1</v>
      </c>
      <c r="F455" t="inlineStr">
        <is>
          <t>K/uL</t>
        </is>
      </c>
      <c r="G455" t="n">
        <v>4.5</v>
      </c>
      <c r="H455" t="n">
        <v>11</v>
      </c>
      <c r="I455" t="inlineStr">
        <is>
          <t>L</t>
        </is>
      </c>
      <c r="J455" t="inlineStr">
        <is>
          <t>STAT</t>
        </is>
      </c>
      <c r="K455" s="33" t="n">
        <v>45765.42361111111</v>
      </c>
      <c r="L455" s="33" t="n">
        <v>45765.45</v>
      </c>
      <c r="M455" s="34" t="n"/>
    </row>
    <row r="456">
      <c r="A456" t="inlineStr">
        <is>
          <t>LAB733855</t>
        </is>
      </c>
      <c r="B456" t="inlineStr">
        <is>
          <t>ENC114304</t>
        </is>
      </c>
      <c r="C456" t="inlineStr">
        <is>
          <t>PLT</t>
        </is>
      </c>
      <c r="D456" t="inlineStr">
        <is>
          <t>Platelet Count</t>
        </is>
      </c>
      <c r="E456" t="n">
        <v>311</v>
      </c>
      <c r="F456" t="inlineStr">
        <is>
          <t>K/uL</t>
        </is>
      </c>
      <c r="G456" t="n">
        <v>150</v>
      </c>
      <c r="H456" t="n">
        <v>400</v>
      </c>
      <c r="I456" t="inlineStr">
        <is>
          <t>N</t>
        </is>
      </c>
      <c r="J456" t="inlineStr">
        <is>
          <t>STAT</t>
        </is>
      </c>
      <c r="K456" s="33" t="n">
        <v>45765.41527777778</v>
      </c>
      <c r="L456" s="33" t="n">
        <v>45765.46388888889</v>
      </c>
      <c r="M456" s="34" t="n"/>
    </row>
    <row r="457">
      <c r="A457" t="inlineStr">
        <is>
          <t>LAB733852</t>
        </is>
      </c>
      <c r="B457" t="inlineStr">
        <is>
          <t>ENC114304</t>
        </is>
      </c>
      <c r="C457" t="inlineStr">
        <is>
          <t>NA</t>
        </is>
      </c>
      <c r="D457" t="inlineStr">
        <is>
          <t>Sodium</t>
        </is>
      </c>
      <c r="E457" t="n">
        <v>137</v>
      </c>
      <c r="F457" t="inlineStr">
        <is>
          <t>mmol/L</t>
        </is>
      </c>
      <c r="G457" t="n">
        <v>136</v>
      </c>
      <c r="H457" t="n">
        <v>145</v>
      </c>
      <c r="I457" t="inlineStr">
        <is>
          <t>N</t>
        </is>
      </c>
      <c r="J457" t="inlineStr">
        <is>
          <t>STAT</t>
        </is>
      </c>
      <c r="K457" s="33" t="n">
        <v>45765.42222222222</v>
      </c>
      <c r="L457" s="33" t="n">
        <v>45765.47847222222</v>
      </c>
      <c r="M457" s="34" t="n"/>
    </row>
    <row r="458">
      <c r="A458" t="inlineStr">
        <is>
          <t>LAB733851</t>
        </is>
      </c>
      <c r="B458" t="inlineStr">
        <is>
          <t>ENC114304</t>
        </is>
      </c>
      <c r="C458" t="inlineStr">
        <is>
          <t>HGB</t>
        </is>
      </c>
      <c r="D458" t="inlineStr">
        <is>
          <t>Hemoglobin</t>
        </is>
      </c>
      <c r="E458" t="n">
        <v>16</v>
      </c>
      <c r="F458" t="inlineStr">
        <is>
          <t>g/dL</t>
        </is>
      </c>
      <c r="G458" t="n">
        <v>12</v>
      </c>
      <c r="H458" t="n">
        <v>17.5</v>
      </c>
      <c r="I458" t="inlineStr">
        <is>
          <t>N</t>
        </is>
      </c>
      <c r="J458" t="inlineStr">
        <is>
          <t>Routine</t>
        </is>
      </c>
      <c r="K458" s="33" t="n">
        <v>45765.4125</v>
      </c>
      <c r="L458" s="33" t="n">
        <v>45765.51319444444</v>
      </c>
      <c r="M458" s="34" t="n"/>
    </row>
    <row r="459">
      <c r="A459" t="inlineStr">
        <is>
          <t>LAB733849</t>
        </is>
      </c>
      <c r="B459" t="inlineStr">
        <is>
          <t>ENC114304</t>
        </is>
      </c>
      <c r="C459" t="inlineStr">
        <is>
          <t>CREAT</t>
        </is>
      </c>
      <c r="D459" t="inlineStr">
        <is>
          <t>Creatinine</t>
        </is>
      </c>
      <c r="E459" t="n">
        <v>1.54</v>
      </c>
      <c r="F459" t="inlineStr">
        <is>
          <t>mg/dL</t>
        </is>
      </c>
      <c r="G459" t="n">
        <v>0.6</v>
      </c>
      <c r="H459" t="n">
        <v>1.3</v>
      </c>
      <c r="I459" t="inlineStr">
        <is>
          <t>H</t>
        </is>
      </c>
      <c r="J459" t="inlineStr">
        <is>
          <t>Routine</t>
        </is>
      </c>
      <c r="K459" s="33" t="n">
        <v>45765.44027777778</v>
      </c>
      <c r="L459" s="33" t="n">
        <v>45765.52361111111</v>
      </c>
      <c r="M459" s="34" t="n"/>
    </row>
    <row r="460">
      <c r="A460" t="inlineStr">
        <is>
          <t>LAB733848</t>
        </is>
      </c>
      <c r="B460" t="inlineStr">
        <is>
          <t>ENC114304</t>
        </is>
      </c>
      <c r="C460" t="inlineStr">
        <is>
          <t>GLU</t>
        </is>
      </c>
      <c r="D460" t="inlineStr">
        <is>
          <t>Glucose</t>
        </is>
      </c>
      <c r="E460" t="n">
        <v>94</v>
      </c>
      <c r="F460" t="inlineStr">
        <is>
          <t>mg/dL</t>
        </is>
      </c>
      <c r="G460" t="n">
        <v>70</v>
      </c>
      <c r="H460" t="n">
        <v>99</v>
      </c>
      <c r="I460" t="inlineStr">
        <is>
          <t>N</t>
        </is>
      </c>
      <c r="J460" t="inlineStr">
        <is>
          <t>Routine</t>
        </is>
      </c>
      <c r="K460" s="33" t="n">
        <v>45765.40694444445</v>
      </c>
      <c r="L460" s="33" t="n">
        <v>45765.55138888889</v>
      </c>
      <c r="M460" s="34" t="n"/>
    </row>
    <row r="461">
      <c r="A461" t="inlineStr">
        <is>
          <t>LAB733942</t>
        </is>
      </c>
      <c r="B461" t="inlineStr">
        <is>
          <t>ENC114342</t>
        </is>
      </c>
      <c r="C461" t="inlineStr">
        <is>
          <t>GLU</t>
        </is>
      </c>
      <c r="D461" t="inlineStr">
        <is>
          <t>Glucose</t>
        </is>
      </c>
      <c r="E461" t="n">
        <v>106</v>
      </c>
      <c r="F461" t="inlineStr">
        <is>
          <t>mg/dL</t>
        </is>
      </c>
      <c r="G461" t="n">
        <v>70</v>
      </c>
      <c r="H461" t="n">
        <v>99</v>
      </c>
      <c r="I461" t="inlineStr">
        <is>
          <t>H</t>
        </is>
      </c>
      <c r="J461" t="inlineStr">
        <is>
          <t>STAT</t>
        </is>
      </c>
      <c r="K461" s="33" t="n">
        <v>45766.80972222222</v>
      </c>
      <c r="L461" s="33" t="n">
        <v>45766.83402777778</v>
      </c>
      <c r="M461" s="34" t="n"/>
    </row>
    <row r="462">
      <c r="A462" t="inlineStr">
        <is>
          <t>LAB733948</t>
        </is>
      </c>
      <c r="B462" t="inlineStr">
        <is>
          <t>ENC114342</t>
        </is>
      </c>
      <c r="C462" t="inlineStr">
        <is>
          <t>BUN</t>
        </is>
      </c>
      <c r="D462" t="inlineStr">
        <is>
          <t>Blood Urea Nitrogen</t>
        </is>
      </c>
      <c r="E462" t="n">
        <v>16</v>
      </c>
      <c r="F462" t="inlineStr">
        <is>
          <t>mg/dL</t>
        </is>
      </c>
      <c r="G462" t="n">
        <v>7</v>
      </c>
      <c r="H462" t="n">
        <v>20</v>
      </c>
      <c r="I462" t="inlineStr">
        <is>
          <t>N</t>
        </is>
      </c>
      <c r="J462" t="inlineStr">
        <is>
          <t>STAT</t>
        </is>
      </c>
      <c r="K462" s="33" t="n">
        <v>45766.83055555556</v>
      </c>
      <c r="L462" s="33" t="n">
        <v>45766.84722222222</v>
      </c>
      <c r="M462" s="34" t="n"/>
    </row>
    <row r="463">
      <c r="A463" t="inlineStr">
        <is>
          <t>LAB733950</t>
        </is>
      </c>
      <c r="B463" t="inlineStr">
        <is>
          <t>ENC114342</t>
        </is>
      </c>
      <c r="C463" t="inlineStr">
        <is>
          <t>LACT</t>
        </is>
      </c>
      <c r="D463" t="inlineStr">
        <is>
          <t>Lactate</t>
        </is>
      </c>
      <c r="E463" t="n">
        <v>8.4</v>
      </c>
      <c r="F463" t="inlineStr">
        <is>
          <t>mmol/L</t>
        </is>
      </c>
      <c r="G463" t="n">
        <v>0.5</v>
      </c>
      <c r="H463" t="n">
        <v>2</v>
      </c>
      <c r="I463" t="inlineStr">
        <is>
          <t>HH</t>
        </is>
      </c>
      <c r="J463" t="inlineStr">
        <is>
          <t>STAT</t>
        </is>
      </c>
      <c r="K463" s="33" t="n">
        <v>45766.81458333333</v>
      </c>
      <c r="L463" s="33" t="n">
        <v>45766.84861111111</v>
      </c>
      <c r="M463" s="34" t="n"/>
    </row>
    <row r="464">
      <c r="A464" t="inlineStr">
        <is>
          <t>LAB733947</t>
        </is>
      </c>
      <c r="B464" t="inlineStr">
        <is>
          <t>ENC114342</t>
        </is>
      </c>
      <c r="C464" t="inlineStr">
        <is>
          <t>K</t>
        </is>
      </c>
      <c r="D464" t="inlineStr">
        <is>
          <t>Potassium</t>
        </is>
      </c>
      <c r="E464" t="n">
        <v>3.8</v>
      </c>
      <c r="F464" t="inlineStr">
        <is>
          <t>mmol/L</t>
        </is>
      </c>
      <c r="G464" t="n">
        <v>3.5</v>
      </c>
      <c r="H464" t="n">
        <v>5.1</v>
      </c>
      <c r="I464" t="inlineStr">
        <is>
          <t>N</t>
        </is>
      </c>
      <c r="J464" t="inlineStr">
        <is>
          <t>STAT</t>
        </is>
      </c>
      <c r="K464" s="33" t="n">
        <v>45766.82847222222</v>
      </c>
      <c r="L464" s="33" t="n">
        <v>45766.88680555556</v>
      </c>
      <c r="M464" s="34" t="n"/>
    </row>
    <row r="465">
      <c r="A465" t="inlineStr">
        <is>
          <t>LAB733945</t>
        </is>
      </c>
      <c r="B465" t="inlineStr">
        <is>
          <t>ENC114342</t>
        </is>
      </c>
      <c r="C465" t="inlineStr">
        <is>
          <t>HGB</t>
        </is>
      </c>
      <c r="D465" t="inlineStr">
        <is>
          <t>Hemoglobin</t>
        </is>
      </c>
      <c r="E465" t="n">
        <v>15.8</v>
      </c>
      <c r="F465" t="inlineStr">
        <is>
          <t>g/dL</t>
        </is>
      </c>
      <c r="G465" t="n">
        <v>12</v>
      </c>
      <c r="H465" t="n">
        <v>17.5</v>
      </c>
      <c r="I465" t="inlineStr">
        <is>
          <t>N</t>
        </is>
      </c>
      <c r="J465" t="inlineStr">
        <is>
          <t>STAT</t>
        </is>
      </c>
      <c r="K465" s="33" t="n">
        <v>45766.84930555556</v>
      </c>
      <c r="L465" s="33" t="n">
        <v>45766.89583333334</v>
      </c>
      <c r="M465" s="34" t="n"/>
    </row>
    <row r="466">
      <c r="A466" t="inlineStr">
        <is>
          <t>LAB733949</t>
        </is>
      </c>
      <c r="B466" t="inlineStr">
        <is>
          <t>ENC114342</t>
        </is>
      </c>
      <c r="C466" t="inlineStr">
        <is>
          <t>PLT</t>
        </is>
      </c>
      <c r="D466" t="inlineStr">
        <is>
          <t>Platelet Count</t>
        </is>
      </c>
      <c r="E466" t="n">
        <v>245</v>
      </c>
      <c r="F466" t="inlineStr">
        <is>
          <t>K/uL</t>
        </is>
      </c>
      <c r="G466" t="n">
        <v>150</v>
      </c>
      <c r="H466" t="n">
        <v>400</v>
      </c>
      <c r="I466" t="inlineStr">
        <is>
          <t>N</t>
        </is>
      </c>
      <c r="J466" t="inlineStr">
        <is>
          <t>Routine</t>
        </is>
      </c>
      <c r="K466" s="33" t="n">
        <v>45766.81458333333</v>
      </c>
      <c r="L466" s="33" t="n">
        <v>45766.90277777778</v>
      </c>
      <c r="M466" s="34" t="n"/>
    </row>
    <row r="467">
      <c r="A467" t="inlineStr">
        <is>
          <t>LAB733946</t>
        </is>
      </c>
      <c r="B467" t="inlineStr">
        <is>
          <t>ENC114342</t>
        </is>
      </c>
      <c r="C467" t="inlineStr">
        <is>
          <t>NA</t>
        </is>
      </c>
      <c r="D467" t="inlineStr">
        <is>
          <t>Sodium</t>
        </is>
      </c>
      <c r="E467" t="n">
        <v>138</v>
      </c>
      <c r="F467" t="inlineStr">
        <is>
          <t>mmol/L</t>
        </is>
      </c>
      <c r="G467" t="n">
        <v>136</v>
      </c>
      <c r="H467" t="n">
        <v>145</v>
      </c>
      <c r="I467" t="inlineStr">
        <is>
          <t>N</t>
        </is>
      </c>
      <c r="J467" t="inlineStr">
        <is>
          <t>STAT</t>
        </is>
      </c>
      <c r="K467" s="33" t="n">
        <v>45766.85069444445</v>
      </c>
      <c r="L467" s="33" t="n">
        <v>45766.91319444445</v>
      </c>
      <c r="M467" s="34" t="n"/>
    </row>
    <row r="468">
      <c r="A468" t="inlineStr">
        <is>
          <t>LAB733943</t>
        </is>
      </c>
      <c r="B468" t="inlineStr">
        <is>
          <t>ENC114342</t>
        </is>
      </c>
      <c r="C468" t="inlineStr">
        <is>
          <t>CREAT</t>
        </is>
      </c>
      <c r="D468" t="inlineStr">
        <is>
          <t>Creatinine</t>
        </is>
      </c>
      <c r="E468" t="n">
        <v>1.96</v>
      </c>
      <c r="F468" t="inlineStr">
        <is>
          <t>mg/dL</t>
        </is>
      </c>
      <c r="G468" t="n">
        <v>0.6</v>
      </c>
      <c r="H468" t="n">
        <v>1.3</v>
      </c>
      <c r="I468" t="inlineStr">
        <is>
          <t>H</t>
        </is>
      </c>
      <c r="J468" t="inlineStr">
        <is>
          <t>Routine</t>
        </is>
      </c>
      <c r="K468" s="33" t="n">
        <v>45766.83680555555</v>
      </c>
      <c r="L468" s="33" t="n">
        <v>45766.96666666667</v>
      </c>
      <c r="M468" s="34" t="n"/>
    </row>
    <row r="469">
      <c r="A469" t="inlineStr">
        <is>
          <t>LAB733944</t>
        </is>
      </c>
      <c r="B469" t="inlineStr">
        <is>
          <t>ENC114342</t>
        </is>
      </c>
      <c r="C469" t="inlineStr">
        <is>
          <t>WBC</t>
        </is>
      </c>
      <c r="D469" t="inlineStr">
        <is>
          <t>White Blood Cell Count</t>
        </is>
      </c>
      <c r="E469" t="n">
        <v>8.6</v>
      </c>
      <c r="F469" t="inlineStr">
        <is>
          <t>K/uL</t>
        </is>
      </c>
      <c r="G469" t="n">
        <v>4.5</v>
      </c>
      <c r="H469" t="n">
        <v>11</v>
      </c>
      <c r="I469" t="inlineStr">
        <is>
          <t>N</t>
        </is>
      </c>
      <c r="J469" t="inlineStr">
        <is>
          <t>Routine</t>
        </is>
      </c>
      <c r="K469" s="33" t="n">
        <v>45766.84027777778</v>
      </c>
      <c r="L469" s="33" t="n">
        <v>45767.01180555556</v>
      </c>
      <c r="M469" s="34" t="n"/>
    </row>
    <row r="470">
      <c r="A470" t="inlineStr">
        <is>
          <t>LAB733964</t>
        </is>
      </c>
      <c r="B470" t="inlineStr">
        <is>
          <t>ENC114348</t>
        </is>
      </c>
      <c r="C470" t="inlineStr">
        <is>
          <t>CREAT</t>
        </is>
      </c>
      <c r="D470" t="inlineStr">
        <is>
          <t>Creatinine</t>
        </is>
      </c>
      <c r="E470" t="n">
        <v>2.2</v>
      </c>
      <c r="F470" t="inlineStr">
        <is>
          <t>mg/dL</t>
        </is>
      </c>
      <c r="G470" t="n">
        <v>0.6</v>
      </c>
      <c r="H470" t="n">
        <v>1.3</v>
      </c>
      <c r="I470" t="inlineStr">
        <is>
          <t>H</t>
        </is>
      </c>
      <c r="J470" t="inlineStr">
        <is>
          <t>STAT</t>
        </is>
      </c>
      <c r="K470" s="33" t="n">
        <v>45767.175</v>
      </c>
      <c r="L470" s="33" t="n">
        <v>45767.19930555556</v>
      </c>
      <c r="M470" s="34" t="n"/>
    </row>
    <row r="471">
      <c r="A471" t="inlineStr">
        <is>
          <t>LAB733966</t>
        </is>
      </c>
      <c r="B471" t="inlineStr">
        <is>
          <t>ENC114348</t>
        </is>
      </c>
      <c r="C471" t="inlineStr">
        <is>
          <t>HGB</t>
        </is>
      </c>
      <c r="D471" t="inlineStr">
        <is>
          <t>Hemoglobin</t>
        </is>
      </c>
      <c r="E471" t="n">
        <v>11.3</v>
      </c>
      <c r="F471" t="inlineStr">
        <is>
          <t>g/dL</t>
        </is>
      </c>
      <c r="G471" t="n">
        <v>12</v>
      </c>
      <c r="H471" t="n">
        <v>17.5</v>
      </c>
      <c r="I471" t="inlineStr">
        <is>
          <t>L</t>
        </is>
      </c>
      <c r="J471" t="inlineStr">
        <is>
          <t>STAT</t>
        </is>
      </c>
      <c r="K471" s="33" t="n">
        <v>45767.18333333333</v>
      </c>
      <c r="L471" s="33" t="n">
        <v>45767.20069444444</v>
      </c>
      <c r="M471" s="34" t="n"/>
    </row>
    <row r="472">
      <c r="A472" t="inlineStr">
        <is>
          <t>LAB733965</t>
        </is>
      </c>
      <c r="B472" t="inlineStr">
        <is>
          <t>ENC114348</t>
        </is>
      </c>
      <c r="C472" t="inlineStr">
        <is>
          <t>WBC</t>
        </is>
      </c>
      <c r="D472" t="inlineStr">
        <is>
          <t>White Blood Cell Count</t>
        </is>
      </c>
      <c r="E472" t="n">
        <v>14.9</v>
      </c>
      <c r="F472" t="inlineStr">
        <is>
          <t>K/uL</t>
        </is>
      </c>
      <c r="G472" t="n">
        <v>4.5</v>
      </c>
      <c r="H472" t="n">
        <v>11</v>
      </c>
      <c r="I472" t="inlineStr">
        <is>
          <t>H</t>
        </is>
      </c>
      <c r="J472" t="inlineStr">
        <is>
          <t>STAT</t>
        </is>
      </c>
      <c r="K472" s="33" t="n">
        <v>45767.17986111111</v>
      </c>
      <c r="L472" s="33" t="n">
        <v>45767.21666666667</v>
      </c>
      <c r="M472" s="34" t="n"/>
    </row>
    <row r="473">
      <c r="A473" t="inlineStr">
        <is>
          <t>LAB733969</t>
        </is>
      </c>
      <c r="B473" t="inlineStr">
        <is>
          <t>ENC114348</t>
        </is>
      </c>
      <c r="C473" t="inlineStr">
        <is>
          <t>LACT</t>
        </is>
      </c>
      <c r="D473" t="inlineStr">
        <is>
          <t>Lactate</t>
        </is>
      </c>
      <c r="E473" t="n">
        <v>3.1</v>
      </c>
      <c r="F473" t="inlineStr">
        <is>
          <t>mmol/L</t>
        </is>
      </c>
      <c r="G473" t="n">
        <v>0.5</v>
      </c>
      <c r="H473" t="n">
        <v>2</v>
      </c>
      <c r="I473" t="inlineStr">
        <is>
          <t>H</t>
        </is>
      </c>
      <c r="J473" t="inlineStr">
        <is>
          <t>STAT</t>
        </is>
      </c>
      <c r="K473" s="33" t="n">
        <v>45767.22291666667</v>
      </c>
      <c r="L473" s="33" t="n">
        <v>45767.24444444444</v>
      </c>
      <c r="M473" s="34" t="n"/>
    </row>
    <row r="474">
      <c r="A474" t="inlineStr">
        <is>
          <t>LAB733968</t>
        </is>
      </c>
      <c r="B474" t="inlineStr">
        <is>
          <t>ENC114348</t>
        </is>
      </c>
      <c r="C474" t="inlineStr">
        <is>
          <t>K</t>
        </is>
      </c>
      <c r="D474" t="inlineStr">
        <is>
          <t>Potassium</t>
        </is>
      </c>
      <c r="E474" t="n">
        <v>3.8</v>
      </c>
      <c r="F474" t="inlineStr">
        <is>
          <t>mmol/L</t>
        </is>
      </c>
      <c r="G474" t="n">
        <v>3.5</v>
      </c>
      <c r="H474" t="n">
        <v>5.1</v>
      </c>
      <c r="I474" t="inlineStr">
        <is>
          <t>N</t>
        </is>
      </c>
      <c r="J474" t="inlineStr">
        <is>
          <t>STAT</t>
        </is>
      </c>
      <c r="K474" s="33" t="n">
        <v>45767.21388888889</v>
      </c>
      <c r="L474" s="33" t="n">
        <v>45767.25277777778</v>
      </c>
      <c r="M474" s="34" t="n"/>
    </row>
    <row r="475">
      <c r="A475" t="inlineStr">
        <is>
          <t>LAB733967</t>
        </is>
      </c>
      <c r="B475" t="inlineStr">
        <is>
          <t>ENC114348</t>
        </is>
      </c>
      <c r="C475" t="inlineStr">
        <is>
          <t>NA</t>
        </is>
      </c>
      <c r="D475" t="inlineStr">
        <is>
          <t>Sodium</t>
        </is>
      </c>
      <c r="E475" t="n">
        <v>140</v>
      </c>
      <c r="F475" t="inlineStr">
        <is>
          <t>mmol/L</t>
        </is>
      </c>
      <c r="G475" t="n">
        <v>136</v>
      </c>
      <c r="H475" t="n">
        <v>145</v>
      </c>
      <c r="I475" t="inlineStr">
        <is>
          <t>N</t>
        </is>
      </c>
      <c r="J475" t="inlineStr">
        <is>
          <t>Routine</t>
        </is>
      </c>
      <c r="K475" s="33" t="n">
        <v>45767.21319444444</v>
      </c>
      <c r="L475" s="33" t="n">
        <v>45767.2875</v>
      </c>
      <c r="M475" s="34" t="n"/>
    </row>
    <row r="476">
      <c r="A476" t="inlineStr">
        <is>
          <t>LAB733963</t>
        </is>
      </c>
      <c r="B476" t="inlineStr">
        <is>
          <t>ENC114348</t>
        </is>
      </c>
      <c r="C476" t="inlineStr">
        <is>
          <t>GLU</t>
        </is>
      </c>
      <c r="D476" t="inlineStr">
        <is>
          <t>Glucose</t>
        </is>
      </c>
      <c r="E476" t="n">
        <v>168</v>
      </c>
      <c r="F476" t="inlineStr">
        <is>
          <t>mg/dL</t>
        </is>
      </c>
      <c r="G476" t="n">
        <v>70</v>
      </c>
      <c r="H476" t="n">
        <v>99</v>
      </c>
      <c r="I476" t="inlineStr">
        <is>
          <t>H</t>
        </is>
      </c>
      <c r="J476" t="inlineStr">
        <is>
          <t>Routine</t>
        </is>
      </c>
      <c r="K476" s="33" t="n">
        <v>45767.18680555555</v>
      </c>
      <c r="L476" s="33" t="n">
        <v>45767.37916666667</v>
      </c>
      <c r="M476" s="34" t="n"/>
    </row>
    <row r="477">
      <c r="A477" t="inlineStr">
        <is>
          <t>LAB734186</t>
        </is>
      </c>
      <c r="B477" t="inlineStr">
        <is>
          <t>ENC114445</t>
        </is>
      </c>
      <c r="C477" t="inlineStr">
        <is>
          <t>WBC</t>
        </is>
      </c>
      <c r="D477" t="inlineStr">
        <is>
          <t>White Blood Cell Count</t>
        </is>
      </c>
      <c r="E477" t="n">
        <v>18.9</v>
      </c>
      <c r="F477" t="inlineStr">
        <is>
          <t>K/uL</t>
        </is>
      </c>
      <c r="G477" t="n">
        <v>4.5</v>
      </c>
      <c r="H477" t="n">
        <v>11</v>
      </c>
      <c r="I477" t="inlineStr">
        <is>
          <t>H</t>
        </is>
      </c>
      <c r="J477" t="inlineStr">
        <is>
          <t>STAT</t>
        </is>
      </c>
      <c r="K477" s="33" t="n">
        <v>45770.43402777778</v>
      </c>
      <c r="L477" s="33" t="n">
        <v>45770.45138888889</v>
      </c>
      <c r="M477" s="34" t="n"/>
    </row>
    <row r="478">
      <c r="A478" t="inlineStr">
        <is>
          <t>LAB734188</t>
        </is>
      </c>
      <c r="B478" t="inlineStr">
        <is>
          <t>ENC114445</t>
        </is>
      </c>
      <c r="C478" t="inlineStr">
        <is>
          <t>LACT</t>
        </is>
      </c>
      <c r="D478" t="inlineStr">
        <is>
          <t>Lactate</t>
        </is>
      </c>
      <c r="E478" t="n">
        <v>5.7</v>
      </c>
      <c r="F478" t="inlineStr">
        <is>
          <t>mmol/L</t>
        </is>
      </c>
      <c r="G478" t="n">
        <v>0.5</v>
      </c>
      <c r="H478" t="n">
        <v>2</v>
      </c>
      <c r="I478" t="inlineStr">
        <is>
          <t>HH</t>
        </is>
      </c>
      <c r="J478" t="inlineStr">
        <is>
          <t>STAT</t>
        </is>
      </c>
      <c r="K478" s="33" t="n">
        <v>45770.43611111111</v>
      </c>
      <c r="L478" s="33" t="n">
        <v>45770.45902777778</v>
      </c>
      <c r="M478" s="34" t="n"/>
    </row>
    <row r="479">
      <c r="A479" t="inlineStr">
        <is>
          <t>LAB734184</t>
        </is>
      </c>
      <c r="B479" t="inlineStr">
        <is>
          <t>ENC114445</t>
        </is>
      </c>
      <c r="C479" t="inlineStr">
        <is>
          <t>GLU</t>
        </is>
      </c>
      <c r="D479" t="inlineStr">
        <is>
          <t>Glucose</t>
        </is>
      </c>
      <c r="E479" t="n">
        <v>198</v>
      </c>
      <c r="F479" t="inlineStr">
        <is>
          <t>mg/dL</t>
        </is>
      </c>
      <c r="G479" t="n">
        <v>70</v>
      </c>
      <c r="H479" t="n">
        <v>99</v>
      </c>
      <c r="I479" t="inlineStr">
        <is>
          <t>H</t>
        </is>
      </c>
      <c r="J479" t="inlineStr">
        <is>
          <t>STAT</t>
        </is>
      </c>
      <c r="K479" s="33" t="n">
        <v>45770.42152777778</v>
      </c>
      <c r="L479" s="33" t="n">
        <v>45770.46180555555</v>
      </c>
      <c r="M479" s="34" t="n"/>
    </row>
    <row r="480">
      <c r="A480" t="inlineStr">
        <is>
          <t>LAB734187</t>
        </is>
      </c>
      <c r="B480" t="inlineStr">
        <is>
          <t>ENC114445</t>
        </is>
      </c>
      <c r="C480" t="inlineStr">
        <is>
          <t>HGB</t>
        </is>
      </c>
      <c r="D480" t="inlineStr">
        <is>
          <t>Hemoglobin</t>
        </is>
      </c>
      <c r="E480" t="n">
        <v>14</v>
      </c>
      <c r="F480" t="inlineStr">
        <is>
          <t>g/dL</t>
        </is>
      </c>
      <c r="G480" t="n">
        <v>12</v>
      </c>
      <c r="H480" t="n">
        <v>17.5</v>
      </c>
      <c r="I480" t="inlineStr">
        <is>
          <t>N</t>
        </is>
      </c>
      <c r="J480" t="inlineStr">
        <is>
          <t>STAT</t>
        </is>
      </c>
      <c r="K480" s="33" t="n">
        <v>45770.44722222222</v>
      </c>
      <c r="L480" s="33" t="n">
        <v>45770.47152777778</v>
      </c>
      <c r="M480" s="34" t="n"/>
    </row>
    <row r="481">
      <c r="A481" t="inlineStr">
        <is>
          <t>LAB734185</t>
        </is>
      </c>
      <c r="B481" t="inlineStr">
        <is>
          <t>ENC114445</t>
        </is>
      </c>
      <c r="C481" t="inlineStr">
        <is>
          <t>CREAT</t>
        </is>
      </c>
      <c r="D481" t="inlineStr">
        <is>
          <t>Creatinine</t>
        </is>
      </c>
      <c r="E481" t="n">
        <v>1.12</v>
      </c>
      <c r="F481" t="inlineStr">
        <is>
          <t>mg/dL</t>
        </is>
      </c>
      <c r="G481" t="n">
        <v>0.6</v>
      </c>
      <c r="H481" t="n">
        <v>1.3</v>
      </c>
      <c r="I481" t="inlineStr">
        <is>
          <t>N</t>
        </is>
      </c>
      <c r="J481" t="inlineStr">
        <is>
          <t>STAT</t>
        </is>
      </c>
      <c r="K481" s="33" t="n">
        <v>45770.46041666667</v>
      </c>
      <c r="L481" s="33" t="n">
        <v>45770.49305555555</v>
      </c>
      <c r="M481" s="34" t="n"/>
    </row>
    <row r="482">
      <c r="A482" t="inlineStr">
        <is>
          <t>LAB734200</t>
        </is>
      </c>
      <c r="B482" t="inlineStr">
        <is>
          <t>ENC114454</t>
        </is>
      </c>
      <c r="C482" t="inlineStr">
        <is>
          <t>WBC</t>
        </is>
      </c>
      <c r="D482" t="inlineStr">
        <is>
          <t>White Blood Cell Count</t>
        </is>
      </c>
      <c r="E482" t="n">
        <v>19.6</v>
      </c>
      <c r="F482" t="inlineStr">
        <is>
          <t>K/uL</t>
        </is>
      </c>
      <c r="G482" t="n">
        <v>4.5</v>
      </c>
      <c r="H482" t="n">
        <v>11</v>
      </c>
      <c r="I482" t="inlineStr">
        <is>
          <t>H</t>
        </is>
      </c>
      <c r="J482" t="inlineStr">
        <is>
          <t>STAT</t>
        </is>
      </c>
      <c r="K482" s="33" t="n">
        <v>45770.65902777778</v>
      </c>
      <c r="L482" s="33" t="n">
        <v>45770.67222222222</v>
      </c>
      <c r="M482" s="34" t="n"/>
    </row>
    <row r="483">
      <c r="A483" t="inlineStr">
        <is>
          <t>LAB734202</t>
        </is>
      </c>
      <c r="B483" t="inlineStr">
        <is>
          <t>ENC114454</t>
        </is>
      </c>
      <c r="C483" t="inlineStr">
        <is>
          <t>LACT</t>
        </is>
      </c>
      <c r="D483" t="inlineStr">
        <is>
          <t>Lactate</t>
        </is>
      </c>
      <c r="E483" t="n">
        <v>3.7</v>
      </c>
      <c r="F483" t="inlineStr">
        <is>
          <t>mmol/L</t>
        </is>
      </c>
      <c r="G483" t="n">
        <v>0.5</v>
      </c>
      <c r="H483" t="n">
        <v>2</v>
      </c>
      <c r="I483" t="inlineStr">
        <is>
          <t>H</t>
        </is>
      </c>
      <c r="J483" t="inlineStr">
        <is>
          <t>STAT</t>
        </is>
      </c>
      <c r="K483" s="33" t="n">
        <v>45770.64166666667</v>
      </c>
      <c r="L483" s="33" t="n">
        <v>45770.68263888889</v>
      </c>
      <c r="M483" s="34" t="n"/>
    </row>
    <row r="484">
      <c r="A484" t="inlineStr">
        <is>
          <t>LAB734201</t>
        </is>
      </c>
      <c r="B484" t="inlineStr">
        <is>
          <t>ENC114454</t>
        </is>
      </c>
      <c r="C484" t="inlineStr">
        <is>
          <t>HGB</t>
        </is>
      </c>
      <c r="D484" t="inlineStr">
        <is>
          <t>Hemoglobin</t>
        </is>
      </c>
      <c r="E484" t="n">
        <v>9.800000000000001</v>
      </c>
      <c r="F484" t="inlineStr">
        <is>
          <t>g/dL</t>
        </is>
      </c>
      <c r="G484" t="n">
        <v>12</v>
      </c>
      <c r="H484" t="n">
        <v>17.5</v>
      </c>
      <c r="I484" t="inlineStr">
        <is>
          <t>L</t>
        </is>
      </c>
      <c r="J484" t="inlineStr">
        <is>
          <t>STAT</t>
        </is>
      </c>
      <c r="K484" s="33" t="n">
        <v>45770.67986111111</v>
      </c>
      <c r="L484" s="33" t="n">
        <v>45770.71597222222</v>
      </c>
      <c r="M484" s="34" t="n"/>
    </row>
    <row r="485">
      <c r="A485" t="inlineStr">
        <is>
          <t>LAB734198</t>
        </is>
      </c>
      <c r="B485" t="inlineStr">
        <is>
          <t>ENC114454</t>
        </is>
      </c>
      <c r="C485" t="inlineStr">
        <is>
          <t>GLU</t>
        </is>
      </c>
      <c r="D485" t="inlineStr">
        <is>
          <t>Glucose</t>
        </is>
      </c>
      <c r="E485" t="n">
        <v>157</v>
      </c>
      <c r="F485" t="inlineStr">
        <is>
          <t>mg/dL</t>
        </is>
      </c>
      <c r="G485" t="n">
        <v>70</v>
      </c>
      <c r="H485" t="n">
        <v>99</v>
      </c>
      <c r="I485" t="inlineStr">
        <is>
          <t>H</t>
        </is>
      </c>
      <c r="J485" t="inlineStr">
        <is>
          <t>Routine</t>
        </is>
      </c>
      <c r="K485" s="33" t="n">
        <v>45770.66805555556</v>
      </c>
      <c r="L485" s="33" t="n">
        <v>45770.75</v>
      </c>
      <c r="M485" s="34" t="n"/>
    </row>
    <row r="486">
      <c r="A486" t="inlineStr">
        <is>
          <t>LAB734199</t>
        </is>
      </c>
      <c r="B486" t="inlineStr">
        <is>
          <t>ENC114454</t>
        </is>
      </c>
      <c r="C486" t="inlineStr">
        <is>
          <t>CREAT</t>
        </is>
      </c>
      <c r="D486" t="inlineStr">
        <is>
          <t>Creatinine</t>
        </is>
      </c>
      <c r="E486" t="n">
        <v>1.74</v>
      </c>
      <c r="F486" t="inlineStr">
        <is>
          <t>mg/dL</t>
        </is>
      </c>
      <c r="G486" t="n">
        <v>0.6</v>
      </c>
      <c r="H486" t="n">
        <v>1.3</v>
      </c>
      <c r="I486" t="inlineStr">
        <is>
          <t>H</t>
        </is>
      </c>
      <c r="J486" t="inlineStr">
        <is>
          <t>Routine</t>
        </is>
      </c>
      <c r="K486" s="33" t="n">
        <v>45770.6375</v>
      </c>
      <c r="L486" s="33" t="n">
        <v>45770.82152777778</v>
      </c>
      <c r="M486" s="34" t="n"/>
    </row>
    <row r="487">
      <c r="A487" t="inlineStr">
        <is>
          <t>LAB734237</t>
        </is>
      </c>
      <c r="B487" t="inlineStr">
        <is>
          <t>ENC114471</t>
        </is>
      </c>
      <c r="C487" t="inlineStr">
        <is>
          <t>WBC</t>
        </is>
      </c>
      <c r="D487" t="inlineStr">
        <is>
          <t>White Blood Cell Count</t>
        </is>
      </c>
      <c r="E487" t="n">
        <v>7.9</v>
      </c>
      <c r="F487" t="inlineStr">
        <is>
          <t>K/uL</t>
        </is>
      </c>
      <c r="G487" t="n">
        <v>4.5</v>
      </c>
      <c r="H487" t="n">
        <v>11</v>
      </c>
      <c r="I487" t="inlineStr">
        <is>
          <t>N</t>
        </is>
      </c>
      <c r="J487" t="inlineStr">
        <is>
          <t>STAT</t>
        </is>
      </c>
      <c r="K487" s="33" t="n">
        <v>45771.05486111111</v>
      </c>
      <c r="L487" s="33" t="n">
        <v>45771.08055555556</v>
      </c>
      <c r="M487" s="34" t="n"/>
    </row>
    <row r="488">
      <c r="A488" t="inlineStr">
        <is>
          <t>LAB734236</t>
        </is>
      </c>
      <c r="B488" t="inlineStr">
        <is>
          <t>ENC114471</t>
        </is>
      </c>
      <c r="C488" t="inlineStr">
        <is>
          <t>CREAT</t>
        </is>
      </c>
      <c r="D488" t="inlineStr">
        <is>
          <t>Creatinine</t>
        </is>
      </c>
      <c r="E488" t="n">
        <v>1.01</v>
      </c>
      <c r="F488" t="inlineStr">
        <is>
          <t>mg/dL</t>
        </is>
      </c>
      <c r="G488" t="n">
        <v>0.6</v>
      </c>
      <c r="H488" t="n">
        <v>1.3</v>
      </c>
      <c r="I488" t="inlineStr">
        <is>
          <t>N</t>
        </is>
      </c>
      <c r="J488" t="inlineStr">
        <is>
          <t>STAT</t>
        </is>
      </c>
      <c r="K488" s="33" t="n">
        <v>45771.03055555555</v>
      </c>
      <c r="L488" s="33" t="n">
        <v>45771.08125</v>
      </c>
      <c r="M488" s="34" t="n"/>
    </row>
    <row r="489">
      <c r="A489" t="inlineStr">
        <is>
          <t>LAB734239</t>
        </is>
      </c>
      <c r="B489" t="inlineStr">
        <is>
          <t>ENC114471</t>
        </is>
      </c>
      <c r="C489" t="inlineStr">
        <is>
          <t>LACT</t>
        </is>
      </c>
      <c r="D489" t="inlineStr">
        <is>
          <t>Lactate</t>
        </is>
      </c>
      <c r="E489" t="n">
        <v>2</v>
      </c>
      <c r="F489" t="inlineStr">
        <is>
          <t>mmol/L</t>
        </is>
      </c>
      <c r="G489" t="n">
        <v>0.5</v>
      </c>
      <c r="H489" t="n">
        <v>2</v>
      </c>
      <c r="I489" t="inlineStr">
        <is>
          <t>N</t>
        </is>
      </c>
      <c r="J489" t="inlineStr">
        <is>
          <t>STAT</t>
        </is>
      </c>
      <c r="K489" s="33" t="n">
        <v>45771.07222222222</v>
      </c>
      <c r="L489" s="33" t="n">
        <v>45771.09930555556</v>
      </c>
      <c r="M489" s="34" t="n"/>
    </row>
    <row r="490">
      <c r="A490" t="inlineStr">
        <is>
          <t>LAB734238</t>
        </is>
      </c>
      <c r="B490" t="inlineStr">
        <is>
          <t>ENC114471</t>
        </is>
      </c>
      <c r="C490" t="inlineStr">
        <is>
          <t>HGB</t>
        </is>
      </c>
      <c r="D490" t="inlineStr">
        <is>
          <t>Hemoglobin</t>
        </is>
      </c>
      <c r="E490" t="n">
        <v>12.4</v>
      </c>
      <c r="F490" t="inlineStr">
        <is>
          <t>g/dL</t>
        </is>
      </c>
      <c r="G490" t="n">
        <v>12</v>
      </c>
      <c r="H490" t="n">
        <v>17.5</v>
      </c>
      <c r="I490" t="inlineStr">
        <is>
          <t>N</t>
        </is>
      </c>
      <c r="J490" t="inlineStr">
        <is>
          <t>Routine</t>
        </is>
      </c>
      <c r="K490" s="33" t="n">
        <v>45771.03194444445</v>
      </c>
      <c r="L490" s="33" t="n">
        <v>45771.12916666667</v>
      </c>
      <c r="M490" s="34" t="n"/>
    </row>
    <row r="491">
      <c r="A491" t="inlineStr">
        <is>
          <t>LAB734235</t>
        </is>
      </c>
      <c r="B491" t="inlineStr">
        <is>
          <t>ENC114471</t>
        </is>
      </c>
      <c r="C491" t="inlineStr">
        <is>
          <t>GLU</t>
        </is>
      </c>
      <c r="D491" t="inlineStr">
        <is>
          <t>Glucose</t>
        </is>
      </c>
      <c r="E491" t="n">
        <v>91</v>
      </c>
      <c r="F491" t="inlineStr">
        <is>
          <t>mg/dL</t>
        </is>
      </c>
      <c r="G491" t="n">
        <v>70</v>
      </c>
      <c r="H491" t="n">
        <v>99</v>
      </c>
      <c r="I491" t="inlineStr">
        <is>
          <t>N</t>
        </is>
      </c>
      <c r="J491" t="inlineStr">
        <is>
          <t>Routine</t>
        </is>
      </c>
      <c r="K491" s="33" t="n">
        <v>45771.01944444444</v>
      </c>
      <c r="L491" s="33" t="n">
        <v>45771.23958333334</v>
      </c>
      <c r="M491" s="34" t="n"/>
    </row>
    <row r="492">
      <c r="A492" t="inlineStr">
        <is>
          <t>LAB734307</t>
        </is>
      </c>
      <c r="B492" t="inlineStr">
        <is>
          <t>ENC114492</t>
        </is>
      </c>
      <c r="C492" t="inlineStr">
        <is>
          <t>LACT</t>
        </is>
      </c>
      <c r="D492" t="inlineStr">
        <is>
          <t>Lactate</t>
        </is>
      </c>
      <c r="E492" t="n">
        <v>3.7</v>
      </c>
      <c r="F492" t="inlineStr">
        <is>
          <t>mmol/L</t>
        </is>
      </c>
      <c r="G492" t="n">
        <v>0.5</v>
      </c>
      <c r="H492" t="n">
        <v>2</v>
      </c>
      <c r="I492" t="inlineStr">
        <is>
          <t>H</t>
        </is>
      </c>
      <c r="J492" t="inlineStr">
        <is>
          <t>STAT</t>
        </is>
      </c>
      <c r="K492" s="33" t="n">
        <v>45771.60902777778</v>
      </c>
      <c r="L492" s="33" t="n">
        <v>45771.65277777778</v>
      </c>
      <c r="M492" s="34" t="n"/>
    </row>
    <row r="493">
      <c r="A493" t="inlineStr">
        <is>
          <t>LAB734306</t>
        </is>
      </c>
      <c r="B493" t="inlineStr">
        <is>
          <t>ENC114492</t>
        </is>
      </c>
      <c r="C493" t="inlineStr">
        <is>
          <t>HGB</t>
        </is>
      </c>
      <c r="D493" t="inlineStr">
        <is>
          <t>Hemoglobin</t>
        </is>
      </c>
      <c r="E493" t="n">
        <v>12.4</v>
      </c>
      <c r="F493" t="inlineStr">
        <is>
          <t>g/dL</t>
        </is>
      </c>
      <c r="G493" t="n">
        <v>12</v>
      </c>
      <c r="H493" t="n">
        <v>17.5</v>
      </c>
      <c r="I493" t="inlineStr">
        <is>
          <t>N</t>
        </is>
      </c>
      <c r="J493" t="inlineStr">
        <is>
          <t>STAT</t>
        </is>
      </c>
      <c r="K493" s="33" t="n">
        <v>45771.64166666667</v>
      </c>
      <c r="L493" s="33" t="n">
        <v>45771.66458333333</v>
      </c>
      <c r="M493" s="34" t="n"/>
    </row>
    <row r="494">
      <c r="A494" t="inlineStr">
        <is>
          <t>LAB734304</t>
        </is>
      </c>
      <c r="B494" t="inlineStr">
        <is>
          <t>ENC114492</t>
        </is>
      </c>
      <c r="C494" t="inlineStr">
        <is>
          <t>CREAT</t>
        </is>
      </c>
      <c r="D494" t="inlineStr">
        <is>
          <t>Creatinine</t>
        </is>
      </c>
      <c r="E494" t="n">
        <v>1.38</v>
      </c>
      <c r="F494" t="inlineStr">
        <is>
          <t>mg/dL</t>
        </is>
      </c>
      <c r="G494" t="n">
        <v>0.6</v>
      </c>
      <c r="H494" t="n">
        <v>1.3</v>
      </c>
      <c r="I494" t="inlineStr">
        <is>
          <t>H</t>
        </is>
      </c>
      <c r="J494" t="inlineStr">
        <is>
          <t>STAT</t>
        </is>
      </c>
      <c r="K494" s="33" t="n">
        <v>45771.63819444444</v>
      </c>
      <c r="L494" s="33" t="n">
        <v>45771.68680555555</v>
      </c>
      <c r="M494" s="34" t="n"/>
    </row>
    <row r="495">
      <c r="A495" t="inlineStr">
        <is>
          <t>LAB734303</t>
        </is>
      </c>
      <c r="B495" t="inlineStr">
        <is>
          <t>ENC114492</t>
        </is>
      </c>
      <c r="C495" t="inlineStr">
        <is>
          <t>GLU</t>
        </is>
      </c>
      <c r="D495" t="inlineStr">
        <is>
          <t>Glucose</t>
        </is>
      </c>
      <c r="E495" t="n">
        <v>126</v>
      </c>
      <c r="F495" t="inlineStr">
        <is>
          <t>mg/dL</t>
        </is>
      </c>
      <c r="G495" t="n">
        <v>70</v>
      </c>
      <c r="H495" t="n">
        <v>99</v>
      </c>
      <c r="I495" t="inlineStr">
        <is>
          <t>H</t>
        </is>
      </c>
      <c r="J495" t="inlineStr">
        <is>
          <t>STAT</t>
        </is>
      </c>
      <c r="K495" s="33" t="n">
        <v>45771.62847222222</v>
      </c>
      <c r="L495" s="33" t="n">
        <v>45771.69236111111</v>
      </c>
      <c r="M495" s="34" t="n"/>
    </row>
    <row r="496">
      <c r="A496" t="inlineStr">
        <is>
          <t>LAB734305</t>
        </is>
      </c>
      <c r="B496" t="inlineStr">
        <is>
          <t>ENC114492</t>
        </is>
      </c>
      <c r="C496" t="inlineStr">
        <is>
          <t>WBC</t>
        </is>
      </c>
      <c r="D496" t="inlineStr">
        <is>
          <t>White Blood Cell Count</t>
        </is>
      </c>
      <c r="E496" t="n">
        <v>18.4</v>
      </c>
      <c r="F496" t="inlineStr">
        <is>
          <t>K/uL</t>
        </is>
      </c>
      <c r="G496" t="n">
        <v>4.5</v>
      </c>
      <c r="H496" t="n">
        <v>11</v>
      </c>
      <c r="I496" t="inlineStr">
        <is>
          <t>H</t>
        </is>
      </c>
      <c r="J496" t="inlineStr">
        <is>
          <t>Routine</t>
        </is>
      </c>
      <c r="K496" s="33" t="n">
        <v>45771.62013888889</v>
      </c>
      <c r="L496" s="33" t="n">
        <v>45771.79166666666</v>
      </c>
      <c r="M496" s="34" t="n"/>
    </row>
    <row r="497">
      <c r="A497" t="inlineStr">
        <is>
          <t>LAB734437</t>
        </is>
      </c>
      <c r="B497" t="inlineStr">
        <is>
          <t>ENC114548</t>
        </is>
      </c>
      <c r="C497" t="inlineStr">
        <is>
          <t>GLU</t>
        </is>
      </c>
      <c r="D497" t="inlineStr">
        <is>
          <t>Glucose</t>
        </is>
      </c>
      <c r="E497" t="n">
        <v>201</v>
      </c>
      <c r="F497" t="inlineStr">
        <is>
          <t>mg/dL</t>
        </is>
      </c>
      <c r="G497" t="n">
        <v>70</v>
      </c>
      <c r="H497" t="n">
        <v>99</v>
      </c>
      <c r="I497" t="inlineStr">
        <is>
          <t>H</t>
        </is>
      </c>
      <c r="J497" t="inlineStr">
        <is>
          <t>STAT</t>
        </is>
      </c>
      <c r="K497" s="33" t="n">
        <v>45773.97916666666</v>
      </c>
      <c r="L497" s="33" t="n">
        <v>45774.00555555556</v>
      </c>
      <c r="M497" s="34" t="n"/>
    </row>
    <row r="498">
      <c r="A498" t="inlineStr">
        <is>
          <t>LAB734439</t>
        </is>
      </c>
      <c r="B498" t="inlineStr">
        <is>
          <t>ENC114548</t>
        </is>
      </c>
      <c r="C498" t="inlineStr">
        <is>
          <t>WBC</t>
        </is>
      </c>
      <c r="D498" t="inlineStr">
        <is>
          <t>White Blood Cell Count</t>
        </is>
      </c>
      <c r="E498" t="n">
        <v>9.1</v>
      </c>
      <c r="F498" t="inlineStr">
        <is>
          <t>K/uL</t>
        </is>
      </c>
      <c r="G498" t="n">
        <v>4.5</v>
      </c>
      <c r="H498" t="n">
        <v>11</v>
      </c>
      <c r="I498" t="inlineStr">
        <is>
          <t>N</t>
        </is>
      </c>
      <c r="J498" t="inlineStr">
        <is>
          <t>STAT</t>
        </is>
      </c>
      <c r="K498" s="33" t="n">
        <v>45773.9875</v>
      </c>
      <c r="L498" s="33" t="n">
        <v>45774.02847222222</v>
      </c>
      <c r="M498" s="34" t="n"/>
    </row>
    <row r="499">
      <c r="A499" t="inlineStr">
        <is>
          <t>LAB734441</t>
        </is>
      </c>
      <c r="B499" t="inlineStr">
        <is>
          <t>ENC114548</t>
        </is>
      </c>
      <c r="C499" t="inlineStr">
        <is>
          <t>LACT</t>
        </is>
      </c>
      <c r="D499" t="inlineStr">
        <is>
          <t>Lactate</t>
        </is>
      </c>
      <c r="E499" t="n">
        <v>4.6</v>
      </c>
      <c r="F499" t="inlineStr">
        <is>
          <t>mmol/L</t>
        </is>
      </c>
      <c r="G499" t="n">
        <v>0.5</v>
      </c>
      <c r="H499" t="n">
        <v>2</v>
      </c>
      <c r="I499" t="inlineStr">
        <is>
          <t>HH</t>
        </is>
      </c>
      <c r="J499" t="inlineStr">
        <is>
          <t>STAT</t>
        </is>
      </c>
      <c r="K499" s="33" t="n">
        <v>45773.99027777778</v>
      </c>
      <c r="L499" s="33" t="n">
        <v>45774.02986111111</v>
      </c>
      <c r="M499" s="34" t="n"/>
    </row>
    <row r="500">
      <c r="A500" t="inlineStr">
        <is>
          <t>LAB734440</t>
        </is>
      </c>
      <c r="B500" t="inlineStr">
        <is>
          <t>ENC114548</t>
        </is>
      </c>
      <c r="C500" t="inlineStr">
        <is>
          <t>HGB</t>
        </is>
      </c>
      <c r="D500" t="inlineStr">
        <is>
          <t>Hemoglobin</t>
        </is>
      </c>
      <c r="E500" t="n">
        <v>15.5</v>
      </c>
      <c r="F500" t="inlineStr">
        <is>
          <t>g/dL</t>
        </is>
      </c>
      <c r="G500" t="n">
        <v>12</v>
      </c>
      <c r="H500" t="n">
        <v>17.5</v>
      </c>
      <c r="I500" t="inlineStr">
        <is>
          <t>N</t>
        </is>
      </c>
      <c r="J500" t="inlineStr">
        <is>
          <t>STAT</t>
        </is>
      </c>
      <c r="K500" s="33" t="n">
        <v>45774.01319444444</v>
      </c>
      <c r="L500" s="33" t="n">
        <v>45774.03611111111</v>
      </c>
      <c r="M500" s="34" t="n"/>
    </row>
    <row r="501">
      <c r="A501" t="inlineStr">
        <is>
          <t>LAB734438</t>
        </is>
      </c>
      <c r="B501" t="inlineStr">
        <is>
          <t>ENC114548</t>
        </is>
      </c>
      <c r="C501" t="inlineStr">
        <is>
          <t>CREAT</t>
        </is>
      </c>
      <c r="D501" t="inlineStr">
        <is>
          <t>Creatinine</t>
        </is>
      </c>
      <c r="E501" t="n">
        <v>1.58</v>
      </c>
      <c r="F501" t="inlineStr">
        <is>
          <t>mg/dL</t>
        </is>
      </c>
      <c r="G501" t="n">
        <v>0.6</v>
      </c>
      <c r="H501" t="n">
        <v>1.3</v>
      </c>
      <c r="I501" t="inlineStr">
        <is>
          <t>H</t>
        </is>
      </c>
      <c r="J501" t="inlineStr">
        <is>
          <t>Routine</t>
        </is>
      </c>
      <c r="K501" s="33" t="n">
        <v>45774.01736111111</v>
      </c>
      <c r="L501" s="33" t="n">
        <v>45774.075</v>
      </c>
      <c r="M501" s="34" t="n"/>
    </row>
    <row r="502">
      <c r="A502" t="inlineStr">
        <is>
          <t>LAB734524</t>
        </is>
      </c>
      <c r="B502" t="inlineStr">
        <is>
          <t>ENC114581</t>
        </is>
      </c>
      <c r="C502" t="inlineStr">
        <is>
          <t>GLU</t>
        </is>
      </c>
      <c r="D502" t="inlineStr">
        <is>
          <t>Glucose</t>
        </is>
      </c>
      <c r="E502" t="n">
        <v>109</v>
      </c>
      <c r="F502" t="inlineStr">
        <is>
          <t>mg/dL</t>
        </is>
      </c>
      <c r="G502" t="n">
        <v>70</v>
      </c>
      <c r="H502" t="n">
        <v>99</v>
      </c>
      <c r="I502" t="inlineStr">
        <is>
          <t>H</t>
        </is>
      </c>
      <c r="J502" t="inlineStr">
        <is>
          <t>STAT</t>
        </is>
      </c>
      <c r="K502" s="33" t="n">
        <v>45775.74375</v>
      </c>
      <c r="L502" s="33" t="n">
        <v>45775.77222222222</v>
      </c>
      <c r="M502" s="34" t="n"/>
    </row>
    <row r="503">
      <c r="A503" t="inlineStr">
        <is>
          <t>LAB734528</t>
        </is>
      </c>
      <c r="B503" t="inlineStr">
        <is>
          <t>ENC114581</t>
        </is>
      </c>
      <c r="C503" t="inlineStr">
        <is>
          <t>LACT</t>
        </is>
      </c>
      <c r="D503" t="inlineStr">
        <is>
          <t>Lactate</t>
        </is>
      </c>
      <c r="E503" t="n">
        <v>1.5</v>
      </c>
      <c r="F503" t="inlineStr">
        <is>
          <t>mmol/L</t>
        </is>
      </c>
      <c r="G503" t="n">
        <v>0.5</v>
      </c>
      <c r="H503" t="n">
        <v>2</v>
      </c>
      <c r="I503" t="inlineStr">
        <is>
          <t>N</t>
        </is>
      </c>
      <c r="J503" t="inlineStr">
        <is>
          <t>STAT</t>
        </is>
      </c>
      <c r="K503" s="33" t="n">
        <v>45775.78263888889</v>
      </c>
      <c r="L503" s="33" t="n">
        <v>45775.81527777778</v>
      </c>
      <c r="M503" s="34" t="n"/>
    </row>
    <row r="504">
      <c r="A504" t="inlineStr">
        <is>
          <t>LAB734527</t>
        </is>
      </c>
      <c r="B504" t="inlineStr">
        <is>
          <t>ENC114581</t>
        </is>
      </c>
      <c r="C504" t="inlineStr">
        <is>
          <t>HGB</t>
        </is>
      </c>
      <c r="D504" t="inlineStr">
        <is>
          <t>Hemoglobin</t>
        </is>
      </c>
      <c r="E504" t="n">
        <v>14.5</v>
      </c>
      <c r="F504" t="inlineStr">
        <is>
          <t>g/dL</t>
        </is>
      </c>
      <c r="G504" t="n">
        <v>12</v>
      </c>
      <c r="H504" t="n">
        <v>17.5</v>
      </c>
      <c r="I504" t="inlineStr">
        <is>
          <t>N</t>
        </is>
      </c>
      <c r="J504" t="inlineStr">
        <is>
          <t>STAT</t>
        </is>
      </c>
      <c r="K504" s="33" t="n">
        <v>45775.775</v>
      </c>
      <c r="L504" s="33" t="n">
        <v>45775.81944444445</v>
      </c>
      <c r="M504" s="34" t="n"/>
    </row>
    <row r="505">
      <c r="A505" t="inlineStr">
        <is>
          <t>LAB734526</t>
        </is>
      </c>
      <c r="B505" t="inlineStr">
        <is>
          <t>ENC114581</t>
        </is>
      </c>
      <c r="C505" t="inlineStr">
        <is>
          <t>WBC</t>
        </is>
      </c>
      <c r="D505" t="inlineStr">
        <is>
          <t>White Blood Cell Count</t>
        </is>
      </c>
      <c r="E505" t="n">
        <v>7.9</v>
      </c>
      <c r="F505" t="inlineStr">
        <is>
          <t>K/uL</t>
        </is>
      </c>
      <c r="G505" t="n">
        <v>4.5</v>
      </c>
      <c r="H505" t="n">
        <v>11</v>
      </c>
      <c r="I505" t="inlineStr">
        <is>
          <t>N</t>
        </is>
      </c>
      <c r="J505" t="inlineStr">
        <is>
          <t>Routine</t>
        </is>
      </c>
      <c r="K505" s="33" t="n">
        <v>45775.76597222222</v>
      </c>
      <c r="L505" s="33" t="n">
        <v>45775.84722222222</v>
      </c>
      <c r="M505" s="34" t="n"/>
    </row>
    <row r="506">
      <c r="A506" t="inlineStr">
        <is>
          <t>LAB734525</t>
        </is>
      </c>
      <c r="B506" t="inlineStr">
        <is>
          <t>ENC114581</t>
        </is>
      </c>
      <c r="C506" t="inlineStr">
        <is>
          <t>CREAT</t>
        </is>
      </c>
      <c r="D506" t="inlineStr">
        <is>
          <t>Creatinine</t>
        </is>
      </c>
      <c r="E506" t="n">
        <v>0.41</v>
      </c>
      <c r="F506" t="inlineStr">
        <is>
          <t>mg/dL</t>
        </is>
      </c>
      <c r="G506" t="n">
        <v>0.6</v>
      </c>
      <c r="H506" t="n">
        <v>1.3</v>
      </c>
      <c r="I506" t="inlineStr">
        <is>
          <t>L</t>
        </is>
      </c>
      <c r="J506" t="inlineStr">
        <is>
          <t>Routine</t>
        </is>
      </c>
      <c r="K506" s="33" t="n">
        <v>45775.74236111111</v>
      </c>
      <c r="L506" s="33" t="n">
        <v>45775.88611111111</v>
      </c>
      <c r="M506" s="34" t="n"/>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002E75B6"/>
    <outlinePr summaryBelow="1" summaryRight="1"/>
    <pageSetUpPr fitToPage="1"/>
  </sheetPr>
  <dimension ref="A1:J40"/>
  <sheetViews>
    <sheetView tabSelected="0" workbookViewId="0">
      <pane ySplit="4" topLeftCell="A5" activePane="bottomLeft" state="frozen"/>
      <selection pane="bottomLeft" activeCell="A1" sqref="A1"/>
    </sheetView>
  </sheetViews>
  <sheetFormatPr baseColWidth="8" defaultRowHeight="15"/>
  <cols>
    <col width="38" customWidth="1" min="1" max="1"/>
    <col width="14" customWidth="1" min="2" max="2"/>
    <col width="24" customWidth="1" min="3" max="3"/>
    <col width="3" customWidth="1" min="4" max="4"/>
    <col width="11" customWidth="1" min="5" max="5"/>
    <col width="10" customWidth="1" min="6" max="6"/>
    <col width="11" customWidth="1" min="7" max="7"/>
    <col width="13" customWidth="1" min="8" max="8"/>
    <col width="3" customWidth="1" min="9" max="9"/>
    <col width="20" customWidth="1" min="10" max="10"/>
  </cols>
  <sheetData>
    <row r="1">
      <c r="A1" s="27" t="inlineStr">
        <is>
          <t>Output: your macros write their results here</t>
        </is>
      </c>
    </row>
    <row r="2" ht="32" customHeight="1">
      <c r="A2" s="28" t="inlineStr">
        <is>
          <t>Macros write into the blue cells. The Practice and Bonus sheets read these cells, so keep them where they are and don't type in them by hand.</t>
        </is>
      </c>
    </row>
    <row r="3">
      <c r="E3" s="3" t="inlineStr">
        <is>
          <t>Bonus: LabSnapshot writes one row per TestCode from row 5 down.</t>
        </is>
      </c>
    </row>
    <row r="4">
      <c r="A4" s="35" t="inlineStr">
        <is>
          <t>Result</t>
        </is>
      </c>
      <c r="B4" s="35" t="inlineStr">
        <is>
          <t>Value</t>
        </is>
      </c>
      <c r="C4" s="35" t="inlineStr">
        <is>
          <t>Written by (task)</t>
        </is>
      </c>
      <c r="E4" s="35" t="inlineStr">
        <is>
          <t>TestCode</t>
        </is>
      </c>
      <c r="F4" s="35" t="inlineStr">
        <is>
          <t>Results</t>
        </is>
      </c>
      <c r="G4" s="35" t="inlineStr">
        <is>
          <t>Abnormal</t>
        </is>
      </c>
      <c r="H4" s="35" t="inlineStr">
        <is>
          <t>PctAbnormal</t>
        </is>
      </c>
      <c r="J4" s="35" t="inlineStr">
        <is>
          <t>Highest % abnormal</t>
        </is>
      </c>
    </row>
    <row r="5">
      <c r="A5" s="36" t="inlineStr">
        <is>
          <t>Lab rows on the Labs sheet</t>
        </is>
      </c>
      <c r="B5" s="37" t="n"/>
      <c r="C5" s="38" t="inlineStr">
        <is>
          <t>Warmup (1)</t>
        </is>
      </c>
      <c r="H5" s="39" t="n"/>
      <c r="J5" s="37" t="n"/>
    </row>
    <row r="6">
      <c r="A6" s="36" t="inlineStr">
        <is>
          <t>Critical results (HH or LL)</t>
        </is>
      </c>
      <c r="B6" s="37" t="n"/>
      <c r="C6" s="38" t="inlineStr">
        <is>
          <t>CountCriticals (8)</t>
        </is>
      </c>
      <c r="H6" s="39" t="n"/>
    </row>
    <row r="7">
      <c r="A7" s="36" t="inlineStr">
        <is>
          <t>Average potassium, mmol/L</t>
        </is>
      </c>
      <c r="B7" s="40" t="n"/>
      <c r="C7" s="38" t="inlineStr">
        <is>
          <t>AveragePotassium (9)</t>
        </is>
      </c>
      <c r="H7" s="39" t="n"/>
    </row>
    <row r="8">
      <c r="A8" s="36" t="inlineStr">
        <is>
          <t>First critical LabResultID</t>
        </is>
      </c>
      <c r="B8" s="37" t="n"/>
      <c r="C8" s="38" t="inlineStr">
        <is>
          <t>FindFirstCritical (10)</t>
        </is>
      </c>
      <c r="H8" s="39" t="n"/>
    </row>
    <row r="9">
      <c r="A9" s="36" t="inlineStr">
        <is>
          <t>Results above your limit</t>
        </is>
      </c>
      <c r="B9" s="37" t="n"/>
      <c r="C9" s="38" t="inlineStr">
        <is>
          <t>WriteCountAbove (12)</t>
        </is>
      </c>
      <c r="H9" s="39" t="n"/>
    </row>
    <row r="10">
      <c r="A10" s="36" t="inlineStr">
        <is>
          <t>Glucose results above 180 mg/dL</t>
        </is>
      </c>
      <c r="B10" s="37" t="n"/>
      <c r="C10" s="38" t="inlineStr">
        <is>
          <t>BuggyGlucoseCount (13)</t>
        </is>
      </c>
      <c r="H10" s="39" t="n"/>
    </row>
    <row r="11">
      <c r="H11" s="39" t="n"/>
    </row>
    <row r="12">
      <c r="H12" s="39" t="n"/>
    </row>
    <row r="13">
      <c r="H13" s="39" t="n"/>
    </row>
    <row r="14">
      <c r="H14" s="39" t="n"/>
    </row>
    <row r="15">
      <c r="H15" s="39" t="n"/>
    </row>
    <row r="16">
      <c r="H16" s="39" t="n"/>
    </row>
    <row r="17">
      <c r="H17" s="39" t="n"/>
    </row>
    <row r="18">
      <c r="H18" s="39" t="n"/>
    </row>
    <row r="19">
      <c r="H19" s="39" t="n"/>
    </row>
    <row r="20">
      <c r="H20" s="39" t="n"/>
    </row>
    <row r="21">
      <c r="H21" s="39" t="n"/>
    </row>
    <row r="22">
      <c r="H22" s="39" t="n"/>
    </row>
    <row r="23">
      <c r="H23" s="39" t="n"/>
    </row>
    <row r="24">
      <c r="H24" s="39" t="n"/>
    </row>
    <row r="25">
      <c r="H25" s="39" t="n"/>
    </row>
    <row r="26">
      <c r="H26" s="39" t="n"/>
    </row>
    <row r="27">
      <c r="H27" s="39" t="n"/>
    </row>
    <row r="28">
      <c r="H28" s="39" t="n"/>
    </row>
    <row r="29">
      <c r="H29" s="39" t="n"/>
    </row>
    <row r="30">
      <c r="H30" s="39" t="n"/>
    </row>
    <row r="31">
      <c r="H31" s="39" t="n"/>
    </row>
    <row r="32">
      <c r="H32" s="39" t="n"/>
    </row>
    <row r="33">
      <c r="H33" s="39" t="n"/>
    </row>
    <row r="34">
      <c r="H34" s="39" t="n"/>
    </row>
    <row r="35">
      <c r="H35" s="39" t="n"/>
    </row>
    <row r="36">
      <c r="H36" s="39" t="n"/>
    </row>
    <row r="37">
      <c r="H37" s="39" t="n"/>
    </row>
    <row r="38">
      <c r="H38" s="39" t="n"/>
    </row>
    <row r="39">
      <c r="H39" s="39" t="n"/>
    </row>
    <row r="40">
      <c r="H40" s="39" t="n"/>
    </row>
  </sheetData>
  <mergeCells count="1">
    <mergeCell ref="A2:J2"/>
  </mergeCells>
  <pageMargins left="0.75" right="0.75" top="1" bottom="1" header="0.5" footer="0.5"/>
  <pageSetup orientation="landscape" fitToHeight="0" fitToWidth="1"/>
</worksheet>
</file>

<file path=xl/worksheets/sheet6.xml><?xml version="1.0" encoding="utf-8"?>
<worksheet xmlns="http://schemas.openxmlformats.org/spreadsheetml/2006/main">
  <sheetPr>
    <tabColor rgb="00BF9000"/>
    <outlinePr summaryBelow="1" summaryRight="1"/>
    <pageSetUpPr fitToPage="1"/>
  </sheetPr>
  <dimension ref="A1:E40"/>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5.2 · Bonus: one-click lab snapshot</t>
        </is>
      </c>
    </row>
    <row r="2" ht="124" customHeight="1">
      <c r="A2" s="14" t="inlineStr">
        <is>
          <t>The ICU medical director wants a one-click 'lab snapshot' for the morning huddle. Complete the LabSnapshot stub in the starter module so that it does four things:
1. Clears the old fills on Labs!A2:L506, the old summary in Output!E5:H40, and Output!J5, so you can run it again safely.
2. Colors each data row (columns A:L) by its AbnormalFlag: light red RGB(255, 199, 206) for HH or LL, amber RGB(255, 235, 156) for H or L, and no fill for N.
3. Builds a summary table on the Output sheet from row 5 down, with one row per TestCode in the order each code first appears. The columns are TestCode (E), Results (F), Abnormal (G, any flag other than N), and PctAbnormal (H, Abnormal ÷ Results, formatted 0.0%).
4. Writes the TestCode with the highest PctAbnormal to Output!J5.
Don't use Scripting.Dictionary, because that's Lesson 5.4. A nested loop that searches the table you're building is enough.</t>
        </is>
      </c>
    </row>
    <row r="3" ht="34" customHeight="1">
      <c r="A3" s="15" t="inlineStr">
        <is>
          <t>Type your answer in each yellow cell, or run the task's macro so its gray cell fills in by itself. The Check column turns green when your answer matches. Stuck? Read the hint, then the lesson guide. Answers: right-click a sheet tab → Unhide… → 'Bonus Key'.</t>
        </is>
      </c>
    </row>
    <row r="4">
      <c r="A4" s="16">
        <f>"Score: "&amp;COUNTIF(E6:E10,"✔*")&amp;" of 5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B1</t>
        </is>
      </c>
      <c r="B6" s="19" t="inlineStr">
        <is>
          <t>Run LabSnapshot. Then click the filter arrow on the Labs table's AbnormalFlag header and choose Filter by Color → your amber fill. How many rows are amber? (The status bar shows 'x of 505 records found'.)</t>
        </is>
      </c>
      <c r="C6" s="20" t="inlineStr">
        <is>
          <t>Select Case flag: Case "HH", "LL" … Case "H", "L" …</t>
        </is>
      </c>
      <c r="D6" s="23" t="n"/>
      <c r="E6" s="22">
        <f>IF(IFERROR(D6="",FALSE),"",IF(IFERROR(AND(ISNUMBER(D6),OR(ABS(D6-'Bonus Key'!$C$5)&lt;=0.0001)),FALSE),"✔ Correct","✘ Not yet"))</f>
        <v/>
      </c>
    </row>
    <row r="7" ht="51" customHeight="1">
      <c r="A7" s="18" t="inlineStr">
        <is>
          <t>B2</t>
        </is>
      </c>
      <c r="B7" s="19" t="inlineStr">
        <is>
          <t>How many TestCode rows does your summary table have? (The gray cell counts the codes in Output!E5:E40.)</t>
        </is>
      </c>
      <c r="C7" s="20" t="inlineStr">
        <is>
          <t>Search rows 5 to nextRow - 1 with an inner For loop. If the code isn't there, add a row</t>
        </is>
      </c>
      <c r="D7" cm="1" s="21">
        <f t="array" ref="D7">IF(COUNTA(Output!E5:E40)=0,"",COUNTA(Output!E5:E40))</f>
        <v/>
      </c>
      <c r="E7" s="22">
        <f>IF(IFERROR(D7="",FALSE),"",IF(IFERROR(AND(ISNUMBER(D7),OR(ABS(D7-'Bonus Key'!$C$6)&lt;=0.0001)),FALSE),"✔ Correct","✘ Not yet"))</f>
        <v/>
      </c>
    </row>
    <row r="8" ht="36" customHeight="1">
      <c r="A8" s="18" t="inlineStr">
        <is>
          <t>B3</t>
        </is>
      </c>
      <c r="B8" s="19" t="inlineStr">
        <is>
          <t>How many creatinine (CREAT) results are abnormal (any flag other than N)? (The gray cell looks up CREAT in your table.)</t>
        </is>
      </c>
      <c r="C8" s="20" t="inlineStr">
        <is>
          <t>If flag &lt;&gt; "N" Then add 1 to column G of the test's row</t>
        </is>
      </c>
      <c r="D8" cm="1" s="21">
        <f t="array" ref="D8">IFERROR(INDEX(Output!G5:G40,MATCH("CREAT",Output!E5:E40,0)),"")</f>
        <v/>
      </c>
      <c r="E8" s="22">
        <f>IF(IFERROR(D8="",FALSE),"",IF(IFERROR(AND(ISNUMBER(D8),OR(ABS(D8-'Bonus Key'!$C$7)&lt;=0.0001)),FALSE),"✔ Correct","✘ Not yet"))</f>
        <v/>
      </c>
    </row>
    <row r="9" ht="36" customHeight="1">
      <c r="A9" s="18" t="inlineStr">
        <is>
          <t>B4</t>
        </is>
      </c>
      <c r="B9" s="19" t="inlineStr">
        <is>
          <t>What percentage of lactate (LACT) results are abnormal? (The gray cell looks up LACT in your table.)</t>
        </is>
      </c>
      <c r="C9" s="20" t="inlineStr">
        <is>
          <t>Compute the percentages in a second loop, after every row has been counted</t>
        </is>
      </c>
      <c r="D9" cm="1" s="41">
        <f t="array" ref="D9">IFERROR(INDEX(Output!H5:H40,MATCH("LACT",Output!E5:E40,0)),"")</f>
        <v/>
      </c>
      <c r="E9" s="22">
        <f>IF(IFERROR(D9="",FALSE),"",IF(IFERROR(AND(ISNUMBER(D9),OR(ABS(D9-'Bonus Key'!$C$8)&lt;=0.00051,ABS(D9-'Bonus Key'!$C$8*100)&lt;=0.051000000000000004)),FALSE),"✔ Correct","✘ Not yet"))</f>
        <v/>
      </c>
    </row>
    <row r="10" ht="36" customHeight="1">
      <c r="A10" s="18" t="inlineStr">
        <is>
          <t>B5</t>
        </is>
      </c>
      <c r="B10" s="19" t="inlineStr">
        <is>
          <t>Which TestCode has the highest percentage of abnormal results? (The gray cell reads Output!J5.)</t>
        </is>
      </c>
      <c r="C10" s="20" t="inlineStr">
        <is>
          <t>Track the best value so far: If pct &gt; topPct Then …</t>
        </is>
      </c>
      <c r="D10" cm="1" s="26">
        <f t="array" ref="D10">IF(Output!J5="","",Output!J5)</f>
        <v/>
      </c>
      <c r="E10" s="22">
        <f>IF(IFERROR(D10="",FALSE),"",IF(IFERROR(OR(LOWER(TRIM(D10&amp;""))=LOWER(TRIM('Bonus Key'!$C$9&amp;""))),FALSE),"✔ Correct","✘ Not yet"))</f>
        <v/>
      </c>
    </row>
    <row r="11"/>
    <row r="12"/>
    <row r="13"/>
    <row r="14"/>
    <row r="15"/>
    <row r="16"/>
    <row r="17"/>
    <row r="18"/>
    <row r="19"/>
    <row r="20"/>
    <row r="21"/>
    <row r="22"/>
    <row r="23"/>
    <row r="24"/>
    <row r="25"/>
    <row r="26"/>
    <row r="27"/>
    <row r="28"/>
    <row r="29"/>
    <row r="30"/>
    <row r="31"/>
    <row r="32"/>
    <row r="33"/>
    <row r="34"/>
    <row r="35"/>
    <row r="36"/>
    <row r="37"/>
    <row r="38"/>
    <row r="39"/>
    <row r="40"/>
  </sheetData>
  <mergeCells count="3">
    <mergeCell ref="A2:E2"/>
    <mergeCell ref="A4:C4"/>
    <mergeCell ref="A3:E3"/>
  </mergeCells>
  <conditionalFormatting sqref="E6:E10">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7.xml><?xml version="1.0" encoding="utf-8"?>
<worksheet xmlns="http://schemas.openxmlformats.org/spreadsheetml/2006/main">
  <sheetPr>
    <tabColor rgb="00C00000"/>
    <outlinePr summaryBelow="1" summaryRight="1"/>
    <pageSetUpPr fitToPage="1"/>
  </sheetPr>
  <dimension ref="A1:F17"/>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42" t="inlineStr">
        <is>
          <t>🔑 Answer Key — Lesson 5.2</t>
        </is>
      </c>
    </row>
    <row r="2" ht="32" customHeight="1">
      <c r="A2" s="28" t="inlineStr">
        <is>
          <t>Spoiler alert: try every task before reading this sheet. Column C is the value the Check column compares against. Column D is a sample solution, and column E recalculates a formula for it live, proving the answer.</t>
        </is>
      </c>
    </row>
    <row r="4">
      <c r="A4" s="43" t="inlineStr">
        <is>
          <t>#</t>
        </is>
      </c>
      <c r="B4" s="43" t="inlineStr">
        <is>
          <t>Task</t>
        </is>
      </c>
      <c r="C4" s="43" t="inlineStr">
        <is>
          <t>Answer</t>
        </is>
      </c>
      <c r="D4" s="43" t="inlineStr">
        <is>
          <t>Sample solution</t>
        </is>
      </c>
      <c r="E4" s="43" t="inlineStr">
        <is>
          <t>Live result</t>
        </is>
      </c>
      <c r="F4" s="43" t="inlineStr">
        <is>
          <t>Explanation</t>
        </is>
      </c>
    </row>
    <row r="5" ht="201" customHeight="1">
      <c r="A5" s="18" t="inlineStr">
        <is>
          <t>1</t>
        </is>
      </c>
      <c r="B5" s="19" t="inlineStr">
        <is>
          <t>Import the starter module, then run the Warmup macro (it's already written). It writes the number of lab rows to Output!B5, and the gray cell reads it from there.</t>
        </is>
      </c>
      <c r="C5" s="44" t="n">
        <v>505</v>
      </c>
      <c r="D5" s="45" t="inlineStr">
        <is>
          <t>Sub Warmup()
    Dim ws As Worksheet
    Dim lastRow As Long
    Set ws = ThisWorkbook.Worksheets("Labs")
    lastRow = ws.Cells(ws.Rows.Count, 1).End(xlUp).Row      ' last filled row in column A
    ThisWorkbook.Worksheets("Output").Range("B5").Value = lastRow - 1   ' minus the header row
    Debug.Print "Warmup ran: " &amp; (lastRow - 1) &amp; " lab rows"
End Sub</t>
        </is>
      </c>
      <c r="E5" cm="1" s="19">
        <f t="array" ref="E5">COUNTA(Labs!A2:A506)</f>
        <v/>
      </c>
      <c r="F5" s="19" t="inlineStr">
        <is>
          <t>Warmup finds the last filled row in column A, subtracts 1 for the header row, and writes the result into a cell. If the gray cell stays empty, check that you saved as .xlsm, enabled macros, and ran Warmup in this workbook. If you made a Personal Macro Workbook in Lesson 5.1, also check that LabMacros was imported into this workbook's project and not into PERSONAL.XLSB. Open the Immediate window (Ctrl + G; Mac: View → Immediate Window) to see the line Debug.Print wrote.</t>
        </is>
      </c>
    </row>
    <row r="6" ht="81" customHeight="1">
      <c r="A6" s="18" t="inlineStr">
        <is>
          <t>2</t>
        </is>
      </c>
      <c r="B6" s="19" t="inlineStr">
        <is>
          <t>Snippet A: what number does the Immediate window show? Predict first, then run SnippetA_Typo to check.</t>
        </is>
      </c>
      <c r="C6" s="44" t="n">
        <v>5</v>
      </c>
      <c r="D6" s="46" t="inlineStr">
        <is>
          <t>Trace it: drawCount is set to 5. The next line assigns to drawCuont, which is a different variable, so drawCount is still 5 when it's printed.</t>
        </is>
      </c>
      <c r="E6" s="18" t="inlineStr">
        <is>
          <t>—</t>
        </is>
      </c>
      <c r="F6" s="19" t="inlineStr">
        <is>
          <t>Without Option Explicit, VBA silently creates a new Variant for any misspelled name, so the typo doesn't raise an error and the result is quietly wrong. Add Option Explicit at the top of the module and the same code stops with Compile error: Variable not defined, highlighting drawCuont.</t>
        </is>
      </c>
    </row>
    <row r="7" ht="81" customHeight="1">
      <c r="A7" s="18" t="inlineStr">
        <is>
          <t>3</t>
        </is>
      </c>
      <c r="B7" s="19" t="inlineStr">
        <is>
          <t>Snippet B: running SnippetB_Overflow stops with a run-time error. Type the error number.</t>
        </is>
      </c>
      <c r="C7" s="44" t="inlineStr">
        <is>
          <t>6</t>
        </is>
      </c>
      <c r="D7" s="46" t="inlineStr">
        <is>
          <t>Run-time error 6: Overflow. An Integer holds only −32,768 to 32,767, and 51,527 is bigger.</t>
        </is>
      </c>
      <c r="E7" s="18" t="inlineStr">
        <is>
          <t>—</t>
        </is>
      </c>
      <c r="F7" s="19" t="inlineStr">
        <is>
          <t>Integer is a 16-bit type left over from early versions of VBA. Use Long (up to about 2.1 billion) for counts and row numbers. A worksheet has 1,048,576 rows, so an Integer row counter fails on any large sheet. Long is also no slower on modern computers.</t>
        </is>
      </c>
    </row>
    <row r="8" ht="81" customHeight="1">
      <c r="A8" s="18" t="inlineStr">
        <is>
          <t>4</t>
        </is>
      </c>
      <c r="B8" s="19" t="inlineStr">
        <is>
          <t>Snippet C: what exactly does the Immediate window show? Type the whole line in the same pattern, for example 1 h 5 min.</t>
        </is>
      </c>
      <c r="C8" s="44" t="inlineStr">
        <is>
          <t>3 h 19 min</t>
        </is>
      </c>
      <c r="D8" s="46" t="inlineStr">
        <is>
          <t>199 \ 60 is 3 (whole hours) and 199 Mod 60 is 19 (leftover minutes). &amp; joins everything into one string: 3 h 19 min.</t>
        </is>
      </c>
      <c r="E8" s="18" t="inlineStr">
        <is>
          <t>—</t>
        </is>
      </c>
      <c r="F8" s="19" t="inlineStr">
        <is>
          <t>Arithmetic operators run before &amp;, so each piece is calculated first and then joined. Integer division \ and Mod are the standard way to split minutes into hours and minutes. (199 minutes was the slowest STAT turnaround on the Labs sheet, against a 60-minute target.)</t>
        </is>
      </c>
    </row>
    <row r="9" ht="81" customHeight="1">
      <c r="A9" s="18" t="inlineStr">
        <is>
          <t>5</t>
        </is>
      </c>
      <c r="B9" s="19" t="inlineStr">
        <is>
          <t>Snippet D: what number does Debug.Print hr show after the loop finishes?</t>
        </is>
      </c>
      <c r="C9" s="44" t="n">
        <v>24</v>
      </c>
      <c r="D9" s="46" t="inlineStr">
        <is>
          <t>The loop body runs for hr = 0, 4, 8, 12, 16, 20 (6 checks). Next then adds the Step again (20 + 4 = 24), which is past 23, so the loop ends with hr = 24.</t>
        </is>
      </c>
      <c r="E9" s="18" t="inlineStr">
        <is>
          <t>—</t>
        </is>
      </c>
      <c r="F9" s="19" t="inlineStr">
        <is>
          <t>After a For…Next loop finishes normally, the counter holds the first value that failed the test, not the last value used. That's why code that needs "the last row processed" should save it in its own variable or leave the loop with Exit For.</t>
        </is>
      </c>
    </row>
    <row r="10" ht="81" customHeight="1">
      <c r="A10" s="18" t="inlineStr">
        <is>
          <t>6</t>
        </is>
      </c>
      <c r="B10" s="19" t="inlineStr">
        <is>
          <t>Snippet E: which category does the Immediate window show? (Type the word.)</t>
        </is>
      </c>
      <c r="C10" s="44" t="inlineStr">
        <is>
          <t>Elevated</t>
        </is>
      </c>
      <c r="D10" s="46" t="inlineStr">
        <is>
          <t>4.6 is not &lt; 0.5 and not ≤ 2, but it is &gt; 2, so Case Is &gt; 2 matches and sets Elevated. VBA then jumps to End Select, so Case Is &gt; 4 is never tested.</t>
        </is>
      </c>
      <c r="E10" s="18" t="inlineStr">
        <is>
          <t>—</t>
        </is>
      </c>
      <c r="F10" s="19" t="inlineStr">
        <is>
          <t>Order matters in Select Case. Put the most specific (most extreme) test first: Case Is &gt; 4 before Case Is &gt; 2. Here a critical lactate of 4.6 mmol/L is mislabeled "Elevated", which is exactly the kind of silent bug that testing with real values catches.</t>
        </is>
      </c>
    </row>
    <row r="11" ht="66" customHeight="1">
      <c r="A11" s="18" t="inlineStr">
        <is>
          <t>7</t>
        </is>
      </c>
      <c r="B11" s="19" t="inlineStr">
        <is>
          <t>Snippet F: how many hours does the Immediate window show?</t>
        </is>
      </c>
      <c r="C11" s="44" t="n">
        <v>18</v>
      </c>
      <c r="D11" s="46" t="inlineStr">
        <is>
          <t>level 400 → 200 (6 h) → 100 (12 h) → 50 (18 h). Before the next pass VBA tests 50 &gt; 50, which is False, so the loop stops: 18.</t>
        </is>
      </c>
      <c r="E11" s="18" t="inlineStr">
        <is>
          <t>—</t>
        </is>
      </c>
      <c r="F11" s="19" t="inlineStr">
        <is>
          <t>Do While … Loop tests the condition before each pass, so the body may run zero times. Use Do … Loop While when the body must run at least once. Watch the boundary: &gt; 50 stops at exactly 50, while &gt;= 50 would run one more pass and print 24.</t>
        </is>
      </c>
    </row>
    <row r="12" ht="351" customHeight="1">
      <c r="A12" s="18" t="inlineStr">
        <is>
          <t>8</t>
        </is>
      </c>
      <c r="B12" s="19" t="inlineStr">
        <is>
          <t>Complete CountCriticals: use For Each to loop over the AbnormalFlag cells (Labs column I) and count the results flagged HH or LL (critical values). Write the count to Output!B6.</t>
        </is>
      </c>
      <c r="C12" s="44" t="n">
        <v>24</v>
      </c>
      <c r="D12" s="45" t="inlineStr">
        <is>
          <t>Sub CountCriticals()
    Dim ws As Worksheet
    Dim lastRow As Long
    Dim cell As Range
    Dim criticalCount As Long
    Set ws = ThisWorkbook.Worksheets("Labs")
    lastRow = ws.Cells(ws.Rows.Count, 1).End(xlUp).Row
    For Each cell In ws.Range("I2:I" &amp; lastRow)          ' the AbnormalFlag column
        If cell.Value = "HH" Or cell.Value = "LL" Then
            criticalCount = criticalCount + 1
        End If
    Next cell
    ThisWorkbook.Worksheets("Output").Range("B6").Value = criticalCount
    MsgBox criticalCount &amp; " critical results", vbInformation, "Count criticals"
End Sub</t>
        </is>
      </c>
      <c r="E12" cm="1" s="19">
        <f t="array" ref="E12">COUNTIF(Labs!I2:I506,"HH")+COUNTIF(Labs!I2:I506,"LL")</f>
        <v/>
      </c>
      <c r="F12" s="19" t="inlineStr">
        <is>
          <t>This is the counter pattern: start a Long at 0 and add 1 each time a condition is true. Each Or side must be a full comparison: cell.Value = "HH" Or cell.Value = "LL". Writing cell.Value = "HH" Or "LL" gives a Type mismatch error. Cross-check with a formula: =COUNTIF(Labs!I2:I506,"HH")+COUNTIF(Labs!I2:I506,"LL").</t>
        </is>
      </c>
    </row>
    <row r="13" ht="409" customHeight="1">
      <c r="A13" s="18" t="inlineStr">
        <is>
          <t>9</t>
        </is>
      </c>
      <c r="B13" s="19" t="inlineStr">
        <is>
          <t>Complete AveragePotassium: loop over the rows with For…Next, add up ResultValue for every potassium result (TestCode K) and count them, then write the average to Output!B7. (Full precision or 2 decimal places are both accepted.)</t>
        </is>
      </c>
      <c r="C13" s="47" t="n">
        <v>4.070833333333334</v>
      </c>
      <c r="D13" s="45" t="inlineStr">
        <is>
          <t>Sub AveragePotassium()
    Dim ws As Worksheet
    Dim r As Long, lastRow As Long
    Dim total As Double, n As Long
    Set ws = ThisWorkbook.Worksheets("Labs")
    lastRow = ws.Cells(ws.Rows.Count, 1).End(xlUp).Row
    For r = 2 To lastRow
        If ws.Cells(r, 3).Value = "K" Then           ' column C = TestCode
            total = total + ws.Cells(r, 5).Value     ' column E = ResultValue
            n = n + 1
        End If
    Next r
    If n &gt; 0 Then
        ThisWorkbook.Worksheets("Output").Range("B7").Value = total / n
        Debug.Print n &amp; " potassium results, average " &amp; Format(total / n, "0.00")
    Else
        MsgBox "No potassium results found.", vbExclamation
    End If
End Sub</t>
        </is>
      </c>
      <c r="E13" cm="1" s="48">
        <f t="array" ref="E13">AVERAGEIF(Labs!C2:C506,"K",Labs!E2:E506)</f>
        <v/>
      </c>
      <c r="F13" s="19" t="inlineStr">
        <is>
          <t>The accumulator pattern keeps a running total and a running count, then divides once at the end. The If n &gt; 0 guard matters when no rows match: then total and n are both still 0, and 0 / 0 stops with run-time error 6 (Overflow). Any other number divided by 0 gives error 11 (Division by zero). The 24 potassium results average 4.07 mmol/L, which is comfortably inside the 3.5–5.1 reference range. If you round in VBA, remember that Round uses banker's rounding.</t>
        </is>
      </c>
    </row>
    <row r="14" ht="409" customHeight="1">
      <c r="A14" s="18" t="inlineStr">
        <is>
          <t>10</t>
        </is>
      </c>
      <c r="B14" s="19" t="inlineStr">
        <is>
          <t>Complete FindFirstCritical: find the first row (from the top) whose AbnormalFlag is HH or LL, write its LabResultID to Output!B8, and leave the loop with Exit For.</t>
        </is>
      </c>
      <c r="C14" s="44" t="inlineStr">
        <is>
          <t>LAB725484</t>
        </is>
      </c>
      <c r="D14" s="45" t="inlineStr">
        <is>
          <t>Sub FindFirstCritical()
    Dim ws As Worksheet
    Dim r As Long, lastRow As Long
    Dim firstID As String
    Set ws = ThisWorkbook.Worksheets("Labs")
    lastRow = ws.Cells(ws.Rows.Count, 1).End(xlUp).Row
    For r = 2 To lastRow
        Select Case ws.Cells(r, 9).Value             ' column I = AbnormalFlag
            Case "HH", "LL"
                firstID = ws.Cells(r, 1).Value       ' column A = LabResultID
                Exit For                             ' found it: stop looping
        End Select
    Next r
    If firstID = "" Then firstID = "None found"
    ThisWorkbook.Worksheets("Output").Range("B8").Value = firstID
    Debug.Print "First critical: " &amp; firstID &amp; " (row " &amp; r &amp; ")"
End Sub</t>
        </is>
      </c>
      <c r="E14" cm="1" s="19">
        <f t="array" ref="E14">INDEX(Labs!A2:A506,MIN(IFERROR(MATCH("HH",Labs!I2:I506,0),99999),IFERROR(MATCH("LL",Labs!I2:I506,0),99999)))</f>
        <v/>
      </c>
      <c r="F14" s="19" t="inlineStr">
        <is>
          <t>Exit For leaves the loop the moment the first match is found (sheet row 7), so the macro doesn't waste time on the remaining rows and firstID can't be overwritten by a later match. A Case with a comma-separated list (Case "HH", "LL") matches any of the values.</t>
        </is>
      </c>
    </row>
    <row r="15" ht="409" customHeight="1">
      <c r="A15" s="18" t="inlineStr">
        <is>
          <t>11</t>
        </is>
      </c>
      <c r="B15" s="19" t="inlineStr">
        <is>
          <t>Complete FlagSlowStat: for every STAT result whose turnaround (ResultedDateTime minus CollectedDateTime, in minutes, with DateDiff) is more than 60 minutes, write SLOW in that row's TATFlag cell (Labs column M). Leave all other rows empty. The gray cell counts the SLOW flags.</t>
        </is>
      </c>
      <c r="C15" s="44" t="n">
        <v>87</v>
      </c>
      <c r="D15" s="45" t="inlineStr">
        <is>
          <t>Sub FlagSlowStat()
    Dim ws As Worksheet
    Dim r As Long, lastRow As Long
    Dim minutes As Long, slowCount As Long
    Set ws = ThisWorkbook.Worksheets("Labs")
    lastRow = ws.Cells(ws.Rows.Count, 1).End(xlUp).Row
    For r = 2 To lastRow
        ws.Cells(r, 13).ClearContents                ' start clean so a re-run is safe
        If ws.Cells(r, 10).Value = "STAT" Then       ' column J = Priority
            ' "n" = minutes (not "m", which is months)
            minutes = DateDiff("n", ws.Cells(r, 11).Value, ws.Cells(r, 12).Value)
            If minutes &gt; 60 Then
                ws.Cells(r, 13).Value = "SLOW"       ' column M = TATFlag
                slowCount = slowCount + 1
            End If
        End If
    Next r
    Debug.Print slowCount &amp; " slow STAT results"
End Sub</t>
        </is>
      </c>
      <c r="E15" cm="1" s="19">
        <f t="array" ref="E15">SUMPRODUCT((Labs!J2:J506="STAT")*(ROUND((Labs!L2:L506-Labs!K2:K506)*1440,0)&gt;60))</f>
        <v/>
      </c>
      <c r="F15" s="19" t="inlineStr">
        <is>
          <t>DateDiff("n", …) returns whole minutes. The interval code is "n" because "m" means months. 87 of the 352 STAT results missed the 60-minute target. Clearing column M at the start of each pass makes the macro safe to run twice, because an old SLOW flag can't survive a re-run.</t>
        </is>
      </c>
    </row>
    <row r="16" ht="409" customHeight="1">
      <c r="A16" s="18" t="inlineStr">
        <is>
          <t>12</t>
        </is>
      </c>
      <c r="B16" s="19" t="inlineStr">
        <is>
          <t>Complete CountAbove and WriteCountAbove. CountAbove asks for a TestCode (InputBox) and a limit (Application.InputBox with Type:=1), then calls WriteCountAbove, which counts the results of that test above the limit, writes the count to Output!B9, and shows it in a MsgBox. Run CountAbove and enter CREAT and 2.</t>
        </is>
      </c>
      <c r="C16" s="44" t="n">
        <v>12</v>
      </c>
      <c r="D16" s="45" t="inlineStr">
        <is>
          <t>Sub CountAbove()
    Dim testCode As String
    Dim limitInput As Variant
    testCode = UCase(Trim(InputBox("Which TestCode? (for example CREAT)", "Count results above a limit")))
    If testCode = "" Then Exit Sub                   ' Cancel (or nothing typed)
    limitInput = Application.InputBox("Count results above what value?", "Count results above a limit", Type:=1)
    If VarType(limitInput) = vbBoolean Then Exit Sub ' Cancel returns False
    WriteCountAbove testCode, CDbl(limitInput)
End Sub
Sub WriteCountAbove(testCode As String, limit As Double)
    Dim ws As Worksheet
    Dim r As Long, lastRow As Long, n As Long
    Set ws = ThisWorkbook.Worksheets("Labs")
    lastRow = ws.Cells(ws.Rows.Count, 1).End(xlUp).Row
    For r = 2 To lastRow
        If ws.Cells(r, 3).Value = testCode Then
            If ws.Cells(r, 5).Value &gt; limit Then n = n + 1
        End If
    Next r
    ThisWorkbook.Worksheets("Output").Range("B9").Value = n
    MsgBox n &amp; " " &amp; testCode &amp; " results above " &amp; limit, vbInformation, "Count results above a limit"
End Sub</t>
        </is>
      </c>
      <c r="E16" cm="1" s="19">
        <f t="array" ref="E16">COUNTIFS(Labs!C2:C506,"CREAT",Labs!E2:E506,"&gt;2")</f>
        <v/>
      </c>
      <c r="F16" s="19" t="inlineStr">
        <is>
          <t>Splitting the work into two Subs keeps the dialog code apart from the counting code. You can test WriteCountAbove straight from the Immediate window (WriteCountAbove "CREAT", 2) without clicking through dialogs. Application.InputBox with Type:=1 refuses non-numbers and returns False on Cancel, which is why the result goes into a Variant and is checked with VarType. Creatinine above 2 mg/dL is a rough screen for impaired kidney function. Formal acute kidney injury criteria compare each patient with their own baseline.</t>
        </is>
      </c>
    </row>
    <row r="17" ht="321" customHeight="1">
      <c r="A17" s="18" t="inlineStr">
        <is>
          <t>13</t>
        </is>
      </c>
      <c r="B17" s="19" t="inlineStr">
        <is>
          <t>BuggyGlucoseCount (already in the starter module) should count glucose (GLU) results above 180 mg/dL and write the count to Output!B10. It has two bugs: the first stops it with a run-time error, and after you fix that one it writes 0. Use F8, the Locals window, and the Immediate window to find and fix both, then run it.</t>
        </is>
      </c>
      <c r="C17" s="44" t="n">
        <v>20</v>
      </c>
      <c r="D17" s="45" t="inlineStr">
        <is>
          <t>Sub BuggyGlucoseCount()
    Dim ws As Worksheet
    Dim r As Long, lastRow As Long
    Dim highCount As Long
    Set ws = ThisWorkbook.Worksheets("Labs")
    lastRow = ws.Cells(ws.Rows.Count, 1).End(xlUp).Row
    For r = 2 To lastRow                             ' FIX 1: start below the header row
        If ws.Cells(r, 3).Value = "GLU" And ws.Cells(r, 5).Value &gt; 180 Then   ' FIX 2: "GLU", not "Glu"
            highCount = highCount + 1
        End If
    Next r
    ThisWorkbook.Worksheets("Output").Range("B10").Value = highCount
End Sub</t>
        </is>
      </c>
      <c r="E17" cm="1" s="19">
        <f t="array" ref="E17">COUNTIFS(Labs!C2:C506,"GLU",Labs!E2:E506,"&gt;180")</f>
        <v/>
      </c>
      <c r="F17" s="19" t="inlineStr">
        <is>
          <t>Bug 1: the loop starts at row 1, the header row. ws.Cells(1, 5).Value is the text "ResultValue", and comparing text with the number 180 raises Run-time error 13: Type mismatch. VBA's And evaluates both sides even when the first is already False, so the TestCode test doesn't protect you. Bug 2: text comparison in VBA is case-sensitive by default, so "GLU" = "Glu" is False and nothing is ever counted. Fix it by matching the data exactly ("GLU"), or compare UCase(ws.Cells(r, 3).Value) = "GLU".</t>
        </is>
      </c>
    </row>
  </sheetData>
  <mergeCells count="1">
    <mergeCell ref="A2:F2"/>
  </mergeCells>
  <pageMargins left="0.75" right="0.75" top="1" bottom="1" header="0.5" footer="0.5"/>
  <pageSetup orientation="landscape" fitToHeight="0" fitToWidth="1"/>
</worksheet>
</file>

<file path=xl/worksheets/sheet8.xml><?xml version="1.0" encoding="utf-8"?>
<worksheet xmlns="http://schemas.openxmlformats.org/spreadsheetml/2006/main">
  <sheetPr>
    <tabColor rgb="00C00000"/>
    <outlinePr summaryBelow="1" summaryRight="1"/>
    <pageSetUpPr fitToPage="1"/>
  </sheetPr>
  <dimension ref="A1:F9"/>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42" t="inlineStr">
        <is>
          <t>🔑 Bonus Key — Lesson 5.2</t>
        </is>
      </c>
    </row>
    <row r="2" ht="32" customHeight="1">
      <c r="A2" s="28" t="inlineStr">
        <is>
          <t>Spoiler alert: try every task before reading this sheet. Column C is the value the Check column compares against. Column D is a sample solution, and column E recalculates a formula for it live, proving the answer.</t>
        </is>
      </c>
    </row>
    <row r="4">
      <c r="A4" s="43" t="inlineStr">
        <is>
          <t>#</t>
        </is>
      </c>
      <c r="B4" s="43" t="inlineStr">
        <is>
          <t>Task</t>
        </is>
      </c>
      <c r="C4" s="43" t="inlineStr">
        <is>
          <t>Answer</t>
        </is>
      </c>
      <c r="D4" s="43" t="inlineStr">
        <is>
          <t>Sample solution</t>
        </is>
      </c>
      <c r="E4" s="43" t="inlineStr">
        <is>
          <t>Live result</t>
        </is>
      </c>
      <c r="F4" s="43" t="inlineStr">
        <is>
          <t>Explanation</t>
        </is>
      </c>
    </row>
    <row r="5" ht="409" customHeight="1">
      <c r="A5" s="18" t="inlineStr">
        <is>
          <t>B1</t>
        </is>
      </c>
      <c r="B5" s="19" t="inlineStr">
        <is>
          <t>Run LabSnapshot. Then click the filter arrow on the Labs table's AbnormalFlag header and choose Filter by Color → your amber fill. How many rows are amber? (The status bar shows 'x of 505 records found'.)</t>
        </is>
      </c>
      <c r="C5" s="44" t="n">
        <v>215</v>
      </c>
      <c r="D5" s="45" t="inlineStr">
        <is>
          <t>Sub LabSnapshot()
    Dim wsLab As Worksheet, wsOut As Worksheet
    Dim r As Long, lastRow As Long
    Dim k As Long, nextRow As Long
    Dim flag As String, code As String
    Dim found As Boolean
    Dim pct As Double, topPct As Double, topCode As String
    Set wsLab = ThisWorkbook.Worksheets("Labs")
    Set wsOut = ThisWorkbook.Worksheets("Output")
    lastRow = wsLab.Cells(wsLab.Rows.Count, 1).End(xlUp).Row
    ' 1. Reset: remove old fills and the old summary so the macro can be re-run
    wsLab.Range("A2:L" &amp; lastRow).Interior.ColorIndex = xlNone
    wsOut.Range("E5:H40").ClearContents
    wsOut.Range("J5").ClearContents
    nextRow = 5                                      ' first empty row of the summary table
    For r = 2 To lastRow
        flag = wsLab.Cells(r, 9).Value               ' column I = AbnormalFlag
        code = wsLab.Cells(r, 3).Value               ' column C = TestCode
        ' 2. Color the row (columns A:L) by its flag
        Select Case flag
            Case "HH", "LL"
                wsLab.Range("A" &amp; r &amp; ":L" &amp; r).Interior.Color = RGB(255, 199, 206)
            Case "H", "L"
                wsLab.Range("A" &amp; r &amp; ":L" &amp; r).Interior.Color = RGB(255, 235, 156)
        End Select
        ' 3. Find this test in the summary table; add a new row if it isn't there yet
        found = False
        For k = 5 To nextRow - 1
            If wsOut.Cells(k, 5).Value = code Then
                found = True
                Exit For                             ' k now points at the test's row
            End If
        Next k
        If Not found Then
            k = nextRow
            wsOut.Cells(k, 5).Value = code
            wsOut.Cells(k, 6).Value = 0
            wsOut.Cells(k, 7).Value = 0
            nextRow = nextRow + 1
        End If
        ' 4. Update the counts
        wsOut.Cells(k, 6).Value = wsOut.Cells(k, 6).Value + 1          ' Results
        If flag &lt;&gt; "N" Then
            wsOut.Cells(k, 7).Value = wsOut.Cells(k, 7).Value + 1      ' Abnormal
        End If
    Next r
    ' 5. Percent abnormal for each test, tracking the highest
    For k = 5 To nextRow - 1
        pct = wsOut.Cells(k, 7).Value / wsOut.Cells(k, 6).Value
        wsOut.Cells(k, 8).Value = pct
        If pct &gt; topPct Then
            topPct = pct
            topCode = wsOut.Cells(k, 5).Value
        End If
    Next k
    wsOut.Range("H5:H40").NumberFormat = "0.0%"
    wsOut.Range("J5").Value = topCode
    MsgBox "Tests summarized: " &amp; (nextRow - 5) &amp; vbNewLine &amp; _
           "Highest % abnormal: " &amp; topCode &amp; " (" &amp; Format(topPct, "0.0%") &amp; ")", _
           vbInformation, "Lab snapshot"
End Sub</t>
        </is>
      </c>
      <c r="E5" cm="1" s="19">
        <f t="array" ref="E5">COUNTIF(Labs!I2:I506,"H")+COUNTIF(Labs!I2:I506,"L")</f>
        <v/>
      </c>
      <c r="F5" s="19" t="inlineStr">
        <is>
          <t>A worksheet formula can't see fill colors, so Filter by Color (Lesson 1.6) is how you check the coloring. Clearing the old fills first matters: without it, a row that was amber yesterday would stay amber even if its flag changed. Clear the filter afterwards (Data → Clear). The full macro is also in solutions/LabSnapshot_Solution.bas.</t>
        </is>
      </c>
    </row>
    <row r="6" ht="96" customHeight="1">
      <c r="A6" s="18" t="inlineStr">
        <is>
          <t>B2</t>
        </is>
      </c>
      <c r="B6" s="19" t="inlineStr">
        <is>
          <t>How many TestCode rows does your summary table have? (The gray cell counts the codes in Output!E5:E40.)</t>
        </is>
      </c>
      <c r="C6" s="44" t="n">
        <v>10</v>
      </c>
      <c r="D6" s="46" t="inlineStr">
        <is>
          <t>Run LabSnapshot (full code in B1). The gray cell uses =COUNTA(Output!E5:E40).</t>
        </is>
      </c>
      <c r="E6" cm="1" s="19">
        <f t="array" ref="E6">SUMPRODUCT(1/COUNTIF(Labs!C2:C506,Labs!C2:C506))</f>
        <v/>
      </c>
      <c r="F6" s="19" t="inlineStr">
        <is>
          <t>The inner loop searches only the rows already written (5 to nextRow − 1). If it finishes without a match, the code is new, so the macro writes it in nextRow and moves nextRow down one row. That search-or-add pattern is what a Dictionary does for you in Lesson 5.4. The ICU slice has 10 distinct tests.</t>
        </is>
      </c>
    </row>
    <row r="7" ht="51" customHeight="1">
      <c r="A7" s="18" t="inlineStr">
        <is>
          <t>B3</t>
        </is>
      </c>
      <c r="B7" s="19" t="inlineStr">
        <is>
          <t>How many creatinine (CREAT) results are abnormal (any flag other than N)? (The gray cell looks up CREAT in your table.)</t>
        </is>
      </c>
      <c r="C7" s="44" t="n">
        <v>40</v>
      </c>
      <c r="D7" s="46" t="inlineStr">
        <is>
          <t>Run LabSnapshot. The gray cell uses =INDEX(Output!G5:G40,MATCH("CREAT",Output!E5:E40,0)).</t>
        </is>
      </c>
      <c r="E7" cm="1" s="19">
        <f t="array" ref="E7">COUNTIFS(Labs!C2:C506,"CREAT",Labs!I2:I506,"&lt;&gt;N")</f>
        <v/>
      </c>
      <c r="F7" s="19" t="inlineStr">
        <is>
          <t>&lt;&gt; "N" counts H, L, HH, and LL together, which is what abnormal means here. Updating the count in the found row k works because Exit For left k pointing at that row.</t>
        </is>
      </c>
    </row>
    <row r="8" ht="81" customHeight="1">
      <c r="A8" s="18" t="inlineStr">
        <is>
          <t>B4</t>
        </is>
      </c>
      <c r="B8" s="19" t="inlineStr">
        <is>
          <t>What percentage of lactate (LACT) results are abnormal? (The gray cell looks up LACT in your table.)</t>
        </is>
      </c>
      <c r="C8" s="49" t="n">
        <v>0.7692307692307693</v>
      </c>
      <c r="D8" s="46" t="inlineStr">
        <is>
          <t>Run LabSnapshot. The gray cell uses =INDEX(Output!H5:H40,MATCH("LACT",Output!E5:E40,0)).</t>
        </is>
      </c>
      <c r="E8" cm="1" s="50">
        <f t="array" ref="E8">COUNTIFS(Labs!C2:C506,"LACT",Labs!I2:I506,"&lt;&gt;N")/COUNTIF(Labs!C2:C506,"LACT")</f>
        <v/>
      </c>
      <c r="F8" s="19" t="inlineStr">
        <is>
          <t>Store the ratio (0.769…) and let .NumberFormat = "0.0%" display it. If you store 76.9 instead, the check accepts that too, but a true fraction is easier to reuse in later formulas. Dividing in a separate loop after counting means each test is divided once, with its final totals.</t>
        </is>
      </c>
    </row>
    <row r="9" ht="111" customHeight="1">
      <c r="A9" s="18" t="inlineStr">
        <is>
          <t>B5</t>
        </is>
      </c>
      <c r="B9" s="19" t="inlineStr">
        <is>
          <t>Which TestCode has the highest percentage of abnormal results? (The gray cell reads Output!J5.)</t>
        </is>
      </c>
      <c r="C9" s="44" t="inlineStr">
        <is>
          <t>GLU</t>
        </is>
      </c>
      <c r="D9" s="46" t="inlineStr">
        <is>
          <t>Run LabSnapshot. Step 5 keeps the best value so far in topPct and its code in topCode.</t>
        </is>
      </c>
      <c r="E9" s="18" t="inlineStr">
        <is>
          <t>—</t>
        </is>
      </c>
      <c r="F9" s="19" t="inlineStr">
        <is>
          <t>The running maximum pattern compares each value with the best one seen so far. In this ICU sample, glucose (69 of 85, 81.2%) edges out lactate (76.9%). That's plausible, because stress hyperglycemia is common in critically ill patients. Lactate has the most critical values, though (21 of the 24 HH or LL results), so "most often abnormal" and "most dangerous" are different questions.</t>
        </is>
      </c>
    </row>
  </sheetData>
  <mergeCells count="1">
    <mergeCell ref="A2:F2"/>
  </mergeCells>
  <pageMargins left="0.75" right="0.75" top="1" bottom="1" header="0.5" footer="0.5"/>
  <pageSetup orientation="landscape"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5.2 — VBA Fundamentals</dc:title>
  <dcterms:created xsi:type="dcterms:W3CDTF">2026-10-02T17:39:56Z</dcterms:created>
  <dcterms:modified xsi:type="dcterms:W3CDTF">2026-10-02T17:39:56Z</dcterms:modified>
</cp:coreProperties>
</file>
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Snippets" sheetId="3" state="visible" r:id="rId3"/>
    <sheet name="Encounters" sheetId="4" state="visible" r:id="rId4"/>
    <sheet name="Facilities" sheetId="5" state="visible" r:id="rId5"/>
    <sheet name="Output" sheetId="6" state="visible" r:id="rId6"/>
    <sheet name="Bonus" sheetId="7" state="visible" r:id="rId7"/>
    <sheet name="Answer Key" sheetId="8" state="hidden" r:id="rId8"/>
    <sheet name="Bonus Key" sheetId="9" state="hidden" r:id="rId9"/>
    <sheet name="PacketTemplate" sheetId="10" state="visible" r:id="rId10"/>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h:mm:ss"/>
    <numFmt numFmtId="165" formatCode="mm/dd/yyyy hh:mm"/>
    <numFmt numFmtId="166" formatCode="mmmm yyyy"/>
  </numFmts>
  <fonts count="18">
    <font>
      <name val="Calibri"/>
      <family val="2"/>
      <color theme="1"/>
      <sz val="11"/>
      <scheme val="minor"/>
    </font>
    <font>
      <b val="1"/>
      <color rgb="00FFFFFF"/>
    </font>
    <font>
      <b val="1"/>
      <color rgb="00000000"/>
    </font>
    <font>
      <b val="1"/>
    </font>
    <font>
      <b val="1"/>
      <color rgb="007B2C2C"/>
      <sz val="16"/>
    </font>
    <font>
      <i val="1"/>
      <color rgb="00595959"/>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4"/>
    </font>
  </fonts>
  <fills count="11">
    <fill>
      <patternFill/>
    </fill>
    <fill>
      <patternFill patternType="gray125"/>
    </fill>
    <fill>
      <patternFill patternType="solid">
        <fgColor rgb="001F4E79"/>
      </patternFill>
    </fill>
    <fill>
      <patternFill patternType="solid">
        <fgColor rgb="00FFD966"/>
      </patternFill>
    </fill>
    <fill>
      <patternFill patternType="solid">
        <fgColor rgb="00FFF2CC"/>
      </patternFill>
    </fill>
    <fill>
      <patternFill patternType="solid">
        <fgColor rgb="007B2C2C"/>
      </patternFill>
    </fill>
    <fill>
      <patternFill patternType="solid">
        <fgColor rgb="00EDEDED"/>
      </patternFill>
    </fill>
    <fill>
      <patternFill patternType="solid">
        <fgColor rgb="00C6EFCE"/>
      </patternFill>
    </fill>
    <fill>
      <patternFill patternType="solid">
        <fgColor rgb="00FFC7CE"/>
      </patternFill>
    </fill>
    <fill>
      <patternFill patternType="solid">
        <fgColor rgb="00DDEBF7"/>
      </patternFill>
    </fill>
    <fill>
      <patternFill patternType="solid">
        <fgColor rgb="00F2F2F2"/>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4">
    <xf numFmtId="0" fontId="0" fillId="0" borderId="0" pivotButton="0" quotePrefix="0" xfId="0"/>
    <xf numFmtId="0" fontId="13" fillId="0" borderId="0" pivotButton="0" quotePrefix="0" xfId="0"/>
    <xf numFmtId="0" fontId="14" fillId="0" borderId="0" pivotButton="0" quotePrefix="0" xfId="0"/>
    <xf numFmtId="0" fontId="5" fillId="0" borderId="0" pivotButton="0" quotePrefix="0" xfId="0"/>
    <xf numFmtId="0" fontId="15" fillId="2" borderId="0" pivotButton="0" quotePrefix="0" xfId="0"/>
    <xf numFmtId="0" fontId="0" fillId="2"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3" fillId="4" borderId="0" applyAlignment="1" pivotButton="0" quotePrefix="0" xfId="0">
      <alignment vertical="top" wrapText="1"/>
    </xf>
    <xf numFmtId="0" fontId="3" fillId="6" borderId="0" applyAlignment="1" pivotButton="0" quotePrefix="0" xfId="0">
      <alignment vertical="top" wrapText="1"/>
    </xf>
    <xf numFmtId="0" fontId="3" fillId="7" borderId="0" applyAlignment="1" pivotButton="0" quotePrefix="0" xfId="0">
      <alignment vertical="top" wrapText="1"/>
    </xf>
    <xf numFmtId="0" fontId="3"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1" fillId="2"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0" fillId="4" borderId="2" applyAlignment="1" pivotButton="0" quotePrefix="0" xfId="0">
      <alignment horizontal="left" vertical="top"/>
    </xf>
    <xf numFmtId="0" fontId="3" fillId="0" borderId="1" applyAlignment="1" pivotButton="0" quotePrefix="0" xfId="0">
      <alignment vertical="top"/>
    </xf>
    <xf numFmtId="0" fontId="0" fillId="4" borderId="2" applyAlignment="1" pivotButton="0" quotePrefix="0" xfId="0">
      <alignment horizontal="right" vertical="top"/>
    </xf>
    <xf numFmtId="4" fontId="11" fillId="6" borderId="1" applyAlignment="1" pivotButton="0" quotePrefix="0" xfId="0">
      <alignment horizontal="right" vertical="top"/>
    </xf>
    <xf numFmtId="0" fontId="11" fillId="6" borderId="1" applyAlignment="1" pivotButton="0" quotePrefix="0" xfId="0">
      <alignment horizontal="left" vertical="top"/>
    </xf>
    <xf numFmtId="0" fontId="11" fillId="6" borderId="1" applyAlignment="1" pivotButton="0" quotePrefix="0" xfId="0">
      <alignment horizontal="right" vertical="top"/>
    </xf>
    <xf numFmtId="0" fontId="17" fillId="0" borderId="0" pivotButton="0" quotePrefix="0" xfId="0"/>
    <xf numFmtId="0" fontId="5" fillId="0" borderId="0" applyAlignment="1" pivotButton="0" quotePrefix="0" xfId="0">
      <alignment vertical="top" wrapText="1"/>
    </xf>
    <xf numFmtId="0" fontId="1" fillId="2" borderId="0" pivotButton="0" quotePrefix="0" xfId="0"/>
    <xf numFmtId="0" fontId="6" fillId="10" borderId="0" pivotButton="0" quotePrefix="0" xfId="0"/>
    <xf numFmtId="0" fontId="2" fillId="3" borderId="0" pivotButton="0" quotePrefix="0" xfId="0"/>
    <xf numFmtId="165" fontId="0" fillId="0" borderId="0" pivotButton="0" quotePrefix="0" xfId="0"/>
    <xf numFmtId="4" fontId="0" fillId="0" borderId="0" pivotButton="0" quotePrefix="0" xfId="0"/>
    <xf numFmtId="1" fontId="0" fillId="4" borderId="0" pivotButton="0" quotePrefix="0" xfId="0"/>
    <xf numFmtId="0" fontId="3" fillId="0" borderId="0" pivotButton="0" quotePrefix="0" xfId="0"/>
    <xf numFmtId="0" fontId="1" fillId="2" borderId="1" pivotButton="0" quotePrefix="0" xfId="0"/>
    <xf numFmtId="0" fontId="0" fillId="0" borderId="1" pivotButton="0" quotePrefix="0" xfId="0"/>
    <xf numFmtId="3" fontId="0" fillId="9" borderId="1" pivotButton="0" quotePrefix="0" xfId="0"/>
    <xf numFmtId="0" fontId="10" fillId="0" borderId="1" pivotButton="0" quotePrefix="0" xfId="0"/>
    <xf numFmtId="4" fontId="0" fillId="9" borderId="1" pivotButton="0" quotePrefix="0" xfId="0"/>
    <xf numFmtId="0" fontId="0" fillId="9" borderId="1" pivotButton="0" quotePrefix="0" xfId="0"/>
    <xf numFmtId="49" fontId="0" fillId="9" borderId="1" pivotButton="0" quotePrefix="0" xfId="0"/>
    <xf numFmtId="0" fontId="4" fillId="0" borderId="0" pivotButton="0" quotePrefix="0" xfId="0"/>
    <xf numFmtId="0" fontId="1" fillId="5" borderId="1" pivotButton="0" quotePrefix="0" xfId="0"/>
    <xf numFmtId="0" fontId="3" fillId="0" borderId="1" applyAlignment="1" pivotButton="0" quotePrefix="0" xfId="0">
      <alignment vertical="top" wrapText="1"/>
    </xf>
    <xf numFmtId="0" fontId="6" fillId="0" borderId="1" applyAlignment="1" pivotButton="0" quotePrefix="1" xfId="0">
      <alignment vertical="top" wrapText="1"/>
    </xf>
    <xf numFmtId="0" fontId="0" fillId="0" borderId="1" applyAlignment="1" pivotButton="0" quotePrefix="0" xfId="0">
      <alignment vertical="top"/>
    </xf>
    <xf numFmtId="4" fontId="3" fillId="0" borderId="1" applyAlignment="1" pivotButton="0" quotePrefix="0" xfId="0">
      <alignment vertical="top" wrapText="1"/>
    </xf>
    <xf numFmtId="4" fontId="0" fillId="0" borderId="1" applyAlignment="1" pivotButton="0" quotePrefix="0" xfId="0">
      <alignment vertical="top"/>
    </xf>
    <xf numFmtId="0" fontId="10" fillId="0" borderId="0" pivotButton="0" quotePrefix="0" xfId="0"/>
    <xf numFmtId="166" fontId="0" fillId="9" borderId="1" applyAlignment="1" pivotButton="0" quotePrefix="0" xfId="0">
      <alignment horizontal="left"/>
    </xf>
    <xf numFmtId="3" fontId="0" fillId="9" borderId="1" applyAlignment="1" pivotButton="0" quotePrefix="0" xfId="0">
      <alignment horizontal="left"/>
    </xf>
    <xf numFmtId="4" fontId="0" fillId="9" borderId="1" applyAlignment="1" pivotButton="0" quotePrefix="0" xfId="0">
      <alignment horizontal="left"/>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 Id="rIdXlcMeta" Type="http://schemas.openxmlformats.org/officeDocument/2006/relationships/sheetMetadata" Target="metadata.xml"/></Relationships>
</file>

<file path=xl/tables/table1.xml><?xml version="1.0" encoding="utf-8"?>
<table xmlns="http://schemas.openxmlformats.org/spreadsheetml/2006/main" id="1" name="tblFacilities" displayName="tblFacilities" ref="A1:D5" headerRowCount="1">
  <autoFilter ref="A1:D5"/>
  <tableColumns count="4">
    <tableColumn id="1" name="FacilityID"/>
    <tableColumn id="2" name="FacilityName"/>
    <tableColumn id="3" name="City"/>
    <tableColumn id="4" name="FacilityTyp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4E79"/>
    <outlinePr summaryBelow="1" summaryRight="1"/>
    <pageSetUpPr fitToPage="1"/>
  </sheetPr>
  <dimension ref="B1:C37"/>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5.3</t>
        </is>
      </c>
    </row>
    <row r="3">
      <c r="B3" s="2" t="inlineStr">
        <is>
          <t>VBA: Ranges, Worksheets &amp; Workbooks</t>
        </is>
      </c>
    </row>
    <row r="4">
      <c r="B4" s="3" t="inlineStr">
        <is>
          <t>Expert  ·  about 65 minutes  ·  Bluestone Health System (fictional)</t>
        </is>
      </c>
    </row>
    <row r="5"/>
    <row r="6">
      <c r="B6" s="4" t="inlineStr">
        <is>
          <t>What you'll learn</t>
        </is>
      </c>
      <c r="C6" s="5" t="n"/>
    </row>
    <row r="7" ht="18" customHeight="1">
      <c r="B7" s="6" t="inlineStr">
        <is>
          <t>•</t>
        </is>
      </c>
      <c r="C7" s="7" t="inlineStr">
        <is>
          <t>Navigate the object model: Application, Workbooks, Worksheets, Range</t>
        </is>
      </c>
    </row>
    <row r="8" ht="18" customHeight="1">
      <c r="B8" s="6" t="inlineStr">
        <is>
          <t>•</t>
        </is>
      </c>
      <c r="C8" s="7" t="inlineStr">
        <is>
          <t>Find the last row and work with CurrentRegion, Offset, and Resize</t>
        </is>
      </c>
    </row>
    <row r="9" ht="18" customHeight="1">
      <c r="B9" s="6" t="inlineStr">
        <is>
          <t>•</t>
        </is>
      </c>
      <c r="C9" s="7" t="inlineStr">
        <is>
          <t>Loop through sheets; add, copy, rename, and delete them</t>
        </is>
      </c>
    </row>
    <row r="10" ht="18" customHeight="1">
      <c r="B10" s="6" t="inlineStr">
        <is>
          <t>•</t>
        </is>
      </c>
      <c r="C10" s="7" t="inlineStr">
        <is>
          <t>Process data fast with arrays, AutoFilter, and Sort — without Select</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https://github.com/lmansf/learn-excel/tree/main/05-automation-vba/03-vba-ranges-worksheets</t>
        </is>
      </c>
    </row>
    <row r="14" ht="33" customHeight="1">
      <c r="B14" s="8" t="inlineStr">
        <is>
          <t>2. Practice</t>
        </is>
      </c>
      <c r="C14" s="7" t="inlineStr">
        <is>
          <t>Go to the 'Practice' sheet. Type your predictions for tasks 1–6 in the yellow cells. For tasks 7–12, complete and run your macros, and the gray cells fill in by themselves.</t>
        </is>
      </c>
    </row>
    <row r="15" ht="18" customHeight="1">
      <c r="B15" s="8" t="inlineStr">
        <is>
          <t>3. Check yourself</t>
        </is>
      </c>
      <c r="C15" s="7" t="inlineStr">
        <is>
          <t>The Check column shows ✔ Correct (green) or ✘ Not yet (red). Every task is checked automatically.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Macros can't be saved in an .xlsx file. Before you write any code, choose File → Save As and pick 'Excel Macro-Enabled Workbook (*.xlsm)'.</t>
        </is>
      </c>
    </row>
    <row r="19" ht="33" customHeight="1">
      <c r="B19" s="8" t="inlineStr">
        <is>
          <t>Note</t>
        </is>
      </c>
      <c r="C19" s="7" t="inlineStr">
        <is>
          <t>Import starter/EncounterMacros.bas and starter/Snippets.bas from the lesson folder: open the Visual Basic Editor with Alt + F11 (Mac: Developer → Visual Basic), then choose File → Import File…</t>
        </is>
      </c>
    </row>
    <row r="20" ht="48" customHeight="1">
      <c r="B20" s="8" t="inlineStr">
        <is>
          <t>Note</t>
        </is>
      </c>
      <c r="C20" s="7" t="inlineStr">
        <is>
          <t>Snippets shows the code for tasks 1–6. Your macros add sheets (TypeSummary, F01–F04, 2025-01…) and write to the Output sheet. The gray cells on Practice and Bonus read those, so they stay blank until the macro has run.</t>
        </is>
      </c>
    </row>
    <row r="21"/>
    <row r="22">
      <c r="B22" s="4" t="inlineStr">
        <is>
          <t>Color legend</t>
        </is>
      </c>
      <c r="C22" s="5" t="n"/>
    </row>
    <row r="23" ht="18" customHeight="1">
      <c r="B23" s="9" t="inlineStr">
        <is>
          <t>Yellow cell</t>
        </is>
      </c>
      <c r="C23" s="7" t="inlineStr">
        <is>
          <t>Your answer goes here.</t>
        </is>
      </c>
    </row>
    <row r="24" ht="18" customHeight="1">
      <c r="B24" s="10" t="inlineStr">
        <is>
          <t>Gray cell</t>
        </is>
      </c>
      <c r="C24" s="7" t="inlineStr">
        <is>
          <t>Pre-filled summary formula — it reads the work you did on another sheet.</t>
        </is>
      </c>
    </row>
    <row r="25" ht="18" customHeight="1">
      <c r="B25" s="11" t="inlineStr">
        <is>
          <t>✔ Correct</t>
        </is>
      </c>
      <c r="C25" s="7" t="inlineStr">
        <is>
          <t>Your answer matches the key.</t>
        </is>
      </c>
    </row>
    <row r="26" ht="18" customHeight="1">
      <c r="B26" s="12" t="inlineStr">
        <is>
          <t>✘ Not yet</t>
        </is>
      </c>
      <c r="C26" s="7" t="inlineStr">
        <is>
          <t>Not matching yet — check the hint and try again.</t>
        </is>
      </c>
    </row>
    <row r="27"/>
    <row r="28">
      <c r="B28" s="4" t="inlineStr">
        <is>
          <t>Sheets in this workbook</t>
        </is>
      </c>
      <c r="C28" s="5" t="n"/>
    </row>
    <row r="29" ht="33" customHeight="1">
      <c r="B29" s="8" t="inlineStr">
        <is>
          <t>Practice</t>
        </is>
      </c>
      <c r="C29" s="7" t="inlineStr">
        <is>
          <t>Tasks 1–12. Yellow cells take your predictions (tasks 1–6), and gray cells read what your macros create (tasks 7–12).</t>
        </is>
      </c>
    </row>
    <row r="30" ht="18" customHeight="1">
      <c r="B30" s="8" t="inlineStr">
        <is>
          <t>Snippets</t>
        </is>
      </c>
      <c r="C30" s="7" t="inlineStr">
        <is>
          <t>The code for tasks 1–6. The same code is in starter/Snippets.bas.</t>
        </is>
      </c>
    </row>
    <row r="31" ht="33" customHeight="1">
      <c r="B31" s="8" t="inlineStr">
        <is>
          <t>Encounters</t>
        </is>
      </c>
      <c r="C31" s="7" t="inlineStr">
        <is>
          <t>Data: 2,000 rows in columns A:K, a plain range like a raw EHR export. Task 12 fills the yellow LOSDays column (L).</t>
        </is>
      </c>
    </row>
    <row r="32" ht="18" customHeight="1">
      <c r="B32" s="8" t="inlineStr">
        <is>
          <t>Facilities</t>
        </is>
      </c>
      <c r="C32" s="7" t="inlineStr">
        <is>
          <t>Data: 4 rows, an Excel Table named tblFacilities.</t>
        </is>
      </c>
    </row>
    <row r="33" ht="18" customHeight="1">
      <c r="B33" s="8" t="inlineStr">
        <is>
          <t>Output</t>
        </is>
      </c>
      <c r="C33" s="7" t="inlineStr">
        <is>
          <t>The blue cells your macros write results to. The Practice and Bonus sheets read them.</t>
        </is>
      </c>
    </row>
    <row r="34" ht="18" customHeight="1">
      <c r="B34" s="8" t="inlineStr">
        <is>
          <t>Bonus</t>
        </is>
      </c>
      <c r="C34" s="7" t="inlineStr">
        <is>
          <t>The bonus challenge: one inpatient packet per month.</t>
        </is>
      </c>
    </row>
    <row r="35" ht="18" customHeight="1">
      <c r="B35" s="8" t="inlineStr">
        <is>
          <t>PacketTemplate</t>
        </is>
      </c>
      <c r="C35" s="7" t="inlineStr">
        <is>
          <t>The template the bonus macro copies once per month. Leave it as it is.</t>
        </is>
      </c>
    </row>
    <row r="36" ht="48" customHeight="1">
      <c r="B36" s="8" t="inlineStr">
        <is>
          <t>About the data</t>
        </is>
      </c>
      <c r="C36" s="7" t="inlineStr">
        <is>
          <t>2,000 encounters admitted in 2025 at all four Bluestone facilities (inpatient, observation, emergency, and outpatient), exported from the EHR as a plain range, plus the facility list as an Excel Table.</t>
        </is>
      </c>
    </row>
    <row r="37" ht="18" customHeight="1">
      <c r="B37" s="8" t="inlineStr">
        <is>
          <t>Disclaimer</t>
        </is>
      </c>
      <c r="C37"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7"/>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5.3 · Practice</t>
        </is>
      </c>
    </row>
    <row r="2" ht="49" customHeight="1">
      <c r="A2" s="14" t="inlineStr">
        <is>
          <t>Save the workbook as .xlsm, then import starter/EncounterMacros.bas and starter/Snippets.bas (VBE → File → Import File…). Tasks 1–6 ask what the code on the Snippets sheet prints: type your prediction, then run the snippet to check it. In tasks 7–12 you complete macros, and the gray cells read the sheets and cells your macros create.</t>
        </is>
      </c>
    </row>
    <row r="3" ht="34" customHeight="1">
      <c r="A3" s="15" t="inlineStr">
        <is>
          <t>Type your predictions for tasks 1–6 in the yellow cells. The gray cells for tasks 7–12 fill in when your macros run. The Check column turns green when your answer matches. Stuck? Read the hint, then the lesson guide. Answers: right-click a sheet tab → Unhide… → 'Answer Key'.</t>
        </is>
      </c>
    </row>
    <row r="4">
      <c r="A4" s="16">
        <f>"Score: "&amp;COUNTIF(E6:E17,"✔*")&amp;" of 12 auto-checked tasks correct"</f>
        <v/>
      </c>
    </row>
    <row r="5">
      <c r="A5" s="17" t="inlineStr">
        <is>
          <t>#</t>
        </is>
      </c>
      <c r="B5" s="17" t="inlineStr">
        <is>
          <t>Task</t>
        </is>
      </c>
      <c r="C5" s="17" t="inlineStr">
        <is>
          <t>Hint</t>
        </is>
      </c>
      <c r="D5" s="17" t="inlineStr">
        <is>
          <t>Your Answer</t>
        </is>
      </c>
      <c r="E5" s="17" t="inlineStr">
        <is>
          <t>Check</t>
        </is>
      </c>
    </row>
    <row r="6" ht="36" customHeight="1">
      <c r="A6" s="18" t="inlineStr">
        <is>
          <t>1</t>
        </is>
      </c>
      <c r="B6" s="19" t="inlineStr">
        <is>
          <t>Snippet A: what address does the Immediate window show? Type it as printed (the $ signs are optional).</t>
        </is>
      </c>
      <c r="C6" s="20" t="inlineStr">
        <is>
          <t>Offset moves the top-left corner, and Resize sets the size from that corner</t>
        </is>
      </c>
      <c r="D6" s="21" t="n"/>
      <c r="E6" s="22">
        <f>IF(IFERROR(D6="",FALSE),"",IF(IFERROR(OR(LOWER(TRIM(D6&amp;""))=LOWER(TRIM('Answer Key'!$C$5&amp;"")),LOWER(TRIM(D6&amp;""))="g5:g9"),FALSE),"✔ Correct","✘ Not yet"))</f>
        <v/>
      </c>
    </row>
    <row r="7" ht="66" customHeight="1">
      <c r="A7" s="18" t="inlineStr">
        <is>
          <t>2</t>
        </is>
      </c>
      <c r="B7" s="19" t="inlineStr">
        <is>
          <t>Snippet B: what address does the Immediate window show?</t>
        </is>
      </c>
      <c r="C7" s="20" t="inlineStr">
        <is>
          <t>CurrentRegion is the whole block around E50 (Go To Special → Current region shows it). The last two steps drop the header row</t>
        </is>
      </c>
      <c r="D7" s="21" t="n"/>
      <c r="E7" s="22">
        <f>IF(IFERROR(D7="",FALSE),"",IF(IFERROR(OR(LOWER(TRIM(D7&amp;""))=LOWER(TRIM('Answer Key'!$C$6&amp;"")),LOWER(TRIM(D7&amp;""))="$a$2:$l$2001"),FALSE),"✔ Correct","✘ Not yet"))</f>
        <v/>
      </c>
    </row>
    <row r="8" ht="36" customHeight="1">
      <c r="A8" s="18" t="inlineStr">
        <is>
          <t>3</t>
        </is>
      </c>
      <c r="B8" s="19" t="inlineStr">
        <is>
          <t>Snippet C: line 1 prints 2001, the last row of column A. What number does line 2 print (the same idiom on column F, AdmitSource)?</t>
        </is>
      </c>
      <c r="C8" s="20" t="inlineStr">
        <is>
          <t>Which encounter types leave AdmitSource blank? Look at the bottom of column F</t>
        </is>
      </c>
      <c r="D8" s="23" t="n"/>
      <c r="E8" s="22">
        <f>IF(IFERROR(D8="",FALSE),"",IF(IFERROR(AND(ISNUMBER(D8),OR(ABS(D8-'Answer Key'!$C$7)&lt;=0.0001)),FALSE),"✔ Correct","✘ Not yet"))</f>
        <v/>
      </c>
    </row>
    <row r="9" ht="36" customHeight="1">
      <c r="A9" s="18" t="inlineStr">
        <is>
          <t>4</t>
        </is>
      </c>
      <c r="B9" s="19" t="inlineStr">
        <is>
          <t>Snippet C: what number does line 3 print?</t>
        </is>
      </c>
      <c r="C9" s="20" t="inlineStr">
        <is>
          <t>End(xlDown) works like Ctrl + ↓: it stops at the last filled cell before a gap</t>
        </is>
      </c>
      <c r="D9" s="23" t="n"/>
      <c r="E9" s="22">
        <f>IF(IFERROR(D9="",FALSE),"",IF(IFERROR(AND(ISNUMBER(D9),OR(ABS(D9-'Answer Key'!$C$8)&lt;=0.0001)),FALSE),"✔ Correct","✘ Not yet"))</f>
        <v/>
      </c>
    </row>
    <row r="10" ht="36" customHeight="1">
      <c r="A10" s="18" t="inlineStr">
        <is>
          <t>5</t>
        </is>
      </c>
      <c r="B10" s="19" t="inlineStr">
        <is>
          <t>Snippet D: running SnippetD_WhichSheet stops with a run-time error. Type the error number.</t>
        </is>
      </c>
      <c r="C10" s="20" t="inlineStr">
        <is>
          <t>Which sheet does a Cells(…) with nothing in front of it belong to?</t>
        </is>
      </c>
      <c r="D10" s="21" t="n"/>
      <c r="E10" s="22">
        <f>IF(IFERROR(D10="",FALSE),"",IF(IFERROR(OR(LOWER(TRIM(D10&amp;""))=LOWER(TRIM('Answer Key'!$C$9&amp;"")),LOWER(TRIM(D10&amp;""))="error 1004",LOWER(TRIM(D10&amp;""))="run-time error 1004",LOWER(TRIM(D10&amp;""))="runtime error 1004"),FALSE),"✔ Correct","✘ Not yet"))</f>
        <v/>
      </c>
    </row>
    <row r="11" ht="36" customHeight="1">
      <c r="A11" s="18" t="inlineStr">
        <is>
          <t>6</t>
        </is>
      </c>
      <c r="B11" s="19" t="inlineStr">
        <is>
          <t>Snippet E: running SnippetE_DeleteOld stops with a run-time error. Type the error number.</t>
        </is>
      </c>
      <c r="C11" s="20" t="inlineStr">
        <is>
          <t>What does a collection do when you ask for an item it doesn't have?</t>
        </is>
      </c>
      <c r="D11" s="21" t="n"/>
      <c r="E11" s="22">
        <f>IF(IFERROR(D11="",FALSE),"",IF(IFERROR(OR(LOWER(TRIM(D11&amp;""))=LOWER(TRIM('Answer Key'!$C$10&amp;"")),LOWER(TRIM(D11&amp;""))="subscript out of range",LOWER(TRIM(D11&amp;""))="error 9",LOWER(TRIM(D11&amp;""))="run-time error 9",LOWER(TRIM(D11&amp;""))="runtime error 9"),FALSE),"✔ Correct","✘ Not yet"))</f>
        <v/>
      </c>
    </row>
    <row r="12" ht="126" customHeight="1">
      <c r="A12" s="18" t="inlineStr">
        <is>
          <t>7</t>
        </is>
      </c>
      <c r="B12" s="19" t="inlineStr">
        <is>
          <t>Complete SheetExists and BuildTypeSummary in the starter module. BuildTypeSummary deletes any old TypeSummary sheet (with DeleteSheetIfExists, which calls your SheetExists), adds a new sheet named TypeSummary at the end of the workbook, and writes one row per EncounterType (Emergency, Inpatient, Observation, Outpatient) with the columns EncounterType (A), Encounters (B, the count), and TotalCharges (C), headers in row 1. Run it twice: the second run must not stop with an error or ask a question. The gray cell looks up the Inpatient TotalCharges on your sheet.</t>
        </is>
      </c>
      <c r="C12" s="20" t="inlineStr">
        <is>
          <t>SheetExists: For Each ws In ThisWorkbook.Worksheets … StrComp(ws.Name, sheetName, vbTextCompare) = 0</t>
        </is>
      </c>
      <c r="D12" cm="1" s="24">
        <f t="array" ref="D12">IF(ISREF(INDIRECT("'TypeSummary'!A1")),IFERROR(INDEX(INDIRECT("'TypeSummary'!C1:C50"),MATCH("Inpatient",INDIRECT("'TypeSummary'!A1:A50"),0)),"Inpatient row not found"),"")</f>
        <v/>
      </c>
      <c r="E12" s="22">
        <f>IF(IFERROR(D12="",FALSE),"",IF(IFERROR(AND(ISNUMBER(D12),OR(ABS(D12-'Answer Key'!$C$11)&lt;=0.0051)),FALSE),"✔ Correct","✘ Not yet"))</f>
        <v/>
      </c>
    </row>
    <row r="13" ht="96" customHeight="1">
      <c r="A13" s="18" t="inlineStr">
        <is>
          <t>8</t>
        </is>
      </c>
      <c r="B13" s="19" t="inlineStr">
        <is>
          <t>Complete SplitByFacility: for each FacilityID in the Facilities table (tblFacilities), delete any old sheet with that name, add a new sheet named after the ID (F01, F02, F03, F04), AutoFilter the Encounters block on FacilityID, and copy the visible cells (header included) to A1 of the new sheet. Turn the filter off at the end. The gray cell lists the number of data rows on F01, F02, F03, and F04.</t>
        </is>
      </c>
      <c r="C13" s="20" t="inlineStr">
        <is>
          <t>block.AutoFilter Field:=4, Criteria1:=facID, then block.SpecialCells(xlCellTypeVisible).Copy</t>
        </is>
      </c>
      <c r="D13" cm="1" s="25">
        <f t="array" ref="D13">IF(OR(ISREF(INDIRECT("'F01'!A1")),ISREF(INDIRECT("'F02'!A1")),ISREF(INDIRECT("'F03'!A1")),ISREF(INDIRECT("'F04'!A1"))),IF(ISREF(INDIRECT("'F01'!A1")),COUNTA(INDIRECT("'F01'!A:A"))-1,"missing")&amp;" / "&amp;IF(ISREF(INDIRECT("'F02'!A1")),COUNTA(INDIRECT("'F02'!A:A"))-1,"missing")&amp;" / "&amp;IF(ISREF(INDIRECT("'F03'!A1")),COUNTA(INDIRECT("'F03'!A:A"))-1,"missing")&amp;" / "&amp;IF(ISREF(INDIRECT("'F04'!A1")),COUNTA(INDIRECT("'F04'!A:A"))-1,"missing"),"")</f>
        <v/>
      </c>
      <c r="E13" s="22">
        <f>IF(IFERROR(D13="",FALSE),"",IF(IFERROR(OR(LOWER(TRIM(D13&amp;""))=LOWER(TRIM('Answer Key'!$C$12&amp;""))),FALSE),"✔ Correct","✘ Not yet"))</f>
        <v/>
      </c>
    </row>
    <row r="14" ht="66" customHeight="1">
      <c r="A14" s="18" t="inlineStr">
        <is>
          <t>9</t>
        </is>
      </c>
      <c r="B14" s="19" t="inlineStr">
        <is>
          <t>Complete SortAndReconcile, part 1: loop through every worksheet and, for each sheet whose name is Like "F0#", sort its block by TotalCharges (column K), largest first, with Range.Sort and a header row. Which EncounterID is now in A2 of sheet F03? (The gray cell reads F03!A2.)</t>
        </is>
      </c>
      <c r="C14" s="20" t="inlineStr">
        <is>
          <t>Test ws.Name Like "F0#" inside the loop, then sort ws.Range("A1").CurrentRegion with Key1 in column K and Order1:=xlDescending (guide section 12)</t>
        </is>
      </c>
      <c r="D14" cm="1" s="25">
        <f t="array" ref="D14">IF(ISREF(INDIRECT("'F03'!A1")),INDIRECT("'F03'!A2")&amp;"","")</f>
        <v/>
      </c>
      <c r="E14" s="22">
        <f>IF(IFERROR(D14="",FALSE),"",IF(IFERROR(OR(LOWER(TRIM(D14&amp;""))=LOWER(TRIM('Answer Key'!$C$13&amp;""))),FALSE),"✔ Correct","✘ Not yet"))</f>
        <v/>
      </c>
    </row>
    <row r="15" ht="66" customHeight="1">
      <c r="A15" s="18" t="inlineStr">
        <is>
          <t>10</t>
        </is>
      </c>
      <c r="B15" s="19" t="inlineStr">
        <is>
          <t>SortAndReconcile, part 2: in the same loop, add each facility sheet's data rows and TotalCharges to two running totals, then write the row total to Output!B4 and the charge total to Output!B5. What is the total charge on the facility sheets? (The gray cell reads Output!B5.)</t>
        </is>
      </c>
      <c r="C15" s="20" t="inlineStr">
        <is>
          <t>Find each sheet's last row with LastRow(ws, "A"), then WorksheetFunction.Sum the K cells</t>
        </is>
      </c>
      <c r="D15" cm="1" s="24">
        <f t="array" ref="D15">IF(Output!B5="","",Output!B5)</f>
        <v/>
      </c>
      <c r="E15" s="22">
        <f>IF(IFERROR(D15="",FALSE),"",IF(IFERROR(AND(ISNUMBER(D15),OR(ABS(D15-'Answer Key'!$C$14)&lt;=0.0051)),FALSE),"✔ Correct","✘ Not yet"))</f>
        <v/>
      </c>
    </row>
    <row r="16" ht="96" customHeight="1">
      <c r="A16" s="18" t="inlineStr">
        <is>
          <t>11</t>
        </is>
      </c>
      <c r="B16" s="19" t="inlineStr">
        <is>
          <t>Complete ExportFacility: copy sheet F02 into a new workbook (Worksheet.Copy with no arguments), save it in the same folder as this workbook as F02_encounters_2025.xlsx with SaveAs and FileFormat:=xlOpenXMLWorkbook, and close it. Then reopen the file with Workbooks.Open, add up its TotalCharges column, write the total to Output!B7 (and the file name to Output!B6), and close it without saving. The gray cell reads Output!B7.</t>
        </is>
      </c>
      <c r="C16" s="20" t="inlineStr">
        <is>
          <t>After Worksheet.Copy the new workbook is the ActiveWorkbook, so write results through ThisWorkbook</t>
        </is>
      </c>
      <c r="D16" cm="1" s="24">
        <f t="array" ref="D16">IF(Output!B7="","",Output!B7)</f>
        <v/>
      </c>
      <c r="E16" s="22">
        <f>IF(IFERROR(D16="",FALSE),"",IF(IFERROR(AND(ISNUMBER(D16),OR(ABS(D16-'Answer Key'!$C$15)&lt;=0.0051)),FALSE),"✔ Correct","✘ Not yet"))</f>
        <v/>
      </c>
    </row>
    <row r="17" ht="81" customHeight="1">
      <c r="A17" s="18" t="inlineStr">
        <is>
          <t>12</t>
        </is>
      </c>
      <c r="B17" s="19" t="inlineStr">
        <is>
          <t>Complete FillLOSDays: read AdmitDateTime and DischargeDateTime (Encounters G2:H2001) into a Variant array with one .Value2 read, calculate each row's length of stay in days with Int(discharge) - Int(admit) (the number of midnights, ignoring the times), and write all the results to the yellow LOSDays column (L) with one assignment. The gray cell adds up your column.</t>
        </is>
      </c>
      <c r="C17" s="20" t="inlineStr">
        <is>
          <t>stay = ws.Range("G2:H" &amp; lastR).Value2, then ReDim los(1 To UBound(stay, 1), 1 To 1)</t>
        </is>
      </c>
      <c r="D17" cm="1" s="26">
        <f t="array" ref="D17">IF(COUNT(Encounters!L2:L2001)=0,"",SUM(Encounters!L2:L2001))</f>
        <v/>
      </c>
      <c r="E17" s="22">
        <f>IF(IFERROR(D17="",FALSE),"",IF(IFERROR(AND(ISNUMBER(D17),OR(ABS(D17-'Answer Key'!$C$16)&lt;=0.0001)),FALSE),"✔ Correct","✘ Not yet"))</f>
        <v/>
      </c>
    </row>
  </sheetData>
  <mergeCells count="3">
    <mergeCell ref="A2:E2"/>
    <mergeCell ref="A4:C4"/>
    <mergeCell ref="A3:E3"/>
  </mergeCells>
  <conditionalFormatting sqref="E6:E17">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7030A0"/>
    <outlinePr summaryBelow="1" summaryRight="1"/>
    <pageSetUpPr fitToPage="1"/>
  </sheetPr>
  <dimension ref="A1:A43"/>
  <sheetViews>
    <sheetView tabSelected="0" workbookViewId="0">
      <selection activeCell="A1" sqref="A1"/>
    </sheetView>
  </sheetViews>
  <sheetFormatPr baseColWidth="8" defaultRowHeight="15"/>
  <cols>
    <col width="100" customWidth="1" min="1" max="1"/>
  </cols>
  <sheetData>
    <row r="1">
      <c r="A1" s="27" t="inlineStr">
        <is>
          <t>Snippets for Practice tasks 1–6</t>
        </is>
      </c>
    </row>
    <row r="2" ht="48" customHeight="1">
      <c r="A2" s="28" t="inlineStr">
        <is>
          <t>Predict what each snippet prints (or which error stops it), type your prediction on the Practice sheet, then run it from the Snippets module (starter/Snippets.bas) to check. Debug.Print writes to the Immediate window, which Ctrl + G opens (Mac: View → Immediate Window).</t>
        </is>
      </c>
    </row>
    <row r="4">
      <c r="A4" s="29" t="inlineStr">
        <is>
          <t>Snippet A  ·  Practice task 1</t>
        </is>
      </c>
    </row>
    <row r="5">
      <c r="A5" s="30" t="inlineStr">
        <is>
          <t>Sub SnippetA_OffsetResize()</t>
        </is>
      </c>
    </row>
    <row r="6">
      <c r="A6" s="30" t="inlineStr">
        <is>
          <t xml:space="preserve">    Dim ws As Worksheet</t>
        </is>
      </c>
    </row>
    <row r="7">
      <c r="A7" s="30" t="inlineStr">
        <is>
          <t xml:space="preserve">    Set ws = ThisWorkbook.Worksheets("Encounters")</t>
        </is>
      </c>
    </row>
    <row r="8">
      <c r="A8" s="30" t="inlineStr">
        <is>
          <t xml:space="preserve">    Debug.Print ws.Range("C2").Offset(3, 4).Resize(5).Address</t>
        </is>
      </c>
    </row>
    <row r="9">
      <c r="A9" s="30" t="inlineStr">
        <is>
          <t>End Sub</t>
        </is>
      </c>
    </row>
    <row r="11">
      <c r="A11" s="29" t="inlineStr">
        <is>
          <t>Snippet B  ·  Practice task 2</t>
        </is>
      </c>
    </row>
    <row r="12">
      <c r="A12" s="30" t="inlineStr">
        <is>
          <t>Sub SnippetB_DataBody()</t>
        </is>
      </c>
    </row>
    <row r="13">
      <c r="A13" s="30" t="inlineStr">
        <is>
          <t xml:space="preserve">    Dim ws As Worksheet, block As Range</t>
        </is>
      </c>
    </row>
    <row r="14">
      <c r="A14" s="30" t="inlineStr">
        <is>
          <t xml:space="preserve">    Set ws = ThisWorkbook.Worksheets("Encounters")</t>
        </is>
      </c>
    </row>
    <row r="15">
      <c r="A15" s="30" t="inlineStr">
        <is>
          <t xml:space="preserve">    Set block = ws.Range("E50").CurrentRegion            ' any cell inside the data works</t>
        </is>
      </c>
    </row>
    <row r="16">
      <c r="A16" s="30" t="inlineStr">
        <is>
          <t xml:space="preserve">    Set block = block.Offset(1).Resize(block.Rows.Count - 1)</t>
        </is>
      </c>
    </row>
    <row r="17">
      <c r="A17" s="30" t="inlineStr">
        <is>
          <t xml:space="preserve">    Debug.Print block.Address(False, False)</t>
        </is>
      </c>
    </row>
    <row r="18">
      <c r="A18" s="30" t="inlineStr">
        <is>
          <t>End Sub</t>
        </is>
      </c>
    </row>
    <row r="20">
      <c r="A20" s="29" t="inlineStr">
        <is>
          <t>Snippet C  ·  Practice tasks 3 and 4</t>
        </is>
      </c>
    </row>
    <row r="21">
      <c r="A21" s="30" t="inlineStr">
        <is>
          <t>Sub SnippetC_LastRow()</t>
        </is>
      </c>
    </row>
    <row r="22">
      <c r="A22" s="30" t="inlineStr">
        <is>
          <t xml:space="preserve">    Dim ws As Worksheet</t>
        </is>
      </c>
    </row>
    <row r="23">
      <c r="A23" s="30" t="inlineStr">
        <is>
          <t xml:space="preserve">    Set ws = ThisWorkbook.Worksheets("Encounters")</t>
        </is>
      </c>
    </row>
    <row r="24">
      <c r="A24" s="30" t="inlineStr">
        <is>
          <t xml:space="preserve">    Debug.Print ws.Cells(ws.Rows.Count, "A").End(xlUp).Row     ' line 1: EncounterID</t>
        </is>
      </c>
    </row>
    <row r="25">
      <c r="A25" s="30" t="inlineStr">
        <is>
          <t xml:space="preserve">    Debug.Print ws.Cells(ws.Rows.Count, "F").End(xlUp).Row     ' line 2: AdmitSource</t>
        </is>
      </c>
    </row>
    <row r="26">
      <c r="A26" s="30" t="inlineStr">
        <is>
          <t xml:space="preserve">    Debug.Print ws.Range("F1").End(xlDown).Row                 ' line 3: AdmitSource again</t>
        </is>
      </c>
    </row>
    <row r="27">
      <c r="A27" s="30" t="inlineStr">
        <is>
          <t>End Sub</t>
        </is>
      </c>
    </row>
    <row r="29">
      <c r="A29" s="29" t="inlineStr">
        <is>
          <t>Snippet D  ·  Practice task 5</t>
        </is>
      </c>
    </row>
    <row r="30">
      <c r="A30" s="30" t="inlineStr">
        <is>
          <t>Sub SnippetD_WhichSheet()</t>
        </is>
      </c>
    </row>
    <row r="31">
      <c r="A31" s="30" t="inlineStr">
        <is>
          <t xml:space="preserve">    Dim ws As Worksheet</t>
        </is>
      </c>
    </row>
    <row r="32">
      <c r="A32" s="30" t="inlineStr">
        <is>
          <t xml:space="preserve">    Set ws = ThisWorkbook.Worksheets("Encounters")</t>
        </is>
      </c>
    </row>
    <row r="33">
      <c r="A33" s="30" t="inlineStr">
        <is>
          <t xml:space="preserve">    ThisWorkbook.Worksheets("Practice").Activate               ' Practice is now the active sheet</t>
        </is>
      </c>
    </row>
    <row r="34">
      <c r="A34" s="30" t="inlineStr">
        <is>
          <t xml:space="preserve">    Debug.Print ws.Range(Cells(2, 1), Cells(2, 11)).Address    ' row 2, columns A to K</t>
        </is>
      </c>
    </row>
    <row r="35">
      <c r="A35" s="30" t="inlineStr">
        <is>
          <t>End Sub</t>
        </is>
      </c>
    </row>
    <row r="37">
      <c r="A37" s="29" t="inlineStr">
        <is>
          <t>Snippet E  ·  Practice task 6</t>
        </is>
      </c>
    </row>
    <row r="38">
      <c r="A38" s="30" t="inlineStr">
        <is>
          <t>Sub SnippetE_DeleteOld()</t>
        </is>
      </c>
    </row>
    <row r="39">
      <c r="A39" s="30" t="inlineStr">
        <is>
          <t xml:space="preserve">    Application.DisplayAlerts = False</t>
        </is>
      </c>
    </row>
    <row r="40">
      <c r="A40" s="30" t="inlineStr">
        <is>
          <t xml:space="preserve">    ThisWorkbook.Worksheets("TypeSummary_2024").Delete         ' last year's summary sheet</t>
        </is>
      </c>
    </row>
    <row r="41">
      <c r="A41" s="30" t="inlineStr">
        <is>
          <t xml:space="preserve">    Application.DisplayAlerts = True</t>
        </is>
      </c>
    </row>
    <row r="42">
      <c r="A42" s="30" t="inlineStr">
        <is>
          <t xml:space="preserve">    Debug.Print "Old summary deleted"</t>
        </is>
      </c>
    </row>
    <row r="43">
      <c r="A43" s="30" t="inlineStr">
        <is>
          <t>End Sub</t>
        </is>
      </c>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A1:L2001"/>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15" customWidth="1" min="3" max="3"/>
    <col width="12" customWidth="1" min="4" max="4"/>
    <col width="9" customWidth="1" min="5" max="5"/>
    <col width="21" customWidth="1" min="6" max="6"/>
    <col width="17" customWidth="1" min="7" max="7"/>
    <col width="18" customWidth="1" min="8" max="8"/>
    <col width="15" customWidth="1" min="9" max="9"/>
    <col width="9" customWidth="1" min="10" max="10"/>
    <col width="14" customWidth="1" min="11" max="11"/>
    <col width="10" customWidth="1" min="12" max="12"/>
  </cols>
  <sheetData>
    <row r="1">
      <c r="A1" s="29" t="inlineStr">
        <is>
          <t>EncounterID</t>
        </is>
      </c>
      <c r="B1" s="29" t="inlineStr">
        <is>
          <t>PatientID</t>
        </is>
      </c>
      <c r="C1" s="29" t="inlineStr">
        <is>
          <t>EncounterType</t>
        </is>
      </c>
      <c r="D1" s="29" t="inlineStr">
        <is>
          <t>FacilityID</t>
        </is>
      </c>
      <c r="E1" s="29" t="inlineStr">
        <is>
          <t>DeptID</t>
        </is>
      </c>
      <c r="F1" s="29" t="inlineStr">
        <is>
          <t>AdmitSource</t>
        </is>
      </c>
      <c r="G1" s="29" t="inlineStr">
        <is>
          <t>AdmitDateTime</t>
        </is>
      </c>
      <c r="H1" s="29" t="inlineStr">
        <is>
          <t>DischargeDateTime</t>
        </is>
      </c>
      <c r="I1" s="29" t="inlineStr">
        <is>
          <t>PrimaryDxCode</t>
        </is>
      </c>
      <c r="J1" s="29" t="inlineStr">
        <is>
          <t>PayerID</t>
        </is>
      </c>
      <c r="K1" s="29" t="inlineStr">
        <is>
          <t>TotalCharges</t>
        </is>
      </c>
      <c r="L1" s="31" t="inlineStr">
        <is>
          <t>LOSDays</t>
        </is>
      </c>
    </row>
    <row r="2">
      <c r="A2" t="inlineStr">
        <is>
          <t>ENC110713</t>
        </is>
      </c>
      <c r="B2" t="inlineStr">
        <is>
          <t>PT13324</t>
        </is>
      </c>
      <c r="C2" t="inlineStr">
        <is>
          <t>Inpatient</t>
        </is>
      </c>
      <c r="D2" t="inlineStr">
        <is>
          <t>F01</t>
        </is>
      </c>
      <c r="E2" t="inlineStr">
        <is>
          <t>D110</t>
        </is>
      </c>
      <c r="F2" t="inlineStr">
        <is>
          <t>Emergency Department</t>
        </is>
      </c>
      <c r="G2" s="32" t="n">
        <v>45658.09166666667</v>
      </c>
      <c r="H2" s="32" t="n">
        <v>45661.53125</v>
      </c>
      <c r="I2" t="inlineStr">
        <is>
          <t>J44.1</t>
        </is>
      </c>
      <c r="J2" t="inlineStr">
        <is>
          <t>PY05</t>
        </is>
      </c>
      <c r="K2" s="33" t="n">
        <v>10673.63</v>
      </c>
      <c r="L2" s="34" t="n"/>
    </row>
    <row r="3">
      <c r="A3" t="inlineStr">
        <is>
          <t>ENC110718</t>
        </is>
      </c>
      <c r="B3" t="inlineStr">
        <is>
          <t>PT11455</t>
        </is>
      </c>
      <c r="C3" t="inlineStr">
        <is>
          <t>Emergency</t>
        </is>
      </c>
      <c r="D3" t="inlineStr">
        <is>
          <t>F01</t>
        </is>
      </c>
      <c r="E3" t="inlineStr">
        <is>
          <t>D100</t>
        </is>
      </c>
      <c r="G3" s="32" t="n">
        <v>45658.37152777778</v>
      </c>
      <c r="H3" s="32" t="n">
        <v>45658.52916666667</v>
      </c>
      <c r="I3" t="inlineStr">
        <is>
          <t>J44.1</t>
        </is>
      </c>
      <c r="J3" t="inlineStr">
        <is>
          <t>PY02</t>
        </is>
      </c>
      <c r="K3" s="33" t="n">
        <v>2579.55</v>
      </c>
      <c r="L3" s="34" t="n"/>
    </row>
    <row r="4">
      <c r="A4" t="inlineStr">
        <is>
          <t>ENC110725</t>
        </is>
      </c>
      <c r="B4" t="inlineStr">
        <is>
          <t>PT12903</t>
        </is>
      </c>
      <c r="C4" t="inlineStr">
        <is>
          <t>Outpatient</t>
        </is>
      </c>
      <c r="D4" t="inlineStr">
        <is>
          <t>F04</t>
        </is>
      </c>
      <c r="E4" t="inlineStr">
        <is>
          <t>D450</t>
        </is>
      </c>
      <c r="G4" s="32" t="n">
        <v>45658.55208333334</v>
      </c>
      <c r="H4" s="32" t="n">
        <v>45658.58958333333</v>
      </c>
      <c r="I4" t="inlineStr">
        <is>
          <t>H66.90</t>
        </is>
      </c>
      <c r="J4" t="inlineStr">
        <is>
          <t>PY03</t>
        </is>
      </c>
      <c r="K4" s="33" t="n">
        <v>482.23</v>
      </c>
      <c r="L4" s="34" t="n"/>
    </row>
    <row r="5">
      <c r="A5" t="inlineStr">
        <is>
          <t>ENC110731</t>
        </is>
      </c>
      <c r="B5" t="inlineStr">
        <is>
          <t>PT13303</t>
        </is>
      </c>
      <c r="C5" t="inlineStr">
        <is>
          <t>Outpatient</t>
        </is>
      </c>
      <c r="D5" t="inlineStr">
        <is>
          <t>F04</t>
        </is>
      </c>
      <c r="E5" t="inlineStr">
        <is>
          <t>D420</t>
        </is>
      </c>
      <c r="G5" s="32" t="n">
        <v>45658.60416666666</v>
      </c>
      <c r="H5" s="32" t="n">
        <v>45658.63541666666</v>
      </c>
      <c r="I5" t="inlineStr">
        <is>
          <t>M17.11</t>
        </is>
      </c>
      <c r="J5" t="inlineStr">
        <is>
          <t>PY01</t>
        </is>
      </c>
      <c r="K5" s="33" t="n">
        <v>471.04</v>
      </c>
      <c r="L5" s="34" t="n"/>
    </row>
    <row r="6">
      <c r="A6" t="inlineStr">
        <is>
          <t>ENC110738</t>
        </is>
      </c>
      <c r="B6" t="inlineStr">
        <is>
          <t>PT12632</t>
        </is>
      </c>
      <c r="C6" t="inlineStr">
        <is>
          <t>Outpatient</t>
        </is>
      </c>
      <c r="D6" t="inlineStr">
        <is>
          <t>F04</t>
        </is>
      </c>
      <c r="E6" t="inlineStr">
        <is>
          <t>D450</t>
        </is>
      </c>
      <c r="G6" s="32" t="n">
        <v>45658.66666666666</v>
      </c>
      <c r="H6" s="32" t="n">
        <v>45658.67777777778</v>
      </c>
      <c r="I6" t="inlineStr">
        <is>
          <t>H66.90</t>
        </is>
      </c>
      <c r="J6" t="inlineStr">
        <is>
          <t>PY05</t>
        </is>
      </c>
      <c r="K6" s="33" t="n">
        <v>292.94</v>
      </c>
      <c r="L6" s="34" t="n"/>
    </row>
    <row r="7">
      <c r="A7" t="inlineStr">
        <is>
          <t>ENC110726</t>
        </is>
      </c>
      <c r="B7" t="inlineStr">
        <is>
          <t>PT11101</t>
        </is>
      </c>
      <c r="C7" t="inlineStr">
        <is>
          <t>Inpatient</t>
        </is>
      </c>
      <c r="D7" t="inlineStr">
        <is>
          <t>F03</t>
        </is>
      </c>
      <c r="E7" t="inlineStr">
        <is>
          <t>D320</t>
        </is>
      </c>
      <c r="F7" t="inlineStr">
        <is>
          <t>Emergency Department</t>
        </is>
      </c>
      <c r="G7" s="32" t="n">
        <v>45658.70902777778</v>
      </c>
      <c r="H7" s="32" t="n">
        <v>45664.475</v>
      </c>
      <c r="I7" t="inlineStr">
        <is>
          <t>I50.9</t>
        </is>
      </c>
      <c r="J7" t="inlineStr">
        <is>
          <t>PY01</t>
        </is>
      </c>
      <c r="K7" s="33" t="n">
        <v>37731.01</v>
      </c>
      <c r="L7" s="34" t="n"/>
    </row>
    <row r="8">
      <c r="A8" t="inlineStr">
        <is>
          <t>ENC110744</t>
        </is>
      </c>
      <c r="B8" t="inlineStr">
        <is>
          <t>PT10444</t>
        </is>
      </c>
      <c r="C8" t="inlineStr">
        <is>
          <t>Inpatient</t>
        </is>
      </c>
      <c r="D8" t="inlineStr">
        <is>
          <t>F01</t>
        </is>
      </c>
      <c r="E8" t="inlineStr">
        <is>
          <t>D111</t>
        </is>
      </c>
      <c r="F8" t="inlineStr">
        <is>
          <t>Emergency Department</t>
        </is>
      </c>
      <c r="G8" s="32" t="n">
        <v>45658.88125</v>
      </c>
      <c r="H8" s="32" t="n">
        <v>45660.53055555555</v>
      </c>
      <c r="I8" t="inlineStr">
        <is>
          <t>K35.80</t>
        </is>
      </c>
      <c r="J8" t="inlineStr">
        <is>
          <t>PY01</t>
        </is>
      </c>
      <c r="K8" s="33" t="n">
        <v>48442.42</v>
      </c>
      <c r="L8" s="34" t="n"/>
    </row>
    <row r="9">
      <c r="A9" t="inlineStr">
        <is>
          <t>ENC110752</t>
        </is>
      </c>
      <c r="B9" t="inlineStr">
        <is>
          <t>PT11758</t>
        </is>
      </c>
      <c r="C9" t="inlineStr">
        <is>
          <t>Outpatient</t>
        </is>
      </c>
      <c r="D9" t="inlineStr">
        <is>
          <t>F04</t>
        </is>
      </c>
      <c r="E9" t="inlineStr">
        <is>
          <t>D400</t>
        </is>
      </c>
      <c r="G9" s="32" t="n">
        <v>45659.375</v>
      </c>
      <c r="H9" s="32" t="n">
        <v>45659.39305555556</v>
      </c>
      <c r="I9" t="inlineStr">
        <is>
          <t>J06.9</t>
        </is>
      </c>
      <c r="J9" t="inlineStr">
        <is>
          <t>PY07</t>
        </is>
      </c>
      <c r="K9" s="33" t="n">
        <v>387.65</v>
      </c>
      <c r="L9" s="34" t="n"/>
    </row>
    <row r="10">
      <c r="A10" t="inlineStr">
        <is>
          <t>ENC110758</t>
        </is>
      </c>
      <c r="B10" t="inlineStr">
        <is>
          <t>PT10475</t>
        </is>
      </c>
      <c r="C10" t="inlineStr">
        <is>
          <t>Outpatient</t>
        </is>
      </c>
      <c r="D10" t="inlineStr">
        <is>
          <t>F04</t>
        </is>
      </c>
      <c r="E10" t="inlineStr">
        <is>
          <t>D400</t>
        </is>
      </c>
      <c r="G10" s="32" t="n">
        <v>45659.44791666666</v>
      </c>
      <c r="H10" s="32" t="n">
        <v>45659.47986111111</v>
      </c>
      <c r="I10" t="inlineStr">
        <is>
          <t>F41.9</t>
        </is>
      </c>
      <c r="J10" t="inlineStr">
        <is>
          <t>PY06</t>
        </is>
      </c>
      <c r="K10" s="33" t="n">
        <v>460.88</v>
      </c>
      <c r="L10" s="34" t="n"/>
    </row>
    <row r="11">
      <c r="A11" t="inlineStr">
        <is>
          <t>ENC110765</t>
        </is>
      </c>
      <c r="B11" t="inlineStr">
        <is>
          <t>PT12533</t>
        </is>
      </c>
      <c r="C11" t="inlineStr">
        <is>
          <t>Outpatient</t>
        </is>
      </c>
      <c r="D11" t="inlineStr">
        <is>
          <t>F04</t>
        </is>
      </c>
      <c r="E11" t="inlineStr">
        <is>
          <t>D400</t>
        </is>
      </c>
      <c r="G11" s="32" t="n">
        <v>45659.48958333334</v>
      </c>
      <c r="H11" s="32" t="n">
        <v>45659.50347222222</v>
      </c>
      <c r="I11" t="inlineStr">
        <is>
          <t>I10</t>
        </is>
      </c>
      <c r="J11" t="inlineStr">
        <is>
          <t>PY03</t>
        </is>
      </c>
      <c r="K11" s="33" t="n">
        <v>812.85</v>
      </c>
      <c r="L11" s="34" t="n"/>
    </row>
    <row r="12">
      <c r="A12" t="inlineStr">
        <is>
          <t>ENC110770</t>
        </is>
      </c>
      <c r="B12" t="inlineStr">
        <is>
          <t>PT13387</t>
        </is>
      </c>
      <c r="C12" t="inlineStr">
        <is>
          <t>Outpatient</t>
        </is>
      </c>
      <c r="D12" t="inlineStr">
        <is>
          <t>F04</t>
        </is>
      </c>
      <c r="E12" t="inlineStr">
        <is>
          <t>D400</t>
        </is>
      </c>
      <c r="G12" s="32" t="n">
        <v>45659.54166666666</v>
      </c>
      <c r="H12" s="32" t="n">
        <v>45659.57777777778</v>
      </c>
      <c r="I12" t="inlineStr">
        <is>
          <t>I10</t>
        </is>
      </c>
      <c r="J12" t="inlineStr">
        <is>
          <t>PY03</t>
        </is>
      </c>
      <c r="K12" s="33" t="n">
        <v>273.1</v>
      </c>
      <c r="L12" s="34" t="n"/>
    </row>
    <row r="13">
      <c r="A13" t="inlineStr">
        <is>
          <t>ENC110774</t>
        </is>
      </c>
      <c r="B13" t="inlineStr">
        <is>
          <t>PT11628</t>
        </is>
      </c>
      <c r="C13" t="inlineStr">
        <is>
          <t>Outpatient</t>
        </is>
      </c>
      <c r="D13" t="inlineStr">
        <is>
          <t>F04</t>
        </is>
      </c>
      <c r="E13" t="inlineStr">
        <is>
          <t>D440</t>
        </is>
      </c>
      <c r="G13" s="32" t="n">
        <v>45659.57291666666</v>
      </c>
      <c r="H13" s="32" t="n">
        <v>45659.59861111111</v>
      </c>
      <c r="I13" t="inlineStr">
        <is>
          <t>E11.65</t>
        </is>
      </c>
      <c r="J13" t="inlineStr">
        <is>
          <t>PY02</t>
        </is>
      </c>
      <c r="K13" s="33" t="n">
        <v>153.45</v>
      </c>
      <c r="L13" s="34" t="n"/>
    </row>
    <row r="14">
      <c r="A14" t="inlineStr">
        <is>
          <t>ENC110779</t>
        </is>
      </c>
      <c r="B14" t="inlineStr">
        <is>
          <t>PT12704</t>
        </is>
      </c>
      <c r="C14" t="inlineStr">
        <is>
          <t>Inpatient</t>
        </is>
      </c>
      <c r="D14" t="inlineStr">
        <is>
          <t>F01</t>
        </is>
      </c>
      <c r="E14" t="inlineStr">
        <is>
          <t>D190</t>
        </is>
      </c>
      <c r="F14" t="inlineStr">
        <is>
          <t>Direct Admit</t>
        </is>
      </c>
      <c r="G14" s="32" t="n">
        <v>45659.61805555555</v>
      </c>
      <c r="H14" s="32" t="n">
        <v>45669.48333333333</v>
      </c>
      <c r="I14" t="inlineStr">
        <is>
          <t>F20.9</t>
        </is>
      </c>
      <c r="J14" t="inlineStr">
        <is>
          <t>PY06</t>
        </is>
      </c>
      <c r="K14" s="33" t="n">
        <v>34645.11</v>
      </c>
      <c r="L14" s="34" t="n"/>
    </row>
    <row r="15">
      <c r="A15" t="inlineStr">
        <is>
          <t>ENC110786</t>
        </is>
      </c>
      <c r="B15" t="inlineStr">
        <is>
          <t>PT10725</t>
        </is>
      </c>
      <c r="C15" t="inlineStr">
        <is>
          <t>Outpatient</t>
        </is>
      </c>
      <c r="D15" t="inlineStr">
        <is>
          <t>F04</t>
        </is>
      </c>
      <c r="E15" t="inlineStr">
        <is>
          <t>D450</t>
        </is>
      </c>
      <c r="G15" s="32" t="n">
        <v>45659.67708333334</v>
      </c>
      <c r="H15" s="32" t="n">
        <v>45659.70555555556</v>
      </c>
      <c r="I15" t="inlineStr">
        <is>
          <t>Z23</t>
        </is>
      </c>
      <c r="J15" t="inlineStr">
        <is>
          <t>PY03</t>
        </is>
      </c>
      <c r="K15" s="33" t="n">
        <v>105.41</v>
      </c>
      <c r="L15" s="34" t="n"/>
    </row>
    <row r="16">
      <c r="A16" t="inlineStr">
        <is>
          <t>ENC110792</t>
        </is>
      </c>
      <c r="B16" t="inlineStr">
        <is>
          <t>PT13870</t>
        </is>
      </c>
      <c r="C16" t="inlineStr">
        <is>
          <t>Emergency</t>
        </is>
      </c>
      <c r="D16" t="inlineStr">
        <is>
          <t>F01</t>
        </is>
      </c>
      <c r="E16" t="inlineStr">
        <is>
          <t>D100</t>
        </is>
      </c>
      <c r="G16" s="32" t="n">
        <v>45659.825</v>
      </c>
      <c r="H16" s="32" t="n">
        <v>45659.99166666667</v>
      </c>
      <c r="I16" t="inlineStr">
        <is>
          <t>J06.9</t>
        </is>
      </c>
      <c r="J16" t="inlineStr">
        <is>
          <t>PY07</t>
        </is>
      </c>
      <c r="K16" s="33" t="n">
        <v>4749.54</v>
      </c>
      <c r="L16" s="34" t="n"/>
    </row>
    <row r="17">
      <c r="A17" t="inlineStr">
        <is>
          <t>ENC110797</t>
        </is>
      </c>
      <c r="B17" t="inlineStr">
        <is>
          <t>PT13061</t>
        </is>
      </c>
      <c r="C17" t="inlineStr">
        <is>
          <t>Emergency</t>
        </is>
      </c>
      <c r="D17" t="inlineStr">
        <is>
          <t>F01</t>
        </is>
      </c>
      <c r="E17" t="inlineStr">
        <is>
          <t>D100</t>
        </is>
      </c>
      <c r="G17" s="32" t="n">
        <v>45660.29444444444</v>
      </c>
      <c r="H17" s="32" t="n">
        <v>45660.39375</v>
      </c>
      <c r="I17" t="inlineStr">
        <is>
          <t>J06.9</t>
        </is>
      </c>
      <c r="J17" t="inlineStr">
        <is>
          <t>PY03</t>
        </is>
      </c>
      <c r="K17" s="33" t="n">
        <v>1031.47</v>
      </c>
      <c r="L17" s="34" t="n"/>
    </row>
    <row r="18">
      <c r="A18" t="inlineStr">
        <is>
          <t>ENC110803</t>
        </is>
      </c>
      <c r="B18" t="inlineStr">
        <is>
          <t>PT12309</t>
        </is>
      </c>
      <c r="C18" t="inlineStr">
        <is>
          <t>Emergency</t>
        </is>
      </c>
      <c r="D18" t="inlineStr">
        <is>
          <t>F01</t>
        </is>
      </c>
      <c r="E18" t="inlineStr">
        <is>
          <t>D100</t>
        </is>
      </c>
      <c r="G18" s="32" t="n">
        <v>45660.35902777778</v>
      </c>
      <c r="H18" s="32" t="n">
        <v>45660.43888888889</v>
      </c>
      <c r="I18" t="inlineStr">
        <is>
          <t>S93.401A</t>
        </is>
      </c>
      <c r="J18" t="inlineStr">
        <is>
          <t>PY03</t>
        </is>
      </c>
      <c r="K18" s="33" t="n">
        <v>656.08</v>
      </c>
      <c r="L18" s="34" t="n"/>
    </row>
    <row r="19">
      <c r="A19" t="inlineStr">
        <is>
          <t>ENC110808</t>
        </is>
      </c>
      <c r="B19" t="inlineStr">
        <is>
          <t>PT10915</t>
        </is>
      </c>
      <c r="C19" t="inlineStr">
        <is>
          <t>Emergency</t>
        </is>
      </c>
      <c r="D19" t="inlineStr">
        <is>
          <t>F01</t>
        </is>
      </c>
      <c r="E19" t="inlineStr">
        <is>
          <t>D100</t>
        </is>
      </c>
      <c r="G19" s="32" t="n">
        <v>45660.43541666667</v>
      </c>
      <c r="H19" s="32" t="n">
        <v>45660.52569444444</v>
      </c>
      <c r="I19" t="inlineStr">
        <is>
          <t>S06.0X0A</t>
        </is>
      </c>
      <c r="J19" t="inlineStr">
        <is>
          <t>PY06</t>
        </is>
      </c>
      <c r="K19" s="33" t="n">
        <v>1062.78</v>
      </c>
      <c r="L19" s="34" t="n"/>
    </row>
    <row r="20">
      <c r="A20" t="inlineStr">
        <is>
          <t>ENC110814</t>
        </is>
      </c>
      <c r="B20" t="inlineStr">
        <is>
          <t>PT11837</t>
        </is>
      </c>
      <c r="C20" t="inlineStr">
        <is>
          <t>Outpatient</t>
        </is>
      </c>
      <c r="D20" t="inlineStr">
        <is>
          <t>F04</t>
        </is>
      </c>
      <c r="E20" t="inlineStr">
        <is>
          <t>D430</t>
        </is>
      </c>
      <c r="G20" s="32" t="n">
        <v>45660.5</v>
      </c>
      <c r="H20" s="32" t="n">
        <v>45660.52777777778</v>
      </c>
      <c r="I20" t="inlineStr">
        <is>
          <t>C50.911</t>
        </is>
      </c>
      <c r="J20" t="inlineStr">
        <is>
          <t>PY06</t>
        </is>
      </c>
      <c r="K20" s="33" t="n">
        <v>591.64</v>
      </c>
      <c r="L20" s="34" t="n"/>
    </row>
    <row r="21">
      <c r="A21" t="inlineStr">
        <is>
          <t>ENC110819</t>
        </is>
      </c>
      <c r="B21" t="inlineStr">
        <is>
          <t>PT12866</t>
        </is>
      </c>
      <c r="C21" t="inlineStr">
        <is>
          <t>Outpatient</t>
        </is>
      </c>
      <c r="D21" t="inlineStr">
        <is>
          <t>F04</t>
        </is>
      </c>
      <c r="E21" t="inlineStr">
        <is>
          <t>D440</t>
        </is>
      </c>
      <c r="G21" s="32" t="n">
        <v>45660.55208333334</v>
      </c>
      <c r="H21" s="32" t="n">
        <v>45660.56805555556</v>
      </c>
      <c r="I21" t="inlineStr">
        <is>
          <t>E11.9</t>
        </is>
      </c>
      <c r="J21" t="inlineStr">
        <is>
          <t>PY03</t>
        </is>
      </c>
      <c r="K21" s="33" t="n">
        <v>542.28</v>
      </c>
      <c r="L21" s="34" t="n"/>
    </row>
    <row r="22">
      <c r="A22" t="inlineStr">
        <is>
          <t>ENC110826</t>
        </is>
      </c>
      <c r="B22" t="inlineStr">
        <is>
          <t>PT13773</t>
        </is>
      </c>
      <c r="C22" t="inlineStr">
        <is>
          <t>Outpatient</t>
        </is>
      </c>
      <c r="D22" t="inlineStr">
        <is>
          <t>F04</t>
        </is>
      </c>
      <c r="E22" t="inlineStr">
        <is>
          <t>D400</t>
        </is>
      </c>
      <c r="G22" s="32" t="n">
        <v>45660.625</v>
      </c>
      <c r="H22" s="32" t="n">
        <v>45660.64791666667</v>
      </c>
      <c r="I22" t="inlineStr">
        <is>
          <t>J06.9</t>
        </is>
      </c>
      <c r="J22" t="inlineStr">
        <is>
          <t>PY07</t>
        </is>
      </c>
      <c r="K22" s="33" t="n">
        <v>594.0700000000001</v>
      </c>
      <c r="L22" s="34" t="n"/>
    </row>
    <row r="23">
      <c r="A23" t="inlineStr">
        <is>
          <t>ENC110828</t>
        </is>
      </c>
      <c r="B23" t="inlineStr">
        <is>
          <t>PT11762</t>
        </is>
      </c>
      <c r="C23" t="inlineStr">
        <is>
          <t>Inpatient</t>
        </is>
      </c>
      <c r="D23" t="inlineStr">
        <is>
          <t>F01</t>
        </is>
      </c>
      <c r="E23" t="inlineStr">
        <is>
          <t>D180</t>
        </is>
      </c>
      <c r="F23" t="inlineStr">
        <is>
          <t>Emergency Department</t>
        </is>
      </c>
      <c r="G23" s="32" t="n">
        <v>45660.75138888889</v>
      </c>
      <c r="H23" s="32" t="n">
        <v>45662.63333333333</v>
      </c>
      <c r="I23" t="inlineStr">
        <is>
          <t>J21.9</t>
        </is>
      </c>
      <c r="J23" t="inlineStr">
        <is>
          <t>PY03</t>
        </is>
      </c>
      <c r="K23" s="33" t="n">
        <v>11411.42</v>
      </c>
      <c r="L23" s="34" t="n"/>
    </row>
    <row r="24">
      <c r="A24" t="inlineStr">
        <is>
          <t>ENC110836</t>
        </is>
      </c>
      <c r="B24" t="inlineStr">
        <is>
          <t>PT10362</t>
        </is>
      </c>
      <c r="C24" t="inlineStr">
        <is>
          <t>Emergency</t>
        </is>
      </c>
      <c r="D24" t="inlineStr">
        <is>
          <t>F01</t>
        </is>
      </c>
      <c r="E24" t="inlineStr">
        <is>
          <t>D100</t>
        </is>
      </c>
      <c r="G24" s="32" t="n">
        <v>45660.91111111111</v>
      </c>
      <c r="H24" s="32" t="n">
        <v>45660.97569444445</v>
      </c>
      <c r="I24" t="inlineStr">
        <is>
          <t>M54.50</t>
        </is>
      </c>
      <c r="J24" t="inlineStr">
        <is>
          <t>PY03</t>
        </is>
      </c>
      <c r="K24" s="33" t="n">
        <v>1152</v>
      </c>
      <c r="L24" s="34" t="n"/>
    </row>
    <row r="25">
      <c r="A25" t="inlineStr">
        <is>
          <t>ENC110841</t>
        </is>
      </c>
      <c r="B25" t="inlineStr">
        <is>
          <t>PT13985</t>
        </is>
      </c>
      <c r="C25" t="inlineStr">
        <is>
          <t>Emergency</t>
        </is>
      </c>
      <c r="D25" t="inlineStr">
        <is>
          <t>F01</t>
        </is>
      </c>
      <c r="E25" t="inlineStr">
        <is>
          <t>D100</t>
        </is>
      </c>
      <c r="G25" s="32" t="n">
        <v>45661.38333333333</v>
      </c>
      <c r="H25" s="32" t="n">
        <v>45661.52430555555</v>
      </c>
      <c r="I25" t="inlineStr">
        <is>
          <t>J44.1</t>
        </is>
      </c>
      <c r="J25" t="inlineStr">
        <is>
          <t>PY01</t>
        </is>
      </c>
      <c r="K25" s="33" t="n">
        <v>3420.72</v>
      </c>
      <c r="L25" s="34" t="n"/>
    </row>
    <row r="26">
      <c r="A26" t="inlineStr">
        <is>
          <t>ENC110844</t>
        </is>
      </c>
      <c r="B26" t="inlineStr">
        <is>
          <t>PT11866</t>
        </is>
      </c>
      <c r="C26" t="inlineStr">
        <is>
          <t>Inpatient</t>
        </is>
      </c>
      <c r="D26" t="inlineStr">
        <is>
          <t>F01</t>
        </is>
      </c>
      <c r="E26" t="inlineStr">
        <is>
          <t>D160</t>
        </is>
      </c>
      <c r="F26" t="inlineStr">
        <is>
          <t>Emergency Department</t>
        </is>
      </c>
      <c r="G26" s="32" t="n">
        <v>45661.65902777778</v>
      </c>
      <c r="H26" s="32" t="n">
        <v>45668.49166666667</v>
      </c>
      <c r="I26" t="inlineStr">
        <is>
          <t>I63.9</t>
        </is>
      </c>
      <c r="J26" t="inlineStr">
        <is>
          <t>PY06</t>
        </is>
      </c>
      <c r="K26" s="33" t="n">
        <v>40611.34</v>
      </c>
      <c r="L26" s="34" t="n"/>
    </row>
    <row r="27">
      <c r="A27" t="inlineStr">
        <is>
          <t>ENC110853</t>
        </is>
      </c>
      <c r="B27" t="inlineStr">
        <is>
          <t>PT12533</t>
        </is>
      </c>
      <c r="C27" t="inlineStr">
        <is>
          <t>Observation</t>
        </is>
      </c>
      <c r="D27" t="inlineStr">
        <is>
          <t>F01</t>
        </is>
      </c>
      <c r="E27" t="inlineStr">
        <is>
          <t>D195</t>
        </is>
      </c>
      <c r="F27" t="inlineStr">
        <is>
          <t>Emergency Department</t>
        </is>
      </c>
      <c r="G27" s="32" t="n">
        <v>45662.02847222222</v>
      </c>
      <c r="H27" s="32" t="n">
        <v>45663.39722222222</v>
      </c>
      <c r="I27" t="inlineStr">
        <is>
          <t>K92.2</t>
        </is>
      </c>
      <c r="J27" t="inlineStr">
        <is>
          <t>PY03</t>
        </is>
      </c>
      <c r="K27" s="33" t="n">
        <v>6111.47</v>
      </c>
      <c r="L27" s="34" t="n"/>
    </row>
    <row r="28">
      <c r="A28" t="inlineStr">
        <is>
          <t>ENC110857</t>
        </is>
      </c>
      <c r="B28" t="inlineStr">
        <is>
          <t>PT13653</t>
        </is>
      </c>
      <c r="C28" t="inlineStr">
        <is>
          <t>Emergency</t>
        </is>
      </c>
      <c r="D28" t="inlineStr">
        <is>
          <t>F01</t>
        </is>
      </c>
      <c r="E28" t="inlineStr">
        <is>
          <t>D100</t>
        </is>
      </c>
      <c r="G28" s="32" t="n">
        <v>45662.42638888889</v>
      </c>
      <c r="H28" s="32" t="n">
        <v>45662.55347222222</v>
      </c>
      <c r="I28" t="inlineStr">
        <is>
          <t>F10.239</t>
        </is>
      </c>
      <c r="J28" t="inlineStr">
        <is>
          <t>PY04</t>
        </is>
      </c>
      <c r="K28" s="33" t="n">
        <v>1599.37</v>
      </c>
      <c r="L28" s="34" t="n"/>
    </row>
    <row r="29">
      <c r="A29" t="inlineStr">
        <is>
          <t>ENC110864</t>
        </is>
      </c>
      <c r="B29" t="inlineStr">
        <is>
          <t>PT11155</t>
        </is>
      </c>
      <c r="C29" t="inlineStr">
        <is>
          <t>Emergency</t>
        </is>
      </c>
      <c r="D29" t="inlineStr">
        <is>
          <t>F01</t>
        </is>
      </c>
      <c r="E29" t="inlineStr">
        <is>
          <t>D100</t>
        </is>
      </c>
      <c r="G29" s="32" t="n">
        <v>45662.55694444444</v>
      </c>
      <c r="H29" s="32" t="n">
        <v>45662.71319444444</v>
      </c>
      <c r="I29" t="inlineStr">
        <is>
          <t>N39.0</t>
        </is>
      </c>
      <c r="J29" t="inlineStr">
        <is>
          <t>PY05</t>
        </is>
      </c>
      <c r="K29" s="33" t="n">
        <v>3744.39</v>
      </c>
      <c r="L29" s="34" t="n"/>
    </row>
    <row r="30">
      <c r="A30" t="inlineStr">
        <is>
          <t>ENC110866</t>
        </is>
      </c>
      <c r="B30" t="inlineStr">
        <is>
          <t>PT13715</t>
        </is>
      </c>
      <c r="C30" t="inlineStr">
        <is>
          <t>Inpatient</t>
        </is>
      </c>
      <c r="D30" t="inlineStr">
        <is>
          <t>F03</t>
        </is>
      </c>
      <c r="E30" t="inlineStr">
        <is>
          <t>D310</t>
        </is>
      </c>
      <c r="F30" t="inlineStr">
        <is>
          <t>Emergency Department</t>
        </is>
      </c>
      <c r="G30" s="32" t="n">
        <v>45662.71875</v>
      </c>
      <c r="H30" s="32" t="n">
        <v>45669.52777777778</v>
      </c>
      <c r="I30" t="inlineStr">
        <is>
          <t>U07.1</t>
        </is>
      </c>
      <c r="J30" t="inlineStr">
        <is>
          <t>PY02</t>
        </is>
      </c>
      <c r="K30" s="33" t="n">
        <v>32912.35</v>
      </c>
      <c r="L30" s="34" t="n"/>
    </row>
    <row r="31">
      <c r="A31" t="inlineStr">
        <is>
          <t>ENC110875</t>
        </is>
      </c>
      <c r="B31" t="inlineStr">
        <is>
          <t>PT10538</t>
        </is>
      </c>
      <c r="C31" t="inlineStr">
        <is>
          <t>Emergency</t>
        </is>
      </c>
      <c r="D31" t="inlineStr">
        <is>
          <t>F01</t>
        </is>
      </c>
      <c r="E31" t="inlineStr">
        <is>
          <t>D100</t>
        </is>
      </c>
      <c r="G31" s="32" t="n">
        <v>45662.98333333333</v>
      </c>
      <c r="H31" s="32" t="n">
        <v>45663.11111111111</v>
      </c>
      <c r="I31" t="inlineStr">
        <is>
          <t>J45.909</t>
        </is>
      </c>
      <c r="J31" t="inlineStr">
        <is>
          <t>PY05</t>
        </is>
      </c>
      <c r="K31" s="33" t="n">
        <v>1629.66</v>
      </c>
      <c r="L31" s="34" t="n"/>
    </row>
    <row r="32">
      <c r="A32" t="inlineStr">
        <is>
          <t>ENC110881</t>
        </is>
      </c>
      <c r="B32" t="inlineStr">
        <is>
          <t>PT13429</t>
        </is>
      </c>
      <c r="C32" t="inlineStr">
        <is>
          <t>Emergency</t>
        </is>
      </c>
      <c r="D32" t="inlineStr">
        <is>
          <t>F02</t>
        </is>
      </c>
      <c r="E32" t="inlineStr">
        <is>
          <t>D200</t>
        </is>
      </c>
      <c r="G32" s="32" t="n">
        <v>45663.29513888889</v>
      </c>
      <c r="H32" s="32" t="n">
        <v>45663.39722222222</v>
      </c>
      <c r="I32" t="inlineStr">
        <is>
          <t>S06.0X0A</t>
        </is>
      </c>
      <c r="J32" t="inlineStr">
        <is>
          <t>PY04</t>
        </is>
      </c>
      <c r="K32" s="33" t="n">
        <v>2378.15</v>
      </c>
      <c r="L32" s="34" t="n"/>
    </row>
    <row r="33">
      <c r="A33" t="inlineStr">
        <is>
          <t>ENC110887</t>
        </is>
      </c>
      <c r="B33" t="inlineStr">
        <is>
          <t>PT13959</t>
        </is>
      </c>
      <c r="C33" t="inlineStr">
        <is>
          <t>Outpatient</t>
        </is>
      </c>
      <c r="D33" t="inlineStr">
        <is>
          <t>F04</t>
        </is>
      </c>
      <c r="E33" t="inlineStr">
        <is>
          <t>D400</t>
        </is>
      </c>
      <c r="G33" s="32" t="n">
        <v>45663.40625</v>
      </c>
      <c r="H33" s="32" t="n">
        <v>45663.425</v>
      </c>
      <c r="I33" t="inlineStr">
        <is>
          <t>E78.5</t>
        </is>
      </c>
      <c r="J33" t="inlineStr">
        <is>
          <t>PY02</t>
        </is>
      </c>
      <c r="K33" s="33" t="n">
        <v>405.38</v>
      </c>
      <c r="L33" s="34" t="n"/>
    </row>
    <row r="34">
      <c r="A34" t="inlineStr">
        <is>
          <t>ENC110895</t>
        </is>
      </c>
      <c r="B34" t="inlineStr">
        <is>
          <t>PT13608</t>
        </is>
      </c>
      <c r="C34" t="inlineStr">
        <is>
          <t>Outpatient</t>
        </is>
      </c>
      <c r="D34" t="inlineStr">
        <is>
          <t>F04</t>
        </is>
      </c>
      <c r="E34" t="inlineStr">
        <is>
          <t>D400</t>
        </is>
      </c>
      <c r="G34" s="32" t="n">
        <v>45663.48958333334</v>
      </c>
      <c r="H34" s="32" t="n">
        <v>45663.52569444444</v>
      </c>
      <c r="I34" t="inlineStr">
        <is>
          <t>G43.909</t>
        </is>
      </c>
      <c r="J34" t="inlineStr">
        <is>
          <t>PY06</t>
        </is>
      </c>
      <c r="K34" s="33" t="n">
        <v>308.42</v>
      </c>
      <c r="L34" s="34" t="n"/>
    </row>
    <row r="35">
      <c r="A35" t="inlineStr">
        <is>
          <t>ENC110897</t>
        </is>
      </c>
      <c r="B35" t="inlineStr">
        <is>
          <t>PT13594</t>
        </is>
      </c>
      <c r="C35" t="inlineStr">
        <is>
          <t>Outpatient</t>
        </is>
      </c>
      <c r="D35" t="inlineStr">
        <is>
          <t>F04</t>
        </is>
      </c>
      <c r="E35" t="inlineStr">
        <is>
          <t>D400</t>
        </is>
      </c>
      <c r="G35" s="32" t="n">
        <v>45663.5625</v>
      </c>
      <c r="H35" s="32" t="n">
        <v>45663.59305555555</v>
      </c>
      <c r="I35" t="inlineStr">
        <is>
          <t>F32.9</t>
        </is>
      </c>
      <c r="J35" t="inlineStr">
        <is>
          <t>PY03</t>
        </is>
      </c>
      <c r="K35" s="33" t="n">
        <v>311.69</v>
      </c>
      <c r="L35" s="34" t="n"/>
    </row>
    <row r="36">
      <c r="A36" t="inlineStr">
        <is>
          <t>ENC110903</t>
        </is>
      </c>
      <c r="B36" t="inlineStr">
        <is>
          <t>PT12611</t>
        </is>
      </c>
      <c r="C36" t="inlineStr">
        <is>
          <t>Outpatient</t>
        </is>
      </c>
      <c r="D36" t="inlineStr">
        <is>
          <t>F04</t>
        </is>
      </c>
      <c r="E36" t="inlineStr">
        <is>
          <t>D400</t>
        </is>
      </c>
      <c r="G36" s="32" t="n">
        <v>45663.61458333334</v>
      </c>
      <c r="H36" s="32" t="n">
        <v>45663.63125</v>
      </c>
      <c r="I36" t="inlineStr">
        <is>
          <t>J45.909</t>
        </is>
      </c>
      <c r="J36" t="inlineStr">
        <is>
          <t>PY01</t>
        </is>
      </c>
      <c r="K36" s="33" t="n">
        <v>468.8</v>
      </c>
      <c r="L36" s="34" t="n"/>
    </row>
    <row r="37">
      <c r="A37" t="inlineStr">
        <is>
          <t>ENC110910</t>
        </is>
      </c>
      <c r="B37" t="inlineStr">
        <is>
          <t>PT12915</t>
        </is>
      </c>
      <c r="C37" t="inlineStr">
        <is>
          <t>Outpatient</t>
        </is>
      </c>
      <c r="D37" t="inlineStr">
        <is>
          <t>F04</t>
        </is>
      </c>
      <c r="E37" t="inlineStr">
        <is>
          <t>D420</t>
        </is>
      </c>
      <c r="G37" s="32" t="n">
        <v>45663.65625</v>
      </c>
      <c r="H37" s="32" t="n">
        <v>45663.68541666667</v>
      </c>
      <c r="I37" t="inlineStr">
        <is>
          <t>M17.11</t>
        </is>
      </c>
      <c r="J37" t="inlineStr">
        <is>
          <t>PY04</t>
        </is>
      </c>
      <c r="K37" s="33" t="n">
        <v>446.43</v>
      </c>
      <c r="L37" s="34" t="n"/>
    </row>
    <row r="38">
      <c r="A38" t="inlineStr">
        <is>
          <t>ENC110915</t>
        </is>
      </c>
      <c r="B38" t="inlineStr">
        <is>
          <t>PT13404</t>
        </is>
      </c>
      <c r="C38" t="inlineStr">
        <is>
          <t>Emergency</t>
        </is>
      </c>
      <c r="D38" t="inlineStr">
        <is>
          <t>F01</t>
        </is>
      </c>
      <c r="E38" t="inlineStr">
        <is>
          <t>D100</t>
        </is>
      </c>
      <c r="G38" s="32" t="n">
        <v>45663.68472222222</v>
      </c>
      <c r="H38" s="32" t="n">
        <v>45663.78194444445</v>
      </c>
      <c r="I38" t="inlineStr">
        <is>
          <t>H66.90</t>
        </is>
      </c>
      <c r="J38" t="inlineStr">
        <is>
          <t>PY03</t>
        </is>
      </c>
      <c r="K38" s="33" t="n">
        <v>1489.5</v>
      </c>
      <c r="L38" s="34" t="n"/>
    </row>
    <row r="39">
      <c r="A39" t="inlineStr">
        <is>
          <t>ENC110923</t>
        </is>
      </c>
      <c r="B39" t="inlineStr">
        <is>
          <t>PT10225</t>
        </is>
      </c>
      <c r="C39" t="inlineStr">
        <is>
          <t>Emergency</t>
        </is>
      </c>
      <c r="D39" t="inlineStr">
        <is>
          <t>F01</t>
        </is>
      </c>
      <c r="E39" t="inlineStr">
        <is>
          <t>D100</t>
        </is>
      </c>
      <c r="G39" s="32" t="n">
        <v>45663.81388888889</v>
      </c>
      <c r="H39" s="32" t="n">
        <v>45663.90347222222</v>
      </c>
      <c r="I39" t="inlineStr">
        <is>
          <t>J06.9</t>
        </is>
      </c>
      <c r="J39" t="inlineStr">
        <is>
          <t>PY03</t>
        </is>
      </c>
      <c r="K39" s="33" t="n">
        <v>724.63</v>
      </c>
      <c r="L39" s="34" t="n"/>
    </row>
    <row r="40">
      <c r="A40" t="inlineStr">
        <is>
          <t>ENC110920</t>
        </is>
      </c>
      <c r="B40" t="inlineStr">
        <is>
          <t>PT12633</t>
        </is>
      </c>
      <c r="C40" t="inlineStr">
        <is>
          <t>Inpatient</t>
        </is>
      </c>
      <c r="D40" t="inlineStr">
        <is>
          <t>F01</t>
        </is>
      </c>
      <c r="E40" t="inlineStr">
        <is>
          <t>D170</t>
        </is>
      </c>
      <c r="F40" t="inlineStr">
        <is>
          <t>Emergency Department</t>
        </is>
      </c>
      <c r="G40" s="32" t="n">
        <v>45663.875</v>
      </c>
      <c r="H40" s="32" t="n">
        <v>45665.67083333333</v>
      </c>
      <c r="I40" t="inlineStr">
        <is>
          <t>O80</t>
        </is>
      </c>
      <c r="J40" t="inlineStr">
        <is>
          <t>PY05</t>
        </is>
      </c>
      <c r="K40" s="33" t="n">
        <v>17934.54</v>
      </c>
      <c r="L40" s="34" t="n"/>
    </row>
    <row r="41">
      <c r="A41" t="inlineStr">
        <is>
          <t>ENC110931</t>
        </is>
      </c>
      <c r="B41" t="inlineStr">
        <is>
          <t>PT11689</t>
        </is>
      </c>
      <c r="C41" t="inlineStr">
        <is>
          <t>Outpatient</t>
        </is>
      </c>
      <c r="D41" t="inlineStr">
        <is>
          <t>F04</t>
        </is>
      </c>
      <c r="E41" t="inlineStr">
        <is>
          <t>D400</t>
        </is>
      </c>
      <c r="G41" s="32" t="n">
        <v>45664.39583333334</v>
      </c>
      <c r="H41" s="32" t="n">
        <v>45664.42777777778</v>
      </c>
      <c r="I41" t="inlineStr">
        <is>
          <t>J06.9</t>
        </is>
      </c>
      <c r="J41" t="inlineStr">
        <is>
          <t>PY01</t>
        </is>
      </c>
      <c r="K41" s="33" t="n">
        <v>160.68</v>
      </c>
      <c r="L41" s="34" t="n"/>
    </row>
    <row r="42">
      <c r="A42" t="inlineStr">
        <is>
          <t>ENC110935</t>
        </is>
      </c>
      <c r="B42" t="inlineStr">
        <is>
          <t>PT13237</t>
        </is>
      </c>
      <c r="C42" t="inlineStr">
        <is>
          <t>Outpatient</t>
        </is>
      </c>
      <c r="D42" t="inlineStr">
        <is>
          <t>F04</t>
        </is>
      </c>
      <c r="E42" t="inlineStr">
        <is>
          <t>D400</t>
        </is>
      </c>
      <c r="G42" s="32" t="n">
        <v>45664.4375</v>
      </c>
      <c r="H42" s="32" t="n">
        <v>45664.47152777778</v>
      </c>
      <c r="I42" t="inlineStr">
        <is>
          <t>E78.5</t>
        </is>
      </c>
      <c r="J42" t="inlineStr">
        <is>
          <t>PY01</t>
        </is>
      </c>
      <c r="K42" s="33" t="n">
        <v>320.83</v>
      </c>
      <c r="L42" s="34" t="n"/>
    </row>
    <row r="43">
      <c r="A43" t="inlineStr">
        <is>
          <t>ENC110941</t>
        </is>
      </c>
      <c r="B43" t="inlineStr">
        <is>
          <t>PT13126</t>
        </is>
      </c>
      <c r="C43" t="inlineStr">
        <is>
          <t>Outpatient</t>
        </is>
      </c>
      <c r="D43" t="inlineStr">
        <is>
          <t>F04</t>
        </is>
      </c>
      <c r="E43" t="inlineStr">
        <is>
          <t>D400</t>
        </is>
      </c>
      <c r="G43" s="32" t="n">
        <v>45664.5</v>
      </c>
      <c r="H43" s="32" t="n">
        <v>45664.53263888889</v>
      </c>
      <c r="I43" t="inlineStr">
        <is>
          <t>I10</t>
        </is>
      </c>
      <c r="J43" t="inlineStr">
        <is>
          <t>PY04</t>
        </is>
      </c>
      <c r="K43" s="33" t="n">
        <v>286.2</v>
      </c>
      <c r="L43" s="34" t="n"/>
    </row>
    <row r="44">
      <c r="A44" t="inlineStr">
        <is>
          <t>ENC110947</t>
        </is>
      </c>
      <c r="B44" t="inlineStr">
        <is>
          <t>PT13273</t>
        </is>
      </c>
      <c r="C44" t="inlineStr">
        <is>
          <t>Outpatient</t>
        </is>
      </c>
      <c r="D44" t="inlineStr">
        <is>
          <t>F04</t>
        </is>
      </c>
      <c r="E44" t="inlineStr">
        <is>
          <t>D400</t>
        </is>
      </c>
      <c r="G44" s="32" t="n">
        <v>45664.58333333334</v>
      </c>
      <c r="H44" s="32" t="n">
        <v>45664.59513888889</v>
      </c>
      <c r="I44" t="inlineStr">
        <is>
          <t>J06.9</t>
        </is>
      </c>
      <c r="J44" t="inlineStr">
        <is>
          <t>PY01</t>
        </is>
      </c>
      <c r="K44" s="33" t="n">
        <v>269.42</v>
      </c>
      <c r="L44" s="34" t="n"/>
    </row>
    <row r="45">
      <c r="A45" t="inlineStr">
        <is>
          <t>ENC110952</t>
        </is>
      </c>
      <c r="B45" t="inlineStr">
        <is>
          <t>PT11420</t>
        </is>
      </c>
      <c r="C45" t="inlineStr">
        <is>
          <t>Inpatient</t>
        </is>
      </c>
      <c r="D45" t="inlineStr">
        <is>
          <t>F03</t>
        </is>
      </c>
      <c r="E45" t="inlineStr">
        <is>
          <t>D340</t>
        </is>
      </c>
      <c r="F45" t="inlineStr">
        <is>
          <t>Direct Admit</t>
        </is>
      </c>
      <c r="G45" s="32" t="n">
        <v>45664.69652777778</v>
      </c>
      <c r="H45" s="32" t="n">
        <v>45669.56111111111</v>
      </c>
      <c r="I45" t="inlineStr">
        <is>
          <t>S72.001A</t>
        </is>
      </c>
      <c r="J45" t="inlineStr">
        <is>
          <t>PY02</t>
        </is>
      </c>
      <c r="K45" s="33" t="n">
        <v>64067.75</v>
      </c>
      <c r="L45" s="34" t="n"/>
    </row>
    <row r="46">
      <c r="A46" t="inlineStr">
        <is>
          <t>ENC110961</t>
        </is>
      </c>
      <c r="B46" t="inlineStr">
        <is>
          <t>PT11125</t>
        </is>
      </c>
      <c r="C46" t="inlineStr">
        <is>
          <t>Emergency</t>
        </is>
      </c>
      <c r="D46" t="inlineStr">
        <is>
          <t>F01</t>
        </is>
      </c>
      <c r="E46" t="inlineStr">
        <is>
          <t>D100</t>
        </is>
      </c>
      <c r="G46" s="32" t="n">
        <v>45664.88819444444</v>
      </c>
      <c r="H46" s="32" t="n">
        <v>45664.99027777778</v>
      </c>
      <c r="I46" t="inlineStr">
        <is>
          <t>J06.9</t>
        </is>
      </c>
      <c r="J46" t="inlineStr">
        <is>
          <t>PY02</t>
        </is>
      </c>
      <c r="K46" s="33" t="n">
        <v>1141.91</v>
      </c>
      <c r="L46" s="34" t="n"/>
    </row>
    <row r="47">
      <c r="A47" t="inlineStr">
        <is>
          <t>ENC110964</t>
        </is>
      </c>
      <c r="B47" t="inlineStr">
        <is>
          <t>PT11885</t>
        </is>
      </c>
      <c r="C47" t="inlineStr">
        <is>
          <t>Emergency</t>
        </is>
      </c>
      <c r="D47" t="inlineStr">
        <is>
          <t>F02</t>
        </is>
      </c>
      <c r="E47" t="inlineStr">
        <is>
          <t>D200</t>
        </is>
      </c>
      <c r="G47" s="32" t="n">
        <v>45665.07361111111</v>
      </c>
      <c r="H47" s="32" t="n">
        <v>45665.2125</v>
      </c>
      <c r="I47" t="inlineStr">
        <is>
          <t>U07.1</t>
        </is>
      </c>
      <c r="J47" t="inlineStr">
        <is>
          <t>PY05</t>
        </is>
      </c>
      <c r="K47" s="33" t="n">
        <v>4852.53</v>
      </c>
      <c r="L47" s="34" t="n"/>
    </row>
    <row r="48">
      <c r="A48" t="inlineStr">
        <is>
          <t>ENC110970</t>
        </is>
      </c>
      <c r="B48" t="inlineStr">
        <is>
          <t>PT11488</t>
        </is>
      </c>
      <c r="C48" t="inlineStr">
        <is>
          <t>Outpatient</t>
        </is>
      </c>
      <c r="D48" t="inlineStr">
        <is>
          <t>F04</t>
        </is>
      </c>
      <c r="E48" t="inlineStr">
        <is>
          <t>D400</t>
        </is>
      </c>
      <c r="G48" s="32" t="n">
        <v>45665.39583333334</v>
      </c>
      <c r="H48" s="32" t="n">
        <v>45665.40625</v>
      </c>
      <c r="I48" t="inlineStr">
        <is>
          <t>Z00.00</t>
        </is>
      </c>
      <c r="J48" t="inlineStr">
        <is>
          <t>PY07</t>
        </is>
      </c>
      <c r="K48" s="33" t="n">
        <v>265.29</v>
      </c>
      <c r="L48" s="34" t="n"/>
    </row>
    <row r="49">
      <c r="A49" t="inlineStr">
        <is>
          <t>ENC110976</t>
        </is>
      </c>
      <c r="B49" t="inlineStr">
        <is>
          <t>PT10873</t>
        </is>
      </c>
      <c r="C49" t="inlineStr">
        <is>
          <t>Outpatient</t>
        </is>
      </c>
      <c r="D49" t="inlineStr">
        <is>
          <t>F04</t>
        </is>
      </c>
      <c r="E49" t="inlineStr">
        <is>
          <t>D400</t>
        </is>
      </c>
      <c r="G49" s="32" t="n">
        <v>45665.47916666666</v>
      </c>
      <c r="H49" s="32" t="n">
        <v>45665.50833333333</v>
      </c>
      <c r="I49" t="inlineStr">
        <is>
          <t>N39.0</t>
        </is>
      </c>
      <c r="J49" t="inlineStr">
        <is>
          <t>PY01</t>
        </is>
      </c>
      <c r="K49" s="33" t="n">
        <v>353.47</v>
      </c>
      <c r="L49" s="34" t="n"/>
    </row>
    <row r="50">
      <c r="A50" t="inlineStr">
        <is>
          <t>ENC110982</t>
        </is>
      </c>
      <c r="B50" t="inlineStr">
        <is>
          <t>PT12342</t>
        </is>
      </c>
      <c r="C50" t="inlineStr">
        <is>
          <t>Outpatient</t>
        </is>
      </c>
      <c r="D50" t="inlineStr">
        <is>
          <t>F04</t>
        </is>
      </c>
      <c r="E50" t="inlineStr">
        <is>
          <t>D400</t>
        </is>
      </c>
      <c r="G50" s="32" t="n">
        <v>45665.51041666666</v>
      </c>
      <c r="H50" s="32" t="n">
        <v>45665.54097222222</v>
      </c>
      <c r="I50" t="inlineStr">
        <is>
          <t>F32.9</t>
        </is>
      </c>
      <c r="J50" t="inlineStr">
        <is>
          <t>PY06</t>
        </is>
      </c>
      <c r="K50" s="33" t="n">
        <v>369.94</v>
      </c>
      <c r="L50" s="34" t="n"/>
    </row>
    <row r="51">
      <c r="A51" t="inlineStr">
        <is>
          <t>ENC110987</t>
        </is>
      </c>
      <c r="B51" t="inlineStr">
        <is>
          <t>PT11976</t>
        </is>
      </c>
      <c r="C51" t="inlineStr">
        <is>
          <t>Outpatient</t>
        </is>
      </c>
      <c r="D51" t="inlineStr">
        <is>
          <t>F04</t>
        </is>
      </c>
      <c r="E51" t="inlineStr">
        <is>
          <t>D430</t>
        </is>
      </c>
      <c r="G51" s="32" t="n">
        <v>45665.58333333334</v>
      </c>
      <c r="H51" s="32" t="n">
        <v>45665.77222222222</v>
      </c>
      <c r="I51" t="inlineStr">
        <is>
          <t>Z51.11</t>
        </is>
      </c>
      <c r="J51" t="inlineStr">
        <is>
          <t>PY04</t>
        </is>
      </c>
      <c r="K51" s="33" t="n">
        <v>7413.09</v>
      </c>
      <c r="L51" s="34" t="n"/>
    </row>
    <row r="52">
      <c r="A52" t="inlineStr">
        <is>
          <t>ENC110991</t>
        </is>
      </c>
      <c r="B52" t="inlineStr">
        <is>
          <t>PT12481</t>
        </is>
      </c>
      <c r="C52" t="inlineStr">
        <is>
          <t>Outpatient</t>
        </is>
      </c>
      <c r="D52" t="inlineStr">
        <is>
          <t>F04</t>
        </is>
      </c>
      <c r="E52" t="inlineStr">
        <is>
          <t>D400</t>
        </is>
      </c>
      <c r="G52" s="32" t="n">
        <v>45665.66666666666</v>
      </c>
      <c r="H52" s="32" t="n">
        <v>45665.69791666666</v>
      </c>
      <c r="I52" t="inlineStr">
        <is>
          <t>J06.9</t>
        </is>
      </c>
      <c r="J52" t="inlineStr">
        <is>
          <t>PY04</t>
        </is>
      </c>
      <c r="K52" s="33" t="n">
        <v>226.3</v>
      </c>
      <c r="L52" s="34" t="n"/>
    </row>
    <row r="53">
      <c r="A53" t="inlineStr">
        <is>
          <t>ENC110998</t>
        </is>
      </c>
      <c r="B53" t="inlineStr">
        <is>
          <t>PT10743</t>
        </is>
      </c>
      <c r="C53" t="inlineStr">
        <is>
          <t>Observation</t>
        </is>
      </c>
      <c r="D53" t="inlineStr">
        <is>
          <t>F02</t>
        </is>
      </c>
      <c r="E53" t="inlineStr">
        <is>
          <t>D210</t>
        </is>
      </c>
      <c r="F53" t="inlineStr">
        <is>
          <t>Direct Admit</t>
        </is>
      </c>
      <c r="G53" s="32" t="n">
        <v>45665.85208333333</v>
      </c>
      <c r="H53" s="32" t="n">
        <v>45667.50486111111</v>
      </c>
      <c r="I53" t="inlineStr">
        <is>
          <t>I21.4</t>
        </is>
      </c>
      <c r="J53" t="inlineStr">
        <is>
          <t>PY02</t>
        </is>
      </c>
      <c r="K53" s="33" t="n">
        <v>6523.48</v>
      </c>
      <c r="L53" s="34" t="n"/>
    </row>
    <row r="54">
      <c r="A54" t="inlineStr">
        <is>
          <t>ENC111002</t>
        </is>
      </c>
      <c r="B54" t="inlineStr">
        <is>
          <t>PT10619</t>
        </is>
      </c>
      <c r="C54" t="inlineStr">
        <is>
          <t>Emergency</t>
        </is>
      </c>
      <c r="D54" t="inlineStr">
        <is>
          <t>F01</t>
        </is>
      </c>
      <c r="E54" t="inlineStr">
        <is>
          <t>D100</t>
        </is>
      </c>
      <c r="G54" s="32" t="n">
        <v>45666.2</v>
      </c>
      <c r="H54" s="32" t="n">
        <v>45666.36041666667</v>
      </c>
      <c r="I54" t="inlineStr">
        <is>
          <t>R07.9</t>
        </is>
      </c>
      <c r="J54" t="inlineStr">
        <is>
          <t>PY07</t>
        </is>
      </c>
      <c r="K54" s="33" t="n">
        <v>3927.8</v>
      </c>
      <c r="L54" s="34" t="n"/>
    </row>
    <row r="55">
      <c r="A55" t="inlineStr">
        <is>
          <t>ENC111009</t>
        </is>
      </c>
      <c r="B55" t="inlineStr">
        <is>
          <t>PT10416</t>
        </is>
      </c>
      <c r="C55" t="inlineStr">
        <is>
          <t>Outpatient</t>
        </is>
      </c>
      <c r="D55" t="inlineStr">
        <is>
          <t>F04</t>
        </is>
      </c>
      <c r="E55" t="inlineStr">
        <is>
          <t>D430</t>
        </is>
      </c>
      <c r="G55" s="32" t="n">
        <v>45666.36458333334</v>
      </c>
      <c r="H55" s="32" t="n">
        <v>45666.50277777778</v>
      </c>
      <c r="I55" t="inlineStr">
        <is>
          <t>Z51.11</t>
        </is>
      </c>
      <c r="J55" t="inlineStr">
        <is>
          <t>PY07</t>
        </is>
      </c>
      <c r="K55" s="33" t="n">
        <v>9629.860000000001</v>
      </c>
      <c r="L55" s="34" t="n"/>
    </row>
    <row r="56">
      <c r="A56" t="inlineStr">
        <is>
          <t>ENC111014</t>
        </is>
      </c>
      <c r="B56" t="inlineStr">
        <is>
          <t>PT11537</t>
        </is>
      </c>
      <c r="C56" t="inlineStr">
        <is>
          <t>Emergency</t>
        </is>
      </c>
      <c r="D56" t="inlineStr">
        <is>
          <t>F01</t>
        </is>
      </c>
      <c r="E56" t="inlineStr">
        <is>
          <t>D100</t>
        </is>
      </c>
      <c r="G56" s="32" t="n">
        <v>45666.40833333333</v>
      </c>
      <c r="H56" s="32" t="n">
        <v>45666.54305555556</v>
      </c>
      <c r="I56" t="inlineStr">
        <is>
          <t>F10.239</t>
        </is>
      </c>
      <c r="J56" t="inlineStr">
        <is>
          <t>PY05</t>
        </is>
      </c>
      <c r="K56" s="33" t="n">
        <v>2609.58</v>
      </c>
      <c r="L56" s="34" t="n"/>
    </row>
    <row r="57">
      <c r="A57" t="inlineStr">
        <is>
          <t>ENC111021</t>
        </is>
      </c>
      <c r="B57" t="inlineStr">
        <is>
          <t>PT10513</t>
        </is>
      </c>
      <c r="C57" t="inlineStr">
        <is>
          <t>Emergency</t>
        </is>
      </c>
      <c r="D57" t="inlineStr">
        <is>
          <t>F01</t>
        </is>
      </c>
      <c r="E57" t="inlineStr">
        <is>
          <t>D100</t>
        </is>
      </c>
      <c r="G57" s="32" t="n">
        <v>45666.49027777778</v>
      </c>
      <c r="H57" s="32" t="n">
        <v>45666.65833333333</v>
      </c>
      <c r="I57" t="inlineStr">
        <is>
          <t>G43.909</t>
        </is>
      </c>
      <c r="J57" t="inlineStr">
        <is>
          <t>PY04</t>
        </is>
      </c>
      <c r="K57" s="33" t="n">
        <v>1433.77</v>
      </c>
      <c r="L57" s="34" t="n"/>
    </row>
    <row r="58">
      <c r="A58" t="inlineStr">
        <is>
          <t>ENC111026</t>
        </is>
      </c>
      <c r="B58" t="inlineStr">
        <is>
          <t>PT13231</t>
        </is>
      </c>
      <c r="C58" t="inlineStr">
        <is>
          <t>Outpatient</t>
        </is>
      </c>
      <c r="D58" t="inlineStr">
        <is>
          <t>F04</t>
        </is>
      </c>
      <c r="E58" t="inlineStr">
        <is>
          <t>D400</t>
        </is>
      </c>
      <c r="G58" s="32" t="n">
        <v>45666.54166666666</v>
      </c>
      <c r="H58" s="32" t="n">
        <v>45666.55694444444</v>
      </c>
      <c r="I58" t="inlineStr">
        <is>
          <t>N39.0</t>
        </is>
      </c>
      <c r="J58" t="inlineStr">
        <is>
          <t>PY01</t>
        </is>
      </c>
      <c r="K58" s="33" t="n">
        <v>261.64</v>
      </c>
      <c r="L58" s="34" t="n"/>
    </row>
    <row r="59">
      <c r="A59" t="inlineStr">
        <is>
          <t>ENC111031</t>
        </is>
      </c>
      <c r="B59" t="inlineStr">
        <is>
          <t>PT13970</t>
        </is>
      </c>
      <c r="C59" t="inlineStr">
        <is>
          <t>Outpatient</t>
        </is>
      </c>
      <c r="D59" t="inlineStr">
        <is>
          <t>F04</t>
        </is>
      </c>
      <c r="E59" t="inlineStr">
        <is>
          <t>D420</t>
        </is>
      </c>
      <c r="G59" s="32" t="n">
        <v>45666.64583333334</v>
      </c>
      <c r="H59" s="32" t="n">
        <v>45666.67083333333</v>
      </c>
      <c r="I59" t="inlineStr">
        <is>
          <t>M17.11</t>
        </is>
      </c>
      <c r="J59" t="inlineStr">
        <is>
          <t>PY05</t>
        </is>
      </c>
      <c r="K59" s="33" t="n">
        <v>217.35</v>
      </c>
      <c r="L59" s="34" t="n"/>
    </row>
    <row r="60">
      <c r="A60" t="inlineStr">
        <is>
          <t>ENC111030</t>
        </is>
      </c>
      <c r="B60" t="inlineStr">
        <is>
          <t>PT13818</t>
        </is>
      </c>
      <c r="C60" t="inlineStr">
        <is>
          <t>Inpatient</t>
        </is>
      </c>
      <c r="D60" t="inlineStr">
        <is>
          <t>F01</t>
        </is>
      </c>
      <c r="E60" t="inlineStr">
        <is>
          <t>D110</t>
        </is>
      </c>
      <c r="F60" t="inlineStr">
        <is>
          <t>Emergency Department</t>
        </is>
      </c>
      <c r="G60" s="32" t="n">
        <v>45666.775</v>
      </c>
      <c r="H60" s="32" t="n">
        <v>45669.60625</v>
      </c>
      <c r="I60" t="inlineStr">
        <is>
          <t>E11.65</t>
        </is>
      </c>
      <c r="J60" t="inlineStr">
        <is>
          <t>PY04</t>
        </is>
      </c>
      <c r="K60" s="33" t="n">
        <v>11791.07</v>
      </c>
      <c r="L60" s="34" t="n"/>
    </row>
    <row r="61">
      <c r="A61" t="inlineStr">
        <is>
          <t>ENC111041</t>
        </is>
      </c>
      <c r="B61" t="inlineStr">
        <is>
          <t>PT11346</t>
        </is>
      </c>
      <c r="C61" t="inlineStr">
        <is>
          <t>Inpatient</t>
        </is>
      </c>
      <c r="D61" t="inlineStr">
        <is>
          <t>F01</t>
        </is>
      </c>
      <c r="E61" t="inlineStr">
        <is>
          <t>D120</t>
        </is>
      </c>
      <c r="F61" t="inlineStr">
        <is>
          <t>Emergency Department</t>
        </is>
      </c>
      <c r="G61" s="32" t="n">
        <v>45667.03055555555</v>
      </c>
      <c r="H61" s="32" t="n">
        <v>45670.65138888889</v>
      </c>
      <c r="I61" t="inlineStr">
        <is>
          <t>I48.91</t>
        </is>
      </c>
      <c r="J61" t="inlineStr">
        <is>
          <t>PY01</t>
        </is>
      </c>
      <c r="K61" s="33" t="n">
        <v>30930.61</v>
      </c>
      <c r="L61" s="34" t="n"/>
    </row>
    <row r="62">
      <c r="A62" t="inlineStr">
        <is>
          <t>ENC111047</t>
        </is>
      </c>
      <c r="B62" t="inlineStr">
        <is>
          <t>PT13000</t>
        </is>
      </c>
      <c r="C62" t="inlineStr">
        <is>
          <t>Outpatient</t>
        </is>
      </c>
      <c r="D62" t="inlineStr">
        <is>
          <t>F04</t>
        </is>
      </c>
      <c r="E62" t="inlineStr">
        <is>
          <t>D410</t>
        </is>
      </c>
      <c r="G62" s="32" t="n">
        <v>45667.36458333334</v>
      </c>
      <c r="H62" s="32" t="n">
        <v>45667.38125</v>
      </c>
      <c r="I62" t="inlineStr">
        <is>
          <t>I48.91</t>
        </is>
      </c>
      <c r="J62" t="inlineStr">
        <is>
          <t>PY01</t>
        </is>
      </c>
      <c r="K62" s="33" t="n">
        <v>514.67</v>
      </c>
      <c r="L62" s="34" t="n"/>
    </row>
    <row r="63">
      <c r="A63" t="inlineStr">
        <is>
          <t>ENC111052</t>
        </is>
      </c>
      <c r="B63" t="inlineStr">
        <is>
          <t>PT12177</t>
        </is>
      </c>
      <c r="C63" t="inlineStr">
        <is>
          <t>Outpatient</t>
        </is>
      </c>
      <c r="D63" t="inlineStr">
        <is>
          <t>F04</t>
        </is>
      </c>
      <c r="E63" t="inlineStr">
        <is>
          <t>D440</t>
        </is>
      </c>
      <c r="G63" s="32" t="n">
        <v>45667.40625</v>
      </c>
      <c r="H63" s="32" t="n">
        <v>45667.42708333334</v>
      </c>
      <c r="I63" t="inlineStr">
        <is>
          <t>E11.65</t>
        </is>
      </c>
      <c r="J63" t="inlineStr">
        <is>
          <t>PY05</t>
        </is>
      </c>
      <c r="K63" s="33" t="n">
        <v>266.07</v>
      </c>
      <c r="L63" s="34" t="n"/>
    </row>
    <row r="64">
      <c r="A64" t="inlineStr">
        <is>
          <t>ENC111059</t>
        </is>
      </c>
      <c r="B64" t="inlineStr">
        <is>
          <t>PT13785</t>
        </is>
      </c>
      <c r="C64" t="inlineStr">
        <is>
          <t>Emergency</t>
        </is>
      </c>
      <c r="D64" t="inlineStr">
        <is>
          <t>F02</t>
        </is>
      </c>
      <c r="E64" t="inlineStr">
        <is>
          <t>D200</t>
        </is>
      </c>
      <c r="G64" s="32" t="n">
        <v>45667.52013888889</v>
      </c>
      <c r="H64" s="32" t="n">
        <v>45667.63055555556</v>
      </c>
      <c r="I64" t="inlineStr">
        <is>
          <t>J06.9</t>
        </is>
      </c>
      <c r="J64" t="inlineStr">
        <is>
          <t>PY02</t>
        </is>
      </c>
      <c r="K64" s="33" t="n">
        <v>1491.72</v>
      </c>
      <c r="L64" s="34" t="n"/>
    </row>
    <row r="65">
      <c r="A65" t="inlineStr">
        <is>
          <t>ENC111065</t>
        </is>
      </c>
      <c r="B65" t="inlineStr">
        <is>
          <t>PT13128</t>
        </is>
      </c>
      <c r="C65" t="inlineStr">
        <is>
          <t>Outpatient</t>
        </is>
      </c>
      <c r="D65" t="inlineStr">
        <is>
          <t>F04</t>
        </is>
      </c>
      <c r="E65" t="inlineStr">
        <is>
          <t>D400</t>
        </is>
      </c>
      <c r="G65" s="32" t="n">
        <v>45667.57291666666</v>
      </c>
      <c r="H65" s="32" t="n">
        <v>45667.58888888889</v>
      </c>
      <c r="I65" t="inlineStr">
        <is>
          <t>Z00.00</t>
        </is>
      </c>
      <c r="J65" t="inlineStr">
        <is>
          <t>PY06</t>
        </is>
      </c>
      <c r="K65" s="33" t="n">
        <v>446.29</v>
      </c>
      <c r="L65" s="34" t="n"/>
    </row>
    <row r="66">
      <c r="A66" t="inlineStr">
        <is>
          <t>ENC111073</t>
        </is>
      </c>
      <c r="B66" t="inlineStr">
        <is>
          <t>PT11459</t>
        </is>
      </c>
      <c r="C66" t="inlineStr">
        <is>
          <t>Outpatient</t>
        </is>
      </c>
      <c r="D66" t="inlineStr">
        <is>
          <t>F04</t>
        </is>
      </c>
      <c r="E66" t="inlineStr">
        <is>
          <t>D400</t>
        </is>
      </c>
      <c r="G66" s="32" t="n">
        <v>45667.64583333334</v>
      </c>
      <c r="H66" s="32" t="n">
        <v>45667.67916666667</v>
      </c>
      <c r="I66" t="inlineStr">
        <is>
          <t>Z23</t>
        </is>
      </c>
      <c r="J66" t="inlineStr">
        <is>
          <t>PY06</t>
        </is>
      </c>
      <c r="K66" s="33" t="n">
        <v>132.57</v>
      </c>
      <c r="L66" s="34" t="n"/>
    </row>
    <row r="67">
      <c r="A67" t="inlineStr">
        <is>
          <t>ENC111068</t>
        </is>
      </c>
      <c r="B67" t="inlineStr">
        <is>
          <t>PT10344</t>
        </is>
      </c>
      <c r="C67" t="inlineStr">
        <is>
          <t>Inpatient</t>
        </is>
      </c>
      <c r="D67" t="inlineStr">
        <is>
          <t>F01</t>
        </is>
      </c>
      <c r="E67" t="inlineStr">
        <is>
          <t>D120</t>
        </is>
      </c>
      <c r="F67" t="inlineStr">
        <is>
          <t>Emergency Department</t>
        </is>
      </c>
      <c r="G67" s="32" t="n">
        <v>45667.72152777778</v>
      </c>
      <c r="H67" s="32" t="n">
        <v>45671.58611111111</v>
      </c>
      <c r="I67" t="inlineStr">
        <is>
          <t>I50.9</t>
        </is>
      </c>
      <c r="J67" t="inlineStr">
        <is>
          <t>PY04</t>
        </is>
      </c>
      <c r="K67" s="33" t="n">
        <v>24976.35</v>
      </c>
      <c r="L67" s="34" t="n"/>
    </row>
    <row r="68">
      <c r="A68" t="inlineStr">
        <is>
          <t>ENC111082</t>
        </is>
      </c>
      <c r="B68" t="inlineStr">
        <is>
          <t>PT12553</t>
        </is>
      </c>
      <c r="C68" t="inlineStr">
        <is>
          <t>Inpatient</t>
        </is>
      </c>
      <c r="D68" t="inlineStr">
        <is>
          <t>F01</t>
        </is>
      </c>
      <c r="E68" t="inlineStr">
        <is>
          <t>D140</t>
        </is>
      </c>
      <c r="F68" t="inlineStr">
        <is>
          <t>Direct Admit</t>
        </is>
      </c>
      <c r="G68" s="32" t="n">
        <v>45667.92222222222</v>
      </c>
      <c r="H68" s="32" t="n">
        <v>45673.49861111111</v>
      </c>
      <c r="I68" t="inlineStr">
        <is>
          <t>S72.001A</t>
        </is>
      </c>
      <c r="J68" t="inlineStr">
        <is>
          <t>PY05</t>
        </is>
      </c>
      <c r="K68" s="33" t="n">
        <v>71129.39999999999</v>
      </c>
      <c r="L68" s="34" t="n"/>
    </row>
    <row r="69">
      <c r="A69" t="inlineStr">
        <is>
          <t>ENC111087</t>
        </is>
      </c>
      <c r="B69" t="inlineStr">
        <is>
          <t>PT11782</t>
        </is>
      </c>
      <c r="C69" t="inlineStr">
        <is>
          <t>Emergency</t>
        </is>
      </c>
      <c r="D69" t="inlineStr">
        <is>
          <t>F01</t>
        </is>
      </c>
      <c r="E69" t="inlineStr">
        <is>
          <t>D100</t>
        </is>
      </c>
      <c r="G69" s="32" t="n">
        <v>45668.08958333333</v>
      </c>
      <c r="H69" s="32" t="n">
        <v>45668.16180555556</v>
      </c>
      <c r="I69" t="inlineStr">
        <is>
          <t>A08.4</t>
        </is>
      </c>
      <c r="J69" t="inlineStr">
        <is>
          <t>PY04</t>
        </is>
      </c>
      <c r="K69" s="33" t="n">
        <v>1603.38</v>
      </c>
      <c r="L69" s="34" t="n"/>
    </row>
    <row r="70">
      <c r="A70" t="inlineStr">
        <is>
          <t>ENC111091</t>
        </is>
      </c>
      <c r="B70" t="inlineStr">
        <is>
          <t>PT11333</t>
        </is>
      </c>
      <c r="C70" t="inlineStr">
        <is>
          <t>Emergency</t>
        </is>
      </c>
      <c r="D70" t="inlineStr">
        <is>
          <t>F01</t>
        </is>
      </c>
      <c r="E70" t="inlineStr">
        <is>
          <t>D100</t>
        </is>
      </c>
      <c r="G70" s="32" t="n">
        <v>45668.40486111111</v>
      </c>
      <c r="H70" s="32" t="n">
        <v>45668.51111111111</v>
      </c>
      <c r="I70" t="inlineStr">
        <is>
          <t>R55</t>
        </is>
      </c>
      <c r="J70" t="inlineStr">
        <is>
          <t>PY01</t>
        </is>
      </c>
      <c r="K70" s="33" t="n">
        <v>1312.48</v>
      </c>
      <c r="L70" s="34" t="n"/>
    </row>
    <row r="71">
      <c r="A71" t="inlineStr">
        <is>
          <t>ENC111099</t>
        </is>
      </c>
      <c r="B71" t="inlineStr">
        <is>
          <t>PT10378</t>
        </is>
      </c>
      <c r="C71" t="inlineStr">
        <is>
          <t>Emergency</t>
        </is>
      </c>
      <c r="D71" t="inlineStr">
        <is>
          <t>F01</t>
        </is>
      </c>
      <c r="E71" t="inlineStr">
        <is>
          <t>D100</t>
        </is>
      </c>
      <c r="G71" s="32" t="n">
        <v>45668.65902777778</v>
      </c>
      <c r="H71" s="32" t="n">
        <v>45668.84652777778</v>
      </c>
      <c r="I71" t="inlineStr">
        <is>
          <t>E86.0</t>
        </is>
      </c>
      <c r="J71" t="inlineStr">
        <is>
          <t>PY01</t>
        </is>
      </c>
      <c r="K71" s="33" t="n">
        <v>2800.85</v>
      </c>
      <c r="L71" s="34" t="n"/>
    </row>
    <row r="72">
      <c r="A72" t="inlineStr">
        <is>
          <t>ENC111101</t>
        </is>
      </c>
      <c r="B72" t="inlineStr">
        <is>
          <t>PT12264</t>
        </is>
      </c>
      <c r="C72" t="inlineStr">
        <is>
          <t>Inpatient</t>
        </is>
      </c>
      <c r="D72" t="inlineStr">
        <is>
          <t>F03</t>
        </is>
      </c>
      <c r="E72" t="inlineStr">
        <is>
          <t>D310</t>
        </is>
      </c>
      <c r="F72" t="inlineStr">
        <is>
          <t>Emergency Department</t>
        </is>
      </c>
      <c r="G72" s="32" t="n">
        <v>45668.84652777778</v>
      </c>
      <c r="H72" s="32" t="n">
        <v>45671.67986111111</v>
      </c>
      <c r="I72" t="inlineStr">
        <is>
          <t>E87.1</t>
        </is>
      </c>
      <c r="J72" t="inlineStr">
        <is>
          <t>PY01</t>
        </is>
      </c>
      <c r="K72" s="33" t="n">
        <v>16418.17</v>
      </c>
      <c r="L72" s="34" t="n"/>
    </row>
    <row r="73">
      <c r="A73" t="inlineStr">
        <is>
          <t>ENC111107</t>
        </is>
      </c>
      <c r="B73" t="inlineStr">
        <is>
          <t>PT11278</t>
        </is>
      </c>
      <c r="C73" t="inlineStr">
        <is>
          <t>Inpatient</t>
        </is>
      </c>
      <c r="D73" t="inlineStr">
        <is>
          <t>F01</t>
        </is>
      </c>
      <c r="E73" t="inlineStr">
        <is>
          <t>D110</t>
        </is>
      </c>
      <c r="F73" t="inlineStr">
        <is>
          <t>Emergency Department</t>
        </is>
      </c>
      <c r="G73" s="32" t="n">
        <v>45668.99861111111</v>
      </c>
      <c r="H73" s="32" t="n">
        <v>45674.55694444444</v>
      </c>
      <c r="I73" t="inlineStr">
        <is>
          <t>E87.1</t>
        </is>
      </c>
      <c r="J73" t="inlineStr">
        <is>
          <t>PY02</t>
        </is>
      </c>
      <c r="K73" s="33" t="n">
        <v>19329.61</v>
      </c>
      <c r="L73" s="34" t="n"/>
    </row>
    <row r="74">
      <c r="A74" t="inlineStr">
        <is>
          <t>ENC111115</t>
        </is>
      </c>
      <c r="B74" t="inlineStr">
        <is>
          <t>PT11715</t>
        </is>
      </c>
      <c r="C74" t="inlineStr">
        <is>
          <t>Emergency</t>
        </is>
      </c>
      <c r="D74" t="inlineStr">
        <is>
          <t>F01</t>
        </is>
      </c>
      <c r="E74" t="inlineStr">
        <is>
          <t>D100</t>
        </is>
      </c>
      <c r="G74" s="32" t="n">
        <v>45669.41666666666</v>
      </c>
      <c r="H74" s="32" t="n">
        <v>45669.54027777778</v>
      </c>
      <c r="I74" t="inlineStr">
        <is>
          <t>U07.1</t>
        </is>
      </c>
      <c r="J74" t="inlineStr">
        <is>
          <t>PY04</t>
        </is>
      </c>
      <c r="K74" s="33" t="n">
        <v>5809.09</v>
      </c>
      <c r="L74" s="34" t="n"/>
    </row>
    <row r="75">
      <c r="A75" t="inlineStr">
        <is>
          <t>ENC111114</t>
        </is>
      </c>
      <c r="B75" t="inlineStr">
        <is>
          <t>PT11101</t>
        </is>
      </c>
      <c r="C75" t="inlineStr">
        <is>
          <t>Inpatient</t>
        </is>
      </c>
      <c r="D75" t="inlineStr">
        <is>
          <t>F03</t>
        </is>
      </c>
      <c r="E75" t="inlineStr">
        <is>
          <t>D310</t>
        </is>
      </c>
      <c r="F75" t="inlineStr">
        <is>
          <t>Emergency Department</t>
        </is>
      </c>
      <c r="G75" s="32" t="n">
        <v>45669.57152777778</v>
      </c>
      <c r="H75" s="32" t="n">
        <v>45676.54652777778</v>
      </c>
      <c r="I75" t="inlineStr">
        <is>
          <t>J18.9</t>
        </is>
      </c>
      <c r="J75" t="inlineStr">
        <is>
          <t>PY01</t>
        </is>
      </c>
      <c r="K75" s="33" t="n">
        <v>39804.2</v>
      </c>
      <c r="L75" s="34" t="n"/>
    </row>
    <row r="76">
      <c r="A76" t="inlineStr">
        <is>
          <t>ENC111128</t>
        </is>
      </c>
      <c r="B76" t="inlineStr">
        <is>
          <t>PT10928</t>
        </is>
      </c>
      <c r="C76" t="inlineStr">
        <is>
          <t>Emergency</t>
        </is>
      </c>
      <c r="D76" t="inlineStr">
        <is>
          <t>F01</t>
        </is>
      </c>
      <c r="E76" t="inlineStr">
        <is>
          <t>D100</t>
        </is>
      </c>
      <c r="G76" s="32" t="n">
        <v>45669.73402777778</v>
      </c>
      <c r="H76" s="32" t="n">
        <v>45669.83958333333</v>
      </c>
      <c r="I76" t="inlineStr">
        <is>
          <t>S93.401A</t>
        </is>
      </c>
      <c r="J76" t="inlineStr">
        <is>
          <t>PY04</t>
        </is>
      </c>
      <c r="K76" s="33" t="n">
        <v>1812.3</v>
      </c>
      <c r="L76" s="34" t="n"/>
    </row>
    <row r="77">
      <c r="A77" t="inlineStr">
        <is>
          <t>ENC111124</t>
        </is>
      </c>
      <c r="B77" t="inlineStr">
        <is>
          <t>PT13086</t>
        </is>
      </c>
      <c r="C77" t="inlineStr">
        <is>
          <t>Inpatient</t>
        </is>
      </c>
      <c r="D77" t="inlineStr">
        <is>
          <t>F01</t>
        </is>
      </c>
      <c r="E77" t="inlineStr">
        <is>
          <t>D111</t>
        </is>
      </c>
      <c r="F77" t="inlineStr">
        <is>
          <t>Emergency Department</t>
        </is>
      </c>
      <c r="G77" s="32" t="n">
        <v>45669.8125</v>
      </c>
      <c r="H77" s="32" t="n">
        <v>45674.4625</v>
      </c>
      <c r="I77" t="inlineStr">
        <is>
          <t>N17.9</t>
        </is>
      </c>
      <c r="J77" t="inlineStr">
        <is>
          <t>PY01</t>
        </is>
      </c>
      <c r="K77" s="33" t="n">
        <v>21879.88</v>
      </c>
      <c r="L77" s="34" t="n"/>
    </row>
    <row r="78">
      <c r="A78" t="inlineStr">
        <is>
          <t>ENC111138</t>
        </is>
      </c>
      <c r="B78" t="inlineStr">
        <is>
          <t>PT12455</t>
        </is>
      </c>
      <c r="C78" t="inlineStr">
        <is>
          <t>Inpatient</t>
        </is>
      </c>
      <c r="D78" t="inlineStr">
        <is>
          <t>F01</t>
        </is>
      </c>
      <c r="E78" t="inlineStr">
        <is>
          <t>D110</t>
        </is>
      </c>
      <c r="F78" t="inlineStr">
        <is>
          <t>Transfer</t>
        </is>
      </c>
      <c r="G78" s="32" t="n">
        <v>45669.93402777778</v>
      </c>
      <c r="H78" s="32" t="n">
        <v>45681.36319444444</v>
      </c>
      <c r="I78" t="inlineStr">
        <is>
          <t>J18.9</t>
        </is>
      </c>
      <c r="J78" t="inlineStr">
        <is>
          <t>PY01</t>
        </is>
      </c>
      <c r="K78" s="33" t="n">
        <v>48028.29</v>
      </c>
      <c r="L78" s="34" t="n"/>
    </row>
    <row r="79">
      <c r="A79" t="inlineStr">
        <is>
          <t>ENC111141</t>
        </is>
      </c>
      <c r="B79" t="inlineStr">
        <is>
          <t>PT11545</t>
        </is>
      </c>
      <c r="C79" t="inlineStr">
        <is>
          <t>Inpatient</t>
        </is>
      </c>
      <c r="D79" t="inlineStr">
        <is>
          <t>F01</t>
        </is>
      </c>
      <c r="E79" t="inlineStr">
        <is>
          <t>D110</t>
        </is>
      </c>
      <c r="F79" t="inlineStr">
        <is>
          <t>Emergency Department</t>
        </is>
      </c>
      <c r="G79" s="32" t="n">
        <v>45670.13472222222</v>
      </c>
      <c r="H79" s="32" t="n">
        <v>45674.68888888889</v>
      </c>
      <c r="I79" t="inlineStr">
        <is>
          <t>K92.2</t>
        </is>
      </c>
      <c r="J79" t="inlineStr">
        <is>
          <t>PY01</t>
        </is>
      </c>
      <c r="K79" s="33" t="n">
        <v>30651.52</v>
      </c>
      <c r="L79" s="34" t="n"/>
    </row>
    <row r="80">
      <c r="A80" t="inlineStr">
        <is>
          <t>ENC111147</t>
        </is>
      </c>
      <c r="B80" t="inlineStr">
        <is>
          <t>PT12158</t>
        </is>
      </c>
      <c r="C80" t="inlineStr">
        <is>
          <t>Emergency</t>
        </is>
      </c>
      <c r="D80" t="inlineStr">
        <is>
          <t>F01</t>
        </is>
      </c>
      <c r="E80" t="inlineStr">
        <is>
          <t>D100</t>
        </is>
      </c>
      <c r="G80" s="32" t="n">
        <v>45670.35763888889</v>
      </c>
      <c r="H80" s="32" t="n">
        <v>45670.44305555556</v>
      </c>
      <c r="I80" t="inlineStr">
        <is>
          <t>J06.9</t>
        </is>
      </c>
      <c r="J80" t="inlineStr">
        <is>
          <t>PY03</t>
        </is>
      </c>
      <c r="K80" s="33" t="n">
        <v>897.21</v>
      </c>
      <c r="L80" s="34" t="n"/>
    </row>
    <row r="81">
      <c r="A81" t="inlineStr">
        <is>
          <t>ENC111154</t>
        </is>
      </c>
      <c r="B81" t="inlineStr">
        <is>
          <t>PT12430</t>
        </is>
      </c>
      <c r="C81" t="inlineStr">
        <is>
          <t>Outpatient</t>
        </is>
      </c>
      <c r="D81" t="inlineStr">
        <is>
          <t>F04</t>
        </is>
      </c>
      <c r="E81" t="inlineStr">
        <is>
          <t>D400</t>
        </is>
      </c>
      <c r="G81" s="32" t="n">
        <v>45670.41666666666</v>
      </c>
      <c r="H81" s="32" t="n">
        <v>45670.45486111111</v>
      </c>
      <c r="I81" t="inlineStr">
        <is>
          <t>Z23</t>
        </is>
      </c>
      <c r="J81" t="inlineStr">
        <is>
          <t>PY02</t>
        </is>
      </c>
      <c r="K81" s="33" t="n">
        <v>97.19</v>
      </c>
      <c r="L81" s="34" t="n"/>
    </row>
    <row r="82">
      <c r="A82" t="inlineStr">
        <is>
          <t>ENC111149</t>
        </is>
      </c>
      <c r="B82" t="inlineStr">
        <is>
          <t>PT11575</t>
        </is>
      </c>
      <c r="C82" t="inlineStr">
        <is>
          <t>Inpatient</t>
        </is>
      </c>
      <c r="D82" t="inlineStr">
        <is>
          <t>F01</t>
        </is>
      </c>
      <c r="E82" t="inlineStr">
        <is>
          <t>D111</t>
        </is>
      </c>
      <c r="F82" t="inlineStr">
        <is>
          <t>Emergency Department</t>
        </is>
      </c>
      <c r="G82" s="32" t="n">
        <v>45670.48958333334</v>
      </c>
      <c r="H82" s="32" t="n">
        <v>45676.64583333334</v>
      </c>
      <c r="I82" t="inlineStr">
        <is>
          <t>J18.9</t>
        </is>
      </c>
      <c r="J82" t="inlineStr">
        <is>
          <t>PY03</t>
        </is>
      </c>
      <c r="K82" s="33" t="n">
        <v>30909.51</v>
      </c>
      <c r="L82" s="34" t="n"/>
    </row>
    <row r="83">
      <c r="A83" t="inlineStr">
        <is>
          <t>ENC111166</t>
        </is>
      </c>
      <c r="B83" t="inlineStr">
        <is>
          <t>PT10814</t>
        </is>
      </c>
      <c r="C83" t="inlineStr">
        <is>
          <t>Emergency</t>
        </is>
      </c>
      <c r="D83" t="inlineStr">
        <is>
          <t>F03</t>
        </is>
      </c>
      <c r="E83" t="inlineStr">
        <is>
          <t>D300</t>
        </is>
      </c>
      <c r="G83" s="32" t="n">
        <v>45670.54930555556</v>
      </c>
      <c r="H83" s="32" t="n">
        <v>45670.69791666666</v>
      </c>
      <c r="I83" t="inlineStr">
        <is>
          <t>S93.401A</t>
        </is>
      </c>
      <c r="J83" t="inlineStr">
        <is>
          <t>PY06</t>
        </is>
      </c>
      <c r="K83" s="33" t="n">
        <v>760.2</v>
      </c>
      <c r="L83" s="34" t="n"/>
    </row>
    <row r="84">
      <c r="A84" t="inlineStr">
        <is>
          <t>ENC111173</t>
        </is>
      </c>
      <c r="B84" t="inlineStr">
        <is>
          <t>PT13354</t>
        </is>
      </c>
      <c r="C84" t="inlineStr">
        <is>
          <t>Emergency</t>
        </is>
      </c>
      <c r="D84" t="inlineStr">
        <is>
          <t>F01</t>
        </is>
      </c>
      <c r="E84" t="inlineStr">
        <is>
          <t>D100</t>
        </is>
      </c>
      <c r="G84" s="32" t="n">
        <v>45670.59722222222</v>
      </c>
      <c r="H84" s="32" t="n">
        <v>45670.6375</v>
      </c>
      <c r="I84" t="inlineStr">
        <is>
          <t>R55</t>
        </is>
      </c>
      <c r="J84" t="inlineStr">
        <is>
          <t>PY01</t>
        </is>
      </c>
      <c r="K84" s="33" t="n">
        <v>1679.65</v>
      </c>
      <c r="L84" s="34" t="n"/>
    </row>
    <row r="85">
      <c r="A85" t="inlineStr">
        <is>
          <t>ENC111177</t>
        </is>
      </c>
      <c r="B85" t="inlineStr">
        <is>
          <t>PT12745</t>
        </is>
      </c>
      <c r="C85" t="inlineStr">
        <is>
          <t>Outpatient</t>
        </is>
      </c>
      <c r="D85" t="inlineStr">
        <is>
          <t>F04</t>
        </is>
      </c>
      <c r="E85" t="inlineStr">
        <is>
          <t>D440</t>
        </is>
      </c>
      <c r="G85" s="32" t="n">
        <v>45670.67708333334</v>
      </c>
      <c r="H85" s="32" t="n">
        <v>45670.71527777778</v>
      </c>
      <c r="I85" t="inlineStr">
        <is>
          <t>E11.9</t>
        </is>
      </c>
      <c r="J85" t="inlineStr">
        <is>
          <t>PY01</t>
        </is>
      </c>
      <c r="K85" s="33" t="n">
        <v>355.76</v>
      </c>
      <c r="L85" s="34" t="n"/>
    </row>
    <row r="86">
      <c r="A86" t="inlineStr">
        <is>
          <t>ENC111181</t>
        </is>
      </c>
      <c r="B86" t="inlineStr">
        <is>
          <t>PT13581</t>
        </is>
      </c>
      <c r="C86" t="inlineStr">
        <is>
          <t>Inpatient</t>
        </is>
      </c>
      <c r="D86" t="inlineStr">
        <is>
          <t>F01</t>
        </is>
      </c>
      <c r="E86" t="inlineStr">
        <is>
          <t>D110</t>
        </is>
      </c>
      <c r="F86" t="inlineStr">
        <is>
          <t>Direct Admit</t>
        </is>
      </c>
      <c r="G86" s="32" t="n">
        <v>45670.79097222222</v>
      </c>
      <c r="H86" s="32" t="n">
        <v>45675.50069444445</v>
      </c>
      <c r="I86" t="inlineStr">
        <is>
          <t>E11.65</t>
        </is>
      </c>
      <c r="J86" t="inlineStr">
        <is>
          <t>PY01</t>
        </is>
      </c>
      <c r="K86" s="33" t="n">
        <v>18532.7</v>
      </c>
      <c r="L86" s="34" t="n"/>
    </row>
    <row r="87">
      <c r="A87" t="inlineStr">
        <is>
          <t>ENC111184</t>
        </is>
      </c>
      <c r="B87" t="inlineStr">
        <is>
          <t>PT13087</t>
        </is>
      </c>
      <c r="C87" t="inlineStr">
        <is>
          <t>Inpatient</t>
        </is>
      </c>
      <c r="D87" t="inlineStr">
        <is>
          <t>F01</t>
        </is>
      </c>
      <c r="E87" t="inlineStr">
        <is>
          <t>D140</t>
        </is>
      </c>
      <c r="F87" t="inlineStr">
        <is>
          <t>Emergency Department</t>
        </is>
      </c>
      <c r="G87" s="32" t="n">
        <v>45670.98888888889</v>
      </c>
      <c r="H87" s="32" t="n">
        <v>45674.57638888889</v>
      </c>
      <c r="I87" t="inlineStr">
        <is>
          <t>S72.001A</t>
        </is>
      </c>
      <c r="J87" t="inlineStr">
        <is>
          <t>PY01</t>
        </is>
      </c>
      <c r="K87" s="33" t="n">
        <v>55942.14</v>
      </c>
      <c r="L87" s="34" t="n"/>
    </row>
    <row r="88">
      <c r="A88" t="inlineStr">
        <is>
          <t>ENC111194</t>
        </is>
      </c>
      <c r="B88" t="inlineStr">
        <is>
          <t>PT10557</t>
        </is>
      </c>
      <c r="C88" t="inlineStr">
        <is>
          <t>Outpatient</t>
        </is>
      </c>
      <c r="D88" t="inlineStr">
        <is>
          <t>F04</t>
        </is>
      </c>
      <c r="E88" t="inlineStr">
        <is>
          <t>D400</t>
        </is>
      </c>
      <c r="G88" s="32" t="n">
        <v>45671.35416666666</v>
      </c>
      <c r="H88" s="32" t="n">
        <v>45671.36944444444</v>
      </c>
      <c r="I88" t="inlineStr">
        <is>
          <t>Z00.00</t>
        </is>
      </c>
      <c r="J88" t="inlineStr">
        <is>
          <t>PY05</t>
        </is>
      </c>
      <c r="K88" s="33" t="n">
        <v>237.23</v>
      </c>
      <c r="L88" s="34" t="n"/>
    </row>
    <row r="89">
      <c r="A89" t="inlineStr">
        <is>
          <t>ENC111198</t>
        </is>
      </c>
      <c r="B89" t="inlineStr">
        <is>
          <t>PT10089</t>
        </is>
      </c>
      <c r="C89" t="inlineStr">
        <is>
          <t>Outpatient</t>
        </is>
      </c>
      <c r="D89" t="inlineStr">
        <is>
          <t>F04</t>
        </is>
      </c>
      <c r="E89" t="inlineStr">
        <is>
          <t>D440</t>
        </is>
      </c>
      <c r="G89" s="32" t="n">
        <v>45671.41666666666</v>
      </c>
      <c r="H89" s="32" t="n">
        <v>45671.44791666666</v>
      </c>
      <c r="I89" t="inlineStr">
        <is>
          <t>E11.9</t>
        </is>
      </c>
      <c r="J89" t="inlineStr">
        <is>
          <t>PY06</t>
        </is>
      </c>
      <c r="K89" s="33" t="n">
        <v>247.1</v>
      </c>
      <c r="L89" s="34" t="n"/>
    </row>
    <row r="90">
      <c r="A90" t="inlineStr">
        <is>
          <t>ENC111204</t>
        </is>
      </c>
      <c r="B90" t="inlineStr">
        <is>
          <t>PT13174</t>
        </is>
      </c>
      <c r="C90" t="inlineStr">
        <is>
          <t>Outpatient</t>
        </is>
      </c>
      <c r="D90" t="inlineStr">
        <is>
          <t>F04</t>
        </is>
      </c>
      <c r="E90" t="inlineStr">
        <is>
          <t>D440</t>
        </is>
      </c>
      <c r="G90" s="32" t="n">
        <v>45671.54166666666</v>
      </c>
      <c r="H90" s="32" t="n">
        <v>45671.5625</v>
      </c>
      <c r="I90" t="inlineStr">
        <is>
          <t>E11.9</t>
        </is>
      </c>
      <c r="J90" t="inlineStr">
        <is>
          <t>PY01</t>
        </is>
      </c>
      <c r="K90" s="33" t="n">
        <v>520.88</v>
      </c>
      <c r="L90" s="34" t="n"/>
    </row>
    <row r="91">
      <c r="A91" t="inlineStr">
        <is>
          <t>ENC111208</t>
        </is>
      </c>
      <c r="B91" t="inlineStr">
        <is>
          <t>PT11934</t>
        </is>
      </c>
      <c r="C91" t="inlineStr">
        <is>
          <t>Outpatient</t>
        </is>
      </c>
      <c r="D91" t="inlineStr">
        <is>
          <t>F04</t>
        </is>
      </c>
      <c r="E91" t="inlineStr">
        <is>
          <t>D430</t>
        </is>
      </c>
      <c r="G91" s="32" t="n">
        <v>45671.59375</v>
      </c>
      <c r="H91" s="32" t="n">
        <v>45671.70833333334</v>
      </c>
      <c r="I91" t="inlineStr">
        <is>
          <t>Z51.11</t>
        </is>
      </c>
      <c r="J91" t="inlineStr">
        <is>
          <t>PY07</t>
        </is>
      </c>
      <c r="K91" s="33" t="n">
        <v>11536.03</v>
      </c>
      <c r="L91" s="34" t="n"/>
    </row>
    <row r="92">
      <c r="A92" t="inlineStr">
        <is>
          <t>ENC111215</t>
        </is>
      </c>
      <c r="B92" t="inlineStr">
        <is>
          <t>PT11403</t>
        </is>
      </c>
      <c r="C92" t="inlineStr">
        <is>
          <t>Emergency</t>
        </is>
      </c>
      <c r="D92" t="inlineStr">
        <is>
          <t>F03</t>
        </is>
      </c>
      <c r="E92" t="inlineStr">
        <is>
          <t>D300</t>
        </is>
      </c>
      <c r="G92" s="32" t="n">
        <v>45671.64652777778</v>
      </c>
      <c r="H92" s="32" t="n">
        <v>45671.82708333333</v>
      </c>
      <c r="I92" t="inlineStr">
        <is>
          <t>R07.9</t>
        </is>
      </c>
      <c r="J92" t="inlineStr">
        <is>
          <t>PY03</t>
        </is>
      </c>
      <c r="K92" s="33" t="n">
        <v>5365.59</v>
      </c>
      <c r="L92" s="34" t="n"/>
    </row>
    <row r="93">
      <c r="A93" t="inlineStr">
        <is>
          <t>ENC111222</t>
        </is>
      </c>
      <c r="B93" t="inlineStr">
        <is>
          <t>PT12878</t>
        </is>
      </c>
      <c r="C93" t="inlineStr">
        <is>
          <t>Inpatient</t>
        </is>
      </c>
      <c r="D93" t="inlineStr">
        <is>
          <t>F01</t>
        </is>
      </c>
      <c r="E93" t="inlineStr">
        <is>
          <t>D111</t>
        </is>
      </c>
      <c r="F93" t="inlineStr">
        <is>
          <t>Transfer</t>
        </is>
      </c>
      <c r="G93" s="32" t="n">
        <v>45671.79861111111</v>
      </c>
      <c r="H93" s="32" t="n">
        <v>45674.54097222222</v>
      </c>
      <c r="I93" t="inlineStr">
        <is>
          <t>J44.1</t>
        </is>
      </c>
      <c r="J93" t="inlineStr">
        <is>
          <t>PY04</t>
        </is>
      </c>
      <c r="K93" s="33" t="n">
        <v>13819.55</v>
      </c>
      <c r="L93" s="34" t="n"/>
    </row>
    <row r="94">
      <c r="A94" t="inlineStr">
        <is>
          <t>ENC111224</t>
        </is>
      </c>
      <c r="B94" t="inlineStr">
        <is>
          <t>PT10119</t>
        </is>
      </c>
      <c r="C94" t="inlineStr">
        <is>
          <t>Inpatient</t>
        </is>
      </c>
      <c r="D94" t="inlineStr">
        <is>
          <t>F01</t>
        </is>
      </c>
      <c r="E94" t="inlineStr">
        <is>
          <t>D110</t>
        </is>
      </c>
      <c r="F94" t="inlineStr">
        <is>
          <t>Emergency Department</t>
        </is>
      </c>
      <c r="G94" s="32" t="n">
        <v>45672.08958333333</v>
      </c>
      <c r="H94" s="32" t="n">
        <v>45679.48055555556</v>
      </c>
      <c r="I94" t="inlineStr">
        <is>
          <t>U07.1</t>
        </is>
      </c>
      <c r="J94" t="inlineStr">
        <is>
          <t>PY03</t>
        </is>
      </c>
      <c r="K94" s="33" t="n">
        <v>26964.62</v>
      </c>
      <c r="L94" s="34" t="n"/>
    </row>
    <row r="95">
      <c r="A95" t="inlineStr">
        <is>
          <t>ENC111232</t>
        </is>
      </c>
      <c r="B95" t="inlineStr">
        <is>
          <t>PT13057</t>
        </is>
      </c>
      <c r="C95" t="inlineStr">
        <is>
          <t>Outpatient</t>
        </is>
      </c>
      <c r="D95" t="inlineStr">
        <is>
          <t>F04</t>
        </is>
      </c>
      <c r="E95" t="inlineStr">
        <is>
          <t>D400</t>
        </is>
      </c>
      <c r="G95" s="32" t="n">
        <v>45672.44791666666</v>
      </c>
      <c r="H95" s="32" t="n">
        <v>45672.46180555555</v>
      </c>
      <c r="I95" t="inlineStr">
        <is>
          <t>J45.909</t>
        </is>
      </c>
      <c r="J95" t="inlineStr">
        <is>
          <t>PY05</t>
        </is>
      </c>
      <c r="K95" s="33" t="n">
        <v>176.35</v>
      </c>
      <c r="L95" s="34" t="n"/>
    </row>
    <row r="96">
      <c r="A96" t="inlineStr">
        <is>
          <t>ENC111236</t>
        </is>
      </c>
      <c r="B96" t="inlineStr">
        <is>
          <t>PT10802</t>
        </is>
      </c>
      <c r="C96" t="inlineStr">
        <is>
          <t>Outpatient</t>
        </is>
      </c>
      <c r="D96" t="inlineStr">
        <is>
          <t>F04</t>
        </is>
      </c>
      <c r="E96" t="inlineStr">
        <is>
          <t>D430</t>
        </is>
      </c>
      <c r="G96" s="32" t="n">
        <v>45672.54166666666</v>
      </c>
      <c r="H96" s="32" t="n">
        <v>45672.69861111111</v>
      </c>
      <c r="I96" t="inlineStr">
        <is>
          <t>Z51.11</t>
        </is>
      </c>
      <c r="J96" t="inlineStr">
        <is>
          <t>PY02</t>
        </is>
      </c>
      <c r="K96" s="33" t="n">
        <v>16397.79</v>
      </c>
      <c r="L96" s="34" t="n"/>
    </row>
    <row r="97">
      <c r="A97" t="inlineStr">
        <is>
          <t>ENC111242</t>
        </is>
      </c>
      <c r="B97" t="inlineStr">
        <is>
          <t>PT11492</t>
        </is>
      </c>
      <c r="C97" t="inlineStr">
        <is>
          <t>Outpatient</t>
        </is>
      </c>
      <c r="D97" t="inlineStr">
        <is>
          <t>F04</t>
        </is>
      </c>
      <c r="E97" t="inlineStr">
        <is>
          <t>D400</t>
        </is>
      </c>
      <c r="G97" s="32" t="n">
        <v>45672.625</v>
      </c>
      <c r="H97" s="32" t="n">
        <v>45672.65416666667</v>
      </c>
      <c r="I97" t="inlineStr">
        <is>
          <t>Z23</t>
        </is>
      </c>
      <c r="J97" t="inlineStr">
        <is>
          <t>PY02</t>
        </is>
      </c>
      <c r="K97" s="33" t="n">
        <v>139.12</v>
      </c>
      <c r="L97" s="34" t="n"/>
    </row>
    <row r="98">
      <c r="A98" t="inlineStr">
        <is>
          <t>ENC111244</t>
        </is>
      </c>
      <c r="B98" t="inlineStr">
        <is>
          <t>PT12494</t>
        </is>
      </c>
      <c r="C98" t="inlineStr">
        <is>
          <t>Inpatient</t>
        </is>
      </c>
      <c r="D98" t="inlineStr">
        <is>
          <t>F03</t>
        </is>
      </c>
      <c r="E98" t="inlineStr">
        <is>
          <t>D310</t>
        </is>
      </c>
      <c r="F98" t="inlineStr">
        <is>
          <t>Emergency Department</t>
        </is>
      </c>
      <c r="G98" s="32" t="n">
        <v>45672.75972222222</v>
      </c>
      <c r="H98" s="32" t="n">
        <v>45677.61388888889</v>
      </c>
      <c r="I98" t="inlineStr">
        <is>
          <t>J44.1</t>
        </is>
      </c>
      <c r="J98" t="inlineStr">
        <is>
          <t>PY03</t>
        </is>
      </c>
      <c r="K98" s="33" t="n">
        <v>22337.29</v>
      </c>
      <c r="L98" s="34" t="n"/>
    </row>
    <row r="99">
      <c r="A99" t="inlineStr">
        <is>
          <t>ENC111255</t>
        </is>
      </c>
      <c r="B99" t="inlineStr">
        <is>
          <t>PT11654</t>
        </is>
      </c>
      <c r="C99" t="inlineStr">
        <is>
          <t>Emergency</t>
        </is>
      </c>
      <c r="D99" t="inlineStr">
        <is>
          <t>F01</t>
        </is>
      </c>
      <c r="E99" t="inlineStr">
        <is>
          <t>D100</t>
        </is>
      </c>
      <c r="G99" s="32" t="n">
        <v>45672.93263888889</v>
      </c>
      <c r="H99" s="32" t="n">
        <v>45673.01805555556</v>
      </c>
      <c r="I99" t="inlineStr">
        <is>
          <t>J06.9</t>
        </is>
      </c>
      <c r="J99" t="inlineStr">
        <is>
          <t>PY04</t>
        </is>
      </c>
      <c r="K99" s="33" t="n">
        <v>2070.67</v>
      </c>
      <c r="L99" s="34" t="n"/>
    </row>
    <row r="100">
      <c r="A100" t="inlineStr">
        <is>
          <t>ENC111258</t>
        </is>
      </c>
      <c r="B100" t="inlineStr">
        <is>
          <t>PT13821</t>
        </is>
      </c>
      <c r="C100" t="inlineStr">
        <is>
          <t>Inpatient</t>
        </is>
      </c>
      <c r="D100" t="inlineStr">
        <is>
          <t>F03</t>
        </is>
      </c>
      <c r="E100" t="inlineStr">
        <is>
          <t>D310</t>
        </is>
      </c>
      <c r="F100" t="inlineStr">
        <is>
          <t>Emergency Department</t>
        </is>
      </c>
      <c r="G100" s="32" t="n">
        <v>45673.29930555556</v>
      </c>
      <c r="H100" s="32" t="n">
        <v>45676.64097222222</v>
      </c>
      <c r="I100" t="inlineStr">
        <is>
          <t>A41.9</t>
        </is>
      </c>
      <c r="J100" t="inlineStr">
        <is>
          <t>PY06</t>
        </is>
      </c>
      <c r="K100" s="33" t="n">
        <v>18753.47</v>
      </c>
      <c r="L100" s="34" t="n"/>
    </row>
    <row r="101">
      <c r="A101" t="inlineStr">
        <is>
          <t>ENC111267</t>
        </is>
      </c>
      <c r="B101" t="inlineStr">
        <is>
          <t>PT13570</t>
        </is>
      </c>
      <c r="C101" t="inlineStr">
        <is>
          <t>Outpatient</t>
        </is>
      </c>
      <c r="D101" t="inlineStr">
        <is>
          <t>F04</t>
        </is>
      </c>
      <c r="E101" t="inlineStr">
        <is>
          <t>D430</t>
        </is>
      </c>
      <c r="G101" s="32" t="n">
        <v>45673.39583333334</v>
      </c>
      <c r="H101" s="32" t="n">
        <v>45673.4125</v>
      </c>
      <c r="I101" t="inlineStr">
        <is>
          <t>C50.911</t>
        </is>
      </c>
      <c r="J101" t="inlineStr">
        <is>
          <t>PY04</t>
        </is>
      </c>
      <c r="K101" s="33" t="n">
        <v>713.22</v>
      </c>
      <c r="L101" s="34" t="n"/>
    </row>
    <row r="102">
      <c r="A102" t="inlineStr">
        <is>
          <t>ENC111272</t>
        </is>
      </c>
      <c r="B102" t="inlineStr">
        <is>
          <t>PT11762</t>
        </is>
      </c>
      <c r="C102" t="inlineStr">
        <is>
          <t>Emergency</t>
        </is>
      </c>
      <c r="D102" t="inlineStr">
        <is>
          <t>F01</t>
        </is>
      </c>
      <c r="E102" t="inlineStr">
        <is>
          <t>D100</t>
        </is>
      </c>
      <c r="G102" s="32" t="n">
        <v>45673.42986111111</v>
      </c>
      <c r="H102" s="32" t="n">
        <v>45673.54305555556</v>
      </c>
      <c r="I102" t="inlineStr">
        <is>
          <t>J21.9</t>
        </is>
      </c>
      <c r="J102" t="inlineStr">
        <is>
          <t>PY03</t>
        </is>
      </c>
      <c r="K102" s="33" t="n">
        <v>5976.25</v>
      </c>
      <c r="L102" s="34" t="n"/>
    </row>
    <row r="103">
      <c r="A103" t="inlineStr">
        <is>
          <t>ENC111275</t>
        </is>
      </c>
      <c r="B103" t="inlineStr">
        <is>
          <t>PT12052</t>
        </is>
      </c>
      <c r="C103" t="inlineStr">
        <is>
          <t>Emergency</t>
        </is>
      </c>
      <c r="D103" t="inlineStr">
        <is>
          <t>F01</t>
        </is>
      </c>
      <c r="E103" t="inlineStr">
        <is>
          <t>D100</t>
        </is>
      </c>
      <c r="G103" s="32" t="n">
        <v>45673.53541666667</v>
      </c>
      <c r="H103" s="32" t="n">
        <v>45673.65416666667</v>
      </c>
      <c r="I103" t="inlineStr">
        <is>
          <t>H66.90</t>
        </is>
      </c>
      <c r="J103" t="inlineStr">
        <is>
          <t>PY04</t>
        </is>
      </c>
      <c r="K103" s="33" t="n">
        <v>1489.24</v>
      </c>
      <c r="L103" s="34" t="n"/>
    </row>
    <row r="104">
      <c r="A104" t="inlineStr">
        <is>
          <t>ENC111281</t>
        </is>
      </c>
      <c r="B104" t="inlineStr">
        <is>
          <t>PT10002</t>
        </is>
      </c>
      <c r="C104" t="inlineStr">
        <is>
          <t>Outpatient</t>
        </is>
      </c>
      <c r="D104" t="inlineStr">
        <is>
          <t>F04</t>
        </is>
      </c>
      <c r="E104" t="inlineStr">
        <is>
          <t>D400</t>
        </is>
      </c>
      <c r="G104" s="32" t="n">
        <v>45673.60416666666</v>
      </c>
      <c r="H104" s="32" t="n">
        <v>45673.63055555556</v>
      </c>
      <c r="I104" t="inlineStr">
        <is>
          <t>Z23</t>
        </is>
      </c>
      <c r="J104" t="inlineStr">
        <is>
          <t>PY01</t>
        </is>
      </c>
      <c r="K104" s="33" t="n">
        <v>140.01</v>
      </c>
      <c r="L104" s="34" t="n"/>
    </row>
    <row r="105">
      <c r="A105" t="inlineStr">
        <is>
          <t>ENC111287</t>
        </is>
      </c>
      <c r="B105" t="inlineStr">
        <is>
          <t>PT13985</t>
        </is>
      </c>
      <c r="C105" t="inlineStr">
        <is>
          <t>Outpatient</t>
        </is>
      </c>
      <c r="D105" t="inlineStr">
        <is>
          <t>F04</t>
        </is>
      </c>
      <c r="E105" t="inlineStr">
        <is>
          <t>D400</t>
        </is>
      </c>
      <c r="G105" s="32" t="n">
        <v>45673.67708333334</v>
      </c>
      <c r="H105" s="32" t="n">
        <v>45673.70486111111</v>
      </c>
      <c r="I105" t="inlineStr">
        <is>
          <t>J44.1</t>
        </is>
      </c>
      <c r="J105" t="inlineStr">
        <is>
          <t>PY01</t>
        </is>
      </c>
      <c r="K105" s="33" t="n">
        <v>246.38</v>
      </c>
      <c r="L105" s="34" t="n"/>
    </row>
    <row r="106">
      <c r="A106" t="inlineStr">
        <is>
          <t>ENC111293</t>
        </is>
      </c>
      <c r="B106" t="inlineStr">
        <is>
          <t>PT11784</t>
        </is>
      </c>
      <c r="C106" t="inlineStr">
        <is>
          <t>Emergency</t>
        </is>
      </c>
      <c r="D106" t="inlineStr">
        <is>
          <t>F01</t>
        </is>
      </c>
      <c r="E106" t="inlineStr">
        <is>
          <t>D100</t>
        </is>
      </c>
      <c r="G106" s="32" t="n">
        <v>45673.89236111111</v>
      </c>
      <c r="H106" s="32" t="n">
        <v>45673.97708333333</v>
      </c>
      <c r="I106" t="inlineStr">
        <is>
          <t>J06.9</t>
        </is>
      </c>
      <c r="J106" t="inlineStr">
        <is>
          <t>PY05</t>
        </is>
      </c>
      <c r="K106" s="33" t="n">
        <v>1202.42</v>
      </c>
      <c r="L106" s="34" t="n"/>
    </row>
    <row r="107">
      <c r="A107" t="inlineStr">
        <is>
          <t>ENC111298</t>
        </is>
      </c>
      <c r="B107" t="inlineStr">
        <is>
          <t>PT12149</t>
        </is>
      </c>
      <c r="C107" t="inlineStr">
        <is>
          <t>Outpatient</t>
        </is>
      </c>
      <c r="D107" t="inlineStr">
        <is>
          <t>F04</t>
        </is>
      </c>
      <c r="E107" t="inlineStr">
        <is>
          <t>D430</t>
        </is>
      </c>
      <c r="G107" s="32" t="n">
        <v>45674.33333333334</v>
      </c>
      <c r="H107" s="32" t="n">
        <v>45674.55277777778</v>
      </c>
      <c r="I107" t="inlineStr">
        <is>
          <t>Z51.11</t>
        </is>
      </c>
      <c r="J107" t="inlineStr">
        <is>
          <t>PY01</t>
        </is>
      </c>
      <c r="K107" s="33" t="n">
        <v>11564.59</v>
      </c>
      <c r="L107" s="34" t="n"/>
    </row>
    <row r="108">
      <c r="A108" t="inlineStr">
        <is>
          <t>ENC111303</t>
        </is>
      </c>
      <c r="B108" t="inlineStr">
        <is>
          <t>PT13209</t>
        </is>
      </c>
      <c r="C108" t="inlineStr">
        <is>
          <t>Outpatient</t>
        </is>
      </c>
      <c r="D108" t="inlineStr">
        <is>
          <t>F04</t>
        </is>
      </c>
      <c r="E108" t="inlineStr">
        <is>
          <t>D450</t>
        </is>
      </c>
      <c r="G108" s="32" t="n">
        <v>45674.375</v>
      </c>
      <c r="H108" s="32" t="n">
        <v>45674.38958333333</v>
      </c>
      <c r="I108" t="inlineStr">
        <is>
          <t>J06.9</t>
        </is>
      </c>
      <c r="J108" t="inlineStr">
        <is>
          <t>PY04</t>
        </is>
      </c>
      <c r="K108" s="33" t="n">
        <v>276.1</v>
      </c>
      <c r="L108" s="34" t="n"/>
    </row>
    <row r="109">
      <c r="A109" t="inlineStr">
        <is>
          <t>ENC111311</t>
        </is>
      </c>
      <c r="B109" t="inlineStr">
        <is>
          <t>PT10666</t>
        </is>
      </c>
      <c r="C109" t="inlineStr">
        <is>
          <t>Emergency</t>
        </is>
      </c>
      <c r="D109" t="inlineStr">
        <is>
          <t>F01</t>
        </is>
      </c>
      <c r="E109" t="inlineStr">
        <is>
          <t>D100</t>
        </is>
      </c>
      <c r="G109" s="32" t="n">
        <v>45674.48402777778</v>
      </c>
      <c r="H109" s="32" t="n">
        <v>45674.61458333334</v>
      </c>
      <c r="I109" t="inlineStr">
        <is>
          <t>J06.9</t>
        </is>
      </c>
      <c r="J109" t="inlineStr">
        <is>
          <t>PY03</t>
        </is>
      </c>
      <c r="K109" s="33" t="n">
        <v>4067.67</v>
      </c>
      <c r="L109" s="34" t="n"/>
    </row>
    <row r="110">
      <c r="A110" t="inlineStr">
        <is>
          <t>ENC111315</t>
        </is>
      </c>
      <c r="B110" t="inlineStr">
        <is>
          <t>PT11826</t>
        </is>
      </c>
      <c r="C110" t="inlineStr">
        <is>
          <t>Emergency</t>
        </is>
      </c>
      <c r="D110" t="inlineStr">
        <is>
          <t>F01</t>
        </is>
      </c>
      <c r="E110" t="inlineStr">
        <is>
          <t>D100</t>
        </is>
      </c>
      <c r="G110" s="32" t="n">
        <v>45674.54097222222</v>
      </c>
      <c r="H110" s="32" t="n">
        <v>45674.77777777778</v>
      </c>
      <c r="I110" t="inlineStr">
        <is>
          <t>N39.0</t>
        </is>
      </c>
      <c r="J110" t="inlineStr">
        <is>
          <t>PY03</t>
        </is>
      </c>
      <c r="K110" s="33" t="n">
        <v>3011.6</v>
      </c>
      <c r="L110" s="34" t="n"/>
    </row>
    <row r="111">
      <c r="A111" t="inlineStr">
        <is>
          <t>ENC111322</t>
        </is>
      </c>
      <c r="B111" t="inlineStr">
        <is>
          <t>PT12996</t>
        </is>
      </c>
      <c r="C111" t="inlineStr">
        <is>
          <t>Outpatient</t>
        </is>
      </c>
      <c r="D111" t="inlineStr">
        <is>
          <t>F04</t>
        </is>
      </c>
      <c r="E111" t="inlineStr">
        <is>
          <t>D400</t>
        </is>
      </c>
      <c r="G111" s="32" t="n">
        <v>45674.66666666666</v>
      </c>
      <c r="H111" s="32" t="n">
        <v>45674.67986111111</v>
      </c>
      <c r="I111" t="inlineStr">
        <is>
          <t>Z00.00</t>
        </is>
      </c>
      <c r="J111" t="inlineStr">
        <is>
          <t>PY01</t>
        </is>
      </c>
      <c r="K111" s="33" t="n">
        <v>301.2</v>
      </c>
      <c r="L111" s="34" t="n"/>
    </row>
    <row r="112">
      <c r="A112" t="inlineStr">
        <is>
          <t>ENC111327</t>
        </is>
      </c>
      <c r="B112" t="inlineStr">
        <is>
          <t>PT12592</t>
        </is>
      </c>
      <c r="C112" t="inlineStr">
        <is>
          <t>Emergency</t>
        </is>
      </c>
      <c r="D112" t="inlineStr">
        <is>
          <t>F01</t>
        </is>
      </c>
      <c r="E112" t="inlineStr">
        <is>
          <t>D100</t>
        </is>
      </c>
      <c r="G112" s="32" t="n">
        <v>45674.82638888889</v>
      </c>
      <c r="H112" s="32" t="n">
        <v>45675.01388888889</v>
      </c>
      <c r="I112" t="inlineStr">
        <is>
          <t>G40.909</t>
        </is>
      </c>
      <c r="J112" t="inlineStr">
        <is>
          <t>PY05</t>
        </is>
      </c>
      <c r="K112" s="33" t="n">
        <v>5764.68</v>
      </c>
      <c r="L112" s="34" t="n"/>
    </row>
    <row r="113">
      <c r="A113" t="inlineStr">
        <is>
          <t>ENC111328</t>
        </is>
      </c>
      <c r="B113" t="inlineStr">
        <is>
          <t>PT10739</t>
        </is>
      </c>
      <c r="C113" t="inlineStr">
        <is>
          <t>Inpatient</t>
        </is>
      </c>
      <c r="D113" t="inlineStr">
        <is>
          <t>F02</t>
        </is>
      </c>
      <c r="E113" t="inlineStr">
        <is>
          <t>D210</t>
        </is>
      </c>
      <c r="F113" t="inlineStr">
        <is>
          <t>Emergency Department</t>
        </is>
      </c>
      <c r="G113" s="32" t="n">
        <v>45674.93541666667</v>
      </c>
      <c r="H113" s="32" t="n">
        <v>45677.42986111111</v>
      </c>
      <c r="I113" t="inlineStr">
        <is>
          <t>E11.65</t>
        </is>
      </c>
      <c r="J113" t="inlineStr">
        <is>
          <t>PY03</t>
        </is>
      </c>
      <c r="K113" s="33" t="n">
        <v>9611.08</v>
      </c>
      <c r="L113" s="34" t="n"/>
    </row>
    <row r="114">
      <c r="A114" t="inlineStr">
        <is>
          <t>ENC111339</t>
        </is>
      </c>
      <c r="B114" t="inlineStr">
        <is>
          <t>PT10400</t>
        </is>
      </c>
      <c r="C114" t="inlineStr">
        <is>
          <t>Emergency</t>
        </is>
      </c>
      <c r="D114" t="inlineStr">
        <is>
          <t>F02</t>
        </is>
      </c>
      <c r="E114" t="inlineStr">
        <is>
          <t>D200</t>
        </is>
      </c>
      <c r="G114" s="32" t="n">
        <v>45675.43402777778</v>
      </c>
      <c r="H114" s="32" t="n">
        <v>45675.60347222222</v>
      </c>
      <c r="I114" t="inlineStr">
        <is>
          <t>J06.9</t>
        </is>
      </c>
      <c r="J114" t="inlineStr">
        <is>
          <t>PY02</t>
        </is>
      </c>
      <c r="K114" s="33" t="n">
        <v>1063.03</v>
      </c>
      <c r="L114" s="34" t="n"/>
    </row>
    <row r="115">
      <c r="A115" t="inlineStr">
        <is>
          <t>ENC111340</t>
        </is>
      </c>
      <c r="B115" t="inlineStr">
        <is>
          <t>PT13603</t>
        </is>
      </c>
      <c r="C115" t="inlineStr">
        <is>
          <t>Inpatient</t>
        </is>
      </c>
      <c r="D115" t="inlineStr">
        <is>
          <t>F03</t>
        </is>
      </c>
      <c r="E115" t="inlineStr">
        <is>
          <t>D310</t>
        </is>
      </c>
      <c r="F115" t="inlineStr">
        <is>
          <t>Emergency Department</t>
        </is>
      </c>
      <c r="G115" s="32" t="n">
        <v>45675.61805555555</v>
      </c>
      <c r="H115" s="32" t="n">
        <v>45681.64097222222</v>
      </c>
      <c r="I115" t="inlineStr">
        <is>
          <t>J44.1</t>
        </is>
      </c>
      <c r="J115" t="inlineStr">
        <is>
          <t>PY02</t>
        </is>
      </c>
      <c r="K115" s="33" t="n">
        <v>21702.38</v>
      </c>
      <c r="L115" s="34" t="n"/>
    </row>
    <row r="116">
      <c r="A116" t="inlineStr">
        <is>
          <t>ENC111348</t>
        </is>
      </c>
      <c r="B116" t="inlineStr">
        <is>
          <t>PT12857</t>
        </is>
      </c>
      <c r="C116" t="inlineStr">
        <is>
          <t>Inpatient</t>
        </is>
      </c>
      <c r="D116" t="inlineStr">
        <is>
          <t>F01</t>
        </is>
      </c>
      <c r="E116" t="inlineStr">
        <is>
          <t>D120</t>
        </is>
      </c>
      <c r="F116" t="inlineStr">
        <is>
          <t>Direct Admit</t>
        </is>
      </c>
      <c r="G116" s="32" t="n">
        <v>45675.91666666666</v>
      </c>
      <c r="H116" s="32" t="n">
        <v>45680.63472222222</v>
      </c>
      <c r="I116" t="inlineStr">
        <is>
          <t>I50.9</t>
        </is>
      </c>
      <c r="J116" t="inlineStr">
        <is>
          <t>PY04</t>
        </is>
      </c>
      <c r="K116" s="33" t="n">
        <v>39256.34</v>
      </c>
      <c r="L116" s="34" t="n"/>
    </row>
    <row r="117">
      <c r="A117" t="inlineStr">
        <is>
          <t>ENC111354</t>
        </is>
      </c>
      <c r="B117" t="inlineStr">
        <is>
          <t>PT10649</t>
        </is>
      </c>
      <c r="C117" t="inlineStr">
        <is>
          <t>Inpatient</t>
        </is>
      </c>
      <c r="D117" t="inlineStr">
        <is>
          <t>F01</t>
        </is>
      </c>
      <c r="E117" t="inlineStr">
        <is>
          <t>D110</t>
        </is>
      </c>
      <c r="F117" t="inlineStr">
        <is>
          <t>Direct Admit</t>
        </is>
      </c>
      <c r="G117" s="32" t="n">
        <v>45676.54166666666</v>
      </c>
      <c r="H117" s="32" t="n">
        <v>45679.60347222222</v>
      </c>
      <c r="I117" t="inlineStr">
        <is>
          <t>E86.0</t>
        </is>
      </c>
      <c r="J117" t="inlineStr">
        <is>
          <t>PY01</t>
        </is>
      </c>
      <c r="K117" s="33" t="n">
        <v>16410.83</v>
      </c>
      <c r="L117" s="34" t="n"/>
    </row>
    <row r="118">
      <c r="A118" t="inlineStr">
        <is>
          <t>ENC111361</t>
        </is>
      </c>
      <c r="B118" t="inlineStr">
        <is>
          <t>PT11947</t>
        </is>
      </c>
      <c r="C118" t="inlineStr">
        <is>
          <t>Emergency</t>
        </is>
      </c>
      <c r="D118" t="inlineStr">
        <is>
          <t>F01</t>
        </is>
      </c>
      <c r="E118" t="inlineStr">
        <is>
          <t>D100</t>
        </is>
      </c>
      <c r="G118" s="32" t="n">
        <v>45676.71527777778</v>
      </c>
      <c r="H118" s="32" t="n">
        <v>45676.84236111111</v>
      </c>
      <c r="I118" t="inlineStr">
        <is>
          <t>M54.50</t>
        </is>
      </c>
      <c r="J118" t="inlineStr">
        <is>
          <t>PY02</t>
        </is>
      </c>
      <c r="K118" s="33" t="n">
        <v>943.8200000000001</v>
      </c>
      <c r="L118" s="34" t="n"/>
    </row>
    <row r="119">
      <c r="A119" t="inlineStr">
        <is>
          <t>ENC111362</t>
        </is>
      </c>
      <c r="B119" t="inlineStr">
        <is>
          <t>PT10418</t>
        </is>
      </c>
      <c r="C119" t="inlineStr">
        <is>
          <t>Observation</t>
        </is>
      </c>
      <c r="D119" t="inlineStr">
        <is>
          <t>F01</t>
        </is>
      </c>
      <c r="E119" t="inlineStr">
        <is>
          <t>D195</t>
        </is>
      </c>
      <c r="F119" t="inlineStr">
        <is>
          <t>Emergency Department</t>
        </is>
      </c>
      <c r="G119" s="32" t="n">
        <v>45676.80833333333</v>
      </c>
      <c r="H119" s="32" t="n">
        <v>45677.44791666666</v>
      </c>
      <c r="I119" t="inlineStr">
        <is>
          <t>J21.9</t>
        </is>
      </c>
      <c r="J119" t="inlineStr">
        <is>
          <t>PY03</t>
        </is>
      </c>
      <c r="K119" s="33" t="n">
        <v>6649.68</v>
      </c>
      <c r="L119" s="34" t="n"/>
    </row>
    <row r="120">
      <c r="A120" t="inlineStr">
        <is>
          <t>ENC111370</t>
        </is>
      </c>
      <c r="B120" t="inlineStr">
        <is>
          <t>PT11646</t>
        </is>
      </c>
      <c r="C120" t="inlineStr">
        <is>
          <t>Inpatient</t>
        </is>
      </c>
      <c r="D120" t="inlineStr">
        <is>
          <t>F01</t>
        </is>
      </c>
      <c r="E120" t="inlineStr">
        <is>
          <t>D170</t>
        </is>
      </c>
      <c r="F120" t="inlineStr">
        <is>
          <t>Direct Admit</t>
        </is>
      </c>
      <c r="G120" s="32" t="n">
        <v>45677.15486111111</v>
      </c>
      <c r="H120" s="32" t="n">
        <v>45678.56319444445</v>
      </c>
      <c r="I120" t="inlineStr">
        <is>
          <t>O80</t>
        </is>
      </c>
      <c r="J120" t="inlineStr">
        <is>
          <t>PY04</t>
        </is>
      </c>
      <c r="K120" s="33" t="n">
        <v>11556.68</v>
      </c>
      <c r="L120" s="34" t="n"/>
    </row>
    <row r="121">
      <c r="A121" t="inlineStr">
        <is>
          <t>ENC111378</t>
        </is>
      </c>
      <c r="B121" t="inlineStr">
        <is>
          <t>PT12467</t>
        </is>
      </c>
      <c r="C121" t="inlineStr">
        <is>
          <t>Inpatient</t>
        </is>
      </c>
      <c r="D121" t="inlineStr">
        <is>
          <t>F01</t>
        </is>
      </c>
      <c r="E121" t="inlineStr">
        <is>
          <t>D160</t>
        </is>
      </c>
      <c r="F121" t="inlineStr">
        <is>
          <t>Direct Admit</t>
        </is>
      </c>
      <c r="G121" s="32" t="n">
        <v>45677.44930555556</v>
      </c>
      <c r="H121" s="32" t="n">
        <v>45682.61458333334</v>
      </c>
      <c r="I121" t="inlineStr">
        <is>
          <t>I63.9</t>
        </is>
      </c>
      <c r="J121" t="inlineStr">
        <is>
          <t>PY04</t>
        </is>
      </c>
      <c r="K121" s="33" t="n">
        <v>24516.56</v>
      </c>
      <c r="L121" s="34" t="n"/>
    </row>
    <row r="122">
      <c r="A122" t="inlineStr">
        <is>
          <t>ENC111383</t>
        </is>
      </c>
      <c r="B122" t="inlineStr">
        <is>
          <t>PT12584</t>
        </is>
      </c>
      <c r="C122" t="inlineStr">
        <is>
          <t>Outpatient</t>
        </is>
      </c>
      <c r="D122" t="inlineStr">
        <is>
          <t>F04</t>
        </is>
      </c>
      <c r="E122" t="inlineStr">
        <is>
          <t>D400</t>
        </is>
      </c>
      <c r="G122" s="32" t="n">
        <v>45677.51041666666</v>
      </c>
      <c r="H122" s="32" t="n">
        <v>45677.54791666667</v>
      </c>
      <c r="I122" t="inlineStr">
        <is>
          <t>L03.115</t>
        </is>
      </c>
      <c r="J122" t="inlineStr">
        <is>
          <t>PY02</t>
        </is>
      </c>
      <c r="K122" s="33" t="n">
        <v>475.03</v>
      </c>
      <c r="L122" s="34" t="n"/>
    </row>
    <row r="123">
      <c r="A123" t="inlineStr">
        <is>
          <t>ENC111377</t>
        </is>
      </c>
      <c r="B123" t="inlineStr">
        <is>
          <t>PT12796</t>
        </is>
      </c>
      <c r="C123" t="inlineStr">
        <is>
          <t>Inpatient</t>
        </is>
      </c>
      <c r="D123" t="inlineStr">
        <is>
          <t>F01</t>
        </is>
      </c>
      <c r="E123" t="inlineStr">
        <is>
          <t>D150</t>
        </is>
      </c>
      <c r="F123" t="inlineStr">
        <is>
          <t>Emergency Department</t>
        </is>
      </c>
      <c r="G123" s="32" t="n">
        <v>45677.57222222222</v>
      </c>
      <c r="H123" s="32" t="n">
        <v>45685.44375</v>
      </c>
      <c r="I123" t="inlineStr">
        <is>
          <t>C34.90</t>
        </is>
      </c>
      <c r="J123" t="inlineStr">
        <is>
          <t>PY03</t>
        </is>
      </c>
      <c r="K123" s="33" t="n">
        <v>44045.97</v>
      </c>
      <c r="L123" s="34" t="n"/>
    </row>
    <row r="124">
      <c r="A124" t="inlineStr">
        <is>
          <t>ENC111394</t>
        </is>
      </c>
      <c r="B124" t="inlineStr">
        <is>
          <t>PT11635</t>
        </is>
      </c>
      <c r="C124" t="inlineStr">
        <is>
          <t>Outpatient</t>
        </is>
      </c>
      <c r="D124" t="inlineStr">
        <is>
          <t>F04</t>
        </is>
      </c>
      <c r="E124" t="inlineStr">
        <is>
          <t>D400</t>
        </is>
      </c>
      <c r="G124" s="32" t="n">
        <v>45677.61458333334</v>
      </c>
      <c r="H124" s="32" t="n">
        <v>45677.65069444444</v>
      </c>
      <c r="I124" t="inlineStr">
        <is>
          <t>Z23</t>
        </is>
      </c>
      <c r="J124" t="inlineStr">
        <is>
          <t>PY07</t>
        </is>
      </c>
      <c r="K124" s="33" t="n">
        <v>119.04</v>
      </c>
      <c r="L124" s="34" t="n"/>
    </row>
    <row r="125">
      <c r="A125" t="inlineStr">
        <is>
          <t>ENC111386</t>
        </is>
      </c>
      <c r="B125" t="inlineStr">
        <is>
          <t>PT13073</t>
        </is>
      </c>
      <c r="C125" t="inlineStr">
        <is>
          <t>Inpatient</t>
        </is>
      </c>
      <c r="D125" t="inlineStr">
        <is>
          <t>F01</t>
        </is>
      </c>
      <c r="E125" t="inlineStr">
        <is>
          <t>D111</t>
        </is>
      </c>
      <c r="F125" t="inlineStr">
        <is>
          <t>Emergency Department</t>
        </is>
      </c>
      <c r="G125" s="32" t="n">
        <v>45677.64722222222</v>
      </c>
      <c r="H125" s="32" t="n">
        <v>45681.53472222222</v>
      </c>
      <c r="I125" t="inlineStr">
        <is>
          <t>U07.1</t>
        </is>
      </c>
      <c r="J125" t="inlineStr">
        <is>
          <t>PY02</t>
        </is>
      </c>
      <c r="K125" s="33" t="n">
        <v>12600.15</v>
      </c>
      <c r="L125" s="34" t="n"/>
    </row>
    <row r="126">
      <c r="A126" t="inlineStr">
        <is>
          <t>ENC111406</t>
        </is>
      </c>
      <c r="B126" t="inlineStr">
        <is>
          <t>PT13103</t>
        </is>
      </c>
      <c r="C126" t="inlineStr">
        <is>
          <t>Outpatient</t>
        </is>
      </c>
      <c r="D126" t="inlineStr">
        <is>
          <t>F04</t>
        </is>
      </c>
      <c r="E126" t="inlineStr">
        <is>
          <t>D400</t>
        </is>
      </c>
      <c r="G126" s="32" t="n">
        <v>45677.6875</v>
      </c>
      <c r="H126" s="32" t="n">
        <v>45677.70069444444</v>
      </c>
      <c r="I126" t="inlineStr">
        <is>
          <t>J44.1</t>
        </is>
      </c>
      <c r="J126" t="inlineStr">
        <is>
          <t>PY06</t>
        </is>
      </c>
      <c r="K126" s="33" t="n">
        <v>419.56</v>
      </c>
      <c r="L126" s="34" t="n"/>
    </row>
    <row r="127">
      <c r="A127" t="inlineStr">
        <is>
          <t>ENC111411</t>
        </is>
      </c>
      <c r="B127" t="inlineStr">
        <is>
          <t>PT11789</t>
        </is>
      </c>
      <c r="C127" t="inlineStr">
        <is>
          <t>Emergency</t>
        </is>
      </c>
      <c r="D127" t="inlineStr">
        <is>
          <t>F01</t>
        </is>
      </c>
      <c r="E127" t="inlineStr">
        <is>
          <t>D100</t>
        </is>
      </c>
      <c r="G127" s="32" t="n">
        <v>45677.88125</v>
      </c>
      <c r="H127" s="32" t="n">
        <v>45678.02986111111</v>
      </c>
      <c r="I127" t="inlineStr">
        <is>
          <t>J45.909</t>
        </is>
      </c>
      <c r="J127" t="inlineStr">
        <is>
          <t>PY07</t>
        </is>
      </c>
      <c r="K127" s="33" t="n">
        <v>3301.99</v>
      </c>
      <c r="L127" s="34" t="n"/>
    </row>
    <row r="128">
      <c r="A128" t="inlineStr">
        <is>
          <t>ENC111416</t>
        </is>
      </c>
      <c r="B128" t="inlineStr">
        <is>
          <t>PT12298</t>
        </is>
      </c>
      <c r="C128" t="inlineStr">
        <is>
          <t>Inpatient</t>
        </is>
      </c>
      <c r="D128" t="inlineStr">
        <is>
          <t>F02</t>
        </is>
      </c>
      <c r="E128" t="inlineStr">
        <is>
          <t>D270</t>
        </is>
      </c>
      <c r="F128" t="inlineStr">
        <is>
          <t>Direct Admit</t>
        </is>
      </c>
      <c r="G128" s="32" t="n">
        <v>45678.21458333333</v>
      </c>
      <c r="H128" s="32" t="n">
        <v>45681.66319444445</v>
      </c>
      <c r="I128" t="inlineStr">
        <is>
          <t>O80</t>
        </is>
      </c>
      <c r="J128" t="inlineStr">
        <is>
          <t>PY03</t>
        </is>
      </c>
      <c r="K128" s="33" t="n">
        <v>20557.46</v>
      </c>
      <c r="L128" s="34" t="n"/>
    </row>
    <row r="129">
      <c r="A129" t="inlineStr">
        <is>
          <t>ENC111422</t>
        </is>
      </c>
      <c r="B129" t="inlineStr">
        <is>
          <t>PT11661</t>
        </is>
      </c>
      <c r="C129" t="inlineStr">
        <is>
          <t>Emergency</t>
        </is>
      </c>
      <c r="D129" t="inlineStr">
        <is>
          <t>F02</t>
        </is>
      </c>
      <c r="E129" t="inlineStr">
        <is>
          <t>D200</t>
        </is>
      </c>
      <c r="G129" s="32" t="n">
        <v>45678.41805555556</v>
      </c>
      <c r="H129" s="32" t="n">
        <v>45678.58194444444</v>
      </c>
      <c r="I129" t="inlineStr">
        <is>
          <t>J45.909</t>
        </is>
      </c>
      <c r="J129" t="inlineStr">
        <is>
          <t>PY04</t>
        </is>
      </c>
      <c r="K129" s="33" t="n">
        <v>4645.7</v>
      </c>
      <c r="L129" s="34" t="n"/>
    </row>
    <row r="130">
      <c r="A130" t="inlineStr">
        <is>
          <t>ENC111430</t>
        </is>
      </c>
      <c r="B130" t="inlineStr">
        <is>
          <t>PT12777</t>
        </is>
      </c>
      <c r="C130" t="inlineStr">
        <is>
          <t>Outpatient</t>
        </is>
      </c>
      <c r="D130" t="inlineStr">
        <is>
          <t>F04</t>
        </is>
      </c>
      <c r="E130" t="inlineStr">
        <is>
          <t>D400</t>
        </is>
      </c>
      <c r="G130" s="32" t="n">
        <v>45678.5</v>
      </c>
      <c r="H130" s="32" t="n">
        <v>45678.53541666667</v>
      </c>
      <c r="I130" t="inlineStr">
        <is>
          <t>Z00.00</t>
        </is>
      </c>
      <c r="J130" t="inlineStr">
        <is>
          <t>PY01</t>
        </is>
      </c>
      <c r="K130" s="33" t="n">
        <v>444.52</v>
      </c>
      <c r="L130" s="34" t="n"/>
    </row>
    <row r="131">
      <c r="A131" t="inlineStr">
        <is>
          <t>ENC111435</t>
        </is>
      </c>
      <c r="B131" t="inlineStr">
        <is>
          <t>PT13099</t>
        </is>
      </c>
      <c r="C131" t="inlineStr">
        <is>
          <t>Emergency</t>
        </is>
      </c>
      <c r="D131" t="inlineStr">
        <is>
          <t>F01</t>
        </is>
      </c>
      <c r="E131" t="inlineStr">
        <is>
          <t>D100</t>
        </is>
      </c>
      <c r="G131" s="32" t="n">
        <v>45678.53263888889</v>
      </c>
      <c r="H131" s="32" t="n">
        <v>45678.64652777778</v>
      </c>
      <c r="I131" t="inlineStr">
        <is>
          <t>J06.9</t>
        </is>
      </c>
      <c r="J131" t="inlineStr">
        <is>
          <t>PY06</t>
        </is>
      </c>
      <c r="K131" s="33" t="n">
        <v>4284.03</v>
      </c>
      <c r="L131" s="34" t="n"/>
    </row>
    <row r="132">
      <c r="A132" t="inlineStr">
        <is>
          <t>ENC111440</t>
        </is>
      </c>
      <c r="B132" t="inlineStr">
        <is>
          <t>PT11249</t>
        </is>
      </c>
      <c r="C132" t="inlineStr">
        <is>
          <t>Emergency</t>
        </is>
      </c>
      <c r="D132" t="inlineStr">
        <is>
          <t>F02</t>
        </is>
      </c>
      <c r="E132" t="inlineStr">
        <is>
          <t>D200</t>
        </is>
      </c>
      <c r="G132" s="32" t="n">
        <v>45678.58958333333</v>
      </c>
      <c r="H132" s="32" t="n">
        <v>45678.65972222222</v>
      </c>
      <c r="I132" t="inlineStr">
        <is>
          <t>S93.401A</t>
        </is>
      </c>
      <c r="J132" t="inlineStr">
        <is>
          <t>PY06</t>
        </is>
      </c>
      <c r="K132" s="33" t="n">
        <v>704.9400000000001</v>
      </c>
      <c r="L132" s="34" t="n"/>
    </row>
    <row r="133">
      <c r="A133" t="inlineStr">
        <is>
          <t>ENC111446</t>
        </is>
      </c>
      <c r="B133" t="inlineStr">
        <is>
          <t>PT11178</t>
        </is>
      </c>
      <c r="C133" t="inlineStr">
        <is>
          <t>Outpatient</t>
        </is>
      </c>
      <c r="D133" t="inlineStr">
        <is>
          <t>F04</t>
        </is>
      </c>
      <c r="E133" t="inlineStr">
        <is>
          <t>D400</t>
        </is>
      </c>
      <c r="G133" s="32" t="n">
        <v>45678.65625</v>
      </c>
      <c r="H133" s="32" t="n">
        <v>45678.68125</v>
      </c>
      <c r="I133" t="inlineStr">
        <is>
          <t>F41.9</t>
        </is>
      </c>
      <c r="J133" t="inlineStr">
        <is>
          <t>PY05</t>
        </is>
      </c>
      <c r="K133" s="33" t="n">
        <v>405.62</v>
      </c>
      <c r="L133" s="34" t="n"/>
    </row>
    <row r="134">
      <c r="A134" t="inlineStr">
        <is>
          <t>ENC111433</t>
        </is>
      </c>
      <c r="B134" t="inlineStr">
        <is>
          <t>PT12142</t>
        </is>
      </c>
      <c r="C134" t="inlineStr">
        <is>
          <t>Inpatient</t>
        </is>
      </c>
      <c r="D134" t="inlineStr">
        <is>
          <t>F01</t>
        </is>
      </c>
      <c r="E134" t="inlineStr">
        <is>
          <t>D111</t>
        </is>
      </c>
      <c r="F134" t="inlineStr">
        <is>
          <t>Emergency Department</t>
        </is>
      </c>
      <c r="G134" s="32" t="n">
        <v>45678.71458333333</v>
      </c>
      <c r="H134" s="32" t="n">
        <v>45680.71388888889</v>
      </c>
      <c r="I134" t="inlineStr">
        <is>
          <t>J44.1</t>
        </is>
      </c>
      <c r="J134" t="inlineStr">
        <is>
          <t>PY07</t>
        </is>
      </c>
      <c r="K134" s="33" t="n">
        <v>11547.36</v>
      </c>
      <c r="L134" s="34" t="n"/>
    </row>
    <row r="135">
      <c r="A135" t="inlineStr">
        <is>
          <t>ENC111441</t>
        </is>
      </c>
      <c r="B135" t="inlineStr">
        <is>
          <t>PT10939</t>
        </is>
      </c>
      <c r="C135" t="inlineStr">
        <is>
          <t>Inpatient</t>
        </is>
      </c>
      <c r="D135" t="inlineStr">
        <is>
          <t>F01</t>
        </is>
      </c>
      <c r="E135" t="inlineStr">
        <is>
          <t>D130</t>
        </is>
      </c>
      <c r="F135" t="inlineStr">
        <is>
          <t>Emergency Department</t>
        </is>
      </c>
      <c r="G135" s="32" t="n">
        <v>45678.79652777778</v>
      </c>
      <c r="H135" s="32" t="n">
        <v>45682.6625</v>
      </c>
      <c r="I135" t="inlineStr">
        <is>
          <t>J96.01</t>
        </is>
      </c>
      <c r="J135" t="inlineStr">
        <is>
          <t>PY01</t>
        </is>
      </c>
      <c r="K135" s="33" t="n">
        <v>42607.04</v>
      </c>
      <c r="L135" s="34" t="n"/>
    </row>
    <row r="136">
      <c r="A136" t="inlineStr">
        <is>
          <t>ENC111458</t>
        </is>
      </c>
      <c r="B136" t="inlineStr">
        <is>
          <t>PT10555</t>
        </is>
      </c>
      <c r="C136" t="inlineStr">
        <is>
          <t>Inpatient</t>
        </is>
      </c>
      <c r="D136" t="inlineStr">
        <is>
          <t>F01</t>
        </is>
      </c>
      <c r="E136" t="inlineStr">
        <is>
          <t>D110</t>
        </is>
      </c>
      <c r="F136" t="inlineStr">
        <is>
          <t>Emergency Department</t>
        </is>
      </c>
      <c r="G136" s="32" t="n">
        <v>45679.09236111111</v>
      </c>
      <c r="H136" s="32" t="n">
        <v>45683.57916666667</v>
      </c>
      <c r="I136" t="inlineStr">
        <is>
          <t>A41.9</t>
        </is>
      </c>
      <c r="J136" t="inlineStr">
        <is>
          <t>PY02</t>
        </is>
      </c>
      <c r="K136" s="33" t="n">
        <v>63277.54</v>
      </c>
      <c r="L136" s="34" t="n"/>
    </row>
    <row r="137">
      <c r="A137" t="inlineStr">
        <is>
          <t>ENC111466</t>
        </is>
      </c>
      <c r="B137" t="inlineStr">
        <is>
          <t>PT10179</t>
        </is>
      </c>
      <c r="C137" t="inlineStr">
        <is>
          <t>Outpatient</t>
        </is>
      </c>
      <c r="D137" t="inlineStr">
        <is>
          <t>F04</t>
        </is>
      </c>
      <c r="E137" t="inlineStr">
        <is>
          <t>D450</t>
        </is>
      </c>
      <c r="G137" s="32" t="n">
        <v>45679.39583333334</v>
      </c>
      <c r="H137" s="32" t="n">
        <v>45679.42291666667</v>
      </c>
      <c r="I137" t="inlineStr">
        <is>
          <t>Z00.129</t>
        </is>
      </c>
      <c r="J137" t="inlineStr">
        <is>
          <t>PY05</t>
        </is>
      </c>
      <c r="K137" s="33" t="n">
        <v>431.02</v>
      </c>
      <c r="L137" s="34" t="n"/>
    </row>
    <row r="138">
      <c r="A138" t="inlineStr">
        <is>
          <t>ENC111471</t>
        </is>
      </c>
      <c r="B138" t="inlineStr">
        <is>
          <t>PT10763</t>
        </is>
      </c>
      <c r="C138" t="inlineStr">
        <is>
          <t>Emergency</t>
        </is>
      </c>
      <c r="D138" t="inlineStr">
        <is>
          <t>F01</t>
        </is>
      </c>
      <c r="E138" t="inlineStr">
        <is>
          <t>D100</t>
        </is>
      </c>
      <c r="G138" s="32" t="n">
        <v>45679.45486111111</v>
      </c>
      <c r="H138" s="32" t="n">
        <v>45679.64861111111</v>
      </c>
      <c r="I138" t="inlineStr">
        <is>
          <t>E86.0</t>
        </is>
      </c>
      <c r="J138" t="inlineStr">
        <is>
          <t>PY01</t>
        </is>
      </c>
      <c r="K138" s="33" t="n">
        <v>1463.23</v>
      </c>
      <c r="L138" s="34" t="n"/>
    </row>
    <row r="139">
      <c r="A139" t="inlineStr">
        <is>
          <t>ENC111476</t>
        </is>
      </c>
      <c r="B139" t="inlineStr">
        <is>
          <t>PT10681</t>
        </is>
      </c>
      <c r="C139" t="inlineStr">
        <is>
          <t>Inpatient</t>
        </is>
      </c>
      <c r="D139" t="inlineStr">
        <is>
          <t>F03</t>
        </is>
      </c>
      <c r="E139" t="inlineStr">
        <is>
          <t>D310</t>
        </is>
      </c>
      <c r="F139" t="inlineStr">
        <is>
          <t>Direct Admit</t>
        </is>
      </c>
      <c r="G139" s="32" t="n">
        <v>45679.55555555555</v>
      </c>
      <c r="H139" s="32" t="n">
        <v>45682.75416666667</v>
      </c>
      <c r="I139" t="inlineStr">
        <is>
          <t>L03.115</t>
        </is>
      </c>
      <c r="J139" t="inlineStr">
        <is>
          <t>PY01</t>
        </is>
      </c>
      <c r="K139" s="33" t="n">
        <v>16840.92</v>
      </c>
      <c r="L139" s="34" t="n"/>
    </row>
    <row r="140">
      <c r="A140" t="inlineStr">
        <is>
          <t>ENC111484</t>
        </is>
      </c>
      <c r="B140" t="inlineStr">
        <is>
          <t>PT13411</t>
        </is>
      </c>
      <c r="C140" t="inlineStr">
        <is>
          <t>Outpatient</t>
        </is>
      </c>
      <c r="D140" t="inlineStr">
        <is>
          <t>F04</t>
        </is>
      </c>
      <c r="E140" t="inlineStr">
        <is>
          <t>D400</t>
        </is>
      </c>
      <c r="G140" s="32" t="n">
        <v>45679.6875</v>
      </c>
      <c r="H140" s="32" t="n">
        <v>45679.71597222222</v>
      </c>
      <c r="I140" t="inlineStr">
        <is>
          <t>F32.9</t>
        </is>
      </c>
      <c r="J140" t="inlineStr">
        <is>
          <t>PY06</t>
        </is>
      </c>
      <c r="K140" s="33" t="n">
        <v>455.09</v>
      </c>
      <c r="L140" s="34" t="n"/>
    </row>
    <row r="141">
      <c r="A141" t="inlineStr">
        <is>
          <t>ENC111491</t>
        </is>
      </c>
      <c r="B141" t="inlineStr">
        <is>
          <t>PT12160</t>
        </is>
      </c>
      <c r="C141" t="inlineStr">
        <is>
          <t>Emergency</t>
        </is>
      </c>
      <c r="D141" t="inlineStr">
        <is>
          <t>F01</t>
        </is>
      </c>
      <c r="E141" t="inlineStr">
        <is>
          <t>D100</t>
        </is>
      </c>
      <c r="G141" s="32" t="n">
        <v>45679.75138888889</v>
      </c>
      <c r="H141" s="32" t="n">
        <v>45679.84097222222</v>
      </c>
      <c r="I141" t="inlineStr">
        <is>
          <t>R10.9</t>
        </is>
      </c>
      <c r="J141" t="inlineStr">
        <is>
          <t>PY03</t>
        </is>
      </c>
      <c r="K141" s="33" t="n">
        <v>1077.88</v>
      </c>
      <c r="L141" s="34" t="n"/>
    </row>
    <row r="142">
      <c r="A142" t="inlineStr">
        <is>
          <t>ENC111489</t>
        </is>
      </c>
      <c r="B142" t="inlineStr">
        <is>
          <t>PT13908</t>
        </is>
      </c>
      <c r="C142" t="inlineStr">
        <is>
          <t>Inpatient</t>
        </is>
      </c>
      <c r="D142" t="inlineStr">
        <is>
          <t>F01</t>
        </is>
      </c>
      <c r="E142" t="inlineStr">
        <is>
          <t>D120</t>
        </is>
      </c>
      <c r="F142" t="inlineStr">
        <is>
          <t>Emergency Department</t>
        </is>
      </c>
      <c r="G142" s="32" t="n">
        <v>45679.88333333333</v>
      </c>
      <c r="H142" s="32" t="n">
        <v>45682.67291666667</v>
      </c>
      <c r="I142" t="inlineStr">
        <is>
          <t>I21.4</t>
        </is>
      </c>
      <c r="J142" t="inlineStr">
        <is>
          <t>PY06</t>
        </is>
      </c>
      <c r="K142" s="33" t="n">
        <v>45789.95</v>
      </c>
      <c r="L142" s="34" t="n"/>
    </row>
    <row r="143">
      <c r="A143" t="inlineStr">
        <is>
          <t>ENC111497</t>
        </is>
      </c>
      <c r="B143" t="inlineStr">
        <is>
          <t>PT13090</t>
        </is>
      </c>
      <c r="C143" t="inlineStr">
        <is>
          <t>Inpatient</t>
        </is>
      </c>
      <c r="D143" t="inlineStr">
        <is>
          <t>F03</t>
        </is>
      </c>
      <c r="E143" t="inlineStr">
        <is>
          <t>D310</t>
        </is>
      </c>
      <c r="F143" t="inlineStr">
        <is>
          <t>Emergency Department</t>
        </is>
      </c>
      <c r="G143" s="32" t="n">
        <v>45680.13888888889</v>
      </c>
      <c r="H143" s="32" t="n">
        <v>45686.47430555556</v>
      </c>
      <c r="I143" t="inlineStr">
        <is>
          <t>J18.9</t>
        </is>
      </c>
      <c r="J143" t="inlineStr">
        <is>
          <t>PY01</t>
        </is>
      </c>
      <c r="K143" s="33" t="n">
        <v>20563.38</v>
      </c>
      <c r="L143" s="34" t="n"/>
    </row>
    <row r="144">
      <c r="A144" t="inlineStr">
        <is>
          <t>ENC111506</t>
        </is>
      </c>
      <c r="B144" t="inlineStr">
        <is>
          <t>PT12341</t>
        </is>
      </c>
      <c r="C144" t="inlineStr">
        <is>
          <t>Emergency</t>
        </is>
      </c>
      <c r="D144" t="inlineStr">
        <is>
          <t>F01</t>
        </is>
      </c>
      <c r="E144" t="inlineStr">
        <is>
          <t>D100</t>
        </is>
      </c>
      <c r="G144" s="32" t="n">
        <v>45680.34444444445</v>
      </c>
      <c r="H144" s="32" t="n">
        <v>45680.46875</v>
      </c>
      <c r="I144" t="inlineStr">
        <is>
          <t>J06.9</t>
        </is>
      </c>
      <c r="J144" t="inlineStr">
        <is>
          <t>PY07</t>
        </is>
      </c>
      <c r="K144" s="33" t="n">
        <v>3929.7</v>
      </c>
      <c r="L144" s="34" t="n"/>
    </row>
    <row r="145">
      <c r="A145" t="inlineStr">
        <is>
          <t>ENC111515</t>
        </is>
      </c>
      <c r="B145" t="inlineStr">
        <is>
          <t>PT13000</t>
        </is>
      </c>
      <c r="C145" t="inlineStr">
        <is>
          <t>Outpatient</t>
        </is>
      </c>
      <c r="D145" t="inlineStr">
        <is>
          <t>F04</t>
        </is>
      </c>
      <c r="E145" t="inlineStr">
        <is>
          <t>D400</t>
        </is>
      </c>
      <c r="G145" s="32" t="n">
        <v>45680.45833333334</v>
      </c>
      <c r="H145" s="32" t="n">
        <v>45680.48263888889</v>
      </c>
      <c r="I145" t="inlineStr">
        <is>
          <t>Z23</t>
        </is>
      </c>
      <c r="J145" t="inlineStr">
        <is>
          <t>PY01</t>
        </is>
      </c>
      <c r="K145" s="33" t="n">
        <v>127.85</v>
      </c>
      <c r="L145" s="34" t="n"/>
    </row>
    <row r="146">
      <c r="A146" t="inlineStr">
        <is>
          <t>ENC111512</t>
        </is>
      </c>
      <c r="B146" t="inlineStr">
        <is>
          <t>PT12518</t>
        </is>
      </c>
      <c r="C146" t="inlineStr">
        <is>
          <t>Observation</t>
        </is>
      </c>
      <c r="D146" t="inlineStr">
        <is>
          <t>F01</t>
        </is>
      </c>
      <c r="E146" t="inlineStr">
        <is>
          <t>D195</t>
        </is>
      </c>
      <c r="F146" t="inlineStr">
        <is>
          <t>Emergency Department</t>
        </is>
      </c>
      <c r="G146" s="32" t="n">
        <v>45680.5</v>
      </c>
      <c r="H146" s="32" t="n">
        <v>45681.69236111111</v>
      </c>
      <c r="I146" t="inlineStr">
        <is>
          <t>R07.9</t>
        </is>
      </c>
      <c r="J146" t="inlineStr">
        <is>
          <t>PY01</t>
        </is>
      </c>
      <c r="K146" s="33" t="n">
        <v>7221.88</v>
      </c>
      <c r="L146" s="34" t="n"/>
    </row>
    <row r="147">
      <c r="A147" t="inlineStr">
        <is>
          <t>ENC111523</t>
        </is>
      </c>
      <c r="B147" t="inlineStr">
        <is>
          <t>PT12950</t>
        </is>
      </c>
      <c r="C147" t="inlineStr">
        <is>
          <t>Outpatient</t>
        </is>
      </c>
      <c r="D147" t="inlineStr">
        <is>
          <t>F04</t>
        </is>
      </c>
      <c r="E147" t="inlineStr">
        <is>
          <t>D420</t>
        </is>
      </c>
      <c r="G147" s="32" t="n">
        <v>45680.60416666666</v>
      </c>
      <c r="H147" s="32" t="n">
        <v>45680.63541666666</v>
      </c>
      <c r="I147" t="inlineStr">
        <is>
          <t>M17.11</t>
        </is>
      </c>
      <c r="J147" t="inlineStr">
        <is>
          <t>PY01</t>
        </is>
      </c>
      <c r="K147" s="33" t="n">
        <v>320.01</v>
      </c>
      <c r="L147" s="34" t="n"/>
    </row>
    <row r="148">
      <c r="A148" t="inlineStr">
        <is>
          <t>ENC111526</t>
        </is>
      </c>
      <c r="B148" t="inlineStr">
        <is>
          <t>PT12188</t>
        </is>
      </c>
      <c r="C148" t="inlineStr">
        <is>
          <t>Outpatient</t>
        </is>
      </c>
      <c r="D148" t="inlineStr">
        <is>
          <t>F04</t>
        </is>
      </c>
      <c r="E148" t="inlineStr">
        <is>
          <t>D430</t>
        </is>
      </c>
      <c r="G148" s="32" t="n">
        <v>45680.65625</v>
      </c>
      <c r="H148" s="32" t="n">
        <v>45680.66875</v>
      </c>
      <c r="I148" t="inlineStr">
        <is>
          <t>C34.90</t>
        </is>
      </c>
      <c r="J148" t="inlineStr">
        <is>
          <t>PY03</t>
        </is>
      </c>
      <c r="K148" s="33" t="n">
        <v>363.87</v>
      </c>
      <c r="L148" s="34" t="n"/>
    </row>
    <row r="149">
      <c r="A149" t="inlineStr">
        <is>
          <t>ENC111532</t>
        </is>
      </c>
      <c r="B149" t="inlineStr">
        <is>
          <t>PT13068</t>
        </is>
      </c>
      <c r="C149" t="inlineStr">
        <is>
          <t>Emergency</t>
        </is>
      </c>
      <c r="D149" t="inlineStr">
        <is>
          <t>F01</t>
        </is>
      </c>
      <c r="E149" t="inlineStr">
        <is>
          <t>D100</t>
        </is>
      </c>
      <c r="G149" s="32" t="n">
        <v>45680.78611111111</v>
      </c>
      <c r="H149" s="32" t="n">
        <v>45680.96597222222</v>
      </c>
      <c r="I149" t="inlineStr">
        <is>
          <t>U07.1</t>
        </is>
      </c>
      <c r="J149" t="inlineStr">
        <is>
          <t>PY04</t>
        </is>
      </c>
      <c r="K149" s="33" t="n">
        <v>1069.62</v>
      </c>
      <c r="L149" s="34" t="n"/>
    </row>
    <row r="150">
      <c r="A150" t="inlineStr">
        <is>
          <t>ENC111537</t>
        </is>
      </c>
      <c r="B150" t="inlineStr">
        <is>
          <t>PT12839</t>
        </is>
      </c>
      <c r="C150" t="inlineStr">
        <is>
          <t>Emergency</t>
        </is>
      </c>
      <c r="D150" t="inlineStr">
        <is>
          <t>F02</t>
        </is>
      </c>
      <c r="E150" t="inlineStr">
        <is>
          <t>D200</t>
        </is>
      </c>
      <c r="G150" s="32" t="n">
        <v>45680.96319444444</v>
      </c>
      <c r="H150" s="32" t="n">
        <v>45681.11805555555</v>
      </c>
      <c r="I150" t="inlineStr">
        <is>
          <t>N39.0</t>
        </is>
      </c>
      <c r="J150" t="inlineStr">
        <is>
          <t>PY03</t>
        </is>
      </c>
      <c r="K150" s="33" t="n">
        <v>3493.26</v>
      </c>
      <c r="L150" s="34" t="n"/>
    </row>
    <row r="151">
      <c r="A151" t="inlineStr">
        <is>
          <t>ENC111543</t>
        </is>
      </c>
      <c r="B151" t="inlineStr">
        <is>
          <t>PT11908</t>
        </is>
      </c>
      <c r="C151" t="inlineStr">
        <is>
          <t>Emergency</t>
        </is>
      </c>
      <c r="D151" t="inlineStr">
        <is>
          <t>F01</t>
        </is>
      </c>
      <c r="E151" t="inlineStr">
        <is>
          <t>D100</t>
        </is>
      </c>
      <c r="G151" s="32" t="n">
        <v>45681.21805555555</v>
      </c>
      <c r="H151" s="32" t="n">
        <v>45681.29305555556</v>
      </c>
      <c r="I151" t="inlineStr">
        <is>
          <t>J18.9</t>
        </is>
      </c>
      <c r="J151" t="inlineStr">
        <is>
          <t>PY04</t>
        </is>
      </c>
      <c r="K151" s="33" t="n">
        <v>5144.72</v>
      </c>
      <c r="L151" s="34" t="n"/>
    </row>
    <row r="152">
      <c r="A152" t="inlineStr">
        <is>
          <t>ENC111549</t>
        </is>
      </c>
      <c r="B152" t="inlineStr">
        <is>
          <t>PT11486</t>
        </is>
      </c>
      <c r="C152" t="inlineStr">
        <is>
          <t>Outpatient</t>
        </is>
      </c>
      <c r="D152" t="inlineStr">
        <is>
          <t>F04</t>
        </is>
      </c>
      <c r="E152" t="inlineStr">
        <is>
          <t>D400</t>
        </is>
      </c>
      <c r="G152" s="32" t="n">
        <v>45681.38541666666</v>
      </c>
      <c r="H152" s="32" t="n">
        <v>45681.41388888889</v>
      </c>
      <c r="I152" t="inlineStr">
        <is>
          <t>Z23</t>
        </is>
      </c>
      <c r="J152" t="inlineStr">
        <is>
          <t>PY03</t>
        </is>
      </c>
      <c r="K152" s="33" t="n">
        <v>98.34</v>
      </c>
      <c r="L152" s="34" t="n"/>
    </row>
    <row r="153">
      <c r="A153" t="inlineStr">
        <is>
          <t>ENC111556</t>
        </is>
      </c>
      <c r="B153" t="inlineStr">
        <is>
          <t>PT10113</t>
        </is>
      </c>
      <c r="C153" t="inlineStr">
        <is>
          <t>Outpatient</t>
        </is>
      </c>
      <c r="D153" t="inlineStr">
        <is>
          <t>F04</t>
        </is>
      </c>
      <c r="E153" t="inlineStr">
        <is>
          <t>D400</t>
        </is>
      </c>
      <c r="G153" s="32" t="n">
        <v>45681.45833333334</v>
      </c>
      <c r="H153" s="32" t="n">
        <v>45681.48263888889</v>
      </c>
      <c r="I153" t="inlineStr">
        <is>
          <t>I10</t>
        </is>
      </c>
      <c r="J153" t="inlineStr">
        <is>
          <t>PY06</t>
        </is>
      </c>
      <c r="K153" s="33" t="n">
        <v>277.65</v>
      </c>
      <c r="L153" s="34" t="n"/>
    </row>
    <row r="154">
      <c r="A154" t="inlineStr">
        <is>
          <t>ENC111561</t>
        </is>
      </c>
      <c r="B154" t="inlineStr">
        <is>
          <t>PT11810</t>
        </is>
      </c>
      <c r="C154" t="inlineStr">
        <is>
          <t>Outpatient</t>
        </is>
      </c>
      <c r="D154" t="inlineStr">
        <is>
          <t>F04</t>
        </is>
      </c>
      <c r="E154" t="inlineStr">
        <is>
          <t>D430</t>
        </is>
      </c>
      <c r="G154" s="32" t="n">
        <v>45681.53125</v>
      </c>
      <c r="H154" s="32" t="n">
        <v>45681.54375</v>
      </c>
      <c r="I154" t="inlineStr">
        <is>
          <t>C50.911</t>
        </is>
      </c>
      <c r="J154" t="inlineStr">
        <is>
          <t>PY06</t>
        </is>
      </c>
      <c r="K154" s="33" t="n">
        <v>399.23</v>
      </c>
      <c r="L154" s="34" t="n"/>
    </row>
    <row r="155">
      <c r="A155" t="inlineStr">
        <is>
          <t>ENC111566</t>
        </is>
      </c>
      <c r="B155" t="inlineStr">
        <is>
          <t>PT13888</t>
        </is>
      </c>
      <c r="C155" t="inlineStr">
        <is>
          <t>Emergency</t>
        </is>
      </c>
      <c r="D155" t="inlineStr">
        <is>
          <t>F02</t>
        </is>
      </c>
      <c r="E155" t="inlineStr">
        <is>
          <t>D200</t>
        </is>
      </c>
      <c r="G155" s="32" t="n">
        <v>45681.57222222222</v>
      </c>
      <c r="H155" s="32" t="n">
        <v>45681.74722222222</v>
      </c>
      <c r="I155" t="inlineStr">
        <is>
          <t>R55</t>
        </is>
      </c>
      <c r="J155" t="inlineStr">
        <is>
          <t>PY04</t>
        </is>
      </c>
      <c r="K155" s="33" t="n">
        <v>2679.14</v>
      </c>
      <c r="L155" s="34" t="n"/>
    </row>
    <row r="156">
      <c r="A156" t="inlineStr">
        <is>
          <t>ENC111572</t>
        </is>
      </c>
      <c r="B156" t="inlineStr">
        <is>
          <t>PT10587</t>
        </is>
      </c>
      <c r="C156" t="inlineStr">
        <is>
          <t>Outpatient</t>
        </is>
      </c>
      <c r="D156" t="inlineStr">
        <is>
          <t>F04</t>
        </is>
      </c>
      <c r="E156" t="inlineStr">
        <is>
          <t>D400</t>
        </is>
      </c>
      <c r="G156" s="32" t="n">
        <v>45681.66666666666</v>
      </c>
      <c r="H156" s="32" t="n">
        <v>45681.69722222222</v>
      </c>
      <c r="I156" t="inlineStr">
        <is>
          <t>J06.9</t>
        </is>
      </c>
      <c r="J156" t="inlineStr">
        <is>
          <t>PY04</t>
        </is>
      </c>
      <c r="K156" s="33" t="n">
        <v>230.63</v>
      </c>
      <c r="L156" s="34" t="n"/>
    </row>
    <row r="157">
      <c r="A157" t="inlineStr">
        <is>
          <t>ENC111577</t>
        </is>
      </c>
      <c r="B157" t="inlineStr">
        <is>
          <t>PT10902</t>
        </is>
      </c>
      <c r="C157" t="inlineStr">
        <is>
          <t>Emergency</t>
        </is>
      </c>
      <c r="D157" t="inlineStr">
        <is>
          <t>F01</t>
        </is>
      </c>
      <c r="E157" t="inlineStr">
        <is>
          <t>D100</t>
        </is>
      </c>
      <c r="G157" s="32" t="n">
        <v>45681.84375</v>
      </c>
      <c r="H157" s="32" t="n">
        <v>45682.09930555556</v>
      </c>
      <c r="I157" t="inlineStr">
        <is>
          <t>R10.9</t>
        </is>
      </c>
      <c r="J157" t="inlineStr">
        <is>
          <t>PY03</t>
        </is>
      </c>
      <c r="K157" s="33" t="n">
        <v>3843.08</v>
      </c>
      <c r="L157" s="34" t="n"/>
    </row>
    <row r="158">
      <c r="A158" t="inlineStr">
        <is>
          <t>ENC111582</t>
        </is>
      </c>
      <c r="B158" t="inlineStr">
        <is>
          <t>PT10893</t>
        </is>
      </c>
      <c r="C158" t="inlineStr">
        <is>
          <t>Emergency</t>
        </is>
      </c>
      <c r="D158" t="inlineStr">
        <is>
          <t>F03</t>
        </is>
      </c>
      <c r="E158" t="inlineStr">
        <is>
          <t>D300</t>
        </is>
      </c>
      <c r="G158" s="32" t="n">
        <v>45682.4</v>
      </c>
      <c r="H158" s="32" t="n">
        <v>45682.64652777778</v>
      </c>
      <c r="I158" t="inlineStr">
        <is>
          <t>G43.909</t>
        </is>
      </c>
      <c r="J158" t="inlineStr">
        <is>
          <t>PY03</t>
        </is>
      </c>
      <c r="K158" s="33" t="n">
        <v>2804.8</v>
      </c>
      <c r="L158" s="34" t="n"/>
    </row>
    <row r="159">
      <c r="A159" t="inlineStr">
        <is>
          <t>ENC111587</t>
        </is>
      </c>
      <c r="B159" t="inlineStr">
        <is>
          <t>PT13671</t>
        </is>
      </c>
      <c r="C159" t="inlineStr">
        <is>
          <t>Emergency</t>
        </is>
      </c>
      <c r="D159" t="inlineStr">
        <is>
          <t>F01</t>
        </is>
      </c>
      <c r="E159" t="inlineStr">
        <is>
          <t>D100</t>
        </is>
      </c>
      <c r="G159" s="32" t="n">
        <v>45682.50138888889</v>
      </c>
      <c r="H159" s="32" t="n">
        <v>45682.61736111111</v>
      </c>
      <c r="I159" t="inlineStr">
        <is>
          <t>L03.115</t>
        </is>
      </c>
      <c r="J159" t="inlineStr">
        <is>
          <t>PY01</t>
        </is>
      </c>
      <c r="K159" s="33" t="n">
        <v>2646.96</v>
      </c>
      <c r="L159" s="34" t="n"/>
    </row>
    <row r="160">
      <c r="A160" t="inlineStr">
        <is>
          <t>ENC111593</t>
        </is>
      </c>
      <c r="B160" t="inlineStr">
        <is>
          <t>PT13810</t>
        </is>
      </c>
      <c r="C160" t="inlineStr">
        <is>
          <t>Inpatient</t>
        </is>
      </c>
      <c r="D160" t="inlineStr">
        <is>
          <t>F01</t>
        </is>
      </c>
      <c r="E160" t="inlineStr">
        <is>
          <t>D170</t>
        </is>
      </c>
      <c r="F160" t="inlineStr">
        <is>
          <t>Direct Admit</t>
        </is>
      </c>
      <c r="G160" s="32" t="n">
        <v>45682.63680555556</v>
      </c>
      <c r="H160" s="32" t="n">
        <v>45687.70416666667</v>
      </c>
      <c r="I160" t="inlineStr">
        <is>
          <t>O82</t>
        </is>
      </c>
      <c r="J160" t="inlineStr">
        <is>
          <t>PY04</t>
        </is>
      </c>
      <c r="K160" s="33" t="n">
        <v>40855.6</v>
      </c>
      <c r="L160" s="34" t="n"/>
    </row>
    <row r="161">
      <c r="A161" t="inlineStr">
        <is>
          <t>ENC111602</t>
        </is>
      </c>
      <c r="B161" t="inlineStr">
        <is>
          <t>PT13851</t>
        </is>
      </c>
      <c r="C161" t="inlineStr">
        <is>
          <t>Emergency</t>
        </is>
      </c>
      <c r="D161" t="inlineStr">
        <is>
          <t>F01</t>
        </is>
      </c>
      <c r="E161" t="inlineStr">
        <is>
          <t>D100</t>
        </is>
      </c>
      <c r="G161" s="32" t="n">
        <v>45682.78263888889</v>
      </c>
      <c r="H161" s="32" t="n">
        <v>45682.90763888889</v>
      </c>
      <c r="I161" t="inlineStr">
        <is>
          <t>J18.9</t>
        </is>
      </c>
      <c r="J161" t="inlineStr">
        <is>
          <t>PY03</t>
        </is>
      </c>
      <c r="K161" s="33" t="n">
        <v>2745.84</v>
      </c>
      <c r="L161" s="34" t="n"/>
    </row>
    <row r="162">
      <c r="A162" t="inlineStr">
        <is>
          <t>ENC111605</t>
        </is>
      </c>
      <c r="B162" t="inlineStr">
        <is>
          <t>PT13402</t>
        </is>
      </c>
      <c r="C162" t="inlineStr">
        <is>
          <t>Emergency</t>
        </is>
      </c>
      <c r="D162" t="inlineStr">
        <is>
          <t>F01</t>
        </is>
      </c>
      <c r="E162" t="inlineStr">
        <is>
          <t>D100</t>
        </is>
      </c>
      <c r="G162" s="32" t="n">
        <v>45682.99444444444</v>
      </c>
      <c r="H162" s="32" t="n">
        <v>45683.07222222222</v>
      </c>
      <c r="I162" t="inlineStr">
        <is>
          <t>M54.50</t>
        </is>
      </c>
      <c r="J162" t="inlineStr">
        <is>
          <t>PY05</t>
        </is>
      </c>
      <c r="K162" s="33" t="n">
        <v>1304.31</v>
      </c>
      <c r="L162" s="34" t="n"/>
    </row>
    <row r="163">
      <c r="A163" t="inlineStr">
        <is>
          <t>ENC111612</t>
        </is>
      </c>
      <c r="B163" t="inlineStr">
        <is>
          <t>PT11327</t>
        </is>
      </c>
      <c r="C163" t="inlineStr">
        <is>
          <t>Inpatient</t>
        </is>
      </c>
      <c r="D163" t="inlineStr">
        <is>
          <t>F03</t>
        </is>
      </c>
      <c r="E163" t="inlineStr">
        <is>
          <t>D330</t>
        </is>
      </c>
      <c r="F163" t="inlineStr">
        <is>
          <t>Direct Admit</t>
        </is>
      </c>
      <c r="G163" s="32" t="n">
        <v>45683.3625</v>
      </c>
      <c r="H163" s="32" t="n">
        <v>45689.50416666667</v>
      </c>
      <c r="I163" t="inlineStr">
        <is>
          <t>K92.2</t>
        </is>
      </c>
      <c r="J163" t="inlineStr">
        <is>
          <t>PY01</t>
        </is>
      </c>
      <c r="K163" s="33" t="n">
        <v>69681.38</v>
      </c>
      <c r="L163" s="34" t="n"/>
    </row>
    <row r="164">
      <c r="A164" t="inlineStr">
        <is>
          <t>ENC111611</t>
        </is>
      </c>
      <c r="B164" t="inlineStr">
        <is>
          <t>PT12185</t>
        </is>
      </c>
      <c r="C164" t="inlineStr">
        <is>
          <t>Inpatient</t>
        </is>
      </c>
      <c r="D164" t="inlineStr">
        <is>
          <t>F01</t>
        </is>
      </c>
      <c r="E164" t="inlineStr">
        <is>
          <t>D110</t>
        </is>
      </c>
      <c r="F164" t="inlineStr">
        <is>
          <t>Emergency Department</t>
        </is>
      </c>
      <c r="G164" s="32" t="n">
        <v>45683.41111111111</v>
      </c>
      <c r="H164" s="32" t="n">
        <v>45685.71180555555</v>
      </c>
      <c r="I164" t="inlineStr">
        <is>
          <t>L03.115</t>
        </is>
      </c>
      <c r="J164" t="inlineStr">
        <is>
          <t>PY04</t>
        </is>
      </c>
      <c r="K164" s="33" t="n">
        <v>12324.52</v>
      </c>
      <c r="L164" s="34" t="n"/>
    </row>
    <row r="165">
      <c r="A165" t="inlineStr">
        <is>
          <t>ENC111623</t>
        </is>
      </c>
      <c r="B165" t="inlineStr">
        <is>
          <t>PT12537</t>
        </is>
      </c>
      <c r="C165" t="inlineStr">
        <is>
          <t>Emergency</t>
        </is>
      </c>
      <c r="D165" t="inlineStr">
        <is>
          <t>F01</t>
        </is>
      </c>
      <c r="E165" t="inlineStr">
        <is>
          <t>D100</t>
        </is>
      </c>
      <c r="G165" s="32" t="n">
        <v>45683.52986111111</v>
      </c>
      <c r="H165" s="32" t="n">
        <v>45683.61041666667</v>
      </c>
      <c r="I165" t="inlineStr">
        <is>
          <t>J06.9</t>
        </is>
      </c>
      <c r="J165" t="inlineStr">
        <is>
          <t>PY01</t>
        </is>
      </c>
      <c r="K165" s="33" t="n">
        <v>1243.31</v>
      </c>
      <c r="L165" s="34" t="n"/>
    </row>
    <row r="166">
      <c r="A166" t="inlineStr">
        <is>
          <t>ENC111627</t>
        </is>
      </c>
      <c r="B166" t="inlineStr">
        <is>
          <t>PT13010</t>
        </is>
      </c>
      <c r="C166" t="inlineStr">
        <is>
          <t>Emergency</t>
        </is>
      </c>
      <c r="D166" t="inlineStr">
        <is>
          <t>F01</t>
        </is>
      </c>
      <c r="E166" t="inlineStr">
        <is>
          <t>D100</t>
        </is>
      </c>
      <c r="G166" s="32" t="n">
        <v>45683.55069444444</v>
      </c>
      <c r="H166" s="32" t="n">
        <v>45683.74097222222</v>
      </c>
      <c r="I166" t="inlineStr">
        <is>
          <t>J21.9</t>
        </is>
      </c>
      <c r="J166" t="inlineStr">
        <is>
          <t>PY05</t>
        </is>
      </c>
      <c r="K166" s="33" t="n">
        <v>5438.28</v>
      </c>
      <c r="L166" s="34" t="n"/>
    </row>
    <row r="167">
      <c r="A167" t="inlineStr">
        <is>
          <t>ENC111635</t>
        </is>
      </c>
      <c r="B167" t="inlineStr">
        <is>
          <t>PT12070</t>
        </is>
      </c>
      <c r="C167" t="inlineStr">
        <is>
          <t>Emergency</t>
        </is>
      </c>
      <c r="D167" t="inlineStr">
        <is>
          <t>F01</t>
        </is>
      </c>
      <c r="E167" t="inlineStr">
        <is>
          <t>D100</t>
        </is>
      </c>
      <c r="G167" s="32" t="n">
        <v>45683.74722222222</v>
      </c>
      <c r="H167" s="32" t="n">
        <v>45683.86597222222</v>
      </c>
      <c r="I167" t="inlineStr">
        <is>
          <t>F32.9</t>
        </is>
      </c>
      <c r="J167" t="inlineStr">
        <is>
          <t>PY04</t>
        </is>
      </c>
      <c r="K167" s="33" t="n">
        <v>3205.92</v>
      </c>
      <c r="L167" s="34" t="n"/>
    </row>
    <row r="168">
      <c r="A168" t="inlineStr">
        <is>
          <t>ENC111640</t>
        </is>
      </c>
      <c r="B168" t="inlineStr">
        <is>
          <t>PT13319</t>
        </is>
      </c>
      <c r="C168" t="inlineStr">
        <is>
          <t>Observation</t>
        </is>
      </c>
      <c r="D168" t="inlineStr">
        <is>
          <t>F01</t>
        </is>
      </c>
      <c r="E168" t="inlineStr">
        <is>
          <t>D195</t>
        </is>
      </c>
      <c r="F168" t="inlineStr">
        <is>
          <t>Direct Admit</t>
        </is>
      </c>
      <c r="G168" s="32" t="n">
        <v>45683.86180555556</v>
      </c>
      <c r="H168" s="32" t="n">
        <v>45684.44513888889</v>
      </c>
      <c r="I168" t="inlineStr">
        <is>
          <t>J21.9</t>
        </is>
      </c>
      <c r="J168" t="inlineStr">
        <is>
          <t>PY04</t>
        </is>
      </c>
      <c r="K168" s="33" t="n">
        <v>13020.75</v>
      </c>
      <c r="L168" s="34" t="n"/>
    </row>
    <row r="169">
      <c r="A169" t="inlineStr">
        <is>
          <t>ENC111644</t>
        </is>
      </c>
      <c r="B169" t="inlineStr">
        <is>
          <t>PT11171</t>
        </is>
      </c>
      <c r="C169" t="inlineStr">
        <is>
          <t>Inpatient</t>
        </is>
      </c>
      <c r="D169" t="inlineStr">
        <is>
          <t>F01</t>
        </is>
      </c>
      <c r="E169" t="inlineStr">
        <is>
          <t>D130</t>
        </is>
      </c>
      <c r="F169" t="inlineStr">
        <is>
          <t>Transfer</t>
        </is>
      </c>
      <c r="G169" s="32" t="n">
        <v>45684.35416666666</v>
      </c>
      <c r="H169" s="32" t="n">
        <v>45692.69722222222</v>
      </c>
      <c r="I169" t="inlineStr">
        <is>
          <t>J96.01</t>
        </is>
      </c>
      <c r="J169" t="inlineStr">
        <is>
          <t>PY01</t>
        </is>
      </c>
      <c r="K169" s="33" t="n">
        <v>75218.91</v>
      </c>
      <c r="L169" s="34" t="n"/>
    </row>
    <row r="170">
      <c r="A170" t="inlineStr">
        <is>
          <t>ENC111649</t>
        </is>
      </c>
      <c r="B170" t="inlineStr">
        <is>
          <t>PT12045</t>
        </is>
      </c>
      <c r="C170" t="inlineStr">
        <is>
          <t>Outpatient</t>
        </is>
      </c>
      <c r="D170" t="inlineStr">
        <is>
          <t>F04</t>
        </is>
      </c>
      <c r="E170" t="inlineStr">
        <is>
          <t>D400</t>
        </is>
      </c>
      <c r="G170" s="32" t="n">
        <v>45684.44791666666</v>
      </c>
      <c r="H170" s="32" t="n">
        <v>45684.46458333333</v>
      </c>
      <c r="I170" t="inlineStr">
        <is>
          <t>Z00.00</t>
        </is>
      </c>
      <c r="J170" t="inlineStr">
        <is>
          <t>PY06</t>
        </is>
      </c>
      <c r="K170" s="33" t="n">
        <v>333.5</v>
      </c>
      <c r="L170" s="34" t="n"/>
    </row>
    <row r="171">
      <c r="A171" t="inlineStr">
        <is>
          <t>ENC111654</t>
        </is>
      </c>
      <c r="B171" t="inlineStr">
        <is>
          <t>PT11782</t>
        </is>
      </c>
      <c r="C171" t="inlineStr">
        <is>
          <t>Outpatient</t>
        </is>
      </c>
      <c r="D171" t="inlineStr">
        <is>
          <t>F04</t>
        </is>
      </c>
      <c r="E171" t="inlineStr">
        <is>
          <t>D400</t>
        </is>
      </c>
      <c r="G171" s="32" t="n">
        <v>45684.53125</v>
      </c>
      <c r="H171" s="32" t="n">
        <v>45684.55208333334</v>
      </c>
      <c r="I171" t="inlineStr">
        <is>
          <t>J06.9</t>
        </is>
      </c>
      <c r="J171" t="inlineStr">
        <is>
          <t>PY04</t>
        </is>
      </c>
      <c r="K171" s="33" t="n">
        <v>421.89</v>
      </c>
      <c r="L171" s="34" t="n"/>
    </row>
    <row r="172">
      <c r="A172" t="inlineStr">
        <is>
          <t>ENC111661</t>
        </is>
      </c>
      <c r="B172" t="inlineStr">
        <is>
          <t>PT13346</t>
        </is>
      </c>
      <c r="C172" t="inlineStr">
        <is>
          <t>Outpatient</t>
        </is>
      </c>
      <c r="D172" t="inlineStr">
        <is>
          <t>F04</t>
        </is>
      </c>
      <c r="E172" t="inlineStr">
        <is>
          <t>D400</t>
        </is>
      </c>
      <c r="G172" s="32" t="n">
        <v>45684.58333333334</v>
      </c>
      <c r="H172" s="32" t="n">
        <v>45684.62083333333</v>
      </c>
      <c r="I172" t="inlineStr">
        <is>
          <t>Z23</t>
        </is>
      </c>
      <c r="J172" t="inlineStr">
        <is>
          <t>PY06</t>
        </is>
      </c>
      <c r="K172" s="33" t="n">
        <v>119.61</v>
      </c>
      <c r="L172" s="34" t="n"/>
    </row>
    <row r="173">
      <c r="A173" t="inlineStr">
        <is>
          <t>ENC111667</t>
        </is>
      </c>
      <c r="B173" t="inlineStr">
        <is>
          <t>PT12158</t>
        </is>
      </c>
      <c r="C173" t="inlineStr">
        <is>
          <t>Outpatient</t>
        </is>
      </c>
      <c r="D173" t="inlineStr">
        <is>
          <t>F04</t>
        </is>
      </c>
      <c r="E173" t="inlineStr">
        <is>
          <t>D400</t>
        </is>
      </c>
      <c r="G173" s="32" t="n">
        <v>45684.625</v>
      </c>
      <c r="H173" s="32" t="n">
        <v>45684.65902777778</v>
      </c>
      <c r="I173" t="inlineStr">
        <is>
          <t>J06.9</t>
        </is>
      </c>
      <c r="J173" t="inlineStr">
        <is>
          <t>PY03</t>
        </is>
      </c>
      <c r="K173" s="33" t="n">
        <v>534.84</v>
      </c>
      <c r="L173" s="34" t="n"/>
    </row>
    <row r="174">
      <c r="A174" t="inlineStr">
        <is>
          <t>ENC111673</t>
        </is>
      </c>
      <c r="B174" t="inlineStr">
        <is>
          <t>PT11523</t>
        </is>
      </c>
      <c r="C174" t="inlineStr">
        <is>
          <t>Outpatient</t>
        </is>
      </c>
      <c r="D174" t="inlineStr">
        <is>
          <t>F04</t>
        </is>
      </c>
      <c r="E174" t="inlineStr">
        <is>
          <t>D430</t>
        </is>
      </c>
      <c r="G174" s="32" t="n">
        <v>45684.66666666666</v>
      </c>
      <c r="H174" s="32" t="n">
        <v>45684.67777777778</v>
      </c>
      <c r="I174" t="inlineStr">
        <is>
          <t>C34.90</t>
        </is>
      </c>
      <c r="J174" t="inlineStr">
        <is>
          <t>PY04</t>
        </is>
      </c>
      <c r="K174" s="33" t="n">
        <v>531.75</v>
      </c>
      <c r="L174" s="34" t="n"/>
    </row>
    <row r="175">
      <c r="A175" t="inlineStr">
        <is>
          <t>ENC111677</t>
        </is>
      </c>
      <c r="B175" t="inlineStr">
        <is>
          <t>PT11283</t>
        </is>
      </c>
      <c r="C175" t="inlineStr">
        <is>
          <t>Emergency</t>
        </is>
      </c>
      <c r="D175" t="inlineStr">
        <is>
          <t>F01</t>
        </is>
      </c>
      <c r="E175" t="inlineStr">
        <is>
          <t>D100</t>
        </is>
      </c>
      <c r="G175" s="32" t="n">
        <v>45684.73958333334</v>
      </c>
      <c r="H175" s="32" t="n">
        <v>45684.85694444444</v>
      </c>
      <c r="I175" t="inlineStr">
        <is>
          <t>F41.9</t>
        </is>
      </c>
      <c r="J175" t="inlineStr">
        <is>
          <t>PY02</t>
        </is>
      </c>
      <c r="K175" s="33" t="n">
        <v>3891.43</v>
      </c>
      <c r="L175" s="34" t="n"/>
    </row>
    <row r="176">
      <c r="A176" t="inlineStr">
        <is>
          <t>ENC111683</t>
        </is>
      </c>
      <c r="B176" t="inlineStr">
        <is>
          <t>PT10142</t>
        </is>
      </c>
      <c r="C176" t="inlineStr">
        <is>
          <t>Emergency</t>
        </is>
      </c>
      <c r="D176" t="inlineStr">
        <is>
          <t>F01</t>
        </is>
      </c>
      <c r="E176" t="inlineStr">
        <is>
          <t>D100</t>
        </is>
      </c>
      <c r="G176" s="32" t="n">
        <v>45684.85972222222</v>
      </c>
      <c r="H176" s="32" t="n">
        <v>45684.99513888889</v>
      </c>
      <c r="I176" t="inlineStr">
        <is>
          <t>U07.1</t>
        </is>
      </c>
      <c r="J176" t="inlineStr">
        <is>
          <t>PY01</t>
        </is>
      </c>
      <c r="K176" s="33" t="n">
        <v>1551.55</v>
      </c>
      <c r="L176" s="34" t="n"/>
    </row>
    <row r="177">
      <c r="A177" t="inlineStr">
        <is>
          <t>ENC111688</t>
        </is>
      </c>
      <c r="B177" t="inlineStr">
        <is>
          <t>PT11109</t>
        </is>
      </c>
      <c r="C177" t="inlineStr">
        <is>
          <t>Emergency</t>
        </is>
      </c>
      <c r="D177" t="inlineStr">
        <is>
          <t>F01</t>
        </is>
      </c>
      <c r="E177" t="inlineStr">
        <is>
          <t>D100</t>
        </is>
      </c>
      <c r="G177" s="32" t="n">
        <v>45685.32083333333</v>
      </c>
      <c r="H177" s="32" t="n">
        <v>45685.44930555556</v>
      </c>
      <c r="I177" t="inlineStr">
        <is>
          <t>J44.1</t>
        </is>
      </c>
      <c r="J177" t="inlineStr">
        <is>
          <t>PY07</t>
        </is>
      </c>
      <c r="K177" s="33" t="n">
        <v>6332.88</v>
      </c>
      <c r="L177" s="34" t="n"/>
    </row>
    <row r="178">
      <c r="A178" t="inlineStr">
        <is>
          <t>ENC111695</t>
        </is>
      </c>
      <c r="B178" t="inlineStr">
        <is>
          <t>PT11798</t>
        </is>
      </c>
      <c r="C178" t="inlineStr">
        <is>
          <t>Outpatient</t>
        </is>
      </c>
      <c r="D178" t="inlineStr">
        <is>
          <t>F04</t>
        </is>
      </c>
      <c r="E178" t="inlineStr">
        <is>
          <t>D430</t>
        </is>
      </c>
      <c r="G178" s="32" t="n">
        <v>45685.5</v>
      </c>
      <c r="H178" s="32" t="n">
        <v>45685.64583333334</v>
      </c>
      <c r="I178" t="inlineStr">
        <is>
          <t>Z51.11</t>
        </is>
      </c>
      <c r="J178" t="inlineStr">
        <is>
          <t>PY02</t>
        </is>
      </c>
      <c r="K178" s="33" t="n">
        <v>17760.67</v>
      </c>
      <c r="L178" s="34" t="n"/>
    </row>
    <row r="179">
      <c r="A179" t="inlineStr">
        <is>
          <t>ENC111691</t>
        </is>
      </c>
      <c r="B179" t="inlineStr">
        <is>
          <t>PT10645</t>
        </is>
      </c>
      <c r="C179" t="inlineStr">
        <is>
          <t>Inpatient</t>
        </is>
      </c>
      <c r="D179" t="inlineStr">
        <is>
          <t>F01</t>
        </is>
      </c>
      <c r="E179" t="inlineStr">
        <is>
          <t>D120</t>
        </is>
      </c>
      <c r="F179" t="inlineStr">
        <is>
          <t>Emergency Department</t>
        </is>
      </c>
      <c r="G179" s="32" t="n">
        <v>45685.57777777778</v>
      </c>
      <c r="H179" s="32" t="n">
        <v>45692.61875</v>
      </c>
      <c r="I179" t="inlineStr">
        <is>
          <t>I50.9</t>
        </is>
      </c>
      <c r="J179" t="inlineStr">
        <is>
          <t>PY05</t>
        </is>
      </c>
      <c r="K179" s="33" t="n">
        <v>62972.02</v>
      </c>
      <c r="L179" s="34" t="n"/>
    </row>
    <row r="180">
      <c r="A180" t="inlineStr">
        <is>
          <t>ENC111706</t>
        </is>
      </c>
      <c r="B180" t="inlineStr">
        <is>
          <t>PT12745</t>
        </is>
      </c>
      <c r="C180" t="inlineStr">
        <is>
          <t>Outpatient</t>
        </is>
      </c>
      <c r="D180" t="inlineStr">
        <is>
          <t>F04</t>
        </is>
      </c>
      <c r="E180" t="inlineStr">
        <is>
          <t>D440</t>
        </is>
      </c>
      <c r="G180" s="32" t="n">
        <v>45685.625</v>
      </c>
      <c r="H180" s="32" t="n">
        <v>45685.64652777778</v>
      </c>
      <c r="I180" t="inlineStr">
        <is>
          <t>E11.65</t>
        </is>
      </c>
      <c r="J180" t="inlineStr">
        <is>
          <t>PY01</t>
        </is>
      </c>
      <c r="K180" s="33" t="n">
        <v>253.56</v>
      </c>
      <c r="L180" s="34" t="n"/>
    </row>
    <row r="181">
      <c r="A181" t="inlineStr">
        <is>
          <t>ENC111712</t>
        </is>
      </c>
      <c r="B181" t="inlineStr">
        <is>
          <t>PT10316</t>
        </is>
      </c>
      <c r="C181" t="inlineStr">
        <is>
          <t>Emergency</t>
        </is>
      </c>
      <c r="D181" t="inlineStr">
        <is>
          <t>F01</t>
        </is>
      </c>
      <c r="E181" t="inlineStr">
        <is>
          <t>D100</t>
        </is>
      </c>
      <c r="G181" s="32" t="n">
        <v>45685.76319444444</v>
      </c>
      <c r="H181" s="32" t="n">
        <v>45685.88402777778</v>
      </c>
      <c r="I181" t="inlineStr">
        <is>
          <t>R07.9</t>
        </is>
      </c>
      <c r="J181" t="inlineStr">
        <is>
          <t>PY02</t>
        </is>
      </c>
      <c r="K181" s="33" t="n">
        <v>2748.75</v>
      </c>
      <c r="L181" s="34" t="n"/>
    </row>
    <row r="182">
      <c r="A182" t="inlineStr">
        <is>
          <t>ENC111716</t>
        </is>
      </c>
      <c r="B182" t="inlineStr">
        <is>
          <t>PT12506</t>
        </is>
      </c>
      <c r="C182" t="inlineStr">
        <is>
          <t>Inpatient</t>
        </is>
      </c>
      <c r="D182" t="inlineStr">
        <is>
          <t>F03</t>
        </is>
      </c>
      <c r="E182" t="inlineStr">
        <is>
          <t>D340</t>
        </is>
      </c>
      <c r="F182" t="inlineStr">
        <is>
          <t>Direct Admit</t>
        </is>
      </c>
      <c r="G182" s="32" t="n">
        <v>45685.87916666667</v>
      </c>
      <c r="H182" s="32" t="n">
        <v>45692.55555555555</v>
      </c>
      <c r="I182" t="inlineStr">
        <is>
          <t>S72.001A</t>
        </is>
      </c>
      <c r="J182" t="inlineStr">
        <is>
          <t>PY06</t>
        </is>
      </c>
      <c r="K182" s="33" t="n">
        <v>63375.32</v>
      </c>
      <c r="L182" s="34" t="n"/>
    </row>
    <row r="183">
      <c r="A183" t="inlineStr">
        <is>
          <t>ENC111722</t>
        </is>
      </c>
      <c r="B183" t="inlineStr">
        <is>
          <t>PT10605</t>
        </is>
      </c>
      <c r="C183" t="inlineStr">
        <is>
          <t>Emergency</t>
        </is>
      </c>
      <c r="D183" t="inlineStr">
        <is>
          <t>F01</t>
        </is>
      </c>
      <c r="E183" t="inlineStr">
        <is>
          <t>D100</t>
        </is>
      </c>
      <c r="G183" s="32" t="n">
        <v>45685.97083333333</v>
      </c>
      <c r="H183" s="32" t="n">
        <v>45686.13333333333</v>
      </c>
      <c r="I183" t="inlineStr">
        <is>
          <t>K80.20</t>
        </is>
      </c>
      <c r="J183" t="inlineStr">
        <is>
          <t>PY02</t>
        </is>
      </c>
      <c r="K183" s="33" t="n">
        <v>3419.75</v>
      </c>
      <c r="L183" s="34" t="n"/>
    </row>
    <row r="184">
      <c r="A184" t="inlineStr">
        <is>
          <t>ENC111728</t>
        </is>
      </c>
      <c r="B184" t="inlineStr">
        <is>
          <t>PT11241</t>
        </is>
      </c>
      <c r="C184" t="inlineStr">
        <is>
          <t>Outpatient</t>
        </is>
      </c>
      <c r="D184" t="inlineStr">
        <is>
          <t>F04</t>
        </is>
      </c>
      <c r="E184" t="inlineStr">
        <is>
          <t>D450</t>
        </is>
      </c>
      <c r="G184" s="32" t="n">
        <v>45686.33333333334</v>
      </c>
      <c r="H184" s="32" t="n">
        <v>45686.34513888889</v>
      </c>
      <c r="I184" t="inlineStr">
        <is>
          <t>Z00.129</t>
        </is>
      </c>
      <c r="J184" t="inlineStr">
        <is>
          <t>PY07</t>
        </is>
      </c>
      <c r="K184" s="33" t="n">
        <v>330.73</v>
      </c>
      <c r="L184" s="34" t="n"/>
    </row>
    <row r="185">
      <c r="A185" t="inlineStr">
        <is>
          <t>ENC111734</t>
        </is>
      </c>
      <c r="B185" t="inlineStr">
        <is>
          <t>PT11207</t>
        </is>
      </c>
      <c r="C185" t="inlineStr">
        <is>
          <t>Outpatient</t>
        </is>
      </c>
      <c r="D185" t="inlineStr">
        <is>
          <t>F04</t>
        </is>
      </c>
      <c r="E185" t="inlineStr">
        <is>
          <t>D420</t>
        </is>
      </c>
      <c r="G185" s="32" t="n">
        <v>45686.39583333334</v>
      </c>
      <c r="H185" s="32" t="n">
        <v>45686.425</v>
      </c>
      <c r="I185" t="inlineStr">
        <is>
          <t>M16.11</t>
        </is>
      </c>
      <c r="J185" t="inlineStr">
        <is>
          <t>PY01</t>
        </is>
      </c>
      <c r="K185" s="33" t="n">
        <v>224.62</v>
      </c>
      <c r="L185" s="34" t="n"/>
    </row>
    <row r="186">
      <c r="A186" t="inlineStr">
        <is>
          <t>ENC111741</t>
        </is>
      </c>
      <c r="B186" t="inlineStr">
        <is>
          <t>PT11965</t>
        </is>
      </c>
      <c r="C186" t="inlineStr">
        <is>
          <t>Outpatient</t>
        </is>
      </c>
      <c r="D186" t="inlineStr">
        <is>
          <t>F04</t>
        </is>
      </c>
      <c r="E186" t="inlineStr">
        <is>
          <t>D450</t>
        </is>
      </c>
      <c r="G186" s="32" t="n">
        <v>45686.46875</v>
      </c>
      <c r="H186" s="32" t="n">
        <v>45686.4875</v>
      </c>
      <c r="I186" t="inlineStr">
        <is>
          <t>Z00.129</t>
        </is>
      </c>
      <c r="J186" t="inlineStr">
        <is>
          <t>PY06</t>
        </is>
      </c>
      <c r="K186" s="33" t="n">
        <v>297.83</v>
      </c>
      <c r="L186" s="34" t="n"/>
    </row>
    <row r="187">
      <c r="A187" t="inlineStr">
        <is>
          <t>ENC111746</t>
        </is>
      </c>
      <c r="B187" t="inlineStr">
        <is>
          <t>PT13432</t>
        </is>
      </c>
      <c r="C187" t="inlineStr">
        <is>
          <t>Emergency</t>
        </is>
      </c>
      <c r="D187" t="inlineStr">
        <is>
          <t>F01</t>
        </is>
      </c>
      <c r="E187" t="inlineStr">
        <is>
          <t>D100</t>
        </is>
      </c>
      <c r="G187" s="32" t="n">
        <v>45686.51111111111</v>
      </c>
      <c r="H187" s="32" t="n">
        <v>45686.64513888889</v>
      </c>
      <c r="I187" t="inlineStr">
        <is>
          <t>H66.90</t>
        </is>
      </c>
      <c r="J187" t="inlineStr">
        <is>
          <t>PY03</t>
        </is>
      </c>
      <c r="K187" s="33" t="n">
        <v>1162.69</v>
      </c>
      <c r="L187" s="34" t="n"/>
    </row>
    <row r="188">
      <c r="A188" t="inlineStr">
        <is>
          <t>ENC111753</t>
        </is>
      </c>
      <c r="B188" t="inlineStr">
        <is>
          <t>PT11594</t>
        </is>
      </c>
      <c r="C188" t="inlineStr">
        <is>
          <t>Outpatient</t>
        </is>
      </c>
      <c r="D188" t="inlineStr">
        <is>
          <t>F04</t>
        </is>
      </c>
      <c r="E188" t="inlineStr">
        <is>
          <t>D430</t>
        </is>
      </c>
      <c r="G188" s="32" t="n">
        <v>45686.59375</v>
      </c>
      <c r="H188" s="32" t="n">
        <v>45686.80902777778</v>
      </c>
      <c r="I188" t="inlineStr">
        <is>
          <t>Z51.11</t>
        </is>
      </c>
      <c r="J188" t="inlineStr">
        <is>
          <t>PY01</t>
        </is>
      </c>
      <c r="K188" s="33" t="n">
        <v>10871</v>
      </c>
      <c r="L188" s="34" t="n"/>
    </row>
    <row r="189">
      <c r="A189" t="inlineStr">
        <is>
          <t>ENC111758</t>
        </is>
      </c>
      <c r="B189" t="inlineStr">
        <is>
          <t>PT12429</t>
        </is>
      </c>
      <c r="C189" t="inlineStr">
        <is>
          <t>Outpatient</t>
        </is>
      </c>
      <c r="D189" t="inlineStr">
        <is>
          <t>F04</t>
        </is>
      </c>
      <c r="E189" t="inlineStr">
        <is>
          <t>D400</t>
        </is>
      </c>
      <c r="G189" s="32" t="n">
        <v>45686.66666666666</v>
      </c>
      <c r="H189" s="32" t="n">
        <v>45686.67986111111</v>
      </c>
      <c r="I189" t="inlineStr">
        <is>
          <t>M54.50</t>
        </is>
      </c>
      <c r="J189" t="inlineStr">
        <is>
          <t>PY01</t>
        </is>
      </c>
      <c r="K189" s="33" t="n">
        <v>252.85</v>
      </c>
      <c r="L189" s="34" t="n"/>
    </row>
    <row r="190">
      <c r="A190" t="inlineStr">
        <is>
          <t>ENC111754</t>
        </is>
      </c>
      <c r="B190" t="inlineStr">
        <is>
          <t>PT13603</t>
        </is>
      </c>
      <c r="C190" t="inlineStr">
        <is>
          <t>Inpatient</t>
        </is>
      </c>
      <c r="D190" t="inlineStr">
        <is>
          <t>F01</t>
        </is>
      </c>
      <c r="E190" t="inlineStr">
        <is>
          <t>D110</t>
        </is>
      </c>
      <c r="F190" t="inlineStr">
        <is>
          <t>Emergency Department</t>
        </is>
      </c>
      <c r="G190" s="32" t="n">
        <v>45686.72361111111</v>
      </c>
      <c r="H190" s="32" t="n">
        <v>45691.57569444444</v>
      </c>
      <c r="I190" t="inlineStr">
        <is>
          <t>J44.1</t>
        </is>
      </c>
      <c r="J190" t="inlineStr">
        <is>
          <t>PY02</t>
        </is>
      </c>
      <c r="K190" s="33" t="n">
        <v>20673.25</v>
      </c>
      <c r="L190" s="34" t="n"/>
    </row>
    <row r="191">
      <c r="A191" t="inlineStr">
        <is>
          <t>ENC111766</t>
        </is>
      </c>
      <c r="B191" t="inlineStr">
        <is>
          <t>PT10084</t>
        </is>
      </c>
      <c r="C191" t="inlineStr">
        <is>
          <t>Inpatient</t>
        </is>
      </c>
      <c r="D191" t="inlineStr">
        <is>
          <t>F01</t>
        </is>
      </c>
      <c r="E191" t="inlineStr">
        <is>
          <t>D160</t>
        </is>
      </c>
      <c r="F191" t="inlineStr">
        <is>
          <t>Emergency Department</t>
        </is>
      </c>
      <c r="G191" s="32" t="n">
        <v>45686.93680555555</v>
      </c>
      <c r="H191" s="32" t="n">
        <v>45690.61041666667</v>
      </c>
      <c r="I191" t="inlineStr">
        <is>
          <t>I63.9</t>
        </is>
      </c>
      <c r="J191" t="inlineStr">
        <is>
          <t>PY02</t>
        </is>
      </c>
      <c r="K191" s="33" t="n">
        <v>18554.49</v>
      </c>
      <c r="L191" s="34" t="n"/>
    </row>
    <row r="192">
      <c r="A192" t="inlineStr">
        <is>
          <t>ENC111772</t>
        </is>
      </c>
      <c r="B192" t="inlineStr">
        <is>
          <t>PT11496</t>
        </is>
      </c>
      <c r="C192" t="inlineStr">
        <is>
          <t>Emergency</t>
        </is>
      </c>
      <c r="D192" t="inlineStr">
        <is>
          <t>F01</t>
        </is>
      </c>
      <c r="E192" t="inlineStr">
        <is>
          <t>D100</t>
        </is>
      </c>
      <c r="G192" s="32" t="n">
        <v>45687.24375</v>
      </c>
      <c r="H192" s="32" t="n">
        <v>45687.34513888889</v>
      </c>
      <c r="I192" t="inlineStr">
        <is>
          <t>J18.9</t>
        </is>
      </c>
      <c r="J192" t="inlineStr">
        <is>
          <t>PY01</t>
        </is>
      </c>
      <c r="K192" s="33" t="n">
        <v>2736.7</v>
      </c>
      <c r="L192" s="34" t="n"/>
    </row>
    <row r="193">
      <c r="A193" t="inlineStr">
        <is>
          <t>ENC111773</t>
        </is>
      </c>
      <c r="B193" t="inlineStr">
        <is>
          <t>PT11868</t>
        </is>
      </c>
      <c r="C193" t="inlineStr">
        <is>
          <t>Inpatient</t>
        </is>
      </c>
      <c r="D193" t="inlineStr">
        <is>
          <t>F01</t>
        </is>
      </c>
      <c r="E193" t="inlineStr">
        <is>
          <t>D160</t>
        </is>
      </c>
      <c r="F193" t="inlineStr">
        <is>
          <t>Emergency Department</t>
        </is>
      </c>
      <c r="G193" s="32" t="n">
        <v>45687.36527777778</v>
      </c>
      <c r="H193" s="32" t="n">
        <v>45689.68402777778</v>
      </c>
      <c r="I193" t="inlineStr">
        <is>
          <t>I63.9</t>
        </is>
      </c>
      <c r="J193" t="inlineStr">
        <is>
          <t>PY03</t>
        </is>
      </c>
      <c r="K193" s="33" t="n">
        <v>11365.56</v>
      </c>
      <c r="L193" s="34" t="n"/>
    </row>
    <row r="194">
      <c r="A194" t="inlineStr">
        <is>
          <t>ENC111783</t>
        </is>
      </c>
      <c r="B194" t="inlineStr">
        <is>
          <t>PT11930</t>
        </is>
      </c>
      <c r="C194" t="inlineStr">
        <is>
          <t>Inpatient</t>
        </is>
      </c>
      <c r="D194" t="inlineStr">
        <is>
          <t>F01</t>
        </is>
      </c>
      <c r="E194" t="inlineStr">
        <is>
          <t>D111</t>
        </is>
      </c>
      <c r="F194" t="inlineStr">
        <is>
          <t>Direct Admit</t>
        </is>
      </c>
      <c r="G194" s="32" t="n">
        <v>45687.45555555556</v>
      </c>
      <c r="H194" s="32" t="n">
        <v>45691.53611111111</v>
      </c>
      <c r="I194" t="inlineStr">
        <is>
          <t>E87.1</t>
        </is>
      </c>
      <c r="J194" t="inlineStr">
        <is>
          <t>PY01</t>
        </is>
      </c>
      <c r="K194" s="33" t="n">
        <v>12718.54</v>
      </c>
      <c r="L194" s="34" t="n"/>
    </row>
    <row r="195">
      <c r="A195" t="inlineStr">
        <is>
          <t>ENC111789</t>
        </is>
      </c>
      <c r="B195" t="inlineStr">
        <is>
          <t>PT12698</t>
        </is>
      </c>
      <c r="C195" t="inlineStr">
        <is>
          <t>Outpatient</t>
        </is>
      </c>
      <c r="D195" t="inlineStr">
        <is>
          <t>F04</t>
        </is>
      </c>
      <c r="E195" t="inlineStr">
        <is>
          <t>D450</t>
        </is>
      </c>
      <c r="G195" s="32" t="n">
        <v>45687.47916666666</v>
      </c>
      <c r="H195" s="32" t="n">
        <v>45687.50694444445</v>
      </c>
      <c r="I195" t="inlineStr">
        <is>
          <t>J06.9</t>
        </is>
      </c>
      <c r="J195" t="inlineStr">
        <is>
          <t>PY03</t>
        </is>
      </c>
      <c r="K195" s="33" t="n">
        <v>291.39</v>
      </c>
      <c r="L195" s="34" t="n"/>
    </row>
    <row r="196">
      <c r="A196" t="inlineStr">
        <is>
          <t>ENC111797</t>
        </is>
      </c>
      <c r="B196" t="inlineStr">
        <is>
          <t>PT10870</t>
        </is>
      </c>
      <c r="C196" t="inlineStr">
        <is>
          <t>Outpatient</t>
        </is>
      </c>
      <c r="D196" t="inlineStr">
        <is>
          <t>F04</t>
        </is>
      </c>
      <c r="E196" t="inlineStr">
        <is>
          <t>D400</t>
        </is>
      </c>
      <c r="G196" s="32" t="n">
        <v>45687.52083333334</v>
      </c>
      <c r="H196" s="32" t="n">
        <v>45687.54861111111</v>
      </c>
      <c r="I196" t="inlineStr">
        <is>
          <t>Z00.00</t>
        </is>
      </c>
      <c r="J196" t="inlineStr">
        <is>
          <t>PY02</t>
        </is>
      </c>
      <c r="K196" s="33" t="n">
        <v>391.58</v>
      </c>
      <c r="L196" s="34" t="n"/>
    </row>
    <row r="197">
      <c r="A197" t="inlineStr">
        <is>
          <t>ENC111802</t>
        </is>
      </c>
      <c r="B197" t="inlineStr">
        <is>
          <t>PT11302</t>
        </is>
      </c>
      <c r="C197" t="inlineStr">
        <is>
          <t>Outpatient</t>
        </is>
      </c>
      <c r="D197" t="inlineStr">
        <is>
          <t>F04</t>
        </is>
      </c>
      <c r="E197" t="inlineStr">
        <is>
          <t>D400</t>
        </is>
      </c>
      <c r="G197" s="32" t="n">
        <v>45687.59375</v>
      </c>
      <c r="H197" s="32" t="n">
        <v>45687.62083333333</v>
      </c>
      <c r="I197" t="inlineStr">
        <is>
          <t>Z23</t>
        </is>
      </c>
      <c r="J197" t="inlineStr">
        <is>
          <t>PY05</t>
        </is>
      </c>
      <c r="K197" s="33" t="n">
        <v>106.93</v>
      </c>
      <c r="L197" s="34" t="n"/>
    </row>
    <row r="198">
      <c r="A198" t="inlineStr">
        <is>
          <t>ENC111807</t>
        </is>
      </c>
      <c r="B198" t="inlineStr">
        <is>
          <t>PT11957</t>
        </is>
      </c>
      <c r="C198" t="inlineStr">
        <is>
          <t>Outpatient</t>
        </is>
      </c>
      <c r="D198" t="inlineStr">
        <is>
          <t>F04</t>
        </is>
      </c>
      <c r="E198" t="inlineStr">
        <is>
          <t>D400</t>
        </is>
      </c>
      <c r="G198" s="32" t="n">
        <v>45687.63541666666</v>
      </c>
      <c r="H198" s="32" t="n">
        <v>45687.65486111111</v>
      </c>
      <c r="I198" t="inlineStr">
        <is>
          <t>J06.9</t>
        </is>
      </c>
      <c r="J198" t="inlineStr">
        <is>
          <t>PY06</t>
        </is>
      </c>
      <c r="K198" s="33" t="n">
        <v>481.8</v>
      </c>
      <c r="L198" s="34" t="n"/>
    </row>
    <row r="199">
      <c r="A199" t="inlineStr">
        <is>
          <t>ENC111796</t>
        </is>
      </c>
      <c r="B199" t="inlineStr">
        <is>
          <t>PT12549</t>
        </is>
      </c>
      <c r="C199" t="inlineStr">
        <is>
          <t>Inpatient</t>
        </is>
      </c>
      <c r="D199" t="inlineStr">
        <is>
          <t>F01</t>
        </is>
      </c>
      <c r="E199" t="inlineStr">
        <is>
          <t>D110</t>
        </is>
      </c>
      <c r="F199" t="inlineStr">
        <is>
          <t>Emergency Department</t>
        </is>
      </c>
      <c r="G199" s="32" t="n">
        <v>45687.68263888889</v>
      </c>
      <c r="H199" s="32" t="n">
        <v>45692.49930555555</v>
      </c>
      <c r="I199" t="inlineStr">
        <is>
          <t>J44.1</t>
        </is>
      </c>
      <c r="J199" t="inlineStr">
        <is>
          <t>PY01</t>
        </is>
      </c>
      <c r="K199" s="33" t="n">
        <v>25020.05</v>
      </c>
      <c r="L199" s="34" t="n"/>
    </row>
    <row r="200">
      <c r="A200" t="inlineStr">
        <is>
          <t>ENC111813</t>
        </is>
      </c>
      <c r="B200" t="inlineStr">
        <is>
          <t>PT10602</t>
        </is>
      </c>
      <c r="C200" t="inlineStr">
        <is>
          <t>Inpatient</t>
        </is>
      </c>
      <c r="D200" t="inlineStr">
        <is>
          <t>F01</t>
        </is>
      </c>
      <c r="E200" t="inlineStr">
        <is>
          <t>D130</t>
        </is>
      </c>
      <c r="F200" t="inlineStr">
        <is>
          <t>Emergency Department</t>
        </is>
      </c>
      <c r="G200" s="32" t="n">
        <v>45687.98194444444</v>
      </c>
      <c r="H200" s="32" t="n">
        <v>45692.64652777778</v>
      </c>
      <c r="I200" t="inlineStr">
        <is>
          <t>A41.9</t>
        </is>
      </c>
      <c r="J200" t="inlineStr">
        <is>
          <t>PY03</t>
        </is>
      </c>
      <c r="K200" s="33" t="n">
        <v>54964.28</v>
      </c>
      <c r="L200" s="34" t="n"/>
    </row>
    <row r="201">
      <c r="A201" t="inlineStr">
        <is>
          <t>ENC111822</t>
        </is>
      </c>
      <c r="B201" t="inlineStr">
        <is>
          <t>PT10823</t>
        </is>
      </c>
      <c r="C201" t="inlineStr">
        <is>
          <t>Emergency</t>
        </is>
      </c>
      <c r="D201" t="inlineStr">
        <is>
          <t>F01</t>
        </is>
      </c>
      <c r="E201" t="inlineStr">
        <is>
          <t>D100</t>
        </is>
      </c>
      <c r="G201" s="32" t="n">
        <v>45688.36041666667</v>
      </c>
      <c r="H201" s="32" t="n">
        <v>45688.49236111111</v>
      </c>
      <c r="I201" t="inlineStr">
        <is>
          <t>G43.909</t>
        </is>
      </c>
      <c r="J201" t="inlineStr">
        <is>
          <t>PY05</t>
        </is>
      </c>
      <c r="K201" s="33" t="n">
        <v>3012.71</v>
      </c>
      <c r="L201" s="34" t="n"/>
    </row>
    <row r="202">
      <c r="A202" t="inlineStr">
        <is>
          <t>ENC111829</t>
        </is>
      </c>
      <c r="B202" t="inlineStr">
        <is>
          <t>PT10916</t>
        </is>
      </c>
      <c r="C202" t="inlineStr">
        <is>
          <t>Inpatient</t>
        </is>
      </c>
      <c r="D202" t="inlineStr">
        <is>
          <t>F01</t>
        </is>
      </c>
      <c r="E202" t="inlineStr">
        <is>
          <t>D110</t>
        </is>
      </c>
      <c r="F202" t="inlineStr">
        <is>
          <t>Transfer</t>
        </is>
      </c>
      <c r="G202" s="32" t="n">
        <v>45688.38194444445</v>
      </c>
      <c r="H202" s="32" t="n">
        <v>45690.71111111111</v>
      </c>
      <c r="I202" t="inlineStr">
        <is>
          <t>J44.1</t>
        </is>
      </c>
      <c r="J202" t="inlineStr">
        <is>
          <t>PY01</t>
        </is>
      </c>
      <c r="K202" s="33" t="n">
        <v>9021.43</v>
      </c>
      <c r="L202" s="34" t="n"/>
    </row>
    <row r="203">
      <c r="A203" t="inlineStr">
        <is>
          <t>ENC111821</t>
        </is>
      </c>
      <c r="B203" t="inlineStr">
        <is>
          <t>PT12438</t>
        </is>
      </c>
      <c r="C203" t="inlineStr">
        <is>
          <t>Inpatient</t>
        </is>
      </c>
      <c r="D203" t="inlineStr">
        <is>
          <t>F01</t>
        </is>
      </c>
      <c r="E203" t="inlineStr">
        <is>
          <t>D110</t>
        </is>
      </c>
      <c r="F203" t="inlineStr">
        <is>
          <t>Emergency Department</t>
        </is>
      </c>
      <c r="G203" s="32" t="n">
        <v>45688.47222222222</v>
      </c>
      <c r="H203" s="32" t="n">
        <v>45695.60277777778</v>
      </c>
      <c r="I203" t="inlineStr">
        <is>
          <t>N17.9</t>
        </is>
      </c>
      <c r="J203" t="inlineStr">
        <is>
          <t>PY02</t>
        </is>
      </c>
      <c r="K203" s="33" t="n">
        <v>37308.2</v>
      </c>
      <c r="L203" s="34" t="n"/>
    </row>
    <row r="204">
      <c r="A204" t="inlineStr">
        <is>
          <t>ENC111838</t>
        </is>
      </c>
      <c r="B204" t="inlineStr">
        <is>
          <t>PT11580</t>
        </is>
      </c>
      <c r="C204" t="inlineStr">
        <is>
          <t>Outpatient</t>
        </is>
      </c>
      <c r="D204" t="inlineStr">
        <is>
          <t>F04</t>
        </is>
      </c>
      <c r="E204" t="inlineStr">
        <is>
          <t>D400</t>
        </is>
      </c>
      <c r="G204" s="32" t="n">
        <v>45688.54166666666</v>
      </c>
      <c r="H204" s="32" t="n">
        <v>45688.57430555556</v>
      </c>
      <c r="I204" t="inlineStr">
        <is>
          <t>Z23</t>
        </is>
      </c>
      <c r="J204" t="inlineStr">
        <is>
          <t>PY01</t>
        </is>
      </c>
      <c r="K204" s="33" t="n">
        <v>139.2</v>
      </c>
      <c r="L204" s="34" t="n"/>
    </row>
    <row r="205">
      <c r="A205" t="inlineStr">
        <is>
          <t>ENC111846</t>
        </is>
      </c>
      <c r="B205" t="inlineStr">
        <is>
          <t>PT13037</t>
        </is>
      </c>
      <c r="C205" t="inlineStr">
        <is>
          <t>Outpatient</t>
        </is>
      </c>
      <c r="D205" t="inlineStr">
        <is>
          <t>F04</t>
        </is>
      </c>
      <c r="E205" t="inlineStr">
        <is>
          <t>D400</t>
        </is>
      </c>
      <c r="G205" s="32" t="n">
        <v>45688.65625</v>
      </c>
      <c r="H205" s="32" t="n">
        <v>45688.67152777778</v>
      </c>
      <c r="I205" t="inlineStr">
        <is>
          <t>I10</t>
        </is>
      </c>
      <c r="J205" t="inlineStr">
        <is>
          <t>PY02</t>
        </is>
      </c>
      <c r="K205" s="33" t="n">
        <v>146.75</v>
      </c>
      <c r="L205" s="34" t="n"/>
    </row>
    <row r="206">
      <c r="A206" t="inlineStr">
        <is>
          <t>ENC111852</t>
        </is>
      </c>
      <c r="B206" t="inlineStr">
        <is>
          <t>PT11003</t>
        </is>
      </c>
      <c r="C206" t="inlineStr">
        <is>
          <t>Emergency</t>
        </is>
      </c>
      <c r="D206" t="inlineStr">
        <is>
          <t>F01</t>
        </is>
      </c>
      <c r="E206" t="inlineStr">
        <is>
          <t>D100</t>
        </is>
      </c>
      <c r="G206" s="32" t="n">
        <v>45688.80763888889</v>
      </c>
      <c r="H206" s="32" t="n">
        <v>45688.90069444444</v>
      </c>
      <c r="I206" t="inlineStr">
        <is>
          <t>J21.9</t>
        </is>
      </c>
      <c r="J206" t="inlineStr">
        <is>
          <t>PY03</t>
        </is>
      </c>
      <c r="K206" s="33" t="n">
        <v>4563.5</v>
      </c>
      <c r="L206" s="34" t="n"/>
    </row>
    <row r="207">
      <c r="A207" t="inlineStr">
        <is>
          <t>ENC111855</t>
        </is>
      </c>
      <c r="B207" t="inlineStr">
        <is>
          <t>PT10396</t>
        </is>
      </c>
      <c r="C207" t="inlineStr">
        <is>
          <t>Emergency</t>
        </is>
      </c>
      <c r="D207" t="inlineStr">
        <is>
          <t>F01</t>
        </is>
      </c>
      <c r="E207" t="inlineStr">
        <is>
          <t>D100</t>
        </is>
      </c>
      <c r="G207" s="32" t="n">
        <v>45689.09791666667</v>
      </c>
      <c r="H207" s="32" t="n">
        <v>45689.20486111111</v>
      </c>
      <c r="I207" t="inlineStr">
        <is>
          <t>J45.909</t>
        </is>
      </c>
      <c r="J207" t="inlineStr">
        <is>
          <t>PY04</t>
        </is>
      </c>
      <c r="K207" s="33" t="n">
        <v>1150.19</v>
      </c>
      <c r="L207" s="34" t="n"/>
    </row>
    <row r="208">
      <c r="A208" t="inlineStr">
        <is>
          <t>ENC111860</t>
        </is>
      </c>
      <c r="B208" t="inlineStr">
        <is>
          <t>PT10416</t>
        </is>
      </c>
      <c r="C208" t="inlineStr">
        <is>
          <t>Emergency</t>
        </is>
      </c>
      <c r="D208" t="inlineStr">
        <is>
          <t>F01</t>
        </is>
      </c>
      <c r="E208" t="inlineStr">
        <is>
          <t>D100</t>
        </is>
      </c>
      <c r="G208" s="32" t="n">
        <v>45689.53402777778</v>
      </c>
      <c r="H208" s="32" t="n">
        <v>45689.69583333333</v>
      </c>
      <c r="I208" t="inlineStr">
        <is>
          <t>F32.9</t>
        </is>
      </c>
      <c r="J208" t="inlineStr">
        <is>
          <t>PY07</t>
        </is>
      </c>
      <c r="K208" s="33" t="n">
        <v>3485.08</v>
      </c>
      <c r="L208" s="34" t="n"/>
    </row>
    <row r="209">
      <c r="A209" t="inlineStr">
        <is>
          <t>ENC111865</t>
        </is>
      </c>
      <c r="B209" t="inlineStr">
        <is>
          <t>PT10937</t>
        </is>
      </c>
      <c r="C209" t="inlineStr">
        <is>
          <t>Observation</t>
        </is>
      </c>
      <c r="D209" t="inlineStr">
        <is>
          <t>F01</t>
        </is>
      </c>
      <c r="E209" t="inlineStr">
        <is>
          <t>D195</t>
        </is>
      </c>
      <c r="F209" t="inlineStr">
        <is>
          <t>Emergency Department</t>
        </is>
      </c>
      <c r="G209" s="32" t="n">
        <v>45689.91805555556</v>
      </c>
      <c r="H209" s="32" t="n">
        <v>45690.76041666666</v>
      </c>
      <c r="I209" t="inlineStr">
        <is>
          <t>R07.9</t>
        </is>
      </c>
      <c r="J209" t="inlineStr">
        <is>
          <t>PY02</t>
        </is>
      </c>
      <c r="K209" s="33" t="n">
        <v>6171.67</v>
      </c>
      <c r="L209" s="34" t="n"/>
    </row>
    <row r="210">
      <c r="A210" t="inlineStr">
        <is>
          <t>ENC111871</t>
        </is>
      </c>
      <c r="B210" t="inlineStr">
        <is>
          <t>PT11207</t>
        </is>
      </c>
      <c r="C210" t="inlineStr">
        <is>
          <t>Inpatient</t>
        </is>
      </c>
      <c r="D210" t="inlineStr">
        <is>
          <t>F02</t>
        </is>
      </c>
      <c r="E210" t="inlineStr">
        <is>
          <t>D210</t>
        </is>
      </c>
      <c r="F210" t="inlineStr">
        <is>
          <t>Emergency Department</t>
        </is>
      </c>
      <c r="G210" s="32" t="n">
        <v>45690.25902777778</v>
      </c>
      <c r="H210" s="32" t="n">
        <v>45695.54305555556</v>
      </c>
      <c r="I210" t="inlineStr">
        <is>
          <t>I50.9</t>
        </is>
      </c>
      <c r="J210" t="inlineStr">
        <is>
          <t>PY01</t>
        </is>
      </c>
      <c r="K210" s="33" t="n">
        <v>39089.4</v>
      </c>
      <c r="L210" s="34" t="n"/>
    </row>
    <row r="211">
      <c r="A211" t="inlineStr">
        <is>
          <t>ENC111880</t>
        </is>
      </c>
      <c r="B211" t="inlineStr">
        <is>
          <t>PT10252</t>
        </is>
      </c>
      <c r="C211" t="inlineStr">
        <is>
          <t>Inpatient</t>
        </is>
      </c>
      <c r="D211" t="inlineStr">
        <is>
          <t>F03</t>
        </is>
      </c>
      <c r="E211" t="inlineStr">
        <is>
          <t>D330</t>
        </is>
      </c>
      <c r="F211" t="inlineStr">
        <is>
          <t>Direct Admit</t>
        </is>
      </c>
      <c r="G211" s="32" t="n">
        <v>45690.47916666666</v>
      </c>
      <c r="H211" s="32" t="n">
        <v>45703.68402777778</v>
      </c>
      <c r="I211" t="inlineStr">
        <is>
          <t>A41.9</t>
        </is>
      </c>
      <c r="J211" t="inlineStr">
        <is>
          <t>PY05</t>
        </is>
      </c>
      <c r="K211" s="33" t="n">
        <v>100929.04</v>
      </c>
      <c r="L211" s="34" t="n"/>
    </row>
    <row r="212">
      <c r="A212" t="inlineStr">
        <is>
          <t>ENC111882</t>
        </is>
      </c>
      <c r="B212" t="inlineStr">
        <is>
          <t>PT11549</t>
        </is>
      </c>
      <c r="C212" t="inlineStr">
        <is>
          <t>Inpatient</t>
        </is>
      </c>
      <c r="D212" t="inlineStr">
        <is>
          <t>F01</t>
        </is>
      </c>
      <c r="E212" t="inlineStr">
        <is>
          <t>D140</t>
        </is>
      </c>
      <c r="F212" t="inlineStr">
        <is>
          <t>Emergency Department</t>
        </is>
      </c>
      <c r="G212" s="32" t="n">
        <v>45690.64027777778</v>
      </c>
      <c r="H212" s="32" t="n">
        <v>45693.59027777778</v>
      </c>
      <c r="I212" t="inlineStr">
        <is>
          <t>S72.001A</t>
        </is>
      </c>
      <c r="J212" t="inlineStr">
        <is>
          <t>PY02</t>
        </is>
      </c>
      <c r="K212" s="33" t="n">
        <v>34290.07</v>
      </c>
      <c r="L212" s="34" t="n"/>
    </row>
    <row r="213">
      <c r="A213" t="inlineStr">
        <is>
          <t>ENC111889</t>
        </is>
      </c>
      <c r="B213" t="inlineStr">
        <is>
          <t>PT13498</t>
        </is>
      </c>
      <c r="C213" t="inlineStr">
        <is>
          <t>Emergency</t>
        </is>
      </c>
      <c r="D213" t="inlineStr">
        <is>
          <t>F01</t>
        </is>
      </c>
      <c r="E213" t="inlineStr">
        <is>
          <t>D100</t>
        </is>
      </c>
      <c r="G213" s="32" t="n">
        <v>45690.74375</v>
      </c>
      <c r="H213" s="32" t="n">
        <v>45690.82847222222</v>
      </c>
      <c r="I213" t="inlineStr">
        <is>
          <t>J06.9</t>
        </is>
      </c>
      <c r="J213" t="inlineStr">
        <is>
          <t>PY03</t>
        </is>
      </c>
      <c r="K213" s="33" t="n">
        <v>1455.69</v>
      </c>
      <c r="L213" s="34" t="n"/>
    </row>
    <row r="214">
      <c r="A214" t="inlineStr">
        <is>
          <t>ENC111895</t>
        </is>
      </c>
      <c r="B214" t="inlineStr">
        <is>
          <t>PT12081</t>
        </is>
      </c>
      <c r="C214" t="inlineStr">
        <is>
          <t>Emergency</t>
        </is>
      </c>
      <c r="D214" t="inlineStr">
        <is>
          <t>F03</t>
        </is>
      </c>
      <c r="E214" t="inlineStr">
        <is>
          <t>D300</t>
        </is>
      </c>
      <c r="G214" s="32" t="n">
        <v>45690.89513888889</v>
      </c>
      <c r="H214" s="32" t="n">
        <v>45690.98402777778</v>
      </c>
      <c r="I214" t="inlineStr">
        <is>
          <t>J06.9</t>
        </is>
      </c>
      <c r="J214" t="inlineStr">
        <is>
          <t>PY01</t>
        </is>
      </c>
      <c r="K214" s="33" t="n">
        <v>869.54</v>
      </c>
      <c r="L214" s="34" t="n"/>
    </row>
    <row r="215">
      <c r="A215" t="inlineStr">
        <is>
          <t>ENC111899</t>
        </is>
      </c>
      <c r="B215" t="inlineStr">
        <is>
          <t>PT13622</t>
        </is>
      </c>
      <c r="C215" t="inlineStr">
        <is>
          <t>Inpatient</t>
        </is>
      </c>
      <c r="D215" t="inlineStr">
        <is>
          <t>F01</t>
        </is>
      </c>
      <c r="E215" t="inlineStr">
        <is>
          <t>D140</t>
        </is>
      </c>
      <c r="F215" t="inlineStr">
        <is>
          <t>Elective</t>
        </is>
      </c>
      <c r="G215" s="32" t="n">
        <v>45691.26875</v>
      </c>
      <c r="H215" s="32" t="n">
        <v>45693.72222222222</v>
      </c>
      <c r="I215" t="inlineStr">
        <is>
          <t>M16.11</t>
        </is>
      </c>
      <c r="J215" t="inlineStr">
        <is>
          <t>PY01</t>
        </is>
      </c>
      <c r="K215" s="33" t="n">
        <v>59121.24</v>
      </c>
      <c r="L215" s="34" t="n"/>
    </row>
    <row r="216">
      <c r="A216" t="inlineStr">
        <is>
          <t>ENC111903</t>
        </is>
      </c>
      <c r="B216" t="inlineStr">
        <is>
          <t>PT11683</t>
        </is>
      </c>
      <c r="C216" t="inlineStr">
        <is>
          <t>Inpatient</t>
        </is>
      </c>
      <c r="D216" t="inlineStr">
        <is>
          <t>F01</t>
        </is>
      </c>
      <c r="E216" t="inlineStr">
        <is>
          <t>D130</t>
        </is>
      </c>
      <c r="F216" t="inlineStr">
        <is>
          <t>Emergency Department</t>
        </is>
      </c>
      <c r="G216" s="32" t="n">
        <v>45691.41388888889</v>
      </c>
      <c r="H216" s="32" t="n">
        <v>45703.56666666667</v>
      </c>
      <c r="I216" t="inlineStr">
        <is>
          <t>A41.9</t>
        </is>
      </c>
      <c r="J216" t="inlineStr">
        <is>
          <t>PY01</t>
        </is>
      </c>
      <c r="K216" s="33" t="n">
        <v>117739.93</v>
      </c>
      <c r="L216" s="34" t="n"/>
    </row>
    <row r="217">
      <c r="A217" t="inlineStr">
        <is>
          <t>ENC111913</t>
        </is>
      </c>
      <c r="B217" t="inlineStr">
        <is>
          <t>PT12401</t>
        </is>
      </c>
      <c r="C217" t="inlineStr">
        <is>
          <t>Outpatient</t>
        </is>
      </c>
      <c r="D217" t="inlineStr">
        <is>
          <t>F04</t>
        </is>
      </c>
      <c r="E217" t="inlineStr">
        <is>
          <t>D400</t>
        </is>
      </c>
      <c r="G217" s="32" t="n">
        <v>45691.52083333334</v>
      </c>
      <c r="H217" s="32" t="n">
        <v>45691.55555555555</v>
      </c>
      <c r="I217" t="inlineStr">
        <is>
          <t>E78.5</t>
        </is>
      </c>
      <c r="J217" t="inlineStr">
        <is>
          <t>PY02</t>
        </is>
      </c>
      <c r="K217" s="33" t="n">
        <v>381.44</v>
      </c>
      <c r="L217" s="34" t="n"/>
    </row>
    <row r="218">
      <c r="A218" t="inlineStr">
        <is>
          <t>ENC111918</t>
        </is>
      </c>
      <c r="B218" t="inlineStr">
        <is>
          <t>PT10979</t>
        </is>
      </c>
      <c r="C218" t="inlineStr">
        <is>
          <t>Inpatient</t>
        </is>
      </c>
      <c r="D218" t="inlineStr">
        <is>
          <t>F03</t>
        </is>
      </c>
      <c r="E218" t="inlineStr">
        <is>
          <t>D330</t>
        </is>
      </c>
      <c r="F218" t="inlineStr">
        <is>
          <t>Direct Admit</t>
        </is>
      </c>
      <c r="G218" s="32" t="n">
        <v>45691.55277777778</v>
      </c>
      <c r="H218" s="32" t="n">
        <v>45697.66805555556</v>
      </c>
      <c r="I218" t="inlineStr">
        <is>
          <t>K92.2</t>
        </is>
      </c>
      <c r="J218" t="inlineStr">
        <is>
          <t>PY04</t>
        </is>
      </c>
      <c r="K218" s="33" t="n">
        <v>59377.67</v>
      </c>
      <c r="L218" s="34" t="n"/>
    </row>
    <row r="219">
      <c r="A219" t="inlineStr">
        <is>
          <t>ENC111927</t>
        </is>
      </c>
      <c r="B219" t="inlineStr">
        <is>
          <t>PT10092</t>
        </is>
      </c>
      <c r="C219" t="inlineStr">
        <is>
          <t>Emergency</t>
        </is>
      </c>
      <c r="D219" t="inlineStr">
        <is>
          <t>F01</t>
        </is>
      </c>
      <c r="E219" t="inlineStr">
        <is>
          <t>D100</t>
        </is>
      </c>
      <c r="G219" s="32" t="n">
        <v>45691.67222222222</v>
      </c>
      <c r="H219" s="32" t="n">
        <v>45691.8375</v>
      </c>
      <c r="I219" t="inlineStr">
        <is>
          <t>N39.0</t>
        </is>
      </c>
      <c r="J219" t="inlineStr">
        <is>
          <t>PY05</t>
        </is>
      </c>
      <c r="K219" s="33" t="n">
        <v>3022.78</v>
      </c>
      <c r="L219" s="34" t="n"/>
    </row>
    <row r="220">
      <c r="A220" t="inlineStr">
        <is>
          <t>ENC111922</t>
        </is>
      </c>
      <c r="B220" t="inlineStr">
        <is>
          <t>PT13793</t>
        </is>
      </c>
      <c r="C220" t="inlineStr">
        <is>
          <t>Inpatient</t>
        </is>
      </c>
      <c r="D220" t="inlineStr">
        <is>
          <t>F01</t>
        </is>
      </c>
      <c r="E220" t="inlineStr">
        <is>
          <t>D111</t>
        </is>
      </c>
      <c r="F220" t="inlineStr">
        <is>
          <t>Emergency Department</t>
        </is>
      </c>
      <c r="G220" s="32" t="n">
        <v>45691.70416666667</v>
      </c>
      <c r="H220" s="32" t="n">
        <v>45697.525</v>
      </c>
      <c r="I220" t="inlineStr">
        <is>
          <t>J18.9</t>
        </is>
      </c>
      <c r="J220" t="inlineStr">
        <is>
          <t>PY04</t>
        </is>
      </c>
      <c r="K220" s="33" t="n">
        <v>24789.83</v>
      </c>
      <c r="L220" s="34" t="n"/>
    </row>
    <row r="221">
      <c r="A221" t="inlineStr">
        <is>
          <t>ENC111933</t>
        </is>
      </c>
      <c r="B221" t="inlineStr">
        <is>
          <t>PT13615</t>
        </is>
      </c>
      <c r="C221" t="inlineStr">
        <is>
          <t>Emergency</t>
        </is>
      </c>
      <c r="D221" t="inlineStr">
        <is>
          <t>F01</t>
        </is>
      </c>
      <c r="E221" t="inlineStr">
        <is>
          <t>D100</t>
        </is>
      </c>
      <c r="G221" s="32" t="n">
        <v>45691.86527777778</v>
      </c>
      <c r="H221" s="32" t="n">
        <v>45691.97708333333</v>
      </c>
      <c r="I221" t="inlineStr">
        <is>
          <t>M54.50</t>
        </is>
      </c>
      <c r="J221" t="inlineStr">
        <is>
          <t>PY05</t>
        </is>
      </c>
      <c r="K221" s="33" t="n">
        <v>692.97</v>
      </c>
      <c r="L221" s="34" t="n"/>
    </row>
    <row r="222">
      <c r="A222" t="inlineStr">
        <is>
          <t>ENC111939</t>
        </is>
      </c>
      <c r="B222" t="inlineStr">
        <is>
          <t>PT12141</t>
        </is>
      </c>
      <c r="C222" t="inlineStr">
        <is>
          <t>Inpatient</t>
        </is>
      </c>
      <c r="D222" t="inlineStr">
        <is>
          <t>F03</t>
        </is>
      </c>
      <c r="E222" t="inlineStr">
        <is>
          <t>D310</t>
        </is>
      </c>
      <c r="F222" t="inlineStr">
        <is>
          <t>Direct Admit</t>
        </is>
      </c>
      <c r="G222" s="32" t="n">
        <v>45692.05138888889</v>
      </c>
      <c r="H222" s="32" t="n">
        <v>45695.59097222222</v>
      </c>
      <c r="I222" t="inlineStr">
        <is>
          <t>J18.9</t>
        </is>
      </c>
      <c r="J222" t="inlineStr">
        <is>
          <t>PY05</t>
        </is>
      </c>
      <c r="K222" s="33" t="n">
        <v>19094.89</v>
      </c>
      <c r="L222" s="34" t="n"/>
    </row>
    <row r="223">
      <c r="A223" t="inlineStr">
        <is>
          <t>ENC111945</t>
        </is>
      </c>
      <c r="B223" t="inlineStr">
        <is>
          <t>PT10535</t>
        </is>
      </c>
      <c r="C223" t="inlineStr">
        <is>
          <t>Emergency</t>
        </is>
      </c>
      <c r="D223" t="inlineStr">
        <is>
          <t>F01</t>
        </is>
      </c>
      <c r="E223" t="inlineStr">
        <is>
          <t>D100</t>
        </is>
      </c>
      <c r="G223" s="32" t="n">
        <v>45692.34166666667</v>
      </c>
      <c r="H223" s="32" t="n">
        <v>45692.46875</v>
      </c>
      <c r="I223" t="inlineStr">
        <is>
          <t>A08.4</t>
        </is>
      </c>
      <c r="J223" t="inlineStr">
        <is>
          <t>PY02</t>
        </is>
      </c>
      <c r="K223" s="33" t="n">
        <v>866.52</v>
      </c>
      <c r="L223" s="34" t="n"/>
    </row>
    <row r="224">
      <c r="A224" t="inlineStr">
        <is>
          <t>ENC111953</t>
        </is>
      </c>
      <c r="B224" t="inlineStr">
        <is>
          <t>PT12906</t>
        </is>
      </c>
      <c r="C224" t="inlineStr">
        <is>
          <t>Outpatient</t>
        </is>
      </c>
      <c r="D224" t="inlineStr">
        <is>
          <t>F04</t>
        </is>
      </c>
      <c r="E224" t="inlineStr">
        <is>
          <t>D440</t>
        </is>
      </c>
      <c r="G224" s="32" t="n">
        <v>45692.39583333334</v>
      </c>
      <c r="H224" s="32" t="n">
        <v>45692.42430555556</v>
      </c>
      <c r="I224" t="inlineStr">
        <is>
          <t>E11.9</t>
        </is>
      </c>
      <c r="J224" t="inlineStr">
        <is>
          <t>PY02</t>
        </is>
      </c>
      <c r="K224" s="33" t="n">
        <v>396.09</v>
      </c>
      <c r="L224" s="34" t="n"/>
    </row>
    <row r="225">
      <c r="A225" t="inlineStr">
        <is>
          <t>ENC111959</t>
        </is>
      </c>
      <c r="B225" t="inlineStr">
        <is>
          <t>PT10418</t>
        </is>
      </c>
      <c r="C225" t="inlineStr">
        <is>
          <t>Emergency</t>
        </is>
      </c>
      <c r="D225" t="inlineStr">
        <is>
          <t>F01</t>
        </is>
      </c>
      <c r="E225" t="inlineStr">
        <is>
          <t>D100</t>
        </is>
      </c>
      <c r="G225" s="32" t="n">
        <v>45692.43263888889</v>
      </c>
      <c r="H225" s="32" t="n">
        <v>45692.60833333333</v>
      </c>
      <c r="I225" t="inlineStr">
        <is>
          <t>J21.9</t>
        </is>
      </c>
      <c r="J225" t="inlineStr">
        <is>
          <t>PY03</t>
        </is>
      </c>
      <c r="K225" s="33" t="n">
        <v>3158.7</v>
      </c>
      <c r="L225" s="34" t="n"/>
    </row>
    <row r="226">
      <c r="A226" t="inlineStr">
        <is>
          <t>ENC111965</t>
        </is>
      </c>
      <c r="B226" t="inlineStr">
        <is>
          <t>PT11475</t>
        </is>
      </c>
      <c r="C226" t="inlineStr">
        <is>
          <t>Inpatient</t>
        </is>
      </c>
      <c r="D226" t="inlineStr">
        <is>
          <t>F01</t>
        </is>
      </c>
      <c r="E226" t="inlineStr">
        <is>
          <t>D111</t>
        </is>
      </c>
      <c r="F226" t="inlineStr">
        <is>
          <t>Direct Admit</t>
        </is>
      </c>
      <c r="G226" s="32" t="n">
        <v>45692.4875</v>
      </c>
      <c r="H226" s="32" t="n">
        <v>45696.50486111111</v>
      </c>
      <c r="I226" t="inlineStr">
        <is>
          <t>N39.0</t>
        </is>
      </c>
      <c r="J226" t="inlineStr">
        <is>
          <t>PY01</t>
        </is>
      </c>
      <c r="K226" s="33" t="n">
        <v>18785.1</v>
      </c>
      <c r="L226" s="34" t="n"/>
    </row>
    <row r="227">
      <c r="A227" t="inlineStr">
        <is>
          <t>ENC111950</t>
        </is>
      </c>
      <c r="B227" t="inlineStr">
        <is>
          <t>PT13346</t>
        </is>
      </c>
      <c r="C227" t="inlineStr">
        <is>
          <t>Observation</t>
        </is>
      </c>
      <c r="D227" t="inlineStr">
        <is>
          <t>F03</t>
        </is>
      </c>
      <c r="E227" t="inlineStr">
        <is>
          <t>D310</t>
        </is>
      </c>
      <c r="F227" t="inlineStr">
        <is>
          <t>Emergency Department</t>
        </is>
      </c>
      <c r="G227" s="32" t="n">
        <v>45692.54236111111</v>
      </c>
      <c r="H227" s="32" t="n">
        <v>45693.43680555555</v>
      </c>
      <c r="I227" t="inlineStr">
        <is>
          <t>J18.9</t>
        </is>
      </c>
      <c r="J227" t="inlineStr">
        <is>
          <t>PY06</t>
        </is>
      </c>
      <c r="K227" s="33" t="n">
        <v>6938.38</v>
      </c>
      <c r="L227" s="34" t="n"/>
    </row>
    <row r="228">
      <c r="A228" t="inlineStr">
        <is>
          <t>ENC111974</t>
        </is>
      </c>
      <c r="B228" t="inlineStr">
        <is>
          <t>PT12989</t>
        </is>
      </c>
      <c r="C228" t="inlineStr">
        <is>
          <t>Outpatient</t>
        </is>
      </c>
      <c r="D228" t="inlineStr">
        <is>
          <t>F04</t>
        </is>
      </c>
      <c r="E228" t="inlineStr">
        <is>
          <t>D400</t>
        </is>
      </c>
      <c r="G228" s="32" t="n">
        <v>45692.59375</v>
      </c>
      <c r="H228" s="32" t="n">
        <v>45692.62291666667</v>
      </c>
      <c r="I228" t="inlineStr">
        <is>
          <t>J06.9</t>
        </is>
      </c>
      <c r="J228" t="inlineStr">
        <is>
          <t>PY04</t>
        </is>
      </c>
      <c r="K228" s="33" t="n">
        <v>167.22</v>
      </c>
      <c r="L228" s="34" t="n"/>
    </row>
    <row r="229">
      <c r="A229" t="inlineStr">
        <is>
          <t>ENC111958</t>
        </is>
      </c>
      <c r="B229" t="inlineStr">
        <is>
          <t>PT13010</t>
        </is>
      </c>
      <c r="C229" t="inlineStr">
        <is>
          <t>Inpatient</t>
        </is>
      </c>
      <c r="D229" t="inlineStr">
        <is>
          <t>F01</t>
        </is>
      </c>
      <c r="E229" t="inlineStr">
        <is>
          <t>D180</t>
        </is>
      </c>
      <c r="F229" t="inlineStr">
        <is>
          <t>Emergency Department</t>
        </is>
      </c>
      <c r="G229" s="32" t="n">
        <v>45692.64791666667</v>
      </c>
      <c r="H229" s="32" t="n">
        <v>45693.79027777778</v>
      </c>
      <c r="I229" t="inlineStr">
        <is>
          <t>J21.9</t>
        </is>
      </c>
      <c r="J229" t="inlineStr">
        <is>
          <t>PY05</t>
        </is>
      </c>
      <c r="K229" s="33" t="n">
        <v>7217.88</v>
      </c>
      <c r="L229" s="34" t="n"/>
    </row>
    <row r="230">
      <c r="A230" t="inlineStr">
        <is>
          <t>ENC111985</t>
        </is>
      </c>
      <c r="B230" t="inlineStr">
        <is>
          <t>PT10192</t>
        </is>
      </c>
      <c r="C230" t="inlineStr">
        <is>
          <t>Inpatient</t>
        </is>
      </c>
      <c r="D230" t="inlineStr">
        <is>
          <t>F01</t>
        </is>
      </c>
      <c r="E230" t="inlineStr">
        <is>
          <t>D120</t>
        </is>
      </c>
      <c r="F230" t="inlineStr">
        <is>
          <t>Direct Admit</t>
        </is>
      </c>
      <c r="G230" s="32" t="n">
        <v>45692.80208333334</v>
      </c>
      <c r="H230" s="32" t="n">
        <v>45697.5</v>
      </c>
      <c r="I230" t="inlineStr">
        <is>
          <t>I21.4</t>
        </is>
      </c>
      <c r="J230" t="inlineStr">
        <is>
          <t>PY06</t>
        </is>
      </c>
      <c r="K230" s="33" t="n">
        <v>94169.03</v>
      </c>
      <c r="L230" s="34" t="n"/>
    </row>
    <row r="231">
      <c r="A231" t="inlineStr">
        <is>
          <t>ENC111984</t>
        </is>
      </c>
      <c r="B231" t="inlineStr">
        <is>
          <t>PT13628</t>
        </is>
      </c>
      <c r="C231" t="inlineStr">
        <is>
          <t>Inpatient</t>
        </is>
      </c>
      <c r="D231" t="inlineStr">
        <is>
          <t>F03</t>
        </is>
      </c>
      <c r="E231" t="inlineStr">
        <is>
          <t>D310</t>
        </is>
      </c>
      <c r="F231" t="inlineStr">
        <is>
          <t>Emergency Department</t>
        </is>
      </c>
      <c r="G231" s="32" t="n">
        <v>45692.99097222222</v>
      </c>
      <c r="H231" s="32" t="n">
        <v>45697.59375</v>
      </c>
      <c r="I231" t="inlineStr">
        <is>
          <t>N39.0</t>
        </is>
      </c>
      <c r="J231" t="inlineStr">
        <is>
          <t>PY07</t>
        </is>
      </c>
      <c r="K231" s="33" t="n">
        <v>26528.65</v>
      </c>
      <c r="L231" s="34" t="n"/>
    </row>
    <row r="232">
      <c r="A232" t="inlineStr">
        <is>
          <t>ENC111995</t>
        </is>
      </c>
      <c r="B232" t="inlineStr">
        <is>
          <t>PT13471</t>
        </is>
      </c>
      <c r="C232" t="inlineStr">
        <is>
          <t>Emergency</t>
        </is>
      </c>
      <c r="D232" t="inlineStr">
        <is>
          <t>F01</t>
        </is>
      </c>
      <c r="E232" t="inlineStr">
        <is>
          <t>D100</t>
        </is>
      </c>
      <c r="G232" s="32" t="n">
        <v>45693.30763888889</v>
      </c>
      <c r="H232" s="32" t="n">
        <v>45693.38819444444</v>
      </c>
      <c r="I232" t="inlineStr">
        <is>
          <t>H66.90</t>
        </is>
      </c>
      <c r="J232" t="inlineStr">
        <is>
          <t>PY04</t>
        </is>
      </c>
      <c r="K232" s="33" t="n">
        <v>635.15</v>
      </c>
      <c r="L232" s="34" t="n"/>
    </row>
    <row r="233">
      <c r="A233" t="inlineStr">
        <is>
          <t>ENC112001</t>
        </is>
      </c>
      <c r="B233" t="inlineStr">
        <is>
          <t>PT13960</t>
        </is>
      </c>
      <c r="C233" t="inlineStr">
        <is>
          <t>Outpatient</t>
        </is>
      </c>
      <c r="D233" t="inlineStr">
        <is>
          <t>F04</t>
        </is>
      </c>
      <c r="E233" t="inlineStr">
        <is>
          <t>D400</t>
        </is>
      </c>
      <c r="G233" s="32" t="n">
        <v>45693.39583333334</v>
      </c>
      <c r="H233" s="32" t="n">
        <v>45693.41597222222</v>
      </c>
      <c r="I233" t="inlineStr">
        <is>
          <t>I10</t>
        </is>
      </c>
      <c r="J233" t="inlineStr">
        <is>
          <t>PY01</t>
        </is>
      </c>
      <c r="K233" s="33" t="n">
        <v>156.94</v>
      </c>
      <c r="L233" s="34" t="n"/>
    </row>
    <row r="234">
      <c r="A234" t="inlineStr">
        <is>
          <t>ENC112005</t>
        </is>
      </c>
      <c r="B234" t="inlineStr">
        <is>
          <t>PT12584</t>
        </is>
      </c>
      <c r="C234" t="inlineStr">
        <is>
          <t>Emergency</t>
        </is>
      </c>
      <c r="D234" t="inlineStr">
        <is>
          <t>F01</t>
        </is>
      </c>
      <c r="E234" t="inlineStr">
        <is>
          <t>D100</t>
        </is>
      </c>
      <c r="G234" s="32" t="n">
        <v>45693.46736111111</v>
      </c>
      <c r="H234" s="32" t="n">
        <v>45693.59236111111</v>
      </c>
      <c r="I234" t="inlineStr">
        <is>
          <t>M54.50</t>
        </is>
      </c>
      <c r="J234" t="inlineStr">
        <is>
          <t>PY02</t>
        </is>
      </c>
      <c r="K234" s="33" t="n">
        <v>1729.17</v>
      </c>
      <c r="L234" s="34" t="n"/>
    </row>
    <row r="235">
      <c r="A235" t="inlineStr">
        <is>
          <t>ENC112011</t>
        </is>
      </c>
      <c r="B235" t="inlineStr">
        <is>
          <t>PT11872</t>
        </is>
      </c>
      <c r="C235" t="inlineStr">
        <is>
          <t>Outpatient</t>
        </is>
      </c>
      <c r="D235" t="inlineStr">
        <is>
          <t>F04</t>
        </is>
      </c>
      <c r="E235" t="inlineStr">
        <is>
          <t>D450</t>
        </is>
      </c>
      <c r="G235" s="32" t="n">
        <v>45693.5625</v>
      </c>
      <c r="H235" s="32" t="n">
        <v>45693.58958333333</v>
      </c>
      <c r="I235" t="inlineStr">
        <is>
          <t>H66.90</t>
        </is>
      </c>
      <c r="J235" t="inlineStr">
        <is>
          <t>PY03</t>
        </is>
      </c>
      <c r="K235" s="33" t="n">
        <v>463.85</v>
      </c>
      <c r="L235" s="34" t="n"/>
    </row>
    <row r="236">
      <c r="A236" t="inlineStr">
        <is>
          <t>ENC112016</t>
        </is>
      </c>
      <c r="B236" t="inlineStr">
        <is>
          <t>PT11992</t>
        </is>
      </c>
      <c r="C236" t="inlineStr">
        <is>
          <t>Outpatient</t>
        </is>
      </c>
      <c r="D236" t="inlineStr">
        <is>
          <t>F04</t>
        </is>
      </c>
      <c r="E236" t="inlineStr">
        <is>
          <t>D400</t>
        </is>
      </c>
      <c r="G236" s="32" t="n">
        <v>45693.59375</v>
      </c>
      <c r="H236" s="32" t="n">
        <v>45693.62708333333</v>
      </c>
      <c r="I236" t="inlineStr">
        <is>
          <t>Z23</t>
        </is>
      </c>
      <c r="J236" t="inlineStr">
        <is>
          <t>PY07</t>
        </is>
      </c>
      <c r="K236" s="33" t="n">
        <v>98.56999999999999</v>
      </c>
      <c r="L236" s="34" t="n"/>
    </row>
    <row r="237">
      <c r="A237" t="inlineStr">
        <is>
          <t>ENC112023</t>
        </is>
      </c>
      <c r="B237" t="inlineStr">
        <is>
          <t>PT11712</t>
        </is>
      </c>
      <c r="C237" t="inlineStr">
        <is>
          <t>Outpatient</t>
        </is>
      </c>
      <c r="D237" t="inlineStr">
        <is>
          <t>F04</t>
        </is>
      </c>
      <c r="E237" t="inlineStr">
        <is>
          <t>D400</t>
        </is>
      </c>
      <c r="G237" s="32" t="n">
        <v>45693.6875</v>
      </c>
      <c r="H237" s="32" t="n">
        <v>45693.72222222222</v>
      </c>
      <c r="I237" t="inlineStr">
        <is>
          <t>J06.9</t>
        </is>
      </c>
      <c r="J237" t="inlineStr">
        <is>
          <t>PY01</t>
        </is>
      </c>
      <c r="K237" s="33" t="n">
        <v>308.34</v>
      </c>
      <c r="L237" s="34" t="n"/>
    </row>
    <row r="238">
      <c r="A238" t="inlineStr">
        <is>
          <t>ENC112032</t>
        </is>
      </c>
      <c r="B238" t="inlineStr">
        <is>
          <t>PT11841</t>
        </is>
      </c>
      <c r="C238" t="inlineStr">
        <is>
          <t>Emergency</t>
        </is>
      </c>
      <c r="D238" t="inlineStr">
        <is>
          <t>F01</t>
        </is>
      </c>
      <c r="E238" t="inlineStr">
        <is>
          <t>D100</t>
        </is>
      </c>
      <c r="G238" s="32" t="n">
        <v>45693.96180555555</v>
      </c>
      <c r="H238" s="32" t="n">
        <v>45694.01944444444</v>
      </c>
      <c r="I238" t="inlineStr">
        <is>
          <t>E86.0</t>
        </is>
      </c>
      <c r="J238" t="inlineStr">
        <is>
          <t>PY06</t>
        </is>
      </c>
      <c r="K238" s="33" t="n">
        <v>1602.35</v>
      </c>
      <c r="L238" s="34" t="n"/>
    </row>
    <row r="239">
      <c r="A239" t="inlineStr">
        <is>
          <t>ENC112033</t>
        </is>
      </c>
      <c r="B239" t="inlineStr">
        <is>
          <t>PT10592</t>
        </is>
      </c>
      <c r="C239" t="inlineStr">
        <is>
          <t>Inpatient</t>
        </is>
      </c>
      <c r="D239" t="inlineStr">
        <is>
          <t>F02</t>
        </is>
      </c>
      <c r="E239" t="inlineStr">
        <is>
          <t>D210</t>
        </is>
      </c>
      <c r="F239" t="inlineStr">
        <is>
          <t>Emergency Department</t>
        </is>
      </c>
      <c r="G239" s="32" t="n">
        <v>45694.09027777778</v>
      </c>
      <c r="H239" s="32" t="n">
        <v>45699.59791666667</v>
      </c>
      <c r="I239" t="inlineStr">
        <is>
          <t>J44.1</t>
        </is>
      </c>
      <c r="J239" t="inlineStr">
        <is>
          <t>PY02</t>
        </is>
      </c>
      <c r="K239" s="33" t="n">
        <v>30941.69</v>
      </c>
      <c r="L239" s="34" t="n"/>
    </row>
    <row r="240">
      <c r="A240" t="inlineStr">
        <is>
          <t>ENC112042</t>
        </is>
      </c>
      <c r="B240" t="inlineStr">
        <is>
          <t>PT11733</t>
        </is>
      </c>
      <c r="C240" t="inlineStr">
        <is>
          <t>Emergency</t>
        </is>
      </c>
      <c r="D240" t="inlineStr">
        <is>
          <t>F01</t>
        </is>
      </c>
      <c r="E240" t="inlineStr">
        <is>
          <t>D100</t>
        </is>
      </c>
      <c r="G240" s="32" t="n">
        <v>45694.35486111111</v>
      </c>
      <c r="H240" s="32" t="n">
        <v>45694.47361111111</v>
      </c>
      <c r="I240" t="inlineStr">
        <is>
          <t>J06.9</t>
        </is>
      </c>
      <c r="J240" t="inlineStr">
        <is>
          <t>PY02</t>
        </is>
      </c>
      <c r="K240" s="33" t="n">
        <v>1825.12</v>
      </c>
      <c r="L240" s="34" t="n"/>
    </row>
    <row r="241">
      <c r="A241" t="inlineStr">
        <is>
          <t>ENC112048</t>
        </is>
      </c>
      <c r="B241" t="inlineStr">
        <is>
          <t>PT11625</t>
        </is>
      </c>
      <c r="C241" t="inlineStr">
        <is>
          <t>Emergency</t>
        </is>
      </c>
      <c r="D241" t="inlineStr">
        <is>
          <t>F03</t>
        </is>
      </c>
      <c r="E241" t="inlineStr">
        <is>
          <t>D300</t>
        </is>
      </c>
      <c r="G241" s="32" t="n">
        <v>45694.41666666666</v>
      </c>
      <c r="H241" s="32" t="n">
        <v>45694.60763888889</v>
      </c>
      <c r="I241" t="inlineStr">
        <is>
          <t>F10.239</t>
        </is>
      </c>
      <c r="J241" t="inlineStr">
        <is>
          <t>PY03</t>
        </is>
      </c>
      <c r="K241" s="33" t="n">
        <v>4061.42</v>
      </c>
      <c r="L241" s="34" t="n"/>
    </row>
    <row r="242">
      <c r="A242" t="inlineStr">
        <is>
          <t>ENC112054</t>
        </is>
      </c>
      <c r="B242" t="inlineStr">
        <is>
          <t>PT10843</t>
        </is>
      </c>
      <c r="C242" t="inlineStr">
        <is>
          <t>Emergency</t>
        </is>
      </c>
      <c r="D242" t="inlineStr">
        <is>
          <t>F01</t>
        </is>
      </c>
      <c r="E242" t="inlineStr">
        <is>
          <t>D100</t>
        </is>
      </c>
      <c r="G242" s="32" t="n">
        <v>45694.47569444445</v>
      </c>
      <c r="H242" s="32" t="n">
        <v>45694.59930555556</v>
      </c>
      <c r="I242" t="inlineStr">
        <is>
          <t>J06.9</t>
        </is>
      </c>
      <c r="J242" t="inlineStr">
        <is>
          <t>PY07</t>
        </is>
      </c>
      <c r="K242" s="33" t="n">
        <v>1377.56</v>
      </c>
      <c r="L242" s="34" t="n"/>
    </row>
    <row r="243">
      <c r="A243" t="inlineStr">
        <is>
          <t>ENC112057</t>
        </is>
      </c>
      <c r="B243" t="inlineStr">
        <is>
          <t>PT10480</t>
        </is>
      </c>
      <c r="C243" t="inlineStr">
        <is>
          <t>Emergency</t>
        </is>
      </c>
      <c r="D243" t="inlineStr">
        <is>
          <t>F01</t>
        </is>
      </c>
      <c r="E243" t="inlineStr">
        <is>
          <t>D100</t>
        </is>
      </c>
      <c r="G243" s="32" t="n">
        <v>45694.50833333333</v>
      </c>
      <c r="H243" s="32" t="n">
        <v>45694.62638888889</v>
      </c>
      <c r="I243" t="inlineStr">
        <is>
          <t>U07.1</t>
        </is>
      </c>
      <c r="J243" t="inlineStr">
        <is>
          <t>PY03</t>
        </is>
      </c>
      <c r="K243" s="33" t="n">
        <v>4476.8</v>
      </c>
      <c r="L243" s="34" t="n"/>
    </row>
    <row r="244">
      <c r="A244" t="inlineStr">
        <is>
          <t>ENC112046</t>
        </is>
      </c>
      <c r="B244" t="inlineStr">
        <is>
          <t>PT10894</t>
        </is>
      </c>
      <c r="C244" t="inlineStr">
        <is>
          <t>Inpatient</t>
        </is>
      </c>
      <c r="D244" t="inlineStr">
        <is>
          <t>F01</t>
        </is>
      </c>
      <c r="E244" t="inlineStr">
        <is>
          <t>D110</t>
        </is>
      </c>
      <c r="F244" t="inlineStr">
        <is>
          <t>Emergency Department</t>
        </is>
      </c>
      <c r="G244" s="32" t="n">
        <v>45694.55763888889</v>
      </c>
      <c r="H244" s="32" t="n">
        <v>45698.56944444445</v>
      </c>
      <c r="I244" t="inlineStr">
        <is>
          <t>J18.9</t>
        </is>
      </c>
      <c r="J244" t="inlineStr">
        <is>
          <t>PY03</t>
        </is>
      </c>
      <c r="K244" s="33" t="n">
        <v>15560.87</v>
      </c>
      <c r="L244" s="34" t="n"/>
    </row>
    <row r="245">
      <c r="A245" t="inlineStr">
        <is>
          <t>ENC112072</t>
        </is>
      </c>
      <c r="B245" t="inlineStr">
        <is>
          <t>PT11430</t>
        </is>
      </c>
      <c r="C245" t="inlineStr">
        <is>
          <t>Emergency</t>
        </is>
      </c>
      <c r="D245" t="inlineStr">
        <is>
          <t>F01</t>
        </is>
      </c>
      <c r="E245" t="inlineStr">
        <is>
          <t>D100</t>
        </is>
      </c>
      <c r="G245" s="32" t="n">
        <v>45694.67986111111</v>
      </c>
      <c r="H245" s="32" t="n">
        <v>45694.79652777778</v>
      </c>
      <c r="I245" t="inlineStr">
        <is>
          <t>J44.1</t>
        </is>
      </c>
      <c r="J245" t="inlineStr">
        <is>
          <t>PY04</t>
        </is>
      </c>
      <c r="K245" s="33" t="n">
        <v>4646.36</v>
      </c>
      <c r="L245" s="34" t="n"/>
    </row>
    <row r="246">
      <c r="A246" t="inlineStr">
        <is>
          <t>ENC112064</t>
        </is>
      </c>
      <c r="B246" t="inlineStr">
        <is>
          <t>PT11322</t>
        </is>
      </c>
      <c r="C246" t="inlineStr">
        <is>
          <t>Observation</t>
        </is>
      </c>
      <c r="D246" t="inlineStr">
        <is>
          <t>F01</t>
        </is>
      </c>
      <c r="E246" t="inlineStr">
        <is>
          <t>D195</t>
        </is>
      </c>
      <c r="F246" t="inlineStr">
        <is>
          <t>Emergency Department</t>
        </is>
      </c>
      <c r="G246" s="32" t="n">
        <v>45694.72986111111</v>
      </c>
      <c r="H246" s="32" t="n">
        <v>45695.60833333333</v>
      </c>
      <c r="I246" t="inlineStr">
        <is>
          <t>I21.4</t>
        </is>
      </c>
      <c r="J246" t="inlineStr">
        <is>
          <t>PY04</t>
        </is>
      </c>
      <c r="K246" s="33" t="n">
        <v>8752.959999999999</v>
      </c>
      <c r="L246" s="34" t="n"/>
    </row>
    <row r="247">
      <c r="A247" t="inlineStr">
        <is>
          <t>ENC112068</t>
        </is>
      </c>
      <c r="B247" t="inlineStr">
        <is>
          <t>PT10652</t>
        </is>
      </c>
      <c r="C247" t="inlineStr">
        <is>
          <t>Inpatient</t>
        </is>
      </c>
      <c r="D247" t="inlineStr">
        <is>
          <t>F01</t>
        </is>
      </c>
      <c r="E247" t="inlineStr">
        <is>
          <t>D180</t>
        </is>
      </c>
      <c r="F247" t="inlineStr">
        <is>
          <t>Emergency Department</t>
        </is>
      </c>
      <c r="G247" s="32" t="n">
        <v>45694.86736111111</v>
      </c>
      <c r="H247" s="32" t="n">
        <v>45701.59236111111</v>
      </c>
      <c r="I247" t="inlineStr">
        <is>
          <t>J21.9</t>
        </is>
      </c>
      <c r="J247" t="inlineStr">
        <is>
          <t>PY05</t>
        </is>
      </c>
      <c r="K247" s="33" t="n">
        <v>36436.31</v>
      </c>
      <c r="L247" s="34" t="n"/>
    </row>
    <row r="248">
      <c r="A248" t="inlineStr">
        <is>
          <t>ENC112084</t>
        </is>
      </c>
      <c r="B248" t="inlineStr">
        <is>
          <t>PT12031</t>
        </is>
      </c>
      <c r="C248" t="inlineStr">
        <is>
          <t>Emergency</t>
        </is>
      </c>
      <c r="D248" t="inlineStr">
        <is>
          <t>F01</t>
        </is>
      </c>
      <c r="E248" t="inlineStr">
        <is>
          <t>D100</t>
        </is>
      </c>
      <c r="G248" s="32" t="n">
        <v>45695.12638888889</v>
      </c>
      <c r="H248" s="32" t="n">
        <v>45695.24652777778</v>
      </c>
      <c r="I248" t="inlineStr">
        <is>
          <t>R55</t>
        </is>
      </c>
      <c r="J248" t="inlineStr">
        <is>
          <t>PY03</t>
        </is>
      </c>
      <c r="K248" s="33" t="n">
        <v>4935.35</v>
      </c>
      <c r="L248" s="34" t="n"/>
    </row>
    <row r="249">
      <c r="A249" t="inlineStr">
        <is>
          <t>ENC112089</t>
        </is>
      </c>
      <c r="B249" t="inlineStr">
        <is>
          <t>PT13734</t>
        </is>
      </c>
      <c r="C249" t="inlineStr">
        <is>
          <t>Emergency</t>
        </is>
      </c>
      <c r="D249" t="inlineStr">
        <is>
          <t>F01</t>
        </is>
      </c>
      <c r="E249" t="inlineStr">
        <is>
          <t>D100</t>
        </is>
      </c>
      <c r="G249" s="32" t="n">
        <v>45695.39027777778</v>
      </c>
      <c r="H249" s="32" t="n">
        <v>45695.56736111111</v>
      </c>
      <c r="I249" t="inlineStr">
        <is>
          <t>E11.65</t>
        </is>
      </c>
      <c r="J249" t="inlineStr">
        <is>
          <t>PY01</t>
        </is>
      </c>
      <c r="K249" s="33" t="n">
        <v>2811.02</v>
      </c>
      <c r="L249" s="34" t="n"/>
    </row>
    <row r="250">
      <c r="A250" t="inlineStr">
        <is>
          <t>ENC112094</t>
        </is>
      </c>
      <c r="B250" t="inlineStr">
        <is>
          <t>PT11608</t>
        </is>
      </c>
      <c r="C250" t="inlineStr">
        <is>
          <t>Outpatient</t>
        </is>
      </c>
      <c r="D250" t="inlineStr">
        <is>
          <t>F04</t>
        </is>
      </c>
      <c r="E250" t="inlineStr">
        <is>
          <t>D400</t>
        </is>
      </c>
      <c r="G250" s="32" t="n">
        <v>45695.46875</v>
      </c>
      <c r="H250" s="32" t="n">
        <v>45695.50555555556</v>
      </c>
      <c r="I250" t="inlineStr">
        <is>
          <t>Z00.00</t>
        </is>
      </c>
      <c r="J250" t="inlineStr">
        <is>
          <t>PY04</t>
        </is>
      </c>
      <c r="K250" s="33" t="n">
        <v>302.22</v>
      </c>
      <c r="L250" s="34" t="n"/>
    </row>
    <row r="251">
      <c r="A251" t="inlineStr">
        <is>
          <t>ENC112101</t>
        </is>
      </c>
      <c r="B251" t="inlineStr">
        <is>
          <t>PT11111</t>
        </is>
      </c>
      <c r="C251" t="inlineStr">
        <is>
          <t>Outpatient</t>
        </is>
      </c>
      <c r="D251" t="inlineStr">
        <is>
          <t>F04</t>
        </is>
      </c>
      <c r="E251" t="inlineStr">
        <is>
          <t>D410</t>
        </is>
      </c>
      <c r="G251" s="32" t="n">
        <v>45695.55208333334</v>
      </c>
      <c r="H251" s="32" t="n">
        <v>45695.57430555556</v>
      </c>
      <c r="I251" t="inlineStr">
        <is>
          <t>I48.91</t>
        </is>
      </c>
      <c r="J251" t="inlineStr">
        <is>
          <t>PY01</t>
        </is>
      </c>
      <c r="K251" s="33" t="n">
        <v>309.89</v>
      </c>
      <c r="L251" s="34" t="n"/>
    </row>
    <row r="252">
      <c r="A252" t="inlineStr">
        <is>
          <t>ENC112108</t>
        </is>
      </c>
      <c r="B252" t="inlineStr">
        <is>
          <t>PT10569</t>
        </is>
      </c>
      <c r="C252" t="inlineStr">
        <is>
          <t>Outpatient</t>
        </is>
      </c>
      <c r="D252" t="inlineStr">
        <is>
          <t>F04</t>
        </is>
      </c>
      <c r="E252" t="inlineStr">
        <is>
          <t>D410</t>
        </is>
      </c>
      <c r="G252" s="32" t="n">
        <v>45695.64583333334</v>
      </c>
      <c r="H252" s="32" t="n">
        <v>45695.67638888889</v>
      </c>
      <c r="I252" t="inlineStr">
        <is>
          <t>I50.9</t>
        </is>
      </c>
      <c r="J252" t="inlineStr">
        <is>
          <t>PY01</t>
        </is>
      </c>
      <c r="K252" s="33" t="n">
        <v>130.88</v>
      </c>
      <c r="L252" s="34" t="n"/>
    </row>
    <row r="253">
      <c r="A253" t="inlineStr">
        <is>
          <t>ENC112105</t>
        </is>
      </c>
      <c r="B253" t="inlineStr">
        <is>
          <t>PT10029</t>
        </is>
      </c>
      <c r="C253" t="inlineStr">
        <is>
          <t>Inpatient</t>
        </is>
      </c>
      <c r="D253" t="inlineStr">
        <is>
          <t>F01</t>
        </is>
      </c>
      <c r="E253" t="inlineStr">
        <is>
          <t>D111</t>
        </is>
      </c>
      <c r="F253" t="inlineStr">
        <is>
          <t>Emergency Department</t>
        </is>
      </c>
      <c r="G253" s="32" t="n">
        <v>45695.75763888889</v>
      </c>
      <c r="H253" s="32" t="n">
        <v>45699.61041666667</v>
      </c>
      <c r="I253" t="inlineStr">
        <is>
          <t>E86.0</t>
        </is>
      </c>
      <c r="J253" t="inlineStr">
        <is>
          <t>PY02</t>
        </is>
      </c>
      <c r="K253" s="33" t="n">
        <v>13473.29</v>
      </c>
      <c r="L253" s="34" t="n"/>
    </row>
    <row r="254">
      <c r="A254" t="inlineStr">
        <is>
          <t>ENC112114</t>
        </is>
      </c>
      <c r="B254" t="inlineStr">
        <is>
          <t>PT12494</t>
        </is>
      </c>
      <c r="C254" t="inlineStr">
        <is>
          <t>Inpatient</t>
        </is>
      </c>
      <c r="D254" t="inlineStr">
        <is>
          <t>F03</t>
        </is>
      </c>
      <c r="E254" t="inlineStr">
        <is>
          <t>D310</t>
        </is>
      </c>
      <c r="F254" t="inlineStr">
        <is>
          <t>Emergency Department</t>
        </is>
      </c>
      <c r="G254" s="32" t="n">
        <v>45695.94652777778</v>
      </c>
      <c r="H254" s="32" t="n">
        <v>45700.46944444445</v>
      </c>
      <c r="I254" t="inlineStr">
        <is>
          <t>J44.1</t>
        </is>
      </c>
      <c r="J254" t="inlineStr">
        <is>
          <t>PY03</t>
        </is>
      </c>
      <c r="K254" s="33" t="n">
        <v>21205.76</v>
      </c>
      <c r="L254" s="34" t="n"/>
    </row>
    <row r="255">
      <c r="A255" t="inlineStr">
        <is>
          <t>ENC112122</t>
        </is>
      </c>
      <c r="B255" t="inlineStr">
        <is>
          <t>PT13168</t>
        </is>
      </c>
      <c r="C255" t="inlineStr">
        <is>
          <t>Emergency</t>
        </is>
      </c>
      <c r="D255" t="inlineStr">
        <is>
          <t>F03</t>
        </is>
      </c>
      <c r="E255" t="inlineStr">
        <is>
          <t>D300</t>
        </is>
      </c>
      <c r="G255" s="32" t="n">
        <v>45696.16458333333</v>
      </c>
      <c r="H255" s="32" t="n">
        <v>45696.25972222222</v>
      </c>
      <c r="I255" t="inlineStr">
        <is>
          <t>J06.9</t>
        </is>
      </c>
      <c r="J255" t="inlineStr">
        <is>
          <t>PY04</t>
        </is>
      </c>
      <c r="K255" s="33" t="n">
        <v>1202</v>
      </c>
      <c r="L255" s="34" t="n"/>
    </row>
    <row r="256">
      <c r="A256" t="inlineStr">
        <is>
          <t>ENC112128</t>
        </is>
      </c>
      <c r="B256" t="inlineStr">
        <is>
          <t>PT10193</t>
        </is>
      </c>
      <c r="C256" t="inlineStr">
        <is>
          <t>Emergency</t>
        </is>
      </c>
      <c r="D256" t="inlineStr">
        <is>
          <t>F02</t>
        </is>
      </c>
      <c r="E256" t="inlineStr">
        <is>
          <t>D200</t>
        </is>
      </c>
      <c r="G256" s="32" t="n">
        <v>45696.67986111111</v>
      </c>
      <c r="H256" s="32" t="n">
        <v>45696.76666666667</v>
      </c>
      <c r="I256" t="inlineStr">
        <is>
          <t>G43.909</t>
        </is>
      </c>
      <c r="J256" t="inlineStr">
        <is>
          <t>PY07</t>
        </is>
      </c>
      <c r="K256" s="33" t="n">
        <v>1483.49</v>
      </c>
      <c r="L256" s="34" t="n"/>
    </row>
    <row r="257">
      <c r="A257" t="inlineStr">
        <is>
          <t>ENC112134</t>
        </is>
      </c>
      <c r="B257" t="inlineStr">
        <is>
          <t>PT10981</t>
        </is>
      </c>
      <c r="C257" t="inlineStr">
        <is>
          <t>Emergency</t>
        </is>
      </c>
      <c r="D257" t="inlineStr">
        <is>
          <t>F03</t>
        </is>
      </c>
      <c r="E257" t="inlineStr">
        <is>
          <t>D300</t>
        </is>
      </c>
      <c r="G257" s="32" t="n">
        <v>45696.925</v>
      </c>
      <c r="H257" s="32" t="n">
        <v>45697.08680555555</v>
      </c>
      <c r="I257" t="inlineStr">
        <is>
          <t>U07.1</t>
        </is>
      </c>
      <c r="J257" t="inlineStr">
        <is>
          <t>PY01</t>
        </is>
      </c>
      <c r="K257" s="33" t="n">
        <v>2421.07</v>
      </c>
      <c r="L257" s="34" t="n"/>
    </row>
    <row r="258">
      <c r="A258" t="inlineStr">
        <is>
          <t>ENC112138</t>
        </is>
      </c>
      <c r="B258" t="inlineStr">
        <is>
          <t>PT11854</t>
        </is>
      </c>
      <c r="C258" t="inlineStr">
        <is>
          <t>Inpatient</t>
        </is>
      </c>
      <c r="D258" t="inlineStr">
        <is>
          <t>F01</t>
        </is>
      </c>
      <c r="E258" t="inlineStr">
        <is>
          <t>D110</t>
        </is>
      </c>
      <c r="F258" t="inlineStr">
        <is>
          <t>Emergency Department</t>
        </is>
      </c>
      <c r="G258" s="32" t="n">
        <v>45697.12847222222</v>
      </c>
      <c r="H258" s="32" t="n">
        <v>45709.62291666667</v>
      </c>
      <c r="I258" t="inlineStr">
        <is>
          <t>A41.9</t>
        </is>
      </c>
      <c r="J258" t="inlineStr">
        <is>
          <t>PY01</t>
        </is>
      </c>
      <c r="K258" s="33" t="n">
        <v>91991.06</v>
      </c>
      <c r="L258" s="34" t="n"/>
    </row>
    <row r="259">
      <c r="A259" t="inlineStr">
        <is>
          <t>ENC112146</t>
        </is>
      </c>
      <c r="B259" t="inlineStr">
        <is>
          <t>PT11527</t>
        </is>
      </c>
      <c r="C259" t="inlineStr">
        <is>
          <t>Emergency</t>
        </is>
      </c>
      <c r="D259" t="inlineStr">
        <is>
          <t>F01</t>
        </is>
      </c>
      <c r="E259" t="inlineStr">
        <is>
          <t>D100</t>
        </is>
      </c>
      <c r="G259" s="32" t="n">
        <v>45697.56666666667</v>
      </c>
      <c r="H259" s="32" t="n">
        <v>45697.68611111111</v>
      </c>
      <c r="I259" t="inlineStr">
        <is>
          <t>S93.401A</t>
        </is>
      </c>
      <c r="J259" t="inlineStr">
        <is>
          <t>PY01</t>
        </is>
      </c>
      <c r="K259" s="33" t="n">
        <v>869.37</v>
      </c>
      <c r="L259" s="34" t="n"/>
    </row>
    <row r="260">
      <c r="A260" t="inlineStr">
        <is>
          <t>ENC112151</t>
        </is>
      </c>
      <c r="B260" t="inlineStr">
        <is>
          <t>PT12242</t>
        </is>
      </c>
      <c r="C260" t="inlineStr">
        <is>
          <t>Emergency</t>
        </is>
      </c>
      <c r="D260" t="inlineStr">
        <is>
          <t>F03</t>
        </is>
      </c>
      <c r="E260" t="inlineStr">
        <is>
          <t>D300</t>
        </is>
      </c>
      <c r="G260" s="32" t="n">
        <v>45697.64236111111</v>
      </c>
      <c r="H260" s="32" t="n">
        <v>45697.775</v>
      </c>
      <c r="I260" t="inlineStr">
        <is>
          <t>R07.9</t>
        </is>
      </c>
      <c r="J260" t="inlineStr">
        <is>
          <t>PY02</t>
        </is>
      </c>
      <c r="K260" s="33" t="n">
        <v>3950.6</v>
      </c>
      <c r="L260" s="34" t="n"/>
    </row>
    <row r="261">
      <c r="A261" t="inlineStr">
        <is>
          <t>ENC112157</t>
        </is>
      </c>
      <c r="B261" t="inlineStr">
        <is>
          <t>PT11463</t>
        </is>
      </c>
      <c r="C261" t="inlineStr">
        <is>
          <t>Emergency</t>
        </is>
      </c>
      <c r="D261" t="inlineStr">
        <is>
          <t>F01</t>
        </is>
      </c>
      <c r="E261" t="inlineStr">
        <is>
          <t>D100</t>
        </is>
      </c>
      <c r="G261" s="32" t="n">
        <v>45697.74513888889</v>
      </c>
      <c r="H261" s="32" t="n">
        <v>45697.96180555555</v>
      </c>
      <c r="I261" t="inlineStr">
        <is>
          <t>U07.1</t>
        </is>
      </c>
      <c r="J261" t="inlineStr">
        <is>
          <t>PY03</t>
        </is>
      </c>
      <c r="K261" s="33" t="n">
        <v>3163.92</v>
      </c>
      <c r="L261" s="34" t="n"/>
    </row>
    <row r="262">
      <c r="A262" t="inlineStr">
        <is>
          <t>ENC112161</t>
        </is>
      </c>
      <c r="B262" t="inlineStr">
        <is>
          <t>PT10030</t>
        </is>
      </c>
      <c r="C262" t="inlineStr">
        <is>
          <t>Observation</t>
        </is>
      </c>
      <c r="D262" t="inlineStr">
        <is>
          <t>F02</t>
        </is>
      </c>
      <c r="E262" t="inlineStr">
        <is>
          <t>D210</t>
        </is>
      </c>
      <c r="F262" t="inlineStr">
        <is>
          <t>Emergency Department</t>
        </is>
      </c>
      <c r="G262" s="32" t="n">
        <v>45697.98472222222</v>
      </c>
      <c r="H262" s="32" t="n">
        <v>45698.53194444445</v>
      </c>
      <c r="I262" t="inlineStr">
        <is>
          <t>E87.1</t>
        </is>
      </c>
      <c r="J262" t="inlineStr">
        <is>
          <t>PY01</t>
        </is>
      </c>
      <c r="K262" s="33" t="n">
        <v>5962.12</v>
      </c>
      <c r="L262" s="34" t="n"/>
    </row>
    <row r="263">
      <c r="A263" t="inlineStr">
        <is>
          <t>ENC112167</t>
        </is>
      </c>
      <c r="B263" t="inlineStr">
        <is>
          <t>PT11785</t>
        </is>
      </c>
      <c r="C263" t="inlineStr">
        <is>
          <t>Emergency</t>
        </is>
      </c>
      <c r="D263" t="inlineStr">
        <is>
          <t>F02</t>
        </is>
      </c>
      <c r="E263" t="inlineStr">
        <is>
          <t>D200</t>
        </is>
      </c>
      <c r="G263" s="32" t="n">
        <v>45698.32083333333</v>
      </c>
      <c r="H263" s="32" t="n">
        <v>45698.38055555556</v>
      </c>
      <c r="I263" t="inlineStr">
        <is>
          <t>J06.9</t>
        </is>
      </c>
      <c r="J263" t="inlineStr">
        <is>
          <t>PY01</t>
        </is>
      </c>
      <c r="K263" s="33" t="n">
        <v>898.6799999999999</v>
      </c>
      <c r="L263" s="34" t="n"/>
    </row>
    <row r="264">
      <c r="A264" t="inlineStr">
        <is>
          <t>ENC112172</t>
        </is>
      </c>
      <c r="B264" t="inlineStr">
        <is>
          <t>PT13993</t>
        </is>
      </c>
      <c r="C264" t="inlineStr">
        <is>
          <t>Inpatient</t>
        </is>
      </c>
      <c r="D264" t="inlineStr">
        <is>
          <t>F01</t>
        </is>
      </c>
      <c r="E264" t="inlineStr">
        <is>
          <t>D130</t>
        </is>
      </c>
      <c r="F264" t="inlineStr">
        <is>
          <t>Direct Admit</t>
        </is>
      </c>
      <c r="G264" s="32" t="n">
        <v>45698.39861111111</v>
      </c>
      <c r="H264" s="32" t="n">
        <v>45704.56736111111</v>
      </c>
      <c r="I264" t="inlineStr">
        <is>
          <t>A41.9</t>
        </is>
      </c>
      <c r="J264" t="inlineStr">
        <is>
          <t>PY05</t>
        </is>
      </c>
      <c r="K264" s="33" t="n">
        <v>68086.74000000001</v>
      </c>
      <c r="L264" s="34" t="n"/>
    </row>
    <row r="265">
      <c r="A265" t="inlineStr">
        <is>
          <t>ENC112180</t>
        </is>
      </c>
      <c r="B265" t="inlineStr">
        <is>
          <t>PT11153</t>
        </is>
      </c>
      <c r="C265" t="inlineStr">
        <is>
          <t>Outpatient</t>
        </is>
      </c>
      <c r="D265" t="inlineStr">
        <is>
          <t>F04</t>
        </is>
      </c>
      <c r="E265" t="inlineStr">
        <is>
          <t>D450</t>
        </is>
      </c>
      <c r="G265" s="32" t="n">
        <v>45698.52083333334</v>
      </c>
      <c r="H265" s="32" t="n">
        <v>45698.55694444444</v>
      </c>
      <c r="I265" t="inlineStr">
        <is>
          <t>H66.90</t>
        </is>
      </c>
      <c r="J265" t="inlineStr">
        <is>
          <t>PY05</t>
        </is>
      </c>
      <c r="K265" s="33" t="n">
        <v>417.05</v>
      </c>
      <c r="L265" s="34" t="n"/>
    </row>
    <row r="266">
      <c r="A266" t="inlineStr">
        <is>
          <t>ENC112185</t>
        </is>
      </c>
      <c r="B266" t="inlineStr">
        <is>
          <t>PT10500</t>
        </is>
      </c>
      <c r="C266" t="inlineStr">
        <is>
          <t>Outpatient</t>
        </is>
      </c>
      <c r="D266" t="inlineStr">
        <is>
          <t>F04</t>
        </is>
      </c>
      <c r="E266" t="inlineStr">
        <is>
          <t>D400</t>
        </is>
      </c>
      <c r="G266" s="32" t="n">
        <v>45698.59375</v>
      </c>
      <c r="H266" s="32" t="n">
        <v>45698.60625</v>
      </c>
      <c r="I266" t="inlineStr">
        <is>
          <t>Z23</t>
        </is>
      </c>
      <c r="J266" t="inlineStr">
        <is>
          <t>PY05</t>
        </is>
      </c>
      <c r="K266" s="33" t="n">
        <v>98.84</v>
      </c>
      <c r="L266" s="34" t="n"/>
    </row>
    <row r="267">
      <c r="A267" t="inlineStr">
        <is>
          <t>ENC112191</t>
        </is>
      </c>
      <c r="B267" t="inlineStr">
        <is>
          <t>PT12992</t>
        </is>
      </c>
      <c r="C267" t="inlineStr">
        <is>
          <t>Emergency</t>
        </is>
      </c>
      <c r="D267" t="inlineStr">
        <is>
          <t>F01</t>
        </is>
      </c>
      <c r="E267" t="inlineStr">
        <is>
          <t>D100</t>
        </is>
      </c>
      <c r="G267" s="32" t="n">
        <v>45698.65763888889</v>
      </c>
      <c r="H267" s="32" t="n">
        <v>45698.87222222222</v>
      </c>
      <c r="I267" t="inlineStr">
        <is>
          <t>I48.91</t>
        </is>
      </c>
      <c r="J267" t="inlineStr">
        <is>
          <t>PY03</t>
        </is>
      </c>
      <c r="K267" s="33" t="n">
        <v>3733.66</v>
      </c>
      <c r="L267" s="34" t="n"/>
    </row>
    <row r="268">
      <c r="A268" t="inlineStr">
        <is>
          <t>ENC112195</t>
        </is>
      </c>
      <c r="B268" t="inlineStr">
        <is>
          <t>PT13485</t>
        </is>
      </c>
      <c r="C268" t="inlineStr">
        <is>
          <t>Emergency</t>
        </is>
      </c>
      <c r="D268" t="inlineStr">
        <is>
          <t>F01</t>
        </is>
      </c>
      <c r="E268" t="inlineStr">
        <is>
          <t>D100</t>
        </is>
      </c>
      <c r="G268" s="32" t="n">
        <v>45698.78402777778</v>
      </c>
      <c r="H268" s="32" t="n">
        <v>45698.94236111111</v>
      </c>
      <c r="I268" t="inlineStr">
        <is>
          <t>F10.239</t>
        </is>
      </c>
      <c r="J268" t="inlineStr">
        <is>
          <t>PY04</t>
        </is>
      </c>
      <c r="K268" s="33" t="n">
        <v>3107.47</v>
      </c>
      <c r="L268" s="34" t="n"/>
    </row>
    <row r="269">
      <c r="A269" t="inlineStr">
        <is>
          <t>ENC112200</t>
        </is>
      </c>
      <c r="B269" t="inlineStr">
        <is>
          <t>PT10749</t>
        </is>
      </c>
      <c r="C269" t="inlineStr">
        <is>
          <t>Emergency</t>
        </is>
      </c>
      <c r="D269" t="inlineStr">
        <is>
          <t>F03</t>
        </is>
      </c>
      <c r="E269" t="inlineStr">
        <is>
          <t>D300</t>
        </is>
      </c>
      <c r="G269" s="32" t="n">
        <v>45698.92013888889</v>
      </c>
      <c r="H269" s="32" t="n">
        <v>45699.07847222222</v>
      </c>
      <c r="I269" t="inlineStr">
        <is>
          <t>L03.115</t>
        </is>
      </c>
      <c r="J269" t="inlineStr">
        <is>
          <t>PY01</t>
        </is>
      </c>
      <c r="K269" s="33" t="n">
        <v>1216.14</v>
      </c>
      <c r="L269" s="34" t="n"/>
    </row>
    <row r="270">
      <c r="A270" t="inlineStr">
        <is>
          <t>ENC112209</t>
        </is>
      </c>
      <c r="B270" t="inlineStr">
        <is>
          <t>PT13511</t>
        </is>
      </c>
      <c r="C270" t="inlineStr">
        <is>
          <t>Emergency</t>
        </is>
      </c>
      <c r="D270" t="inlineStr">
        <is>
          <t>F01</t>
        </is>
      </c>
      <c r="E270" t="inlineStr">
        <is>
          <t>D100</t>
        </is>
      </c>
      <c r="G270" s="32" t="n">
        <v>45699.35694444444</v>
      </c>
      <c r="H270" s="32" t="n">
        <v>45699.45416666667</v>
      </c>
      <c r="I270" t="inlineStr">
        <is>
          <t>J06.9</t>
        </is>
      </c>
      <c r="J270" t="inlineStr">
        <is>
          <t>PY05</t>
        </is>
      </c>
      <c r="K270" s="33" t="n">
        <v>544.92</v>
      </c>
      <c r="L270" s="34" t="n"/>
    </row>
    <row r="271">
      <c r="A271" t="inlineStr">
        <is>
          <t>ENC112214</t>
        </is>
      </c>
      <c r="B271" t="inlineStr">
        <is>
          <t>PT13966</t>
        </is>
      </c>
      <c r="C271" t="inlineStr">
        <is>
          <t>Outpatient</t>
        </is>
      </c>
      <c r="D271" t="inlineStr">
        <is>
          <t>F04</t>
        </is>
      </c>
      <c r="E271" t="inlineStr">
        <is>
          <t>D400</t>
        </is>
      </c>
      <c r="G271" s="32" t="n">
        <v>45699.39583333334</v>
      </c>
      <c r="H271" s="32" t="n">
        <v>45699.41111111111</v>
      </c>
      <c r="I271" t="inlineStr">
        <is>
          <t>Z23</t>
        </is>
      </c>
      <c r="J271" t="inlineStr">
        <is>
          <t>PY02</t>
        </is>
      </c>
      <c r="K271" s="33" t="n">
        <v>120.55</v>
      </c>
      <c r="L271" s="34" t="n"/>
    </row>
    <row r="272">
      <c r="A272" t="inlineStr">
        <is>
          <t>ENC112218</t>
        </is>
      </c>
      <c r="B272" t="inlineStr">
        <is>
          <t>PT13936</t>
        </is>
      </c>
      <c r="C272" t="inlineStr">
        <is>
          <t>Outpatient</t>
        </is>
      </c>
      <c r="D272" t="inlineStr">
        <is>
          <t>F04</t>
        </is>
      </c>
      <c r="E272" t="inlineStr">
        <is>
          <t>D420</t>
        </is>
      </c>
      <c r="G272" s="32" t="n">
        <v>45699.44791666666</v>
      </c>
      <c r="H272" s="32" t="n">
        <v>45699.47847222222</v>
      </c>
      <c r="I272" t="inlineStr">
        <is>
          <t>M17.11</t>
        </is>
      </c>
      <c r="J272" t="inlineStr">
        <is>
          <t>PY01</t>
        </is>
      </c>
      <c r="K272" s="33" t="n">
        <v>121.97</v>
      </c>
      <c r="L272" s="34" t="n"/>
    </row>
    <row r="273">
      <c r="A273" t="inlineStr">
        <is>
          <t>ENC112226</t>
        </is>
      </c>
      <c r="B273" t="inlineStr">
        <is>
          <t>PT13405</t>
        </is>
      </c>
      <c r="C273" t="inlineStr">
        <is>
          <t>Outpatient</t>
        </is>
      </c>
      <c r="D273" t="inlineStr">
        <is>
          <t>F04</t>
        </is>
      </c>
      <c r="E273" t="inlineStr">
        <is>
          <t>D400</t>
        </is>
      </c>
      <c r="G273" s="32" t="n">
        <v>45699.52083333334</v>
      </c>
      <c r="H273" s="32" t="n">
        <v>45699.54930555556</v>
      </c>
      <c r="I273" t="inlineStr">
        <is>
          <t>Z00.00</t>
        </is>
      </c>
      <c r="J273" t="inlineStr">
        <is>
          <t>PY04</t>
        </is>
      </c>
      <c r="K273" s="33" t="n">
        <v>452.71</v>
      </c>
      <c r="L273" s="34" t="n"/>
    </row>
    <row r="274">
      <c r="A274" t="inlineStr">
        <is>
          <t>ENC112219</t>
        </is>
      </c>
      <c r="B274" t="inlineStr">
        <is>
          <t>PT12649</t>
        </is>
      </c>
      <c r="C274" t="inlineStr">
        <is>
          <t>Inpatient</t>
        </is>
      </c>
      <c r="D274" t="inlineStr">
        <is>
          <t>F01</t>
        </is>
      </c>
      <c r="E274" t="inlineStr">
        <is>
          <t>D170</t>
        </is>
      </c>
      <c r="F274" t="inlineStr">
        <is>
          <t>Emergency Department</t>
        </is>
      </c>
      <c r="G274" s="32" t="n">
        <v>45699.54930555556</v>
      </c>
      <c r="H274" s="32" t="n">
        <v>45700.58611111111</v>
      </c>
      <c r="I274" t="inlineStr">
        <is>
          <t>O80</t>
        </is>
      </c>
      <c r="J274" t="inlineStr">
        <is>
          <t>PY06</t>
        </is>
      </c>
      <c r="K274" s="33" t="n">
        <v>12543.96</v>
      </c>
      <c r="L274" s="34" t="n"/>
    </row>
    <row r="275">
      <c r="A275" t="inlineStr">
        <is>
          <t>ENC112235</t>
        </is>
      </c>
      <c r="B275" t="inlineStr">
        <is>
          <t>PT10079</t>
        </is>
      </c>
      <c r="C275" t="inlineStr">
        <is>
          <t>Inpatient</t>
        </is>
      </c>
      <c r="D275" t="inlineStr">
        <is>
          <t>F02</t>
        </is>
      </c>
      <c r="E275" t="inlineStr">
        <is>
          <t>D210</t>
        </is>
      </c>
      <c r="F275" t="inlineStr">
        <is>
          <t>Direct Admit</t>
        </is>
      </c>
      <c r="G275" s="32" t="n">
        <v>45699.61041666667</v>
      </c>
      <c r="H275" s="32" t="n">
        <v>45703.57847222222</v>
      </c>
      <c r="I275" t="inlineStr">
        <is>
          <t>K92.2</t>
        </is>
      </c>
      <c r="J275" t="inlineStr">
        <is>
          <t>PY06</t>
        </is>
      </c>
      <c r="K275" s="33" t="n">
        <v>19650.29</v>
      </c>
      <c r="L275" s="34" t="n"/>
    </row>
    <row r="276">
      <c r="A276" t="inlineStr">
        <is>
          <t>ENC112240</t>
        </is>
      </c>
      <c r="B276" t="inlineStr">
        <is>
          <t>PT12622</t>
        </is>
      </c>
      <c r="C276" t="inlineStr">
        <is>
          <t>Emergency</t>
        </is>
      </c>
      <c r="D276" t="inlineStr">
        <is>
          <t>F01</t>
        </is>
      </c>
      <c r="E276" t="inlineStr">
        <is>
          <t>D100</t>
        </is>
      </c>
      <c r="G276" s="32" t="n">
        <v>45699.68680555555</v>
      </c>
      <c r="H276" s="32" t="n">
        <v>45699.80069444444</v>
      </c>
      <c r="I276" t="inlineStr">
        <is>
          <t>I10</t>
        </is>
      </c>
      <c r="J276" t="inlineStr">
        <is>
          <t>PY06</t>
        </is>
      </c>
      <c r="K276" s="33" t="n">
        <v>5219.47</v>
      </c>
      <c r="L276" s="34" t="n"/>
    </row>
    <row r="277">
      <c r="A277" t="inlineStr">
        <is>
          <t>ENC112243</t>
        </is>
      </c>
      <c r="B277" t="inlineStr">
        <is>
          <t>PT11207</t>
        </is>
      </c>
      <c r="C277" t="inlineStr">
        <is>
          <t>Inpatient</t>
        </is>
      </c>
      <c r="D277" t="inlineStr">
        <is>
          <t>F02</t>
        </is>
      </c>
      <c r="E277" t="inlineStr">
        <is>
          <t>D210</t>
        </is>
      </c>
      <c r="F277" t="inlineStr">
        <is>
          <t>Emergency Department</t>
        </is>
      </c>
      <c r="G277" s="32" t="n">
        <v>45699.83333333334</v>
      </c>
      <c r="H277" s="32" t="n">
        <v>45703.65694444445</v>
      </c>
      <c r="I277" t="inlineStr">
        <is>
          <t>I50.9</t>
        </is>
      </c>
      <c r="J277" t="inlineStr">
        <is>
          <t>PY01</t>
        </is>
      </c>
      <c r="K277" s="33" t="n">
        <v>11066.95</v>
      </c>
      <c r="L277" s="34" t="n"/>
    </row>
    <row r="278">
      <c r="A278" t="inlineStr">
        <is>
          <t>ENC112252</t>
        </is>
      </c>
      <c r="B278" t="inlineStr">
        <is>
          <t>PT11687</t>
        </is>
      </c>
      <c r="C278" t="inlineStr">
        <is>
          <t>Inpatient</t>
        </is>
      </c>
      <c r="D278" t="inlineStr">
        <is>
          <t>F01</t>
        </is>
      </c>
      <c r="E278" t="inlineStr">
        <is>
          <t>D170</t>
        </is>
      </c>
      <c r="F278" t="inlineStr">
        <is>
          <t>Direct Admit</t>
        </is>
      </c>
      <c r="G278" s="32" t="n">
        <v>45700.23888888889</v>
      </c>
      <c r="H278" s="32" t="n">
        <v>45705.46319444444</v>
      </c>
      <c r="I278" t="inlineStr">
        <is>
          <t>O82</t>
        </is>
      </c>
      <c r="J278" t="inlineStr">
        <is>
          <t>PY07</t>
        </is>
      </c>
      <c r="K278" s="33" t="n">
        <v>24426.74</v>
      </c>
      <c r="L278" s="34" t="n"/>
    </row>
    <row r="279">
      <c r="A279" t="inlineStr">
        <is>
          <t>ENC112253</t>
        </is>
      </c>
      <c r="B279" t="inlineStr">
        <is>
          <t>PT11582</t>
        </is>
      </c>
      <c r="C279" t="inlineStr">
        <is>
          <t>Observation</t>
        </is>
      </c>
      <c r="D279" t="inlineStr">
        <is>
          <t>F01</t>
        </is>
      </c>
      <c r="E279" t="inlineStr">
        <is>
          <t>D195</t>
        </is>
      </c>
      <c r="F279" t="inlineStr">
        <is>
          <t>Emergency Department</t>
        </is>
      </c>
      <c r="G279" s="32" t="n">
        <v>45700.48541666667</v>
      </c>
      <c r="H279" s="32" t="n">
        <v>45701.34375</v>
      </c>
      <c r="I279" t="inlineStr">
        <is>
          <t>E86.0</t>
        </is>
      </c>
      <c r="J279" t="inlineStr">
        <is>
          <t>PY02</t>
        </is>
      </c>
      <c r="K279" s="33" t="n">
        <v>5463.39</v>
      </c>
      <c r="L279" s="34" t="n"/>
    </row>
    <row r="280">
      <c r="A280" t="inlineStr">
        <is>
          <t>ENC112263</t>
        </is>
      </c>
      <c r="B280" t="inlineStr">
        <is>
          <t>PT12973</t>
        </is>
      </c>
      <c r="C280" t="inlineStr">
        <is>
          <t>Outpatient</t>
        </is>
      </c>
      <c r="D280" t="inlineStr">
        <is>
          <t>F04</t>
        </is>
      </c>
      <c r="E280" t="inlineStr">
        <is>
          <t>D400</t>
        </is>
      </c>
      <c r="G280" s="32" t="n">
        <v>45700.5625</v>
      </c>
      <c r="H280" s="32" t="n">
        <v>45700.59027777778</v>
      </c>
      <c r="I280" t="inlineStr">
        <is>
          <t>N39.0</t>
        </is>
      </c>
      <c r="J280" t="inlineStr">
        <is>
          <t>PY02</t>
        </is>
      </c>
      <c r="K280" s="33" t="n">
        <v>290.65</v>
      </c>
      <c r="L280" s="34" t="n"/>
    </row>
    <row r="281">
      <c r="A281" t="inlineStr">
        <is>
          <t>ENC112269</t>
        </is>
      </c>
      <c r="B281" t="inlineStr">
        <is>
          <t>PT12737</t>
        </is>
      </c>
      <c r="C281" t="inlineStr">
        <is>
          <t>Outpatient</t>
        </is>
      </c>
      <c r="D281" t="inlineStr">
        <is>
          <t>F04</t>
        </is>
      </c>
      <c r="E281" t="inlineStr">
        <is>
          <t>D400</t>
        </is>
      </c>
      <c r="G281" s="32" t="n">
        <v>45700.60416666666</v>
      </c>
      <c r="H281" s="32" t="n">
        <v>45700.64236111111</v>
      </c>
      <c r="I281" t="inlineStr">
        <is>
          <t>I10</t>
        </is>
      </c>
      <c r="J281" t="inlineStr">
        <is>
          <t>PY01</t>
        </is>
      </c>
      <c r="K281" s="33" t="n">
        <v>275.31</v>
      </c>
      <c r="L281" s="34" t="n"/>
    </row>
    <row r="282">
      <c r="A282" t="inlineStr">
        <is>
          <t>ENC112274</t>
        </is>
      </c>
      <c r="B282" t="inlineStr">
        <is>
          <t>PT11560</t>
        </is>
      </c>
      <c r="C282" t="inlineStr">
        <is>
          <t>Emergency</t>
        </is>
      </c>
      <c r="D282" t="inlineStr">
        <is>
          <t>F01</t>
        </is>
      </c>
      <c r="E282" t="inlineStr">
        <is>
          <t>D100</t>
        </is>
      </c>
      <c r="G282" s="32" t="n">
        <v>45700.7625</v>
      </c>
      <c r="H282" s="32" t="n">
        <v>45700.83958333333</v>
      </c>
      <c r="I282" t="inlineStr">
        <is>
          <t>J18.9</t>
        </is>
      </c>
      <c r="J282" t="inlineStr">
        <is>
          <t>PY04</t>
        </is>
      </c>
      <c r="K282" s="33" t="n">
        <v>1844.45</v>
      </c>
      <c r="L282" s="34" t="n"/>
    </row>
    <row r="283">
      <c r="A283" t="inlineStr">
        <is>
          <t>ENC112276</t>
        </is>
      </c>
      <c r="B283" t="inlineStr">
        <is>
          <t>PT13517</t>
        </is>
      </c>
      <c r="C283" t="inlineStr">
        <is>
          <t>Observation</t>
        </is>
      </c>
      <c r="D283" t="inlineStr">
        <is>
          <t>F01</t>
        </is>
      </c>
      <c r="E283" t="inlineStr">
        <is>
          <t>D195</t>
        </is>
      </c>
      <c r="F283" t="inlineStr">
        <is>
          <t>Emergency Department</t>
        </is>
      </c>
      <c r="G283" s="32" t="n">
        <v>45700.9</v>
      </c>
      <c r="H283" s="32" t="n">
        <v>45701.57847222222</v>
      </c>
      <c r="I283" t="inlineStr">
        <is>
          <t>K92.2</t>
        </is>
      </c>
      <c r="J283" t="inlineStr">
        <is>
          <t>PY03</t>
        </is>
      </c>
      <c r="K283" s="33" t="n">
        <v>7176.34</v>
      </c>
      <c r="L283" s="34" t="n"/>
    </row>
    <row r="284">
      <c r="A284" t="inlineStr">
        <is>
          <t>ENC112285</t>
        </is>
      </c>
      <c r="B284" t="inlineStr">
        <is>
          <t>PT10047</t>
        </is>
      </c>
      <c r="C284" t="inlineStr">
        <is>
          <t>Outpatient</t>
        </is>
      </c>
      <c r="D284" t="inlineStr">
        <is>
          <t>F04</t>
        </is>
      </c>
      <c r="E284" t="inlineStr">
        <is>
          <t>D450</t>
        </is>
      </c>
      <c r="G284" s="32" t="n">
        <v>45701.35416666666</v>
      </c>
      <c r="H284" s="32" t="n">
        <v>45701.39166666667</v>
      </c>
      <c r="I284" t="inlineStr">
        <is>
          <t>Z00.129</t>
        </is>
      </c>
      <c r="J284" t="inlineStr">
        <is>
          <t>PY03</t>
        </is>
      </c>
      <c r="K284" s="33" t="n">
        <v>329.01</v>
      </c>
      <c r="L284" s="34" t="n"/>
    </row>
    <row r="285">
      <c r="A285" t="inlineStr">
        <is>
          <t>ENC112290</t>
        </is>
      </c>
      <c r="B285" t="inlineStr">
        <is>
          <t>PT11846</t>
        </is>
      </c>
      <c r="C285" t="inlineStr">
        <is>
          <t>Emergency</t>
        </is>
      </c>
      <c r="D285" t="inlineStr">
        <is>
          <t>F01</t>
        </is>
      </c>
      <c r="E285" t="inlineStr">
        <is>
          <t>D100</t>
        </is>
      </c>
      <c r="G285" s="32" t="n">
        <v>45701.38055555556</v>
      </c>
      <c r="H285" s="32" t="n">
        <v>45701.46458333333</v>
      </c>
      <c r="I285" t="inlineStr">
        <is>
          <t>L03.115</t>
        </is>
      </c>
      <c r="J285" t="inlineStr">
        <is>
          <t>PY06</t>
        </is>
      </c>
      <c r="K285" s="33" t="n">
        <v>1588.93</v>
      </c>
      <c r="L285" s="34" t="n"/>
    </row>
    <row r="286">
      <c r="A286" t="inlineStr">
        <is>
          <t>ENC112296</t>
        </is>
      </c>
      <c r="B286" t="inlineStr">
        <is>
          <t>PT12657</t>
        </is>
      </c>
      <c r="C286" t="inlineStr">
        <is>
          <t>Emergency</t>
        </is>
      </c>
      <c r="D286" t="inlineStr">
        <is>
          <t>F01</t>
        </is>
      </c>
      <c r="E286" t="inlineStr">
        <is>
          <t>D100</t>
        </is>
      </c>
      <c r="G286" s="32" t="n">
        <v>45701.4625</v>
      </c>
      <c r="H286" s="32" t="n">
        <v>45701.56666666667</v>
      </c>
      <c r="I286" t="inlineStr">
        <is>
          <t>K80.20</t>
        </is>
      </c>
      <c r="J286" t="inlineStr">
        <is>
          <t>PY01</t>
        </is>
      </c>
      <c r="K286" s="33" t="n">
        <v>1526.18</v>
      </c>
      <c r="L286" s="34" t="n"/>
    </row>
    <row r="287">
      <c r="A287" t="inlineStr">
        <is>
          <t>ENC112302</t>
        </is>
      </c>
      <c r="B287" t="inlineStr">
        <is>
          <t>PT12160</t>
        </is>
      </c>
      <c r="C287" t="inlineStr">
        <is>
          <t>Outpatient</t>
        </is>
      </c>
      <c r="D287" t="inlineStr">
        <is>
          <t>F04</t>
        </is>
      </c>
      <c r="E287" t="inlineStr">
        <is>
          <t>D440</t>
        </is>
      </c>
      <c r="G287" s="32" t="n">
        <v>45701.54166666666</v>
      </c>
      <c r="H287" s="32" t="n">
        <v>45701.56388888889</v>
      </c>
      <c r="I287" t="inlineStr">
        <is>
          <t>E11.9</t>
        </is>
      </c>
      <c r="J287" t="inlineStr">
        <is>
          <t>PY03</t>
        </is>
      </c>
      <c r="K287" s="33" t="n">
        <v>346.85</v>
      </c>
      <c r="L287" s="34" t="n"/>
    </row>
    <row r="288">
      <c r="A288" t="inlineStr">
        <is>
          <t>ENC112307</t>
        </is>
      </c>
      <c r="B288" t="inlineStr">
        <is>
          <t>PT12064</t>
        </is>
      </c>
      <c r="C288" t="inlineStr">
        <is>
          <t>Outpatient</t>
        </is>
      </c>
      <c r="D288" t="inlineStr">
        <is>
          <t>F04</t>
        </is>
      </c>
      <c r="E288" t="inlineStr">
        <is>
          <t>D410</t>
        </is>
      </c>
      <c r="G288" s="32" t="n">
        <v>45701.5625</v>
      </c>
      <c r="H288" s="32" t="n">
        <v>45701.6</v>
      </c>
      <c r="I288" t="inlineStr">
        <is>
          <t>I48.91</t>
        </is>
      </c>
      <c r="J288" t="inlineStr">
        <is>
          <t>PY03</t>
        </is>
      </c>
      <c r="K288" s="33" t="n">
        <v>324.54</v>
      </c>
      <c r="L288" s="34" t="n"/>
    </row>
    <row r="289">
      <c r="A289" t="inlineStr">
        <is>
          <t>ENC112313</t>
        </is>
      </c>
      <c r="B289" t="inlineStr">
        <is>
          <t>PT13910</t>
        </is>
      </c>
      <c r="C289" t="inlineStr">
        <is>
          <t>Emergency</t>
        </is>
      </c>
      <c r="D289" t="inlineStr">
        <is>
          <t>F02</t>
        </is>
      </c>
      <c r="E289" t="inlineStr">
        <is>
          <t>D200</t>
        </is>
      </c>
      <c r="G289" s="32" t="n">
        <v>45701.61875</v>
      </c>
      <c r="H289" s="32" t="n">
        <v>45701.84513888889</v>
      </c>
      <c r="I289" t="inlineStr">
        <is>
          <t>J06.9</t>
        </is>
      </c>
      <c r="J289" t="inlineStr">
        <is>
          <t>PY04</t>
        </is>
      </c>
      <c r="K289" s="33" t="n">
        <v>4139.08</v>
      </c>
      <c r="L289" s="34" t="n"/>
    </row>
    <row r="290">
      <c r="A290" t="inlineStr">
        <is>
          <t>ENC112320</t>
        </is>
      </c>
      <c r="B290" t="inlineStr">
        <is>
          <t>PT13520</t>
        </is>
      </c>
      <c r="C290" t="inlineStr">
        <is>
          <t>Outpatient</t>
        </is>
      </c>
      <c r="D290" t="inlineStr">
        <is>
          <t>F04</t>
        </is>
      </c>
      <c r="E290" t="inlineStr">
        <is>
          <t>D450</t>
        </is>
      </c>
      <c r="G290" s="32" t="n">
        <v>45701.6875</v>
      </c>
      <c r="H290" s="32" t="n">
        <v>45701.69861111111</v>
      </c>
      <c r="I290" t="inlineStr">
        <is>
          <t>H66.90</t>
        </is>
      </c>
      <c r="J290" t="inlineStr">
        <is>
          <t>PY03</t>
        </is>
      </c>
      <c r="K290" s="33" t="n">
        <v>329.58</v>
      </c>
      <c r="L290" s="34" t="n"/>
    </row>
    <row r="291">
      <c r="A291" t="inlineStr">
        <is>
          <t>ENC112321</t>
        </is>
      </c>
      <c r="B291" t="inlineStr">
        <is>
          <t>PT11873</t>
        </is>
      </c>
      <c r="C291" t="inlineStr">
        <is>
          <t>Inpatient</t>
        </is>
      </c>
      <c r="D291" t="inlineStr">
        <is>
          <t>F02</t>
        </is>
      </c>
      <c r="E291" t="inlineStr">
        <is>
          <t>D210</t>
        </is>
      </c>
      <c r="F291" t="inlineStr">
        <is>
          <t>Emergency Department</t>
        </is>
      </c>
      <c r="G291" s="32" t="n">
        <v>45701.81458333333</v>
      </c>
      <c r="H291" s="32" t="n">
        <v>45703.55138888889</v>
      </c>
      <c r="I291" t="inlineStr">
        <is>
          <t>N17.9</t>
        </is>
      </c>
      <c r="J291" t="inlineStr">
        <is>
          <t>PY07</t>
        </is>
      </c>
      <c r="K291" s="33" t="n">
        <v>14302.43</v>
      </c>
      <c r="L291" s="34" t="n"/>
    </row>
    <row r="292">
      <c r="A292" t="inlineStr">
        <is>
          <t>ENC112329</t>
        </is>
      </c>
      <c r="B292" t="inlineStr">
        <is>
          <t>PT13849</t>
        </is>
      </c>
      <c r="C292" t="inlineStr">
        <is>
          <t>Emergency</t>
        </is>
      </c>
      <c r="D292" t="inlineStr">
        <is>
          <t>F01</t>
        </is>
      </c>
      <c r="E292" t="inlineStr">
        <is>
          <t>D100</t>
        </is>
      </c>
      <c r="G292" s="32" t="n">
        <v>45702.17083333333</v>
      </c>
      <c r="H292" s="32" t="n">
        <v>45702.24097222222</v>
      </c>
      <c r="I292" t="inlineStr">
        <is>
          <t>F41.9</t>
        </is>
      </c>
      <c r="J292" t="inlineStr">
        <is>
          <t>PY03</t>
        </is>
      </c>
      <c r="K292" s="33" t="n">
        <v>612.6</v>
      </c>
      <c r="L292" s="34" t="n"/>
    </row>
    <row r="293">
      <c r="A293" t="inlineStr">
        <is>
          <t>ENC112334</t>
        </is>
      </c>
      <c r="B293" t="inlineStr">
        <is>
          <t>PT10477</t>
        </is>
      </c>
      <c r="C293" t="inlineStr">
        <is>
          <t>Outpatient</t>
        </is>
      </c>
      <c r="D293" t="inlineStr">
        <is>
          <t>F04</t>
        </is>
      </c>
      <c r="E293" t="inlineStr">
        <is>
          <t>D430</t>
        </is>
      </c>
      <c r="G293" s="32" t="n">
        <v>45702.40625</v>
      </c>
      <c r="H293" s="32" t="n">
        <v>45702.56736111111</v>
      </c>
      <c r="I293" t="inlineStr">
        <is>
          <t>Z51.11</t>
        </is>
      </c>
      <c r="J293" t="inlineStr">
        <is>
          <t>PY05</t>
        </is>
      </c>
      <c r="K293" s="33" t="n">
        <v>5921.84</v>
      </c>
      <c r="L293" s="34" t="n"/>
    </row>
    <row r="294">
      <c r="A294" t="inlineStr">
        <is>
          <t>ENC112342</t>
        </is>
      </c>
      <c r="B294" t="inlineStr">
        <is>
          <t>PT13407</t>
        </is>
      </c>
      <c r="C294" t="inlineStr">
        <is>
          <t>Inpatient</t>
        </is>
      </c>
      <c r="D294" t="inlineStr">
        <is>
          <t>F02</t>
        </is>
      </c>
      <c r="E294" t="inlineStr">
        <is>
          <t>D210</t>
        </is>
      </c>
      <c r="F294" t="inlineStr">
        <is>
          <t>Direct Admit</t>
        </is>
      </c>
      <c r="G294" s="32" t="n">
        <v>45702.56319444445</v>
      </c>
      <c r="H294" s="32" t="n">
        <v>45711.58611111111</v>
      </c>
      <c r="I294" t="inlineStr">
        <is>
          <t>K56.609</t>
        </is>
      </c>
      <c r="J294" t="inlineStr">
        <is>
          <t>PY01</t>
        </is>
      </c>
      <c r="K294" s="33" t="n">
        <v>42275.85</v>
      </c>
      <c r="L294" s="34" t="n"/>
    </row>
    <row r="295">
      <c r="A295" t="inlineStr">
        <is>
          <t>ENC112348</t>
        </is>
      </c>
      <c r="B295" t="inlineStr">
        <is>
          <t>PT11709</t>
        </is>
      </c>
      <c r="C295" t="inlineStr">
        <is>
          <t>Emergency</t>
        </is>
      </c>
      <c r="D295" t="inlineStr">
        <is>
          <t>F01</t>
        </is>
      </c>
      <c r="E295" t="inlineStr">
        <is>
          <t>D100</t>
        </is>
      </c>
      <c r="G295" s="32" t="n">
        <v>45702.62638888889</v>
      </c>
      <c r="H295" s="32" t="n">
        <v>45702.72222222222</v>
      </c>
      <c r="I295" t="inlineStr">
        <is>
          <t>J06.9</t>
        </is>
      </c>
      <c r="J295" t="inlineStr">
        <is>
          <t>PY04</t>
        </is>
      </c>
      <c r="K295" s="33" t="n">
        <v>605.46</v>
      </c>
      <c r="L295" s="34" t="n"/>
    </row>
    <row r="296">
      <c r="A296" t="inlineStr">
        <is>
          <t>ENC112353</t>
        </is>
      </c>
      <c r="B296" t="inlineStr">
        <is>
          <t>PT12671</t>
        </is>
      </c>
      <c r="C296" t="inlineStr">
        <is>
          <t>Outpatient</t>
        </is>
      </c>
      <c r="D296" t="inlineStr">
        <is>
          <t>F04</t>
        </is>
      </c>
      <c r="E296" t="inlineStr">
        <is>
          <t>D400</t>
        </is>
      </c>
      <c r="G296" s="32" t="n">
        <v>45702.66666666666</v>
      </c>
      <c r="H296" s="32" t="n">
        <v>45702.69236111111</v>
      </c>
      <c r="I296" t="inlineStr">
        <is>
          <t>L03.115</t>
        </is>
      </c>
      <c r="J296" t="inlineStr">
        <is>
          <t>PY06</t>
        </is>
      </c>
      <c r="K296" s="33" t="n">
        <v>274.78</v>
      </c>
      <c r="L296" s="34" t="n"/>
    </row>
    <row r="297">
      <c r="A297" t="inlineStr">
        <is>
          <t>ENC112358</t>
        </is>
      </c>
      <c r="B297" t="inlineStr">
        <is>
          <t>PT10326</t>
        </is>
      </c>
      <c r="C297" t="inlineStr">
        <is>
          <t>Emergency</t>
        </is>
      </c>
      <c r="D297" t="inlineStr">
        <is>
          <t>F02</t>
        </is>
      </c>
      <c r="E297" t="inlineStr">
        <is>
          <t>D200</t>
        </is>
      </c>
      <c r="G297" s="32" t="n">
        <v>45702.77013888889</v>
      </c>
      <c r="H297" s="32" t="n">
        <v>45702.99375</v>
      </c>
      <c r="I297" t="inlineStr">
        <is>
          <t>A08.4</t>
        </is>
      </c>
      <c r="J297" t="inlineStr">
        <is>
          <t>PY05</t>
        </is>
      </c>
      <c r="K297" s="33" t="n">
        <v>1385.26</v>
      </c>
      <c r="L297" s="34" t="n"/>
    </row>
    <row r="298">
      <c r="A298" t="inlineStr">
        <is>
          <t>ENC112362</t>
        </is>
      </c>
      <c r="B298" t="inlineStr">
        <is>
          <t>PT11793</t>
        </is>
      </c>
      <c r="C298" t="inlineStr">
        <is>
          <t>Inpatient</t>
        </is>
      </c>
      <c r="D298" t="inlineStr">
        <is>
          <t>F01</t>
        </is>
      </c>
      <c r="E298" t="inlineStr">
        <is>
          <t>D111</t>
        </is>
      </c>
      <c r="F298" t="inlineStr">
        <is>
          <t>Direct Admit</t>
        </is>
      </c>
      <c r="G298" s="32" t="n">
        <v>45703.07222222222</v>
      </c>
      <c r="H298" s="32" t="n">
        <v>45708.68819444445</v>
      </c>
      <c r="I298" t="inlineStr">
        <is>
          <t>U07.1</t>
        </is>
      </c>
      <c r="J298" t="inlineStr">
        <is>
          <t>PY04</t>
        </is>
      </c>
      <c r="K298" s="33" t="n">
        <v>19694.57</v>
      </c>
      <c r="L298" s="34" t="n"/>
    </row>
    <row r="299">
      <c r="A299" t="inlineStr">
        <is>
          <t>ENC112365</t>
        </is>
      </c>
      <c r="B299" t="inlineStr">
        <is>
          <t>PT10433</t>
        </is>
      </c>
      <c r="C299" t="inlineStr">
        <is>
          <t>Inpatient</t>
        </is>
      </c>
      <c r="D299" t="inlineStr">
        <is>
          <t>F01</t>
        </is>
      </c>
      <c r="E299" t="inlineStr">
        <is>
          <t>D111</t>
        </is>
      </c>
      <c r="F299" t="inlineStr">
        <is>
          <t>Emergency Department</t>
        </is>
      </c>
      <c r="G299" s="32" t="n">
        <v>45703.50486111111</v>
      </c>
      <c r="H299" s="32" t="n">
        <v>45708.60902777778</v>
      </c>
      <c r="I299" t="inlineStr">
        <is>
          <t>K56.609</t>
        </is>
      </c>
      <c r="J299" t="inlineStr">
        <is>
          <t>PY05</t>
        </is>
      </c>
      <c r="K299" s="33" t="n">
        <v>34164.16</v>
      </c>
      <c r="L299" s="34" t="n"/>
    </row>
    <row r="300">
      <c r="A300" t="inlineStr">
        <is>
          <t>ENC112374</t>
        </is>
      </c>
      <c r="B300" t="inlineStr">
        <is>
          <t>PT12161</t>
        </is>
      </c>
      <c r="C300" t="inlineStr">
        <is>
          <t>Inpatient</t>
        </is>
      </c>
      <c r="D300" t="inlineStr">
        <is>
          <t>F03</t>
        </is>
      </c>
      <c r="E300" t="inlineStr">
        <is>
          <t>D310</t>
        </is>
      </c>
      <c r="F300" t="inlineStr">
        <is>
          <t>Direct Admit</t>
        </is>
      </c>
      <c r="G300" s="32" t="n">
        <v>45703.67222222222</v>
      </c>
      <c r="H300" s="32" t="n">
        <v>45708.65555555555</v>
      </c>
      <c r="I300" t="inlineStr">
        <is>
          <t>J18.9</t>
        </is>
      </c>
      <c r="J300" t="inlineStr">
        <is>
          <t>PY06</t>
        </is>
      </c>
      <c r="K300" s="33" t="n">
        <v>18673.89</v>
      </c>
      <c r="L300" s="34" t="n"/>
    </row>
    <row r="301">
      <c r="A301" t="inlineStr">
        <is>
          <t>ENC112378</t>
        </is>
      </c>
      <c r="B301" t="inlineStr">
        <is>
          <t>PT13614</t>
        </is>
      </c>
      <c r="C301" t="inlineStr">
        <is>
          <t>Inpatient</t>
        </is>
      </c>
      <c r="D301" t="inlineStr">
        <is>
          <t>F01</t>
        </is>
      </c>
      <c r="E301" t="inlineStr">
        <is>
          <t>D111</t>
        </is>
      </c>
      <c r="F301" t="inlineStr">
        <is>
          <t>Emergency Department</t>
        </is>
      </c>
      <c r="G301" s="32" t="n">
        <v>45703.90486111111</v>
      </c>
      <c r="H301" s="32" t="n">
        <v>45707.62430555555</v>
      </c>
      <c r="I301" t="inlineStr">
        <is>
          <t>K92.2</t>
        </is>
      </c>
      <c r="J301" t="inlineStr">
        <is>
          <t>PY03</t>
        </is>
      </c>
      <c r="K301" s="33" t="n">
        <v>14991.25</v>
      </c>
      <c r="L301" s="34" t="n"/>
    </row>
    <row r="302">
      <c r="A302" t="inlineStr">
        <is>
          <t>ENC112385</t>
        </is>
      </c>
      <c r="B302" t="inlineStr">
        <is>
          <t>PT10469</t>
        </is>
      </c>
      <c r="C302" t="inlineStr">
        <is>
          <t>Emergency</t>
        </is>
      </c>
      <c r="D302" t="inlineStr">
        <is>
          <t>F01</t>
        </is>
      </c>
      <c r="E302" t="inlineStr">
        <is>
          <t>D100</t>
        </is>
      </c>
      <c r="G302" s="32" t="n">
        <v>45704.45694444444</v>
      </c>
      <c r="H302" s="32" t="n">
        <v>45704.55694444444</v>
      </c>
      <c r="I302" t="inlineStr">
        <is>
          <t>J06.9</t>
        </is>
      </c>
      <c r="J302" t="inlineStr">
        <is>
          <t>PY01</t>
        </is>
      </c>
      <c r="K302" s="33" t="n">
        <v>577.04</v>
      </c>
      <c r="L302" s="34" t="n"/>
    </row>
    <row r="303">
      <c r="A303" t="inlineStr">
        <is>
          <t>ENC112390</t>
        </is>
      </c>
      <c r="B303" t="inlineStr">
        <is>
          <t>PT10992</t>
        </is>
      </c>
      <c r="C303" t="inlineStr">
        <is>
          <t>Emergency</t>
        </is>
      </c>
      <c r="D303" t="inlineStr">
        <is>
          <t>F03</t>
        </is>
      </c>
      <c r="E303" t="inlineStr">
        <is>
          <t>D300</t>
        </is>
      </c>
      <c r="G303" s="32" t="n">
        <v>45704.59722222222</v>
      </c>
      <c r="H303" s="32" t="n">
        <v>45704.78055555555</v>
      </c>
      <c r="I303" t="inlineStr">
        <is>
          <t>U07.1</t>
        </is>
      </c>
      <c r="J303" t="inlineStr">
        <is>
          <t>PY03</t>
        </is>
      </c>
      <c r="K303" s="33" t="n">
        <v>3249.09</v>
      </c>
      <c r="L303" s="34" t="n"/>
    </row>
    <row r="304">
      <c r="A304" t="inlineStr">
        <is>
          <t>ENC112394</t>
        </is>
      </c>
      <c r="B304" t="inlineStr">
        <is>
          <t>PT11787</t>
        </is>
      </c>
      <c r="C304" t="inlineStr">
        <is>
          <t>Observation</t>
        </is>
      </c>
      <c r="D304" t="inlineStr">
        <is>
          <t>F01</t>
        </is>
      </c>
      <c r="E304" t="inlineStr">
        <is>
          <t>D195</t>
        </is>
      </c>
      <c r="F304" t="inlineStr">
        <is>
          <t>Emergency Department</t>
        </is>
      </c>
      <c r="G304" s="32" t="n">
        <v>45704.75277777778</v>
      </c>
      <c r="H304" s="32" t="n">
        <v>45706.70833333334</v>
      </c>
      <c r="I304" t="inlineStr">
        <is>
          <t>M54.50</t>
        </is>
      </c>
      <c r="J304" t="inlineStr">
        <is>
          <t>PY05</t>
        </is>
      </c>
      <c r="K304" s="33" t="n">
        <v>8214.629999999999</v>
      </c>
      <c r="L304" s="34" t="n"/>
    </row>
    <row r="305">
      <c r="A305" t="inlineStr">
        <is>
          <t>ENC112398</t>
        </is>
      </c>
      <c r="B305" t="inlineStr">
        <is>
          <t>PT13094</t>
        </is>
      </c>
      <c r="C305" t="inlineStr">
        <is>
          <t>Inpatient</t>
        </is>
      </c>
      <c r="D305" t="inlineStr">
        <is>
          <t>F02</t>
        </is>
      </c>
      <c r="E305" t="inlineStr">
        <is>
          <t>D210</t>
        </is>
      </c>
      <c r="F305" t="inlineStr">
        <is>
          <t>Emergency Department</t>
        </is>
      </c>
      <c r="G305" s="32" t="n">
        <v>45704.93472222222</v>
      </c>
      <c r="H305" s="32" t="n">
        <v>45707.54375</v>
      </c>
      <c r="I305" t="inlineStr">
        <is>
          <t>J18.9</t>
        </is>
      </c>
      <c r="J305" t="inlineStr">
        <is>
          <t>PY03</t>
        </is>
      </c>
      <c r="K305" s="33" t="n">
        <v>16961.42</v>
      </c>
      <c r="L305" s="34" t="n"/>
    </row>
    <row r="306">
      <c r="A306" t="inlineStr">
        <is>
          <t>ENC112407</t>
        </is>
      </c>
      <c r="B306" t="inlineStr">
        <is>
          <t>PT12045</t>
        </is>
      </c>
      <c r="C306" t="inlineStr">
        <is>
          <t>Emergency</t>
        </is>
      </c>
      <c r="D306" t="inlineStr">
        <is>
          <t>F01</t>
        </is>
      </c>
      <c r="E306" t="inlineStr">
        <is>
          <t>D100</t>
        </is>
      </c>
      <c r="G306" s="32" t="n">
        <v>45705.275</v>
      </c>
      <c r="H306" s="32" t="n">
        <v>45705.33958333333</v>
      </c>
      <c r="I306" t="inlineStr">
        <is>
          <t>J06.9</t>
        </is>
      </c>
      <c r="J306" t="inlineStr">
        <is>
          <t>PY06</t>
        </is>
      </c>
      <c r="K306" s="33" t="n">
        <v>477.19</v>
      </c>
      <c r="L306" s="34" t="n"/>
    </row>
    <row r="307">
      <c r="A307" t="inlineStr">
        <is>
          <t>ENC112414</t>
        </is>
      </c>
      <c r="B307" t="inlineStr">
        <is>
          <t>PT10063</t>
        </is>
      </c>
      <c r="C307" t="inlineStr">
        <is>
          <t>Emergency</t>
        </is>
      </c>
      <c r="D307" t="inlineStr">
        <is>
          <t>F03</t>
        </is>
      </c>
      <c r="E307" t="inlineStr">
        <is>
          <t>D300</t>
        </is>
      </c>
      <c r="G307" s="32" t="n">
        <v>45705.40486111111</v>
      </c>
      <c r="H307" s="32" t="n">
        <v>45705.59444444445</v>
      </c>
      <c r="I307" t="inlineStr">
        <is>
          <t>J44.1</t>
        </is>
      </c>
      <c r="J307" t="inlineStr">
        <is>
          <t>PY02</t>
        </is>
      </c>
      <c r="K307" s="33" t="n">
        <v>6558.68</v>
      </c>
      <c r="L307" s="34" t="n"/>
    </row>
    <row r="308">
      <c r="A308" t="inlineStr">
        <is>
          <t>ENC112420</t>
        </is>
      </c>
      <c r="B308" t="inlineStr">
        <is>
          <t>PT11775</t>
        </is>
      </c>
      <c r="C308" t="inlineStr">
        <is>
          <t>Outpatient</t>
        </is>
      </c>
      <c r="D308" t="inlineStr">
        <is>
          <t>F04</t>
        </is>
      </c>
      <c r="E308" t="inlineStr">
        <is>
          <t>D400</t>
        </is>
      </c>
      <c r="G308" s="32" t="n">
        <v>45705.4375</v>
      </c>
      <c r="H308" s="32" t="n">
        <v>45705.44930555556</v>
      </c>
      <c r="I308" t="inlineStr">
        <is>
          <t>Z23</t>
        </is>
      </c>
      <c r="J308" t="inlineStr">
        <is>
          <t>PY05</t>
        </is>
      </c>
      <c r="K308" s="33" t="n">
        <v>101.45</v>
      </c>
      <c r="L308" s="34" t="n"/>
    </row>
    <row r="309">
      <c r="A309" t="inlineStr">
        <is>
          <t>ENC112413</t>
        </is>
      </c>
      <c r="B309" t="inlineStr">
        <is>
          <t>PT10472</t>
        </is>
      </c>
      <c r="C309" t="inlineStr">
        <is>
          <t>Inpatient</t>
        </is>
      </c>
      <c r="D309" t="inlineStr">
        <is>
          <t>F01</t>
        </is>
      </c>
      <c r="E309" t="inlineStr">
        <is>
          <t>D130</t>
        </is>
      </c>
      <c r="F309" t="inlineStr">
        <is>
          <t>Emergency Department</t>
        </is>
      </c>
      <c r="G309" s="32" t="n">
        <v>45705.49791666667</v>
      </c>
      <c r="H309" s="32" t="n">
        <v>45717.48333333333</v>
      </c>
      <c r="I309" t="inlineStr">
        <is>
          <t>A41.9</t>
        </is>
      </c>
      <c r="J309" t="inlineStr">
        <is>
          <t>PY01</t>
        </is>
      </c>
      <c r="K309" s="33" t="n">
        <v>99346.28</v>
      </c>
      <c r="L309" s="34" t="n"/>
    </row>
    <row r="310">
      <c r="A310" t="inlineStr">
        <is>
          <t>ENC112431</t>
        </is>
      </c>
      <c r="B310" t="inlineStr">
        <is>
          <t>PT12494</t>
        </is>
      </c>
      <c r="C310" t="inlineStr">
        <is>
          <t>Outpatient</t>
        </is>
      </c>
      <c r="D310" t="inlineStr">
        <is>
          <t>F04</t>
        </is>
      </c>
      <c r="E310" t="inlineStr">
        <is>
          <t>D440</t>
        </is>
      </c>
      <c r="G310" s="32" t="n">
        <v>45705.57291666666</v>
      </c>
      <c r="H310" s="32" t="n">
        <v>45705.58819444444</v>
      </c>
      <c r="I310" t="inlineStr">
        <is>
          <t>E11.9</t>
        </is>
      </c>
      <c r="J310" t="inlineStr">
        <is>
          <t>PY03</t>
        </is>
      </c>
      <c r="K310" s="33" t="n">
        <v>327.48</v>
      </c>
      <c r="L310" s="34" t="n"/>
    </row>
    <row r="311">
      <c r="A311" t="inlineStr">
        <is>
          <t>ENC112436</t>
        </is>
      </c>
      <c r="B311" t="inlineStr">
        <is>
          <t>PT10897</t>
        </is>
      </c>
      <c r="C311" t="inlineStr">
        <is>
          <t>Outpatient</t>
        </is>
      </c>
      <c r="D311" t="inlineStr">
        <is>
          <t>F04</t>
        </is>
      </c>
      <c r="E311" t="inlineStr">
        <is>
          <t>D400</t>
        </is>
      </c>
      <c r="G311" s="32" t="n">
        <v>45705.64583333334</v>
      </c>
      <c r="H311" s="32" t="n">
        <v>45705.67361111111</v>
      </c>
      <c r="I311" t="inlineStr">
        <is>
          <t>Z23</t>
        </is>
      </c>
      <c r="J311" t="inlineStr">
        <is>
          <t>PY01</t>
        </is>
      </c>
      <c r="K311" s="33" t="n">
        <v>131.29</v>
      </c>
      <c r="L311" s="34" t="n"/>
    </row>
    <row r="312">
      <c r="A312" t="inlineStr">
        <is>
          <t>ENC112441</t>
        </is>
      </c>
      <c r="B312" t="inlineStr">
        <is>
          <t>PT11066</t>
        </is>
      </c>
      <c r="C312" t="inlineStr">
        <is>
          <t>Inpatient</t>
        </is>
      </c>
      <c r="D312" t="inlineStr">
        <is>
          <t>F01</t>
        </is>
      </c>
      <c r="E312" t="inlineStr">
        <is>
          <t>D110</t>
        </is>
      </c>
      <c r="F312" t="inlineStr">
        <is>
          <t>Direct Admit</t>
        </is>
      </c>
      <c r="G312" s="32" t="n">
        <v>45705.79166666666</v>
      </c>
      <c r="H312" s="32" t="n">
        <v>45708.64166666667</v>
      </c>
      <c r="I312" t="inlineStr">
        <is>
          <t>J44.1</t>
        </is>
      </c>
      <c r="J312" t="inlineStr">
        <is>
          <t>PY01</t>
        </is>
      </c>
      <c r="K312" s="33" t="n">
        <v>11616.43</v>
      </c>
      <c r="L312" s="34" t="n"/>
    </row>
    <row r="313">
      <c r="A313" t="inlineStr">
        <is>
          <t>ENC112447</t>
        </is>
      </c>
      <c r="B313" t="inlineStr">
        <is>
          <t>PT11121</t>
        </is>
      </c>
      <c r="C313" t="inlineStr">
        <is>
          <t>Emergency</t>
        </is>
      </c>
      <c r="D313" t="inlineStr">
        <is>
          <t>F02</t>
        </is>
      </c>
      <c r="E313" t="inlineStr">
        <is>
          <t>D200</t>
        </is>
      </c>
      <c r="G313" s="32" t="n">
        <v>45706.17152777778</v>
      </c>
      <c r="H313" s="32" t="n">
        <v>45706.3</v>
      </c>
      <c r="I313" t="inlineStr">
        <is>
          <t>E11.65</t>
        </is>
      </c>
      <c r="J313" t="inlineStr">
        <is>
          <t>PY01</t>
        </is>
      </c>
      <c r="K313" s="33" t="n">
        <v>5246.77</v>
      </c>
      <c r="L313" s="34" t="n"/>
    </row>
    <row r="314">
      <c r="A314" t="inlineStr">
        <is>
          <t>ENC112452</t>
        </is>
      </c>
      <c r="B314" t="inlineStr">
        <is>
          <t>PT11376</t>
        </is>
      </c>
      <c r="C314" t="inlineStr">
        <is>
          <t>Outpatient</t>
        </is>
      </c>
      <c r="D314" t="inlineStr">
        <is>
          <t>F04</t>
        </is>
      </c>
      <c r="E314" t="inlineStr">
        <is>
          <t>D400</t>
        </is>
      </c>
      <c r="G314" s="32" t="n">
        <v>45706.35416666666</v>
      </c>
      <c r="H314" s="32" t="n">
        <v>45706.36666666667</v>
      </c>
      <c r="I314" t="inlineStr">
        <is>
          <t>Z23</t>
        </is>
      </c>
      <c r="J314" t="inlineStr">
        <is>
          <t>PY01</t>
        </is>
      </c>
      <c r="K314" s="33" t="n">
        <v>123.55</v>
      </c>
      <c r="L314" s="34" t="n"/>
    </row>
    <row r="315">
      <c r="A315" t="inlineStr">
        <is>
          <t>ENC112457</t>
        </is>
      </c>
      <c r="B315" t="inlineStr">
        <is>
          <t>PT12138</t>
        </is>
      </c>
      <c r="C315" t="inlineStr">
        <is>
          <t>Outpatient</t>
        </is>
      </c>
      <c r="D315" t="inlineStr">
        <is>
          <t>F04</t>
        </is>
      </c>
      <c r="E315" t="inlineStr">
        <is>
          <t>D400</t>
        </is>
      </c>
      <c r="G315" s="32" t="n">
        <v>45706.4375</v>
      </c>
      <c r="H315" s="32" t="n">
        <v>45706.45555555556</v>
      </c>
      <c r="I315" t="inlineStr">
        <is>
          <t>J06.9</t>
        </is>
      </c>
      <c r="J315" t="inlineStr">
        <is>
          <t>PY01</t>
        </is>
      </c>
      <c r="K315" s="33" t="n">
        <v>197.97</v>
      </c>
      <c r="L315" s="34" t="n"/>
    </row>
    <row r="316">
      <c r="A316" t="inlineStr">
        <is>
          <t>ENC112463</t>
        </is>
      </c>
      <c r="B316" t="inlineStr">
        <is>
          <t>PT11310</t>
        </is>
      </c>
      <c r="C316" t="inlineStr">
        <is>
          <t>Outpatient</t>
        </is>
      </c>
      <c r="D316" t="inlineStr">
        <is>
          <t>F04</t>
        </is>
      </c>
      <c r="E316" t="inlineStr">
        <is>
          <t>D400</t>
        </is>
      </c>
      <c r="G316" s="32" t="n">
        <v>45706.48958333334</v>
      </c>
      <c r="H316" s="32" t="n">
        <v>45706.51597222222</v>
      </c>
      <c r="I316" t="inlineStr">
        <is>
          <t>Z00.00</t>
        </is>
      </c>
      <c r="J316" t="inlineStr">
        <is>
          <t>PY01</t>
        </is>
      </c>
      <c r="K316" s="33" t="n">
        <v>251.92</v>
      </c>
      <c r="L316" s="34" t="n"/>
    </row>
    <row r="317">
      <c r="A317" t="inlineStr">
        <is>
          <t>ENC112469</t>
        </is>
      </c>
      <c r="B317" t="inlineStr">
        <is>
          <t>PT12855</t>
        </is>
      </c>
      <c r="C317" t="inlineStr">
        <is>
          <t>Outpatient</t>
        </is>
      </c>
      <c r="D317" t="inlineStr">
        <is>
          <t>F04</t>
        </is>
      </c>
      <c r="E317" t="inlineStr">
        <is>
          <t>D430</t>
        </is>
      </c>
      <c r="G317" s="32" t="n">
        <v>45706.55208333334</v>
      </c>
      <c r="H317" s="32" t="n">
        <v>45706.76041666666</v>
      </c>
      <c r="I317" t="inlineStr">
        <is>
          <t>Z51.11</t>
        </is>
      </c>
      <c r="J317" t="inlineStr">
        <is>
          <t>PY05</t>
        </is>
      </c>
      <c r="K317" s="33" t="n">
        <v>9465.32</v>
      </c>
      <c r="L317" s="34" t="n"/>
    </row>
    <row r="318">
      <c r="A318" t="inlineStr">
        <is>
          <t>ENC112474</t>
        </is>
      </c>
      <c r="B318" t="inlineStr">
        <is>
          <t>PT12735</t>
        </is>
      </c>
      <c r="C318" t="inlineStr">
        <is>
          <t>Inpatient</t>
        </is>
      </c>
      <c r="D318" t="inlineStr">
        <is>
          <t>F01</t>
        </is>
      </c>
      <c r="E318" t="inlineStr">
        <is>
          <t>D110</t>
        </is>
      </c>
      <c r="F318" t="inlineStr">
        <is>
          <t>Direct Admit</t>
        </is>
      </c>
      <c r="G318" s="32" t="n">
        <v>45706.65972222222</v>
      </c>
      <c r="H318" s="32" t="n">
        <v>45715.475</v>
      </c>
      <c r="I318" t="inlineStr">
        <is>
          <t>J96.01</t>
        </is>
      </c>
      <c r="J318" t="inlineStr">
        <is>
          <t>PY03</t>
        </is>
      </c>
      <c r="K318" s="33" t="n">
        <v>75194</v>
      </c>
      <c r="L318" s="34" t="n"/>
    </row>
    <row r="319">
      <c r="A319" t="inlineStr">
        <is>
          <t>ENC112481</t>
        </is>
      </c>
      <c r="B319" t="inlineStr">
        <is>
          <t>PT11583</t>
        </is>
      </c>
      <c r="C319" t="inlineStr">
        <is>
          <t>Emergency</t>
        </is>
      </c>
      <c r="D319" t="inlineStr">
        <is>
          <t>F01</t>
        </is>
      </c>
      <c r="E319" t="inlineStr">
        <is>
          <t>D100</t>
        </is>
      </c>
      <c r="G319" s="32" t="n">
        <v>45706.81944444445</v>
      </c>
      <c r="H319" s="32" t="n">
        <v>45706.93541666667</v>
      </c>
      <c r="I319" t="inlineStr">
        <is>
          <t>J06.9</t>
        </is>
      </c>
      <c r="J319" t="inlineStr">
        <is>
          <t>PY03</t>
        </is>
      </c>
      <c r="K319" s="33" t="n">
        <v>1581.73</v>
      </c>
      <c r="L319" s="34" t="n"/>
    </row>
    <row r="320">
      <c r="A320" t="inlineStr">
        <is>
          <t>ENC112485</t>
        </is>
      </c>
      <c r="B320" t="inlineStr">
        <is>
          <t>PT11052</t>
        </is>
      </c>
      <c r="C320" t="inlineStr">
        <is>
          <t>Emergency</t>
        </is>
      </c>
      <c r="D320" t="inlineStr">
        <is>
          <t>F01</t>
        </is>
      </c>
      <c r="E320" t="inlineStr">
        <is>
          <t>D100</t>
        </is>
      </c>
      <c r="G320" s="32" t="n">
        <v>45707.30138888889</v>
      </c>
      <c r="H320" s="32" t="n">
        <v>45707.35902777778</v>
      </c>
      <c r="I320" t="inlineStr">
        <is>
          <t>H66.90</t>
        </is>
      </c>
      <c r="J320" t="inlineStr">
        <is>
          <t>PY05</t>
        </is>
      </c>
      <c r="K320" s="33" t="n">
        <v>476.6</v>
      </c>
      <c r="L320" s="34" t="n"/>
    </row>
    <row r="321">
      <c r="A321" t="inlineStr">
        <is>
          <t>ENC112490</t>
        </is>
      </c>
      <c r="B321" t="inlineStr">
        <is>
          <t>PT12892</t>
        </is>
      </c>
      <c r="C321" t="inlineStr">
        <is>
          <t>Inpatient</t>
        </is>
      </c>
      <c r="D321" t="inlineStr">
        <is>
          <t>F01</t>
        </is>
      </c>
      <c r="E321" t="inlineStr">
        <is>
          <t>D170</t>
        </is>
      </c>
      <c r="F321" t="inlineStr">
        <is>
          <t>Direct Admit</t>
        </is>
      </c>
      <c r="G321" s="32" t="n">
        <v>45707.37291666667</v>
      </c>
      <c r="H321" s="32" t="n">
        <v>45709.42152777778</v>
      </c>
      <c r="I321" t="inlineStr">
        <is>
          <t>O82</t>
        </is>
      </c>
      <c r="J321" t="inlineStr">
        <is>
          <t>PY06</t>
        </is>
      </c>
      <c r="K321" s="33" t="n">
        <v>29862.82</v>
      </c>
      <c r="L321" s="34" t="n"/>
    </row>
    <row r="322">
      <c r="A322" t="inlineStr">
        <is>
          <t>ENC112498</t>
        </is>
      </c>
      <c r="B322" t="inlineStr">
        <is>
          <t>PT10891</t>
        </is>
      </c>
      <c r="C322" t="inlineStr">
        <is>
          <t>Outpatient</t>
        </is>
      </c>
      <c r="D322" t="inlineStr">
        <is>
          <t>F04</t>
        </is>
      </c>
      <c r="E322" t="inlineStr">
        <is>
          <t>D400</t>
        </is>
      </c>
      <c r="G322" s="32" t="n">
        <v>45707.45833333334</v>
      </c>
      <c r="H322" s="32" t="n">
        <v>45707.47569444445</v>
      </c>
      <c r="I322" t="inlineStr">
        <is>
          <t>J45.909</t>
        </is>
      </c>
      <c r="J322" t="inlineStr">
        <is>
          <t>PY01</t>
        </is>
      </c>
      <c r="K322" s="33" t="n">
        <v>320.34</v>
      </c>
      <c r="L322" s="34" t="n"/>
    </row>
    <row r="323">
      <c r="A323" t="inlineStr">
        <is>
          <t>ENC112503</t>
        </is>
      </c>
      <c r="B323" t="inlineStr">
        <is>
          <t>PT13925</t>
        </is>
      </c>
      <c r="C323" t="inlineStr">
        <is>
          <t>Outpatient</t>
        </is>
      </c>
      <c r="D323" t="inlineStr">
        <is>
          <t>F04</t>
        </is>
      </c>
      <c r="E323" t="inlineStr">
        <is>
          <t>D420</t>
        </is>
      </c>
      <c r="G323" s="32" t="n">
        <v>45707.51041666666</v>
      </c>
      <c r="H323" s="32" t="n">
        <v>45707.53819444445</v>
      </c>
      <c r="I323" t="inlineStr">
        <is>
          <t>M16.11</t>
        </is>
      </c>
      <c r="J323" t="inlineStr">
        <is>
          <t>PY01</t>
        </is>
      </c>
      <c r="K323" s="33" t="n">
        <v>297.15</v>
      </c>
      <c r="L323" s="34" t="n"/>
    </row>
    <row r="324">
      <c r="A324" t="inlineStr">
        <is>
          <t>ENC112510</t>
        </is>
      </c>
      <c r="B324" t="inlineStr">
        <is>
          <t>PT13066</t>
        </is>
      </c>
      <c r="C324" t="inlineStr">
        <is>
          <t>Outpatient</t>
        </is>
      </c>
      <c r="D324" t="inlineStr">
        <is>
          <t>F04</t>
        </is>
      </c>
      <c r="E324" t="inlineStr">
        <is>
          <t>D400</t>
        </is>
      </c>
      <c r="G324" s="32" t="n">
        <v>45707.5625</v>
      </c>
      <c r="H324" s="32" t="n">
        <v>45707.58402777778</v>
      </c>
      <c r="I324" t="inlineStr">
        <is>
          <t>Z23</t>
        </is>
      </c>
      <c r="J324" t="inlineStr">
        <is>
          <t>PY07</t>
        </is>
      </c>
      <c r="K324" s="33" t="n">
        <v>108.13</v>
      </c>
      <c r="L324" s="34" t="n"/>
    </row>
    <row r="325">
      <c r="A325" t="inlineStr">
        <is>
          <t>ENC112507</t>
        </is>
      </c>
      <c r="B325" t="inlineStr">
        <is>
          <t>PT11713</t>
        </is>
      </c>
      <c r="C325" t="inlineStr">
        <is>
          <t>Inpatient</t>
        </is>
      </c>
      <c r="D325" t="inlineStr">
        <is>
          <t>F01</t>
        </is>
      </c>
      <c r="E325" t="inlineStr">
        <is>
          <t>D110</t>
        </is>
      </c>
      <c r="F325" t="inlineStr">
        <is>
          <t>Emergency Department</t>
        </is>
      </c>
      <c r="G325" s="32" t="n">
        <v>45707.63402777778</v>
      </c>
      <c r="H325" s="32" t="n">
        <v>45712.65694444445</v>
      </c>
      <c r="I325" t="inlineStr">
        <is>
          <t>K92.2</t>
        </is>
      </c>
      <c r="J325" t="inlineStr">
        <is>
          <t>PY02</t>
        </is>
      </c>
      <c r="K325" s="33" t="n">
        <v>28753.06</v>
      </c>
      <c r="L325" s="34" t="n"/>
    </row>
    <row r="326">
      <c r="A326" t="inlineStr">
        <is>
          <t>ENC112520</t>
        </is>
      </c>
      <c r="B326" t="inlineStr">
        <is>
          <t>PT13752</t>
        </is>
      </c>
      <c r="C326" t="inlineStr">
        <is>
          <t>Emergency</t>
        </is>
      </c>
      <c r="D326" t="inlineStr">
        <is>
          <t>F01</t>
        </is>
      </c>
      <c r="E326" t="inlineStr">
        <is>
          <t>D100</t>
        </is>
      </c>
      <c r="G326" s="32" t="n">
        <v>45707.69236111111</v>
      </c>
      <c r="H326" s="32" t="n">
        <v>45707.78888888889</v>
      </c>
      <c r="I326" t="inlineStr">
        <is>
          <t>U07.1</t>
        </is>
      </c>
      <c r="J326" t="inlineStr">
        <is>
          <t>PY03</t>
        </is>
      </c>
      <c r="K326" s="33" t="n">
        <v>1546.7</v>
      </c>
      <c r="L326" s="34" t="n"/>
    </row>
    <row r="327">
      <c r="A327" t="inlineStr">
        <is>
          <t>ENC112524</t>
        </is>
      </c>
      <c r="B327" t="inlineStr">
        <is>
          <t>PT10112</t>
        </is>
      </c>
      <c r="C327" t="inlineStr">
        <is>
          <t>Inpatient</t>
        </is>
      </c>
      <c r="D327" t="inlineStr">
        <is>
          <t>F01</t>
        </is>
      </c>
      <c r="E327" t="inlineStr">
        <is>
          <t>D130</t>
        </is>
      </c>
      <c r="F327" t="inlineStr">
        <is>
          <t>Emergency Department</t>
        </is>
      </c>
      <c r="G327" s="32" t="n">
        <v>45707.86527777778</v>
      </c>
      <c r="H327" s="32" t="n">
        <v>45714.39583333334</v>
      </c>
      <c r="I327" t="inlineStr">
        <is>
          <t>J96.01</t>
        </is>
      </c>
      <c r="J327" t="inlineStr">
        <is>
          <t>PY02</t>
        </is>
      </c>
      <c r="K327" s="33" t="n">
        <v>55458.39</v>
      </c>
      <c r="L327" s="34" t="n"/>
    </row>
    <row r="328">
      <c r="A328" t="inlineStr">
        <is>
          <t>ENC112530</t>
        </is>
      </c>
      <c r="B328" t="inlineStr">
        <is>
          <t>PT10264</t>
        </is>
      </c>
      <c r="C328" t="inlineStr">
        <is>
          <t>Emergency</t>
        </is>
      </c>
      <c r="D328" t="inlineStr">
        <is>
          <t>F01</t>
        </is>
      </c>
      <c r="E328" t="inlineStr">
        <is>
          <t>D100</t>
        </is>
      </c>
      <c r="G328" s="32" t="n">
        <v>45707.92708333334</v>
      </c>
      <c r="H328" s="32" t="n">
        <v>45708.05277777778</v>
      </c>
      <c r="I328" t="inlineStr">
        <is>
          <t>J45.909</t>
        </is>
      </c>
      <c r="J328" t="inlineStr">
        <is>
          <t>PY04</t>
        </is>
      </c>
      <c r="K328" s="33" t="n">
        <v>2632.22</v>
      </c>
      <c r="L328" s="34" t="n"/>
    </row>
    <row r="329">
      <c r="A329" t="inlineStr">
        <is>
          <t>ENC112538</t>
        </is>
      </c>
      <c r="B329" t="inlineStr">
        <is>
          <t>PT12033</t>
        </is>
      </c>
      <c r="C329" t="inlineStr">
        <is>
          <t>Outpatient</t>
        </is>
      </c>
      <c r="D329" t="inlineStr">
        <is>
          <t>F04</t>
        </is>
      </c>
      <c r="E329" t="inlineStr">
        <is>
          <t>D430</t>
        </is>
      </c>
      <c r="G329" s="32" t="n">
        <v>45708.35416666666</v>
      </c>
      <c r="H329" s="32" t="n">
        <v>45708.37986111111</v>
      </c>
      <c r="I329" t="inlineStr">
        <is>
          <t>C34.90</t>
        </is>
      </c>
      <c r="J329" t="inlineStr">
        <is>
          <t>PY05</t>
        </is>
      </c>
      <c r="K329" s="33" t="n">
        <v>690.6900000000001</v>
      </c>
      <c r="L329" s="34" t="n"/>
    </row>
    <row r="330">
      <c r="A330" t="inlineStr">
        <is>
          <t>ENC112542</t>
        </is>
      </c>
      <c r="B330" t="inlineStr">
        <is>
          <t>PT12411</t>
        </is>
      </c>
      <c r="C330" t="inlineStr">
        <is>
          <t>Outpatient</t>
        </is>
      </c>
      <c r="D330" t="inlineStr">
        <is>
          <t>F04</t>
        </is>
      </c>
      <c r="E330" t="inlineStr">
        <is>
          <t>D400</t>
        </is>
      </c>
      <c r="G330" s="32" t="n">
        <v>45708.42708333334</v>
      </c>
      <c r="H330" s="32" t="n">
        <v>45708.44166666667</v>
      </c>
      <c r="I330" t="inlineStr">
        <is>
          <t>E78.5</t>
        </is>
      </c>
      <c r="J330" t="inlineStr">
        <is>
          <t>PY05</t>
        </is>
      </c>
      <c r="K330" s="33" t="n">
        <v>172.82</v>
      </c>
      <c r="L330" s="34" t="n"/>
    </row>
    <row r="331">
      <c r="A331" t="inlineStr">
        <is>
          <t>ENC112548</t>
        </is>
      </c>
      <c r="B331" t="inlineStr">
        <is>
          <t>PT12105</t>
        </is>
      </c>
      <c r="C331" t="inlineStr">
        <is>
          <t>Emergency</t>
        </is>
      </c>
      <c r="D331" t="inlineStr">
        <is>
          <t>F01</t>
        </is>
      </c>
      <c r="E331" t="inlineStr">
        <is>
          <t>D100</t>
        </is>
      </c>
      <c r="G331" s="32" t="n">
        <v>45708.49097222222</v>
      </c>
      <c r="H331" s="32" t="n">
        <v>45708.59930555556</v>
      </c>
      <c r="I331" t="inlineStr">
        <is>
          <t>J06.9</t>
        </is>
      </c>
      <c r="J331" t="inlineStr">
        <is>
          <t>PY02</t>
        </is>
      </c>
      <c r="K331" s="33" t="n">
        <v>1055.08</v>
      </c>
      <c r="L331" s="34" t="n"/>
    </row>
    <row r="332">
      <c r="A332" t="inlineStr">
        <is>
          <t>ENC112554</t>
        </is>
      </c>
      <c r="B332" t="inlineStr">
        <is>
          <t>PT11078</t>
        </is>
      </c>
      <c r="C332" t="inlineStr">
        <is>
          <t>Outpatient</t>
        </is>
      </c>
      <c r="D332" t="inlineStr">
        <is>
          <t>F04</t>
        </is>
      </c>
      <c r="E332" t="inlineStr">
        <is>
          <t>D410</t>
        </is>
      </c>
      <c r="G332" s="32" t="n">
        <v>45708.54166666666</v>
      </c>
      <c r="H332" s="32" t="n">
        <v>45708.55555555555</v>
      </c>
      <c r="I332" t="inlineStr">
        <is>
          <t>I50.9</t>
        </is>
      </c>
      <c r="J332" t="inlineStr">
        <is>
          <t>PY07</t>
        </is>
      </c>
      <c r="K332" s="33" t="n">
        <v>89.17</v>
      </c>
      <c r="L332" s="34" t="n"/>
    </row>
    <row r="333">
      <c r="A333" t="inlineStr">
        <is>
          <t>ENC112550</t>
        </is>
      </c>
      <c r="B333" t="inlineStr">
        <is>
          <t>PT13354</t>
        </is>
      </c>
      <c r="C333" t="inlineStr">
        <is>
          <t>Inpatient</t>
        </is>
      </c>
      <c r="D333" t="inlineStr">
        <is>
          <t>F01</t>
        </is>
      </c>
      <c r="E333" t="inlineStr">
        <is>
          <t>D110</t>
        </is>
      </c>
      <c r="F333" t="inlineStr">
        <is>
          <t>Emergency Department</t>
        </is>
      </c>
      <c r="G333" s="32" t="n">
        <v>45708.60625</v>
      </c>
      <c r="H333" s="32" t="n">
        <v>45714.5125</v>
      </c>
      <c r="I333" t="inlineStr">
        <is>
          <t>J44.1</t>
        </is>
      </c>
      <c r="J333" t="inlineStr">
        <is>
          <t>PY01</t>
        </is>
      </c>
      <c r="K333" s="33" t="n">
        <v>25256.6</v>
      </c>
      <c r="L333" s="34" t="n"/>
    </row>
    <row r="334">
      <c r="A334" t="inlineStr">
        <is>
          <t>ENC112563</t>
        </is>
      </c>
      <c r="B334" t="inlineStr">
        <is>
          <t>PT13276</t>
        </is>
      </c>
      <c r="C334" t="inlineStr">
        <is>
          <t>Emergency</t>
        </is>
      </c>
      <c r="D334" t="inlineStr">
        <is>
          <t>F01</t>
        </is>
      </c>
      <c r="E334" t="inlineStr">
        <is>
          <t>D100</t>
        </is>
      </c>
      <c r="G334" s="32" t="n">
        <v>45708.68125</v>
      </c>
      <c r="H334" s="32" t="n">
        <v>45708.76319444444</v>
      </c>
      <c r="I334" t="inlineStr">
        <is>
          <t>J06.9</t>
        </is>
      </c>
      <c r="J334" t="inlineStr">
        <is>
          <t>PY04</t>
        </is>
      </c>
      <c r="K334" s="33" t="n">
        <v>1838.68</v>
      </c>
      <c r="L334" s="34" t="n"/>
    </row>
    <row r="335">
      <c r="A335" t="inlineStr">
        <is>
          <t>ENC112568</t>
        </is>
      </c>
      <c r="B335" t="inlineStr">
        <is>
          <t>PT10030</t>
        </is>
      </c>
      <c r="C335" t="inlineStr">
        <is>
          <t>Emergency</t>
        </is>
      </c>
      <c r="D335" t="inlineStr">
        <is>
          <t>F01</t>
        </is>
      </c>
      <c r="E335" t="inlineStr">
        <is>
          <t>D100</t>
        </is>
      </c>
      <c r="G335" s="32" t="n">
        <v>45708.75625</v>
      </c>
      <c r="H335" s="32" t="n">
        <v>45708.81875</v>
      </c>
      <c r="I335" t="inlineStr">
        <is>
          <t>J06.9</t>
        </is>
      </c>
      <c r="J335" t="inlineStr">
        <is>
          <t>PY01</t>
        </is>
      </c>
      <c r="K335" s="33" t="n">
        <v>2085.3</v>
      </c>
      <c r="L335" s="34" t="n"/>
    </row>
    <row r="336">
      <c r="A336" t="inlineStr">
        <is>
          <t>ENC112574</t>
        </is>
      </c>
      <c r="B336" t="inlineStr">
        <is>
          <t>PT11584</t>
        </is>
      </c>
      <c r="C336" t="inlineStr">
        <is>
          <t>Emergency</t>
        </is>
      </c>
      <c r="D336" t="inlineStr">
        <is>
          <t>F01</t>
        </is>
      </c>
      <c r="E336" t="inlineStr">
        <is>
          <t>D100</t>
        </is>
      </c>
      <c r="G336" s="32" t="n">
        <v>45708.87777777778</v>
      </c>
      <c r="H336" s="32" t="n">
        <v>45708.95763888889</v>
      </c>
      <c r="I336" t="inlineStr">
        <is>
          <t>J06.9</t>
        </is>
      </c>
      <c r="J336" t="inlineStr">
        <is>
          <t>PY04</t>
        </is>
      </c>
      <c r="K336" s="33" t="n">
        <v>725.08</v>
      </c>
      <c r="L336" s="34" t="n"/>
    </row>
    <row r="337">
      <c r="A337" t="inlineStr">
        <is>
          <t>ENC112581</t>
        </is>
      </c>
      <c r="B337" t="inlineStr">
        <is>
          <t>PT11678</t>
        </is>
      </c>
      <c r="C337" t="inlineStr">
        <is>
          <t>Outpatient</t>
        </is>
      </c>
      <c r="D337" t="inlineStr">
        <is>
          <t>F04</t>
        </is>
      </c>
      <c r="E337" t="inlineStr">
        <is>
          <t>D400</t>
        </is>
      </c>
      <c r="G337" s="32" t="n">
        <v>45709.375</v>
      </c>
      <c r="H337" s="32" t="n">
        <v>45709.40277777778</v>
      </c>
      <c r="I337" t="inlineStr">
        <is>
          <t>J06.9</t>
        </is>
      </c>
      <c r="J337" t="inlineStr">
        <is>
          <t>PY01</t>
        </is>
      </c>
      <c r="K337" s="33" t="n">
        <v>282.54</v>
      </c>
      <c r="L337" s="34" t="n"/>
    </row>
    <row r="338">
      <c r="A338" t="inlineStr">
        <is>
          <t>ENC112586</t>
        </is>
      </c>
      <c r="B338" t="inlineStr">
        <is>
          <t>PT11017</t>
        </is>
      </c>
      <c r="C338" t="inlineStr">
        <is>
          <t>Emergency</t>
        </is>
      </c>
      <c r="D338" t="inlineStr">
        <is>
          <t>F01</t>
        </is>
      </c>
      <c r="E338" t="inlineStr">
        <is>
          <t>D100</t>
        </is>
      </c>
      <c r="G338" s="32" t="n">
        <v>45709.45347222222</v>
      </c>
      <c r="H338" s="32" t="n">
        <v>45709.61111111111</v>
      </c>
      <c r="I338" t="inlineStr">
        <is>
          <t>F20.9</t>
        </is>
      </c>
      <c r="J338" t="inlineStr">
        <is>
          <t>PY05</t>
        </is>
      </c>
      <c r="K338" s="33" t="n">
        <v>2772.67</v>
      </c>
      <c r="L338" s="34" t="n"/>
    </row>
    <row r="339">
      <c r="A339" t="inlineStr">
        <is>
          <t>ENC112590</t>
        </is>
      </c>
      <c r="B339" t="inlineStr">
        <is>
          <t>PT11410</t>
        </is>
      </c>
      <c r="C339" t="inlineStr">
        <is>
          <t>Emergency</t>
        </is>
      </c>
      <c r="D339" t="inlineStr">
        <is>
          <t>F01</t>
        </is>
      </c>
      <c r="E339" t="inlineStr">
        <is>
          <t>D100</t>
        </is>
      </c>
      <c r="G339" s="32" t="n">
        <v>45709.47361111111</v>
      </c>
      <c r="H339" s="32" t="n">
        <v>45709.57986111111</v>
      </c>
      <c r="I339" t="inlineStr">
        <is>
          <t>H66.90</t>
        </is>
      </c>
      <c r="J339" t="inlineStr">
        <is>
          <t>PY05</t>
        </is>
      </c>
      <c r="K339" s="33" t="n">
        <v>647.55</v>
      </c>
      <c r="L339" s="34" t="n"/>
    </row>
    <row r="340">
      <c r="A340" t="inlineStr">
        <is>
          <t>ENC112596</t>
        </is>
      </c>
      <c r="B340" t="inlineStr">
        <is>
          <t>PT12570</t>
        </is>
      </c>
      <c r="C340" t="inlineStr">
        <is>
          <t>Emergency</t>
        </is>
      </c>
      <c r="D340" t="inlineStr">
        <is>
          <t>F01</t>
        </is>
      </c>
      <c r="E340" t="inlineStr">
        <is>
          <t>D100</t>
        </is>
      </c>
      <c r="G340" s="32" t="n">
        <v>45709.52222222222</v>
      </c>
      <c r="H340" s="32" t="n">
        <v>45709.60555555556</v>
      </c>
      <c r="I340" t="inlineStr">
        <is>
          <t>J06.9</t>
        </is>
      </c>
      <c r="J340" t="inlineStr">
        <is>
          <t>PY02</t>
        </is>
      </c>
      <c r="K340" s="33" t="n">
        <v>478.28</v>
      </c>
      <c r="L340" s="34" t="n"/>
    </row>
    <row r="341">
      <c r="A341" t="inlineStr">
        <is>
          <t>ENC112603</t>
        </is>
      </c>
      <c r="B341" t="inlineStr">
        <is>
          <t>PT12512</t>
        </is>
      </c>
      <c r="C341" t="inlineStr">
        <is>
          <t>Outpatient</t>
        </is>
      </c>
      <c r="D341" t="inlineStr">
        <is>
          <t>F04</t>
        </is>
      </c>
      <c r="E341" t="inlineStr">
        <is>
          <t>D400</t>
        </is>
      </c>
      <c r="G341" s="32" t="n">
        <v>45709.59375</v>
      </c>
      <c r="H341" s="32" t="n">
        <v>45709.61527777778</v>
      </c>
      <c r="I341" t="inlineStr">
        <is>
          <t>Z00.00</t>
        </is>
      </c>
      <c r="J341" t="inlineStr">
        <is>
          <t>PY04</t>
        </is>
      </c>
      <c r="K341" s="33" t="n">
        <v>385.69</v>
      </c>
      <c r="L341" s="34" t="n"/>
    </row>
    <row r="342">
      <c r="A342" t="inlineStr">
        <is>
          <t>ENC112600</t>
        </is>
      </c>
      <c r="B342" t="inlineStr">
        <is>
          <t>PT10194</t>
        </is>
      </c>
      <c r="C342" t="inlineStr">
        <is>
          <t>Inpatient</t>
        </is>
      </c>
      <c r="D342" t="inlineStr">
        <is>
          <t>F01</t>
        </is>
      </c>
      <c r="E342" t="inlineStr">
        <is>
          <t>D190</t>
        </is>
      </c>
      <c r="F342" t="inlineStr">
        <is>
          <t>Emergency Department</t>
        </is>
      </c>
      <c r="G342" s="32" t="n">
        <v>45709.68611111111</v>
      </c>
      <c r="H342" s="32" t="n">
        <v>45714.52430555555</v>
      </c>
      <c r="I342" t="inlineStr">
        <is>
          <t>F32.9</t>
        </is>
      </c>
      <c r="J342" t="inlineStr">
        <is>
          <t>PY06</t>
        </is>
      </c>
      <c r="K342" s="33" t="n">
        <v>11447.28</v>
      </c>
      <c r="L342" s="34" t="n"/>
    </row>
    <row r="343">
      <c r="A343" t="inlineStr">
        <is>
          <t>ENC112613</t>
        </is>
      </c>
      <c r="B343" t="inlineStr">
        <is>
          <t>PT13997</t>
        </is>
      </c>
      <c r="C343" t="inlineStr">
        <is>
          <t>Inpatient</t>
        </is>
      </c>
      <c r="D343" t="inlineStr">
        <is>
          <t>F01</t>
        </is>
      </c>
      <c r="E343" t="inlineStr">
        <is>
          <t>D111</t>
        </is>
      </c>
      <c r="F343" t="inlineStr">
        <is>
          <t>Direct Admit</t>
        </is>
      </c>
      <c r="G343" s="32" t="n">
        <v>45710.26458333333</v>
      </c>
      <c r="H343" s="32" t="n">
        <v>45713.66666666666</v>
      </c>
      <c r="I343" t="inlineStr">
        <is>
          <t>J44.1</t>
        </is>
      </c>
      <c r="J343" t="inlineStr">
        <is>
          <t>PY05</t>
        </is>
      </c>
      <c r="K343" s="33" t="n">
        <v>14842.97</v>
      </c>
      <c r="L343" s="34" t="n"/>
    </row>
    <row r="344">
      <c r="A344" t="inlineStr">
        <is>
          <t>ENC112619</t>
        </is>
      </c>
      <c r="B344" t="inlineStr">
        <is>
          <t>PT12629</t>
        </is>
      </c>
      <c r="C344" t="inlineStr">
        <is>
          <t>Emergency</t>
        </is>
      </c>
      <c r="D344" t="inlineStr">
        <is>
          <t>F03</t>
        </is>
      </c>
      <c r="E344" t="inlineStr">
        <is>
          <t>D300</t>
        </is>
      </c>
      <c r="G344" s="32" t="n">
        <v>45710.42013888889</v>
      </c>
      <c r="H344" s="32" t="n">
        <v>45710.52222222222</v>
      </c>
      <c r="I344" t="inlineStr">
        <is>
          <t>J06.9</t>
        </is>
      </c>
      <c r="J344" t="inlineStr">
        <is>
          <t>PY03</t>
        </is>
      </c>
      <c r="K344" s="33" t="n">
        <v>1229.55</v>
      </c>
      <c r="L344" s="34" t="n"/>
    </row>
    <row r="345">
      <c r="A345" t="inlineStr">
        <is>
          <t>ENC112624</t>
        </is>
      </c>
      <c r="B345" t="inlineStr">
        <is>
          <t>PT11436</t>
        </is>
      </c>
      <c r="C345" t="inlineStr">
        <is>
          <t>Emergency</t>
        </is>
      </c>
      <c r="D345" t="inlineStr">
        <is>
          <t>F01</t>
        </is>
      </c>
      <c r="E345" t="inlineStr">
        <is>
          <t>D100</t>
        </is>
      </c>
      <c r="G345" s="32" t="n">
        <v>45710.625</v>
      </c>
      <c r="H345" s="32" t="n">
        <v>45710.69166666667</v>
      </c>
      <c r="I345" t="inlineStr">
        <is>
          <t>F32.9</t>
        </is>
      </c>
      <c r="J345" t="inlineStr">
        <is>
          <t>PY02</t>
        </is>
      </c>
      <c r="K345" s="33" t="n">
        <v>1594.43</v>
      </c>
      <c r="L345" s="34" t="n"/>
    </row>
    <row r="346">
      <c r="A346" t="inlineStr">
        <is>
          <t>ENC112626</t>
        </is>
      </c>
      <c r="B346" t="inlineStr">
        <is>
          <t>PT11095</t>
        </is>
      </c>
      <c r="C346" t="inlineStr">
        <is>
          <t>Inpatient</t>
        </is>
      </c>
      <c r="D346" t="inlineStr">
        <is>
          <t>F01</t>
        </is>
      </c>
      <c r="E346" t="inlineStr">
        <is>
          <t>D111</t>
        </is>
      </c>
      <c r="F346" t="inlineStr">
        <is>
          <t>Emergency Department</t>
        </is>
      </c>
      <c r="G346" s="32" t="n">
        <v>45710.78958333333</v>
      </c>
      <c r="H346" s="32" t="n">
        <v>45712.67638888889</v>
      </c>
      <c r="I346" t="inlineStr">
        <is>
          <t>J45.909</t>
        </is>
      </c>
      <c r="J346" t="inlineStr">
        <is>
          <t>PY06</t>
        </is>
      </c>
      <c r="K346" s="33" t="n">
        <v>16552.61</v>
      </c>
      <c r="L346" s="34" t="n"/>
    </row>
    <row r="347">
      <c r="A347" t="inlineStr">
        <is>
          <t>ENC112635</t>
        </is>
      </c>
      <c r="B347" t="inlineStr">
        <is>
          <t>PT12366</t>
        </is>
      </c>
      <c r="C347" t="inlineStr">
        <is>
          <t>Emergency</t>
        </is>
      </c>
      <c r="D347" t="inlineStr">
        <is>
          <t>F01</t>
        </is>
      </c>
      <c r="E347" t="inlineStr">
        <is>
          <t>D100</t>
        </is>
      </c>
      <c r="G347" s="32" t="n">
        <v>45710.92291666667</v>
      </c>
      <c r="H347" s="32" t="n">
        <v>45710.98541666667</v>
      </c>
      <c r="I347" t="inlineStr">
        <is>
          <t>J06.9</t>
        </is>
      </c>
      <c r="J347" t="inlineStr">
        <is>
          <t>PY06</t>
        </is>
      </c>
      <c r="K347" s="33" t="n">
        <v>759.35</v>
      </c>
      <c r="L347" s="34" t="n"/>
    </row>
    <row r="348">
      <c r="A348" t="inlineStr">
        <is>
          <t>ENC112641</t>
        </is>
      </c>
      <c r="B348" t="inlineStr">
        <is>
          <t>PT10224</t>
        </is>
      </c>
      <c r="C348" t="inlineStr">
        <is>
          <t>Emergency</t>
        </is>
      </c>
      <c r="D348" t="inlineStr">
        <is>
          <t>F01</t>
        </is>
      </c>
      <c r="E348" t="inlineStr">
        <is>
          <t>D100</t>
        </is>
      </c>
      <c r="G348" s="32" t="n">
        <v>45711.49930555555</v>
      </c>
      <c r="H348" s="32" t="n">
        <v>45711.58194444444</v>
      </c>
      <c r="I348" t="inlineStr">
        <is>
          <t>J06.9</t>
        </is>
      </c>
      <c r="J348" t="inlineStr">
        <is>
          <t>PY04</t>
        </is>
      </c>
      <c r="K348" s="33" t="n">
        <v>775.48</v>
      </c>
      <c r="L348" s="34" t="n"/>
    </row>
    <row r="349">
      <c r="A349" t="inlineStr">
        <is>
          <t>ENC112648</t>
        </is>
      </c>
      <c r="B349" t="inlineStr">
        <is>
          <t>PT11532</t>
        </is>
      </c>
      <c r="C349" t="inlineStr">
        <is>
          <t>Emergency</t>
        </is>
      </c>
      <c r="D349" t="inlineStr">
        <is>
          <t>F01</t>
        </is>
      </c>
      <c r="E349" t="inlineStr">
        <is>
          <t>D100</t>
        </is>
      </c>
      <c r="G349" s="32" t="n">
        <v>45711.73472222222</v>
      </c>
      <c r="H349" s="32" t="n">
        <v>45711.86111111111</v>
      </c>
      <c r="I349" t="inlineStr">
        <is>
          <t>I50.9</t>
        </is>
      </c>
      <c r="J349" t="inlineStr">
        <is>
          <t>PY01</t>
        </is>
      </c>
      <c r="K349" s="33" t="n">
        <v>4391.79</v>
      </c>
      <c r="L349" s="34" t="n"/>
    </row>
    <row r="350">
      <c r="A350" t="inlineStr">
        <is>
          <t>ENC112653</t>
        </is>
      </c>
      <c r="B350" t="inlineStr">
        <is>
          <t>PT11614</t>
        </is>
      </c>
      <c r="C350" t="inlineStr">
        <is>
          <t>Inpatient</t>
        </is>
      </c>
      <c r="D350" t="inlineStr">
        <is>
          <t>F01</t>
        </is>
      </c>
      <c r="E350" t="inlineStr">
        <is>
          <t>D170</t>
        </is>
      </c>
      <c r="F350" t="inlineStr">
        <is>
          <t>Direct Admit</t>
        </is>
      </c>
      <c r="G350" s="32" t="n">
        <v>45711.97916666666</v>
      </c>
      <c r="H350" s="32" t="n">
        <v>45713.49652777778</v>
      </c>
      <c r="I350" t="inlineStr">
        <is>
          <t>O82</t>
        </is>
      </c>
      <c r="J350" t="inlineStr">
        <is>
          <t>PY07</t>
        </is>
      </c>
      <c r="K350" s="33" t="n">
        <v>13180.64</v>
      </c>
      <c r="L350" s="34" t="n"/>
    </row>
    <row r="351">
      <c r="A351" t="inlineStr">
        <is>
          <t>ENC112657</t>
        </is>
      </c>
      <c r="B351" t="inlineStr">
        <is>
          <t>PT13758</t>
        </is>
      </c>
      <c r="C351" t="inlineStr">
        <is>
          <t>Inpatient</t>
        </is>
      </c>
      <c r="D351" t="inlineStr">
        <is>
          <t>F01</t>
        </is>
      </c>
      <c r="E351" t="inlineStr">
        <is>
          <t>D140</t>
        </is>
      </c>
      <c r="F351" t="inlineStr">
        <is>
          <t>Elective</t>
        </is>
      </c>
      <c r="G351" s="32" t="n">
        <v>45712.28541666667</v>
      </c>
      <c r="H351" s="32" t="n">
        <v>45714.71388888889</v>
      </c>
      <c r="I351" t="inlineStr">
        <is>
          <t>M17.11</t>
        </is>
      </c>
      <c r="J351" t="inlineStr">
        <is>
          <t>PY04</t>
        </is>
      </c>
      <c r="K351" s="33" t="n">
        <v>67030.2</v>
      </c>
      <c r="L351" s="34" t="n"/>
    </row>
    <row r="352">
      <c r="A352" t="inlineStr">
        <is>
          <t>ENC112664</t>
        </is>
      </c>
      <c r="B352" t="inlineStr">
        <is>
          <t>PT12824</t>
        </is>
      </c>
      <c r="C352" t="inlineStr">
        <is>
          <t>Emergency</t>
        </is>
      </c>
      <c r="D352" t="inlineStr">
        <is>
          <t>F03</t>
        </is>
      </c>
      <c r="E352" t="inlineStr">
        <is>
          <t>D300</t>
        </is>
      </c>
      <c r="G352" s="32" t="n">
        <v>45712.38819444444</v>
      </c>
      <c r="H352" s="32" t="n">
        <v>45712.48680555556</v>
      </c>
      <c r="I352" t="inlineStr">
        <is>
          <t>N39.0</t>
        </is>
      </c>
      <c r="J352" t="inlineStr">
        <is>
          <t>PY02</t>
        </is>
      </c>
      <c r="K352" s="33" t="n">
        <v>6693.58</v>
      </c>
      <c r="L352" s="34" t="n"/>
    </row>
    <row r="353">
      <c r="A353" t="inlineStr">
        <is>
          <t>ENC112670</t>
        </is>
      </c>
      <c r="B353" t="inlineStr">
        <is>
          <t>PT13439</t>
        </is>
      </c>
      <c r="C353" t="inlineStr">
        <is>
          <t>Outpatient</t>
        </is>
      </c>
      <c r="D353" t="inlineStr">
        <is>
          <t>F04</t>
        </is>
      </c>
      <c r="E353" t="inlineStr">
        <is>
          <t>D400</t>
        </is>
      </c>
      <c r="G353" s="32" t="n">
        <v>45712.4375</v>
      </c>
      <c r="H353" s="32" t="n">
        <v>45712.46180555555</v>
      </c>
      <c r="I353" t="inlineStr">
        <is>
          <t>J06.9</t>
        </is>
      </c>
      <c r="J353" t="inlineStr">
        <is>
          <t>PY02</t>
        </is>
      </c>
      <c r="K353" s="33" t="n">
        <v>199.74</v>
      </c>
      <c r="L353" s="34" t="n"/>
    </row>
    <row r="354">
      <c r="A354" t="inlineStr">
        <is>
          <t>ENC112677</t>
        </is>
      </c>
      <c r="B354" t="inlineStr">
        <is>
          <t>PT12605</t>
        </is>
      </c>
      <c r="C354" t="inlineStr">
        <is>
          <t>Outpatient</t>
        </is>
      </c>
      <c r="D354" t="inlineStr">
        <is>
          <t>F04</t>
        </is>
      </c>
      <c r="E354" t="inlineStr">
        <is>
          <t>D430</t>
        </is>
      </c>
      <c r="G354" s="32" t="n">
        <v>45712.48958333334</v>
      </c>
      <c r="H354" s="32" t="n">
        <v>45712.71319444444</v>
      </c>
      <c r="I354" t="inlineStr">
        <is>
          <t>Z51.11</t>
        </is>
      </c>
      <c r="J354" t="inlineStr">
        <is>
          <t>PY02</t>
        </is>
      </c>
      <c r="K354" s="33" t="n">
        <v>16578.65</v>
      </c>
      <c r="L354" s="34" t="n"/>
    </row>
    <row r="355">
      <c r="A355" t="inlineStr">
        <is>
          <t>ENC112685</t>
        </is>
      </c>
      <c r="B355" t="inlineStr">
        <is>
          <t>PT13797</t>
        </is>
      </c>
      <c r="C355" t="inlineStr">
        <is>
          <t>Outpatient</t>
        </is>
      </c>
      <c r="D355" t="inlineStr">
        <is>
          <t>F04</t>
        </is>
      </c>
      <c r="E355" t="inlineStr">
        <is>
          <t>D420</t>
        </is>
      </c>
      <c r="G355" s="32" t="n">
        <v>45712.52083333334</v>
      </c>
      <c r="H355" s="32" t="n">
        <v>45712.54583333333</v>
      </c>
      <c r="I355" t="inlineStr">
        <is>
          <t>S93.401A</t>
        </is>
      </c>
      <c r="J355" t="inlineStr">
        <is>
          <t>PY06</t>
        </is>
      </c>
      <c r="K355" s="33" t="n">
        <v>131.76</v>
      </c>
      <c r="L355" s="34" t="n"/>
    </row>
    <row r="356">
      <c r="A356" t="inlineStr">
        <is>
          <t>ENC112662</t>
        </is>
      </c>
      <c r="B356" t="inlineStr">
        <is>
          <t>PT12602</t>
        </is>
      </c>
      <c r="C356" t="inlineStr">
        <is>
          <t>Inpatient</t>
        </is>
      </c>
      <c r="D356" t="inlineStr">
        <is>
          <t>F01</t>
        </is>
      </c>
      <c r="E356" t="inlineStr">
        <is>
          <t>D190</t>
        </is>
      </c>
      <c r="F356" t="inlineStr">
        <is>
          <t>Emergency Department</t>
        </is>
      </c>
      <c r="G356" s="32" t="n">
        <v>45712.56388888889</v>
      </c>
      <c r="H356" s="32" t="n">
        <v>45716.75694444445</v>
      </c>
      <c r="I356" t="inlineStr">
        <is>
          <t>F20.9</t>
        </is>
      </c>
      <c r="J356" t="inlineStr">
        <is>
          <t>PY06</t>
        </is>
      </c>
      <c r="K356" s="33" t="n">
        <v>9692.34</v>
      </c>
      <c r="L356" s="34" t="n"/>
    </row>
    <row r="357">
      <c r="A357" t="inlineStr">
        <is>
          <t>ENC112695</t>
        </is>
      </c>
      <c r="B357" t="inlineStr">
        <is>
          <t>PT13483</t>
        </is>
      </c>
      <c r="C357" t="inlineStr">
        <is>
          <t>Emergency</t>
        </is>
      </c>
      <c r="D357" t="inlineStr">
        <is>
          <t>F01</t>
        </is>
      </c>
      <c r="E357" t="inlineStr">
        <is>
          <t>D100</t>
        </is>
      </c>
      <c r="G357" s="32" t="n">
        <v>45712.62708333333</v>
      </c>
      <c r="H357" s="32" t="n">
        <v>45712.82777777778</v>
      </c>
      <c r="I357" t="inlineStr">
        <is>
          <t>F41.9</t>
        </is>
      </c>
      <c r="J357" t="inlineStr">
        <is>
          <t>PY04</t>
        </is>
      </c>
      <c r="K357" s="33" t="n">
        <v>1206</v>
      </c>
      <c r="L357" s="34" t="n"/>
    </row>
    <row r="358">
      <c r="A358" t="inlineStr">
        <is>
          <t>ENC112698</t>
        </is>
      </c>
      <c r="B358" t="inlineStr">
        <is>
          <t>PT10230</t>
        </is>
      </c>
      <c r="C358" t="inlineStr">
        <is>
          <t>Outpatient</t>
        </is>
      </c>
      <c r="D358" t="inlineStr">
        <is>
          <t>F04</t>
        </is>
      </c>
      <c r="E358" t="inlineStr">
        <is>
          <t>D400</t>
        </is>
      </c>
      <c r="G358" s="32" t="n">
        <v>45712.65625</v>
      </c>
      <c r="H358" s="32" t="n">
        <v>45712.68472222222</v>
      </c>
      <c r="I358" t="inlineStr">
        <is>
          <t>I10</t>
        </is>
      </c>
      <c r="J358" t="inlineStr">
        <is>
          <t>PY02</t>
        </is>
      </c>
      <c r="K358" s="33" t="n">
        <v>519.34</v>
      </c>
      <c r="L358" s="34" t="n"/>
    </row>
    <row r="359">
      <c r="A359" t="inlineStr">
        <is>
          <t>ENC112702</t>
        </is>
      </c>
      <c r="B359" t="inlineStr">
        <is>
          <t>PT10290</t>
        </is>
      </c>
      <c r="C359" t="inlineStr">
        <is>
          <t>Inpatient</t>
        </is>
      </c>
      <c r="D359" t="inlineStr">
        <is>
          <t>F02</t>
        </is>
      </c>
      <c r="E359" t="inlineStr">
        <is>
          <t>D210</t>
        </is>
      </c>
      <c r="F359" t="inlineStr">
        <is>
          <t>Emergency Department</t>
        </is>
      </c>
      <c r="G359" s="32" t="n">
        <v>45712.78819444445</v>
      </c>
      <c r="H359" s="32" t="n">
        <v>45714.5125</v>
      </c>
      <c r="I359" t="inlineStr">
        <is>
          <t>E87.1</t>
        </is>
      </c>
      <c r="J359" t="inlineStr">
        <is>
          <t>PY07</t>
        </is>
      </c>
      <c r="K359" s="33" t="n">
        <v>9463.440000000001</v>
      </c>
      <c r="L359" s="34" t="n"/>
    </row>
    <row r="360">
      <c r="A360" t="inlineStr">
        <is>
          <t>ENC112707</t>
        </is>
      </c>
      <c r="B360" t="inlineStr">
        <is>
          <t>PT10972</t>
        </is>
      </c>
      <c r="C360" t="inlineStr">
        <is>
          <t>Emergency</t>
        </is>
      </c>
      <c r="D360" t="inlineStr">
        <is>
          <t>F01</t>
        </is>
      </c>
      <c r="E360" t="inlineStr">
        <is>
          <t>D100</t>
        </is>
      </c>
      <c r="G360" s="32" t="n">
        <v>45712.88263888889</v>
      </c>
      <c r="H360" s="32" t="n">
        <v>45713.075</v>
      </c>
      <c r="I360" t="inlineStr">
        <is>
          <t>J18.9</t>
        </is>
      </c>
      <c r="J360" t="inlineStr">
        <is>
          <t>PY05</t>
        </is>
      </c>
      <c r="K360" s="33" t="n">
        <v>3309.2</v>
      </c>
      <c r="L360" s="34" t="n"/>
    </row>
    <row r="361">
      <c r="A361" t="inlineStr">
        <is>
          <t>ENC112715</t>
        </is>
      </c>
      <c r="B361" t="inlineStr">
        <is>
          <t>PT10397</t>
        </is>
      </c>
      <c r="C361" t="inlineStr">
        <is>
          <t>Emergency</t>
        </is>
      </c>
      <c r="D361" t="inlineStr">
        <is>
          <t>F01</t>
        </is>
      </c>
      <c r="E361" t="inlineStr">
        <is>
          <t>D100</t>
        </is>
      </c>
      <c r="G361" s="32" t="n">
        <v>45713.32222222222</v>
      </c>
      <c r="H361" s="32" t="n">
        <v>45713.39583333334</v>
      </c>
      <c r="I361" t="inlineStr">
        <is>
          <t>G43.909</t>
        </is>
      </c>
      <c r="J361" t="inlineStr">
        <is>
          <t>PY05</t>
        </is>
      </c>
      <c r="K361" s="33" t="n">
        <v>1198.08</v>
      </c>
      <c r="L361" s="34" t="n"/>
    </row>
    <row r="362">
      <c r="A362" t="inlineStr">
        <is>
          <t>ENC112722</t>
        </is>
      </c>
      <c r="B362" t="inlineStr">
        <is>
          <t>PT10382</t>
        </is>
      </c>
      <c r="C362" t="inlineStr">
        <is>
          <t>Outpatient</t>
        </is>
      </c>
      <c r="D362" t="inlineStr">
        <is>
          <t>F04</t>
        </is>
      </c>
      <c r="E362" t="inlineStr">
        <is>
          <t>D450</t>
        </is>
      </c>
      <c r="G362" s="32" t="n">
        <v>45713.45833333334</v>
      </c>
      <c r="H362" s="32" t="n">
        <v>45713.47361111111</v>
      </c>
      <c r="I362" t="inlineStr">
        <is>
          <t>H66.90</t>
        </is>
      </c>
      <c r="J362" t="inlineStr">
        <is>
          <t>PY07</t>
        </is>
      </c>
      <c r="K362" s="33" t="n">
        <v>379.64</v>
      </c>
      <c r="L362" s="34" t="n"/>
    </row>
    <row r="363">
      <c r="A363" t="inlineStr">
        <is>
          <t>ENC112726</t>
        </is>
      </c>
      <c r="B363" t="inlineStr">
        <is>
          <t>PT10096</t>
        </is>
      </c>
      <c r="C363" t="inlineStr">
        <is>
          <t>Outpatient</t>
        </is>
      </c>
      <c r="D363" t="inlineStr">
        <is>
          <t>F04</t>
        </is>
      </c>
      <c r="E363" t="inlineStr">
        <is>
          <t>D420</t>
        </is>
      </c>
      <c r="G363" s="32" t="n">
        <v>45713.48958333334</v>
      </c>
      <c r="H363" s="32" t="n">
        <v>45713.50972222222</v>
      </c>
      <c r="I363" t="inlineStr">
        <is>
          <t>M17.11</t>
        </is>
      </c>
      <c r="J363" t="inlineStr">
        <is>
          <t>PY05</t>
        </is>
      </c>
      <c r="K363" s="33" t="n">
        <v>551.24</v>
      </c>
      <c r="L363" s="34" t="n"/>
    </row>
    <row r="364">
      <c r="A364" t="inlineStr">
        <is>
          <t>ENC112731</t>
        </is>
      </c>
      <c r="B364" t="inlineStr">
        <is>
          <t>PT13256</t>
        </is>
      </c>
      <c r="C364" t="inlineStr">
        <is>
          <t>Emergency</t>
        </is>
      </c>
      <c r="D364" t="inlineStr">
        <is>
          <t>F01</t>
        </is>
      </c>
      <c r="E364" t="inlineStr">
        <is>
          <t>D100</t>
        </is>
      </c>
      <c r="G364" s="32" t="n">
        <v>45713.54930555556</v>
      </c>
      <c r="H364" s="32" t="n">
        <v>45713.73194444444</v>
      </c>
      <c r="I364" t="inlineStr">
        <is>
          <t>F32.9</t>
        </is>
      </c>
      <c r="J364" t="inlineStr">
        <is>
          <t>PY06</t>
        </is>
      </c>
      <c r="K364" s="33" t="n">
        <v>5307.88</v>
      </c>
      <c r="L364" s="34" t="n"/>
    </row>
    <row r="365">
      <c r="A365" t="inlineStr">
        <is>
          <t>ENC112736</t>
        </is>
      </c>
      <c r="B365" t="inlineStr">
        <is>
          <t>PT11659</t>
        </is>
      </c>
      <c r="C365" t="inlineStr">
        <is>
          <t>Outpatient</t>
        </is>
      </c>
      <c r="D365" t="inlineStr">
        <is>
          <t>F04</t>
        </is>
      </c>
      <c r="E365" t="inlineStr">
        <is>
          <t>D430</t>
        </is>
      </c>
      <c r="G365" s="32" t="n">
        <v>45713.61458333334</v>
      </c>
      <c r="H365" s="32" t="n">
        <v>45713.82916666667</v>
      </c>
      <c r="I365" t="inlineStr">
        <is>
          <t>Z51.11</t>
        </is>
      </c>
      <c r="J365" t="inlineStr">
        <is>
          <t>PY03</t>
        </is>
      </c>
      <c r="K365" s="33" t="n">
        <v>11010.74</v>
      </c>
      <c r="L365" s="34" t="n"/>
    </row>
    <row r="366">
      <c r="A366" t="inlineStr">
        <is>
          <t>ENC112742</t>
        </is>
      </c>
      <c r="B366" t="inlineStr">
        <is>
          <t>PT13010</t>
        </is>
      </c>
      <c r="C366" t="inlineStr">
        <is>
          <t>Inpatient</t>
        </is>
      </c>
      <c r="D366" t="inlineStr">
        <is>
          <t>F01</t>
        </is>
      </c>
      <c r="E366" t="inlineStr">
        <is>
          <t>D180</t>
        </is>
      </c>
      <c r="F366" t="inlineStr">
        <is>
          <t>Emergency Department</t>
        </is>
      </c>
      <c r="G366" s="32" t="n">
        <v>45713.77569444444</v>
      </c>
      <c r="H366" s="32" t="n">
        <v>45715.64583333334</v>
      </c>
      <c r="I366" t="inlineStr">
        <is>
          <t>J21.9</t>
        </is>
      </c>
      <c r="J366" t="inlineStr">
        <is>
          <t>PY05</t>
        </is>
      </c>
      <c r="K366" s="33" t="n">
        <v>10310.6</v>
      </c>
      <c r="L366" s="34" t="n"/>
    </row>
    <row r="367">
      <c r="A367" t="inlineStr">
        <is>
          <t>ENC112747</t>
        </is>
      </c>
      <c r="B367" t="inlineStr">
        <is>
          <t>PT11804</t>
        </is>
      </c>
      <c r="C367" t="inlineStr">
        <is>
          <t>Emergency</t>
        </is>
      </c>
      <c r="D367" t="inlineStr">
        <is>
          <t>F01</t>
        </is>
      </c>
      <c r="E367" t="inlineStr">
        <is>
          <t>D100</t>
        </is>
      </c>
      <c r="G367" s="32" t="n">
        <v>45713.83125</v>
      </c>
      <c r="H367" s="32" t="n">
        <v>45713.98125</v>
      </c>
      <c r="I367" t="inlineStr">
        <is>
          <t>N39.0</t>
        </is>
      </c>
      <c r="J367" t="inlineStr">
        <is>
          <t>PY06</t>
        </is>
      </c>
      <c r="K367" s="33" t="n">
        <v>2863.66</v>
      </c>
      <c r="L367" s="34" t="n"/>
    </row>
    <row r="368">
      <c r="A368" t="inlineStr">
        <is>
          <t>ENC112749</t>
        </is>
      </c>
      <c r="B368" t="inlineStr">
        <is>
          <t>PT12060</t>
        </is>
      </c>
      <c r="C368" t="inlineStr">
        <is>
          <t>Inpatient</t>
        </is>
      </c>
      <c r="D368" t="inlineStr">
        <is>
          <t>F03</t>
        </is>
      </c>
      <c r="E368" t="inlineStr">
        <is>
          <t>D330</t>
        </is>
      </c>
      <c r="F368" t="inlineStr">
        <is>
          <t>Emergency Department</t>
        </is>
      </c>
      <c r="G368" s="32" t="n">
        <v>45714.00972222222</v>
      </c>
      <c r="H368" s="32" t="n">
        <v>45733.70694444444</v>
      </c>
      <c r="I368" t="inlineStr">
        <is>
          <t>J96.01</t>
        </is>
      </c>
      <c r="J368" t="inlineStr">
        <is>
          <t>PY06</t>
        </is>
      </c>
      <c r="K368" s="33" t="n">
        <v>167509.41</v>
      </c>
      <c r="L368" s="34" t="n"/>
    </row>
    <row r="369">
      <c r="A369" t="inlineStr">
        <is>
          <t>ENC112757</t>
        </is>
      </c>
      <c r="B369" t="inlineStr">
        <is>
          <t>PT10336</t>
        </is>
      </c>
      <c r="C369" t="inlineStr">
        <is>
          <t>Inpatient</t>
        </is>
      </c>
      <c r="D369" t="inlineStr">
        <is>
          <t>F01</t>
        </is>
      </c>
      <c r="E369" t="inlineStr">
        <is>
          <t>D160</t>
        </is>
      </c>
      <c r="F369" t="inlineStr">
        <is>
          <t>Emergency Department</t>
        </is>
      </c>
      <c r="G369" s="32" t="n">
        <v>45714.31041666667</v>
      </c>
      <c r="H369" s="32" t="n">
        <v>45721.39097222222</v>
      </c>
      <c r="I369" t="inlineStr">
        <is>
          <t>I63.9</t>
        </is>
      </c>
      <c r="J369" t="inlineStr">
        <is>
          <t>PY01</t>
        </is>
      </c>
      <c r="K369" s="33" t="n">
        <v>44954.72</v>
      </c>
      <c r="L369" s="34" t="n"/>
    </row>
    <row r="370">
      <c r="A370" t="inlineStr">
        <is>
          <t>ENC112759</t>
        </is>
      </c>
      <c r="B370" t="inlineStr">
        <is>
          <t>PT11174</t>
        </is>
      </c>
      <c r="C370" t="inlineStr">
        <is>
          <t>Inpatient</t>
        </is>
      </c>
      <c r="D370" t="inlineStr">
        <is>
          <t>F01</t>
        </is>
      </c>
      <c r="E370" t="inlineStr">
        <is>
          <t>D170</t>
        </is>
      </c>
      <c r="F370" t="inlineStr">
        <is>
          <t>Emergency Department</t>
        </is>
      </c>
      <c r="G370" s="32" t="n">
        <v>45714.38333333333</v>
      </c>
      <c r="H370" s="32" t="n">
        <v>45716.47291666667</v>
      </c>
      <c r="I370" t="inlineStr">
        <is>
          <t>O80</t>
        </is>
      </c>
      <c r="J370" t="inlineStr">
        <is>
          <t>PY03</t>
        </is>
      </c>
      <c r="K370" s="33" t="n">
        <v>18347.88</v>
      </c>
      <c r="L370" s="34" t="n"/>
    </row>
    <row r="371">
      <c r="A371" t="inlineStr">
        <is>
          <t>ENC112770</t>
        </is>
      </c>
      <c r="B371" t="inlineStr">
        <is>
          <t>PT11696</t>
        </is>
      </c>
      <c r="C371" t="inlineStr">
        <is>
          <t>Outpatient</t>
        </is>
      </c>
      <c r="D371" t="inlineStr">
        <is>
          <t>F04</t>
        </is>
      </c>
      <c r="E371" t="inlineStr">
        <is>
          <t>D400</t>
        </is>
      </c>
      <c r="G371" s="32" t="n">
        <v>45714.5</v>
      </c>
      <c r="H371" s="32" t="n">
        <v>45714.53472222222</v>
      </c>
      <c r="I371" t="inlineStr">
        <is>
          <t>J06.9</t>
        </is>
      </c>
      <c r="J371" t="inlineStr">
        <is>
          <t>PY01</t>
        </is>
      </c>
      <c r="K371" s="33" t="n">
        <v>577.0599999999999</v>
      </c>
      <c r="L371" s="34" t="n"/>
    </row>
    <row r="372">
      <c r="A372" t="inlineStr">
        <is>
          <t>ENC112775</t>
        </is>
      </c>
      <c r="B372" t="inlineStr">
        <is>
          <t>PT13922</t>
        </is>
      </c>
      <c r="C372" t="inlineStr">
        <is>
          <t>Outpatient</t>
        </is>
      </c>
      <c r="D372" t="inlineStr">
        <is>
          <t>F04</t>
        </is>
      </c>
      <c r="E372" t="inlineStr">
        <is>
          <t>D400</t>
        </is>
      </c>
      <c r="G372" s="32" t="n">
        <v>45714.60416666666</v>
      </c>
      <c r="H372" s="32" t="n">
        <v>45714.64027777778</v>
      </c>
      <c r="I372" t="inlineStr">
        <is>
          <t>Z00.00</t>
        </is>
      </c>
      <c r="J372" t="inlineStr">
        <is>
          <t>PY03</t>
        </is>
      </c>
      <c r="K372" s="33" t="n">
        <v>368.65</v>
      </c>
      <c r="L372" s="34" t="n"/>
    </row>
    <row r="373">
      <c r="A373" t="inlineStr">
        <is>
          <t>ENC112782</t>
        </is>
      </c>
      <c r="B373" t="inlineStr">
        <is>
          <t>PT13578</t>
        </is>
      </c>
      <c r="C373" t="inlineStr">
        <is>
          <t>Outpatient</t>
        </is>
      </c>
      <c r="D373" t="inlineStr">
        <is>
          <t>F04</t>
        </is>
      </c>
      <c r="E373" t="inlineStr">
        <is>
          <t>D400</t>
        </is>
      </c>
      <c r="G373" s="32" t="n">
        <v>45714.67708333334</v>
      </c>
      <c r="H373" s="32" t="n">
        <v>45714.70416666667</v>
      </c>
      <c r="I373" t="inlineStr">
        <is>
          <t>J06.9</t>
        </is>
      </c>
      <c r="J373" t="inlineStr">
        <is>
          <t>PY04</t>
        </is>
      </c>
      <c r="K373" s="33" t="n">
        <v>380.73</v>
      </c>
      <c r="L373" s="34" t="n"/>
    </row>
    <row r="374">
      <c r="A374" t="inlineStr">
        <is>
          <t>ENC112788</t>
        </is>
      </c>
      <c r="B374" t="inlineStr">
        <is>
          <t>PT13630</t>
        </is>
      </c>
      <c r="C374" t="inlineStr">
        <is>
          <t>Emergency</t>
        </is>
      </c>
      <c r="D374" t="inlineStr">
        <is>
          <t>F02</t>
        </is>
      </c>
      <c r="E374" t="inlineStr">
        <is>
          <t>D200</t>
        </is>
      </c>
      <c r="G374" s="32" t="n">
        <v>45714.79791666667</v>
      </c>
      <c r="H374" s="32" t="n">
        <v>45714.92638888889</v>
      </c>
      <c r="I374" t="inlineStr">
        <is>
          <t>J44.1</t>
        </is>
      </c>
      <c r="J374" t="inlineStr">
        <is>
          <t>PY06</t>
        </is>
      </c>
      <c r="K374" s="33" t="n">
        <v>4800.9</v>
      </c>
      <c r="L374" s="34" t="n"/>
    </row>
    <row r="375">
      <c r="A375" t="inlineStr">
        <is>
          <t>ENC112786</t>
        </is>
      </c>
      <c r="B375" t="inlineStr">
        <is>
          <t>PT13325</t>
        </is>
      </c>
      <c r="C375" t="inlineStr">
        <is>
          <t>Observation</t>
        </is>
      </c>
      <c r="D375" t="inlineStr">
        <is>
          <t>F01</t>
        </is>
      </c>
      <c r="E375" t="inlineStr">
        <is>
          <t>D195</t>
        </is>
      </c>
      <c r="F375" t="inlineStr">
        <is>
          <t>Emergency Department</t>
        </is>
      </c>
      <c r="G375" s="32" t="n">
        <v>45714.9125</v>
      </c>
      <c r="H375" s="32" t="n">
        <v>45715.52222222222</v>
      </c>
      <c r="I375" t="inlineStr">
        <is>
          <t>L03.115</t>
        </is>
      </c>
      <c r="J375" t="inlineStr">
        <is>
          <t>PY03</t>
        </is>
      </c>
      <c r="K375" s="33" t="n">
        <v>8784.49</v>
      </c>
      <c r="L375" s="34" t="n"/>
    </row>
    <row r="376">
      <c r="A376" t="inlineStr">
        <is>
          <t>ENC112798</t>
        </is>
      </c>
      <c r="B376" t="inlineStr">
        <is>
          <t>PT13336</t>
        </is>
      </c>
      <c r="C376" t="inlineStr">
        <is>
          <t>Outpatient</t>
        </is>
      </c>
      <c r="D376" t="inlineStr">
        <is>
          <t>F04</t>
        </is>
      </c>
      <c r="E376" t="inlineStr">
        <is>
          <t>D430</t>
        </is>
      </c>
      <c r="G376" s="32" t="n">
        <v>45715.33333333334</v>
      </c>
      <c r="H376" s="32" t="n">
        <v>45715.34722222222</v>
      </c>
      <c r="I376" t="inlineStr">
        <is>
          <t>C50.911</t>
        </is>
      </c>
      <c r="J376" t="inlineStr">
        <is>
          <t>PY04</t>
        </is>
      </c>
      <c r="K376" s="33" t="n">
        <v>1042.12</v>
      </c>
      <c r="L376" s="34" t="n"/>
    </row>
    <row r="377">
      <c r="A377" t="inlineStr">
        <is>
          <t>ENC112804</t>
        </is>
      </c>
      <c r="B377" t="inlineStr">
        <is>
          <t>PT11082</t>
        </is>
      </c>
      <c r="C377" t="inlineStr">
        <is>
          <t>Outpatient</t>
        </is>
      </c>
      <c r="D377" t="inlineStr">
        <is>
          <t>F04</t>
        </is>
      </c>
      <c r="E377" t="inlineStr">
        <is>
          <t>D400</t>
        </is>
      </c>
      <c r="G377" s="32" t="n">
        <v>45715.42708333334</v>
      </c>
      <c r="H377" s="32" t="n">
        <v>45715.44652777778</v>
      </c>
      <c r="I377" t="inlineStr">
        <is>
          <t>J06.9</t>
        </is>
      </c>
      <c r="J377" t="inlineStr">
        <is>
          <t>PY01</t>
        </is>
      </c>
      <c r="K377" s="33" t="n">
        <v>154.28</v>
      </c>
      <c r="L377" s="34" t="n"/>
    </row>
    <row r="378">
      <c r="A378" t="inlineStr">
        <is>
          <t>ENC112808</t>
        </is>
      </c>
      <c r="B378" t="inlineStr">
        <is>
          <t>PT11101</t>
        </is>
      </c>
      <c r="C378" t="inlineStr">
        <is>
          <t>Outpatient</t>
        </is>
      </c>
      <c r="D378" t="inlineStr">
        <is>
          <t>F04</t>
        </is>
      </c>
      <c r="E378" t="inlineStr">
        <is>
          <t>D440</t>
        </is>
      </c>
      <c r="G378" s="32" t="n">
        <v>45715.5</v>
      </c>
      <c r="H378" s="32" t="n">
        <v>45715.51944444444</v>
      </c>
      <c r="I378" t="inlineStr">
        <is>
          <t>E11.65</t>
        </is>
      </c>
      <c r="J378" t="inlineStr">
        <is>
          <t>PY01</t>
        </is>
      </c>
      <c r="K378" s="33" t="n">
        <v>626.55</v>
      </c>
      <c r="L378" s="34" t="n"/>
    </row>
    <row r="379">
      <c r="A379" t="inlineStr">
        <is>
          <t>ENC112814</t>
        </is>
      </c>
      <c r="B379" t="inlineStr">
        <is>
          <t>PT12295</t>
        </is>
      </c>
      <c r="C379" t="inlineStr">
        <is>
          <t>Outpatient</t>
        </is>
      </c>
      <c r="D379" t="inlineStr">
        <is>
          <t>F04</t>
        </is>
      </c>
      <c r="E379" t="inlineStr">
        <is>
          <t>D400</t>
        </is>
      </c>
      <c r="G379" s="32" t="n">
        <v>45715.55208333334</v>
      </c>
      <c r="H379" s="32" t="n">
        <v>45715.57222222222</v>
      </c>
      <c r="I379" t="inlineStr">
        <is>
          <t>I10</t>
        </is>
      </c>
      <c r="J379" t="inlineStr">
        <is>
          <t>PY01</t>
        </is>
      </c>
      <c r="K379" s="33" t="n">
        <v>328.61</v>
      </c>
      <c r="L379" s="34" t="n"/>
    </row>
    <row r="380">
      <c r="A380" t="inlineStr">
        <is>
          <t>ENC112820</t>
        </is>
      </c>
      <c r="B380" t="inlineStr">
        <is>
          <t>PT13783</t>
        </is>
      </c>
      <c r="C380" t="inlineStr">
        <is>
          <t>Emergency</t>
        </is>
      </c>
      <c r="D380" t="inlineStr">
        <is>
          <t>F01</t>
        </is>
      </c>
      <c r="E380" t="inlineStr">
        <is>
          <t>D100</t>
        </is>
      </c>
      <c r="G380" s="32" t="n">
        <v>45715.63402777778</v>
      </c>
      <c r="H380" s="32" t="n">
        <v>45715.79861111111</v>
      </c>
      <c r="I380" t="inlineStr">
        <is>
          <t>R07.9</t>
        </is>
      </c>
      <c r="J380" t="inlineStr">
        <is>
          <t>PY03</t>
        </is>
      </c>
      <c r="K380" s="33" t="n">
        <v>3235.43</v>
      </c>
      <c r="L380" s="34" t="n"/>
    </row>
    <row r="381">
      <c r="A381" t="inlineStr">
        <is>
          <t>ENC112825</t>
        </is>
      </c>
      <c r="B381" t="inlineStr">
        <is>
          <t>PT12419</t>
        </is>
      </c>
      <c r="C381" t="inlineStr">
        <is>
          <t>Emergency</t>
        </is>
      </c>
      <c r="D381" t="inlineStr">
        <is>
          <t>F01</t>
        </is>
      </c>
      <c r="E381" t="inlineStr">
        <is>
          <t>D100</t>
        </is>
      </c>
      <c r="G381" s="32" t="n">
        <v>45715.70625</v>
      </c>
      <c r="H381" s="32" t="n">
        <v>45715.93125</v>
      </c>
      <c r="I381" t="inlineStr">
        <is>
          <t>J45.909</t>
        </is>
      </c>
      <c r="J381" t="inlineStr">
        <is>
          <t>PY05</t>
        </is>
      </c>
      <c r="K381" s="33" t="n">
        <v>4533.74</v>
      </c>
      <c r="L381" s="34" t="n"/>
    </row>
    <row r="382">
      <c r="A382" t="inlineStr">
        <is>
          <t>ENC112830</t>
        </is>
      </c>
      <c r="B382" t="inlineStr">
        <is>
          <t>PT10302</t>
        </is>
      </c>
      <c r="C382" t="inlineStr">
        <is>
          <t>Emergency</t>
        </is>
      </c>
      <c r="D382" t="inlineStr">
        <is>
          <t>F01</t>
        </is>
      </c>
      <c r="E382" t="inlineStr">
        <is>
          <t>D100</t>
        </is>
      </c>
      <c r="G382" s="32" t="n">
        <v>45715.89791666667</v>
      </c>
      <c r="H382" s="32" t="n">
        <v>45715.99722222222</v>
      </c>
      <c r="I382" t="inlineStr">
        <is>
          <t>S06.0X0A</t>
        </is>
      </c>
      <c r="J382" t="inlineStr">
        <is>
          <t>PY04</t>
        </is>
      </c>
      <c r="K382" s="33" t="n">
        <v>2639.44</v>
      </c>
      <c r="L382" s="34" t="n"/>
    </row>
    <row r="383">
      <c r="A383" t="inlineStr">
        <is>
          <t>ENC112836</t>
        </is>
      </c>
      <c r="B383" t="inlineStr">
        <is>
          <t>PT12416</t>
        </is>
      </c>
      <c r="C383" t="inlineStr">
        <is>
          <t>Outpatient</t>
        </is>
      </c>
      <c r="D383" t="inlineStr">
        <is>
          <t>F04</t>
        </is>
      </c>
      <c r="E383" t="inlineStr">
        <is>
          <t>D450</t>
        </is>
      </c>
      <c r="G383" s="32" t="n">
        <v>45716.41666666666</v>
      </c>
      <c r="H383" s="32" t="n">
        <v>45716.45208333333</v>
      </c>
      <c r="I383" t="inlineStr">
        <is>
          <t>G40.909</t>
        </is>
      </c>
      <c r="J383" t="inlineStr">
        <is>
          <t>PY06</t>
        </is>
      </c>
      <c r="K383" s="33" t="n">
        <v>199.97</v>
      </c>
      <c r="L383" s="34" t="n"/>
    </row>
    <row r="384">
      <c r="A384" t="inlineStr">
        <is>
          <t>ENC112842</t>
        </is>
      </c>
      <c r="B384" t="inlineStr">
        <is>
          <t>PT12692</t>
        </is>
      </c>
      <c r="C384" t="inlineStr">
        <is>
          <t>Outpatient</t>
        </is>
      </c>
      <c r="D384" t="inlineStr">
        <is>
          <t>F04</t>
        </is>
      </c>
      <c r="E384" t="inlineStr">
        <is>
          <t>D450</t>
        </is>
      </c>
      <c r="G384" s="32" t="n">
        <v>45716.625</v>
      </c>
      <c r="H384" s="32" t="n">
        <v>45716.64097222222</v>
      </c>
      <c r="I384" t="inlineStr">
        <is>
          <t>H66.90</t>
        </is>
      </c>
      <c r="J384" t="inlineStr">
        <is>
          <t>PY03</t>
        </is>
      </c>
      <c r="K384" s="33" t="n">
        <v>137.77</v>
      </c>
      <c r="L384" s="34" t="n"/>
    </row>
    <row r="385">
      <c r="A385" t="inlineStr">
        <is>
          <t>ENC112848</t>
        </is>
      </c>
      <c r="B385" t="inlineStr">
        <is>
          <t>PT13124</t>
        </is>
      </c>
      <c r="C385" t="inlineStr">
        <is>
          <t>Outpatient</t>
        </is>
      </c>
      <c r="D385" t="inlineStr">
        <is>
          <t>F04</t>
        </is>
      </c>
      <c r="E385" t="inlineStr">
        <is>
          <t>D450</t>
        </is>
      </c>
      <c r="G385" s="32" t="n">
        <v>45716.65625</v>
      </c>
      <c r="H385" s="32" t="n">
        <v>45716.67777777778</v>
      </c>
      <c r="I385" t="inlineStr">
        <is>
          <t>H66.90</t>
        </is>
      </c>
      <c r="J385" t="inlineStr">
        <is>
          <t>PY03</t>
        </is>
      </c>
      <c r="K385" s="33" t="n">
        <v>453.26</v>
      </c>
      <c r="L385" s="34" t="n"/>
    </row>
    <row r="386">
      <c r="A386" t="inlineStr">
        <is>
          <t>ENC112854</t>
        </is>
      </c>
      <c r="B386" t="inlineStr">
        <is>
          <t>PT10257</t>
        </is>
      </c>
      <c r="C386" t="inlineStr">
        <is>
          <t>Outpatient</t>
        </is>
      </c>
      <c r="D386" t="inlineStr">
        <is>
          <t>F04</t>
        </is>
      </c>
      <c r="E386" t="inlineStr">
        <is>
          <t>D400</t>
        </is>
      </c>
      <c r="G386" s="32" t="n">
        <v>45716.6875</v>
      </c>
      <c r="H386" s="32" t="n">
        <v>45716.70138888889</v>
      </c>
      <c r="I386" t="inlineStr">
        <is>
          <t>Z00.00</t>
        </is>
      </c>
      <c r="J386" t="inlineStr">
        <is>
          <t>PY01</t>
        </is>
      </c>
      <c r="K386" s="33" t="n">
        <v>277.85</v>
      </c>
      <c r="L386" s="34" t="n"/>
    </row>
    <row r="387">
      <c r="A387" t="inlineStr">
        <is>
          <t>ENC112858</t>
        </is>
      </c>
      <c r="B387" t="inlineStr">
        <is>
          <t>PT10491</t>
        </is>
      </c>
      <c r="C387" t="inlineStr">
        <is>
          <t>Emergency</t>
        </is>
      </c>
      <c r="D387" t="inlineStr">
        <is>
          <t>F01</t>
        </is>
      </c>
      <c r="E387" t="inlineStr">
        <is>
          <t>D100</t>
        </is>
      </c>
      <c r="G387" s="32" t="n">
        <v>45716.82361111111</v>
      </c>
      <c r="H387" s="32" t="n">
        <v>45716.92986111111</v>
      </c>
      <c r="I387" t="inlineStr">
        <is>
          <t>S06.0X0A</t>
        </is>
      </c>
      <c r="J387" t="inlineStr">
        <is>
          <t>PY08</t>
        </is>
      </c>
      <c r="K387" s="33" t="n">
        <v>1645.67</v>
      </c>
      <c r="L387" s="34" t="n"/>
    </row>
    <row r="388">
      <c r="A388" t="inlineStr">
        <is>
          <t>ENC112863</t>
        </is>
      </c>
      <c r="B388" t="inlineStr">
        <is>
          <t>PT10998</t>
        </is>
      </c>
      <c r="C388" t="inlineStr">
        <is>
          <t>Emergency</t>
        </is>
      </c>
      <c r="D388" t="inlineStr">
        <is>
          <t>F03</t>
        </is>
      </c>
      <c r="E388" t="inlineStr">
        <is>
          <t>D300</t>
        </is>
      </c>
      <c r="G388" s="32" t="n">
        <v>45717.52986111111</v>
      </c>
      <c r="H388" s="32" t="n">
        <v>45717.65763888889</v>
      </c>
      <c r="I388" t="inlineStr">
        <is>
          <t>R55</t>
        </is>
      </c>
      <c r="J388" t="inlineStr">
        <is>
          <t>PY06</t>
        </is>
      </c>
      <c r="K388" s="33" t="n">
        <v>767.28</v>
      </c>
      <c r="L388" s="34" t="n"/>
    </row>
    <row r="389">
      <c r="A389" t="inlineStr">
        <is>
          <t>ENC112867</t>
        </is>
      </c>
      <c r="B389" t="inlineStr">
        <is>
          <t>PT13974</t>
        </is>
      </c>
      <c r="C389" t="inlineStr">
        <is>
          <t>Observation</t>
        </is>
      </c>
      <c r="D389" t="inlineStr">
        <is>
          <t>F01</t>
        </is>
      </c>
      <c r="E389" t="inlineStr">
        <is>
          <t>D195</t>
        </is>
      </c>
      <c r="F389" t="inlineStr">
        <is>
          <t>Emergency Department</t>
        </is>
      </c>
      <c r="G389" s="32" t="n">
        <v>45717.76111111111</v>
      </c>
      <c r="H389" s="32" t="n">
        <v>45718.61111111111</v>
      </c>
      <c r="I389" t="inlineStr">
        <is>
          <t>J21.9</t>
        </is>
      </c>
      <c r="J389" t="inlineStr">
        <is>
          <t>PY03</t>
        </is>
      </c>
      <c r="K389" s="33" t="n">
        <v>9834.190000000001</v>
      </c>
      <c r="L389" s="34" t="n"/>
    </row>
    <row r="390">
      <c r="A390" t="inlineStr">
        <is>
          <t>ENC112876</t>
        </is>
      </c>
      <c r="B390" t="inlineStr">
        <is>
          <t>PT12593</t>
        </is>
      </c>
      <c r="C390" t="inlineStr">
        <is>
          <t>Observation</t>
        </is>
      </c>
      <c r="D390" t="inlineStr">
        <is>
          <t>F01</t>
        </is>
      </c>
      <c r="E390" t="inlineStr">
        <is>
          <t>D195</t>
        </is>
      </c>
      <c r="F390" t="inlineStr">
        <is>
          <t>Emergency Department</t>
        </is>
      </c>
      <c r="G390" s="32" t="n">
        <v>45718.12638888889</v>
      </c>
      <c r="H390" s="32" t="n">
        <v>45718.78819444445</v>
      </c>
      <c r="I390" t="inlineStr">
        <is>
          <t>R07.9</t>
        </is>
      </c>
      <c r="J390" t="inlineStr">
        <is>
          <t>PY02</t>
        </is>
      </c>
      <c r="K390" s="33" t="n">
        <v>7853.62</v>
      </c>
      <c r="L390" s="34" t="n"/>
    </row>
    <row r="391">
      <c r="A391" t="inlineStr">
        <is>
          <t>ENC112879</t>
        </is>
      </c>
      <c r="B391" t="inlineStr">
        <is>
          <t>PT10886</t>
        </is>
      </c>
      <c r="C391" t="inlineStr">
        <is>
          <t>Inpatient</t>
        </is>
      </c>
      <c r="D391" t="inlineStr">
        <is>
          <t>F03</t>
        </is>
      </c>
      <c r="E391" t="inlineStr">
        <is>
          <t>D310</t>
        </is>
      </c>
      <c r="F391" t="inlineStr">
        <is>
          <t>Emergency Department</t>
        </is>
      </c>
      <c r="G391" s="32" t="n">
        <v>45718.46111111111</v>
      </c>
      <c r="H391" s="32" t="n">
        <v>45720.59166666667</v>
      </c>
      <c r="I391" t="inlineStr">
        <is>
          <t>J44.1</t>
        </is>
      </c>
      <c r="J391" t="inlineStr">
        <is>
          <t>PY02</t>
        </is>
      </c>
      <c r="K391" s="33" t="n">
        <v>8174.27</v>
      </c>
      <c r="L391" s="34" t="n"/>
    </row>
    <row r="392">
      <c r="A392" t="inlineStr">
        <is>
          <t>ENC112888</t>
        </is>
      </c>
      <c r="B392" t="inlineStr">
        <is>
          <t>PT10871</t>
        </is>
      </c>
      <c r="C392" t="inlineStr">
        <is>
          <t>Emergency</t>
        </is>
      </c>
      <c r="D392" t="inlineStr">
        <is>
          <t>F01</t>
        </is>
      </c>
      <c r="E392" t="inlineStr">
        <is>
          <t>D100</t>
        </is>
      </c>
      <c r="G392" s="32" t="n">
        <v>45718.70694444444</v>
      </c>
      <c r="H392" s="32" t="n">
        <v>45718.79930555556</v>
      </c>
      <c r="I392" t="inlineStr">
        <is>
          <t>U07.1</t>
        </is>
      </c>
      <c r="J392" t="inlineStr">
        <is>
          <t>PY04</t>
        </is>
      </c>
      <c r="K392" s="33" t="n">
        <v>5151.91</v>
      </c>
      <c r="L392" s="34" t="n"/>
    </row>
    <row r="393">
      <c r="A393" t="inlineStr">
        <is>
          <t>ENC112891</t>
        </is>
      </c>
      <c r="B393" t="inlineStr">
        <is>
          <t>PT11013</t>
        </is>
      </c>
      <c r="C393" t="inlineStr">
        <is>
          <t>Observation</t>
        </is>
      </c>
      <c r="D393" t="inlineStr">
        <is>
          <t>F01</t>
        </is>
      </c>
      <c r="E393" t="inlineStr">
        <is>
          <t>D195</t>
        </is>
      </c>
      <c r="F393" t="inlineStr">
        <is>
          <t>Emergency Department</t>
        </is>
      </c>
      <c r="G393" s="32" t="n">
        <v>45718.90833333333</v>
      </c>
      <c r="H393" s="32" t="n">
        <v>45720.47291666667</v>
      </c>
      <c r="I393" t="inlineStr">
        <is>
          <t>I50.9</t>
        </is>
      </c>
      <c r="J393" t="inlineStr">
        <is>
          <t>PY03</t>
        </is>
      </c>
      <c r="K393" s="33" t="n">
        <v>12227.47</v>
      </c>
      <c r="L393" s="34" t="n"/>
    </row>
    <row r="394">
      <c r="A394" t="inlineStr">
        <is>
          <t>ENC112897</t>
        </is>
      </c>
      <c r="B394" t="inlineStr">
        <is>
          <t>PT11726</t>
        </is>
      </c>
      <c r="C394" t="inlineStr">
        <is>
          <t>Inpatient</t>
        </is>
      </c>
      <c r="D394" t="inlineStr">
        <is>
          <t>F03</t>
        </is>
      </c>
      <c r="E394" t="inlineStr">
        <is>
          <t>D340</t>
        </is>
      </c>
      <c r="F394" t="inlineStr">
        <is>
          <t>Elective</t>
        </is>
      </c>
      <c r="G394" s="32" t="n">
        <v>45719.25277777778</v>
      </c>
      <c r="H394" s="32" t="n">
        <v>45720.49444444444</v>
      </c>
      <c r="I394" t="inlineStr">
        <is>
          <t>M17.11</t>
        </is>
      </c>
      <c r="J394" t="inlineStr">
        <is>
          <t>PY01</t>
        </is>
      </c>
      <c r="K394" s="33" t="n">
        <v>53158.98</v>
      </c>
      <c r="L394" s="34" t="n"/>
    </row>
    <row r="395">
      <c r="A395" t="inlineStr">
        <is>
          <t>ENC112904</t>
        </is>
      </c>
      <c r="B395" t="inlineStr">
        <is>
          <t>PT13065</t>
        </is>
      </c>
      <c r="C395" t="inlineStr">
        <is>
          <t>Outpatient</t>
        </is>
      </c>
      <c r="D395" t="inlineStr">
        <is>
          <t>F04</t>
        </is>
      </c>
      <c r="E395" t="inlineStr">
        <is>
          <t>D400</t>
        </is>
      </c>
      <c r="G395" s="32" t="n">
        <v>45719.42708333334</v>
      </c>
      <c r="H395" s="32" t="n">
        <v>45719.45833333334</v>
      </c>
      <c r="I395" t="inlineStr">
        <is>
          <t>E78.5</t>
        </is>
      </c>
      <c r="J395" t="inlineStr">
        <is>
          <t>PY01</t>
        </is>
      </c>
      <c r="K395" s="33" t="n">
        <v>202.68</v>
      </c>
      <c r="L395" s="34" t="n"/>
    </row>
    <row r="396">
      <c r="A396" t="inlineStr">
        <is>
          <t>ENC112908</t>
        </is>
      </c>
      <c r="B396" t="inlineStr">
        <is>
          <t>PT10111</t>
        </is>
      </c>
      <c r="C396" t="inlineStr">
        <is>
          <t>Outpatient</t>
        </is>
      </c>
      <c r="D396" t="inlineStr">
        <is>
          <t>F04</t>
        </is>
      </c>
      <c r="E396" t="inlineStr">
        <is>
          <t>D450</t>
        </is>
      </c>
      <c r="G396" s="32" t="n">
        <v>45719.48958333334</v>
      </c>
      <c r="H396" s="32" t="n">
        <v>45719.5125</v>
      </c>
      <c r="I396" t="inlineStr">
        <is>
          <t>H66.90</t>
        </is>
      </c>
      <c r="J396" t="inlineStr">
        <is>
          <t>PY07</t>
        </is>
      </c>
      <c r="K396" s="33" t="n">
        <v>220.49</v>
      </c>
      <c r="L396" s="34" t="n"/>
    </row>
    <row r="397">
      <c r="A397" t="inlineStr">
        <is>
          <t>ENC112914</t>
        </is>
      </c>
      <c r="B397" t="inlineStr">
        <is>
          <t>PT12553</t>
        </is>
      </c>
      <c r="C397" t="inlineStr">
        <is>
          <t>Outpatient</t>
        </is>
      </c>
      <c r="D397" t="inlineStr">
        <is>
          <t>F04</t>
        </is>
      </c>
      <c r="E397" t="inlineStr">
        <is>
          <t>D410</t>
        </is>
      </c>
      <c r="G397" s="32" t="n">
        <v>45719.58333333334</v>
      </c>
      <c r="H397" s="32" t="n">
        <v>45719.59375</v>
      </c>
      <c r="I397" t="inlineStr">
        <is>
          <t>I48.91</t>
        </is>
      </c>
      <c r="J397" t="inlineStr">
        <is>
          <t>PY05</t>
        </is>
      </c>
      <c r="K397" s="33" t="n">
        <v>400.76</v>
      </c>
      <c r="L397" s="34" t="n"/>
    </row>
    <row r="398">
      <c r="A398" t="inlineStr">
        <is>
          <t>ENC112919</t>
        </is>
      </c>
      <c r="B398" t="inlineStr">
        <is>
          <t>PT12230</t>
        </is>
      </c>
      <c r="C398" t="inlineStr">
        <is>
          <t>Outpatient</t>
        </is>
      </c>
      <c r="D398" t="inlineStr">
        <is>
          <t>F04</t>
        </is>
      </c>
      <c r="E398" t="inlineStr">
        <is>
          <t>D400</t>
        </is>
      </c>
      <c r="G398" s="32" t="n">
        <v>45719.61458333334</v>
      </c>
      <c r="H398" s="32" t="n">
        <v>45719.63402777778</v>
      </c>
      <c r="I398" t="inlineStr">
        <is>
          <t>Z23</t>
        </is>
      </c>
      <c r="J398" t="inlineStr">
        <is>
          <t>PY01</t>
        </is>
      </c>
      <c r="K398" s="33" t="n">
        <v>131.78</v>
      </c>
      <c r="L398" s="34" t="n"/>
    </row>
    <row r="399">
      <c r="A399" t="inlineStr">
        <is>
          <t>ENC112925</t>
        </is>
      </c>
      <c r="B399" t="inlineStr">
        <is>
          <t>PT13184</t>
        </is>
      </c>
      <c r="C399" t="inlineStr">
        <is>
          <t>Emergency</t>
        </is>
      </c>
      <c r="D399" t="inlineStr">
        <is>
          <t>F01</t>
        </is>
      </c>
      <c r="E399" t="inlineStr">
        <is>
          <t>D100</t>
        </is>
      </c>
      <c r="G399" s="32" t="n">
        <v>45719.76388888889</v>
      </c>
      <c r="H399" s="32" t="n">
        <v>45719.8875</v>
      </c>
      <c r="I399" t="inlineStr">
        <is>
          <t>H66.90</t>
        </is>
      </c>
      <c r="J399" t="inlineStr">
        <is>
          <t>PY07</t>
        </is>
      </c>
      <c r="K399" s="33" t="n">
        <v>1339.04</v>
      </c>
      <c r="L399" s="34" t="n"/>
    </row>
    <row r="400">
      <c r="A400" t="inlineStr">
        <is>
          <t>ENC112928</t>
        </is>
      </c>
      <c r="B400" t="inlineStr">
        <is>
          <t>PT12597</t>
        </is>
      </c>
      <c r="C400" t="inlineStr">
        <is>
          <t>Inpatient</t>
        </is>
      </c>
      <c r="D400" t="inlineStr">
        <is>
          <t>F02</t>
        </is>
      </c>
      <c r="E400" t="inlineStr">
        <is>
          <t>D210</t>
        </is>
      </c>
      <c r="F400" t="inlineStr">
        <is>
          <t>Emergency Department</t>
        </is>
      </c>
      <c r="G400" s="32" t="n">
        <v>45720.11180555556</v>
      </c>
      <c r="H400" s="32" t="n">
        <v>45723.53055555555</v>
      </c>
      <c r="I400" t="inlineStr">
        <is>
          <t>J18.9</t>
        </is>
      </c>
      <c r="J400" t="inlineStr">
        <is>
          <t>PY03</t>
        </is>
      </c>
      <c r="K400" s="33" t="n">
        <v>11838.62</v>
      </c>
      <c r="L400" s="34" t="n"/>
    </row>
    <row r="401">
      <c r="A401" t="inlineStr">
        <is>
          <t>ENC112938</t>
        </is>
      </c>
      <c r="B401" t="inlineStr">
        <is>
          <t>PT10657</t>
        </is>
      </c>
      <c r="C401" t="inlineStr">
        <is>
          <t>Emergency</t>
        </is>
      </c>
      <c r="D401" t="inlineStr">
        <is>
          <t>F01</t>
        </is>
      </c>
      <c r="E401" t="inlineStr">
        <is>
          <t>D100</t>
        </is>
      </c>
      <c r="G401" s="32" t="n">
        <v>45720.46597222222</v>
      </c>
      <c r="H401" s="32" t="n">
        <v>45720.60972222222</v>
      </c>
      <c r="I401" t="inlineStr">
        <is>
          <t>S06.0X0A</t>
        </is>
      </c>
      <c r="J401" t="inlineStr">
        <is>
          <t>PY03</t>
        </is>
      </c>
      <c r="K401" s="33" t="n">
        <v>3844.83</v>
      </c>
      <c r="L401" s="34" t="n"/>
    </row>
    <row r="402">
      <c r="A402" t="inlineStr">
        <is>
          <t>ENC112944</t>
        </is>
      </c>
      <c r="B402" t="inlineStr">
        <is>
          <t>PT10396</t>
        </is>
      </c>
      <c r="C402" t="inlineStr">
        <is>
          <t>Outpatient</t>
        </is>
      </c>
      <c r="D402" t="inlineStr">
        <is>
          <t>F04</t>
        </is>
      </c>
      <c r="E402" t="inlineStr">
        <is>
          <t>D410</t>
        </is>
      </c>
      <c r="G402" s="32" t="n">
        <v>45720.55208333334</v>
      </c>
      <c r="H402" s="32" t="n">
        <v>45720.57013888889</v>
      </c>
      <c r="I402" t="inlineStr">
        <is>
          <t>I48.91</t>
        </is>
      </c>
      <c r="J402" t="inlineStr">
        <is>
          <t>PY04</t>
        </is>
      </c>
      <c r="K402" s="33" t="n">
        <v>237.75</v>
      </c>
      <c r="L402" s="34" t="n"/>
    </row>
    <row r="403">
      <c r="A403" t="inlineStr">
        <is>
          <t>ENC112948</t>
        </is>
      </c>
      <c r="B403" t="inlineStr">
        <is>
          <t>PT12856</t>
        </is>
      </c>
      <c r="C403" t="inlineStr">
        <is>
          <t>Outpatient</t>
        </is>
      </c>
      <c r="D403" t="inlineStr">
        <is>
          <t>F04</t>
        </is>
      </c>
      <c r="E403" t="inlineStr">
        <is>
          <t>D440</t>
        </is>
      </c>
      <c r="G403" s="32" t="n">
        <v>45720.63541666666</v>
      </c>
      <c r="H403" s="32" t="n">
        <v>45720.65486111111</v>
      </c>
      <c r="I403" t="inlineStr">
        <is>
          <t>E11.9</t>
        </is>
      </c>
      <c r="J403" t="inlineStr">
        <is>
          <t>PY01</t>
        </is>
      </c>
      <c r="K403" s="33" t="n">
        <v>286.44</v>
      </c>
      <c r="L403" s="34" t="n"/>
    </row>
    <row r="404">
      <c r="A404" t="inlineStr">
        <is>
          <t>ENC112954</t>
        </is>
      </c>
      <c r="B404" t="inlineStr">
        <is>
          <t>PT12221</t>
        </is>
      </c>
      <c r="C404" t="inlineStr">
        <is>
          <t>Emergency</t>
        </is>
      </c>
      <c r="D404" t="inlineStr">
        <is>
          <t>F03</t>
        </is>
      </c>
      <c r="E404" t="inlineStr">
        <is>
          <t>D300</t>
        </is>
      </c>
      <c r="G404" s="32" t="n">
        <v>45720.76666666667</v>
      </c>
      <c r="H404" s="32" t="n">
        <v>45720.93680555555</v>
      </c>
      <c r="I404" t="inlineStr">
        <is>
          <t>S06.0X0A</t>
        </is>
      </c>
      <c r="J404" t="inlineStr">
        <is>
          <t>PY03</t>
        </is>
      </c>
      <c r="K404" s="33" t="n">
        <v>2750.98</v>
      </c>
      <c r="L404" s="34" t="n"/>
    </row>
    <row r="405">
      <c r="A405" t="inlineStr">
        <is>
          <t>ENC112958</t>
        </is>
      </c>
      <c r="B405" t="inlineStr">
        <is>
          <t>PT11274</t>
        </is>
      </c>
      <c r="C405" t="inlineStr">
        <is>
          <t>Inpatient</t>
        </is>
      </c>
      <c r="D405" t="inlineStr">
        <is>
          <t>F03</t>
        </is>
      </c>
      <c r="E405" t="inlineStr">
        <is>
          <t>D310</t>
        </is>
      </c>
      <c r="F405" t="inlineStr">
        <is>
          <t>Direct Admit</t>
        </is>
      </c>
      <c r="G405" s="32" t="n">
        <v>45721.03055555555</v>
      </c>
      <c r="H405" s="32" t="n">
        <v>45726.50069444445</v>
      </c>
      <c r="I405" t="inlineStr">
        <is>
          <t>N17.9</t>
        </is>
      </c>
      <c r="J405" t="inlineStr">
        <is>
          <t>PY01</t>
        </is>
      </c>
      <c r="K405" s="33" t="n">
        <v>18510.73</v>
      </c>
      <c r="L405" s="34" t="n"/>
    </row>
    <row r="406">
      <c r="A406" t="inlineStr">
        <is>
          <t>ENC112965</t>
        </is>
      </c>
      <c r="B406" t="inlineStr">
        <is>
          <t>PT13105</t>
        </is>
      </c>
      <c r="C406" t="inlineStr">
        <is>
          <t>Outpatient</t>
        </is>
      </c>
      <c r="D406" t="inlineStr">
        <is>
          <t>F04</t>
        </is>
      </c>
      <c r="E406" t="inlineStr">
        <is>
          <t>D400</t>
        </is>
      </c>
      <c r="G406" s="32" t="n">
        <v>45721.44791666666</v>
      </c>
      <c r="H406" s="32" t="n">
        <v>45721.46041666667</v>
      </c>
      <c r="I406" t="inlineStr">
        <is>
          <t>Z00.00</t>
        </is>
      </c>
      <c r="J406" t="inlineStr">
        <is>
          <t>PY04</t>
        </is>
      </c>
      <c r="K406" s="33" t="n">
        <v>255.85</v>
      </c>
      <c r="L406" s="34" t="n"/>
    </row>
    <row r="407">
      <c r="A407" t="inlineStr">
        <is>
          <t>ENC112971</t>
        </is>
      </c>
      <c r="B407" t="inlineStr">
        <is>
          <t>PT10805</t>
        </is>
      </c>
      <c r="C407" t="inlineStr">
        <is>
          <t>Emergency</t>
        </is>
      </c>
      <c r="D407" t="inlineStr">
        <is>
          <t>F03</t>
        </is>
      </c>
      <c r="E407" t="inlineStr">
        <is>
          <t>D300</t>
        </is>
      </c>
      <c r="G407" s="32" t="n">
        <v>45721.58055555556</v>
      </c>
      <c r="H407" s="32" t="n">
        <v>45721.64722222222</v>
      </c>
      <c r="I407" t="inlineStr">
        <is>
          <t>M54.50</t>
        </is>
      </c>
      <c r="J407" t="inlineStr">
        <is>
          <t>PY01</t>
        </is>
      </c>
      <c r="K407" s="33" t="n">
        <v>780.92</v>
      </c>
      <c r="L407" s="34" t="n"/>
    </row>
    <row r="408">
      <c r="A408" t="inlineStr">
        <is>
          <t>ENC112976</t>
        </is>
      </c>
      <c r="B408" t="inlineStr">
        <is>
          <t>PT13778</t>
        </is>
      </c>
      <c r="C408" t="inlineStr">
        <is>
          <t>Outpatient</t>
        </is>
      </c>
      <c r="D408" t="inlineStr">
        <is>
          <t>F04</t>
        </is>
      </c>
      <c r="E408" t="inlineStr">
        <is>
          <t>D440</t>
        </is>
      </c>
      <c r="G408" s="32" t="n">
        <v>45721.61458333334</v>
      </c>
      <c r="H408" s="32" t="n">
        <v>45721.63472222222</v>
      </c>
      <c r="I408" t="inlineStr">
        <is>
          <t>E11.9</t>
        </is>
      </c>
      <c r="J408" t="inlineStr">
        <is>
          <t>PY04</t>
        </is>
      </c>
      <c r="K408" s="33" t="n">
        <v>471.7</v>
      </c>
      <c r="L408" s="34" t="n"/>
    </row>
    <row r="409">
      <c r="A409" t="inlineStr">
        <is>
          <t>ENC112969</t>
        </is>
      </c>
      <c r="B409" t="inlineStr">
        <is>
          <t>PT12599</t>
        </is>
      </c>
      <c r="C409" t="inlineStr">
        <is>
          <t>Inpatient</t>
        </is>
      </c>
      <c r="D409" t="inlineStr">
        <is>
          <t>F02</t>
        </is>
      </c>
      <c r="E409" t="inlineStr">
        <is>
          <t>D210</t>
        </is>
      </c>
      <c r="F409" t="inlineStr">
        <is>
          <t>Emergency Department</t>
        </is>
      </c>
      <c r="G409" s="32" t="n">
        <v>45721.64375</v>
      </c>
      <c r="H409" s="32" t="n">
        <v>45729.44236111111</v>
      </c>
      <c r="I409" t="inlineStr">
        <is>
          <t>U07.1</t>
        </is>
      </c>
      <c r="J409" t="inlineStr">
        <is>
          <t>PY02</t>
        </is>
      </c>
      <c r="K409" s="33" t="n">
        <v>24686.23</v>
      </c>
      <c r="L409" s="34" t="n"/>
    </row>
    <row r="410">
      <c r="A410" t="inlineStr">
        <is>
          <t>ENC112986</t>
        </is>
      </c>
      <c r="B410" t="inlineStr">
        <is>
          <t>PT12276</t>
        </is>
      </c>
      <c r="C410" t="inlineStr">
        <is>
          <t>Emergency</t>
        </is>
      </c>
      <c r="D410" t="inlineStr">
        <is>
          <t>F02</t>
        </is>
      </c>
      <c r="E410" t="inlineStr">
        <is>
          <t>D200</t>
        </is>
      </c>
      <c r="G410" s="32" t="n">
        <v>45721.71805555555</v>
      </c>
      <c r="H410" s="32" t="n">
        <v>45721.8</v>
      </c>
      <c r="I410" t="inlineStr">
        <is>
          <t>J06.9</t>
        </is>
      </c>
      <c r="J410" t="inlineStr">
        <is>
          <t>PY03</t>
        </is>
      </c>
      <c r="K410" s="33" t="n">
        <v>699.9400000000001</v>
      </c>
      <c r="L410" s="34" t="n"/>
    </row>
    <row r="411">
      <c r="A411" t="inlineStr">
        <is>
          <t>ENC112993</t>
        </is>
      </c>
      <c r="B411" t="inlineStr">
        <is>
          <t>PT10360</t>
        </is>
      </c>
      <c r="C411" t="inlineStr">
        <is>
          <t>Emergency</t>
        </is>
      </c>
      <c r="D411" t="inlineStr">
        <is>
          <t>F01</t>
        </is>
      </c>
      <c r="E411" t="inlineStr">
        <is>
          <t>D100</t>
        </is>
      </c>
      <c r="G411" s="32" t="n">
        <v>45721.8625</v>
      </c>
      <c r="H411" s="32" t="n">
        <v>45721.98194444444</v>
      </c>
      <c r="I411" t="inlineStr">
        <is>
          <t>G43.909</t>
        </is>
      </c>
      <c r="J411" t="inlineStr">
        <is>
          <t>PY02</t>
        </is>
      </c>
      <c r="K411" s="33" t="n">
        <v>1458.51</v>
      </c>
      <c r="L411" s="34" t="n"/>
    </row>
    <row r="412">
      <c r="A412" t="inlineStr">
        <is>
          <t>ENC112997</t>
        </is>
      </c>
      <c r="B412" t="inlineStr">
        <is>
          <t>PT10425</t>
        </is>
      </c>
      <c r="C412" t="inlineStr">
        <is>
          <t>Emergency</t>
        </is>
      </c>
      <c r="D412" t="inlineStr">
        <is>
          <t>F01</t>
        </is>
      </c>
      <c r="E412" t="inlineStr">
        <is>
          <t>D100</t>
        </is>
      </c>
      <c r="G412" s="32" t="n">
        <v>45722.19236111111</v>
      </c>
      <c r="H412" s="32" t="n">
        <v>45722.33819444444</v>
      </c>
      <c r="I412" t="inlineStr">
        <is>
          <t>J45.909</t>
        </is>
      </c>
      <c r="J412" t="inlineStr">
        <is>
          <t>PY07</t>
        </is>
      </c>
      <c r="K412" s="33" t="n">
        <v>3048.43</v>
      </c>
      <c r="L412" s="34" t="n"/>
    </row>
    <row r="413">
      <c r="A413" t="inlineStr">
        <is>
          <t>ENC113005</t>
        </is>
      </c>
      <c r="B413" t="inlineStr">
        <is>
          <t>PT10704</t>
        </is>
      </c>
      <c r="C413" t="inlineStr">
        <is>
          <t>Emergency</t>
        </is>
      </c>
      <c r="D413" t="inlineStr">
        <is>
          <t>F01</t>
        </is>
      </c>
      <c r="E413" t="inlineStr">
        <is>
          <t>D100</t>
        </is>
      </c>
      <c r="G413" s="32" t="n">
        <v>45722.41527777778</v>
      </c>
      <c r="H413" s="32" t="n">
        <v>45722.5375</v>
      </c>
      <c r="I413" t="inlineStr">
        <is>
          <t>R07.9</t>
        </is>
      </c>
      <c r="J413" t="inlineStr">
        <is>
          <t>PY04</t>
        </is>
      </c>
      <c r="K413" s="33" t="n">
        <v>3778.4</v>
      </c>
      <c r="L413" s="34" t="n"/>
    </row>
    <row r="414">
      <c r="A414" t="inlineStr">
        <is>
          <t>ENC113009</t>
        </is>
      </c>
      <c r="B414" t="inlineStr">
        <is>
          <t>PT12057</t>
        </is>
      </c>
      <c r="C414" t="inlineStr">
        <is>
          <t>Outpatient</t>
        </is>
      </c>
      <c r="D414" t="inlineStr">
        <is>
          <t>F04</t>
        </is>
      </c>
      <c r="E414" t="inlineStr">
        <is>
          <t>D430</t>
        </is>
      </c>
      <c r="G414" s="32" t="n">
        <v>45722.54166666666</v>
      </c>
      <c r="H414" s="32" t="n">
        <v>45722.6875</v>
      </c>
      <c r="I414" t="inlineStr">
        <is>
          <t>Z51.11</t>
        </is>
      </c>
      <c r="J414" t="inlineStr">
        <is>
          <t>PY06</t>
        </is>
      </c>
      <c r="K414" s="33" t="n">
        <v>5105.35</v>
      </c>
      <c r="L414" s="34" t="n"/>
    </row>
    <row r="415">
      <c r="A415" t="inlineStr">
        <is>
          <t>ENC113015</t>
        </is>
      </c>
      <c r="B415" t="inlineStr">
        <is>
          <t>PT13943</t>
        </is>
      </c>
      <c r="C415" t="inlineStr">
        <is>
          <t>Outpatient</t>
        </is>
      </c>
      <c r="D415" t="inlineStr">
        <is>
          <t>F04</t>
        </is>
      </c>
      <c r="E415" t="inlineStr">
        <is>
          <t>D400</t>
        </is>
      </c>
      <c r="G415" s="32" t="n">
        <v>45722.60416666666</v>
      </c>
      <c r="H415" s="32" t="n">
        <v>45722.61666666667</v>
      </c>
      <c r="I415" t="inlineStr">
        <is>
          <t>J06.9</t>
        </is>
      </c>
      <c r="J415" t="inlineStr">
        <is>
          <t>PY06</t>
        </is>
      </c>
      <c r="K415" s="33" t="n">
        <v>325.64</v>
      </c>
      <c r="L415" s="34" t="n"/>
    </row>
    <row r="416">
      <c r="A416" t="inlineStr">
        <is>
          <t>ENC113021</t>
        </is>
      </c>
      <c r="B416" t="inlineStr">
        <is>
          <t>PT12005</t>
        </is>
      </c>
      <c r="C416" t="inlineStr">
        <is>
          <t>Emergency</t>
        </is>
      </c>
      <c r="D416" t="inlineStr">
        <is>
          <t>F01</t>
        </is>
      </c>
      <c r="E416" t="inlineStr">
        <is>
          <t>D100</t>
        </is>
      </c>
      <c r="G416" s="32" t="n">
        <v>45722.77083333334</v>
      </c>
      <c r="H416" s="32" t="n">
        <v>45722.97222222222</v>
      </c>
      <c r="I416" t="inlineStr">
        <is>
          <t>F20.9</t>
        </is>
      </c>
      <c r="J416" t="inlineStr">
        <is>
          <t>PY04</t>
        </is>
      </c>
      <c r="K416" s="33" t="n">
        <v>2318.62</v>
      </c>
      <c r="L416" s="34" t="n"/>
    </row>
    <row r="417">
      <c r="A417" t="inlineStr">
        <is>
          <t>ENC113025</t>
        </is>
      </c>
      <c r="B417" t="inlineStr">
        <is>
          <t>PT13331</t>
        </is>
      </c>
      <c r="C417" t="inlineStr">
        <is>
          <t>Emergency</t>
        </is>
      </c>
      <c r="D417" t="inlineStr">
        <is>
          <t>F01</t>
        </is>
      </c>
      <c r="E417" t="inlineStr">
        <is>
          <t>D100</t>
        </is>
      </c>
      <c r="G417" s="32" t="n">
        <v>45722.99722222222</v>
      </c>
      <c r="H417" s="32" t="n">
        <v>45723.10416666666</v>
      </c>
      <c r="I417" t="inlineStr">
        <is>
          <t>U07.1</t>
        </is>
      </c>
      <c r="J417" t="inlineStr">
        <is>
          <t>PY04</t>
        </is>
      </c>
      <c r="K417" s="33" t="n">
        <v>4454.26</v>
      </c>
      <c r="L417" s="34" t="n"/>
    </row>
    <row r="418">
      <c r="A418" t="inlineStr">
        <is>
          <t>ENC113031</t>
        </is>
      </c>
      <c r="B418" t="inlineStr">
        <is>
          <t>PT10630</t>
        </is>
      </c>
      <c r="C418" t="inlineStr">
        <is>
          <t>Outpatient</t>
        </is>
      </c>
      <c r="D418" t="inlineStr">
        <is>
          <t>F04</t>
        </is>
      </c>
      <c r="E418" t="inlineStr">
        <is>
          <t>D430</t>
        </is>
      </c>
      <c r="G418" s="32" t="n">
        <v>45723.39583333334</v>
      </c>
      <c r="H418" s="32" t="n">
        <v>45723.50902777778</v>
      </c>
      <c r="I418" t="inlineStr">
        <is>
          <t>Z51.11</t>
        </is>
      </c>
      <c r="J418" t="inlineStr">
        <is>
          <t>PY01</t>
        </is>
      </c>
      <c r="K418" s="33" t="n">
        <v>8273.209999999999</v>
      </c>
      <c r="L418" s="34" t="n"/>
    </row>
    <row r="419">
      <c r="A419" t="inlineStr">
        <is>
          <t>ENC113038</t>
        </is>
      </c>
      <c r="B419" t="inlineStr">
        <is>
          <t>PT11473</t>
        </is>
      </c>
      <c r="C419" t="inlineStr">
        <is>
          <t>Emergency</t>
        </is>
      </c>
      <c r="D419" t="inlineStr">
        <is>
          <t>F01</t>
        </is>
      </c>
      <c r="E419" t="inlineStr">
        <is>
          <t>D100</t>
        </is>
      </c>
      <c r="G419" s="32" t="n">
        <v>45723.48888888889</v>
      </c>
      <c r="H419" s="32" t="n">
        <v>45723.64861111111</v>
      </c>
      <c r="I419" t="inlineStr">
        <is>
          <t>F32.9</t>
        </is>
      </c>
      <c r="J419" t="inlineStr">
        <is>
          <t>PY07</t>
        </is>
      </c>
      <c r="K419" s="33" t="n">
        <v>2501.31</v>
      </c>
      <c r="L419" s="34" t="n"/>
    </row>
    <row r="420">
      <c r="A420" t="inlineStr">
        <is>
          <t>ENC113037</t>
        </is>
      </c>
      <c r="B420" t="inlineStr">
        <is>
          <t>PT11478</t>
        </is>
      </c>
      <c r="C420" t="inlineStr">
        <is>
          <t>Inpatient</t>
        </is>
      </c>
      <c r="D420" t="inlineStr">
        <is>
          <t>F01</t>
        </is>
      </c>
      <c r="E420" t="inlineStr">
        <is>
          <t>D190</t>
        </is>
      </c>
      <c r="F420" t="inlineStr">
        <is>
          <t>Emergency Department</t>
        </is>
      </c>
      <c r="G420" s="32" t="n">
        <v>45723.54722222222</v>
      </c>
      <c r="H420" s="32" t="n">
        <v>45731.4875</v>
      </c>
      <c r="I420" t="inlineStr">
        <is>
          <t>F32.9</t>
        </is>
      </c>
      <c r="J420" t="inlineStr">
        <is>
          <t>PY05</t>
        </is>
      </c>
      <c r="K420" s="33" t="n">
        <v>26942.36</v>
      </c>
      <c r="L420" s="34" t="n"/>
    </row>
    <row r="421">
      <c r="A421" t="inlineStr">
        <is>
          <t>ENC113047</t>
        </is>
      </c>
      <c r="B421" t="inlineStr">
        <is>
          <t>PT10211</t>
        </is>
      </c>
      <c r="C421" t="inlineStr">
        <is>
          <t>Emergency</t>
        </is>
      </c>
      <c r="D421" t="inlineStr">
        <is>
          <t>F01</t>
        </is>
      </c>
      <c r="E421" t="inlineStr">
        <is>
          <t>D100</t>
        </is>
      </c>
      <c r="G421" s="32" t="n">
        <v>45723.62638888889</v>
      </c>
      <c r="H421" s="32" t="n">
        <v>45723.79236111111</v>
      </c>
      <c r="I421" t="inlineStr">
        <is>
          <t>R55</t>
        </is>
      </c>
      <c r="J421" t="inlineStr">
        <is>
          <t>PY04</t>
        </is>
      </c>
      <c r="K421" s="33" t="n">
        <v>2588.93</v>
      </c>
      <c r="L421" s="34" t="n"/>
    </row>
    <row r="422">
      <c r="A422" t="inlineStr">
        <is>
          <t>ENC113051</t>
        </is>
      </c>
      <c r="B422" t="inlineStr">
        <is>
          <t>PT12735</t>
        </is>
      </c>
      <c r="C422" t="inlineStr">
        <is>
          <t>Inpatient</t>
        </is>
      </c>
      <c r="D422" t="inlineStr">
        <is>
          <t>F01</t>
        </is>
      </c>
      <c r="E422" t="inlineStr">
        <is>
          <t>D190</t>
        </is>
      </c>
      <c r="F422" t="inlineStr">
        <is>
          <t>Emergency Department</t>
        </is>
      </c>
      <c r="G422" s="32" t="n">
        <v>45723.90555555555</v>
      </c>
      <c r="H422" s="32" t="n">
        <v>45734.49027777778</v>
      </c>
      <c r="I422" t="inlineStr">
        <is>
          <t>F20.9</t>
        </is>
      </c>
      <c r="J422" t="inlineStr">
        <is>
          <t>PY03</t>
        </is>
      </c>
      <c r="K422" s="33" t="n">
        <v>37300.08</v>
      </c>
      <c r="L422" s="34" t="n"/>
    </row>
    <row r="423">
      <c r="A423" t="inlineStr">
        <is>
          <t>ENC113059</t>
        </is>
      </c>
      <c r="B423" t="inlineStr">
        <is>
          <t>PT12051</t>
        </is>
      </c>
      <c r="C423" t="inlineStr">
        <is>
          <t>Emergency</t>
        </is>
      </c>
      <c r="D423" t="inlineStr">
        <is>
          <t>F02</t>
        </is>
      </c>
      <c r="E423" t="inlineStr">
        <is>
          <t>D200</t>
        </is>
      </c>
      <c r="G423" s="32" t="n">
        <v>45724.32361111111</v>
      </c>
      <c r="H423" s="32" t="n">
        <v>45724.39097222222</v>
      </c>
      <c r="I423" t="inlineStr">
        <is>
          <t>L03.115</t>
        </is>
      </c>
      <c r="J423" t="inlineStr">
        <is>
          <t>PY01</t>
        </is>
      </c>
      <c r="K423" s="33" t="n">
        <v>1814.82</v>
      </c>
      <c r="L423" s="34" t="n"/>
    </row>
    <row r="424">
      <c r="A424" t="inlineStr">
        <is>
          <t>ENC113064</t>
        </is>
      </c>
      <c r="B424" t="inlineStr">
        <is>
          <t>PT10544</t>
        </is>
      </c>
      <c r="C424" t="inlineStr">
        <is>
          <t>Inpatient</t>
        </is>
      </c>
      <c r="D424" t="inlineStr">
        <is>
          <t>F01</t>
        </is>
      </c>
      <c r="E424" t="inlineStr">
        <is>
          <t>D111</t>
        </is>
      </c>
      <c r="F424" t="inlineStr">
        <is>
          <t>Emergency Department</t>
        </is>
      </c>
      <c r="G424" s="32" t="n">
        <v>45724.66875</v>
      </c>
      <c r="H424" s="32" t="n">
        <v>45728.64930555555</v>
      </c>
      <c r="I424" t="inlineStr">
        <is>
          <t>U07.1</t>
        </is>
      </c>
      <c r="J424" t="inlineStr">
        <is>
          <t>PY07</t>
        </is>
      </c>
      <c r="K424" s="33" t="n">
        <v>17718.89</v>
      </c>
      <c r="L424" s="34" t="n"/>
    </row>
    <row r="425">
      <c r="A425" t="inlineStr">
        <is>
          <t>ENC113072</t>
        </is>
      </c>
      <c r="B425" t="inlineStr">
        <is>
          <t>PT10638</t>
        </is>
      </c>
      <c r="C425" t="inlineStr">
        <is>
          <t>Emergency</t>
        </is>
      </c>
      <c r="D425" t="inlineStr">
        <is>
          <t>F01</t>
        </is>
      </c>
      <c r="E425" t="inlineStr">
        <is>
          <t>D100</t>
        </is>
      </c>
      <c r="G425" s="32" t="n">
        <v>45724.88402777778</v>
      </c>
      <c r="H425" s="32" t="n">
        <v>45724.97638888889</v>
      </c>
      <c r="I425" t="inlineStr">
        <is>
          <t>G40.909</t>
        </is>
      </c>
      <c r="J425" t="inlineStr">
        <is>
          <t>PY03</t>
        </is>
      </c>
      <c r="K425" s="33" t="n">
        <v>2282.14</v>
      </c>
      <c r="L425" s="34" t="n"/>
    </row>
    <row r="426">
      <c r="A426" t="inlineStr">
        <is>
          <t>ENC113077</t>
        </is>
      </c>
      <c r="B426" t="inlineStr">
        <is>
          <t>PT10722</t>
        </is>
      </c>
      <c r="C426" t="inlineStr">
        <is>
          <t>Inpatient</t>
        </is>
      </c>
      <c r="D426" t="inlineStr">
        <is>
          <t>F02</t>
        </is>
      </c>
      <c r="E426" t="inlineStr">
        <is>
          <t>D210</t>
        </is>
      </c>
      <c r="F426" t="inlineStr">
        <is>
          <t>Direct Admit</t>
        </is>
      </c>
      <c r="G426" s="32" t="n">
        <v>45725.02291666667</v>
      </c>
      <c r="H426" s="32" t="n">
        <v>45730.60138888889</v>
      </c>
      <c r="I426" t="inlineStr">
        <is>
          <t>E11.65</t>
        </is>
      </c>
      <c r="J426" t="inlineStr">
        <is>
          <t>PY04</t>
        </is>
      </c>
      <c r="K426" s="33" t="n">
        <v>22631.49</v>
      </c>
      <c r="L426" s="34" t="n"/>
    </row>
    <row r="427">
      <c r="A427" t="inlineStr">
        <is>
          <t>ENC113083</t>
        </is>
      </c>
      <c r="B427" t="inlineStr">
        <is>
          <t>PT13689</t>
        </is>
      </c>
      <c r="C427" t="inlineStr">
        <is>
          <t>Emergency</t>
        </is>
      </c>
      <c r="D427" t="inlineStr">
        <is>
          <t>F02</t>
        </is>
      </c>
      <c r="E427" t="inlineStr">
        <is>
          <t>D200</t>
        </is>
      </c>
      <c r="G427" s="32" t="n">
        <v>45725.48333333333</v>
      </c>
      <c r="H427" s="32" t="n">
        <v>45725.56805555556</v>
      </c>
      <c r="I427" t="inlineStr">
        <is>
          <t>A08.4</t>
        </is>
      </c>
      <c r="J427" t="inlineStr">
        <is>
          <t>PY05</t>
        </is>
      </c>
      <c r="K427" s="33" t="n">
        <v>752.42</v>
      </c>
      <c r="L427" s="34" t="n"/>
    </row>
    <row r="428">
      <c r="A428" t="inlineStr">
        <is>
          <t>ENC113091</t>
        </is>
      </c>
      <c r="B428" t="inlineStr">
        <is>
          <t>PT10966</t>
        </is>
      </c>
      <c r="C428" t="inlineStr">
        <is>
          <t>Emergency</t>
        </is>
      </c>
      <c r="D428" t="inlineStr">
        <is>
          <t>F01</t>
        </is>
      </c>
      <c r="E428" t="inlineStr">
        <is>
          <t>D100</t>
        </is>
      </c>
      <c r="G428" s="32" t="n">
        <v>45725.63055555556</v>
      </c>
      <c r="H428" s="32" t="n">
        <v>45725.79513888889</v>
      </c>
      <c r="I428" t="inlineStr">
        <is>
          <t>R07.9</t>
        </is>
      </c>
      <c r="J428" t="inlineStr">
        <is>
          <t>PY04</t>
        </is>
      </c>
      <c r="K428" s="33" t="n">
        <v>4114.83</v>
      </c>
      <c r="L428" s="34" t="n"/>
    </row>
    <row r="429">
      <c r="A429" t="inlineStr">
        <is>
          <t>ENC113090</t>
        </is>
      </c>
      <c r="B429" t="inlineStr">
        <is>
          <t>PT11863</t>
        </is>
      </c>
      <c r="C429" t="inlineStr">
        <is>
          <t>Inpatient</t>
        </is>
      </c>
      <c r="D429" t="inlineStr">
        <is>
          <t>F02</t>
        </is>
      </c>
      <c r="E429" t="inlineStr">
        <is>
          <t>D210</t>
        </is>
      </c>
      <c r="F429" t="inlineStr">
        <is>
          <t>Emergency Department</t>
        </is>
      </c>
      <c r="G429" s="32" t="n">
        <v>45725.76875</v>
      </c>
      <c r="H429" s="32" t="n">
        <v>45739.57916666667</v>
      </c>
      <c r="I429" t="inlineStr">
        <is>
          <t>J96.01</t>
        </is>
      </c>
      <c r="J429" t="inlineStr">
        <is>
          <t>PY02</t>
        </is>
      </c>
      <c r="K429" s="33" t="n">
        <v>185019.66</v>
      </c>
      <c r="L429" s="34" t="n"/>
    </row>
    <row r="430">
      <c r="A430" t="inlineStr">
        <is>
          <t>ENC113098</t>
        </is>
      </c>
      <c r="B430" t="inlineStr">
        <is>
          <t>PT10819</t>
        </is>
      </c>
      <c r="C430" t="inlineStr">
        <is>
          <t>Emergency</t>
        </is>
      </c>
      <c r="D430" t="inlineStr">
        <is>
          <t>F03</t>
        </is>
      </c>
      <c r="E430" t="inlineStr">
        <is>
          <t>D300</t>
        </is>
      </c>
      <c r="G430" s="32" t="n">
        <v>45725.85138888889</v>
      </c>
      <c r="H430" s="32" t="n">
        <v>45726.05625</v>
      </c>
      <c r="I430" t="inlineStr">
        <is>
          <t>U07.1</t>
        </is>
      </c>
      <c r="J430" t="inlineStr">
        <is>
          <t>PY04</t>
        </is>
      </c>
      <c r="K430" s="33" t="n">
        <v>3603.37</v>
      </c>
      <c r="L430" s="34" t="n"/>
    </row>
    <row r="431">
      <c r="A431" t="inlineStr">
        <is>
          <t>ENC113103</t>
        </is>
      </c>
      <c r="B431" t="inlineStr">
        <is>
          <t>PT12941</t>
        </is>
      </c>
      <c r="C431" t="inlineStr">
        <is>
          <t>Outpatient</t>
        </is>
      </c>
      <c r="D431" t="inlineStr">
        <is>
          <t>F04</t>
        </is>
      </c>
      <c r="E431" t="inlineStr">
        <is>
          <t>D450</t>
        </is>
      </c>
      <c r="G431" s="32" t="n">
        <v>45726.33333333334</v>
      </c>
      <c r="H431" s="32" t="n">
        <v>45726.34861111111</v>
      </c>
      <c r="I431" t="inlineStr">
        <is>
          <t>G40.909</t>
        </is>
      </c>
      <c r="J431" t="inlineStr">
        <is>
          <t>PY03</t>
        </is>
      </c>
      <c r="K431" s="33" t="n">
        <v>244.66</v>
      </c>
      <c r="L431" s="34" t="n"/>
    </row>
    <row r="432">
      <c r="A432" t="inlineStr">
        <is>
          <t>ENC113109</t>
        </is>
      </c>
      <c r="B432" t="inlineStr">
        <is>
          <t>PT11355</t>
        </is>
      </c>
      <c r="C432" t="inlineStr">
        <is>
          <t>Outpatient</t>
        </is>
      </c>
      <c r="D432" t="inlineStr">
        <is>
          <t>F04</t>
        </is>
      </c>
      <c r="E432" t="inlineStr">
        <is>
          <t>D400</t>
        </is>
      </c>
      <c r="G432" s="32" t="n">
        <v>45726.42708333334</v>
      </c>
      <c r="H432" s="32" t="n">
        <v>45726.44513888889</v>
      </c>
      <c r="I432" t="inlineStr">
        <is>
          <t>Z23</t>
        </is>
      </c>
      <c r="J432" t="inlineStr">
        <is>
          <t>PY01</t>
        </is>
      </c>
      <c r="K432" s="33" t="n">
        <v>130.3</v>
      </c>
      <c r="L432" s="34" t="n"/>
    </row>
    <row r="433">
      <c r="A433" t="inlineStr">
        <is>
          <t>ENC113115</t>
        </is>
      </c>
      <c r="B433" t="inlineStr">
        <is>
          <t>PT10486</t>
        </is>
      </c>
      <c r="C433" t="inlineStr">
        <is>
          <t>Emergency</t>
        </is>
      </c>
      <c r="D433" t="inlineStr">
        <is>
          <t>F01</t>
        </is>
      </c>
      <c r="E433" t="inlineStr">
        <is>
          <t>D100</t>
        </is>
      </c>
      <c r="G433" s="32" t="n">
        <v>45726.54930555556</v>
      </c>
      <c r="H433" s="32" t="n">
        <v>45726.68402777778</v>
      </c>
      <c r="I433" t="inlineStr">
        <is>
          <t>F32.9</t>
        </is>
      </c>
      <c r="J433" t="inlineStr">
        <is>
          <t>PY02</t>
        </is>
      </c>
      <c r="K433" s="33" t="n">
        <v>4442.16</v>
      </c>
      <c r="L433" s="34" t="n"/>
    </row>
    <row r="434">
      <c r="A434" t="inlineStr">
        <is>
          <t>ENC113123</t>
        </is>
      </c>
      <c r="B434" t="inlineStr">
        <is>
          <t>PT11811</t>
        </is>
      </c>
      <c r="C434" t="inlineStr">
        <is>
          <t>Outpatient</t>
        </is>
      </c>
      <c r="D434" t="inlineStr">
        <is>
          <t>F04</t>
        </is>
      </c>
      <c r="E434" t="inlineStr">
        <is>
          <t>D450</t>
        </is>
      </c>
      <c r="G434" s="32" t="n">
        <v>45726.64583333334</v>
      </c>
      <c r="H434" s="32" t="n">
        <v>45726.65833333333</v>
      </c>
      <c r="I434" t="inlineStr">
        <is>
          <t>Z00.129</t>
        </is>
      </c>
      <c r="J434" t="inlineStr">
        <is>
          <t>PY04</t>
        </is>
      </c>
      <c r="K434" s="33" t="n">
        <v>331.65</v>
      </c>
      <c r="L434" s="34" t="n"/>
    </row>
    <row r="435">
      <c r="A435" t="inlineStr">
        <is>
          <t>ENC113130</t>
        </is>
      </c>
      <c r="B435" t="inlineStr">
        <is>
          <t>PT10616</t>
        </is>
      </c>
      <c r="C435" t="inlineStr">
        <is>
          <t>Outpatient</t>
        </is>
      </c>
      <c r="D435" t="inlineStr">
        <is>
          <t>F04</t>
        </is>
      </c>
      <c r="E435" t="inlineStr">
        <is>
          <t>D400</t>
        </is>
      </c>
      <c r="G435" s="32" t="n">
        <v>45726.67708333334</v>
      </c>
      <c r="H435" s="32" t="n">
        <v>45726.70069444444</v>
      </c>
      <c r="I435" t="inlineStr">
        <is>
          <t>I10</t>
        </is>
      </c>
      <c r="J435" t="inlineStr">
        <is>
          <t>PY01</t>
        </is>
      </c>
      <c r="K435" s="33" t="n">
        <v>327.05</v>
      </c>
      <c r="L435" s="34" t="n"/>
    </row>
    <row r="436">
      <c r="A436" t="inlineStr">
        <is>
          <t>ENC113120</t>
        </is>
      </c>
      <c r="B436" t="inlineStr">
        <is>
          <t>PT11567</t>
        </is>
      </c>
      <c r="C436" t="inlineStr">
        <is>
          <t>Inpatient</t>
        </is>
      </c>
      <c r="D436" t="inlineStr">
        <is>
          <t>F01</t>
        </is>
      </c>
      <c r="E436" t="inlineStr">
        <is>
          <t>D111</t>
        </is>
      </c>
      <c r="F436" t="inlineStr">
        <is>
          <t>Emergency Department</t>
        </is>
      </c>
      <c r="G436" s="32" t="n">
        <v>45726.78888888889</v>
      </c>
      <c r="H436" s="32" t="n">
        <v>45730.59305555555</v>
      </c>
      <c r="I436" t="inlineStr">
        <is>
          <t>J18.9</t>
        </is>
      </c>
      <c r="J436" t="inlineStr">
        <is>
          <t>PY06</t>
        </is>
      </c>
      <c r="K436" s="33" t="n">
        <v>18264.17</v>
      </c>
      <c r="L436" s="34" t="n"/>
    </row>
    <row r="437">
      <c r="A437" t="inlineStr">
        <is>
          <t>ENC113139</t>
        </is>
      </c>
      <c r="B437" t="inlineStr">
        <is>
          <t>PT12626</t>
        </is>
      </c>
      <c r="C437" t="inlineStr">
        <is>
          <t>Emergency</t>
        </is>
      </c>
      <c r="D437" t="inlineStr">
        <is>
          <t>F01</t>
        </is>
      </c>
      <c r="E437" t="inlineStr">
        <is>
          <t>D100</t>
        </is>
      </c>
      <c r="G437" s="32" t="n">
        <v>45726.87291666667</v>
      </c>
      <c r="H437" s="32" t="n">
        <v>45726.96180555555</v>
      </c>
      <c r="I437" t="inlineStr">
        <is>
          <t>H66.90</t>
        </is>
      </c>
      <c r="J437" t="inlineStr">
        <is>
          <t>PY03</t>
        </is>
      </c>
      <c r="K437" s="33" t="n">
        <v>599.85</v>
      </c>
      <c r="L437" s="34" t="n"/>
    </row>
    <row r="438">
      <c r="A438" t="inlineStr">
        <is>
          <t>ENC113141</t>
        </is>
      </c>
      <c r="B438" t="inlineStr">
        <is>
          <t>PT13478</t>
        </is>
      </c>
      <c r="C438" t="inlineStr">
        <is>
          <t>Inpatient</t>
        </is>
      </c>
      <c r="D438" t="inlineStr">
        <is>
          <t>F01</t>
        </is>
      </c>
      <c r="E438" t="inlineStr">
        <is>
          <t>D190</t>
        </is>
      </c>
      <c r="F438" t="inlineStr">
        <is>
          <t>Emergency Department</t>
        </is>
      </c>
      <c r="G438" s="32" t="n">
        <v>45727.12013888889</v>
      </c>
      <c r="H438" s="32" t="n">
        <v>45732.67986111111</v>
      </c>
      <c r="I438" t="inlineStr">
        <is>
          <t>F32.9</t>
        </is>
      </c>
      <c r="J438" t="inlineStr">
        <is>
          <t>PY04</t>
        </is>
      </c>
      <c r="K438" s="33" t="n">
        <v>18976.15</v>
      </c>
      <c r="L438" s="34" t="n"/>
    </row>
    <row r="439">
      <c r="A439" t="inlineStr">
        <is>
          <t>ENC113148</t>
        </is>
      </c>
      <c r="B439" t="inlineStr">
        <is>
          <t>PT10156</t>
        </is>
      </c>
      <c r="C439" t="inlineStr">
        <is>
          <t>Outpatient</t>
        </is>
      </c>
      <c r="D439" t="inlineStr">
        <is>
          <t>F04</t>
        </is>
      </c>
      <c r="E439" t="inlineStr">
        <is>
          <t>D400</t>
        </is>
      </c>
      <c r="G439" s="32" t="n">
        <v>45727.41666666666</v>
      </c>
      <c r="H439" s="32" t="n">
        <v>45727.44444444445</v>
      </c>
      <c r="I439" t="inlineStr">
        <is>
          <t>F41.9</t>
        </is>
      </c>
      <c r="J439" t="inlineStr">
        <is>
          <t>PY03</t>
        </is>
      </c>
      <c r="K439" s="33" t="n">
        <v>467</v>
      </c>
      <c r="L439" s="34" t="n"/>
    </row>
    <row r="440">
      <c r="A440" t="inlineStr">
        <is>
          <t>ENC113154</t>
        </is>
      </c>
      <c r="B440" t="inlineStr">
        <is>
          <t>PT13360</t>
        </is>
      </c>
      <c r="C440" t="inlineStr">
        <is>
          <t>Outpatient</t>
        </is>
      </c>
      <c r="D440" t="inlineStr">
        <is>
          <t>F04</t>
        </is>
      </c>
      <c r="E440" t="inlineStr">
        <is>
          <t>D400</t>
        </is>
      </c>
      <c r="G440" s="32" t="n">
        <v>45727.44791666666</v>
      </c>
      <c r="H440" s="32" t="n">
        <v>45727.475</v>
      </c>
      <c r="I440" t="inlineStr">
        <is>
          <t>I10</t>
        </is>
      </c>
      <c r="J440" t="inlineStr">
        <is>
          <t>PY04</t>
        </is>
      </c>
      <c r="K440" s="33" t="n">
        <v>241.65</v>
      </c>
      <c r="L440" s="34" t="n"/>
    </row>
    <row r="441">
      <c r="A441" t="inlineStr">
        <is>
          <t>ENC113161</t>
        </is>
      </c>
      <c r="B441" t="inlineStr">
        <is>
          <t>PT10751</t>
        </is>
      </c>
      <c r="C441" t="inlineStr">
        <is>
          <t>Emergency</t>
        </is>
      </c>
      <c r="D441" t="inlineStr">
        <is>
          <t>F01</t>
        </is>
      </c>
      <c r="E441" t="inlineStr">
        <is>
          <t>D100</t>
        </is>
      </c>
      <c r="G441" s="32" t="n">
        <v>45727.51944444444</v>
      </c>
      <c r="H441" s="32" t="n">
        <v>45727.67152777778</v>
      </c>
      <c r="I441" t="inlineStr">
        <is>
          <t>G40.909</t>
        </is>
      </c>
      <c r="J441" t="inlineStr">
        <is>
          <t>PY05</t>
        </is>
      </c>
      <c r="K441" s="33" t="n">
        <v>4496.04</v>
      </c>
      <c r="L441" s="34" t="n"/>
    </row>
    <row r="442">
      <c r="A442" t="inlineStr">
        <is>
          <t>ENC113166</t>
        </is>
      </c>
      <c r="B442" t="inlineStr">
        <is>
          <t>PT10133</t>
        </is>
      </c>
      <c r="C442" t="inlineStr">
        <is>
          <t>Outpatient</t>
        </is>
      </c>
      <c r="D442" t="inlineStr">
        <is>
          <t>F04</t>
        </is>
      </c>
      <c r="E442" t="inlineStr">
        <is>
          <t>D430</t>
        </is>
      </c>
      <c r="G442" s="32" t="n">
        <v>45727.58333333334</v>
      </c>
      <c r="H442" s="32" t="n">
        <v>45727.78888888889</v>
      </c>
      <c r="I442" t="inlineStr">
        <is>
          <t>Z51.11</t>
        </is>
      </c>
      <c r="J442" t="inlineStr">
        <is>
          <t>PY02</t>
        </is>
      </c>
      <c r="K442" s="33" t="n">
        <v>6871.89</v>
      </c>
      <c r="L442" s="34" t="n"/>
    </row>
    <row r="443">
      <c r="A443" t="inlineStr">
        <is>
          <t>ENC113170</t>
        </is>
      </c>
      <c r="B443" t="inlineStr">
        <is>
          <t>PT12410</t>
        </is>
      </c>
      <c r="C443" t="inlineStr">
        <is>
          <t>Emergency</t>
        </is>
      </c>
      <c r="D443" t="inlineStr">
        <is>
          <t>F03</t>
        </is>
      </c>
      <c r="E443" t="inlineStr">
        <is>
          <t>D300</t>
        </is>
      </c>
      <c r="G443" s="32" t="n">
        <v>45727.68055555555</v>
      </c>
      <c r="H443" s="32" t="n">
        <v>45727.79444444444</v>
      </c>
      <c r="I443" t="inlineStr">
        <is>
          <t>J18.9</t>
        </is>
      </c>
      <c r="J443" t="inlineStr">
        <is>
          <t>PY05</t>
        </is>
      </c>
      <c r="K443" s="33" t="n">
        <v>2486.81</v>
      </c>
      <c r="L443" s="34" t="n"/>
    </row>
    <row r="444">
      <c r="A444" t="inlineStr">
        <is>
          <t>ENC113172</t>
        </is>
      </c>
      <c r="B444" t="inlineStr">
        <is>
          <t>PT10327</t>
        </is>
      </c>
      <c r="C444" t="inlineStr">
        <is>
          <t>Observation</t>
        </is>
      </c>
      <c r="D444" t="inlineStr">
        <is>
          <t>F01</t>
        </is>
      </c>
      <c r="E444" t="inlineStr">
        <is>
          <t>D195</t>
        </is>
      </c>
      <c r="F444" t="inlineStr">
        <is>
          <t>Emergency Department</t>
        </is>
      </c>
      <c r="G444" s="32" t="n">
        <v>45727.82847222222</v>
      </c>
      <c r="H444" s="32" t="n">
        <v>45729.01666666667</v>
      </c>
      <c r="I444" t="inlineStr">
        <is>
          <t>I50.9</t>
        </is>
      </c>
      <c r="J444" t="inlineStr">
        <is>
          <t>PY04</t>
        </is>
      </c>
      <c r="K444" s="33" t="n">
        <v>6972.07</v>
      </c>
      <c r="L444" s="34" t="n"/>
    </row>
    <row r="445">
      <c r="A445" t="inlineStr">
        <is>
          <t>ENC113181</t>
        </is>
      </c>
      <c r="B445" t="inlineStr">
        <is>
          <t>PT11289</t>
        </is>
      </c>
      <c r="C445" t="inlineStr">
        <is>
          <t>Inpatient</t>
        </is>
      </c>
      <c r="D445" t="inlineStr">
        <is>
          <t>F03</t>
        </is>
      </c>
      <c r="E445" t="inlineStr">
        <is>
          <t>D310</t>
        </is>
      </c>
      <c r="F445" t="inlineStr">
        <is>
          <t>Emergency Department</t>
        </is>
      </c>
      <c r="G445" s="32" t="n">
        <v>45728.06736111111</v>
      </c>
      <c r="H445" s="32" t="n">
        <v>45731.40416666667</v>
      </c>
      <c r="I445" t="inlineStr">
        <is>
          <t>F10.239</t>
        </is>
      </c>
      <c r="J445" t="inlineStr">
        <is>
          <t>PY07</t>
        </is>
      </c>
      <c r="K445" s="33" t="n">
        <v>18049.28</v>
      </c>
      <c r="L445" s="34" t="n"/>
    </row>
    <row r="446">
      <c r="A446" t="inlineStr">
        <is>
          <t>ENC113187</t>
        </is>
      </c>
      <c r="B446" t="inlineStr">
        <is>
          <t>PT11602</t>
        </is>
      </c>
      <c r="C446" t="inlineStr">
        <is>
          <t>Outpatient</t>
        </is>
      </c>
      <c r="D446" t="inlineStr">
        <is>
          <t>F04</t>
        </is>
      </c>
      <c r="E446" t="inlineStr">
        <is>
          <t>D400</t>
        </is>
      </c>
      <c r="G446" s="32" t="n">
        <v>45728.375</v>
      </c>
      <c r="H446" s="32" t="n">
        <v>45728.4125</v>
      </c>
      <c r="I446" t="inlineStr">
        <is>
          <t>Z23</t>
        </is>
      </c>
      <c r="J446" t="inlineStr">
        <is>
          <t>PY05</t>
        </is>
      </c>
      <c r="K446" s="33" t="n">
        <v>138.6</v>
      </c>
      <c r="L446" s="34" t="n"/>
    </row>
    <row r="447">
      <c r="A447" t="inlineStr">
        <is>
          <t>ENC113192</t>
        </is>
      </c>
      <c r="B447" t="inlineStr">
        <is>
          <t>PT12684</t>
        </is>
      </c>
      <c r="C447" t="inlineStr">
        <is>
          <t>Outpatient</t>
        </is>
      </c>
      <c r="D447" t="inlineStr">
        <is>
          <t>F04</t>
        </is>
      </c>
      <c r="E447" t="inlineStr">
        <is>
          <t>D420</t>
        </is>
      </c>
      <c r="G447" s="32" t="n">
        <v>45728.46875</v>
      </c>
      <c r="H447" s="32" t="n">
        <v>45728.49444444444</v>
      </c>
      <c r="I447" t="inlineStr">
        <is>
          <t>M16.11</t>
        </is>
      </c>
      <c r="J447" t="inlineStr">
        <is>
          <t>PY06</t>
        </is>
      </c>
      <c r="K447" s="33" t="n">
        <v>287.98</v>
      </c>
      <c r="L447" s="34" t="n"/>
    </row>
    <row r="448">
      <c r="A448" t="inlineStr">
        <is>
          <t>ENC113199</t>
        </is>
      </c>
      <c r="B448" t="inlineStr">
        <is>
          <t>PT10855</t>
        </is>
      </c>
      <c r="C448" t="inlineStr">
        <is>
          <t>Outpatient</t>
        </is>
      </c>
      <c r="D448" t="inlineStr">
        <is>
          <t>F04</t>
        </is>
      </c>
      <c r="E448" t="inlineStr">
        <is>
          <t>D400</t>
        </is>
      </c>
      <c r="G448" s="32" t="n">
        <v>45728.55208333334</v>
      </c>
      <c r="H448" s="32" t="n">
        <v>45728.58819444444</v>
      </c>
      <c r="I448" t="inlineStr">
        <is>
          <t>I10</t>
        </is>
      </c>
      <c r="J448" t="inlineStr">
        <is>
          <t>PY01</t>
        </is>
      </c>
      <c r="K448" s="33" t="n">
        <v>384.43</v>
      </c>
      <c r="L448" s="34" t="n"/>
    </row>
    <row r="449">
      <c r="A449" t="inlineStr">
        <is>
          <t>ENC113204</t>
        </is>
      </c>
      <c r="B449" t="inlineStr">
        <is>
          <t>PT11061</t>
        </is>
      </c>
      <c r="C449" t="inlineStr">
        <is>
          <t>Outpatient</t>
        </is>
      </c>
      <c r="D449" t="inlineStr">
        <is>
          <t>F04</t>
        </is>
      </c>
      <c r="E449" t="inlineStr">
        <is>
          <t>D400</t>
        </is>
      </c>
      <c r="G449" s="32" t="n">
        <v>45728.60416666666</v>
      </c>
      <c r="H449" s="32" t="n">
        <v>45728.63263888889</v>
      </c>
      <c r="I449" t="inlineStr">
        <is>
          <t>Z00.00</t>
        </is>
      </c>
      <c r="J449" t="inlineStr">
        <is>
          <t>PY06</t>
        </is>
      </c>
      <c r="K449" s="33" t="n">
        <v>334.27</v>
      </c>
      <c r="L449" s="34" t="n"/>
    </row>
    <row r="450">
      <c r="A450" t="inlineStr">
        <is>
          <t>ENC113213</t>
        </is>
      </c>
      <c r="B450" t="inlineStr">
        <is>
          <t>PT11075</t>
        </is>
      </c>
      <c r="C450" t="inlineStr">
        <is>
          <t>Emergency</t>
        </is>
      </c>
      <c r="D450" t="inlineStr">
        <is>
          <t>F01</t>
        </is>
      </c>
      <c r="E450" t="inlineStr">
        <is>
          <t>D100</t>
        </is>
      </c>
      <c r="G450" s="32" t="n">
        <v>45728.82638888889</v>
      </c>
      <c r="H450" s="32" t="n">
        <v>45728.95069444444</v>
      </c>
      <c r="I450" t="inlineStr">
        <is>
          <t>J06.9</t>
        </is>
      </c>
      <c r="J450" t="inlineStr">
        <is>
          <t>PY05</t>
        </is>
      </c>
      <c r="K450" s="33" t="n">
        <v>1021.9</v>
      </c>
      <c r="L450" s="34" t="n"/>
    </row>
    <row r="451">
      <c r="A451" t="inlineStr">
        <is>
          <t>ENC113216</t>
        </is>
      </c>
      <c r="B451" t="inlineStr">
        <is>
          <t>PT13659</t>
        </is>
      </c>
      <c r="C451" t="inlineStr">
        <is>
          <t>Emergency</t>
        </is>
      </c>
      <c r="D451" t="inlineStr">
        <is>
          <t>F01</t>
        </is>
      </c>
      <c r="E451" t="inlineStr">
        <is>
          <t>D100</t>
        </is>
      </c>
      <c r="G451" s="32" t="n">
        <v>45728.98333333333</v>
      </c>
      <c r="H451" s="32" t="n">
        <v>45729.03194444445</v>
      </c>
      <c r="I451" t="inlineStr">
        <is>
          <t>R10.9</t>
        </is>
      </c>
      <c r="J451" t="inlineStr">
        <is>
          <t>PY02</t>
        </is>
      </c>
      <c r="K451" s="33" t="n">
        <v>657.08</v>
      </c>
      <c r="L451" s="34" t="n"/>
    </row>
    <row r="452">
      <c r="A452" t="inlineStr">
        <is>
          <t>ENC113220</t>
        </is>
      </c>
      <c r="B452" t="inlineStr">
        <is>
          <t>PT11565</t>
        </is>
      </c>
      <c r="C452" t="inlineStr">
        <is>
          <t>Outpatient</t>
        </is>
      </c>
      <c r="D452" t="inlineStr">
        <is>
          <t>F04</t>
        </is>
      </c>
      <c r="E452" t="inlineStr">
        <is>
          <t>D430</t>
        </is>
      </c>
      <c r="G452" s="32" t="n">
        <v>45729.38541666666</v>
      </c>
      <c r="H452" s="32" t="n">
        <v>45729.58402777778</v>
      </c>
      <c r="I452" t="inlineStr">
        <is>
          <t>Z51.11</t>
        </is>
      </c>
      <c r="J452" t="inlineStr">
        <is>
          <t>PY02</t>
        </is>
      </c>
      <c r="K452" s="33" t="n">
        <v>6840.9</v>
      </c>
      <c r="L452" s="34" t="n"/>
    </row>
    <row r="453">
      <c r="A453" t="inlineStr">
        <is>
          <t>ENC113227</t>
        </is>
      </c>
      <c r="B453" t="inlineStr">
        <is>
          <t>PT10904</t>
        </is>
      </c>
      <c r="C453" t="inlineStr">
        <is>
          <t>Outpatient</t>
        </is>
      </c>
      <c r="D453" t="inlineStr">
        <is>
          <t>F04</t>
        </is>
      </c>
      <c r="E453" t="inlineStr">
        <is>
          <t>D400</t>
        </is>
      </c>
      <c r="G453" s="32" t="n">
        <v>45729.44791666666</v>
      </c>
      <c r="H453" s="32" t="n">
        <v>45729.47638888889</v>
      </c>
      <c r="I453" t="inlineStr">
        <is>
          <t>Z00.00</t>
        </is>
      </c>
      <c r="J453" t="inlineStr">
        <is>
          <t>PY02</t>
        </is>
      </c>
      <c r="K453" s="33" t="n">
        <v>270.74</v>
      </c>
      <c r="L453" s="34" t="n"/>
    </row>
    <row r="454">
      <c r="A454" t="inlineStr">
        <is>
          <t>ENC113233</t>
        </is>
      </c>
      <c r="B454" t="inlineStr">
        <is>
          <t>PT12411</t>
        </is>
      </c>
      <c r="C454" t="inlineStr">
        <is>
          <t>Emergency</t>
        </is>
      </c>
      <c r="D454" t="inlineStr">
        <is>
          <t>F02</t>
        </is>
      </c>
      <c r="E454" t="inlineStr">
        <is>
          <t>D200</t>
        </is>
      </c>
      <c r="G454" s="32" t="n">
        <v>45729.50972222222</v>
      </c>
      <c r="H454" s="32" t="n">
        <v>45729.67361111111</v>
      </c>
      <c r="I454" t="inlineStr">
        <is>
          <t>G43.909</t>
        </is>
      </c>
      <c r="J454" t="inlineStr">
        <is>
          <t>PY05</t>
        </is>
      </c>
      <c r="K454" s="33" t="n">
        <v>4010.14</v>
      </c>
      <c r="L454" s="34" t="n"/>
    </row>
    <row r="455">
      <c r="A455" t="inlineStr">
        <is>
          <t>ENC113239</t>
        </is>
      </c>
      <c r="B455" t="inlineStr">
        <is>
          <t>PT12928</t>
        </is>
      </c>
      <c r="C455" t="inlineStr">
        <is>
          <t>Outpatient</t>
        </is>
      </c>
      <c r="D455" t="inlineStr">
        <is>
          <t>F04</t>
        </is>
      </c>
      <c r="E455" t="inlineStr">
        <is>
          <t>D400</t>
        </is>
      </c>
      <c r="G455" s="32" t="n">
        <v>45729.57291666666</v>
      </c>
      <c r="H455" s="32" t="n">
        <v>45729.59791666667</v>
      </c>
      <c r="I455" t="inlineStr">
        <is>
          <t>Z23</t>
        </is>
      </c>
      <c r="J455" t="inlineStr">
        <is>
          <t>PY02</t>
        </is>
      </c>
      <c r="K455" s="33" t="n">
        <v>112.54</v>
      </c>
      <c r="L455" s="34" t="n"/>
    </row>
    <row r="456">
      <c r="A456" t="inlineStr">
        <is>
          <t>ENC113244</t>
        </is>
      </c>
      <c r="B456" t="inlineStr">
        <is>
          <t>PT12800</t>
        </is>
      </c>
      <c r="C456" t="inlineStr">
        <is>
          <t>Outpatient</t>
        </is>
      </c>
      <c r="D456" t="inlineStr">
        <is>
          <t>F04</t>
        </is>
      </c>
      <c r="E456" t="inlineStr">
        <is>
          <t>D420</t>
        </is>
      </c>
      <c r="G456" s="32" t="n">
        <v>45729.64583333334</v>
      </c>
      <c r="H456" s="32" t="n">
        <v>45729.67777777778</v>
      </c>
      <c r="I456" t="inlineStr">
        <is>
          <t>M16.11</t>
        </is>
      </c>
      <c r="J456" t="inlineStr">
        <is>
          <t>PY04</t>
        </is>
      </c>
      <c r="K456" s="33" t="n">
        <v>444.49</v>
      </c>
      <c r="L456" s="34" t="n"/>
    </row>
    <row r="457">
      <c r="A457" t="inlineStr">
        <is>
          <t>ENC113250</t>
        </is>
      </c>
      <c r="B457" t="inlineStr">
        <is>
          <t>PT11247</t>
        </is>
      </c>
      <c r="C457" t="inlineStr">
        <is>
          <t>Emergency</t>
        </is>
      </c>
      <c r="D457" t="inlineStr">
        <is>
          <t>F01</t>
        </is>
      </c>
      <c r="E457" t="inlineStr">
        <is>
          <t>D100</t>
        </is>
      </c>
      <c r="G457" s="32" t="n">
        <v>45729.775</v>
      </c>
      <c r="H457" s="32" t="n">
        <v>45729.92916666667</v>
      </c>
      <c r="I457" t="inlineStr">
        <is>
          <t>J21.9</t>
        </is>
      </c>
      <c r="J457" t="inlineStr">
        <is>
          <t>PY04</t>
        </is>
      </c>
      <c r="K457" s="33" t="n">
        <v>1690.4</v>
      </c>
      <c r="L457" s="34" t="n"/>
    </row>
    <row r="458">
      <c r="A458" t="inlineStr">
        <is>
          <t>ENC113254</t>
        </is>
      </c>
      <c r="B458" t="inlineStr">
        <is>
          <t>PT13468</t>
        </is>
      </c>
      <c r="C458" t="inlineStr">
        <is>
          <t>Emergency</t>
        </is>
      </c>
      <c r="D458" t="inlineStr">
        <is>
          <t>F02</t>
        </is>
      </c>
      <c r="E458" t="inlineStr">
        <is>
          <t>D200</t>
        </is>
      </c>
      <c r="G458" s="32" t="n">
        <v>45729.98541666667</v>
      </c>
      <c r="H458" s="32" t="n">
        <v>45730.09583333333</v>
      </c>
      <c r="I458" t="inlineStr">
        <is>
          <t>R10.9</t>
        </is>
      </c>
      <c r="J458" t="inlineStr">
        <is>
          <t>PY04</t>
        </is>
      </c>
      <c r="K458" s="33" t="n">
        <v>1235.23</v>
      </c>
      <c r="L458" s="34" t="n"/>
    </row>
    <row r="459">
      <c r="A459" t="inlineStr">
        <is>
          <t>ENC113259</t>
        </is>
      </c>
      <c r="B459" t="inlineStr">
        <is>
          <t>PT12997</t>
        </is>
      </c>
      <c r="C459" t="inlineStr">
        <is>
          <t>Outpatient</t>
        </is>
      </c>
      <c r="D459" t="inlineStr">
        <is>
          <t>F04</t>
        </is>
      </c>
      <c r="E459" t="inlineStr">
        <is>
          <t>D440</t>
        </is>
      </c>
      <c r="G459" s="32" t="n">
        <v>45730.38541666666</v>
      </c>
      <c r="H459" s="32" t="n">
        <v>45730.41041666667</v>
      </c>
      <c r="I459" t="inlineStr">
        <is>
          <t>E11.9</t>
        </is>
      </c>
      <c r="J459" t="inlineStr">
        <is>
          <t>PY07</t>
        </is>
      </c>
      <c r="K459" s="33" t="n">
        <v>316.7</v>
      </c>
      <c r="L459" s="34" t="n"/>
    </row>
    <row r="460">
      <c r="A460" t="inlineStr">
        <is>
          <t>ENC113267</t>
        </is>
      </c>
      <c r="B460" t="inlineStr">
        <is>
          <t>PT12220</t>
        </is>
      </c>
      <c r="C460" t="inlineStr">
        <is>
          <t>Outpatient</t>
        </is>
      </c>
      <c r="D460" t="inlineStr">
        <is>
          <t>F04</t>
        </is>
      </c>
      <c r="E460" t="inlineStr">
        <is>
          <t>D430</t>
        </is>
      </c>
      <c r="G460" s="32" t="n">
        <v>45730.45833333334</v>
      </c>
      <c r="H460" s="32" t="n">
        <v>45730.66388888889</v>
      </c>
      <c r="I460" t="inlineStr">
        <is>
          <t>Z51.11</t>
        </is>
      </c>
      <c r="J460" t="inlineStr">
        <is>
          <t>PY04</t>
        </is>
      </c>
      <c r="K460" s="33" t="n">
        <v>15169.02</v>
      </c>
      <c r="L460" s="34" t="n"/>
    </row>
    <row r="461">
      <c r="A461" t="inlineStr">
        <is>
          <t>ENC113272</t>
        </is>
      </c>
      <c r="B461" t="inlineStr">
        <is>
          <t>PT10611</t>
        </is>
      </c>
      <c r="C461" t="inlineStr">
        <is>
          <t>Emergency</t>
        </is>
      </c>
      <c r="D461" t="inlineStr">
        <is>
          <t>F03</t>
        </is>
      </c>
      <c r="E461" t="inlineStr">
        <is>
          <t>D300</t>
        </is>
      </c>
      <c r="G461" s="32" t="n">
        <v>45730.51805555556</v>
      </c>
      <c r="H461" s="32" t="n">
        <v>45730.60138888889</v>
      </c>
      <c r="I461" t="inlineStr">
        <is>
          <t>J06.9</t>
        </is>
      </c>
      <c r="J461" t="inlineStr">
        <is>
          <t>PY03</t>
        </is>
      </c>
      <c r="K461" s="33" t="n">
        <v>523.96</v>
      </c>
      <c r="L461" s="34" t="n"/>
    </row>
    <row r="462">
      <c r="A462" t="inlineStr">
        <is>
          <t>ENC113278</t>
        </is>
      </c>
      <c r="B462" t="inlineStr">
        <is>
          <t>PT12941</t>
        </is>
      </c>
      <c r="C462" t="inlineStr">
        <is>
          <t>Emergency</t>
        </is>
      </c>
      <c r="D462" t="inlineStr">
        <is>
          <t>F01</t>
        </is>
      </c>
      <c r="E462" t="inlineStr">
        <is>
          <t>D100</t>
        </is>
      </c>
      <c r="G462" s="32" t="n">
        <v>45730.6125</v>
      </c>
      <c r="H462" s="32" t="n">
        <v>45730.69722222222</v>
      </c>
      <c r="I462" t="inlineStr">
        <is>
          <t>H66.90</t>
        </is>
      </c>
      <c r="J462" t="inlineStr">
        <is>
          <t>PY03</t>
        </is>
      </c>
      <c r="K462" s="33" t="n">
        <v>3687.83</v>
      </c>
      <c r="L462" s="34" t="n"/>
    </row>
    <row r="463">
      <c r="A463" t="inlineStr">
        <is>
          <t>ENC113277</t>
        </is>
      </c>
      <c r="B463" t="inlineStr">
        <is>
          <t>PT10412</t>
        </is>
      </c>
      <c r="C463" t="inlineStr">
        <is>
          <t>Inpatient</t>
        </is>
      </c>
      <c r="D463" t="inlineStr">
        <is>
          <t>F01</t>
        </is>
      </c>
      <c r="E463" t="inlineStr">
        <is>
          <t>D120</t>
        </is>
      </c>
      <c r="F463" t="inlineStr">
        <is>
          <t>Emergency Department</t>
        </is>
      </c>
      <c r="G463" s="32" t="n">
        <v>45730.72847222222</v>
      </c>
      <c r="H463" s="32" t="n">
        <v>45735.52222222222</v>
      </c>
      <c r="I463" t="inlineStr">
        <is>
          <t>I50.9</t>
        </is>
      </c>
      <c r="J463" t="inlineStr">
        <is>
          <t>PY07</t>
        </is>
      </c>
      <c r="K463" s="33" t="n">
        <v>22042.47</v>
      </c>
      <c r="L463" s="34" t="n"/>
    </row>
    <row r="464">
      <c r="A464" t="inlineStr">
        <is>
          <t>ENC113285</t>
        </is>
      </c>
      <c r="B464" t="inlineStr">
        <is>
          <t>PT12579</t>
        </is>
      </c>
      <c r="C464" t="inlineStr">
        <is>
          <t>Inpatient</t>
        </is>
      </c>
      <c r="D464" t="inlineStr">
        <is>
          <t>F02</t>
        </is>
      </c>
      <c r="E464" t="inlineStr">
        <is>
          <t>D230</t>
        </is>
      </c>
      <c r="F464" t="inlineStr">
        <is>
          <t>Emergency Department</t>
        </is>
      </c>
      <c r="G464" s="32" t="n">
        <v>45731.04097222222</v>
      </c>
      <c r="H464" s="32" t="n">
        <v>45733.69861111111</v>
      </c>
      <c r="I464" t="inlineStr">
        <is>
          <t>K92.2</t>
        </is>
      </c>
      <c r="J464" t="inlineStr">
        <is>
          <t>PY02</t>
        </is>
      </c>
      <c r="K464" s="33" t="n">
        <v>29769.32</v>
      </c>
      <c r="L464" s="34" t="n"/>
    </row>
    <row r="465">
      <c r="A465" t="inlineStr">
        <is>
          <t>ENC113291</t>
        </is>
      </c>
      <c r="B465" t="inlineStr">
        <is>
          <t>PT11727</t>
        </is>
      </c>
      <c r="C465" t="inlineStr">
        <is>
          <t>Inpatient</t>
        </is>
      </c>
      <c r="D465" t="inlineStr">
        <is>
          <t>F03</t>
        </is>
      </c>
      <c r="E465" t="inlineStr">
        <is>
          <t>D310</t>
        </is>
      </c>
      <c r="F465" t="inlineStr">
        <is>
          <t>Emergency Department</t>
        </is>
      </c>
      <c r="G465" s="32" t="n">
        <v>45731.44027777778</v>
      </c>
      <c r="H465" s="32" t="n">
        <v>45734.66944444444</v>
      </c>
      <c r="I465" t="inlineStr">
        <is>
          <t>E86.0</t>
        </is>
      </c>
      <c r="J465" t="inlineStr">
        <is>
          <t>PY06</t>
        </is>
      </c>
      <c r="K465" s="33" t="n">
        <v>14210.46</v>
      </c>
      <c r="L465" s="34" t="n"/>
    </row>
    <row r="466">
      <c r="A466" t="inlineStr">
        <is>
          <t>ENC113301</t>
        </is>
      </c>
      <c r="B466" t="inlineStr">
        <is>
          <t>PT10581</t>
        </is>
      </c>
      <c r="C466" t="inlineStr">
        <is>
          <t>Emergency</t>
        </is>
      </c>
      <c r="D466" t="inlineStr">
        <is>
          <t>F01</t>
        </is>
      </c>
      <c r="E466" t="inlineStr">
        <is>
          <t>D100</t>
        </is>
      </c>
      <c r="G466" s="32" t="n">
        <v>45731.65625</v>
      </c>
      <c r="H466" s="32" t="n">
        <v>45731.81666666667</v>
      </c>
      <c r="I466" t="inlineStr">
        <is>
          <t>R10.9</t>
        </is>
      </c>
      <c r="J466" t="inlineStr">
        <is>
          <t>PY02</t>
        </is>
      </c>
      <c r="K466" s="33" t="n">
        <v>2370.67</v>
      </c>
      <c r="L466" s="34" t="n"/>
    </row>
    <row r="467">
      <c r="A467" t="inlineStr">
        <is>
          <t>ENC113307</t>
        </is>
      </c>
      <c r="B467" t="inlineStr">
        <is>
          <t>PT10890</t>
        </is>
      </c>
      <c r="C467" t="inlineStr">
        <is>
          <t>Inpatient</t>
        </is>
      </c>
      <c r="D467" t="inlineStr">
        <is>
          <t>F01</t>
        </is>
      </c>
      <c r="E467" t="inlineStr">
        <is>
          <t>D111</t>
        </is>
      </c>
      <c r="F467" t="inlineStr">
        <is>
          <t>Direct Admit</t>
        </is>
      </c>
      <c r="G467" s="32" t="n">
        <v>45731.84930555556</v>
      </c>
      <c r="H467" s="32" t="n">
        <v>45733.75902777778</v>
      </c>
      <c r="I467" t="inlineStr">
        <is>
          <t>K35.80</t>
        </is>
      </c>
      <c r="J467" t="inlineStr">
        <is>
          <t>PY05</t>
        </is>
      </c>
      <c r="K467" s="33" t="n">
        <v>46080.24</v>
      </c>
      <c r="L467" s="34" t="n"/>
    </row>
    <row r="468">
      <c r="A468" t="inlineStr">
        <is>
          <t>ENC113310</t>
        </is>
      </c>
      <c r="B468" t="inlineStr">
        <is>
          <t>PT10211</t>
        </is>
      </c>
      <c r="C468" t="inlineStr">
        <is>
          <t>Inpatient</t>
        </is>
      </c>
      <c r="D468" t="inlineStr">
        <is>
          <t>F01</t>
        </is>
      </c>
      <c r="E468" t="inlineStr">
        <is>
          <t>D170</t>
        </is>
      </c>
      <c r="F468" t="inlineStr">
        <is>
          <t>Direct Admit</t>
        </is>
      </c>
      <c r="G468" s="32" t="n">
        <v>45732.03819444445</v>
      </c>
      <c r="H468" s="32" t="n">
        <v>45735.41805555556</v>
      </c>
      <c r="I468" t="inlineStr">
        <is>
          <t>O80</t>
        </is>
      </c>
      <c r="J468" t="inlineStr">
        <is>
          <t>PY04</t>
        </is>
      </c>
      <c r="K468" s="33" t="n">
        <v>18268.8</v>
      </c>
      <c r="L468" s="34" t="n"/>
    </row>
    <row r="469">
      <c r="A469" t="inlineStr">
        <is>
          <t>ENC113315</t>
        </is>
      </c>
      <c r="B469" t="inlineStr">
        <is>
          <t>PT11101</t>
        </is>
      </c>
      <c r="C469" t="inlineStr">
        <is>
          <t>Emergency</t>
        </is>
      </c>
      <c r="D469" t="inlineStr">
        <is>
          <t>F03</t>
        </is>
      </c>
      <c r="E469" t="inlineStr">
        <is>
          <t>D300</t>
        </is>
      </c>
      <c r="G469" s="32" t="n">
        <v>45732.3875</v>
      </c>
      <c r="H469" s="32" t="n">
        <v>45732.61388888889</v>
      </c>
      <c r="I469" t="inlineStr">
        <is>
          <t>J44.1</t>
        </is>
      </c>
      <c r="J469" t="inlineStr">
        <is>
          <t>PY01</t>
        </is>
      </c>
      <c r="K469" s="33" t="n">
        <v>3647.86</v>
      </c>
      <c r="L469" s="34" t="n"/>
    </row>
    <row r="470">
      <c r="A470" t="inlineStr">
        <is>
          <t>ENC113321</t>
        </is>
      </c>
      <c r="B470" t="inlineStr">
        <is>
          <t>PT10739</t>
        </is>
      </c>
      <c r="C470" t="inlineStr">
        <is>
          <t>Emergency</t>
        </is>
      </c>
      <c r="D470" t="inlineStr">
        <is>
          <t>F03</t>
        </is>
      </c>
      <c r="E470" t="inlineStr">
        <is>
          <t>D300</t>
        </is>
      </c>
      <c r="G470" s="32" t="n">
        <v>45732.57291666666</v>
      </c>
      <c r="H470" s="32" t="n">
        <v>45732.65833333333</v>
      </c>
      <c r="I470" t="inlineStr">
        <is>
          <t>F41.9</t>
        </is>
      </c>
      <c r="J470" t="inlineStr">
        <is>
          <t>PY03</t>
        </is>
      </c>
      <c r="K470" s="33" t="n">
        <v>948.53</v>
      </c>
      <c r="L470" s="34" t="n"/>
    </row>
    <row r="471">
      <c r="A471" t="inlineStr">
        <is>
          <t>ENC113323</t>
        </is>
      </c>
      <c r="B471" t="inlineStr">
        <is>
          <t>PT10013</t>
        </is>
      </c>
      <c r="C471" t="inlineStr">
        <is>
          <t>Inpatient</t>
        </is>
      </c>
      <c r="D471" t="inlineStr">
        <is>
          <t>F03</t>
        </is>
      </c>
      <c r="E471" t="inlineStr">
        <is>
          <t>D310</t>
        </is>
      </c>
      <c r="F471" t="inlineStr">
        <is>
          <t>Emergency Department</t>
        </is>
      </c>
      <c r="G471" s="32" t="n">
        <v>45732.84930555556</v>
      </c>
      <c r="H471" s="32" t="n">
        <v>45736.45486111111</v>
      </c>
      <c r="I471" t="inlineStr">
        <is>
          <t>E86.0</t>
        </is>
      </c>
      <c r="J471" t="inlineStr">
        <is>
          <t>PY02</t>
        </is>
      </c>
      <c r="K471" s="33" t="n">
        <v>23812.5</v>
      </c>
      <c r="L471" s="34" t="n"/>
    </row>
    <row r="472">
      <c r="A472" t="inlineStr">
        <is>
          <t>ENC113333</t>
        </is>
      </c>
      <c r="B472" t="inlineStr">
        <is>
          <t>PT10948</t>
        </is>
      </c>
      <c r="C472" t="inlineStr">
        <is>
          <t>Emergency</t>
        </is>
      </c>
      <c r="D472" t="inlineStr">
        <is>
          <t>F01</t>
        </is>
      </c>
      <c r="E472" t="inlineStr">
        <is>
          <t>D100</t>
        </is>
      </c>
      <c r="G472" s="32" t="n">
        <v>45733.00972222222</v>
      </c>
      <c r="H472" s="32" t="n">
        <v>45733.06944444445</v>
      </c>
      <c r="I472" t="inlineStr">
        <is>
          <t>L03.115</t>
        </is>
      </c>
      <c r="J472" t="inlineStr">
        <is>
          <t>PY03</t>
        </is>
      </c>
      <c r="K472" s="33" t="n">
        <v>2037.6</v>
      </c>
      <c r="L472" s="34" t="n"/>
    </row>
    <row r="473">
      <c r="A473" t="inlineStr">
        <is>
          <t>ENC113338</t>
        </is>
      </c>
      <c r="B473" t="inlineStr">
        <is>
          <t>PT13540</t>
        </is>
      </c>
      <c r="C473" t="inlineStr">
        <is>
          <t>Emergency</t>
        </is>
      </c>
      <c r="D473" t="inlineStr">
        <is>
          <t>F01</t>
        </is>
      </c>
      <c r="E473" t="inlineStr">
        <is>
          <t>D100</t>
        </is>
      </c>
      <c r="G473" s="32" t="n">
        <v>45733.26805555556</v>
      </c>
      <c r="H473" s="32" t="n">
        <v>45733.33541666667</v>
      </c>
      <c r="I473" t="inlineStr">
        <is>
          <t>A08.4</t>
        </is>
      </c>
      <c r="J473" t="inlineStr">
        <is>
          <t>PY02</t>
        </is>
      </c>
      <c r="K473" s="33" t="n">
        <v>1536.73</v>
      </c>
      <c r="L473" s="34" t="n"/>
    </row>
    <row r="474">
      <c r="A474" t="inlineStr">
        <is>
          <t>ENC113339</t>
        </is>
      </c>
      <c r="B474" t="inlineStr">
        <is>
          <t>PT10718</t>
        </is>
      </c>
      <c r="C474" t="inlineStr">
        <is>
          <t>Inpatient</t>
        </is>
      </c>
      <c r="D474" t="inlineStr">
        <is>
          <t>F01</t>
        </is>
      </c>
      <c r="E474" t="inlineStr">
        <is>
          <t>D111</t>
        </is>
      </c>
      <c r="F474" t="inlineStr">
        <is>
          <t>Emergency Department</t>
        </is>
      </c>
      <c r="G474" s="32" t="n">
        <v>45733.42777777778</v>
      </c>
      <c r="H474" s="32" t="n">
        <v>45737.48888888889</v>
      </c>
      <c r="I474" t="inlineStr">
        <is>
          <t>U07.1</t>
        </is>
      </c>
      <c r="J474" t="inlineStr">
        <is>
          <t>PY03</t>
        </is>
      </c>
      <c r="K474" s="33" t="n">
        <v>33539.26</v>
      </c>
      <c r="L474" s="34" t="n"/>
    </row>
    <row r="475">
      <c r="A475" t="inlineStr">
        <is>
          <t>ENC113349</t>
        </is>
      </c>
      <c r="B475" t="inlineStr">
        <is>
          <t>PT10896</t>
        </is>
      </c>
      <c r="C475" t="inlineStr">
        <is>
          <t>Emergency</t>
        </is>
      </c>
      <c r="D475" t="inlineStr">
        <is>
          <t>F01</t>
        </is>
      </c>
      <c r="E475" t="inlineStr">
        <is>
          <t>D100</t>
        </is>
      </c>
      <c r="G475" s="32" t="n">
        <v>45733.5875</v>
      </c>
      <c r="H475" s="32" t="n">
        <v>45733.75694444445</v>
      </c>
      <c r="I475" t="inlineStr">
        <is>
          <t>U07.1</t>
        </is>
      </c>
      <c r="J475" t="inlineStr">
        <is>
          <t>PY03</t>
        </is>
      </c>
      <c r="K475" s="33" t="n">
        <v>3472.44</v>
      </c>
      <c r="L475" s="34" t="n"/>
    </row>
    <row r="476">
      <c r="A476" t="inlineStr">
        <is>
          <t>ENC113347</t>
        </is>
      </c>
      <c r="B476" t="inlineStr">
        <is>
          <t>PT11666</t>
        </is>
      </c>
      <c r="C476" t="inlineStr">
        <is>
          <t>Observation</t>
        </is>
      </c>
      <c r="D476" t="inlineStr">
        <is>
          <t>F03</t>
        </is>
      </c>
      <c r="E476" t="inlineStr">
        <is>
          <t>D310</t>
        </is>
      </c>
      <c r="F476" t="inlineStr">
        <is>
          <t>Emergency Department</t>
        </is>
      </c>
      <c r="G476" s="32" t="n">
        <v>45733.67291666667</v>
      </c>
      <c r="H476" s="32" t="n">
        <v>45734.92152777778</v>
      </c>
      <c r="I476" t="inlineStr">
        <is>
          <t>E86.0</t>
        </is>
      </c>
      <c r="J476" t="inlineStr">
        <is>
          <t>PY02</t>
        </is>
      </c>
      <c r="K476" s="33" t="n">
        <v>6454.41</v>
      </c>
      <c r="L476" s="34" t="n"/>
    </row>
    <row r="477">
      <c r="A477" t="inlineStr">
        <is>
          <t>ENC113361</t>
        </is>
      </c>
      <c r="B477" t="inlineStr">
        <is>
          <t>PT10350</t>
        </is>
      </c>
      <c r="C477" t="inlineStr">
        <is>
          <t>Emergency</t>
        </is>
      </c>
      <c r="D477" t="inlineStr">
        <is>
          <t>F01</t>
        </is>
      </c>
      <c r="E477" t="inlineStr">
        <is>
          <t>D100</t>
        </is>
      </c>
      <c r="G477" s="32" t="n">
        <v>45733.71875</v>
      </c>
      <c r="H477" s="32" t="n">
        <v>45733.86388888889</v>
      </c>
      <c r="I477" t="inlineStr">
        <is>
          <t>R55</t>
        </is>
      </c>
      <c r="J477" t="inlineStr">
        <is>
          <t>PY06</t>
        </is>
      </c>
      <c r="K477" s="33" t="n">
        <v>1570.44</v>
      </c>
      <c r="L477" s="34" t="n"/>
    </row>
    <row r="478">
      <c r="A478" t="inlineStr">
        <is>
          <t>ENC113362</t>
        </is>
      </c>
      <c r="B478" t="inlineStr">
        <is>
          <t>PT12331</t>
        </is>
      </c>
      <c r="C478" t="inlineStr">
        <is>
          <t>Observation</t>
        </is>
      </c>
      <c r="D478" t="inlineStr">
        <is>
          <t>F01</t>
        </is>
      </c>
      <c r="E478" t="inlineStr">
        <is>
          <t>D195</t>
        </is>
      </c>
      <c r="F478" t="inlineStr">
        <is>
          <t>Emergency Department</t>
        </is>
      </c>
      <c r="G478" s="32" t="n">
        <v>45733.90416666667</v>
      </c>
      <c r="H478" s="32" t="n">
        <v>45735.58541666667</v>
      </c>
      <c r="I478" t="inlineStr">
        <is>
          <t>J44.1</t>
        </is>
      </c>
      <c r="J478" t="inlineStr">
        <is>
          <t>PY01</t>
        </is>
      </c>
      <c r="K478" s="33" t="n">
        <v>9248.82</v>
      </c>
      <c r="L478" s="34" t="n"/>
    </row>
    <row r="479">
      <c r="A479" t="inlineStr">
        <is>
          <t>ENC113371</t>
        </is>
      </c>
      <c r="B479" t="inlineStr">
        <is>
          <t>PT12017</t>
        </is>
      </c>
      <c r="C479" t="inlineStr">
        <is>
          <t>Emergency</t>
        </is>
      </c>
      <c r="D479" t="inlineStr">
        <is>
          <t>F01</t>
        </is>
      </c>
      <c r="E479" t="inlineStr">
        <is>
          <t>D100</t>
        </is>
      </c>
      <c r="G479" s="32" t="n">
        <v>45734.11319444444</v>
      </c>
      <c r="H479" s="32" t="n">
        <v>45734.22638888889</v>
      </c>
      <c r="I479" t="inlineStr">
        <is>
          <t>J06.9</t>
        </is>
      </c>
      <c r="J479" t="inlineStr">
        <is>
          <t>PY03</t>
        </is>
      </c>
      <c r="K479" s="33" t="n">
        <v>1799.92</v>
      </c>
      <c r="L479" s="34" t="n"/>
    </row>
    <row r="480">
      <c r="A480" t="inlineStr">
        <is>
          <t>ENC113376</t>
        </is>
      </c>
      <c r="B480" t="inlineStr">
        <is>
          <t>PT11422</t>
        </is>
      </c>
      <c r="C480" t="inlineStr">
        <is>
          <t>Emergency</t>
        </is>
      </c>
      <c r="D480" t="inlineStr">
        <is>
          <t>F01</t>
        </is>
      </c>
      <c r="E480" t="inlineStr">
        <is>
          <t>D100</t>
        </is>
      </c>
      <c r="G480" s="32" t="n">
        <v>45734.30208333334</v>
      </c>
      <c r="H480" s="32" t="n">
        <v>45734.40208333333</v>
      </c>
      <c r="I480" t="inlineStr">
        <is>
          <t>S93.401A</t>
        </is>
      </c>
      <c r="J480" t="inlineStr">
        <is>
          <t>PY06</t>
        </is>
      </c>
      <c r="K480" s="33" t="n">
        <v>1816.07</v>
      </c>
      <c r="L480" s="34" t="n"/>
    </row>
    <row r="481">
      <c r="A481" t="inlineStr">
        <is>
          <t>ENC113383</t>
        </is>
      </c>
      <c r="B481" t="inlineStr">
        <is>
          <t>PT10976</t>
        </is>
      </c>
      <c r="C481" t="inlineStr">
        <is>
          <t>Outpatient</t>
        </is>
      </c>
      <c r="D481" t="inlineStr">
        <is>
          <t>F04</t>
        </is>
      </c>
      <c r="E481" t="inlineStr">
        <is>
          <t>D400</t>
        </is>
      </c>
      <c r="G481" s="32" t="n">
        <v>45734.41666666666</v>
      </c>
      <c r="H481" s="32" t="n">
        <v>45734.43611111111</v>
      </c>
      <c r="I481" t="inlineStr">
        <is>
          <t>F32.9</t>
        </is>
      </c>
      <c r="J481" t="inlineStr">
        <is>
          <t>PY04</t>
        </is>
      </c>
      <c r="K481" s="33" t="n">
        <v>510.16</v>
      </c>
      <c r="L481" s="34" t="n"/>
    </row>
    <row r="482">
      <c r="A482" t="inlineStr">
        <is>
          <t>ENC113377</t>
        </is>
      </c>
      <c r="B482" t="inlineStr">
        <is>
          <t>PT10877</t>
        </is>
      </c>
      <c r="C482" t="inlineStr">
        <is>
          <t>Observation</t>
        </is>
      </c>
      <c r="D482" t="inlineStr">
        <is>
          <t>F01</t>
        </is>
      </c>
      <c r="E482" t="inlineStr">
        <is>
          <t>D195</t>
        </is>
      </c>
      <c r="F482" t="inlineStr">
        <is>
          <t>Emergency Department</t>
        </is>
      </c>
      <c r="G482" s="32" t="n">
        <v>45734.50486111111</v>
      </c>
      <c r="H482" s="32" t="n">
        <v>45735.33680555555</v>
      </c>
      <c r="I482" t="inlineStr">
        <is>
          <t>R55</t>
        </is>
      </c>
      <c r="J482" t="inlineStr">
        <is>
          <t>PY03</t>
        </is>
      </c>
      <c r="K482" s="33" t="n">
        <v>5018.15</v>
      </c>
      <c r="L482" s="34" t="n"/>
    </row>
    <row r="483">
      <c r="A483" t="inlineStr">
        <is>
          <t>ENC113394</t>
        </is>
      </c>
      <c r="B483" t="inlineStr">
        <is>
          <t>PT13326</t>
        </is>
      </c>
      <c r="C483" t="inlineStr">
        <is>
          <t>Outpatient</t>
        </is>
      </c>
      <c r="D483" t="inlineStr">
        <is>
          <t>F04</t>
        </is>
      </c>
      <c r="E483" t="inlineStr">
        <is>
          <t>D400</t>
        </is>
      </c>
      <c r="G483" s="32" t="n">
        <v>45734.57291666666</v>
      </c>
      <c r="H483" s="32" t="n">
        <v>45734.60625</v>
      </c>
      <c r="I483" t="inlineStr">
        <is>
          <t>I10</t>
        </is>
      </c>
      <c r="J483" t="inlineStr">
        <is>
          <t>PY04</t>
        </is>
      </c>
      <c r="K483" s="33" t="n">
        <v>241.16</v>
      </c>
      <c r="L483" s="34" t="n"/>
    </row>
    <row r="484">
      <c r="A484" t="inlineStr">
        <is>
          <t>ENC113401</t>
        </is>
      </c>
      <c r="B484" t="inlineStr">
        <is>
          <t>PT12013</t>
        </is>
      </c>
      <c r="C484" t="inlineStr">
        <is>
          <t>Emergency</t>
        </is>
      </c>
      <c r="D484" t="inlineStr">
        <is>
          <t>F03</t>
        </is>
      </c>
      <c r="E484" t="inlineStr">
        <is>
          <t>D300</t>
        </is>
      </c>
      <c r="G484" s="32" t="n">
        <v>45734.84166666667</v>
      </c>
      <c r="H484" s="32" t="n">
        <v>45734.88541666666</v>
      </c>
      <c r="I484" t="inlineStr">
        <is>
          <t>R07.9</t>
        </is>
      </c>
      <c r="J484" t="inlineStr">
        <is>
          <t>PY01</t>
        </is>
      </c>
      <c r="K484" s="33" t="n">
        <v>4441</v>
      </c>
      <c r="L484" s="34" t="n"/>
    </row>
    <row r="485">
      <c r="A485" t="inlineStr">
        <is>
          <t>ENC113404</t>
        </is>
      </c>
      <c r="B485" t="inlineStr">
        <is>
          <t>PT13456</t>
        </is>
      </c>
      <c r="C485" t="inlineStr">
        <is>
          <t>Observation</t>
        </is>
      </c>
      <c r="D485" t="inlineStr">
        <is>
          <t>F01</t>
        </is>
      </c>
      <c r="E485" t="inlineStr">
        <is>
          <t>D195</t>
        </is>
      </c>
      <c r="F485" t="inlineStr">
        <is>
          <t>Direct Admit</t>
        </is>
      </c>
      <c r="G485" s="32" t="n">
        <v>45734.92430555556</v>
      </c>
      <c r="H485" s="32" t="n">
        <v>45735.85208333333</v>
      </c>
      <c r="I485" t="inlineStr">
        <is>
          <t>R10.9</t>
        </is>
      </c>
      <c r="J485" t="inlineStr">
        <is>
          <t>PY06</t>
        </is>
      </c>
      <c r="K485" s="33" t="n">
        <v>9683.969999999999</v>
      </c>
      <c r="L485" s="34" t="n"/>
    </row>
    <row r="486">
      <c r="A486" t="inlineStr">
        <is>
          <t>ENC113410</t>
        </is>
      </c>
      <c r="B486" t="inlineStr">
        <is>
          <t>PT12471</t>
        </is>
      </c>
      <c r="C486" t="inlineStr">
        <is>
          <t>Emergency</t>
        </is>
      </c>
      <c r="D486" t="inlineStr">
        <is>
          <t>F01</t>
        </is>
      </c>
      <c r="E486" t="inlineStr">
        <is>
          <t>D100</t>
        </is>
      </c>
      <c r="G486" s="32" t="n">
        <v>45735.42013888889</v>
      </c>
      <c r="H486" s="32" t="n">
        <v>45735.56388888889</v>
      </c>
      <c r="I486" t="inlineStr">
        <is>
          <t>M54.50</t>
        </is>
      </c>
      <c r="J486" t="inlineStr">
        <is>
          <t>PY07</t>
        </is>
      </c>
      <c r="K486" s="33" t="n">
        <v>1728.63</v>
      </c>
      <c r="L486" s="34" t="n"/>
    </row>
    <row r="487">
      <c r="A487" t="inlineStr">
        <is>
          <t>ENC113415</t>
        </is>
      </c>
      <c r="B487" t="inlineStr">
        <is>
          <t>PT12267</t>
        </is>
      </c>
      <c r="C487" t="inlineStr">
        <is>
          <t>Outpatient</t>
        </is>
      </c>
      <c r="D487" t="inlineStr">
        <is>
          <t>F04</t>
        </is>
      </c>
      <c r="E487" t="inlineStr">
        <is>
          <t>D410</t>
        </is>
      </c>
      <c r="G487" s="32" t="n">
        <v>45735.48958333334</v>
      </c>
      <c r="H487" s="32" t="n">
        <v>45735.50902777778</v>
      </c>
      <c r="I487" t="inlineStr">
        <is>
          <t>I48.91</t>
        </is>
      </c>
      <c r="J487" t="inlineStr">
        <is>
          <t>PY03</t>
        </is>
      </c>
      <c r="K487" s="33" t="n">
        <v>362.23</v>
      </c>
      <c r="L487" s="34" t="n"/>
    </row>
    <row r="488">
      <c r="A488" t="inlineStr">
        <is>
          <t>ENC113421</t>
        </is>
      </c>
      <c r="B488" t="inlineStr">
        <is>
          <t>PT11594</t>
        </is>
      </c>
      <c r="C488" t="inlineStr">
        <is>
          <t>Emergency</t>
        </is>
      </c>
      <c r="D488" t="inlineStr">
        <is>
          <t>F01</t>
        </is>
      </c>
      <c r="E488" t="inlineStr">
        <is>
          <t>D100</t>
        </is>
      </c>
      <c r="G488" s="32" t="n">
        <v>45735.56805555556</v>
      </c>
      <c r="H488" s="32" t="n">
        <v>45735.64861111111</v>
      </c>
      <c r="I488" t="inlineStr">
        <is>
          <t>J45.909</t>
        </is>
      </c>
      <c r="J488" t="inlineStr">
        <is>
          <t>PY01</t>
        </is>
      </c>
      <c r="K488" s="33" t="n">
        <v>1270.2</v>
      </c>
      <c r="L488" s="34" t="n"/>
    </row>
    <row r="489">
      <c r="A489" t="inlineStr">
        <is>
          <t>ENC113427</t>
        </is>
      </c>
      <c r="B489" t="inlineStr">
        <is>
          <t>PT11661</t>
        </is>
      </c>
      <c r="C489" t="inlineStr">
        <is>
          <t>Inpatient</t>
        </is>
      </c>
      <c r="D489" t="inlineStr">
        <is>
          <t>F02</t>
        </is>
      </c>
      <c r="E489" t="inlineStr">
        <is>
          <t>D270</t>
        </is>
      </c>
      <c r="F489" t="inlineStr">
        <is>
          <t>Direct Admit</t>
        </is>
      </c>
      <c r="G489" s="32" t="n">
        <v>45735.64930555555</v>
      </c>
      <c r="H489" s="32" t="n">
        <v>45738.64583333334</v>
      </c>
      <c r="I489" t="inlineStr">
        <is>
          <t>O82</t>
        </is>
      </c>
      <c r="J489" t="inlineStr">
        <is>
          <t>PY04</t>
        </is>
      </c>
      <c r="K489" s="33" t="n">
        <v>22196.75</v>
      </c>
      <c r="L489" s="34" t="n"/>
    </row>
    <row r="490">
      <c r="A490" t="inlineStr">
        <is>
          <t>ENC113433</t>
        </is>
      </c>
      <c r="B490" t="inlineStr">
        <is>
          <t>PT11014</t>
        </is>
      </c>
      <c r="C490" t="inlineStr">
        <is>
          <t>Inpatient</t>
        </is>
      </c>
      <c r="D490" t="inlineStr">
        <is>
          <t>F01</t>
        </is>
      </c>
      <c r="E490" t="inlineStr">
        <is>
          <t>D120</t>
        </is>
      </c>
      <c r="F490" t="inlineStr">
        <is>
          <t>Direct Admit</t>
        </is>
      </c>
      <c r="G490" s="32" t="n">
        <v>45735.675</v>
      </c>
      <c r="H490" s="32" t="n">
        <v>45742.59930555556</v>
      </c>
      <c r="I490" t="inlineStr">
        <is>
          <t>I50.9</t>
        </is>
      </c>
      <c r="J490" t="inlineStr">
        <is>
          <t>PY02</t>
        </is>
      </c>
      <c r="K490" s="33" t="n">
        <v>47662.57</v>
      </c>
      <c r="L490" s="34" t="n"/>
    </row>
    <row r="491">
      <c r="A491" t="inlineStr">
        <is>
          <t>ENC113440</t>
        </is>
      </c>
      <c r="B491" t="inlineStr">
        <is>
          <t>PT11396</t>
        </is>
      </c>
      <c r="C491" t="inlineStr">
        <is>
          <t>Emergency</t>
        </is>
      </c>
      <c r="D491" t="inlineStr">
        <is>
          <t>F01</t>
        </is>
      </c>
      <c r="E491" t="inlineStr">
        <is>
          <t>D100</t>
        </is>
      </c>
      <c r="G491" s="32" t="n">
        <v>45735.75416666667</v>
      </c>
      <c r="H491" s="32" t="n">
        <v>45735.87430555555</v>
      </c>
      <c r="I491" t="inlineStr">
        <is>
          <t>R07.9</t>
        </is>
      </c>
      <c r="J491" t="inlineStr">
        <is>
          <t>PY04</t>
        </is>
      </c>
      <c r="K491" s="33" t="n">
        <v>2857.47</v>
      </c>
      <c r="L491" s="34" t="n"/>
    </row>
    <row r="492">
      <c r="A492" t="inlineStr">
        <is>
          <t>ENC113445</t>
        </is>
      </c>
      <c r="B492" t="inlineStr">
        <is>
          <t>PT11694</t>
        </is>
      </c>
      <c r="C492" t="inlineStr">
        <is>
          <t>Emergency</t>
        </is>
      </c>
      <c r="D492" t="inlineStr">
        <is>
          <t>F01</t>
        </is>
      </c>
      <c r="E492" t="inlineStr">
        <is>
          <t>D100</t>
        </is>
      </c>
      <c r="G492" s="32" t="n">
        <v>45735.99375</v>
      </c>
      <c r="H492" s="32" t="n">
        <v>45736.08472222222</v>
      </c>
      <c r="I492" t="inlineStr">
        <is>
          <t>M54.50</t>
        </is>
      </c>
      <c r="J492" t="inlineStr">
        <is>
          <t>PY01</t>
        </is>
      </c>
      <c r="K492" s="33" t="n">
        <v>1001.97</v>
      </c>
      <c r="L492" s="34" t="n"/>
    </row>
    <row r="493">
      <c r="A493" t="inlineStr">
        <is>
          <t>ENC113451</t>
        </is>
      </c>
      <c r="B493" t="inlineStr">
        <is>
          <t>PT10679</t>
        </is>
      </c>
      <c r="C493" t="inlineStr">
        <is>
          <t>Outpatient</t>
        </is>
      </c>
      <c r="D493" t="inlineStr">
        <is>
          <t>F04</t>
        </is>
      </c>
      <c r="E493" t="inlineStr">
        <is>
          <t>D440</t>
        </is>
      </c>
      <c r="G493" s="32" t="n">
        <v>45736.39583333334</v>
      </c>
      <c r="H493" s="32" t="n">
        <v>45736.42430555556</v>
      </c>
      <c r="I493" t="inlineStr">
        <is>
          <t>E11.9</t>
        </is>
      </c>
      <c r="J493" t="inlineStr">
        <is>
          <t>PY01</t>
        </is>
      </c>
      <c r="K493" s="33" t="n">
        <v>207.71</v>
      </c>
      <c r="L493" s="34" t="n"/>
    </row>
    <row r="494">
      <c r="A494" t="inlineStr">
        <is>
          <t>ENC113454</t>
        </is>
      </c>
      <c r="B494" t="inlineStr">
        <is>
          <t>PT12255</t>
        </is>
      </c>
      <c r="C494" t="inlineStr">
        <is>
          <t>Outpatient</t>
        </is>
      </c>
      <c r="D494" t="inlineStr">
        <is>
          <t>F04</t>
        </is>
      </c>
      <c r="E494" t="inlineStr">
        <is>
          <t>D450</t>
        </is>
      </c>
      <c r="G494" s="32" t="n">
        <v>45736.42708333334</v>
      </c>
      <c r="H494" s="32" t="n">
        <v>45736.46041666667</v>
      </c>
      <c r="I494" t="inlineStr">
        <is>
          <t>Z00.129</t>
        </is>
      </c>
      <c r="J494" t="inlineStr">
        <is>
          <t>PY03</t>
        </is>
      </c>
      <c r="K494" s="33" t="n">
        <v>333.21</v>
      </c>
      <c r="L494" s="34" t="n"/>
    </row>
    <row r="495">
      <c r="A495" t="inlineStr">
        <is>
          <t>ENC113460</t>
        </is>
      </c>
      <c r="B495" t="inlineStr">
        <is>
          <t>PT10202</t>
        </is>
      </c>
      <c r="C495" t="inlineStr">
        <is>
          <t>Outpatient</t>
        </is>
      </c>
      <c r="D495" t="inlineStr">
        <is>
          <t>F04</t>
        </is>
      </c>
      <c r="E495" t="inlineStr">
        <is>
          <t>D400</t>
        </is>
      </c>
      <c r="G495" s="32" t="n">
        <v>45736.47916666666</v>
      </c>
      <c r="H495" s="32" t="n">
        <v>45736.50416666667</v>
      </c>
      <c r="I495" t="inlineStr">
        <is>
          <t>I10</t>
        </is>
      </c>
      <c r="J495" t="inlineStr">
        <is>
          <t>PY01</t>
        </is>
      </c>
      <c r="K495" s="33" t="n">
        <v>351.58</v>
      </c>
      <c r="L495" s="34" t="n"/>
    </row>
    <row r="496">
      <c r="A496" t="inlineStr">
        <is>
          <t>ENC113469</t>
        </is>
      </c>
      <c r="B496" t="inlineStr">
        <is>
          <t>PT12955</t>
        </is>
      </c>
      <c r="C496" t="inlineStr">
        <is>
          <t>Outpatient</t>
        </is>
      </c>
      <c r="D496" t="inlineStr">
        <is>
          <t>F04</t>
        </is>
      </c>
      <c r="E496" t="inlineStr">
        <is>
          <t>D400</t>
        </is>
      </c>
      <c r="G496" s="32" t="n">
        <v>45736.55208333334</v>
      </c>
      <c r="H496" s="32" t="n">
        <v>45736.57361111111</v>
      </c>
      <c r="I496" t="inlineStr">
        <is>
          <t>Z23</t>
        </is>
      </c>
      <c r="J496" t="inlineStr">
        <is>
          <t>PY02</t>
        </is>
      </c>
      <c r="K496" s="33" t="n">
        <v>123.55</v>
      </c>
      <c r="L496" s="34" t="n"/>
    </row>
    <row r="497">
      <c r="A497" t="inlineStr">
        <is>
          <t>ENC113476</t>
        </is>
      </c>
      <c r="B497" t="inlineStr">
        <is>
          <t>PT12475</t>
        </is>
      </c>
      <c r="C497" t="inlineStr">
        <is>
          <t>Emergency</t>
        </is>
      </c>
      <c r="D497" t="inlineStr">
        <is>
          <t>F01</t>
        </is>
      </c>
      <c r="E497" t="inlineStr">
        <is>
          <t>D100</t>
        </is>
      </c>
      <c r="G497" s="32" t="n">
        <v>45736.61597222222</v>
      </c>
      <c r="H497" s="32" t="n">
        <v>45736.81458333333</v>
      </c>
      <c r="I497" t="inlineStr">
        <is>
          <t>J06.9</t>
        </is>
      </c>
      <c r="J497" t="inlineStr">
        <is>
          <t>PY03</t>
        </is>
      </c>
      <c r="K497" s="33" t="n">
        <v>1386.02</v>
      </c>
      <c r="L497" s="34" t="n"/>
    </row>
    <row r="498">
      <c r="A498" t="inlineStr">
        <is>
          <t>ENC113478</t>
        </is>
      </c>
      <c r="B498" t="inlineStr">
        <is>
          <t>PT13402</t>
        </is>
      </c>
      <c r="C498" t="inlineStr">
        <is>
          <t>Emergency</t>
        </is>
      </c>
      <c r="D498" t="inlineStr">
        <is>
          <t>F01</t>
        </is>
      </c>
      <c r="E498" t="inlineStr">
        <is>
          <t>D100</t>
        </is>
      </c>
      <c r="G498" s="32" t="n">
        <v>45736.68958333333</v>
      </c>
      <c r="H498" s="32" t="n">
        <v>45736.80277777778</v>
      </c>
      <c r="I498" t="inlineStr">
        <is>
          <t>J06.9</t>
        </is>
      </c>
      <c r="J498" t="inlineStr">
        <is>
          <t>PY05</t>
        </is>
      </c>
      <c r="K498" s="33" t="n">
        <v>694.5</v>
      </c>
      <c r="L498" s="34" t="n"/>
    </row>
    <row r="499">
      <c r="A499" t="inlineStr">
        <is>
          <t>ENC113479</t>
        </is>
      </c>
      <c r="B499" t="inlineStr">
        <is>
          <t>PT12261</t>
        </is>
      </c>
      <c r="C499" t="inlineStr">
        <is>
          <t>Inpatient</t>
        </is>
      </c>
      <c r="D499" t="inlineStr">
        <is>
          <t>F01</t>
        </is>
      </c>
      <c r="E499" t="inlineStr">
        <is>
          <t>D190</t>
        </is>
      </c>
      <c r="F499" t="inlineStr">
        <is>
          <t>Emergency Department</t>
        </is>
      </c>
      <c r="G499" s="32" t="n">
        <v>45736.84375</v>
      </c>
      <c r="H499" s="32" t="n">
        <v>45745.62569444445</v>
      </c>
      <c r="I499" t="inlineStr">
        <is>
          <t>F32.9</t>
        </is>
      </c>
      <c r="J499" t="inlineStr">
        <is>
          <t>PY03</t>
        </is>
      </c>
      <c r="K499" s="33" t="n">
        <v>23632.11</v>
      </c>
      <c r="L499" s="34" t="n"/>
    </row>
    <row r="500">
      <c r="A500" t="inlineStr">
        <is>
          <t>ENC113489</t>
        </is>
      </c>
      <c r="B500" t="inlineStr">
        <is>
          <t>PT10021</t>
        </is>
      </c>
      <c r="C500" t="inlineStr">
        <is>
          <t>Emergency</t>
        </is>
      </c>
      <c r="D500" t="inlineStr">
        <is>
          <t>F01</t>
        </is>
      </c>
      <c r="E500" t="inlineStr">
        <is>
          <t>D100</t>
        </is>
      </c>
      <c r="G500" s="32" t="n">
        <v>45737.24513888889</v>
      </c>
      <c r="H500" s="32" t="n">
        <v>45737.31875</v>
      </c>
      <c r="I500" t="inlineStr">
        <is>
          <t>R10.9</t>
        </is>
      </c>
      <c r="J500" t="inlineStr">
        <is>
          <t>PY06</t>
        </is>
      </c>
      <c r="K500" s="33" t="n">
        <v>1593.91</v>
      </c>
      <c r="L500" s="34" t="n"/>
    </row>
    <row r="501">
      <c r="A501" t="inlineStr">
        <is>
          <t>ENC113493</t>
        </is>
      </c>
      <c r="B501" t="inlineStr">
        <is>
          <t>PT10822</t>
        </is>
      </c>
      <c r="C501" t="inlineStr">
        <is>
          <t>Outpatient</t>
        </is>
      </c>
      <c r="D501" t="inlineStr">
        <is>
          <t>F04</t>
        </is>
      </c>
      <c r="E501" t="inlineStr">
        <is>
          <t>D400</t>
        </is>
      </c>
      <c r="G501" s="32" t="n">
        <v>45737.38541666666</v>
      </c>
      <c r="H501" s="32" t="n">
        <v>45737.40277777778</v>
      </c>
      <c r="I501" t="inlineStr">
        <is>
          <t>Z00.00</t>
        </is>
      </c>
      <c r="J501" t="inlineStr">
        <is>
          <t>PY01</t>
        </is>
      </c>
      <c r="K501" s="33" t="n">
        <v>336.62</v>
      </c>
      <c r="L501" s="34" t="n"/>
    </row>
    <row r="502">
      <c r="A502" t="inlineStr">
        <is>
          <t>ENC113500</t>
        </is>
      </c>
      <c r="B502" t="inlineStr">
        <is>
          <t>PT11261</t>
        </is>
      </c>
      <c r="C502" t="inlineStr">
        <is>
          <t>Outpatient</t>
        </is>
      </c>
      <c r="D502" t="inlineStr">
        <is>
          <t>F04</t>
        </is>
      </c>
      <c r="E502" t="inlineStr">
        <is>
          <t>D420</t>
        </is>
      </c>
      <c r="G502" s="32" t="n">
        <v>45737.44791666666</v>
      </c>
      <c r="H502" s="32" t="n">
        <v>45737.47638888889</v>
      </c>
      <c r="I502" t="inlineStr">
        <is>
          <t>S93.401A</t>
        </is>
      </c>
      <c r="J502" t="inlineStr">
        <is>
          <t>PY01</t>
        </is>
      </c>
      <c r="K502" s="33" t="n">
        <v>231.53</v>
      </c>
      <c r="L502" s="34" t="n"/>
    </row>
    <row r="503">
      <c r="A503" t="inlineStr">
        <is>
          <t>ENC113506</t>
        </is>
      </c>
      <c r="B503" t="inlineStr">
        <is>
          <t>PT11872</t>
        </is>
      </c>
      <c r="C503" t="inlineStr">
        <is>
          <t>Outpatient</t>
        </is>
      </c>
      <c r="D503" t="inlineStr">
        <is>
          <t>F04</t>
        </is>
      </c>
      <c r="E503" t="inlineStr">
        <is>
          <t>D450</t>
        </is>
      </c>
      <c r="G503" s="32" t="n">
        <v>45737.51041666666</v>
      </c>
      <c r="H503" s="32" t="n">
        <v>45737.53888888889</v>
      </c>
      <c r="I503" t="inlineStr">
        <is>
          <t>Z00.129</t>
        </is>
      </c>
      <c r="J503" t="inlineStr">
        <is>
          <t>PY03</t>
        </is>
      </c>
      <c r="K503" s="33" t="n">
        <v>458.89</v>
      </c>
      <c r="L503" s="34" t="n"/>
    </row>
    <row r="504">
      <c r="A504" t="inlineStr">
        <is>
          <t>ENC113511</t>
        </is>
      </c>
      <c r="B504" t="inlineStr">
        <is>
          <t>PT11097</t>
        </is>
      </c>
      <c r="C504" t="inlineStr">
        <is>
          <t>Outpatient</t>
        </is>
      </c>
      <c r="D504" t="inlineStr">
        <is>
          <t>F04</t>
        </is>
      </c>
      <c r="E504" t="inlineStr">
        <is>
          <t>D450</t>
        </is>
      </c>
      <c r="G504" s="32" t="n">
        <v>45737.63541666666</v>
      </c>
      <c r="H504" s="32" t="n">
        <v>45737.67291666667</v>
      </c>
      <c r="I504" t="inlineStr">
        <is>
          <t>H66.90</t>
        </is>
      </c>
      <c r="J504" t="inlineStr">
        <is>
          <t>PY05</t>
        </is>
      </c>
      <c r="K504" s="33" t="n">
        <v>271.52</v>
      </c>
      <c r="L504" s="34" t="n"/>
    </row>
    <row r="505">
      <c r="A505" t="inlineStr">
        <is>
          <t>ENC113510</t>
        </is>
      </c>
      <c r="B505" t="inlineStr">
        <is>
          <t>PT13767</t>
        </is>
      </c>
      <c r="C505" t="inlineStr">
        <is>
          <t>Inpatient</t>
        </is>
      </c>
      <c r="D505" t="inlineStr">
        <is>
          <t>F02</t>
        </is>
      </c>
      <c r="E505" t="inlineStr">
        <is>
          <t>D210</t>
        </is>
      </c>
      <c r="F505" t="inlineStr">
        <is>
          <t>Emergency Department</t>
        </is>
      </c>
      <c r="G505" s="32" t="n">
        <v>45737.72916666666</v>
      </c>
      <c r="H505" s="32" t="n">
        <v>45741.64097222222</v>
      </c>
      <c r="I505" t="inlineStr">
        <is>
          <t>E11.65</t>
        </is>
      </c>
      <c r="J505" t="inlineStr">
        <is>
          <t>PY01</t>
        </is>
      </c>
      <c r="K505" s="33" t="n">
        <v>20146.56</v>
      </c>
      <c r="L505" s="34" t="n"/>
    </row>
    <row r="506">
      <c r="A506" t="inlineStr">
        <is>
          <t>ENC113522</t>
        </is>
      </c>
      <c r="B506" t="inlineStr">
        <is>
          <t>PT10850</t>
        </is>
      </c>
      <c r="C506" t="inlineStr">
        <is>
          <t>Emergency</t>
        </is>
      </c>
      <c r="D506" t="inlineStr">
        <is>
          <t>F01</t>
        </is>
      </c>
      <c r="E506" t="inlineStr">
        <is>
          <t>D100</t>
        </is>
      </c>
      <c r="G506" s="32" t="n">
        <v>45738.11944444444</v>
      </c>
      <c r="H506" s="32" t="n">
        <v>45738.24027777778</v>
      </c>
      <c r="I506" t="inlineStr">
        <is>
          <t>R10.9</t>
        </is>
      </c>
      <c r="J506" t="inlineStr">
        <is>
          <t>PY04</t>
        </is>
      </c>
      <c r="K506" s="33" t="n">
        <v>6123.4</v>
      </c>
      <c r="L506" s="34" t="n"/>
    </row>
    <row r="507">
      <c r="A507" t="inlineStr">
        <is>
          <t>ENC113527</t>
        </is>
      </c>
      <c r="B507" t="inlineStr">
        <is>
          <t>PT11571</t>
        </is>
      </c>
      <c r="C507" t="inlineStr">
        <is>
          <t>Emergency</t>
        </is>
      </c>
      <c r="D507" t="inlineStr">
        <is>
          <t>F01</t>
        </is>
      </c>
      <c r="E507" t="inlineStr">
        <is>
          <t>D100</t>
        </is>
      </c>
      <c r="G507" s="32" t="n">
        <v>45738.48402777778</v>
      </c>
      <c r="H507" s="32" t="n">
        <v>45738.60277777778</v>
      </c>
      <c r="I507" t="inlineStr">
        <is>
          <t>R10.9</t>
        </is>
      </c>
      <c r="J507" t="inlineStr">
        <is>
          <t>PY05</t>
        </is>
      </c>
      <c r="K507" s="33" t="n">
        <v>4813.89</v>
      </c>
      <c r="L507" s="34" t="n"/>
    </row>
    <row r="508">
      <c r="A508" t="inlineStr">
        <is>
          <t>ENC113532</t>
        </is>
      </c>
      <c r="B508" t="inlineStr">
        <is>
          <t>PT11416</t>
        </is>
      </c>
      <c r="C508" t="inlineStr">
        <is>
          <t>Emergency</t>
        </is>
      </c>
      <c r="D508" t="inlineStr">
        <is>
          <t>F02</t>
        </is>
      </c>
      <c r="E508" t="inlineStr">
        <is>
          <t>D200</t>
        </is>
      </c>
      <c r="G508" s="32" t="n">
        <v>45738.75902777778</v>
      </c>
      <c r="H508" s="32" t="n">
        <v>45738.8875</v>
      </c>
      <c r="I508" t="inlineStr">
        <is>
          <t>M54.50</t>
        </is>
      </c>
      <c r="J508" t="inlineStr">
        <is>
          <t>PY03</t>
        </is>
      </c>
      <c r="K508" s="33" t="n">
        <v>2569.33</v>
      </c>
      <c r="L508" s="34" t="n"/>
    </row>
    <row r="509">
      <c r="A509" t="inlineStr">
        <is>
          <t>ENC113534</t>
        </is>
      </c>
      <c r="B509" t="inlineStr">
        <is>
          <t>PT10283</t>
        </is>
      </c>
      <c r="C509" t="inlineStr">
        <is>
          <t>Observation</t>
        </is>
      </c>
      <c r="D509" t="inlineStr">
        <is>
          <t>F01</t>
        </is>
      </c>
      <c r="E509" t="inlineStr">
        <is>
          <t>D195</t>
        </is>
      </c>
      <c r="F509" t="inlineStr">
        <is>
          <t>Emergency Department</t>
        </is>
      </c>
      <c r="G509" s="32" t="n">
        <v>45738.98194444444</v>
      </c>
      <c r="H509" s="32" t="n">
        <v>45740.05763888889</v>
      </c>
      <c r="I509" t="inlineStr">
        <is>
          <t>R55</t>
        </is>
      </c>
      <c r="J509" t="inlineStr">
        <is>
          <t>PY01</t>
        </is>
      </c>
      <c r="K509" s="33" t="n">
        <v>7133.8</v>
      </c>
      <c r="L509" s="34" t="n"/>
    </row>
    <row r="510">
      <c r="A510" t="inlineStr">
        <is>
          <t>ENC113543</t>
        </is>
      </c>
      <c r="B510" t="inlineStr">
        <is>
          <t>PT13645</t>
        </is>
      </c>
      <c r="C510" t="inlineStr">
        <is>
          <t>Emergency</t>
        </is>
      </c>
      <c r="D510" t="inlineStr">
        <is>
          <t>F01</t>
        </is>
      </c>
      <c r="E510" t="inlineStr">
        <is>
          <t>D100</t>
        </is>
      </c>
      <c r="G510" s="32" t="n">
        <v>45739.51388888889</v>
      </c>
      <c r="H510" s="32" t="n">
        <v>45739.69652777778</v>
      </c>
      <c r="I510" t="inlineStr">
        <is>
          <t>R55</t>
        </is>
      </c>
      <c r="J510" t="inlineStr">
        <is>
          <t>PY01</t>
        </is>
      </c>
      <c r="K510" s="33" t="n">
        <v>2507.05</v>
      </c>
      <c r="L510" s="34" t="n"/>
    </row>
    <row r="511">
      <c r="A511" t="inlineStr">
        <is>
          <t>ENC113550</t>
        </is>
      </c>
      <c r="B511" t="inlineStr">
        <is>
          <t>PT11056</t>
        </is>
      </c>
      <c r="C511" t="inlineStr">
        <is>
          <t>Emergency</t>
        </is>
      </c>
      <c r="D511" t="inlineStr">
        <is>
          <t>F01</t>
        </is>
      </c>
      <c r="E511" t="inlineStr">
        <is>
          <t>D100</t>
        </is>
      </c>
      <c r="G511" s="32" t="n">
        <v>45739.99722222222</v>
      </c>
      <c r="H511" s="32" t="n">
        <v>45740.13611111111</v>
      </c>
      <c r="I511" t="inlineStr">
        <is>
          <t>J21.9</t>
        </is>
      </c>
      <c r="J511" t="inlineStr">
        <is>
          <t>PY04</t>
        </is>
      </c>
      <c r="K511" s="33" t="n">
        <v>2753.9</v>
      </c>
      <c r="L511" s="34" t="n"/>
    </row>
    <row r="512">
      <c r="A512" t="inlineStr">
        <is>
          <t>ENC113555</t>
        </is>
      </c>
      <c r="B512" t="inlineStr">
        <is>
          <t>PT11499</t>
        </is>
      </c>
      <c r="C512" t="inlineStr">
        <is>
          <t>Inpatient</t>
        </is>
      </c>
      <c r="D512" t="inlineStr">
        <is>
          <t>F01</t>
        </is>
      </c>
      <c r="E512" t="inlineStr">
        <is>
          <t>D111</t>
        </is>
      </c>
      <c r="F512" t="inlineStr">
        <is>
          <t>Direct Admit</t>
        </is>
      </c>
      <c r="G512" s="32" t="n">
        <v>45740.16597222222</v>
      </c>
      <c r="H512" s="32" t="n">
        <v>45742.63472222222</v>
      </c>
      <c r="I512" t="inlineStr">
        <is>
          <t>R55</t>
        </is>
      </c>
      <c r="J512" t="inlineStr">
        <is>
          <t>PY04</t>
        </is>
      </c>
      <c r="K512" s="33" t="n">
        <v>9095.629999999999</v>
      </c>
      <c r="L512" s="34" t="n"/>
    </row>
    <row r="513">
      <c r="A513" t="inlineStr">
        <is>
          <t>ENC113563</t>
        </is>
      </c>
      <c r="B513" t="inlineStr">
        <is>
          <t>PT11070</t>
        </is>
      </c>
      <c r="C513" t="inlineStr">
        <is>
          <t>Outpatient</t>
        </is>
      </c>
      <c r="D513" t="inlineStr">
        <is>
          <t>F04</t>
        </is>
      </c>
      <c r="E513" t="inlineStr">
        <is>
          <t>D430</t>
        </is>
      </c>
      <c r="G513" s="32" t="n">
        <v>45740.39583333334</v>
      </c>
      <c r="H513" s="32" t="n">
        <v>45740.42430555556</v>
      </c>
      <c r="I513" t="inlineStr">
        <is>
          <t>C50.911</t>
        </is>
      </c>
      <c r="J513" t="inlineStr">
        <is>
          <t>PY04</t>
        </is>
      </c>
      <c r="K513" s="33" t="n">
        <v>1743.07</v>
      </c>
      <c r="L513" s="34" t="n"/>
    </row>
    <row r="514">
      <c r="A514" t="inlineStr">
        <is>
          <t>ENC113570</t>
        </is>
      </c>
      <c r="B514" t="inlineStr">
        <is>
          <t>PT13379</t>
        </is>
      </c>
      <c r="C514" t="inlineStr">
        <is>
          <t>Inpatient</t>
        </is>
      </c>
      <c r="D514" t="inlineStr">
        <is>
          <t>F01</t>
        </is>
      </c>
      <c r="E514" t="inlineStr">
        <is>
          <t>D170</t>
        </is>
      </c>
      <c r="F514" t="inlineStr">
        <is>
          <t>Direct Admit</t>
        </is>
      </c>
      <c r="G514" s="32" t="n">
        <v>45740.4625</v>
      </c>
      <c r="H514" s="32" t="n">
        <v>45742.70069444444</v>
      </c>
      <c r="I514" t="inlineStr">
        <is>
          <t>O80</t>
        </is>
      </c>
      <c r="J514" t="inlineStr">
        <is>
          <t>PY05</t>
        </is>
      </c>
      <c r="K514" s="33" t="n">
        <v>16665.3</v>
      </c>
      <c r="L514" s="34" t="n"/>
    </row>
    <row r="515">
      <c r="A515" t="inlineStr">
        <is>
          <t>ENC113576</t>
        </is>
      </c>
      <c r="B515" t="inlineStr">
        <is>
          <t>PT10632</t>
        </is>
      </c>
      <c r="C515" t="inlineStr">
        <is>
          <t>Outpatient</t>
        </is>
      </c>
      <c r="D515" t="inlineStr">
        <is>
          <t>F04</t>
        </is>
      </c>
      <c r="E515" t="inlineStr">
        <is>
          <t>D450</t>
        </is>
      </c>
      <c r="G515" s="32" t="n">
        <v>45740.5</v>
      </c>
      <c r="H515" s="32" t="n">
        <v>45740.53611111111</v>
      </c>
      <c r="I515" t="inlineStr">
        <is>
          <t>Z00.129</t>
        </is>
      </c>
      <c r="J515" t="inlineStr">
        <is>
          <t>PY05</t>
        </is>
      </c>
      <c r="K515" s="33" t="n">
        <v>244.73</v>
      </c>
      <c r="L515" s="34" t="n"/>
    </row>
    <row r="516">
      <c r="A516" t="inlineStr">
        <is>
          <t>ENC113580</t>
        </is>
      </c>
      <c r="B516" t="inlineStr">
        <is>
          <t>PT11115</t>
        </is>
      </c>
      <c r="C516" t="inlineStr">
        <is>
          <t>Outpatient</t>
        </is>
      </c>
      <c r="D516" t="inlineStr">
        <is>
          <t>F04</t>
        </is>
      </c>
      <c r="E516" t="inlineStr">
        <is>
          <t>D440</t>
        </is>
      </c>
      <c r="G516" s="32" t="n">
        <v>45740.55208333334</v>
      </c>
      <c r="H516" s="32" t="n">
        <v>45740.58263888889</v>
      </c>
      <c r="I516" t="inlineStr">
        <is>
          <t>E11.65</t>
        </is>
      </c>
      <c r="J516" t="inlineStr">
        <is>
          <t>PY02</t>
        </is>
      </c>
      <c r="K516" s="33" t="n">
        <v>395.56</v>
      </c>
      <c r="L516" s="34" t="n"/>
    </row>
    <row r="517">
      <c r="A517" t="inlineStr">
        <is>
          <t>ENC113584</t>
        </is>
      </c>
      <c r="B517" t="inlineStr">
        <is>
          <t>PT12633</t>
        </is>
      </c>
      <c r="C517" t="inlineStr">
        <is>
          <t>Outpatient</t>
        </is>
      </c>
      <c r="D517" t="inlineStr">
        <is>
          <t>F04</t>
        </is>
      </c>
      <c r="E517" t="inlineStr">
        <is>
          <t>D400</t>
        </is>
      </c>
      <c r="G517" s="32" t="n">
        <v>45740.61458333334</v>
      </c>
      <c r="H517" s="32" t="n">
        <v>45740.63888888889</v>
      </c>
      <c r="I517" t="inlineStr">
        <is>
          <t>J45.909</t>
        </is>
      </c>
      <c r="J517" t="inlineStr">
        <is>
          <t>PY05</t>
        </is>
      </c>
      <c r="K517" s="33" t="n">
        <v>396.97</v>
      </c>
      <c r="L517" s="34" t="n"/>
    </row>
    <row r="518">
      <c r="A518" t="inlineStr">
        <is>
          <t>ENC113574</t>
        </is>
      </c>
      <c r="B518" t="inlineStr">
        <is>
          <t>PT11096</t>
        </is>
      </c>
      <c r="C518" t="inlineStr">
        <is>
          <t>Inpatient</t>
        </is>
      </c>
      <c r="D518" t="inlineStr">
        <is>
          <t>F01</t>
        </is>
      </c>
      <c r="E518" t="inlineStr">
        <is>
          <t>D111</t>
        </is>
      </c>
      <c r="F518" t="inlineStr">
        <is>
          <t>Emergency Department</t>
        </is>
      </c>
      <c r="G518" s="32" t="n">
        <v>45740.65902777778</v>
      </c>
      <c r="H518" s="32" t="n">
        <v>45744.51527777778</v>
      </c>
      <c r="I518" t="inlineStr">
        <is>
          <t>J18.9</t>
        </is>
      </c>
      <c r="J518" t="inlineStr">
        <is>
          <t>PY01</t>
        </is>
      </c>
      <c r="K518" s="33" t="n">
        <v>19153.78</v>
      </c>
      <c r="L518" s="34" t="n"/>
    </row>
    <row r="519">
      <c r="A519" t="inlineStr">
        <is>
          <t>ENC113589</t>
        </is>
      </c>
      <c r="B519" t="inlineStr">
        <is>
          <t>PT13328</t>
        </is>
      </c>
      <c r="C519" t="inlineStr">
        <is>
          <t>Inpatient</t>
        </is>
      </c>
      <c r="D519" t="inlineStr">
        <is>
          <t>F01</t>
        </is>
      </c>
      <c r="E519" t="inlineStr">
        <is>
          <t>D110</t>
        </is>
      </c>
      <c r="F519" t="inlineStr">
        <is>
          <t>Emergency Department</t>
        </is>
      </c>
      <c r="G519" s="32" t="n">
        <v>45740.76875</v>
      </c>
      <c r="H519" s="32" t="n">
        <v>45743.54305555556</v>
      </c>
      <c r="I519" t="inlineStr">
        <is>
          <t>N39.0</t>
        </is>
      </c>
      <c r="J519" t="inlineStr">
        <is>
          <t>PY02</t>
        </is>
      </c>
      <c r="K519" s="33" t="n">
        <v>15518.52</v>
      </c>
      <c r="L519" s="34" t="n"/>
    </row>
    <row r="520">
      <c r="A520" t="inlineStr">
        <is>
          <t>ENC113599</t>
        </is>
      </c>
      <c r="B520" t="inlineStr">
        <is>
          <t>PT13657</t>
        </is>
      </c>
      <c r="C520" t="inlineStr">
        <is>
          <t>Emergency</t>
        </is>
      </c>
      <c r="D520" t="inlineStr">
        <is>
          <t>F03</t>
        </is>
      </c>
      <c r="E520" t="inlineStr">
        <is>
          <t>D300</t>
        </is>
      </c>
      <c r="G520" s="32" t="n">
        <v>45741.22222222222</v>
      </c>
      <c r="H520" s="32" t="n">
        <v>45741.3875</v>
      </c>
      <c r="I520" t="inlineStr">
        <is>
          <t>U07.1</t>
        </is>
      </c>
      <c r="J520" t="inlineStr">
        <is>
          <t>PY04</t>
        </is>
      </c>
      <c r="K520" s="33" t="n">
        <v>2176.67</v>
      </c>
      <c r="L520" s="34" t="n"/>
    </row>
    <row r="521">
      <c r="A521" t="inlineStr">
        <is>
          <t>ENC113605</t>
        </is>
      </c>
      <c r="B521" t="inlineStr">
        <is>
          <t>PT13630</t>
        </is>
      </c>
      <c r="C521" t="inlineStr">
        <is>
          <t>Outpatient</t>
        </is>
      </c>
      <c r="D521" t="inlineStr">
        <is>
          <t>F04</t>
        </is>
      </c>
      <c r="E521" t="inlineStr">
        <is>
          <t>D420</t>
        </is>
      </c>
      <c r="G521" s="32" t="n">
        <v>45741.40625</v>
      </c>
      <c r="H521" s="32" t="n">
        <v>45741.425</v>
      </c>
      <c r="I521" t="inlineStr">
        <is>
          <t>S93.401A</t>
        </is>
      </c>
      <c r="J521" t="inlineStr">
        <is>
          <t>PY06</t>
        </is>
      </c>
      <c r="K521" s="33" t="n">
        <v>202.63</v>
      </c>
      <c r="L521" s="34" t="n"/>
    </row>
    <row r="522">
      <c r="A522" t="inlineStr">
        <is>
          <t>ENC113610</t>
        </is>
      </c>
      <c r="B522" t="inlineStr">
        <is>
          <t>PT12176</t>
        </is>
      </c>
      <c r="C522" t="inlineStr">
        <is>
          <t>Outpatient</t>
        </is>
      </c>
      <c r="D522" t="inlineStr">
        <is>
          <t>F04</t>
        </is>
      </c>
      <c r="E522" t="inlineStr">
        <is>
          <t>D400</t>
        </is>
      </c>
      <c r="G522" s="32" t="n">
        <v>45741.46875</v>
      </c>
      <c r="H522" s="32" t="n">
        <v>45741.50555555556</v>
      </c>
      <c r="I522" t="inlineStr">
        <is>
          <t>Z00.00</t>
        </is>
      </c>
      <c r="J522" t="inlineStr">
        <is>
          <t>PY02</t>
        </is>
      </c>
      <c r="K522" s="33" t="n">
        <v>246.03</v>
      </c>
      <c r="L522" s="34" t="n"/>
    </row>
    <row r="523">
      <c r="A523" t="inlineStr">
        <is>
          <t>ENC113616</t>
        </is>
      </c>
      <c r="B523" t="inlineStr">
        <is>
          <t>PT10192</t>
        </is>
      </c>
      <c r="C523" t="inlineStr">
        <is>
          <t>Outpatient</t>
        </is>
      </c>
      <c r="D523" t="inlineStr">
        <is>
          <t>F04</t>
        </is>
      </c>
      <c r="E523" t="inlineStr">
        <is>
          <t>D400</t>
        </is>
      </c>
      <c r="G523" s="32" t="n">
        <v>45741.48958333334</v>
      </c>
      <c r="H523" s="32" t="n">
        <v>45741.50208333333</v>
      </c>
      <c r="I523" t="inlineStr">
        <is>
          <t>M54.50</t>
        </is>
      </c>
      <c r="J523" t="inlineStr">
        <is>
          <t>PY06</t>
        </is>
      </c>
      <c r="K523" s="33" t="n">
        <v>437.36</v>
      </c>
      <c r="L523" s="34" t="n"/>
    </row>
    <row r="524">
      <c r="A524" t="inlineStr">
        <is>
          <t>ENC113621</t>
        </is>
      </c>
      <c r="B524" t="inlineStr">
        <is>
          <t>PT10544</t>
        </is>
      </c>
      <c r="C524" t="inlineStr">
        <is>
          <t>Inpatient</t>
        </is>
      </c>
      <c r="D524" t="inlineStr">
        <is>
          <t>F02</t>
        </is>
      </c>
      <c r="E524" t="inlineStr">
        <is>
          <t>D270</t>
        </is>
      </c>
      <c r="F524" t="inlineStr">
        <is>
          <t>Direct Admit</t>
        </is>
      </c>
      <c r="G524" s="32" t="n">
        <v>45741.54236111111</v>
      </c>
      <c r="H524" s="32" t="n">
        <v>45744.55416666667</v>
      </c>
      <c r="I524" t="inlineStr">
        <is>
          <t>O80</t>
        </is>
      </c>
      <c r="J524" t="inlineStr">
        <is>
          <t>PY07</t>
        </is>
      </c>
      <c r="K524" s="33" t="n">
        <v>17371.92</v>
      </c>
      <c r="L524" s="34" t="n"/>
    </row>
    <row r="525">
      <c r="A525" t="inlineStr">
        <is>
          <t>ENC113628</t>
        </is>
      </c>
      <c r="B525" t="inlineStr">
        <is>
          <t>PT13128</t>
        </is>
      </c>
      <c r="C525" t="inlineStr">
        <is>
          <t>Emergency</t>
        </is>
      </c>
      <c r="D525" t="inlineStr">
        <is>
          <t>F01</t>
        </is>
      </c>
      <c r="E525" t="inlineStr">
        <is>
          <t>D100</t>
        </is>
      </c>
      <c r="G525" s="32" t="n">
        <v>45741.69513888889</v>
      </c>
      <c r="H525" s="32" t="n">
        <v>45741.84652777778</v>
      </c>
      <c r="I525" t="inlineStr">
        <is>
          <t>R55</t>
        </is>
      </c>
      <c r="J525" t="inlineStr">
        <is>
          <t>PY06</t>
        </is>
      </c>
      <c r="K525" s="33" t="n">
        <v>2781.12</v>
      </c>
      <c r="L525" s="34" t="n"/>
    </row>
    <row r="526">
      <c r="A526" t="inlineStr">
        <is>
          <t>ENC113632</t>
        </is>
      </c>
      <c r="B526" t="inlineStr">
        <is>
          <t>PT13054</t>
        </is>
      </c>
      <c r="C526" t="inlineStr">
        <is>
          <t>Inpatient</t>
        </is>
      </c>
      <c r="D526" t="inlineStr">
        <is>
          <t>F01</t>
        </is>
      </c>
      <c r="E526" t="inlineStr">
        <is>
          <t>D170</t>
        </is>
      </c>
      <c r="F526" t="inlineStr">
        <is>
          <t>Direct Admit</t>
        </is>
      </c>
      <c r="G526" s="32" t="n">
        <v>45741.93680555555</v>
      </c>
      <c r="H526" s="32" t="n">
        <v>45746.50972222222</v>
      </c>
      <c r="I526" t="inlineStr">
        <is>
          <t>O82</t>
        </is>
      </c>
      <c r="J526" t="inlineStr">
        <is>
          <t>PY05</t>
        </is>
      </c>
      <c r="K526" s="33" t="n">
        <v>26984.73</v>
      </c>
      <c r="L526" s="34" t="n"/>
    </row>
    <row r="527">
      <c r="A527" t="inlineStr">
        <is>
          <t>ENC113638</t>
        </is>
      </c>
      <c r="B527" t="inlineStr">
        <is>
          <t>PT11352</t>
        </is>
      </c>
      <c r="C527" t="inlineStr">
        <is>
          <t>Outpatient</t>
        </is>
      </c>
      <c r="D527" t="inlineStr">
        <is>
          <t>F04</t>
        </is>
      </c>
      <c r="E527" t="inlineStr">
        <is>
          <t>D440</t>
        </is>
      </c>
      <c r="G527" s="32" t="n">
        <v>45742.38541666666</v>
      </c>
      <c r="H527" s="32" t="n">
        <v>45742.39652777778</v>
      </c>
      <c r="I527" t="inlineStr">
        <is>
          <t>E11.65</t>
        </is>
      </c>
      <c r="J527" t="inlineStr">
        <is>
          <t>PY05</t>
        </is>
      </c>
      <c r="K527" s="33" t="n">
        <v>406.37</v>
      </c>
      <c r="L527" s="34" t="n"/>
    </row>
    <row r="528">
      <c r="A528" t="inlineStr">
        <is>
          <t>ENC113645</t>
        </is>
      </c>
      <c r="B528" t="inlineStr">
        <is>
          <t>PT11978</t>
        </is>
      </c>
      <c r="C528" t="inlineStr">
        <is>
          <t>Emergency</t>
        </is>
      </c>
      <c r="D528" t="inlineStr">
        <is>
          <t>F01</t>
        </is>
      </c>
      <c r="E528" t="inlineStr">
        <is>
          <t>D100</t>
        </is>
      </c>
      <c r="G528" s="32" t="n">
        <v>45742.46041666667</v>
      </c>
      <c r="H528" s="32" t="n">
        <v>45742.62222222222</v>
      </c>
      <c r="I528" t="inlineStr">
        <is>
          <t>E11.65</t>
        </is>
      </c>
      <c r="J528" t="inlineStr">
        <is>
          <t>PY03</t>
        </is>
      </c>
      <c r="K528" s="33" t="n">
        <v>5374.59</v>
      </c>
      <c r="L528" s="34" t="n"/>
    </row>
    <row r="529">
      <c r="A529" t="inlineStr">
        <is>
          <t>ENC113652</t>
        </is>
      </c>
      <c r="B529" t="inlineStr">
        <is>
          <t>PT12551</t>
        </is>
      </c>
      <c r="C529" t="inlineStr">
        <is>
          <t>Outpatient</t>
        </is>
      </c>
      <c r="D529" t="inlineStr">
        <is>
          <t>F04</t>
        </is>
      </c>
      <c r="E529" t="inlineStr">
        <is>
          <t>D400</t>
        </is>
      </c>
      <c r="G529" s="32" t="n">
        <v>45742.52083333334</v>
      </c>
      <c r="H529" s="32" t="n">
        <v>45742.55208333334</v>
      </c>
      <c r="I529" t="inlineStr">
        <is>
          <t>J44.1</t>
        </is>
      </c>
      <c r="J529" t="inlineStr">
        <is>
          <t>PY01</t>
        </is>
      </c>
      <c r="K529" s="33" t="n">
        <v>553.3200000000001</v>
      </c>
      <c r="L529" s="34" t="n"/>
    </row>
    <row r="530">
      <c r="A530" t="inlineStr">
        <is>
          <t>ENC113657</t>
        </is>
      </c>
      <c r="B530" t="inlineStr">
        <is>
          <t>PT11012</t>
        </is>
      </c>
      <c r="C530" t="inlineStr">
        <is>
          <t>Outpatient</t>
        </is>
      </c>
      <c r="D530" t="inlineStr">
        <is>
          <t>F04</t>
        </is>
      </c>
      <c r="E530" t="inlineStr">
        <is>
          <t>D450</t>
        </is>
      </c>
      <c r="G530" s="32" t="n">
        <v>45742.58333333334</v>
      </c>
      <c r="H530" s="32" t="n">
        <v>45742.60347222222</v>
      </c>
      <c r="I530" t="inlineStr">
        <is>
          <t>Z00.129</t>
        </is>
      </c>
      <c r="J530" t="inlineStr">
        <is>
          <t>PY07</t>
        </is>
      </c>
      <c r="K530" s="33" t="n">
        <v>476.77</v>
      </c>
      <c r="L530" s="34" t="n"/>
    </row>
    <row r="531">
      <c r="A531" t="inlineStr">
        <is>
          <t>ENC113660</t>
        </is>
      </c>
      <c r="B531" t="inlineStr">
        <is>
          <t>PT11660</t>
        </is>
      </c>
      <c r="C531" t="inlineStr">
        <is>
          <t>Emergency</t>
        </is>
      </c>
      <c r="D531" t="inlineStr">
        <is>
          <t>F01</t>
        </is>
      </c>
      <c r="E531" t="inlineStr">
        <is>
          <t>D100</t>
        </is>
      </c>
      <c r="G531" s="32" t="n">
        <v>45742.64861111111</v>
      </c>
      <c r="H531" s="32" t="n">
        <v>45742.77569444444</v>
      </c>
      <c r="I531" t="inlineStr">
        <is>
          <t>L03.115</t>
        </is>
      </c>
      <c r="J531" t="inlineStr">
        <is>
          <t>PY01</t>
        </is>
      </c>
      <c r="K531" s="33" t="n">
        <v>1491.28</v>
      </c>
      <c r="L531" s="34" t="n"/>
    </row>
    <row r="532">
      <c r="A532" t="inlineStr">
        <is>
          <t>ENC113663</t>
        </is>
      </c>
      <c r="B532" t="inlineStr">
        <is>
          <t>PT11326</t>
        </is>
      </c>
      <c r="C532" t="inlineStr">
        <is>
          <t>Inpatient</t>
        </is>
      </c>
      <c r="D532" t="inlineStr">
        <is>
          <t>F01</t>
        </is>
      </c>
      <c r="E532" t="inlineStr">
        <is>
          <t>D120</t>
        </is>
      </c>
      <c r="F532" t="inlineStr">
        <is>
          <t>Emergency Department</t>
        </is>
      </c>
      <c r="G532" s="32" t="n">
        <v>45742.84791666667</v>
      </c>
      <c r="H532" s="32" t="n">
        <v>45748.57986111111</v>
      </c>
      <c r="I532" t="inlineStr">
        <is>
          <t>I50.9</t>
        </is>
      </c>
      <c r="J532" t="inlineStr">
        <is>
          <t>PY01</t>
        </is>
      </c>
      <c r="K532" s="33" t="n">
        <v>20716.09</v>
      </c>
      <c r="L532" s="34" t="n"/>
    </row>
    <row r="533">
      <c r="A533" t="inlineStr">
        <is>
          <t>ENC113671</t>
        </is>
      </c>
      <c r="B533" t="inlineStr">
        <is>
          <t>PT13810</t>
        </is>
      </c>
      <c r="C533" t="inlineStr">
        <is>
          <t>Inpatient</t>
        </is>
      </c>
      <c r="D533" t="inlineStr">
        <is>
          <t>F01</t>
        </is>
      </c>
      <c r="E533" t="inlineStr">
        <is>
          <t>D170</t>
        </is>
      </c>
      <c r="F533" t="inlineStr">
        <is>
          <t>Emergency Department</t>
        </is>
      </c>
      <c r="G533" s="32" t="n">
        <v>45743.13611111111</v>
      </c>
      <c r="H533" s="32" t="n">
        <v>45746.70625</v>
      </c>
      <c r="I533" t="inlineStr">
        <is>
          <t>O82</t>
        </is>
      </c>
      <c r="J533" t="inlineStr">
        <is>
          <t>PY04</t>
        </is>
      </c>
      <c r="K533" s="33" t="n">
        <v>32611.75</v>
      </c>
      <c r="L533" s="34" t="n"/>
    </row>
    <row r="534">
      <c r="A534" t="inlineStr">
        <is>
          <t>ENC113678</t>
        </is>
      </c>
      <c r="B534" t="inlineStr">
        <is>
          <t>PT12725</t>
        </is>
      </c>
      <c r="C534" t="inlineStr">
        <is>
          <t>Outpatient</t>
        </is>
      </c>
      <c r="D534" t="inlineStr">
        <is>
          <t>F04</t>
        </is>
      </c>
      <c r="E534" t="inlineStr">
        <is>
          <t>D440</t>
        </is>
      </c>
      <c r="G534" s="32" t="n">
        <v>45743.39583333334</v>
      </c>
      <c r="H534" s="32" t="n">
        <v>45743.43125</v>
      </c>
      <c r="I534" t="inlineStr">
        <is>
          <t>E11.9</t>
        </is>
      </c>
      <c r="J534" t="inlineStr">
        <is>
          <t>PY03</t>
        </is>
      </c>
      <c r="K534" s="33" t="n">
        <v>382.32</v>
      </c>
      <c r="L534" s="34" t="n"/>
    </row>
    <row r="535">
      <c r="A535" t="inlineStr">
        <is>
          <t>ENC113684</t>
        </is>
      </c>
      <c r="B535" t="inlineStr">
        <is>
          <t>PT12734</t>
        </is>
      </c>
      <c r="C535" t="inlineStr">
        <is>
          <t>Outpatient</t>
        </is>
      </c>
      <c r="D535" t="inlineStr">
        <is>
          <t>F04</t>
        </is>
      </c>
      <c r="E535" t="inlineStr">
        <is>
          <t>D400</t>
        </is>
      </c>
      <c r="G535" s="32" t="n">
        <v>45743.47916666666</v>
      </c>
      <c r="H535" s="32" t="n">
        <v>45743.49305555555</v>
      </c>
      <c r="I535" t="inlineStr">
        <is>
          <t>J06.9</t>
        </is>
      </c>
      <c r="J535" t="inlineStr">
        <is>
          <t>PY02</t>
        </is>
      </c>
      <c r="K535" s="33" t="n">
        <v>396.85</v>
      </c>
      <c r="L535" s="34" t="n"/>
    </row>
    <row r="536">
      <c r="A536" t="inlineStr">
        <is>
          <t>ENC113689</t>
        </is>
      </c>
      <c r="B536" t="inlineStr">
        <is>
          <t>PT13732</t>
        </is>
      </c>
      <c r="C536" t="inlineStr">
        <is>
          <t>Outpatient</t>
        </is>
      </c>
      <c r="D536" t="inlineStr">
        <is>
          <t>F04</t>
        </is>
      </c>
      <c r="E536" t="inlineStr">
        <is>
          <t>D430</t>
        </is>
      </c>
      <c r="G536" s="32" t="n">
        <v>45743.54166666666</v>
      </c>
      <c r="H536" s="32" t="n">
        <v>45743.67083333333</v>
      </c>
      <c r="I536" t="inlineStr">
        <is>
          <t>Z51.11</t>
        </is>
      </c>
      <c r="J536" t="inlineStr">
        <is>
          <t>PY05</t>
        </is>
      </c>
      <c r="K536" s="33" t="n">
        <v>13663.08</v>
      </c>
      <c r="L536" s="34" t="n"/>
    </row>
    <row r="537">
      <c r="A537" t="inlineStr">
        <is>
          <t>ENC113696</t>
        </is>
      </c>
      <c r="B537" t="inlineStr">
        <is>
          <t>PT13291</t>
        </is>
      </c>
      <c r="C537" t="inlineStr">
        <is>
          <t>Outpatient</t>
        </is>
      </c>
      <c r="D537" t="inlineStr">
        <is>
          <t>F04</t>
        </is>
      </c>
      <c r="E537" t="inlineStr">
        <is>
          <t>D450</t>
        </is>
      </c>
      <c r="G537" s="32" t="n">
        <v>45743.60416666666</v>
      </c>
      <c r="H537" s="32" t="n">
        <v>45743.62847222222</v>
      </c>
      <c r="I537" t="inlineStr">
        <is>
          <t>H66.90</t>
        </is>
      </c>
      <c r="J537" t="inlineStr">
        <is>
          <t>PY03</t>
        </is>
      </c>
      <c r="K537" s="33" t="n">
        <v>453.48</v>
      </c>
      <c r="L537" s="34" t="n"/>
    </row>
    <row r="538">
      <c r="A538" t="inlineStr">
        <is>
          <t>ENC113699</t>
        </is>
      </c>
      <c r="B538" t="inlineStr">
        <is>
          <t>PT12654</t>
        </is>
      </c>
      <c r="C538" t="inlineStr">
        <is>
          <t>Emergency</t>
        </is>
      </c>
      <c r="D538" t="inlineStr">
        <is>
          <t>F01</t>
        </is>
      </c>
      <c r="E538" t="inlineStr">
        <is>
          <t>D100</t>
        </is>
      </c>
      <c r="G538" s="32" t="n">
        <v>45743.65138888889</v>
      </c>
      <c r="H538" s="32" t="n">
        <v>45743.71597222222</v>
      </c>
      <c r="I538" t="inlineStr">
        <is>
          <t>J06.9</t>
        </is>
      </c>
      <c r="J538" t="inlineStr">
        <is>
          <t>PY01</t>
        </is>
      </c>
      <c r="K538" s="33" t="n">
        <v>681.2</v>
      </c>
      <c r="L538" s="34" t="n"/>
    </row>
    <row r="539">
      <c r="A539" t="inlineStr">
        <is>
          <t>ENC113704</t>
        </is>
      </c>
      <c r="B539" t="inlineStr">
        <is>
          <t>PT10093</t>
        </is>
      </c>
      <c r="C539" t="inlineStr">
        <is>
          <t>Inpatient</t>
        </is>
      </c>
      <c r="D539" t="inlineStr">
        <is>
          <t>F01</t>
        </is>
      </c>
      <c r="E539" t="inlineStr">
        <is>
          <t>D120</t>
        </is>
      </c>
      <c r="F539" t="inlineStr">
        <is>
          <t>Emergency Department</t>
        </is>
      </c>
      <c r="G539" s="32" t="n">
        <v>45743.975</v>
      </c>
      <c r="H539" s="32" t="n">
        <v>45747.44722222222</v>
      </c>
      <c r="I539" t="inlineStr">
        <is>
          <t>I50.9</t>
        </is>
      </c>
      <c r="J539" t="inlineStr">
        <is>
          <t>PY02</t>
        </is>
      </c>
      <c r="K539" s="33" t="n">
        <v>17616.05</v>
      </c>
      <c r="L539" s="34" t="n"/>
    </row>
    <row r="540">
      <c r="A540" t="inlineStr">
        <is>
          <t>ENC113712</t>
        </is>
      </c>
      <c r="B540" t="inlineStr">
        <is>
          <t>PT11873</t>
        </is>
      </c>
      <c r="C540" t="inlineStr">
        <is>
          <t>Outpatient</t>
        </is>
      </c>
      <c r="D540" t="inlineStr">
        <is>
          <t>F04</t>
        </is>
      </c>
      <c r="E540" t="inlineStr">
        <is>
          <t>D400</t>
        </is>
      </c>
      <c r="G540" s="32" t="n">
        <v>45744.36458333334</v>
      </c>
      <c r="H540" s="32" t="n">
        <v>45744.38263888889</v>
      </c>
      <c r="I540" t="inlineStr">
        <is>
          <t>J06.9</t>
        </is>
      </c>
      <c r="J540" t="inlineStr">
        <is>
          <t>PY07</t>
        </is>
      </c>
      <c r="K540" s="33" t="n">
        <v>176.05</v>
      </c>
      <c r="L540" s="34" t="n"/>
    </row>
    <row r="541">
      <c r="A541" t="inlineStr">
        <is>
          <t>ENC113720</t>
        </is>
      </c>
      <c r="B541" t="inlineStr">
        <is>
          <t>PT13425</t>
        </is>
      </c>
      <c r="C541" t="inlineStr">
        <is>
          <t>Outpatient</t>
        </is>
      </c>
      <c r="D541" t="inlineStr">
        <is>
          <t>F04</t>
        </is>
      </c>
      <c r="E541" t="inlineStr">
        <is>
          <t>D420</t>
        </is>
      </c>
      <c r="G541" s="32" t="n">
        <v>45744.45833333334</v>
      </c>
      <c r="H541" s="32" t="n">
        <v>45744.47847222222</v>
      </c>
      <c r="I541" t="inlineStr">
        <is>
          <t>M16.11</t>
        </is>
      </c>
      <c r="J541" t="inlineStr">
        <is>
          <t>PY03</t>
        </is>
      </c>
      <c r="K541" s="33" t="n">
        <v>148.9</v>
      </c>
      <c r="L541" s="34" t="n"/>
    </row>
    <row r="542">
      <c r="A542" t="inlineStr">
        <is>
          <t>ENC113726</t>
        </is>
      </c>
      <c r="B542" t="inlineStr">
        <is>
          <t>PT13169</t>
        </is>
      </c>
      <c r="C542" t="inlineStr">
        <is>
          <t>Emergency</t>
        </is>
      </c>
      <c r="D542" t="inlineStr">
        <is>
          <t>F01</t>
        </is>
      </c>
      <c r="E542" t="inlineStr">
        <is>
          <t>D100</t>
        </is>
      </c>
      <c r="G542" s="32" t="n">
        <v>45744.49930555555</v>
      </c>
      <c r="H542" s="32" t="n">
        <v>45744.57986111111</v>
      </c>
      <c r="I542" t="inlineStr">
        <is>
          <t>S93.401A</t>
        </is>
      </c>
      <c r="J542" t="inlineStr">
        <is>
          <t>PY03</t>
        </is>
      </c>
      <c r="K542" s="33" t="n">
        <v>1616.47</v>
      </c>
      <c r="L542" s="34" t="n"/>
    </row>
    <row r="543">
      <c r="A543" t="inlineStr">
        <is>
          <t>ENC113733</t>
        </is>
      </c>
      <c r="B543" t="inlineStr">
        <is>
          <t>PT12726</t>
        </is>
      </c>
      <c r="C543" t="inlineStr">
        <is>
          <t>Outpatient</t>
        </is>
      </c>
      <c r="D543" t="inlineStr">
        <is>
          <t>F04</t>
        </is>
      </c>
      <c r="E543" t="inlineStr">
        <is>
          <t>D400</t>
        </is>
      </c>
      <c r="G543" s="32" t="n">
        <v>45744.55208333334</v>
      </c>
      <c r="H543" s="32" t="n">
        <v>45744.57569444444</v>
      </c>
      <c r="I543" t="inlineStr">
        <is>
          <t>Z00.00</t>
        </is>
      </c>
      <c r="J543" t="inlineStr">
        <is>
          <t>PY01</t>
        </is>
      </c>
      <c r="K543" s="33" t="n">
        <v>224.91</v>
      </c>
      <c r="L543" s="34" t="n"/>
    </row>
    <row r="544">
      <c r="A544" t="inlineStr">
        <is>
          <t>ENC113737</t>
        </is>
      </c>
      <c r="B544" t="inlineStr">
        <is>
          <t>PT10817</t>
        </is>
      </c>
      <c r="C544" t="inlineStr">
        <is>
          <t>Emergency</t>
        </is>
      </c>
      <c r="D544" t="inlineStr">
        <is>
          <t>F02</t>
        </is>
      </c>
      <c r="E544" t="inlineStr">
        <is>
          <t>D200</t>
        </is>
      </c>
      <c r="G544" s="32" t="n">
        <v>45744.57847222222</v>
      </c>
      <c r="H544" s="32" t="n">
        <v>45744.67013888889</v>
      </c>
      <c r="I544" t="inlineStr">
        <is>
          <t>G43.909</t>
        </is>
      </c>
      <c r="J544" t="inlineStr">
        <is>
          <t>PY03</t>
        </is>
      </c>
      <c r="K544" s="33" t="n">
        <v>1098.93</v>
      </c>
      <c r="L544" s="34" t="n"/>
    </row>
    <row r="545">
      <c r="A545" t="inlineStr">
        <is>
          <t>ENC113730</t>
        </is>
      </c>
      <c r="B545" t="inlineStr">
        <is>
          <t>PT10040</t>
        </is>
      </c>
      <c r="C545" t="inlineStr">
        <is>
          <t>Inpatient</t>
        </is>
      </c>
      <c r="D545" t="inlineStr">
        <is>
          <t>F01</t>
        </is>
      </c>
      <c r="E545" t="inlineStr">
        <is>
          <t>D110</t>
        </is>
      </c>
      <c r="F545" t="inlineStr">
        <is>
          <t>Emergency Department</t>
        </is>
      </c>
      <c r="G545" s="32" t="n">
        <v>45744.63055555556</v>
      </c>
      <c r="H545" s="32" t="n">
        <v>45748.50277777778</v>
      </c>
      <c r="I545" t="inlineStr">
        <is>
          <t>E86.0</t>
        </is>
      </c>
      <c r="J545" t="inlineStr">
        <is>
          <t>PY01</t>
        </is>
      </c>
      <c r="K545" s="33" t="n">
        <v>11750.21</v>
      </c>
      <c r="L545" s="34" t="n"/>
    </row>
    <row r="546">
      <c r="A546" t="inlineStr">
        <is>
          <t>ENC113741</t>
        </is>
      </c>
      <c r="B546" t="inlineStr">
        <is>
          <t>PT11941</t>
        </is>
      </c>
      <c r="C546" t="inlineStr">
        <is>
          <t>Observation</t>
        </is>
      </c>
      <c r="D546" t="inlineStr">
        <is>
          <t>F03</t>
        </is>
      </c>
      <c r="E546" t="inlineStr">
        <is>
          <t>D310</t>
        </is>
      </c>
      <c r="F546" t="inlineStr">
        <is>
          <t>Emergency Department</t>
        </is>
      </c>
      <c r="G546" s="32" t="n">
        <v>45744.78263888889</v>
      </c>
      <c r="H546" s="32" t="n">
        <v>45745.59652777778</v>
      </c>
      <c r="I546" t="inlineStr">
        <is>
          <t>I50.9</t>
        </is>
      </c>
      <c r="J546" t="inlineStr">
        <is>
          <t>PY01</t>
        </is>
      </c>
      <c r="K546" s="33" t="n">
        <v>5897.08</v>
      </c>
      <c r="L546" s="34" t="n"/>
    </row>
    <row r="547">
      <c r="A547" t="inlineStr">
        <is>
          <t>ENC113751</t>
        </is>
      </c>
      <c r="B547" t="inlineStr">
        <is>
          <t>PT13954</t>
        </is>
      </c>
      <c r="C547" t="inlineStr">
        <is>
          <t>Emergency</t>
        </is>
      </c>
      <c r="D547" t="inlineStr">
        <is>
          <t>F02</t>
        </is>
      </c>
      <c r="E547" t="inlineStr">
        <is>
          <t>D200</t>
        </is>
      </c>
      <c r="G547" s="32" t="n">
        <v>45745.06944444445</v>
      </c>
      <c r="H547" s="32" t="n">
        <v>45745.17361111111</v>
      </c>
      <c r="I547" t="inlineStr">
        <is>
          <t>M54.50</t>
        </is>
      </c>
      <c r="J547" t="inlineStr">
        <is>
          <t>PY05</t>
        </is>
      </c>
      <c r="K547" s="33" t="n">
        <v>1141.25</v>
      </c>
      <c r="L547" s="34" t="n"/>
    </row>
    <row r="548">
      <c r="A548" t="inlineStr">
        <is>
          <t>ENC113757</t>
        </is>
      </c>
      <c r="B548" t="inlineStr">
        <is>
          <t>PT12049</t>
        </is>
      </c>
      <c r="C548" t="inlineStr">
        <is>
          <t>Observation</t>
        </is>
      </c>
      <c r="D548" t="inlineStr">
        <is>
          <t>F03</t>
        </is>
      </c>
      <c r="E548" t="inlineStr">
        <is>
          <t>D310</t>
        </is>
      </c>
      <c r="F548" t="inlineStr">
        <is>
          <t>Direct Admit</t>
        </is>
      </c>
      <c r="G548" s="32" t="n">
        <v>45745.52222222222</v>
      </c>
      <c r="H548" s="32" t="n">
        <v>45746.37708333333</v>
      </c>
      <c r="I548" t="inlineStr">
        <is>
          <t>I50.9</t>
        </is>
      </c>
      <c r="J548" t="inlineStr">
        <is>
          <t>PY01</t>
        </is>
      </c>
      <c r="K548" s="33" t="n">
        <v>7532.88</v>
      </c>
      <c r="L548" s="34" t="n"/>
    </row>
    <row r="549">
      <c r="A549" t="inlineStr">
        <is>
          <t>ENC113762</t>
        </is>
      </c>
      <c r="B549" t="inlineStr">
        <is>
          <t>PT11386</t>
        </is>
      </c>
      <c r="C549" t="inlineStr">
        <is>
          <t>Emergency</t>
        </is>
      </c>
      <c r="D549" t="inlineStr">
        <is>
          <t>F01</t>
        </is>
      </c>
      <c r="E549" t="inlineStr">
        <is>
          <t>D100</t>
        </is>
      </c>
      <c r="G549" s="32" t="n">
        <v>45745.72430555556</v>
      </c>
      <c r="H549" s="32" t="n">
        <v>45745.85486111111</v>
      </c>
      <c r="I549" t="inlineStr">
        <is>
          <t>G40.909</t>
        </is>
      </c>
      <c r="J549" t="inlineStr">
        <is>
          <t>PY06</t>
        </is>
      </c>
      <c r="K549" s="33" t="n">
        <v>2932.26</v>
      </c>
      <c r="L549" s="34" t="n"/>
    </row>
    <row r="550">
      <c r="A550" t="inlineStr">
        <is>
          <t>ENC113767</t>
        </is>
      </c>
      <c r="B550" t="inlineStr">
        <is>
          <t>PT11001</t>
        </is>
      </c>
      <c r="C550" t="inlineStr">
        <is>
          <t>Inpatient</t>
        </is>
      </c>
      <c r="D550" t="inlineStr">
        <is>
          <t>F01</t>
        </is>
      </c>
      <c r="E550" t="inlineStr">
        <is>
          <t>D160</t>
        </is>
      </c>
      <c r="F550" t="inlineStr">
        <is>
          <t>Direct Admit</t>
        </is>
      </c>
      <c r="G550" s="32" t="n">
        <v>45745.83263888889</v>
      </c>
      <c r="H550" s="32" t="n">
        <v>45749.55902777778</v>
      </c>
      <c r="I550" t="inlineStr">
        <is>
          <t>I63.9</t>
        </is>
      </c>
      <c r="J550" t="inlineStr">
        <is>
          <t>PY05</t>
        </is>
      </c>
      <c r="K550" s="33" t="n">
        <v>32435.36</v>
      </c>
      <c r="L550" s="34" t="n"/>
    </row>
    <row r="551">
      <c r="A551" t="inlineStr">
        <is>
          <t>ENC113771</t>
        </is>
      </c>
      <c r="B551" t="inlineStr">
        <is>
          <t>PT11776</t>
        </is>
      </c>
      <c r="C551" t="inlineStr">
        <is>
          <t>Inpatient</t>
        </is>
      </c>
      <c r="D551" t="inlineStr">
        <is>
          <t>F01</t>
        </is>
      </c>
      <c r="E551" t="inlineStr">
        <is>
          <t>D190</t>
        </is>
      </c>
      <c r="F551" t="inlineStr">
        <is>
          <t>Emergency Department</t>
        </is>
      </c>
      <c r="G551" s="32" t="n">
        <v>45746.13819444444</v>
      </c>
      <c r="H551" s="32" t="n">
        <v>45749.64722222222</v>
      </c>
      <c r="I551" t="inlineStr">
        <is>
          <t>F32.9</t>
        </is>
      </c>
      <c r="J551" t="inlineStr">
        <is>
          <t>PY01</t>
        </is>
      </c>
      <c r="K551" s="33" t="n">
        <v>10088.08</v>
      </c>
      <c r="L551" s="34" t="n"/>
    </row>
    <row r="552">
      <c r="A552" t="inlineStr">
        <is>
          <t>ENC113777</t>
        </is>
      </c>
      <c r="B552" t="inlineStr">
        <is>
          <t>PT10429</t>
        </is>
      </c>
      <c r="C552" t="inlineStr">
        <is>
          <t>Inpatient</t>
        </is>
      </c>
      <c r="D552" t="inlineStr">
        <is>
          <t>F02</t>
        </is>
      </c>
      <c r="E552" t="inlineStr">
        <is>
          <t>D210</t>
        </is>
      </c>
      <c r="F552" t="inlineStr">
        <is>
          <t>Emergency Department</t>
        </is>
      </c>
      <c r="G552" s="32" t="n">
        <v>45746.75833333333</v>
      </c>
      <c r="H552" s="32" t="n">
        <v>45752.78055555555</v>
      </c>
      <c r="I552" t="inlineStr">
        <is>
          <t>J44.1</t>
        </is>
      </c>
      <c r="J552" t="inlineStr">
        <is>
          <t>PY02</t>
        </is>
      </c>
      <c r="K552" s="33" t="n">
        <v>28846.55</v>
      </c>
      <c r="L552" s="34" t="n"/>
    </row>
    <row r="553">
      <c r="A553" t="inlineStr">
        <is>
          <t>ENC113784</t>
        </is>
      </c>
      <c r="B553" t="inlineStr">
        <is>
          <t>PT11992</t>
        </is>
      </c>
      <c r="C553" t="inlineStr">
        <is>
          <t>Emergency</t>
        </is>
      </c>
      <c r="D553" t="inlineStr">
        <is>
          <t>F02</t>
        </is>
      </c>
      <c r="E553" t="inlineStr">
        <is>
          <t>D200</t>
        </is>
      </c>
      <c r="G553" s="32" t="n">
        <v>45747.16041666667</v>
      </c>
      <c r="H553" s="32" t="n">
        <v>45747.25347222222</v>
      </c>
      <c r="I553" t="inlineStr">
        <is>
          <t>R10.9</t>
        </is>
      </c>
      <c r="J553" t="inlineStr">
        <is>
          <t>PY07</t>
        </is>
      </c>
      <c r="K553" s="33" t="n">
        <v>1214.32</v>
      </c>
      <c r="L553" s="34" t="n"/>
    </row>
    <row r="554">
      <c r="A554" t="inlineStr">
        <is>
          <t>ENC113790</t>
        </is>
      </c>
      <c r="B554" t="inlineStr">
        <is>
          <t>PT11376</t>
        </is>
      </c>
      <c r="C554" t="inlineStr">
        <is>
          <t>Outpatient</t>
        </is>
      </c>
      <c r="D554" t="inlineStr">
        <is>
          <t>F04</t>
        </is>
      </c>
      <c r="E554" t="inlineStr">
        <is>
          <t>D400</t>
        </is>
      </c>
      <c r="G554" s="32" t="n">
        <v>45747.41666666666</v>
      </c>
      <c r="H554" s="32" t="n">
        <v>45747.44444444445</v>
      </c>
      <c r="I554" t="inlineStr">
        <is>
          <t>I10</t>
        </is>
      </c>
      <c r="J554" t="inlineStr">
        <is>
          <t>PY01</t>
        </is>
      </c>
      <c r="K554" s="33" t="n">
        <v>333.36</v>
      </c>
      <c r="L554" s="34" t="n"/>
    </row>
    <row r="555">
      <c r="A555" t="inlineStr">
        <is>
          <t>ENC113794</t>
        </is>
      </c>
      <c r="B555" t="inlineStr">
        <is>
          <t>PT10087</t>
        </is>
      </c>
      <c r="C555" t="inlineStr">
        <is>
          <t>Outpatient</t>
        </is>
      </c>
      <c r="D555" t="inlineStr">
        <is>
          <t>F04</t>
        </is>
      </c>
      <c r="E555" t="inlineStr">
        <is>
          <t>D450</t>
        </is>
      </c>
      <c r="G555" s="32" t="n">
        <v>45747.4375</v>
      </c>
      <c r="H555" s="32" t="n">
        <v>45747.45</v>
      </c>
      <c r="I555" t="inlineStr">
        <is>
          <t>H66.90</t>
        </is>
      </c>
      <c r="J555" t="inlineStr">
        <is>
          <t>PY05</t>
        </is>
      </c>
      <c r="K555" s="33" t="n">
        <v>188.57</v>
      </c>
      <c r="L555" s="34" t="n"/>
    </row>
    <row r="556">
      <c r="A556" t="inlineStr">
        <is>
          <t>ENC113800</t>
        </is>
      </c>
      <c r="B556" t="inlineStr">
        <is>
          <t>PT13853</t>
        </is>
      </c>
      <c r="C556" t="inlineStr">
        <is>
          <t>Outpatient</t>
        </is>
      </c>
      <c r="D556" t="inlineStr">
        <is>
          <t>F04</t>
        </is>
      </c>
      <c r="E556" t="inlineStr">
        <is>
          <t>D430</t>
        </is>
      </c>
      <c r="G556" s="32" t="n">
        <v>45747.5</v>
      </c>
      <c r="H556" s="32" t="n">
        <v>45747.69097222222</v>
      </c>
      <c r="I556" t="inlineStr">
        <is>
          <t>Z51.11</t>
        </is>
      </c>
      <c r="J556" t="inlineStr">
        <is>
          <t>PY02</t>
        </is>
      </c>
      <c r="K556" s="33" t="n">
        <v>12854.34</v>
      </c>
      <c r="L556" s="34" t="n"/>
    </row>
    <row r="557">
      <c r="A557" t="inlineStr">
        <is>
          <t>ENC113806</t>
        </is>
      </c>
      <c r="B557" t="inlineStr">
        <is>
          <t>PT11627</t>
        </is>
      </c>
      <c r="C557" t="inlineStr">
        <is>
          <t>Outpatient</t>
        </is>
      </c>
      <c r="D557" t="inlineStr">
        <is>
          <t>F04</t>
        </is>
      </c>
      <c r="E557" t="inlineStr">
        <is>
          <t>D430</t>
        </is>
      </c>
      <c r="G557" s="32" t="n">
        <v>45747.57291666666</v>
      </c>
      <c r="H557" s="32" t="n">
        <v>45747.72986111111</v>
      </c>
      <c r="I557" t="inlineStr">
        <is>
          <t>Z51.11</t>
        </is>
      </c>
      <c r="J557" t="inlineStr">
        <is>
          <t>PY04</t>
        </is>
      </c>
      <c r="K557" s="33" t="n">
        <v>14512</v>
      </c>
      <c r="L557" s="34" t="n"/>
    </row>
    <row r="558">
      <c r="A558" t="inlineStr">
        <is>
          <t>ENC113811</t>
        </is>
      </c>
      <c r="B558" t="inlineStr">
        <is>
          <t>PT10271</t>
        </is>
      </c>
      <c r="C558" t="inlineStr">
        <is>
          <t>Emergency</t>
        </is>
      </c>
      <c r="D558" t="inlineStr">
        <is>
          <t>F01</t>
        </is>
      </c>
      <c r="E558" t="inlineStr">
        <is>
          <t>D100</t>
        </is>
      </c>
      <c r="G558" s="32" t="n">
        <v>45747.75763888889</v>
      </c>
      <c r="H558" s="32" t="n">
        <v>45747.88888888889</v>
      </c>
      <c r="I558" t="inlineStr">
        <is>
          <t>G40.909</t>
        </is>
      </c>
      <c r="J558" t="inlineStr">
        <is>
          <t>PY04</t>
        </is>
      </c>
      <c r="K558" s="33" t="n">
        <v>7476.97</v>
      </c>
      <c r="L558" s="34" t="n"/>
    </row>
    <row r="559">
      <c r="A559" t="inlineStr">
        <is>
          <t>ENC113817</t>
        </is>
      </c>
      <c r="B559" t="inlineStr">
        <is>
          <t>PT13316</t>
        </is>
      </c>
      <c r="C559" t="inlineStr">
        <is>
          <t>Outpatient</t>
        </is>
      </c>
      <c r="D559" t="inlineStr">
        <is>
          <t>F04</t>
        </is>
      </c>
      <c r="E559" t="inlineStr">
        <is>
          <t>D450</t>
        </is>
      </c>
      <c r="G559" s="32" t="n">
        <v>45748.35416666666</v>
      </c>
      <c r="H559" s="32" t="n">
        <v>45748.36875</v>
      </c>
      <c r="I559" t="inlineStr">
        <is>
          <t>Z00.129</t>
        </is>
      </c>
      <c r="J559" t="inlineStr">
        <is>
          <t>PY04</t>
        </is>
      </c>
      <c r="K559" s="33" t="n">
        <v>394.62</v>
      </c>
      <c r="L559" s="34" t="n"/>
    </row>
    <row r="560">
      <c r="A560" t="inlineStr">
        <is>
          <t>ENC113822</t>
        </is>
      </c>
      <c r="B560" t="inlineStr">
        <is>
          <t>PT11026</t>
        </is>
      </c>
      <c r="C560" t="inlineStr">
        <is>
          <t>Outpatient</t>
        </is>
      </c>
      <c r="D560" t="inlineStr">
        <is>
          <t>F04</t>
        </is>
      </c>
      <c r="E560" t="inlineStr">
        <is>
          <t>D440</t>
        </is>
      </c>
      <c r="G560" s="32" t="n">
        <v>45748.41666666666</v>
      </c>
      <c r="H560" s="32" t="n">
        <v>45748.44444444445</v>
      </c>
      <c r="I560" t="inlineStr">
        <is>
          <t>E11.65</t>
        </is>
      </c>
      <c r="J560" t="inlineStr">
        <is>
          <t>PY01</t>
        </is>
      </c>
      <c r="K560" s="33" t="n">
        <v>232.73</v>
      </c>
      <c r="L560" s="34" t="n"/>
    </row>
    <row r="561">
      <c r="A561" t="inlineStr">
        <is>
          <t>ENC113830</t>
        </is>
      </c>
      <c r="B561" t="inlineStr">
        <is>
          <t>PT10407</t>
        </is>
      </c>
      <c r="C561" t="inlineStr">
        <is>
          <t>Emergency</t>
        </is>
      </c>
      <c r="D561" t="inlineStr">
        <is>
          <t>F01</t>
        </is>
      </c>
      <c r="E561" t="inlineStr">
        <is>
          <t>D100</t>
        </is>
      </c>
      <c r="G561" s="32" t="n">
        <v>45748.53819444445</v>
      </c>
      <c r="H561" s="32" t="n">
        <v>45748.69097222222</v>
      </c>
      <c r="I561" t="inlineStr">
        <is>
          <t>S06.0X0A</t>
        </is>
      </c>
      <c r="J561" t="inlineStr">
        <is>
          <t>PY01</t>
        </is>
      </c>
      <c r="K561" s="33" t="n">
        <v>3440.85</v>
      </c>
      <c r="L561" s="34" t="n"/>
    </row>
    <row r="562">
      <c r="A562" t="inlineStr">
        <is>
          <t>ENC113829</t>
        </is>
      </c>
      <c r="B562" t="inlineStr">
        <is>
          <t>PT13053</t>
        </is>
      </c>
      <c r="C562" t="inlineStr">
        <is>
          <t>Inpatient</t>
        </is>
      </c>
      <c r="D562" t="inlineStr">
        <is>
          <t>F01</t>
        </is>
      </c>
      <c r="E562" t="inlineStr">
        <is>
          <t>D160</t>
        </is>
      </c>
      <c r="F562" t="inlineStr">
        <is>
          <t>Emergency Department</t>
        </is>
      </c>
      <c r="G562" s="32" t="n">
        <v>45748.61736111111</v>
      </c>
      <c r="H562" s="32" t="n">
        <v>45759.61111111111</v>
      </c>
      <c r="I562" t="inlineStr">
        <is>
          <t>I63.9</t>
        </is>
      </c>
      <c r="J562" t="inlineStr">
        <is>
          <t>PY02</t>
        </is>
      </c>
      <c r="K562" s="33" t="n">
        <v>57212.01</v>
      </c>
      <c r="L562" s="34" t="n"/>
    </row>
    <row r="563">
      <c r="A563" t="inlineStr">
        <is>
          <t>ENC113839</t>
        </is>
      </c>
      <c r="B563" t="inlineStr">
        <is>
          <t>PT11600</t>
        </is>
      </c>
      <c r="C563" t="inlineStr">
        <is>
          <t>Inpatient</t>
        </is>
      </c>
      <c r="D563" t="inlineStr">
        <is>
          <t>F01</t>
        </is>
      </c>
      <c r="E563" t="inlineStr">
        <is>
          <t>D111</t>
        </is>
      </c>
      <c r="F563" t="inlineStr">
        <is>
          <t>Direct Admit</t>
        </is>
      </c>
      <c r="G563" s="32" t="n">
        <v>45748.69097222222</v>
      </c>
      <c r="H563" s="32" t="n">
        <v>45753.72152777778</v>
      </c>
      <c r="I563" t="inlineStr">
        <is>
          <t>J18.9</t>
        </is>
      </c>
      <c r="J563" t="inlineStr">
        <is>
          <t>PY03</t>
        </is>
      </c>
      <c r="K563" s="33" t="n">
        <v>33353.92</v>
      </c>
      <c r="L563" s="34" t="n"/>
    </row>
    <row r="564">
      <c r="A564" t="inlineStr">
        <is>
          <t>ENC113844</t>
        </is>
      </c>
      <c r="B564" t="inlineStr">
        <is>
          <t>PT13519</t>
        </is>
      </c>
      <c r="C564" t="inlineStr">
        <is>
          <t>Emergency</t>
        </is>
      </c>
      <c r="D564" t="inlineStr">
        <is>
          <t>F01</t>
        </is>
      </c>
      <c r="E564" t="inlineStr">
        <is>
          <t>D100</t>
        </is>
      </c>
      <c r="G564" s="32" t="n">
        <v>45748.86666666667</v>
      </c>
      <c r="H564" s="32" t="n">
        <v>45748.97569444445</v>
      </c>
      <c r="I564" t="inlineStr">
        <is>
          <t>R10.9</t>
        </is>
      </c>
      <c r="J564" t="inlineStr">
        <is>
          <t>PY05</t>
        </is>
      </c>
      <c r="K564" s="33" t="n">
        <v>1926.11</v>
      </c>
      <c r="L564" s="34" t="n"/>
    </row>
    <row r="565">
      <c r="A565" t="inlineStr">
        <is>
          <t>ENC113851</t>
        </is>
      </c>
      <c r="B565" t="inlineStr">
        <is>
          <t>PT11064</t>
        </is>
      </c>
      <c r="C565" t="inlineStr">
        <is>
          <t>Outpatient</t>
        </is>
      </c>
      <c r="D565" t="inlineStr">
        <is>
          <t>F04</t>
        </is>
      </c>
      <c r="E565" t="inlineStr">
        <is>
          <t>D400</t>
        </is>
      </c>
      <c r="G565" s="32" t="n">
        <v>45749.36458333334</v>
      </c>
      <c r="H565" s="32" t="n">
        <v>45749.37847222222</v>
      </c>
      <c r="I565" t="inlineStr">
        <is>
          <t>Z23</t>
        </is>
      </c>
      <c r="J565" t="inlineStr">
        <is>
          <t>PY04</t>
        </is>
      </c>
      <c r="K565" s="33" t="n">
        <v>110.95</v>
      </c>
      <c r="L565" s="34" t="n"/>
    </row>
    <row r="566">
      <c r="A566" t="inlineStr">
        <is>
          <t>ENC113857</t>
        </is>
      </c>
      <c r="B566" t="inlineStr">
        <is>
          <t>PT11372</t>
        </is>
      </c>
      <c r="C566" t="inlineStr">
        <is>
          <t>Emergency</t>
        </is>
      </c>
      <c r="D566" t="inlineStr">
        <is>
          <t>F03</t>
        </is>
      </c>
      <c r="E566" t="inlineStr">
        <is>
          <t>D300</t>
        </is>
      </c>
      <c r="G566" s="32" t="n">
        <v>45749.49652777778</v>
      </c>
      <c r="H566" s="32" t="n">
        <v>45749.64097222222</v>
      </c>
      <c r="I566" t="inlineStr">
        <is>
          <t>R10.9</t>
        </is>
      </c>
      <c r="J566" t="inlineStr">
        <is>
          <t>PY02</t>
        </is>
      </c>
      <c r="K566" s="33" t="n">
        <v>1746.41</v>
      </c>
      <c r="L566" s="34" t="n"/>
    </row>
    <row r="567">
      <c r="A567" t="inlineStr">
        <is>
          <t>ENC113864</t>
        </is>
      </c>
      <c r="B567" t="inlineStr">
        <is>
          <t>PT13437</t>
        </is>
      </c>
      <c r="C567" t="inlineStr">
        <is>
          <t>Outpatient</t>
        </is>
      </c>
      <c r="D567" t="inlineStr">
        <is>
          <t>F04</t>
        </is>
      </c>
      <c r="E567" t="inlineStr">
        <is>
          <t>D440</t>
        </is>
      </c>
      <c r="G567" s="32" t="n">
        <v>45749.5625</v>
      </c>
      <c r="H567" s="32" t="n">
        <v>45749.575</v>
      </c>
      <c r="I567" t="inlineStr">
        <is>
          <t>E11.9</t>
        </is>
      </c>
      <c r="J567" t="inlineStr">
        <is>
          <t>PY05</t>
        </is>
      </c>
      <c r="K567" s="33" t="n">
        <v>306.05</v>
      </c>
      <c r="L567" s="34" t="n"/>
    </row>
    <row r="568">
      <c r="A568" t="inlineStr">
        <is>
          <t>ENC113860</t>
        </is>
      </c>
      <c r="B568" t="inlineStr">
        <is>
          <t>PT12526</t>
        </is>
      </c>
      <c r="C568" t="inlineStr">
        <is>
          <t>Inpatient</t>
        </is>
      </c>
      <c r="D568" t="inlineStr">
        <is>
          <t>F01</t>
        </is>
      </c>
      <c r="E568" t="inlineStr">
        <is>
          <t>D160</t>
        </is>
      </c>
      <c r="F568" t="inlineStr">
        <is>
          <t>Emergency Department</t>
        </is>
      </c>
      <c r="G568" s="32" t="n">
        <v>45749.65347222222</v>
      </c>
      <c r="H568" s="32" t="n">
        <v>45757.39375</v>
      </c>
      <c r="I568" t="inlineStr">
        <is>
          <t>I63.9</t>
        </is>
      </c>
      <c r="J568" t="inlineStr">
        <is>
          <t>PY02</t>
        </is>
      </c>
      <c r="K568" s="33" t="n">
        <v>46491.99</v>
      </c>
      <c r="L568" s="34" t="n"/>
    </row>
    <row r="569">
      <c r="A569" t="inlineStr">
        <is>
          <t>ENC113868</t>
        </is>
      </c>
      <c r="B569" t="inlineStr">
        <is>
          <t>PT11644</t>
        </is>
      </c>
      <c r="C569" t="inlineStr">
        <is>
          <t>Inpatient</t>
        </is>
      </c>
      <c r="D569" t="inlineStr">
        <is>
          <t>F01</t>
        </is>
      </c>
      <c r="E569" t="inlineStr">
        <is>
          <t>D140</t>
        </is>
      </c>
      <c r="F569" t="inlineStr">
        <is>
          <t>Emergency Department</t>
        </is>
      </c>
      <c r="G569" s="32" t="n">
        <v>45749.72152777778</v>
      </c>
      <c r="H569" s="32" t="n">
        <v>45754.57430555556</v>
      </c>
      <c r="I569" t="inlineStr">
        <is>
          <t>S72.001A</t>
        </is>
      </c>
      <c r="J569" t="inlineStr">
        <is>
          <t>PY06</t>
        </is>
      </c>
      <c r="K569" s="33" t="n">
        <v>82008.28</v>
      </c>
      <c r="L569" s="34" t="n"/>
    </row>
    <row r="570">
      <c r="A570" t="inlineStr">
        <is>
          <t>ENC113876</t>
        </is>
      </c>
      <c r="B570" t="inlineStr">
        <is>
          <t>PT10141</t>
        </is>
      </c>
      <c r="C570" t="inlineStr">
        <is>
          <t>Observation</t>
        </is>
      </c>
      <c r="D570" t="inlineStr">
        <is>
          <t>F02</t>
        </is>
      </c>
      <c r="E570" t="inlineStr">
        <is>
          <t>D210</t>
        </is>
      </c>
      <c r="F570" t="inlineStr">
        <is>
          <t>Emergency Department</t>
        </is>
      </c>
      <c r="G570" s="32" t="n">
        <v>45749.95486111111</v>
      </c>
      <c r="H570" s="32" t="n">
        <v>45750.8875</v>
      </c>
      <c r="I570" t="inlineStr">
        <is>
          <t>R07.9</t>
        </is>
      </c>
      <c r="J570" t="inlineStr">
        <is>
          <t>PY01</t>
        </is>
      </c>
      <c r="K570" s="33" t="n">
        <v>12135.29</v>
      </c>
      <c r="L570" s="34" t="n"/>
    </row>
    <row r="571">
      <c r="A571" t="inlineStr">
        <is>
          <t>ENC113885</t>
        </is>
      </c>
      <c r="B571" t="inlineStr">
        <is>
          <t>PT10341</t>
        </is>
      </c>
      <c r="C571" t="inlineStr">
        <is>
          <t>Inpatient</t>
        </is>
      </c>
      <c r="D571" t="inlineStr">
        <is>
          <t>F01</t>
        </is>
      </c>
      <c r="E571" t="inlineStr">
        <is>
          <t>D170</t>
        </is>
      </c>
      <c r="F571" t="inlineStr">
        <is>
          <t>Direct Admit</t>
        </is>
      </c>
      <c r="G571" s="32" t="n">
        <v>45750.12361111111</v>
      </c>
      <c r="H571" s="32" t="n">
        <v>45752.45069444444</v>
      </c>
      <c r="I571" t="inlineStr">
        <is>
          <t>O80</t>
        </is>
      </c>
      <c r="J571" t="inlineStr">
        <is>
          <t>PY04</t>
        </is>
      </c>
      <c r="K571" s="33" t="n">
        <v>18539.73</v>
      </c>
      <c r="L571" s="34" t="n"/>
    </row>
    <row r="572">
      <c r="A572" t="inlineStr">
        <is>
          <t>ENC113890</t>
        </is>
      </c>
      <c r="B572" t="inlineStr">
        <is>
          <t>PT11234</t>
        </is>
      </c>
      <c r="C572" t="inlineStr">
        <is>
          <t>Outpatient</t>
        </is>
      </c>
      <c r="D572" t="inlineStr">
        <is>
          <t>F04</t>
        </is>
      </c>
      <c r="E572" t="inlineStr">
        <is>
          <t>D440</t>
        </is>
      </c>
      <c r="G572" s="32" t="n">
        <v>45750.35416666666</v>
      </c>
      <c r="H572" s="32" t="n">
        <v>45750.37430555555</v>
      </c>
      <c r="I572" t="inlineStr">
        <is>
          <t>E11.9</t>
        </is>
      </c>
      <c r="J572" t="inlineStr">
        <is>
          <t>PY05</t>
        </is>
      </c>
      <c r="K572" s="33" t="n">
        <v>366.19</v>
      </c>
      <c r="L572" s="34" t="n"/>
    </row>
    <row r="573">
      <c r="A573" t="inlineStr">
        <is>
          <t>ENC113895</t>
        </is>
      </c>
      <c r="B573" t="inlineStr">
        <is>
          <t>PT13225</t>
        </is>
      </c>
      <c r="C573" t="inlineStr">
        <is>
          <t>Outpatient</t>
        </is>
      </c>
      <c r="D573" t="inlineStr">
        <is>
          <t>F04</t>
        </is>
      </c>
      <c r="E573" t="inlineStr">
        <is>
          <t>D400</t>
        </is>
      </c>
      <c r="G573" s="32" t="n">
        <v>45750.46875</v>
      </c>
      <c r="H573" s="32" t="n">
        <v>45750.49097222222</v>
      </c>
      <c r="I573" t="inlineStr">
        <is>
          <t>Z00.00</t>
        </is>
      </c>
      <c r="J573" t="inlineStr">
        <is>
          <t>PY05</t>
        </is>
      </c>
      <c r="K573" s="33" t="n">
        <v>511.55</v>
      </c>
      <c r="L573" s="34" t="n"/>
    </row>
    <row r="574">
      <c r="A574" t="inlineStr">
        <is>
          <t>ENC113902</t>
        </is>
      </c>
      <c r="B574" t="inlineStr">
        <is>
          <t>PT12358</t>
        </is>
      </c>
      <c r="C574" t="inlineStr">
        <is>
          <t>Outpatient</t>
        </is>
      </c>
      <c r="D574" t="inlineStr">
        <is>
          <t>F04</t>
        </is>
      </c>
      <c r="E574" t="inlineStr">
        <is>
          <t>D440</t>
        </is>
      </c>
      <c r="G574" s="32" t="n">
        <v>45750.5625</v>
      </c>
      <c r="H574" s="32" t="n">
        <v>45750.57638888889</v>
      </c>
      <c r="I574" t="inlineStr">
        <is>
          <t>E11.9</t>
        </is>
      </c>
      <c r="J574" t="inlineStr">
        <is>
          <t>PY04</t>
        </is>
      </c>
      <c r="K574" s="33" t="n">
        <v>260.59</v>
      </c>
      <c r="L574" s="34" t="n"/>
    </row>
    <row r="575">
      <c r="A575" t="inlineStr">
        <is>
          <t>ENC113906</t>
        </is>
      </c>
      <c r="B575" t="inlineStr">
        <is>
          <t>PT13014</t>
        </is>
      </c>
      <c r="C575" t="inlineStr">
        <is>
          <t>Emergency</t>
        </is>
      </c>
      <c r="D575" t="inlineStr">
        <is>
          <t>F01</t>
        </is>
      </c>
      <c r="E575" t="inlineStr">
        <is>
          <t>D100</t>
        </is>
      </c>
      <c r="G575" s="32" t="n">
        <v>45750.69652777778</v>
      </c>
      <c r="H575" s="32" t="n">
        <v>45750.89930555555</v>
      </c>
      <c r="I575" t="inlineStr">
        <is>
          <t>F10.239</t>
        </is>
      </c>
      <c r="J575" t="inlineStr">
        <is>
          <t>PY03</t>
        </is>
      </c>
      <c r="K575" s="33" t="n">
        <v>3095.65</v>
      </c>
      <c r="L575" s="34" t="n"/>
    </row>
    <row r="576">
      <c r="A576" t="inlineStr">
        <is>
          <t>ENC113914</t>
        </is>
      </c>
      <c r="B576" t="inlineStr">
        <is>
          <t>PT12084</t>
        </is>
      </c>
      <c r="C576" t="inlineStr">
        <is>
          <t>Emergency</t>
        </is>
      </c>
      <c r="D576" t="inlineStr">
        <is>
          <t>F01</t>
        </is>
      </c>
      <c r="E576" t="inlineStr">
        <is>
          <t>D100</t>
        </is>
      </c>
      <c r="G576" s="32" t="n">
        <v>45750.94305555556</v>
      </c>
      <c r="H576" s="32" t="n">
        <v>45751.07291666666</v>
      </c>
      <c r="I576" t="inlineStr">
        <is>
          <t>N39.0</t>
        </is>
      </c>
      <c r="J576" t="inlineStr">
        <is>
          <t>PY01</t>
        </is>
      </c>
      <c r="K576" s="33" t="n">
        <v>3530.65</v>
      </c>
      <c r="L576" s="34" t="n"/>
    </row>
    <row r="577">
      <c r="A577" t="inlineStr">
        <is>
          <t>ENC113917</t>
        </is>
      </c>
      <c r="B577" t="inlineStr">
        <is>
          <t>PT11070</t>
        </is>
      </c>
      <c r="C577" t="inlineStr">
        <is>
          <t>Inpatient</t>
        </is>
      </c>
      <c r="D577" t="inlineStr">
        <is>
          <t>F01</t>
        </is>
      </c>
      <c r="E577" t="inlineStr">
        <is>
          <t>D140</t>
        </is>
      </c>
      <c r="F577" t="inlineStr">
        <is>
          <t>Elective</t>
        </is>
      </c>
      <c r="G577" s="32" t="n">
        <v>45751.31805555556</v>
      </c>
      <c r="H577" s="32" t="n">
        <v>45755.50694444445</v>
      </c>
      <c r="I577" t="inlineStr">
        <is>
          <t>M17.11</t>
        </is>
      </c>
      <c r="J577" t="inlineStr">
        <is>
          <t>PY04</t>
        </is>
      </c>
      <c r="K577" s="33" t="n">
        <v>82259.63</v>
      </c>
      <c r="L577" s="34" t="n"/>
    </row>
    <row r="578">
      <c r="A578" t="inlineStr">
        <is>
          <t>ENC113922</t>
        </is>
      </c>
      <c r="B578" t="inlineStr">
        <is>
          <t>PT10588</t>
        </is>
      </c>
      <c r="C578" t="inlineStr">
        <is>
          <t>Outpatient</t>
        </is>
      </c>
      <c r="D578" t="inlineStr">
        <is>
          <t>F04</t>
        </is>
      </c>
      <c r="E578" t="inlineStr">
        <is>
          <t>D400</t>
        </is>
      </c>
      <c r="G578" s="32" t="n">
        <v>45751.38541666666</v>
      </c>
      <c r="H578" s="32" t="n">
        <v>45751.40416666667</v>
      </c>
      <c r="I578" t="inlineStr">
        <is>
          <t>Z00.00</t>
        </is>
      </c>
      <c r="J578" t="inlineStr">
        <is>
          <t>PY01</t>
        </is>
      </c>
      <c r="K578" s="33" t="n">
        <v>389.04</v>
      </c>
      <c r="L578" s="34" t="n"/>
    </row>
    <row r="579">
      <c r="A579" t="inlineStr">
        <is>
          <t>ENC113928</t>
        </is>
      </c>
      <c r="B579" t="inlineStr">
        <is>
          <t>PT13326</t>
        </is>
      </c>
      <c r="C579" t="inlineStr">
        <is>
          <t>Outpatient</t>
        </is>
      </c>
      <c r="D579" t="inlineStr">
        <is>
          <t>F04</t>
        </is>
      </c>
      <c r="E579" t="inlineStr">
        <is>
          <t>D400</t>
        </is>
      </c>
      <c r="G579" s="32" t="n">
        <v>45751.53125</v>
      </c>
      <c r="H579" s="32" t="n">
        <v>45751.56597222222</v>
      </c>
      <c r="I579" t="inlineStr">
        <is>
          <t>J06.9</t>
        </is>
      </c>
      <c r="J579" t="inlineStr">
        <is>
          <t>PY04</t>
        </is>
      </c>
      <c r="K579" s="33" t="n">
        <v>328.24</v>
      </c>
      <c r="L579" s="34" t="n"/>
    </row>
    <row r="580">
      <c r="A580" t="inlineStr">
        <is>
          <t>ENC113933</t>
        </is>
      </c>
      <c r="B580" t="inlineStr">
        <is>
          <t>PT11516</t>
        </is>
      </c>
      <c r="C580" t="inlineStr">
        <is>
          <t>Outpatient</t>
        </is>
      </c>
      <c r="D580" t="inlineStr">
        <is>
          <t>F04</t>
        </is>
      </c>
      <c r="E580" t="inlineStr">
        <is>
          <t>D400</t>
        </is>
      </c>
      <c r="G580" s="32" t="n">
        <v>45751.65625</v>
      </c>
      <c r="H580" s="32" t="n">
        <v>45751.68958333333</v>
      </c>
      <c r="I580" t="inlineStr">
        <is>
          <t>J06.9</t>
        </is>
      </c>
      <c r="J580" t="inlineStr">
        <is>
          <t>PY04</t>
        </is>
      </c>
      <c r="K580" s="33" t="n">
        <v>257.28</v>
      </c>
      <c r="L580" s="34" t="n"/>
    </row>
    <row r="581">
      <c r="A581" t="inlineStr">
        <is>
          <t>ENC113940</t>
        </is>
      </c>
      <c r="B581" t="inlineStr">
        <is>
          <t>PT10808</t>
        </is>
      </c>
      <c r="C581" t="inlineStr">
        <is>
          <t>Emergency</t>
        </is>
      </c>
      <c r="D581" t="inlineStr">
        <is>
          <t>F01</t>
        </is>
      </c>
      <c r="E581" t="inlineStr">
        <is>
          <t>D100</t>
        </is>
      </c>
      <c r="G581" s="32" t="n">
        <v>45751.78819444445</v>
      </c>
      <c r="H581" s="32" t="n">
        <v>45751.90416666667</v>
      </c>
      <c r="I581" t="inlineStr">
        <is>
          <t>R10.9</t>
        </is>
      </c>
      <c r="J581" t="inlineStr">
        <is>
          <t>PY01</t>
        </is>
      </c>
      <c r="K581" s="33" t="n">
        <v>3629.32</v>
      </c>
      <c r="L581" s="34" t="n"/>
    </row>
    <row r="582">
      <c r="A582" t="inlineStr">
        <is>
          <t>ENC113945</t>
        </is>
      </c>
      <c r="B582" t="inlineStr">
        <is>
          <t>PT10652</t>
        </is>
      </c>
      <c r="C582" t="inlineStr">
        <is>
          <t>Inpatient</t>
        </is>
      </c>
      <c r="D582" t="inlineStr">
        <is>
          <t>F01</t>
        </is>
      </c>
      <c r="E582" t="inlineStr">
        <is>
          <t>D180</t>
        </is>
      </c>
      <c r="F582" t="inlineStr">
        <is>
          <t>Direct Admit</t>
        </is>
      </c>
      <c r="G582" s="32" t="n">
        <v>45752.30833333333</v>
      </c>
      <c r="H582" s="32" t="n">
        <v>45754.71458333333</v>
      </c>
      <c r="I582" t="inlineStr">
        <is>
          <t>J21.9</t>
        </is>
      </c>
      <c r="J582" t="inlineStr">
        <is>
          <t>PY05</t>
        </is>
      </c>
      <c r="K582" s="33" t="n">
        <v>9663.049999999999</v>
      </c>
      <c r="L582" s="34" t="n"/>
    </row>
    <row r="583">
      <c r="A583" t="inlineStr">
        <is>
          <t>ENC113948</t>
        </is>
      </c>
      <c r="B583" t="inlineStr">
        <is>
          <t>PT13536</t>
        </is>
      </c>
      <c r="C583" t="inlineStr">
        <is>
          <t>Inpatient</t>
        </is>
      </c>
      <c r="D583" t="inlineStr">
        <is>
          <t>F03</t>
        </is>
      </c>
      <c r="E583" t="inlineStr">
        <is>
          <t>D330</t>
        </is>
      </c>
      <c r="F583" t="inlineStr">
        <is>
          <t>Emergency Department</t>
        </is>
      </c>
      <c r="G583" s="32" t="n">
        <v>45752.56319444445</v>
      </c>
      <c r="H583" s="32" t="n">
        <v>45756.72638888889</v>
      </c>
      <c r="I583" t="inlineStr">
        <is>
          <t>K92.2</t>
        </is>
      </c>
      <c r="J583" t="inlineStr">
        <is>
          <t>PY02</t>
        </is>
      </c>
      <c r="K583" s="33" t="n">
        <v>45846.66</v>
      </c>
      <c r="L583" s="34" t="n"/>
    </row>
    <row r="584">
      <c r="A584" t="inlineStr">
        <is>
          <t>ENC113956</t>
        </is>
      </c>
      <c r="B584" t="inlineStr">
        <is>
          <t>PT12445</t>
        </is>
      </c>
      <c r="C584" t="inlineStr">
        <is>
          <t>Inpatient</t>
        </is>
      </c>
      <c r="D584" t="inlineStr">
        <is>
          <t>F01</t>
        </is>
      </c>
      <c r="E584" t="inlineStr">
        <is>
          <t>D110</t>
        </is>
      </c>
      <c r="F584" t="inlineStr">
        <is>
          <t>Emergency Department</t>
        </is>
      </c>
      <c r="G584" s="32" t="n">
        <v>45752.73888888889</v>
      </c>
      <c r="H584" s="32" t="n">
        <v>45756.75763888889</v>
      </c>
      <c r="I584" t="inlineStr">
        <is>
          <t>J18.9</t>
        </is>
      </c>
      <c r="J584" t="inlineStr">
        <is>
          <t>PY01</t>
        </is>
      </c>
      <c r="K584" s="33" t="n">
        <v>18986.33</v>
      </c>
      <c r="L584" s="34" t="n"/>
    </row>
    <row r="585">
      <c r="A585" t="inlineStr">
        <is>
          <t>ENC113962</t>
        </is>
      </c>
      <c r="B585" t="inlineStr">
        <is>
          <t>PT12858</t>
        </is>
      </c>
      <c r="C585" t="inlineStr">
        <is>
          <t>Emergency</t>
        </is>
      </c>
      <c r="D585" t="inlineStr">
        <is>
          <t>F03</t>
        </is>
      </c>
      <c r="E585" t="inlineStr">
        <is>
          <t>D300</t>
        </is>
      </c>
      <c r="G585" s="32" t="n">
        <v>45753.07361111111</v>
      </c>
      <c r="H585" s="32" t="n">
        <v>45753.15555555555</v>
      </c>
      <c r="I585" t="inlineStr">
        <is>
          <t>S93.401A</t>
        </is>
      </c>
      <c r="J585" t="inlineStr">
        <is>
          <t>PY04</t>
        </is>
      </c>
      <c r="K585" s="33" t="n">
        <v>1079.68</v>
      </c>
      <c r="L585" s="34" t="n"/>
    </row>
    <row r="586">
      <c r="A586" t="inlineStr">
        <is>
          <t>ENC113969</t>
        </is>
      </c>
      <c r="B586" t="inlineStr">
        <is>
          <t>PT11227</t>
        </is>
      </c>
      <c r="C586" t="inlineStr">
        <is>
          <t>Emergency</t>
        </is>
      </c>
      <c r="D586" t="inlineStr">
        <is>
          <t>F01</t>
        </is>
      </c>
      <c r="E586" t="inlineStr">
        <is>
          <t>D100</t>
        </is>
      </c>
      <c r="G586" s="32" t="n">
        <v>45753.49097222222</v>
      </c>
      <c r="H586" s="32" t="n">
        <v>45753.69861111111</v>
      </c>
      <c r="I586" t="inlineStr">
        <is>
          <t>R10.9</t>
        </is>
      </c>
      <c r="J586" t="inlineStr">
        <is>
          <t>PY04</t>
        </is>
      </c>
      <c r="K586" s="33" t="n">
        <v>3251.05</v>
      </c>
      <c r="L586" s="34" t="n"/>
    </row>
    <row r="587">
      <c r="A587" t="inlineStr">
        <is>
          <t>ENC113968</t>
        </is>
      </c>
      <c r="B587" t="inlineStr">
        <is>
          <t>PT12533</t>
        </is>
      </c>
      <c r="C587" t="inlineStr">
        <is>
          <t>Inpatient</t>
        </is>
      </c>
      <c r="D587" t="inlineStr">
        <is>
          <t>F02</t>
        </is>
      </c>
      <c r="E587" t="inlineStr">
        <is>
          <t>D210</t>
        </is>
      </c>
      <c r="F587" t="inlineStr">
        <is>
          <t>Emergency Department</t>
        </is>
      </c>
      <c r="G587" s="32" t="n">
        <v>45753.57916666667</v>
      </c>
      <c r="H587" s="32" t="n">
        <v>45758.58958333333</v>
      </c>
      <c r="I587" t="inlineStr">
        <is>
          <t>N17.9</t>
        </is>
      </c>
      <c r="J587" t="inlineStr">
        <is>
          <t>PY03</t>
        </is>
      </c>
      <c r="K587" s="33" t="n">
        <v>26344.53</v>
      </c>
      <c r="L587" s="34" t="n"/>
    </row>
    <row r="588">
      <c r="A588" t="inlineStr">
        <is>
          <t>ENC113978</t>
        </is>
      </c>
      <c r="B588" t="inlineStr">
        <is>
          <t>PT12314</t>
        </is>
      </c>
      <c r="C588" t="inlineStr">
        <is>
          <t>Emergency</t>
        </is>
      </c>
      <c r="D588" t="inlineStr">
        <is>
          <t>F02</t>
        </is>
      </c>
      <c r="E588" t="inlineStr">
        <is>
          <t>D200</t>
        </is>
      </c>
      <c r="G588" s="32" t="n">
        <v>45754.06388888889</v>
      </c>
      <c r="H588" s="32" t="n">
        <v>45754.24375</v>
      </c>
      <c r="I588" t="inlineStr">
        <is>
          <t>J06.9</t>
        </is>
      </c>
      <c r="J588" t="inlineStr">
        <is>
          <t>PY04</t>
        </is>
      </c>
      <c r="K588" s="33" t="n">
        <v>3789.89</v>
      </c>
      <c r="L588" s="34" t="n"/>
    </row>
    <row r="589">
      <c r="A589" t="inlineStr">
        <is>
          <t>ENC113986</t>
        </is>
      </c>
      <c r="B589" t="inlineStr">
        <is>
          <t>PT11571</t>
        </is>
      </c>
      <c r="C589" t="inlineStr">
        <is>
          <t>Outpatient</t>
        </is>
      </c>
      <c r="D589" t="inlineStr">
        <is>
          <t>F04</t>
        </is>
      </c>
      <c r="E589" t="inlineStr">
        <is>
          <t>D430</t>
        </is>
      </c>
      <c r="G589" s="32" t="n">
        <v>45754.375</v>
      </c>
      <c r="H589" s="32" t="n">
        <v>45754.40972222222</v>
      </c>
      <c r="I589" t="inlineStr">
        <is>
          <t>C50.911</t>
        </is>
      </c>
      <c r="J589" t="inlineStr">
        <is>
          <t>PY05</t>
        </is>
      </c>
      <c r="K589" s="33" t="n">
        <v>581.12</v>
      </c>
      <c r="L589" s="34" t="n"/>
    </row>
    <row r="590">
      <c r="A590" t="inlineStr">
        <is>
          <t>ENC113982</t>
        </is>
      </c>
      <c r="B590" t="inlineStr">
        <is>
          <t>PT13599</t>
        </is>
      </c>
      <c r="C590" t="inlineStr">
        <is>
          <t>Inpatient</t>
        </is>
      </c>
      <c r="D590" t="inlineStr">
        <is>
          <t>F01</t>
        </is>
      </c>
      <c r="E590" t="inlineStr">
        <is>
          <t>D120</t>
        </is>
      </c>
      <c r="F590" t="inlineStr">
        <is>
          <t>Emergency Department</t>
        </is>
      </c>
      <c r="G590" s="32" t="n">
        <v>45754.45972222222</v>
      </c>
      <c r="H590" s="32" t="n">
        <v>45759.58958333333</v>
      </c>
      <c r="I590" t="inlineStr">
        <is>
          <t>I50.9</t>
        </is>
      </c>
      <c r="J590" t="inlineStr">
        <is>
          <t>PY01</t>
        </is>
      </c>
      <c r="K590" s="33" t="n">
        <v>27749.56</v>
      </c>
      <c r="L590" s="34" t="n"/>
    </row>
    <row r="591">
      <c r="A591" t="inlineStr">
        <is>
          <t>ENC113997</t>
        </is>
      </c>
      <c r="B591" t="inlineStr">
        <is>
          <t>PT10605</t>
        </is>
      </c>
      <c r="C591" t="inlineStr">
        <is>
          <t>Outpatient</t>
        </is>
      </c>
      <c r="D591" t="inlineStr">
        <is>
          <t>F04</t>
        </is>
      </c>
      <c r="E591" t="inlineStr">
        <is>
          <t>D400</t>
        </is>
      </c>
      <c r="G591" s="32" t="n">
        <v>45754.53125</v>
      </c>
      <c r="H591" s="32" t="n">
        <v>45754.56319444445</v>
      </c>
      <c r="I591" t="inlineStr">
        <is>
          <t>J06.9</t>
        </is>
      </c>
      <c r="J591" t="inlineStr">
        <is>
          <t>PY02</t>
        </is>
      </c>
      <c r="K591" s="33" t="n">
        <v>307.94</v>
      </c>
      <c r="L591" s="34" t="n"/>
    </row>
    <row r="592">
      <c r="A592" t="inlineStr">
        <is>
          <t>ENC114001</t>
        </is>
      </c>
      <c r="B592" t="inlineStr">
        <is>
          <t>PT12504</t>
        </is>
      </c>
      <c r="C592" t="inlineStr">
        <is>
          <t>Outpatient</t>
        </is>
      </c>
      <c r="D592" t="inlineStr">
        <is>
          <t>F04</t>
        </is>
      </c>
      <c r="E592" t="inlineStr">
        <is>
          <t>D440</t>
        </is>
      </c>
      <c r="G592" s="32" t="n">
        <v>45754.58333333334</v>
      </c>
      <c r="H592" s="32" t="n">
        <v>45754.60208333333</v>
      </c>
      <c r="I592" t="inlineStr">
        <is>
          <t>E11.9</t>
        </is>
      </c>
      <c r="J592" t="inlineStr">
        <is>
          <t>PY01</t>
        </is>
      </c>
      <c r="K592" s="33" t="n">
        <v>237.66</v>
      </c>
      <c r="L592" s="34" t="n"/>
    </row>
    <row r="593">
      <c r="A593" t="inlineStr">
        <is>
          <t>ENC114007</t>
        </is>
      </c>
      <c r="B593" t="inlineStr">
        <is>
          <t>PT11460</t>
        </is>
      </c>
      <c r="C593" t="inlineStr">
        <is>
          <t>Outpatient</t>
        </is>
      </c>
      <c r="D593" t="inlineStr">
        <is>
          <t>F04</t>
        </is>
      </c>
      <c r="E593" t="inlineStr">
        <is>
          <t>D450</t>
        </is>
      </c>
      <c r="G593" s="32" t="n">
        <v>45754.67708333334</v>
      </c>
      <c r="H593" s="32" t="n">
        <v>45754.69305555556</v>
      </c>
      <c r="I593" t="inlineStr">
        <is>
          <t>H66.90</t>
        </is>
      </c>
      <c r="J593" t="inlineStr">
        <is>
          <t>PY05</t>
        </is>
      </c>
      <c r="K593" s="33" t="n">
        <v>286.62</v>
      </c>
      <c r="L593" s="34" t="n"/>
    </row>
    <row r="594">
      <c r="A594" t="inlineStr">
        <is>
          <t>ENC114011</t>
        </is>
      </c>
      <c r="B594" t="inlineStr">
        <is>
          <t>PT11645</t>
        </is>
      </c>
      <c r="C594" t="inlineStr">
        <is>
          <t>Inpatient</t>
        </is>
      </c>
      <c r="D594" t="inlineStr">
        <is>
          <t>F01</t>
        </is>
      </c>
      <c r="E594" t="inlineStr">
        <is>
          <t>D111</t>
        </is>
      </c>
      <c r="F594" t="inlineStr">
        <is>
          <t>Emergency Department</t>
        </is>
      </c>
      <c r="G594" s="32" t="n">
        <v>45755.03055555555</v>
      </c>
      <c r="H594" s="32" t="n">
        <v>45762.75486111111</v>
      </c>
      <c r="I594" t="inlineStr">
        <is>
          <t>J44.1</t>
        </is>
      </c>
      <c r="J594" t="inlineStr">
        <is>
          <t>PY04</t>
        </is>
      </c>
      <c r="K594" s="33" t="n">
        <v>23602.08</v>
      </c>
      <c r="L594" s="34" t="n"/>
    </row>
    <row r="595">
      <c r="A595" t="inlineStr">
        <is>
          <t>ENC114017</t>
        </is>
      </c>
      <c r="B595" t="inlineStr">
        <is>
          <t>PT13664</t>
        </is>
      </c>
      <c r="C595" t="inlineStr">
        <is>
          <t>Emergency</t>
        </is>
      </c>
      <c r="D595" t="inlineStr">
        <is>
          <t>F01</t>
        </is>
      </c>
      <c r="E595" t="inlineStr">
        <is>
          <t>D100</t>
        </is>
      </c>
      <c r="G595" s="32" t="n">
        <v>45755.45208333333</v>
      </c>
      <c r="H595" s="32" t="n">
        <v>45755.54583333333</v>
      </c>
      <c r="I595" t="inlineStr">
        <is>
          <t>J06.9</t>
        </is>
      </c>
      <c r="J595" t="inlineStr">
        <is>
          <t>PY02</t>
        </is>
      </c>
      <c r="K595" s="33" t="n">
        <v>1887.95</v>
      </c>
      <c r="L595" s="34" t="n"/>
    </row>
    <row r="596">
      <c r="A596" t="inlineStr">
        <is>
          <t>ENC114023</t>
        </is>
      </c>
      <c r="B596" t="inlineStr">
        <is>
          <t>PT12905</t>
        </is>
      </c>
      <c r="C596" t="inlineStr">
        <is>
          <t>Outpatient</t>
        </is>
      </c>
      <c r="D596" t="inlineStr">
        <is>
          <t>F04</t>
        </is>
      </c>
      <c r="E596" t="inlineStr">
        <is>
          <t>D400</t>
        </is>
      </c>
      <c r="G596" s="32" t="n">
        <v>45755.5625</v>
      </c>
      <c r="H596" s="32" t="n">
        <v>45755.58125</v>
      </c>
      <c r="I596" t="inlineStr">
        <is>
          <t>Z00.00</t>
        </is>
      </c>
      <c r="J596" t="inlineStr">
        <is>
          <t>PY01</t>
        </is>
      </c>
      <c r="K596" s="33" t="n">
        <v>534.92</v>
      </c>
      <c r="L596" s="34" t="n"/>
    </row>
    <row r="597">
      <c r="A597" t="inlineStr">
        <is>
          <t>ENC114030</t>
        </is>
      </c>
      <c r="B597" t="inlineStr">
        <is>
          <t>PT12598</t>
        </is>
      </c>
      <c r="C597" t="inlineStr">
        <is>
          <t>Inpatient</t>
        </is>
      </c>
      <c r="D597" t="inlineStr">
        <is>
          <t>F01</t>
        </is>
      </c>
      <c r="E597" t="inlineStr">
        <is>
          <t>D111</t>
        </is>
      </c>
      <c r="F597" t="inlineStr">
        <is>
          <t>Direct Admit</t>
        </is>
      </c>
      <c r="G597" s="32" t="n">
        <v>45755.63888888889</v>
      </c>
      <c r="H597" s="32" t="n">
        <v>45757.69027777778</v>
      </c>
      <c r="I597" t="inlineStr">
        <is>
          <t>N39.0</t>
        </is>
      </c>
      <c r="J597" t="inlineStr">
        <is>
          <t>PY01</t>
        </is>
      </c>
      <c r="K597" s="33" t="n">
        <v>8964.559999999999</v>
      </c>
      <c r="L597" s="34" t="n"/>
    </row>
    <row r="598">
      <c r="A598" t="inlineStr">
        <is>
          <t>ENC114036</t>
        </is>
      </c>
      <c r="B598" t="inlineStr">
        <is>
          <t>PT10769</t>
        </is>
      </c>
      <c r="C598" t="inlineStr">
        <is>
          <t>Emergency</t>
        </is>
      </c>
      <c r="D598" t="inlineStr">
        <is>
          <t>F01</t>
        </is>
      </c>
      <c r="E598" t="inlineStr">
        <is>
          <t>D100</t>
        </is>
      </c>
      <c r="G598" s="32" t="n">
        <v>45755.72986111111</v>
      </c>
      <c r="H598" s="32" t="n">
        <v>45755.86805555555</v>
      </c>
      <c r="I598" t="inlineStr">
        <is>
          <t>I10</t>
        </is>
      </c>
      <c r="J598" t="inlineStr">
        <is>
          <t>PY01</t>
        </is>
      </c>
      <c r="K598" s="33" t="n">
        <v>824.59</v>
      </c>
      <c r="L598" s="34" t="n"/>
    </row>
    <row r="599">
      <c r="A599" t="inlineStr">
        <is>
          <t>ENC114040</t>
        </is>
      </c>
      <c r="B599" t="inlineStr">
        <is>
          <t>PT12410</t>
        </is>
      </c>
      <c r="C599" t="inlineStr">
        <is>
          <t>Inpatient</t>
        </is>
      </c>
      <c r="D599" t="inlineStr">
        <is>
          <t>F03</t>
        </is>
      </c>
      <c r="E599" t="inlineStr">
        <is>
          <t>D340</t>
        </is>
      </c>
      <c r="F599" t="inlineStr">
        <is>
          <t>Elective</t>
        </is>
      </c>
      <c r="G599" s="32" t="n">
        <v>45756.24027777778</v>
      </c>
      <c r="H599" s="32" t="n">
        <v>45758.57152777778</v>
      </c>
      <c r="I599" t="inlineStr">
        <is>
          <t>M17.11</t>
        </is>
      </c>
      <c r="J599" t="inlineStr">
        <is>
          <t>PY05</t>
        </is>
      </c>
      <c r="K599" s="33" t="n">
        <v>65285.36</v>
      </c>
      <c r="L599" s="34" t="n"/>
    </row>
    <row r="600">
      <c r="A600" t="inlineStr">
        <is>
          <t>ENC114045</t>
        </is>
      </c>
      <c r="B600" t="inlineStr">
        <is>
          <t>PT10174</t>
        </is>
      </c>
      <c r="C600" t="inlineStr">
        <is>
          <t>Outpatient</t>
        </is>
      </c>
      <c r="D600" t="inlineStr">
        <is>
          <t>F04</t>
        </is>
      </c>
      <c r="E600" t="inlineStr">
        <is>
          <t>D400</t>
        </is>
      </c>
      <c r="G600" s="32" t="n">
        <v>45756.39583333334</v>
      </c>
      <c r="H600" s="32" t="n">
        <v>45756.41111111111</v>
      </c>
      <c r="I600" t="inlineStr">
        <is>
          <t>G40.909</t>
        </is>
      </c>
      <c r="J600" t="inlineStr">
        <is>
          <t>PY02</t>
        </is>
      </c>
      <c r="K600" s="33" t="n">
        <v>330.4</v>
      </c>
      <c r="L600" s="34" t="n"/>
    </row>
    <row r="601">
      <c r="A601" t="inlineStr">
        <is>
          <t>ENC114046</t>
        </is>
      </c>
      <c r="B601" t="inlineStr">
        <is>
          <t>PT13673</t>
        </is>
      </c>
      <c r="C601" t="inlineStr">
        <is>
          <t>Inpatient</t>
        </is>
      </c>
      <c r="D601" t="inlineStr">
        <is>
          <t>F01</t>
        </is>
      </c>
      <c r="E601" t="inlineStr">
        <is>
          <t>D111</t>
        </is>
      </c>
      <c r="F601" t="inlineStr">
        <is>
          <t>Emergency Department</t>
        </is>
      </c>
      <c r="G601" s="32" t="n">
        <v>45756.55</v>
      </c>
      <c r="H601" s="32" t="n">
        <v>45760.67222222222</v>
      </c>
      <c r="I601" t="inlineStr">
        <is>
          <t>A41.9</t>
        </is>
      </c>
      <c r="J601" t="inlineStr">
        <is>
          <t>PY01</t>
        </is>
      </c>
      <c r="K601" s="33" t="n">
        <v>28818.07</v>
      </c>
      <c r="L601" s="34" t="n"/>
    </row>
    <row r="602">
      <c r="A602" t="inlineStr">
        <is>
          <t>ENC114053</t>
        </is>
      </c>
      <c r="B602" t="inlineStr">
        <is>
          <t>PT10889</t>
        </is>
      </c>
      <c r="C602" t="inlineStr">
        <is>
          <t>Inpatient</t>
        </is>
      </c>
      <c r="D602" t="inlineStr">
        <is>
          <t>F02</t>
        </is>
      </c>
      <c r="E602" t="inlineStr">
        <is>
          <t>D210</t>
        </is>
      </c>
      <c r="F602" t="inlineStr">
        <is>
          <t>Emergency Department</t>
        </is>
      </c>
      <c r="G602" s="32" t="n">
        <v>45756.75486111111</v>
      </c>
      <c r="H602" s="32" t="n">
        <v>45760.49861111111</v>
      </c>
      <c r="I602" t="inlineStr">
        <is>
          <t>E87.1</t>
        </is>
      </c>
      <c r="J602" t="inlineStr">
        <is>
          <t>PY06</t>
        </is>
      </c>
      <c r="K602" s="33" t="n">
        <v>11144.13</v>
      </c>
      <c r="L602" s="34" t="n"/>
    </row>
    <row r="603">
      <c r="A603" t="inlineStr">
        <is>
          <t>ENC114063</t>
        </is>
      </c>
      <c r="B603" t="inlineStr">
        <is>
          <t>PT12653</t>
        </is>
      </c>
      <c r="C603" t="inlineStr">
        <is>
          <t>Emergency</t>
        </is>
      </c>
      <c r="D603" t="inlineStr">
        <is>
          <t>F01</t>
        </is>
      </c>
      <c r="E603" t="inlineStr">
        <is>
          <t>D100</t>
        </is>
      </c>
      <c r="G603" s="32" t="n">
        <v>45757.12152777778</v>
      </c>
      <c r="H603" s="32" t="n">
        <v>45757.28055555555</v>
      </c>
      <c r="I603" t="inlineStr">
        <is>
          <t>R10.9</t>
        </is>
      </c>
      <c r="J603" t="inlineStr">
        <is>
          <t>PY02</t>
        </is>
      </c>
      <c r="K603" s="33" t="n">
        <v>4690.17</v>
      </c>
      <c r="L603" s="34" t="n"/>
    </row>
    <row r="604">
      <c r="A604" t="inlineStr">
        <is>
          <t>ENC114068</t>
        </is>
      </c>
      <c r="B604" t="inlineStr">
        <is>
          <t>PT11820</t>
        </is>
      </c>
      <c r="C604" t="inlineStr">
        <is>
          <t>Outpatient</t>
        </is>
      </c>
      <c r="D604" t="inlineStr">
        <is>
          <t>F04</t>
        </is>
      </c>
      <c r="E604" t="inlineStr">
        <is>
          <t>D400</t>
        </is>
      </c>
      <c r="G604" s="32" t="n">
        <v>45757.40625</v>
      </c>
      <c r="H604" s="32" t="n">
        <v>45757.42291666667</v>
      </c>
      <c r="I604" t="inlineStr">
        <is>
          <t>Z00.00</t>
        </is>
      </c>
      <c r="J604" t="inlineStr">
        <is>
          <t>PY02</t>
        </is>
      </c>
      <c r="K604" s="33" t="n">
        <v>347.68</v>
      </c>
      <c r="L604" s="34" t="n"/>
    </row>
    <row r="605">
      <c r="A605" t="inlineStr">
        <is>
          <t>ENC114073</t>
        </is>
      </c>
      <c r="B605" t="inlineStr">
        <is>
          <t>PT12190</t>
        </is>
      </c>
      <c r="C605" t="inlineStr">
        <is>
          <t>Outpatient</t>
        </is>
      </c>
      <c r="D605" t="inlineStr">
        <is>
          <t>F04</t>
        </is>
      </c>
      <c r="E605" t="inlineStr">
        <is>
          <t>D450</t>
        </is>
      </c>
      <c r="G605" s="32" t="n">
        <v>45757.52083333334</v>
      </c>
      <c r="H605" s="32" t="n">
        <v>45757.55763888889</v>
      </c>
      <c r="I605" t="inlineStr">
        <is>
          <t>Z00.129</t>
        </is>
      </c>
      <c r="J605" t="inlineStr">
        <is>
          <t>PY04</t>
        </is>
      </c>
      <c r="K605" s="33" t="n">
        <v>323.51</v>
      </c>
      <c r="L605" s="34" t="n"/>
    </row>
    <row r="606">
      <c r="A606" t="inlineStr">
        <is>
          <t>ENC114078</t>
        </is>
      </c>
      <c r="B606" t="inlineStr">
        <is>
          <t>PT10390</t>
        </is>
      </c>
      <c r="C606" t="inlineStr">
        <is>
          <t>Outpatient</t>
        </is>
      </c>
      <c r="D606" t="inlineStr">
        <is>
          <t>F04</t>
        </is>
      </c>
      <c r="E606" t="inlineStr">
        <is>
          <t>D430</t>
        </is>
      </c>
      <c r="G606" s="32" t="n">
        <v>45757.60416666666</v>
      </c>
      <c r="H606" s="32" t="n">
        <v>45757.61458333334</v>
      </c>
      <c r="I606" t="inlineStr">
        <is>
          <t>C50.911</t>
        </is>
      </c>
      <c r="J606" t="inlineStr">
        <is>
          <t>PY01</t>
        </is>
      </c>
      <c r="K606" s="33" t="n">
        <v>614.6799999999999</v>
      </c>
      <c r="L606" s="34" t="n"/>
    </row>
    <row r="607">
      <c r="A607" t="inlineStr">
        <is>
          <t>ENC114085</t>
        </is>
      </c>
      <c r="B607" t="inlineStr">
        <is>
          <t>PT10855</t>
        </is>
      </c>
      <c r="C607" t="inlineStr">
        <is>
          <t>Emergency</t>
        </is>
      </c>
      <c r="D607" t="inlineStr">
        <is>
          <t>F01</t>
        </is>
      </c>
      <c r="E607" t="inlineStr">
        <is>
          <t>D100</t>
        </is>
      </c>
      <c r="G607" s="32" t="n">
        <v>45757.64930555555</v>
      </c>
      <c r="H607" s="32" t="n">
        <v>45757.78888888889</v>
      </c>
      <c r="I607" t="inlineStr">
        <is>
          <t>G43.909</t>
        </is>
      </c>
      <c r="J607" t="inlineStr">
        <is>
          <t>PY01</t>
        </is>
      </c>
      <c r="K607" s="33" t="n">
        <v>2090.8</v>
      </c>
      <c r="L607" s="34" t="n"/>
    </row>
    <row r="608">
      <c r="A608" t="inlineStr">
        <is>
          <t>ENC114089</t>
        </is>
      </c>
      <c r="B608" t="inlineStr">
        <is>
          <t>PT10433</t>
        </is>
      </c>
      <c r="C608" t="inlineStr">
        <is>
          <t>Emergency</t>
        </is>
      </c>
      <c r="D608" t="inlineStr">
        <is>
          <t>F01</t>
        </is>
      </c>
      <c r="E608" t="inlineStr">
        <is>
          <t>D100</t>
        </is>
      </c>
      <c r="G608" s="32" t="n">
        <v>45757.74930555555</v>
      </c>
      <c r="H608" s="32" t="n">
        <v>45757.92638888889</v>
      </c>
      <c r="I608" t="inlineStr">
        <is>
          <t>U07.1</t>
        </is>
      </c>
      <c r="J608" t="inlineStr">
        <is>
          <t>PY05</t>
        </is>
      </c>
      <c r="K608" s="33" t="n">
        <v>5636.9</v>
      </c>
      <c r="L608" s="34" t="n"/>
    </row>
    <row r="609">
      <c r="A609" t="inlineStr">
        <is>
          <t>ENC114094</t>
        </is>
      </c>
      <c r="B609" t="inlineStr">
        <is>
          <t>PT12230</t>
        </is>
      </c>
      <c r="C609" t="inlineStr">
        <is>
          <t>Inpatient</t>
        </is>
      </c>
      <c r="D609" t="inlineStr">
        <is>
          <t>F02</t>
        </is>
      </c>
      <c r="E609" t="inlineStr">
        <is>
          <t>D210</t>
        </is>
      </c>
      <c r="F609" t="inlineStr">
        <is>
          <t>Emergency Department</t>
        </is>
      </c>
      <c r="G609" s="32" t="n">
        <v>45757.98680555556</v>
      </c>
      <c r="H609" s="32" t="n">
        <v>45761.80138888889</v>
      </c>
      <c r="I609" t="inlineStr">
        <is>
          <t>I50.9</t>
        </is>
      </c>
      <c r="J609" t="inlineStr">
        <is>
          <t>PY01</t>
        </is>
      </c>
      <c r="K609" s="33" t="n">
        <v>17346.28</v>
      </c>
      <c r="L609" s="34" t="n"/>
    </row>
    <row r="610">
      <c r="A610" t="inlineStr">
        <is>
          <t>ENC114101</t>
        </is>
      </c>
      <c r="B610" t="inlineStr">
        <is>
          <t>PT13247</t>
        </is>
      </c>
      <c r="C610" t="inlineStr">
        <is>
          <t>Outpatient</t>
        </is>
      </c>
      <c r="D610" t="inlineStr">
        <is>
          <t>F04</t>
        </is>
      </c>
      <c r="E610" t="inlineStr">
        <is>
          <t>D400</t>
        </is>
      </c>
      <c r="G610" s="32" t="n">
        <v>45758.34375</v>
      </c>
      <c r="H610" s="32" t="n">
        <v>45758.36041666667</v>
      </c>
      <c r="I610" t="inlineStr">
        <is>
          <t>L03.115</t>
        </is>
      </c>
      <c r="J610" t="inlineStr">
        <is>
          <t>PY07</t>
        </is>
      </c>
      <c r="K610" s="33" t="n">
        <v>397.5</v>
      </c>
      <c r="L610" s="34" t="n"/>
    </row>
    <row r="611">
      <c r="A611" t="inlineStr">
        <is>
          <t>ENC114108</t>
        </is>
      </c>
      <c r="B611" t="inlineStr">
        <is>
          <t>PT13515</t>
        </is>
      </c>
      <c r="C611" t="inlineStr">
        <is>
          <t>Emergency</t>
        </is>
      </c>
      <c r="D611" t="inlineStr">
        <is>
          <t>F02</t>
        </is>
      </c>
      <c r="E611" t="inlineStr">
        <is>
          <t>D200</t>
        </is>
      </c>
      <c r="G611" s="32" t="n">
        <v>45758.42152777778</v>
      </c>
      <c r="H611" s="32" t="n">
        <v>45758.51041666666</v>
      </c>
      <c r="I611" t="inlineStr">
        <is>
          <t>N39.0</t>
        </is>
      </c>
      <c r="J611" t="inlineStr">
        <is>
          <t>PY03</t>
        </is>
      </c>
      <c r="K611" s="33" t="n">
        <v>1677</v>
      </c>
      <c r="L611" s="34" t="n"/>
    </row>
    <row r="612">
      <c r="A612" t="inlineStr">
        <is>
          <t>ENC114113</t>
        </is>
      </c>
      <c r="B612" t="inlineStr">
        <is>
          <t>PT12698</t>
        </is>
      </c>
      <c r="C612" t="inlineStr">
        <is>
          <t>Outpatient</t>
        </is>
      </c>
      <c r="D612" t="inlineStr">
        <is>
          <t>F04</t>
        </is>
      </c>
      <c r="E612" t="inlineStr">
        <is>
          <t>D450</t>
        </is>
      </c>
      <c r="G612" s="32" t="n">
        <v>45758.46875</v>
      </c>
      <c r="H612" s="32" t="n">
        <v>45758.50347222222</v>
      </c>
      <c r="I612" t="inlineStr">
        <is>
          <t>J06.9</t>
        </is>
      </c>
      <c r="J612" t="inlineStr">
        <is>
          <t>PY03</t>
        </is>
      </c>
      <c r="K612" s="33" t="n">
        <v>221.27</v>
      </c>
      <c r="L612" s="34" t="n"/>
    </row>
    <row r="613">
      <c r="A613" t="inlineStr">
        <is>
          <t>ENC114105</t>
        </is>
      </c>
      <c r="B613" t="inlineStr">
        <is>
          <t>PT13777</t>
        </is>
      </c>
      <c r="C613" t="inlineStr">
        <is>
          <t>Inpatient</t>
        </is>
      </c>
      <c r="D613" t="inlineStr">
        <is>
          <t>F01</t>
        </is>
      </c>
      <c r="E613" t="inlineStr">
        <is>
          <t>D110</t>
        </is>
      </c>
      <c r="F613" t="inlineStr">
        <is>
          <t>Emergency Department</t>
        </is>
      </c>
      <c r="G613" s="32" t="n">
        <v>45758.52013888889</v>
      </c>
      <c r="H613" s="32" t="n">
        <v>45763.49236111111</v>
      </c>
      <c r="I613" t="inlineStr">
        <is>
          <t>J44.1</t>
        </is>
      </c>
      <c r="J613" t="inlineStr">
        <is>
          <t>PY05</t>
        </is>
      </c>
      <c r="K613" s="33" t="n">
        <v>22549.73</v>
      </c>
      <c r="L613" s="34" t="n"/>
    </row>
    <row r="614">
      <c r="A614" t="inlineStr">
        <is>
          <t>ENC114126</t>
        </is>
      </c>
      <c r="B614" t="inlineStr">
        <is>
          <t>PT11492</t>
        </is>
      </c>
      <c r="C614" t="inlineStr">
        <is>
          <t>Outpatient</t>
        </is>
      </c>
      <c r="D614" t="inlineStr">
        <is>
          <t>F04</t>
        </is>
      </c>
      <c r="E614" t="inlineStr">
        <is>
          <t>D440</t>
        </is>
      </c>
      <c r="G614" s="32" t="n">
        <v>45758.625</v>
      </c>
      <c r="H614" s="32" t="n">
        <v>45758.65277777778</v>
      </c>
      <c r="I614" t="inlineStr">
        <is>
          <t>E11.65</t>
        </is>
      </c>
      <c r="J614" t="inlineStr">
        <is>
          <t>PY02</t>
        </is>
      </c>
      <c r="K614" s="33" t="n">
        <v>325.93</v>
      </c>
      <c r="L614" s="34" t="n"/>
    </row>
    <row r="615">
      <c r="A615" t="inlineStr">
        <is>
          <t>ENC114125</t>
        </is>
      </c>
      <c r="B615" t="inlineStr">
        <is>
          <t>PT10337</t>
        </is>
      </c>
      <c r="C615" t="inlineStr">
        <is>
          <t>Observation</t>
        </is>
      </c>
      <c r="D615" t="inlineStr">
        <is>
          <t>F03</t>
        </is>
      </c>
      <c r="E615" t="inlineStr">
        <is>
          <t>D310</t>
        </is>
      </c>
      <c r="F615" t="inlineStr">
        <is>
          <t>Emergency Department</t>
        </is>
      </c>
      <c r="G615" s="32" t="n">
        <v>45758.71041666667</v>
      </c>
      <c r="H615" s="32" t="n">
        <v>45760.44861111111</v>
      </c>
      <c r="I615" t="inlineStr">
        <is>
          <t>R55</t>
        </is>
      </c>
      <c r="J615" t="inlineStr">
        <is>
          <t>PY03</t>
        </is>
      </c>
      <c r="K615" s="33" t="n">
        <v>10851.49</v>
      </c>
      <c r="L615" s="34" t="n"/>
    </row>
    <row r="616">
      <c r="A616" t="inlineStr">
        <is>
          <t>ENC114133</t>
        </is>
      </c>
      <c r="B616" t="inlineStr">
        <is>
          <t>PT10672</t>
        </is>
      </c>
      <c r="C616" t="inlineStr">
        <is>
          <t>Inpatient</t>
        </is>
      </c>
      <c r="D616" t="inlineStr">
        <is>
          <t>F03</t>
        </is>
      </c>
      <c r="E616" t="inlineStr">
        <is>
          <t>D310</t>
        </is>
      </c>
      <c r="F616" t="inlineStr">
        <is>
          <t>Emergency Department</t>
        </is>
      </c>
      <c r="G616" s="32" t="n">
        <v>45759.10763888889</v>
      </c>
      <c r="H616" s="32" t="n">
        <v>45764.62847222222</v>
      </c>
      <c r="I616" t="inlineStr">
        <is>
          <t>J18.9</t>
        </is>
      </c>
      <c r="J616" t="inlineStr">
        <is>
          <t>PY04</t>
        </is>
      </c>
      <c r="K616" s="33" t="n">
        <v>20910.69</v>
      </c>
      <c r="L616" s="34" t="n"/>
    </row>
    <row r="617">
      <c r="A617" t="inlineStr">
        <is>
          <t>ENC114140</t>
        </is>
      </c>
      <c r="B617" t="inlineStr">
        <is>
          <t>PT10420</t>
        </is>
      </c>
      <c r="C617" t="inlineStr">
        <is>
          <t>Emergency</t>
        </is>
      </c>
      <c r="D617" t="inlineStr">
        <is>
          <t>F01</t>
        </is>
      </c>
      <c r="E617" t="inlineStr">
        <is>
          <t>D100</t>
        </is>
      </c>
      <c r="G617" s="32" t="n">
        <v>45759.51388888889</v>
      </c>
      <c r="H617" s="32" t="n">
        <v>45759.66527777778</v>
      </c>
      <c r="I617" t="inlineStr">
        <is>
          <t>J06.9</t>
        </is>
      </c>
      <c r="J617" t="inlineStr">
        <is>
          <t>PY05</t>
        </is>
      </c>
      <c r="K617" s="33" t="n">
        <v>3740.25</v>
      </c>
      <c r="L617" s="34" t="n"/>
    </row>
    <row r="618">
      <c r="A618" t="inlineStr">
        <is>
          <t>ENC114145</t>
        </is>
      </c>
      <c r="B618" t="inlineStr">
        <is>
          <t>PT13227</t>
        </is>
      </c>
      <c r="C618" t="inlineStr">
        <is>
          <t>Emergency</t>
        </is>
      </c>
      <c r="D618" t="inlineStr">
        <is>
          <t>F01</t>
        </is>
      </c>
      <c r="E618" t="inlineStr">
        <is>
          <t>D100</t>
        </is>
      </c>
      <c r="G618" s="32" t="n">
        <v>45759.87222222222</v>
      </c>
      <c r="H618" s="32" t="n">
        <v>45760.11041666667</v>
      </c>
      <c r="I618" t="inlineStr">
        <is>
          <t>J06.9</t>
        </is>
      </c>
      <c r="J618" t="inlineStr">
        <is>
          <t>PY01</t>
        </is>
      </c>
      <c r="K618" s="33" t="n">
        <v>884.46</v>
      </c>
      <c r="L618" s="34" t="n"/>
    </row>
    <row r="619">
      <c r="A619" t="inlineStr">
        <is>
          <t>ENC114153</t>
        </is>
      </c>
      <c r="B619" t="inlineStr">
        <is>
          <t>PT11050</t>
        </is>
      </c>
      <c r="C619" t="inlineStr">
        <is>
          <t>Emergency</t>
        </is>
      </c>
      <c r="D619" t="inlineStr">
        <is>
          <t>F02</t>
        </is>
      </c>
      <c r="E619" t="inlineStr">
        <is>
          <t>D200</t>
        </is>
      </c>
      <c r="G619" s="32" t="n">
        <v>45760.5</v>
      </c>
      <c r="H619" s="32" t="n">
        <v>45760.63472222222</v>
      </c>
      <c r="I619" t="inlineStr">
        <is>
          <t>U07.1</t>
        </is>
      </c>
      <c r="J619" t="inlineStr">
        <is>
          <t>PY06</t>
        </is>
      </c>
      <c r="K619" s="33" t="n">
        <v>3863.58</v>
      </c>
      <c r="L619" s="34" t="n"/>
    </row>
    <row r="620">
      <c r="A620" t="inlineStr">
        <is>
          <t>ENC114154</t>
        </is>
      </c>
      <c r="B620" t="inlineStr">
        <is>
          <t>PT11298</t>
        </is>
      </c>
      <c r="C620" t="inlineStr">
        <is>
          <t>Inpatient</t>
        </is>
      </c>
      <c r="D620" t="inlineStr">
        <is>
          <t>F01</t>
        </is>
      </c>
      <c r="E620" t="inlineStr">
        <is>
          <t>D110</t>
        </is>
      </c>
      <c r="F620" t="inlineStr">
        <is>
          <t>Emergency Department</t>
        </is>
      </c>
      <c r="G620" s="32" t="n">
        <v>45760.68194444444</v>
      </c>
      <c r="H620" s="32" t="n">
        <v>45766.51736111111</v>
      </c>
      <c r="I620" t="inlineStr">
        <is>
          <t>J44.1</t>
        </is>
      </c>
      <c r="J620" t="inlineStr">
        <is>
          <t>PY02</t>
        </is>
      </c>
      <c r="K620" s="33" t="n">
        <v>18264.59</v>
      </c>
      <c r="L620" s="34" t="n"/>
    </row>
    <row r="621">
      <c r="A621" t="inlineStr">
        <is>
          <t>ENC114162</t>
        </is>
      </c>
      <c r="B621" t="inlineStr">
        <is>
          <t>PT11055</t>
        </is>
      </c>
      <c r="C621" t="inlineStr">
        <is>
          <t>Inpatient</t>
        </is>
      </c>
      <c r="D621" t="inlineStr">
        <is>
          <t>F01</t>
        </is>
      </c>
      <c r="E621" t="inlineStr">
        <is>
          <t>D110</t>
        </is>
      </c>
      <c r="F621" t="inlineStr">
        <is>
          <t>Elective</t>
        </is>
      </c>
      <c r="G621" s="32" t="n">
        <v>45760.98819444444</v>
      </c>
      <c r="H621" s="32" t="n">
        <v>45763.58125</v>
      </c>
      <c r="I621" t="inlineStr">
        <is>
          <t>K80.20</t>
        </is>
      </c>
      <c r="J621" t="inlineStr">
        <is>
          <t>PY01</t>
        </is>
      </c>
      <c r="K621" s="33" t="n">
        <v>35553.08</v>
      </c>
      <c r="L621" s="34" t="n"/>
    </row>
    <row r="622">
      <c r="A622" t="inlineStr">
        <is>
          <t>ENC114167</t>
        </is>
      </c>
      <c r="B622" t="inlineStr">
        <is>
          <t>PT10592</t>
        </is>
      </c>
      <c r="C622" t="inlineStr">
        <is>
          <t>Outpatient</t>
        </is>
      </c>
      <c r="D622" t="inlineStr">
        <is>
          <t>F04</t>
        </is>
      </c>
      <c r="E622" t="inlineStr">
        <is>
          <t>D400</t>
        </is>
      </c>
      <c r="G622" s="32" t="n">
        <v>45761.40625</v>
      </c>
      <c r="H622" s="32" t="n">
        <v>45761.42916666667</v>
      </c>
      <c r="I622" t="inlineStr">
        <is>
          <t>J06.9</t>
        </is>
      </c>
      <c r="J622" t="inlineStr">
        <is>
          <t>PY02</t>
        </is>
      </c>
      <c r="K622" s="33" t="n">
        <v>356.73</v>
      </c>
      <c r="L622" s="34" t="n"/>
    </row>
    <row r="623">
      <c r="A623" t="inlineStr">
        <is>
          <t>ENC114173</t>
        </is>
      </c>
      <c r="B623" t="inlineStr">
        <is>
          <t>PT10555</t>
        </is>
      </c>
      <c r="C623" t="inlineStr">
        <is>
          <t>Emergency</t>
        </is>
      </c>
      <c r="D623" t="inlineStr">
        <is>
          <t>F01</t>
        </is>
      </c>
      <c r="E623" t="inlineStr">
        <is>
          <t>D100</t>
        </is>
      </c>
      <c r="G623" s="32" t="n">
        <v>45761.46944444445</v>
      </c>
      <c r="H623" s="32" t="n">
        <v>45761.63333333333</v>
      </c>
      <c r="I623" t="inlineStr">
        <is>
          <t>E11.65</t>
        </is>
      </c>
      <c r="J623" t="inlineStr">
        <is>
          <t>PY02</t>
        </is>
      </c>
      <c r="K623" s="33" t="n">
        <v>2867.32</v>
      </c>
      <c r="L623" s="34" t="n"/>
    </row>
    <row r="624">
      <c r="A624" t="inlineStr">
        <is>
          <t>ENC114180</t>
        </is>
      </c>
      <c r="B624" t="inlineStr">
        <is>
          <t>PT11134</t>
        </is>
      </c>
      <c r="C624" t="inlineStr">
        <is>
          <t>Outpatient</t>
        </is>
      </c>
      <c r="D624" t="inlineStr">
        <is>
          <t>F04</t>
        </is>
      </c>
      <c r="E624" t="inlineStr">
        <is>
          <t>D400</t>
        </is>
      </c>
      <c r="G624" s="32" t="n">
        <v>45761.54166666666</v>
      </c>
      <c r="H624" s="32" t="n">
        <v>45761.57291666666</v>
      </c>
      <c r="I624" t="inlineStr">
        <is>
          <t>M54.50</t>
        </is>
      </c>
      <c r="J624" t="inlineStr">
        <is>
          <t>PY04</t>
        </is>
      </c>
      <c r="K624" s="33" t="n">
        <v>445.92</v>
      </c>
      <c r="L624" s="34" t="n"/>
    </row>
    <row r="625">
      <c r="A625" t="inlineStr">
        <is>
          <t>ENC114187</t>
        </is>
      </c>
      <c r="B625" t="inlineStr">
        <is>
          <t>PT12038</t>
        </is>
      </c>
      <c r="C625" t="inlineStr">
        <is>
          <t>Outpatient</t>
        </is>
      </c>
      <c r="D625" t="inlineStr">
        <is>
          <t>F04</t>
        </is>
      </c>
      <c r="E625" t="inlineStr">
        <is>
          <t>D440</t>
        </is>
      </c>
      <c r="G625" s="32" t="n">
        <v>45761.63541666666</v>
      </c>
      <c r="H625" s="32" t="n">
        <v>45761.64930555555</v>
      </c>
      <c r="I625" t="inlineStr">
        <is>
          <t>E11.9</t>
        </is>
      </c>
      <c r="J625" t="inlineStr">
        <is>
          <t>PY01</t>
        </is>
      </c>
      <c r="K625" s="33" t="n">
        <v>400.27</v>
      </c>
      <c r="L625" s="34" t="n"/>
    </row>
    <row r="626">
      <c r="A626" t="inlineStr">
        <is>
          <t>ENC114192</t>
        </is>
      </c>
      <c r="B626" t="inlineStr">
        <is>
          <t>PT11428</t>
        </is>
      </c>
      <c r="C626" t="inlineStr">
        <is>
          <t>Outpatient</t>
        </is>
      </c>
      <c r="D626" t="inlineStr">
        <is>
          <t>F04</t>
        </is>
      </c>
      <c r="E626" t="inlineStr">
        <is>
          <t>D420</t>
        </is>
      </c>
      <c r="G626" s="32" t="n">
        <v>45761.6875</v>
      </c>
      <c r="H626" s="32" t="n">
        <v>45761.70069444444</v>
      </c>
      <c r="I626" t="inlineStr">
        <is>
          <t>S93.401A</t>
        </is>
      </c>
      <c r="J626" t="inlineStr">
        <is>
          <t>PY01</t>
        </is>
      </c>
      <c r="K626" s="33" t="n">
        <v>630.75</v>
      </c>
      <c r="L626" s="34" t="n"/>
    </row>
    <row r="627">
      <c r="A627" t="inlineStr">
        <is>
          <t>ENC114197</t>
        </is>
      </c>
      <c r="B627" t="inlineStr">
        <is>
          <t>PT11462</t>
        </is>
      </c>
      <c r="C627" t="inlineStr">
        <is>
          <t>Emergency</t>
        </is>
      </c>
      <c r="D627" t="inlineStr">
        <is>
          <t>F01</t>
        </is>
      </c>
      <c r="E627" t="inlineStr">
        <is>
          <t>D100</t>
        </is>
      </c>
      <c r="G627" s="32" t="n">
        <v>45761.80277777778</v>
      </c>
      <c r="H627" s="32" t="n">
        <v>45761.89513888889</v>
      </c>
      <c r="I627" t="inlineStr">
        <is>
          <t>F20.9</t>
        </is>
      </c>
      <c r="J627" t="inlineStr">
        <is>
          <t>PY04</t>
        </is>
      </c>
      <c r="K627" s="33" t="n">
        <v>8323.09</v>
      </c>
      <c r="L627" s="34" t="n"/>
    </row>
    <row r="628">
      <c r="A628" t="inlineStr">
        <is>
          <t>ENC114202</t>
        </is>
      </c>
      <c r="B628" t="inlineStr">
        <is>
          <t>PT10087</t>
        </is>
      </c>
      <c r="C628" t="inlineStr">
        <is>
          <t>Emergency</t>
        </is>
      </c>
      <c r="D628" t="inlineStr">
        <is>
          <t>F01</t>
        </is>
      </c>
      <c r="E628" t="inlineStr">
        <is>
          <t>D100</t>
        </is>
      </c>
      <c r="G628" s="32" t="n">
        <v>45761.96666666667</v>
      </c>
      <c r="H628" s="32" t="n">
        <v>45762.04097222222</v>
      </c>
      <c r="I628" t="inlineStr">
        <is>
          <t>E86.0</t>
        </is>
      </c>
      <c r="J628" t="inlineStr">
        <is>
          <t>PY05</t>
        </is>
      </c>
      <c r="K628" s="33" t="n">
        <v>2344.43</v>
      </c>
      <c r="L628" s="34" t="n"/>
    </row>
    <row r="629">
      <c r="A629" t="inlineStr">
        <is>
          <t>ENC114206</t>
        </is>
      </c>
      <c r="B629" t="inlineStr">
        <is>
          <t>PT12789</t>
        </is>
      </c>
      <c r="C629" t="inlineStr">
        <is>
          <t>Outpatient</t>
        </is>
      </c>
      <c r="D629" t="inlineStr">
        <is>
          <t>F04</t>
        </is>
      </c>
      <c r="E629" t="inlineStr">
        <is>
          <t>D400</t>
        </is>
      </c>
      <c r="G629" s="32" t="n">
        <v>45762.39583333334</v>
      </c>
      <c r="H629" s="32" t="n">
        <v>45762.42638888889</v>
      </c>
      <c r="I629" t="inlineStr">
        <is>
          <t>I10</t>
        </is>
      </c>
      <c r="J629" t="inlineStr">
        <is>
          <t>PY01</t>
        </is>
      </c>
      <c r="K629" s="33" t="n">
        <v>282.17</v>
      </c>
      <c r="L629" s="34" t="n"/>
    </row>
    <row r="630">
      <c r="A630" t="inlineStr">
        <is>
          <t>ENC114213</t>
        </is>
      </c>
      <c r="B630" t="inlineStr">
        <is>
          <t>PT11993</t>
        </is>
      </c>
      <c r="C630" t="inlineStr">
        <is>
          <t>Emergency</t>
        </is>
      </c>
      <c r="D630" t="inlineStr">
        <is>
          <t>F01</t>
        </is>
      </c>
      <c r="E630" t="inlineStr">
        <is>
          <t>D100</t>
        </is>
      </c>
      <c r="G630" s="32" t="n">
        <v>45762.48194444444</v>
      </c>
      <c r="H630" s="32" t="n">
        <v>45762.65277777778</v>
      </c>
      <c r="I630" t="inlineStr">
        <is>
          <t>R07.9</t>
        </is>
      </c>
      <c r="J630" t="inlineStr">
        <is>
          <t>PY03</t>
        </is>
      </c>
      <c r="K630" s="33" t="n">
        <v>4794.73</v>
      </c>
      <c r="L630" s="34" t="n"/>
    </row>
    <row r="631">
      <c r="A631" t="inlineStr">
        <is>
          <t>ENC114218</t>
        </is>
      </c>
      <c r="B631" t="inlineStr">
        <is>
          <t>PT13036</t>
        </is>
      </c>
      <c r="C631" t="inlineStr">
        <is>
          <t>Outpatient</t>
        </is>
      </c>
      <c r="D631" t="inlineStr">
        <is>
          <t>F04</t>
        </is>
      </c>
      <c r="E631" t="inlineStr">
        <is>
          <t>D400</t>
        </is>
      </c>
      <c r="G631" s="32" t="n">
        <v>45762.58333333334</v>
      </c>
      <c r="H631" s="32" t="n">
        <v>45762.60763888889</v>
      </c>
      <c r="I631" t="inlineStr">
        <is>
          <t>F41.9</t>
        </is>
      </c>
      <c r="J631" t="inlineStr">
        <is>
          <t>PY04</t>
        </is>
      </c>
      <c r="K631" s="33" t="n">
        <v>346.5</v>
      </c>
      <c r="L631" s="34" t="n"/>
    </row>
    <row r="632">
      <c r="A632" t="inlineStr">
        <is>
          <t>ENC114224</t>
        </is>
      </c>
      <c r="B632" t="inlineStr">
        <is>
          <t>PT10500</t>
        </is>
      </c>
      <c r="C632" t="inlineStr">
        <is>
          <t>Emergency</t>
        </is>
      </c>
      <c r="D632" t="inlineStr">
        <is>
          <t>F02</t>
        </is>
      </c>
      <c r="E632" t="inlineStr">
        <is>
          <t>D200</t>
        </is>
      </c>
      <c r="G632" s="32" t="n">
        <v>45762.81875</v>
      </c>
      <c r="H632" s="32" t="n">
        <v>45762.89722222222</v>
      </c>
      <c r="I632" t="inlineStr">
        <is>
          <t>J06.9</t>
        </is>
      </c>
      <c r="J632" t="inlineStr">
        <is>
          <t>PY05</t>
        </is>
      </c>
      <c r="K632" s="33" t="n">
        <v>1198.12</v>
      </c>
      <c r="L632" s="34" t="n"/>
    </row>
    <row r="633">
      <c r="A633" t="inlineStr">
        <is>
          <t>ENC114229</t>
        </is>
      </c>
      <c r="B633" t="inlineStr">
        <is>
          <t>PT11411</t>
        </is>
      </c>
      <c r="C633" t="inlineStr">
        <is>
          <t>Emergency</t>
        </is>
      </c>
      <c r="D633" t="inlineStr">
        <is>
          <t>F01</t>
        </is>
      </c>
      <c r="E633" t="inlineStr">
        <is>
          <t>D100</t>
        </is>
      </c>
      <c r="G633" s="32" t="n">
        <v>45763.25833333333</v>
      </c>
      <c r="H633" s="32" t="n">
        <v>45763.37708333333</v>
      </c>
      <c r="I633" t="inlineStr">
        <is>
          <t>M54.50</t>
        </is>
      </c>
      <c r="J633" t="inlineStr">
        <is>
          <t>PY04</t>
        </is>
      </c>
      <c r="K633" s="33" t="n">
        <v>2935.03</v>
      </c>
      <c r="L633" s="34" t="n"/>
    </row>
    <row r="634">
      <c r="A634" t="inlineStr">
        <is>
          <t>ENC114234</t>
        </is>
      </c>
      <c r="B634" t="inlineStr">
        <is>
          <t>PT12569</t>
        </is>
      </c>
      <c r="C634" t="inlineStr">
        <is>
          <t>Outpatient</t>
        </is>
      </c>
      <c r="D634" t="inlineStr">
        <is>
          <t>F04</t>
        </is>
      </c>
      <c r="E634" t="inlineStr">
        <is>
          <t>D400</t>
        </is>
      </c>
      <c r="G634" s="32" t="n">
        <v>45763.375</v>
      </c>
      <c r="H634" s="32" t="n">
        <v>45763.40486111111</v>
      </c>
      <c r="I634" t="inlineStr">
        <is>
          <t>J06.9</t>
        </is>
      </c>
      <c r="J634" t="inlineStr">
        <is>
          <t>PY01</t>
        </is>
      </c>
      <c r="K634" s="33" t="n">
        <v>270.67</v>
      </c>
      <c r="L634" s="34" t="n"/>
    </row>
    <row r="635">
      <c r="A635" t="inlineStr">
        <is>
          <t>ENC114243</t>
        </is>
      </c>
      <c r="B635" t="inlineStr">
        <is>
          <t>PT12193</t>
        </is>
      </c>
      <c r="C635" t="inlineStr">
        <is>
          <t>Outpatient</t>
        </is>
      </c>
      <c r="D635" t="inlineStr">
        <is>
          <t>F04</t>
        </is>
      </c>
      <c r="E635" t="inlineStr">
        <is>
          <t>D440</t>
        </is>
      </c>
      <c r="G635" s="32" t="n">
        <v>45763.48958333334</v>
      </c>
      <c r="H635" s="32" t="n">
        <v>45763.51458333333</v>
      </c>
      <c r="I635" t="inlineStr">
        <is>
          <t>E11.65</t>
        </is>
      </c>
      <c r="J635" t="inlineStr">
        <is>
          <t>PY01</t>
        </is>
      </c>
      <c r="K635" s="33" t="n">
        <v>526.61</v>
      </c>
      <c r="L635" s="34" t="n"/>
    </row>
    <row r="636">
      <c r="A636" t="inlineStr">
        <is>
          <t>ENC114235</t>
        </is>
      </c>
      <c r="B636" t="inlineStr">
        <is>
          <t>PT12931</t>
        </is>
      </c>
      <c r="C636" t="inlineStr">
        <is>
          <t>Observation</t>
        </is>
      </c>
      <c r="D636" t="inlineStr">
        <is>
          <t>F02</t>
        </is>
      </c>
      <c r="E636" t="inlineStr">
        <is>
          <t>D210</t>
        </is>
      </c>
      <c r="F636" t="inlineStr">
        <is>
          <t>Emergency Department</t>
        </is>
      </c>
      <c r="G636" s="32" t="n">
        <v>45763.54027777778</v>
      </c>
      <c r="H636" s="32" t="n">
        <v>45764.69027777778</v>
      </c>
      <c r="I636" t="inlineStr">
        <is>
          <t>R07.9</t>
        </is>
      </c>
      <c r="J636" t="inlineStr">
        <is>
          <t>PY02</t>
        </is>
      </c>
      <c r="K636" s="33" t="n">
        <v>6363.53</v>
      </c>
      <c r="L636" s="34" t="n"/>
    </row>
    <row r="637">
      <c r="A637" t="inlineStr">
        <is>
          <t>ENC114252</t>
        </is>
      </c>
      <c r="B637" t="inlineStr">
        <is>
          <t>PT11955</t>
        </is>
      </c>
      <c r="C637" t="inlineStr">
        <is>
          <t>Outpatient</t>
        </is>
      </c>
      <c r="D637" t="inlineStr">
        <is>
          <t>F04</t>
        </is>
      </c>
      <c r="E637" t="inlineStr">
        <is>
          <t>D420</t>
        </is>
      </c>
      <c r="G637" s="32" t="n">
        <v>45763.625</v>
      </c>
      <c r="H637" s="32" t="n">
        <v>45763.63541666666</v>
      </c>
      <c r="I637" t="inlineStr">
        <is>
          <t>M17.11</t>
        </is>
      </c>
      <c r="J637" t="inlineStr">
        <is>
          <t>PY01</t>
        </is>
      </c>
      <c r="K637" s="33" t="n">
        <v>176.06</v>
      </c>
      <c r="L637" s="34" t="n"/>
    </row>
    <row r="638">
      <c r="A638" t="inlineStr">
        <is>
          <t>ENC114258</t>
        </is>
      </c>
      <c r="B638" t="inlineStr">
        <is>
          <t>PT10721</t>
        </is>
      </c>
      <c r="C638" t="inlineStr">
        <is>
          <t>Emergency</t>
        </is>
      </c>
      <c r="D638" t="inlineStr">
        <is>
          <t>F03</t>
        </is>
      </c>
      <c r="E638" t="inlineStr">
        <is>
          <t>D300</t>
        </is>
      </c>
      <c r="G638" s="32" t="n">
        <v>45763.72361111111</v>
      </c>
      <c r="H638" s="32" t="n">
        <v>45763.88263888889</v>
      </c>
      <c r="I638" t="inlineStr">
        <is>
          <t>M54.50</t>
        </is>
      </c>
      <c r="J638" t="inlineStr">
        <is>
          <t>PY01</t>
        </is>
      </c>
      <c r="K638" s="33" t="n">
        <v>3368.49</v>
      </c>
      <c r="L638" s="34" t="n"/>
    </row>
    <row r="639">
      <c r="A639" t="inlineStr">
        <is>
          <t>ENC114255</t>
        </is>
      </c>
      <c r="B639" t="inlineStr">
        <is>
          <t>PT11726</t>
        </is>
      </c>
      <c r="C639" t="inlineStr">
        <is>
          <t>Inpatient</t>
        </is>
      </c>
      <c r="D639" t="inlineStr">
        <is>
          <t>F01</t>
        </is>
      </c>
      <c r="E639" t="inlineStr">
        <is>
          <t>D190</t>
        </is>
      </c>
      <c r="F639" t="inlineStr">
        <is>
          <t>Emergency Department</t>
        </is>
      </c>
      <c r="G639" s="32" t="n">
        <v>45763.80416666667</v>
      </c>
      <c r="H639" s="32" t="n">
        <v>45771.55972222222</v>
      </c>
      <c r="I639" t="inlineStr">
        <is>
          <t>F32.9</t>
        </is>
      </c>
      <c r="J639" t="inlineStr">
        <is>
          <t>PY01</t>
        </is>
      </c>
      <c r="K639" s="33" t="n">
        <v>30022.56</v>
      </c>
      <c r="L639" s="34" t="n"/>
    </row>
    <row r="640">
      <c r="A640" t="inlineStr">
        <is>
          <t>ENC114269</t>
        </is>
      </c>
      <c r="B640" t="inlineStr">
        <is>
          <t>PT12727</t>
        </is>
      </c>
      <c r="C640" t="inlineStr">
        <is>
          <t>Outpatient</t>
        </is>
      </c>
      <c r="D640" t="inlineStr">
        <is>
          <t>F04</t>
        </is>
      </c>
      <c r="E640" t="inlineStr">
        <is>
          <t>D440</t>
        </is>
      </c>
      <c r="G640" s="32" t="n">
        <v>45764.38541666666</v>
      </c>
      <c r="H640" s="32" t="n">
        <v>45764.40208333333</v>
      </c>
      <c r="I640" t="inlineStr">
        <is>
          <t>E11.9</t>
        </is>
      </c>
      <c r="J640" t="inlineStr">
        <is>
          <t>PY01</t>
        </is>
      </c>
      <c r="K640" s="33" t="n">
        <v>231.95</v>
      </c>
      <c r="L640" s="34" t="n"/>
    </row>
    <row r="641">
      <c r="A641" t="inlineStr">
        <is>
          <t>ENC114275</t>
        </is>
      </c>
      <c r="B641" t="inlineStr">
        <is>
          <t>PT10776</t>
        </is>
      </c>
      <c r="C641" t="inlineStr">
        <is>
          <t>Outpatient</t>
        </is>
      </c>
      <c r="D641" t="inlineStr">
        <is>
          <t>F04</t>
        </is>
      </c>
      <c r="E641" t="inlineStr">
        <is>
          <t>D430</t>
        </is>
      </c>
      <c r="G641" s="32" t="n">
        <v>45764.41666666666</v>
      </c>
      <c r="H641" s="32" t="n">
        <v>45764.5875</v>
      </c>
      <c r="I641" t="inlineStr">
        <is>
          <t>Z51.11</t>
        </is>
      </c>
      <c r="J641" t="inlineStr">
        <is>
          <t>PY03</t>
        </is>
      </c>
      <c r="K641" s="33" t="n">
        <v>6115.47</v>
      </c>
      <c r="L641" s="34" t="n"/>
    </row>
    <row r="642">
      <c r="A642" t="inlineStr">
        <is>
          <t>ENC114276</t>
        </is>
      </c>
      <c r="B642" t="inlineStr">
        <is>
          <t>PT13126</t>
        </is>
      </c>
      <c r="C642" t="inlineStr">
        <is>
          <t>Observation</t>
        </is>
      </c>
      <c r="D642" t="inlineStr">
        <is>
          <t>F03</t>
        </is>
      </c>
      <c r="E642" t="inlineStr">
        <is>
          <t>D310</t>
        </is>
      </c>
      <c r="F642" t="inlineStr">
        <is>
          <t>Emergency Department</t>
        </is>
      </c>
      <c r="G642" s="32" t="n">
        <v>45764.50277777778</v>
      </c>
      <c r="H642" s="32" t="n">
        <v>45765.32013888889</v>
      </c>
      <c r="I642" t="inlineStr">
        <is>
          <t>I48.91</t>
        </is>
      </c>
      <c r="J642" t="inlineStr">
        <is>
          <t>PY04</t>
        </is>
      </c>
      <c r="K642" s="33" t="n">
        <v>8994.450000000001</v>
      </c>
      <c r="L642" s="34" t="n"/>
    </row>
    <row r="643">
      <c r="A643" t="inlineStr">
        <is>
          <t>ENC114285</t>
        </is>
      </c>
      <c r="B643" t="inlineStr">
        <is>
          <t>PT10047</t>
        </is>
      </c>
      <c r="C643" t="inlineStr">
        <is>
          <t>Outpatient</t>
        </is>
      </c>
      <c r="D643" t="inlineStr">
        <is>
          <t>F04</t>
        </is>
      </c>
      <c r="E643" t="inlineStr">
        <is>
          <t>D450</t>
        </is>
      </c>
      <c r="G643" s="32" t="n">
        <v>45764.58333333334</v>
      </c>
      <c r="H643" s="32" t="n">
        <v>45764.59861111111</v>
      </c>
      <c r="I643" t="inlineStr">
        <is>
          <t>Z00.129</t>
        </is>
      </c>
      <c r="J643" t="inlineStr">
        <is>
          <t>PY03</t>
        </is>
      </c>
      <c r="K643" s="33" t="n">
        <v>350.86</v>
      </c>
      <c r="L643" s="34" t="n"/>
    </row>
    <row r="644">
      <c r="A644" t="inlineStr">
        <is>
          <t>ENC114291</t>
        </is>
      </c>
      <c r="B644" t="inlineStr">
        <is>
          <t>PT13993</t>
        </is>
      </c>
      <c r="C644" t="inlineStr">
        <is>
          <t>Outpatient</t>
        </is>
      </c>
      <c r="D644" t="inlineStr">
        <is>
          <t>F04</t>
        </is>
      </c>
      <c r="E644" t="inlineStr">
        <is>
          <t>D440</t>
        </is>
      </c>
      <c r="G644" s="32" t="n">
        <v>45764.64583333334</v>
      </c>
      <c r="H644" s="32" t="n">
        <v>45764.67708333334</v>
      </c>
      <c r="I644" t="inlineStr">
        <is>
          <t>E11.9</t>
        </is>
      </c>
      <c r="J644" t="inlineStr">
        <is>
          <t>PY05</t>
        </is>
      </c>
      <c r="K644" s="33" t="n">
        <v>259.14</v>
      </c>
      <c r="L644" s="34" t="n"/>
    </row>
    <row r="645">
      <c r="A645" t="inlineStr">
        <is>
          <t>ENC114298</t>
        </is>
      </c>
      <c r="B645" t="inlineStr">
        <is>
          <t>PT10798</t>
        </is>
      </c>
      <c r="C645" t="inlineStr">
        <is>
          <t>Emergency</t>
        </is>
      </c>
      <c r="D645" t="inlineStr">
        <is>
          <t>F03</t>
        </is>
      </c>
      <c r="E645" t="inlineStr">
        <is>
          <t>D300</t>
        </is>
      </c>
      <c r="G645" s="32" t="n">
        <v>45764.98402777778</v>
      </c>
      <c r="H645" s="32" t="n">
        <v>45765.07569444444</v>
      </c>
      <c r="I645" t="inlineStr">
        <is>
          <t>J06.9</t>
        </is>
      </c>
      <c r="J645" t="inlineStr">
        <is>
          <t>PY06</t>
        </is>
      </c>
      <c r="K645" s="33" t="n">
        <v>976.73</v>
      </c>
      <c r="L645" s="34" t="n"/>
    </row>
    <row r="646">
      <c r="A646" t="inlineStr">
        <is>
          <t>ENC114300</t>
        </is>
      </c>
      <c r="B646" t="inlineStr">
        <is>
          <t>PT12905</t>
        </is>
      </c>
      <c r="C646" t="inlineStr">
        <is>
          <t>Inpatient</t>
        </is>
      </c>
      <c r="D646" t="inlineStr">
        <is>
          <t>F01</t>
        </is>
      </c>
      <c r="E646" t="inlineStr">
        <is>
          <t>D111</t>
        </is>
      </c>
      <c r="F646" t="inlineStr">
        <is>
          <t>Emergency Department</t>
        </is>
      </c>
      <c r="G646" s="32" t="n">
        <v>45765.25277777778</v>
      </c>
      <c r="H646" s="32" t="n">
        <v>45766.43611111111</v>
      </c>
      <c r="I646" t="inlineStr">
        <is>
          <t>E11.65</t>
        </is>
      </c>
      <c r="J646" t="inlineStr">
        <is>
          <t>PY01</t>
        </is>
      </c>
      <c r="K646" s="33" t="n">
        <v>6936.31</v>
      </c>
      <c r="L646" s="34" t="n"/>
    </row>
    <row r="647">
      <c r="A647" t="inlineStr">
        <is>
          <t>ENC114309</t>
        </is>
      </c>
      <c r="B647" t="inlineStr">
        <is>
          <t>PT10395</t>
        </is>
      </c>
      <c r="C647" t="inlineStr">
        <is>
          <t>Outpatient</t>
        </is>
      </c>
      <c r="D647" t="inlineStr">
        <is>
          <t>F04</t>
        </is>
      </c>
      <c r="E647" t="inlineStr">
        <is>
          <t>D400</t>
        </is>
      </c>
      <c r="G647" s="32" t="n">
        <v>45765.375</v>
      </c>
      <c r="H647" s="32" t="n">
        <v>45765.39513888889</v>
      </c>
      <c r="I647" t="inlineStr">
        <is>
          <t>Z00.00</t>
        </is>
      </c>
      <c r="J647" t="inlineStr">
        <is>
          <t>PY02</t>
        </is>
      </c>
      <c r="K647" s="33" t="n">
        <v>469.18</v>
      </c>
      <c r="L647" s="34" t="n"/>
    </row>
    <row r="648">
      <c r="A648" t="inlineStr">
        <is>
          <t>ENC114315</t>
        </is>
      </c>
      <c r="B648" t="inlineStr">
        <is>
          <t>PT13915</t>
        </is>
      </c>
      <c r="C648" t="inlineStr">
        <is>
          <t>Outpatient</t>
        </is>
      </c>
      <c r="D648" t="inlineStr">
        <is>
          <t>F04</t>
        </is>
      </c>
      <c r="E648" t="inlineStr">
        <is>
          <t>D430</t>
        </is>
      </c>
      <c r="G648" s="32" t="n">
        <v>45765.5</v>
      </c>
      <c r="H648" s="32" t="n">
        <v>45765.67083333333</v>
      </c>
      <c r="I648" t="inlineStr">
        <is>
          <t>Z51.11</t>
        </is>
      </c>
      <c r="J648" t="inlineStr">
        <is>
          <t>PY02</t>
        </is>
      </c>
      <c r="K648" s="33" t="n">
        <v>7526.26</v>
      </c>
      <c r="L648" s="34" t="n"/>
    </row>
    <row r="649">
      <c r="A649" t="inlineStr">
        <is>
          <t>ENC114322</t>
        </is>
      </c>
      <c r="B649" t="inlineStr">
        <is>
          <t>PT10747</t>
        </is>
      </c>
      <c r="C649" t="inlineStr">
        <is>
          <t>Outpatient</t>
        </is>
      </c>
      <c r="D649" t="inlineStr">
        <is>
          <t>F04</t>
        </is>
      </c>
      <c r="E649" t="inlineStr">
        <is>
          <t>D400</t>
        </is>
      </c>
      <c r="G649" s="32" t="n">
        <v>45765.54166666666</v>
      </c>
      <c r="H649" s="32" t="n">
        <v>45765.57638888889</v>
      </c>
      <c r="I649" t="inlineStr">
        <is>
          <t>Z23</t>
        </is>
      </c>
      <c r="J649" t="inlineStr">
        <is>
          <t>PY03</t>
        </is>
      </c>
      <c r="K649" s="33" t="n">
        <v>140.74</v>
      </c>
      <c r="L649" s="34" t="n"/>
    </row>
    <row r="650">
      <c r="A650" t="inlineStr">
        <is>
          <t>ENC114313</t>
        </is>
      </c>
      <c r="B650" t="inlineStr">
        <is>
          <t>PT13767</t>
        </is>
      </c>
      <c r="C650" t="inlineStr">
        <is>
          <t>Inpatient</t>
        </is>
      </c>
      <c r="D650" t="inlineStr">
        <is>
          <t>F01</t>
        </is>
      </c>
      <c r="E650" t="inlineStr">
        <is>
          <t>D110</t>
        </is>
      </c>
      <c r="F650" t="inlineStr">
        <is>
          <t>Emergency Department</t>
        </is>
      </c>
      <c r="G650" s="32" t="n">
        <v>45765.575</v>
      </c>
      <c r="H650" s="32" t="n">
        <v>45768.75138888889</v>
      </c>
      <c r="I650" t="inlineStr">
        <is>
          <t>E11.65</t>
        </is>
      </c>
      <c r="J650" t="inlineStr">
        <is>
          <t>PY01</t>
        </is>
      </c>
      <c r="K650" s="33" t="n">
        <v>17202.4</v>
      </c>
      <c r="L650" s="34" t="n"/>
    </row>
    <row r="651">
      <c r="A651" t="inlineStr">
        <is>
          <t>ENC114330</t>
        </is>
      </c>
      <c r="B651" t="inlineStr">
        <is>
          <t>PT10755</t>
        </is>
      </c>
      <c r="C651" t="inlineStr">
        <is>
          <t>Outpatient</t>
        </is>
      </c>
      <c r="D651" t="inlineStr">
        <is>
          <t>F04</t>
        </is>
      </c>
      <c r="E651" t="inlineStr">
        <is>
          <t>D410</t>
        </is>
      </c>
      <c r="G651" s="32" t="n">
        <v>45765.67708333334</v>
      </c>
      <c r="H651" s="32" t="n">
        <v>45765.69583333333</v>
      </c>
      <c r="I651" t="inlineStr">
        <is>
          <t>I48.91</t>
        </is>
      </c>
      <c r="J651" t="inlineStr">
        <is>
          <t>PY04</t>
        </is>
      </c>
      <c r="K651" s="33" t="n">
        <v>437.42</v>
      </c>
      <c r="L651" s="34" t="n"/>
    </row>
    <row r="652">
      <c r="A652" t="inlineStr">
        <is>
          <t>ENC114335</t>
        </is>
      </c>
      <c r="B652" t="inlineStr">
        <is>
          <t>PT10285</t>
        </is>
      </c>
      <c r="C652" t="inlineStr">
        <is>
          <t>Emergency</t>
        </is>
      </c>
      <c r="D652" t="inlineStr">
        <is>
          <t>F01</t>
        </is>
      </c>
      <c r="E652" t="inlineStr">
        <is>
          <t>D100</t>
        </is>
      </c>
      <c r="G652" s="32" t="n">
        <v>45766.09583333333</v>
      </c>
      <c r="H652" s="32" t="n">
        <v>45766.22569444445</v>
      </c>
      <c r="I652" t="inlineStr">
        <is>
          <t>U07.1</t>
        </is>
      </c>
      <c r="J652" t="inlineStr">
        <is>
          <t>PY01</t>
        </is>
      </c>
      <c r="K652" s="33" t="n">
        <v>3310.54</v>
      </c>
      <c r="L652" s="34" t="n"/>
    </row>
    <row r="653">
      <c r="A653" t="inlineStr">
        <is>
          <t>ENC114340</t>
        </is>
      </c>
      <c r="B653" t="inlineStr">
        <is>
          <t>PT13410</t>
        </is>
      </c>
      <c r="C653" t="inlineStr">
        <is>
          <t>Emergency</t>
        </is>
      </c>
      <c r="D653" t="inlineStr">
        <is>
          <t>F01</t>
        </is>
      </c>
      <c r="E653" t="inlineStr">
        <is>
          <t>D100</t>
        </is>
      </c>
      <c r="G653" s="32" t="n">
        <v>45766.575</v>
      </c>
      <c r="H653" s="32" t="n">
        <v>45766.67986111111</v>
      </c>
      <c r="I653" t="inlineStr">
        <is>
          <t>S93.401A</t>
        </is>
      </c>
      <c r="J653" t="inlineStr">
        <is>
          <t>PY06</t>
        </is>
      </c>
      <c r="K653" s="33" t="n">
        <v>998.11</v>
      </c>
      <c r="L653" s="34" t="n"/>
    </row>
    <row r="654">
      <c r="A654" t="inlineStr">
        <is>
          <t>ENC114346</t>
        </is>
      </c>
      <c r="B654" t="inlineStr">
        <is>
          <t>PT10323</t>
        </is>
      </c>
      <c r="C654" t="inlineStr">
        <is>
          <t>Observation</t>
        </is>
      </c>
      <c r="D654" t="inlineStr">
        <is>
          <t>F03</t>
        </is>
      </c>
      <c r="E654" t="inlineStr">
        <is>
          <t>D310</t>
        </is>
      </c>
      <c r="F654" t="inlineStr">
        <is>
          <t>Emergency Department</t>
        </is>
      </c>
      <c r="G654" s="32" t="n">
        <v>45766.97083333333</v>
      </c>
      <c r="H654" s="32" t="n">
        <v>45767.72708333333</v>
      </c>
      <c r="I654" t="inlineStr">
        <is>
          <t>R10.9</t>
        </is>
      </c>
      <c r="J654" t="inlineStr">
        <is>
          <t>PY03</t>
        </is>
      </c>
      <c r="K654" s="33" t="n">
        <v>10641</v>
      </c>
      <c r="L654" s="34" t="n"/>
    </row>
    <row r="655">
      <c r="A655" t="inlineStr">
        <is>
          <t>ENC114351</t>
        </is>
      </c>
      <c r="B655" t="inlineStr">
        <is>
          <t>PT13060</t>
        </is>
      </c>
      <c r="C655" t="inlineStr">
        <is>
          <t>Emergency</t>
        </is>
      </c>
      <c r="D655" t="inlineStr">
        <is>
          <t>F01</t>
        </is>
      </c>
      <c r="E655" t="inlineStr">
        <is>
          <t>D100</t>
        </is>
      </c>
      <c r="G655" s="32" t="n">
        <v>45767.37638888889</v>
      </c>
      <c r="H655" s="32" t="n">
        <v>45767.49444444444</v>
      </c>
      <c r="I655" t="inlineStr">
        <is>
          <t>J06.9</t>
        </is>
      </c>
      <c r="J655" t="inlineStr">
        <is>
          <t>PY03</t>
        </is>
      </c>
      <c r="K655" s="33" t="n">
        <v>1252.97</v>
      </c>
      <c r="L655" s="34" t="n"/>
    </row>
    <row r="656">
      <c r="A656" t="inlineStr">
        <is>
          <t>ENC114359</t>
        </is>
      </c>
      <c r="B656" t="inlineStr">
        <is>
          <t>PT11296</t>
        </is>
      </c>
      <c r="C656" t="inlineStr">
        <is>
          <t>Emergency</t>
        </is>
      </c>
      <c r="D656" t="inlineStr">
        <is>
          <t>F01</t>
        </is>
      </c>
      <c r="E656" t="inlineStr">
        <is>
          <t>D100</t>
        </is>
      </c>
      <c r="G656" s="32" t="n">
        <v>45767.57638888889</v>
      </c>
      <c r="H656" s="32" t="n">
        <v>45767.68333333333</v>
      </c>
      <c r="I656" t="inlineStr">
        <is>
          <t>A08.4</t>
        </is>
      </c>
      <c r="J656" t="inlineStr">
        <is>
          <t>PY05</t>
        </is>
      </c>
      <c r="K656" s="33" t="n">
        <v>942.4400000000001</v>
      </c>
      <c r="L656" s="34" t="n"/>
    </row>
    <row r="657">
      <c r="A657" t="inlineStr">
        <is>
          <t>ENC114357</t>
        </is>
      </c>
      <c r="B657" t="inlineStr">
        <is>
          <t>PT13282</t>
        </is>
      </c>
      <c r="C657" t="inlineStr">
        <is>
          <t>Inpatient</t>
        </is>
      </c>
      <c r="D657" t="inlineStr">
        <is>
          <t>F01</t>
        </is>
      </c>
      <c r="E657" t="inlineStr">
        <is>
          <t>D111</t>
        </is>
      </c>
      <c r="F657" t="inlineStr">
        <is>
          <t>Emergency Department</t>
        </is>
      </c>
      <c r="G657" s="32" t="n">
        <v>45767.73194444444</v>
      </c>
      <c r="H657" s="32" t="n">
        <v>45771.69305555556</v>
      </c>
      <c r="I657" t="inlineStr">
        <is>
          <t>E87.1</t>
        </is>
      </c>
      <c r="J657" t="inlineStr">
        <is>
          <t>PY04</t>
        </is>
      </c>
      <c r="K657" s="33" t="n">
        <v>11220.62</v>
      </c>
      <c r="L657" s="34" t="n"/>
    </row>
    <row r="658">
      <c r="A658" t="inlineStr">
        <is>
          <t>ENC114368</t>
        </is>
      </c>
      <c r="B658" t="inlineStr">
        <is>
          <t>PT10403</t>
        </is>
      </c>
      <c r="C658" t="inlineStr">
        <is>
          <t>Inpatient</t>
        </is>
      </c>
      <c r="D658" t="inlineStr">
        <is>
          <t>F01</t>
        </is>
      </c>
      <c r="E658" t="inlineStr">
        <is>
          <t>D140</t>
        </is>
      </c>
      <c r="F658" t="inlineStr">
        <is>
          <t>Elective</t>
        </is>
      </c>
      <c r="G658" s="32" t="n">
        <v>45768.27916666667</v>
      </c>
      <c r="H658" s="32" t="n">
        <v>45770.45833333334</v>
      </c>
      <c r="I658" t="inlineStr">
        <is>
          <t>M17.11</t>
        </is>
      </c>
      <c r="J658" t="inlineStr">
        <is>
          <t>PY01</t>
        </is>
      </c>
      <c r="K658" s="33" t="n">
        <v>52964.97</v>
      </c>
      <c r="L658" s="34" t="n"/>
    </row>
    <row r="659">
      <c r="A659" t="inlineStr">
        <is>
          <t>ENC114375</t>
        </is>
      </c>
      <c r="B659" t="inlineStr">
        <is>
          <t>PT13838</t>
        </is>
      </c>
      <c r="C659" t="inlineStr">
        <is>
          <t>Emergency</t>
        </is>
      </c>
      <c r="D659" t="inlineStr">
        <is>
          <t>F01</t>
        </is>
      </c>
      <c r="E659" t="inlineStr">
        <is>
          <t>D100</t>
        </is>
      </c>
      <c r="G659" s="32" t="n">
        <v>45768.44166666667</v>
      </c>
      <c r="H659" s="32" t="n">
        <v>45768.54513888889</v>
      </c>
      <c r="I659" t="inlineStr">
        <is>
          <t>R55</t>
        </is>
      </c>
      <c r="J659" t="inlineStr">
        <is>
          <t>PY03</t>
        </is>
      </c>
      <c r="K659" s="33" t="n">
        <v>2794.67</v>
      </c>
      <c r="L659" s="34" t="n"/>
    </row>
    <row r="660">
      <c r="A660" t="inlineStr">
        <is>
          <t>ENC114380</t>
        </is>
      </c>
      <c r="B660" t="inlineStr">
        <is>
          <t>PT10805</t>
        </is>
      </c>
      <c r="C660" t="inlineStr">
        <is>
          <t>Outpatient</t>
        </is>
      </c>
      <c r="D660" t="inlineStr">
        <is>
          <t>F04</t>
        </is>
      </c>
      <c r="E660" t="inlineStr">
        <is>
          <t>D430</t>
        </is>
      </c>
      <c r="G660" s="32" t="n">
        <v>45768.5</v>
      </c>
      <c r="H660" s="32" t="n">
        <v>45768.65555555555</v>
      </c>
      <c r="I660" t="inlineStr">
        <is>
          <t>Z51.11</t>
        </is>
      </c>
      <c r="J660" t="inlineStr">
        <is>
          <t>PY01</t>
        </is>
      </c>
      <c r="K660" s="33" t="n">
        <v>14611.82</v>
      </c>
      <c r="L660" s="34" t="n"/>
    </row>
    <row r="661">
      <c r="A661" t="inlineStr">
        <is>
          <t>ENC114388</t>
        </is>
      </c>
      <c r="B661" t="inlineStr">
        <is>
          <t>PT13885</t>
        </is>
      </c>
      <c r="C661" t="inlineStr">
        <is>
          <t>Outpatient</t>
        </is>
      </c>
      <c r="D661" t="inlineStr">
        <is>
          <t>F04</t>
        </is>
      </c>
      <c r="E661" t="inlineStr">
        <is>
          <t>D430</t>
        </is>
      </c>
      <c r="G661" s="32" t="n">
        <v>45768.59375</v>
      </c>
      <c r="H661" s="32" t="n">
        <v>45768.6125</v>
      </c>
      <c r="I661" t="inlineStr">
        <is>
          <t>C34.90</t>
        </is>
      </c>
      <c r="J661" t="inlineStr">
        <is>
          <t>PY03</t>
        </is>
      </c>
      <c r="K661" s="33" t="n">
        <v>1042.85</v>
      </c>
      <c r="L661" s="34" t="n"/>
    </row>
    <row r="662">
      <c r="A662" t="inlineStr">
        <is>
          <t>ENC114381</t>
        </is>
      </c>
      <c r="B662" t="inlineStr">
        <is>
          <t>PT10455</t>
        </is>
      </c>
      <c r="C662" t="inlineStr">
        <is>
          <t>Inpatient</t>
        </is>
      </c>
      <c r="D662" t="inlineStr">
        <is>
          <t>F03</t>
        </is>
      </c>
      <c r="E662" t="inlineStr">
        <is>
          <t>D310</t>
        </is>
      </c>
      <c r="F662" t="inlineStr">
        <is>
          <t>Emergency Department</t>
        </is>
      </c>
      <c r="G662" s="32" t="n">
        <v>45768.66388888889</v>
      </c>
      <c r="H662" s="32" t="n">
        <v>45771.66041666667</v>
      </c>
      <c r="I662" t="inlineStr">
        <is>
          <t>K92.2</t>
        </is>
      </c>
      <c r="J662" t="inlineStr">
        <is>
          <t>PY05</t>
        </is>
      </c>
      <c r="K662" s="33" t="n">
        <v>26039.53</v>
      </c>
      <c r="L662" s="34" t="n"/>
    </row>
    <row r="663">
      <c r="A663" t="inlineStr">
        <is>
          <t>ENC114396</t>
        </is>
      </c>
      <c r="B663" t="inlineStr">
        <is>
          <t>PT13189</t>
        </is>
      </c>
      <c r="C663" t="inlineStr">
        <is>
          <t>Emergency</t>
        </is>
      </c>
      <c r="D663" t="inlineStr">
        <is>
          <t>F01</t>
        </is>
      </c>
      <c r="E663" t="inlineStr">
        <is>
          <t>D100</t>
        </is>
      </c>
      <c r="G663" s="32" t="n">
        <v>45768.7625</v>
      </c>
      <c r="H663" s="32" t="n">
        <v>45768.84791666667</v>
      </c>
      <c r="I663" t="inlineStr">
        <is>
          <t>K80.20</t>
        </is>
      </c>
      <c r="J663" t="inlineStr">
        <is>
          <t>PY01</t>
        </is>
      </c>
      <c r="K663" s="33" t="n">
        <v>3067.51</v>
      </c>
      <c r="L663" s="34" t="n"/>
    </row>
    <row r="664">
      <c r="A664" t="inlineStr">
        <is>
          <t>ENC114401</t>
        </is>
      </c>
      <c r="B664" t="inlineStr">
        <is>
          <t>PT12029</t>
        </is>
      </c>
      <c r="C664" t="inlineStr">
        <is>
          <t>Inpatient</t>
        </is>
      </c>
      <c r="D664" t="inlineStr">
        <is>
          <t>F01</t>
        </is>
      </c>
      <c r="E664" t="inlineStr">
        <is>
          <t>D140</t>
        </is>
      </c>
      <c r="F664" t="inlineStr">
        <is>
          <t>Elective</t>
        </is>
      </c>
      <c r="G664" s="32" t="n">
        <v>45769.28819444445</v>
      </c>
      <c r="H664" s="32" t="n">
        <v>45774.55208333334</v>
      </c>
      <c r="I664" t="inlineStr">
        <is>
          <t>M17.11</t>
        </is>
      </c>
      <c r="J664" t="inlineStr">
        <is>
          <t>PY02</t>
        </is>
      </c>
      <c r="K664" s="33" t="n">
        <v>60006.65</v>
      </c>
      <c r="L664" s="34" t="n"/>
    </row>
    <row r="665">
      <c r="A665" t="inlineStr">
        <is>
          <t>ENC114407</t>
        </is>
      </c>
      <c r="B665" t="inlineStr">
        <is>
          <t>PT13875</t>
        </is>
      </c>
      <c r="C665" t="inlineStr">
        <is>
          <t>Outpatient</t>
        </is>
      </c>
      <c r="D665" t="inlineStr">
        <is>
          <t>F04</t>
        </is>
      </c>
      <c r="E665" t="inlineStr">
        <is>
          <t>D450</t>
        </is>
      </c>
      <c r="G665" s="32" t="n">
        <v>45769.45833333334</v>
      </c>
      <c r="H665" s="32" t="n">
        <v>45769.47291666667</v>
      </c>
      <c r="I665" t="inlineStr">
        <is>
          <t>H66.90</t>
        </is>
      </c>
      <c r="J665" t="inlineStr">
        <is>
          <t>PY05</t>
        </is>
      </c>
      <c r="K665" s="33" t="n">
        <v>402.84</v>
      </c>
      <c r="L665" s="34" t="n"/>
    </row>
    <row r="666">
      <c r="A666" t="inlineStr">
        <is>
          <t>ENC114413</t>
        </is>
      </c>
      <c r="B666" t="inlineStr">
        <is>
          <t>PT10500</t>
        </is>
      </c>
      <c r="C666" t="inlineStr">
        <is>
          <t>Outpatient</t>
        </is>
      </c>
      <c r="D666" t="inlineStr">
        <is>
          <t>F04</t>
        </is>
      </c>
      <c r="E666" t="inlineStr">
        <is>
          <t>D400</t>
        </is>
      </c>
      <c r="G666" s="32" t="n">
        <v>45769.57291666666</v>
      </c>
      <c r="H666" s="32" t="n">
        <v>45769.59305555555</v>
      </c>
      <c r="I666" t="inlineStr">
        <is>
          <t>Z00.00</t>
        </is>
      </c>
      <c r="J666" t="inlineStr">
        <is>
          <t>PY05</t>
        </is>
      </c>
      <c r="K666" s="33" t="n">
        <v>266.47</v>
      </c>
      <c r="L666" s="34" t="n"/>
    </row>
    <row r="667">
      <c r="A667" t="inlineStr">
        <is>
          <t>ENC114418</t>
        </is>
      </c>
      <c r="B667" t="inlineStr">
        <is>
          <t>PT10961</t>
        </is>
      </c>
      <c r="C667" t="inlineStr">
        <is>
          <t>Outpatient</t>
        </is>
      </c>
      <c r="D667" t="inlineStr">
        <is>
          <t>F04</t>
        </is>
      </c>
      <c r="E667" t="inlineStr">
        <is>
          <t>D450</t>
        </is>
      </c>
      <c r="G667" s="32" t="n">
        <v>45769.63541666666</v>
      </c>
      <c r="H667" s="32" t="n">
        <v>45769.65555555555</v>
      </c>
      <c r="I667" t="inlineStr">
        <is>
          <t>H66.90</t>
        </is>
      </c>
      <c r="J667" t="inlineStr">
        <is>
          <t>PY06</t>
        </is>
      </c>
      <c r="K667" s="33" t="n">
        <v>166.3</v>
      </c>
      <c r="L667" s="34" t="n"/>
    </row>
    <row r="668">
      <c r="A668" t="inlineStr">
        <is>
          <t>ENC114425</t>
        </is>
      </c>
      <c r="B668" t="inlineStr">
        <is>
          <t>PT13707</t>
        </is>
      </c>
      <c r="C668" t="inlineStr">
        <is>
          <t>Emergency</t>
        </is>
      </c>
      <c r="D668" t="inlineStr">
        <is>
          <t>F01</t>
        </is>
      </c>
      <c r="E668" t="inlineStr">
        <is>
          <t>D100</t>
        </is>
      </c>
      <c r="G668" s="32" t="n">
        <v>45769.69097222222</v>
      </c>
      <c r="H668" s="32" t="n">
        <v>45769.81805555556</v>
      </c>
      <c r="I668" t="inlineStr">
        <is>
          <t>I10</t>
        </is>
      </c>
      <c r="J668" t="inlineStr">
        <is>
          <t>PY03</t>
        </is>
      </c>
      <c r="K668" s="33" t="n">
        <v>1459.69</v>
      </c>
      <c r="L668" s="34" t="n"/>
    </row>
    <row r="669">
      <c r="A669" t="inlineStr">
        <is>
          <t>ENC114429</t>
        </is>
      </c>
      <c r="B669" t="inlineStr">
        <is>
          <t>PT10924</t>
        </is>
      </c>
      <c r="C669" t="inlineStr">
        <is>
          <t>Emergency</t>
        </is>
      </c>
      <c r="D669" t="inlineStr">
        <is>
          <t>F02</t>
        </is>
      </c>
      <c r="E669" t="inlineStr">
        <is>
          <t>D200</t>
        </is>
      </c>
      <c r="G669" s="32" t="n">
        <v>45769.83888888889</v>
      </c>
      <c r="H669" s="32" t="n">
        <v>45769.96180555555</v>
      </c>
      <c r="I669" t="inlineStr">
        <is>
          <t>F10.239</t>
        </is>
      </c>
      <c r="J669" t="inlineStr">
        <is>
          <t>PY02</t>
        </is>
      </c>
      <c r="K669" s="33" t="n">
        <v>6113.16</v>
      </c>
      <c r="L669" s="34" t="n"/>
    </row>
    <row r="670">
      <c r="A670" t="inlineStr">
        <is>
          <t>ENC114435</t>
        </is>
      </c>
      <c r="B670" t="inlineStr">
        <is>
          <t>PT13266</t>
        </is>
      </c>
      <c r="C670" t="inlineStr">
        <is>
          <t>Outpatient</t>
        </is>
      </c>
      <c r="D670" t="inlineStr">
        <is>
          <t>F04</t>
        </is>
      </c>
      <c r="E670" t="inlineStr">
        <is>
          <t>D440</t>
        </is>
      </c>
      <c r="G670" s="32" t="n">
        <v>45770.33333333334</v>
      </c>
      <c r="H670" s="32" t="n">
        <v>45770.36736111111</v>
      </c>
      <c r="I670" t="inlineStr">
        <is>
          <t>E11.65</t>
        </is>
      </c>
      <c r="J670" t="inlineStr">
        <is>
          <t>PY01</t>
        </is>
      </c>
      <c r="K670" s="33" t="n">
        <v>315.61</v>
      </c>
      <c r="L670" s="34" t="n"/>
    </row>
    <row r="671">
      <c r="A671" t="inlineStr">
        <is>
          <t>ENC114441</t>
        </is>
      </c>
      <c r="B671" t="inlineStr">
        <is>
          <t>PT12895</t>
        </is>
      </c>
      <c r="C671" t="inlineStr">
        <is>
          <t>Outpatient</t>
        </is>
      </c>
      <c r="D671" t="inlineStr">
        <is>
          <t>F04</t>
        </is>
      </c>
      <c r="E671" t="inlineStr">
        <is>
          <t>D400</t>
        </is>
      </c>
      <c r="G671" s="32" t="n">
        <v>45770.375</v>
      </c>
      <c r="H671" s="32" t="n">
        <v>45770.39236111111</v>
      </c>
      <c r="I671" t="inlineStr">
        <is>
          <t>N39.0</t>
        </is>
      </c>
      <c r="J671" t="inlineStr">
        <is>
          <t>PY04</t>
        </is>
      </c>
      <c r="K671" s="33" t="n">
        <v>259.31</v>
      </c>
      <c r="L671" s="34" t="n"/>
    </row>
    <row r="672">
      <c r="A672" t="inlineStr">
        <is>
          <t>ENC114448</t>
        </is>
      </c>
      <c r="B672" t="inlineStr">
        <is>
          <t>PT12780</t>
        </is>
      </c>
      <c r="C672" t="inlineStr">
        <is>
          <t>Emergency</t>
        </is>
      </c>
      <c r="D672" t="inlineStr">
        <is>
          <t>F01</t>
        </is>
      </c>
      <c r="E672" t="inlineStr">
        <is>
          <t>D100</t>
        </is>
      </c>
      <c r="G672" s="32" t="n">
        <v>45770.42916666667</v>
      </c>
      <c r="H672" s="32" t="n">
        <v>45770.56875</v>
      </c>
      <c r="I672" t="inlineStr">
        <is>
          <t>L03.115</t>
        </is>
      </c>
      <c r="J672" t="inlineStr">
        <is>
          <t>PY01</t>
        </is>
      </c>
      <c r="K672" s="33" t="n">
        <v>4515.83</v>
      </c>
      <c r="L672" s="34" t="n"/>
    </row>
    <row r="673">
      <c r="A673" t="inlineStr">
        <is>
          <t>ENC114453</t>
        </is>
      </c>
      <c r="B673" t="inlineStr">
        <is>
          <t>PT13656</t>
        </is>
      </c>
      <c r="C673" t="inlineStr">
        <is>
          <t>Outpatient</t>
        </is>
      </c>
      <c r="D673" t="inlineStr">
        <is>
          <t>F04</t>
        </is>
      </c>
      <c r="E673" t="inlineStr">
        <is>
          <t>D430</t>
        </is>
      </c>
      <c r="G673" s="32" t="n">
        <v>45770.52083333334</v>
      </c>
      <c r="H673" s="32" t="n">
        <v>45770.53611111111</v>
      </c>
      <c r="I673" t="inlineStr">
        <is>
          <t>C34.90</t>
        </is>
      </c>
      <c r="J673" t="inlineStr">
        <is>
          <t>PY05</t>
        </is>
      </c>
      <c r="K673" s="33" t="n">
        <v>363.35</v>
      </c>
      <c r="L673" s="34" t="n"/>
    </row>
    <row r="674">
      <c r="A674" t="inlineStr">
        <is>
          <t>ENC114454</t>
        </is>
      </c>
      <c r="B674" t="inlineStr">
        <is>
          <t>PT10750</t>
        </is>
      </c>
      <c r="C674" t="inlineStr">
        <is>
          <t>Inpatient</t>
        </is>
      </c>
      <c r="D674" t="inlineStr">
        <is>
          <t>F03</t>
        </is>
      </c>
      <c r="E674" t="inlineStr">
        <is>
          <t>D330</t>
        </is>
      </c>
      <c r="F674" t="inlineStr">
        <is>
          <t>Emergency Department</t>
        </is>
      </c>
      <c r="G674" s="32" t="n">
        <v>45770.61527777778</v>
      </c>
      <c r="H674" s="32" t="n">
        <v>45774.64027777778</v>
      </c>
      <c r="I674" t="inlineStr">
        <is>
          <t>A41.9</t>
        </is>
      </c>
      <c r="J674" t="inlineStr">
        <is>
          <t>PY01</t>
        </is>
      </c>
      <c r="K674" s="33" t="n">
        <v>38401.75</v>
      </c>
      <c r="L674" s="34" t="n"/>
    </row>
    <row r="675">
      <c r="A675" t="inlineStr">
        <is>
          <t>ENC114463</t>
        </is>
      </c>
      <c r="B675" t="inlineStr">
        <is>
          <t>PT11136</t>
        </is>
      </c>
      <c r="C675" t="inlineStr">
        <is>
          <t>Outpatient</t>
        </is>
      </c>
      <c r="D675" t="inlineStr">
        <is>
          <t>F04</t>
        </is>
      </c>
      <c r="E675" t="inlineStr">
        <is>
          <t>D400</t>
        </is>
      </c>
      <c r="G675" s="32" t="n">
        <v>45770.64583333334</v>
      </c>
      <c r="H675" s="32" t="n">
        <v>45770.66944444444</v>
      </c>
      <c r="I675" t="inlineStr">
        <is>
          <t>N39.0</t>
        </is>
      </c>
      <c r="J675" t="inlineStr">
        <is>
          <t>PY03</t>
        </is>
      </c>
      <c r="K675" s="33" t="n">
        <v>202.58</v>
      </c>
      <c r="L675" s="34" t="n"/>
    </row>
    <row r="676">
      <c r="A676" t="inlineStr">
        <is>
          <t>ENC114470</t>
        </is>
      </c>
      <c r="B676" t="inlineStr">
        <is>
          <t>PT11783</t>
        </is>
      </c>
      <c r="C676" t="inlineStr">
        <is>
          <t>Inpatient</t>
        </is>
      </c>
      <c r="D676" t="inlineStr">
        <is>
          <t>F03</t>
        </is>
      </c>
      <c r="E676" t="inlineStr">
        <is>
          <t>D320</t>
        </is>
      </c>
      <c r="F676" t="inlineStr">
        <is>
          <t>Transfer</t>
        </is>
      </c>
      <c r="G676" s="32" t="n">
        <v>45770.82638888889</v>
      </c>
      <c r="H676" s="32" t="n">
        <v>45773.60277777778</v>
      </c>
      <c r="I676" t="inlineStr">
        <is>
          <t>I48.91</t>
        </is>
      </c>
      <c r="J676" t="inlineStr">
        <is>
          <t>PY03</t>
        </is>
      </c>
      <c r="K676" s="33" t="n">
        <v>24815.41</v>
      </c>
      <c r="L676" s="34" t="n"/>
    </row>
    <row r="677">
      <c r="A677" t="inlineStr">
        <is>
          <t>ENC114473</t>
        </is>
      </c>
      <c r="B677" t="inlineStr">
        <is>
          <t>PT11931</t>
        </is>
      </c>
      <c r="C677" t="inlineStr">
        <is>
          <t>Inpatient</t>
        </is>
      </c>
      <c r="D677" t="inlineStr">
        <is>
          <t>F01</t>
        </is>
      </c>
      <c r="E677" t="inlineStr">
        <is>
          <t>D120</t>
        </is>
      </c>
      <c r="F677" t="inlineStr">
        <is>
          <t>Emergency Department</t>
        </is>
      </c>
      <c r="G677" s="32" t="n">
        <v>45771.01597222222</v>
      </c>
      <c r="H677" s="32" t="n">
        <v>45775.58611111111</v>
      </c>
      <c r="I677" t="inlineStr">
        <is>
          <t>I21.4</t>
        </is>
      </c>
      <c r="J677" t="inlineStr">
        <is>
          <t>PY01</t>
        </is>
      </c>
      <c r="K677" s="33" t="n">
        <v>64009.8</v>
      </c>
      <c r="L677" s="34" t="n"/>
    </row>
    <row r="678">
      <c r="A678" t="inlineStr">
        <is>
          <t>ENC114482</t>
        </is>
      </c>
      <c r="B678" t="inlineStr">
        <is>
          <t>PT11572</t>
        </is>
      </c>
      <c r="C678" t="inlineStr">
        <is>
          <t>Emergency</t>
        </is>
      </c>
      <c r="D678" t="inlineStr">
        <is>
          <t>F01</t>
        </is>
      </c>
      <c r="E678" t="inlineStr">
        <is>
          <t>D100</t>
        </is>
      </c>
      <c r="G678" s="32" t="n">
        <v>45771.48888888889</v>
      </c>
      <c r="H678" s="32" t="n">
        <v>45771.57222222222</v>
      </c>
      <c r="I678" t="inlineStr">
        <is>
          <t>R10.9</t>
        </is>
      </c>
      <c r="J678" t="inlineStr">
        <is>
          <t>PY04</t>
        </is>
      </c>
      <c r="K678" s="33" t="n">
        <v>1556.05</v>
      </c>
      <c r="L678" s="34" t="n"/>
    </row>
    <row r="679">
      <c r="A679" t="inlineStr">
        <is>
          <t>ENC114486</t>
        </is>
      </c>
      <c r="B679" t="inlineStr">
        <is>
          <t>PT10390</t>
        </is>
      </c>
      <c r="C679" t="inlineStr">
        <is>
          <t>Outpatient</t>
        </is>
      </c>
      <c r="D679" t="inlineStr">
        <is>
          <t>F04</t>
        </is>
      </c>
      <c r="E679" t="inlineStr">
        <is>
          <t>D440</t>
        </is>
      </c>
      <c r="G679" s="32" t="n">
        <v>45771.52083333334</v>
      </c>
      <c r="H679" s="32" t="n">
        <v>45771.53680555556</v>
      </c>
      <c r="I679" t="inlineStr">
        <is>
          <t>E11.9</t>
        </is>
      </c>
      <c r="J679" t="inlineStr">
        <is>
          <t>PY01</t>
        </is>
      </c>
      <c r="K679" s="33" t="n">
        <v>215.67</v>
      </c>
      <c r="L679" s="34" t="n"/>
    </row>
    <row r="680">
      <c r="A680" t="inlineStr">
        <is>
          <t>ENC114481</t>
        </is>
      </c>
      <c r="B680" t="inlineStr">
        <is>
          <t>PT10032</t>
        </is>
      </c>
      <c r="C680" t="inlineStr">
        <is>
          <t>Observation</t>
        </is>
      </c>
      <c r="D680" t="inlineStr">
        <is>
          <t>F03</t>
        </is>
      </c>
      <c r="E680" t="inlineStr">
        <is>
          <t>D310</t>
        </is>
      </c>
      <c r="F680" t="inlineStr">
        <is>
          <t>Emergency Department</t>
        </is>
      </c>
      <c r="G680" s="32" t="n">
        <v>45771.6</v>
      </c>
      <c r="H680" s="32" t="n">
        <v>45772.50902777778</v>
      </c>
      <c r="I680" t="inlineStr">
        <is>
          <t>E86.0</t>
        </is>
      </c>
      <c r="J680" t="inlineStr">
        <is>
          <t>PY03</t>
        </is>
      </c>
      <c r="K680" s="33" t="n">
        <v>8062.59</v>
      </c>
      <c r="L680" s="34" t="n"/>
    </row>
    <row r="681">
      <c r="A681" t="inlineStr">
        <is>
          <t>ENC114497</t>
        </is>
      </c>
      <c r="B681" t="inlineStr">
        <is>
          <t>PT12122</t>
        </is>
      </c>
      <c r="C681" t="inlineStr">
        <is>
          <t>Emergency</t>
        </is>
      </c>
      <c r="D681" t="inlineStr">
        <is>
          <t>F03</t>
        </is>
      </c>
      <c r="E681" t="inlineStr">
        <is>
          <t>D300</t>
        </is>
      </c>
      <c r="G681" s="32" t="n">
        <v>45771.66944444444</v>
      </c>
      <c r="H681" s="32" t="n">
        <v>45771.81597222222</v>
      </c>
      <c r="I681" t="inlineStr">
        <is>
          <t>E86.0</t>
        </is>
      </c>
      <c r="J681" t="inlineStr">
        <is>
          <t>PY03</t>
        </is>
      </c>
      <c r="K681" s="33" t="n">
        <v>5748.85</v>
      </c>
      <c r="L681" s="34" t="n"/>
    </row>
    <row r="682">
      <c r="A682" t="inlineStr">
        <is>
          <t>ENC114502</t>
        </is>
      </c>
      <c r="B682" t="inlineStr">
        <is>
          <t>PT12759</t>
        </is>
      </c>
      <c r="C682" t="inlineStr">
        <is>
          <t>Inpatient</t>
        </is>
      </c>
      <c r="D682" t="inlineStr">
        <is>
          <t>F01</t>
        </is>
      </c>
      <c r="E682" t="inlineStr">
        <is>
          <t>D170</t>
        </is>
      </c>
      <c r="F682" t="inlineStr">
        <is>
          <t>Direct Admit</t>
        </is>
      </c>
      <c r="G682" s="32" t="n">
        <v>45771.79861111111</v>
      </c>
      <c r="H682" s="32" t="n">
        <v>45774.35416666666</v>
      </c>
      <c r="I682" t="inlineStr">
        <is>
          <t>O80</t>
        </is>
      </c>
      <c r="J682" t="inlineStr">
        <is>
          <t>PY04</t>
        </is>
      </c>
      <c r="K682" s="33" t="n">
        <v>29826.16</v>
      </c>
      <c r="L682" s="34" t="n"/>
    </row>
    <row r="683">
      <c r="A683" t="inlineStr">
        <is>
          <t>ENC114507</t>
        </is>
      </c>
      <c r="B683" t="inlineStr">
        <is>
          <t>PT12283</t>
        </is>
      </c>
      <c r="C683" t="inlineStr">
        <is>
          <t>Emergency</t>
        </is>
      </c>
      <c r="D683" t="inlineStr">
        <is>
          <t>F01</t>
        </is>
      </c>
      <c r="E683" t="inlineStr">
        <is>
          <t>D100</t>
        </is>
      </c>
      <c r="G683" s="32" t="n">
        <v>45772.33472222222</v>
      </c>
      <c r="H683" s="32" t="n">
        <v>45772.39861111111</v>
      </c>
      <c r="I683" t="inlineStr">
        <is>
          <t>M54.50</t>
        </is>
      </c>
      <c r="J683" t="inlineStr">
        <is>
          <t>PY02</t>
        </is>
      </c>
      <c r="K683" s="33" t="n">
        <v>1293.6</v>
      </c>
      <c r="L683" s="34" t="n"/>
    </row>
    <row r="684">
      <c r="A684" t="inlineStr">
        <is>
          <t>ENC114513</t>
        </is>
      </c>
      <c r="B684" t="inlineStr">
        <is>
          <t>PT10127</t>
        </is>
      </c>
      <c r="C684" t="inlineStr">
        <is>
          <t>Emergency</t>
        </is>
      </c>
      <c r="D684" t="inlineStr">
        <is>
          <t>F01</t>
        </is>
      </c>
      <c r="E684" t="inlineStr">
        <is>
          <t>D100</t>
        </is>
      </c>
      <c r="G684" s="32" t="n">
        <v>45772.41944444444</v>
      </c>
      <c r="H684" s="32" t="n">
        <v>45772.51875</v>
      </c>
      <c r="I684" t="inlineStr">
        <is>
          <t>N39.0</t>
        </is>
      </c>
      <c r="J684" t="inlineStr">
        <is>
          <t>PY01</t>
        </is>
      </c>
      <c r="K684" s="33" t="n">
        <v>4206.12</v>
      </c>
      <c r="L684" s="34" t="n"/>
    </row>
    <row r="685">
      <c r="A685" t="inlineStr">
        <is>
          <t>ENC114522</t>
        </is>
      </c>
      <c r="B685" t="inlineStr">
        <is>
          <t>PT12399</t>
        </is>
      </c>
      <c r="C685" t="inlineStr">
        <is>
          <t>Outpatient</t>
        </is>
      </c>
      <c r="D685" t="inlineStr">
        <is>
          <t>F04</t>
        </is>
      </c>
      <c r="E685" t="inlineStr">
        <is>
          <t>D420</t>
        </is>
      </c>
      <c r="G685" s="32" t="n">
        <v>45772.5</v>
      </c>
      <c r="H685" s="32" t="n">
        <v>45772.53611111111</v>
      </c>
      <c r="I685" t="inlineStr">
        <is>
          <t>M16.11</t>
        </is>
      </c>
      <c r="J685" t="inlineStr">
        <is>
          <t>PY02</t>
        </is>
      </c>
      <c r="K685" s="33" t="n">
        <v>371.48</v>
      </c>
      <c r="L685" s="34" t="n"/>
    </row>
    <row r="686">
      <c r="A686" t="inlineStr">
        <is>
          <t>ENC114517</t>
        </is>
      </c>
      <c r="B686" t="inlineStr">
        <is>
          <t>PT10279</t>
        </is>
      </c>
      <c r="C686" t="inlineStr">
        <is>
          <t>Inpatient</t>
        </is>
      </c>
      <c r="D686" t="inlineStr">
        <is>
          <t>F01</t>
        </is>
      </c>
      <c r="E686" t="inlineStr">
        <is>
          <t>D110</t>
        </is>
      </c>
      <c r="F686" t="inlineStr">
        <is>
          <t>Emergency Department</t>
        </is>
      </c>
      <c r="G686" s="32" t="n">
        <v>45772.63611111111</v>
      </c>
      <c r="H686" s="32" t="n">
        <v>45777.55</v>
      </c>
      <c r="I686" t="inlineStr">
        <is>
          <t>J18.9</t>
        </is>
      </c>
      <c r="J686" t="inlineStr">
        <is>
          <t>PY04</t>
        </is>
      </c>
      <c r="K686" s="33" t="n">
        <v>20661.91</v>
      </c>
      <c r="L686" s="34" t="n"/>
    </row>
    <row r="687">
      <c r="A687" t="inlineStr">
        <is>
          <t>ENC114531</t>
        </is>
      </c>
      <c r="B687" t="inlineStr">
        <is>
          <t>PT13109</t>
        </is>
      </c>
      <c r="C687" t="inlineStr">
        <is>
          <t>Emergency</t>
        </is>
      </c>
      <c r="D687" t="inlineStr">
        <is>
          <t>F01</t>
        </is>
      </c>
      <c r="E687" t="inlineStr">
        <is>
          <t>D100</t>
        </is>
      </c>
      <c r="G687" s="32" t="n">
        <v>45772.73402777778</v>
      </c>
      <c r="H687" s="32" t="n">
        <v>45772.86666666667</v>
      </c>
      <c r="I687" t="inlineStr">
        <is>
          <t>I10</t>
        </is>
      </c>
      <c r="J687" t="inlineStr">
        <is>
          <t>PY07</t>
        </is>
      </c>
      <c r="K687" s="33" t="n">
        <v>3012.25</v>
      </c>
      <c r="L687" s="34" t="n"/>
    </row>
    <row r="688">
      <c r="A688" t="inlineStr">
        <is>
          <t>ENC114535</t>
        </is>
      </c>
      <c r="B688" t="inlineStr">
        <is>
          <t>PT10618</t>
        </is>
      </c>
      <c r="C688" t="inlineStr">
        <is>
          <t>Emergency</t>
        </is>
      </c>
      <c r="D688" t="inlineStr">
        <is>
          <t>F01</t>
        </is>
      </c>
      <c r="E688" t="inlineStr">
        <is>
          <t>D100</t>
        </is>
      </c>
      <c r="G688" s="32" t="n">
        <v>45773.10555555556</v>
      </c>
      <c r="H688" s="32" t="n">
        <v>45773.24652777778</v>
      </c>
      <c r="I688" t="inlineStr">
        <is>
          <t>R10.9</t>
        </is>
      </c>
      <c r="J688" t="inlineStr">
        <is>
          <t>PY01</t>
        </is>
      </c>
      <c r="K688" s="33" t="n">
        <v>6842.94</v>
      </c>
      <c r="L688" s="34" t="n"/>
    </row>
    <row r="689">
      <c r="A689" t="inlineStr">
        <is>
          <t>ENC114542</t>
        </is>
      </c>
      <c r="B689" t="inlineStr">
        <is>
          <t>PT12961</t>
        </is>
      </c>
      <c r="C689" t="inlineStr">
        <is>
          <t>Emergency</t>
        </is>
      </c>
      <c r="D689" t="inlineStr">
        <is>
          <t>F01</t>
        </is>
      </c>
      <c r="E689" t="inlineStr">
        <is>
          <t>D100</t>
        </is>
      </c>
      <c r="G689" s="32" t="n">
        <v>45773.52847222222</v>
      </c>
      <c r="H689" s="32" t="n">
        <v>45773.64583333334</v>
      </c>
      <c r="I689" t="inlineStr">
        <is>
          <t>G43.909</t>
        </is>
      </c>
      <c r="J689" t="inlineStr">
        <is>
          <t>PY01</t>
        </is>
      </c>
      <c r="K689" s="33" t="n">
        <v>927.4299999999999</v>
      </c>
      <c r="L689" s="34" t="n"/>
    </row>
    <row r="690">
      <c r="A690" t="inlineStr">
        <is>
          <t>ENC114545</t>
        </is>
      </c>
      <c r="B690" t="inlineStr">
        <is>
          <t>PT12601</t>
        </is>
      </c>
      <c r="C690" t="inlineStr">
        <is>
          <t>Inpatient</t>
        </is>
      </c>
      <c r="D690" t="inlineStr">
        <is>
          <t>F01</t>
        </is>
      </c>
      <c r="E690" t="inlineStr">
        <is>
          <t>D110</t>
        </is>
      </c>
      <c r="F690" t="inlineStr">
        <is>
          <t>Emergency Department</t>
        </is>
      </c>
      <c r="G690" s="32" t="n">
        <v>45773.82083333333</v>
      </c>
      <c r="H690" s="32" t="n">
        <v>45777.60277777778</v>
      </c>
      <c r="I690" t="inlineStr">
        <is>
          <t>L03.115</t>
        </is>
      </c>
      <c r="J690" t="inlineStr">
        <is>
          <t>PY04</t>
        </is>
      </c>
      <c r="K690" s="33" t="n">
        <v>16545.66</v>
      </c>
      <c r="L690" s="34" t="n"/>
    </row>
    <row r="691">
      <c r="A691" t="inlineStr">
        <is>
          <t>ENC114553</t>
        </is>
      </c>
      <c r="B691" t="inlineStr">
        <is>
          <t>PT11185</t>
        </is>
      </c>
      <c r="C691" t="inlineStr">
        <is>
          <t>Emergency</t>
        </is>
      </c>
      <c r="D691" t="inlineStr">
        <is>
          <t>F01</t>
        </is>
      </c>
      <c r="E691" t="inlineStr">
        <is>
          <t>D100</t>
        </is>
      </c>
      <c r="G691" s="32" t="n">
        <v>45774.32777777778</v>
      </c>
      <c r="H691" s="32" t="n">
        <v>45774.46944444445</v>
      </c>
      <c r="I691" t="inlineStr">
        <is>
          <t>J21.9</t>
        </is>
      </c>
      <c r="J691" t="inlineStr">
        <is>
          <t>PY06</t>
        </is>
      </c>
      <c r="K691" s="33" t="n">
        <v>3672.62</v>
      </c>
      <c r="L691" s="34" t="n"/>
    </row>
    <row r="692">
      <c r="A692" t="inlineStr">
        <is>
          <t>ENC114558</t>
        </is>
      </c>
      <c r="B692" t="inlineStr">
        <is>
          <t>PT11716</t>
        </is>
      </c>
      <c r="C692" t="inlineStr">
        <is>
          <t>Emergency</t>
        </is>
      </c>
      <c r="D692" t="inlineStr">
        <is>
          <t>F03</t>
        </is>
      </c>
      <c r="E692" t="inlineStr">
        <is>
          <t>D300</t>
        </is>
      </c>
      <c r="G692" s="32" t="n">
        <v>45774.57083333333</v>
      </c>
      <c r="H692" s="32" t="n">
        <v>45774.68611111111</v>
      </c>
      <c r="I692" t="inlineStr">
        <is>
          <t>J06.9</t>
        </is>
      </c>
      <c r="J692" t="inlineStr">
        <is>
          <t>PY02</t>
        </is>
      </c>
      <c r="K692" s="33" t="n">
        <v>1356.46</v>
      </c>
      <c r="L692" s="34" t="n"/>
    </row>
    <row r="693">
      <c r="A693" t="inlineStr">
        <is>
          <t>ENC114563</t>
        </is>
      </c>
      <c r="B693" t="inlineStr">
        <is>
          <t>PT13507</t>
        </is>
      </c>
      <c r="C693" t="inlineStr">
        <is>
          <t>Emergency</t>
        </is>
      </c>
      <c r="D693" t="inlineStr">
        <is>
          <t>F01</t>
        </is>
      </c>
      <c r="E693" t="inlineStr">
        <is>
          <t>D100</t>
        </is>
      </c>
      <c r="G693" s="32" t="n">
        <v>45775.06458333333</v>
      </c>
      <c r="H693" s="32" t="n">
        <v>45775.17916666667</v>
      </c>
      <c r="I693" t="inlineStr">
        <is>
          <t>J45.909</t>
        </is>
      </c>
      <c r="J693" t="inlineStr">
        <is>
          <t>PY03</t>
        </is>
      </c>
      <c r="K693" s="33" t="n">
        <v>2200.58</v>
      </c>
      <c r="L693" s="34" t="n"/>
    </row>
    <row r="694">
      <c r="A694" t="inlineStr">
        <is>
          <t>ENC114569</t>
        </is>
      </c>
      <c r="B694" t="inlineStr">
        <is>
          <t>PT13128</t>
        </is>
      </c>
      <c r="C694" t="inlineStr">
        <is>
          <t>Inpatient</t>
        </is>
      </c>
      <c r="D694" t="inlineStr">
        <is>
          <t>F01</t>
        </is>
      </c>
      <c r="E694" t="inlineStr">
        <is>
          <t>D170</t>
        </is>
      </c>
      <c r="F694" t="inlineStr">
        <is>
          <t>Direct Admit</t>
        </is>
      </c>
      <c r="G694" s="32" t="n">
        <v>45775.37222222222</v>
      </c>
      <c r="H694" s="32" t="n">
        <v>45777.56388888889</v>
      </c>
      <c r="I694" t="inlineStr">
        <is>
          <t>O80</t>
        </is>
      </c>
      <c r="J694" t="inlineStr">
        <is>
          <t>PY06</t>
        </is>
      </c>
      <c r="K694" s="33" t="n">
        <v>19733.44</v>
      </c>
      <c r="L694" s="34" t="n"/>
    </row>
    <row r="695">
      <c r="A695" t="inlineStr">
        <is>
          <t>ENC114574</t>
        </is>
      </c>
      <c r="B695" t="inlineStr">
        <is>
          <t>PT12715</t>
        </is>
      </c>
      <c r="C695" t="inlineStr">
        <is>
          <t>Emergency</t>
        </is>
      </c>
      <c r="D695" t="inlineStr">
        <is>
          <t>F01</t>
        </is>
      </c>
      <c r="E695" t="inlineStr">
        <is>
          <t>D100</t>
        </is>
      </c>
      <c r="G695" s="32" t="n">
        <v>45775.46527777778</v>
      </c>
      <c r="H695" s="32" t="n">
        <v>45775.56041666667</v>
      </c>
      <c r="I695" t="inlineStr">
        <is>
          <t>J06.9</t>
        </is>
      </c>
      <c r="J695" t="inlineStr">
        <is>
          <t>PY04</t>
        </is>
      </c>
      <c r="K695" s="33" t="n">
        <v>712.87</v>
      </c>
      <c r="L695" s="34" t="n"/>
    </row>
    <row r="696">
      <c r="A696" t="inlineStr">
        <is>
          <t>ENC114582</t>
        </is>
      </c>
      <c r="B696" t="inlineStr">
        <is>
          <t>PT11343</t>
        </is>
      </c>
      <c r="C696" t="inlineStr">
        <is>
          <t>Outpatient</t>
        </is>
      </c>
      <c r="D696" t="inlineStr">
        <is>
          <t>F04</t>
        </is>
      </c>
      <c r="E696" t="inlineStr">
        <is>
          <t>D430</t>
        </is>
      </c>
      <c r="G696" s="32" t="n">
        <v>45775.60416666666</v>
      </c>
      <c r="H696" s="32" t="n">
        <v>45775.6375</v>
      </c>
      <c r="I696" t="inlineStr">
        <is>
          <t>C34.90</t>
        </is>
      </c>
      <c r="J696" t="inlineStr">
        <is>
          <t>PY06</t>
        </is>
      </c>
      <c r="K696" s="33" t="n">
        <v>766.49</v>
      </c>
      <c r="L696" s="34" t="n"/>
    </row>
    <row r="697">
      <c r="A697" t="inlineStr">
        <is>
          <t>ENC114586</t>
        </is>
      </c>
      <c r="B697" t="inlineStr">
        <is>
          <t>PT10046</t>
        </is>
      </c>
      <c r="C697" t="inlineStr">
        <is>
          <t>Outpatient</t>
        </is>
      </c>
      <c r="D697" t="inlineStr">
        <is>
          <t>F04</t>
        </is>
      </c>
      <c r="E697" t="inlineStr">
        <is>
          <t>D410</t>
        </is>
      </c>
      <c r="G697" s="32" t="n">
        <v>45775.64583333334</v>
      </c>
      <c r="H697" s="32" t="n">
        <v>45775.6625</v>
      </c>
      <c r="I697" t="inlineStr">
        <is>
          <t>I50.9</t>
        </is>
      </c>
      <c r="J697" t="inlineStr">
        <is>
          <t>PY07</t>
        </is>
      </c>
      <c r="K697" s="33" t="n">
        <v>198.83</v>
      </c>
      <c r="L697" s="34" t="n"/>
    </row>
    <row r="698">
      <c r="A698" t="inlineStr">
        <is>
          <t>ENC114590</t>
        </is>
      </c>
      <c r="B698" t="inlineStr">
        <is>
          <t>PT12268</t>
        </is>
      </c>
      <c r="C698" t="inlineStr">
        <is>
          <t>Inpatient</t>
        </is>
      </c>
      <c r="D698" t="inlineStr">
        <is>
          <t>F01</t>
        </is>
      </c>
      <c r="E698" t="inlineStr">
        <is>
          <t>D160</t>
        </is>
      </c>
      <c r="F698" t="inlineStr">
        <is>
          <t>Emergency Department</t>
        </is>
      </c>
      <c r="G698" s="32" t="n">
        <v>45775.92361111111</v>
      </c>
      <c r="H698" s="32" t="n">
        <v>45781.62569444445</v>
      </c>
      <c r="I698" t="inlineStr">
        <is>
          <t>I63.9</t>
        </is>
      </c>
      <c r="J698" t="inlineStr">
        <is>
          <t>PY05</t>
        </is>
      </c>
      <c r="K698" s="33" t="n">
        <v>42614.45</v>
      </c>
      <c r="L698" s="34" t="n"/>
    </row>
    <row r="699">
      <c r="A699" t="inlineStr">
        <is>
          <t>ENC114598</t>
        </is>
      </c>
      <c r="B699" t="inlineStr">
        <is>
          <t>PT13961</t>
        </is>
      </c>
      <c r="C699" t="inlineStr">
        <is>
          <t>Outpatient</t>
        </is>
      </c>
      <c r="D699" t="inlineStr">
        <is>
          <t>F04</t>
        </is>
      </c>
      <c r="E699" t="inlineStr">
        <is>
          <t>D400</t>
        </is>
      </c>
      <c r="G699" s="32" t="n">
        <v>45776.45833333334</v>
      </c>
      <c r="H699" s="32" t="n">
        <v>45776.49305555555</v>
      </c>
      <c r="I699" t="inlineStr">
        <is>
          <t>M54.50</t>
        </is>
      </c>
      <c r="J699" t="inlineStr">
        <is>
          <t>PY05</t>
        </is>
      </c>
      <c r="K699" s="33" t="n">
        <v>307.78</v>
      </c>
      <c r="L699" s="34" t="n"/>
    </row>
    <row r="700">
      <c r="A700" t="inlineStr">
        <is>
          <t>ENC114602</t>
        </is>
      </c>
      <c r="B700" t="inlineStr">
        <is>
          <t>PT11700</t>
        </is>
      </c>
      <c r="C700" t="inlineStr">
        <is>
          <t>Inpatient</t>
        </is>
      </c>
      <c r="D700" t="inlineStr">
        <is>
          <t>F01</t>
        </is>
      </c>
      <c r="E700" t="inlineStr">
        <is>
          <t>D170</t>
        </is>
      </c>
      <c r="F700" t="inlineStr">
        <is>
          <t>Direct Admit</t>
        </is>
      </c>
      <c r="G700" s="32" t="n">
        <v>45776.56736111111</v>
      </c>
      <c r="H700" s="32" t="n">
        <v>45779.57638888889</v>
      </c>
      <c r="I700" t="inlineStr">
        <is>
          <t>O82</t>
        </is>
      </c>
      <c r="J700" t="inlineStr">
        <is>
          <t>PY03</t>
        </is>
      </c>
      <c r="K700" s="33" t="n">
        <v>25447.12</v>
      </c>
      <c r="L700" s="34" t="n"/>
    </row>
    <row r="701">
      <c r="A701" t="inlineStr">
        <is>
          <t>ENC114605</t>
        </is>
      </c>
      <c r="B701" t="inlineStr">
        <is>
          <t>PT12403</t>
        </is>
      </c>
      <c r="C701" t="inlineStr">
        <is>
          <t>Inpatient</t>
        </is>
      </c>
      <c r="D701" t="inlineStr">
        <is>
          <t>F01</t>
        </is>
      </c>
      <c r="E701" t="inlineStr">
        <is>
          <t>D111</t>
        </is>
      </c>
      <c r="F701" t="inlineStr">
        <is>
          <t>Emergency Department</t>
        </is>
      </c>
      <c r="G701" s="32" t="n">
        <v>45776.75625</v>
      </c>
      <c r="H701" s="32" t="n">
        <v>45783.61458333334</v>
      </c>
      <c r="I701" t="inlineStr">
        <is>
          <t>J18.9</t>
        </is>
      </c>
      <c r="J701" t="inlineStr">
        <is>
          <t>PY03</t>
        </is>
      </c>
      <c r="K701" s="33" t="n">
        <v>31810.49</v>
      </c>
      <c r="L701" s="34" t="n"/>
    </row>
    <row r="702">
      <c r="A702" t="inlineStr">
        <is>
          <t>ENC114614</t>
        </is>
      </c>
      <c r="B702" t="inlineStr">
        <is>
          <t>PT11097</t>
        </is>
      </c>
      <c r="C702" t="inlineStr">
        <is>
          <t>Emergency</t>
        </is>
      </c>
      <c r="D702" t="inlineStr">
        <is>
          <t>F02</t>
        </is>
      </c>
      <c r="E702" t="inlineStr">
        <is>
          <t>D200</t>
        </is>
      </c>
      <c r="G702" s="32" t="n">
        <v>45777.09236111111</v>
      </c>
      <c r="H702" s="32" t="n">
        <v>45777.24930555555</v>
      </c>
      <c r="I702" t="inlineStr">
        <is>
          <t>J18.9</t>
        </is>
      </c>
      <c r="J702" t="inlineStr">
        <is>
          <t>PY05</t>
        </is>
      </c>
      <c r="K702" s="33" t="n">
        <v>4829.13</v>
      </c>
      <c r="L702" s="34" t="n"/>
    </row>
    <row r="703">
      <c r="A703" t="inlineStr">
        <is>
          <t>ENC114619</t>
        </is>
      </c>
      <c r="B703" t="inlineStr">
        <is>
          <t>PT12254</t>
        </is>
      </c>
      <c r="C703" t="inlineStr">
        <is>
          <t>Outpatient</t>
        </is>
      </c>
      <c r="D703" t="inlineStr">
        <is>
          <t>F04</t>
        </is>
      </c>
      <c r="E703" t="inlineStr">
        <is>
          <t>D420</t>
        </is>
      </c>
      <c r="G703" s="32" t="n">
        <v>45777.35416666666</v>
      </c>
      <c r="H703" s="32" t="n">
        <v>45777.36597222222</v>
      </c>
      <c r="I703" t="inlineStr">
        <is>
          <t>M17.11</t>
        </is>
      </c>
      <c r="J703" t="inlineStr">
        <is>
          <t>PY04</t>
        </is>
      </c>
      <c r="K703" s="33" t="n">
        <v>343.71</v>
      </c>
      <c r="L703" s="34" t="n"/>
    </row>
    <row r="704">
      <c r="A704" t="inlineStr">
        <is>
          <t>ENC114624</t>
        </is>
      </c>
      <c r="B704" t="inlineStr">
        <is>
          <t>PT13448</t>
        </is>
      </c>
      <c r="C704" t="inlineStr">
        <is>
          <t>Inpatient</t>
        </is>
      </c>
      <c r="D704" t="inlineStr">
        <is>
          <t>F01</t>
        </is>
      </c>
      <c r="E704" t="inlineStr">
        <is>
          <t>D120</t>
        </is>
      </c>
      <c r="F704" t="inlineStr">
        <is>
          <t>Direct Admit</t>
        </is>
      </c>
      <c r="G704" s="32" t="n">
        <v>45777.51388888889</v>
      </c>
      <c r="H704" s="32" t="n">
        <v>45780.48819444444</v>
      </c>
      <c r="I704" t="inlineStr">
        <is>
          <t>I50.9</t>
        </is>
      </c>
      <c r="J704" t="inlineStr">
        <is>
          <t>PY06</t>
        </is>
      </c>
      <c r="K704" s="33" t="n">
        <v>25762.32</v>
      </c>
      <c r="L704" s="34" t="n"/>
    </row>
    <row r="705">
      <c r="A705" t="inlineStr">
        <is>
          <t>ENC114631</t>
        </is>
      </c>
      <c r="B705" t="inlineStr">
        <is>
          <t>PT12075</t>
        </is>
      </c>
      <c r="C705" t="inlineStr">
        <is>
          <t>Outpatient</t>
        </is>
      </c>
      <c r="D705" t="inlineStr">
        <is>
          <t>F04</t>
        </is>
      </c>
      <c r="E705" t="inlineStr">
        <is>
          <t>D400</t>
        </is>
      </c>
      <c r="G705" s="32" t="n">
        <v>45777.63541666666</v>
      </c>
      <c r="H705" s="32" t="n">
        <v>45777.65</v>
      </c>
      <c r="I705" t="inlineStr">
        <is>
          <t>G43.909</t>
        </is>
      </c>
      <c r="J705" t="inlineStr">
        <is>
          <t>PY04</t>
        </is>
      </c>
      <c r="K705" s="33" t="n">
        <v>337.51</v>
      </c>
      <c r="L705" s="34" t="n"/>
    </row>
    <row r="706">
      <c r="A706" t="inlineStr">
        <is>
          <t>ENC114637</t>
        </is>
      </c>
      <c r="B706" t="inlineStr">
        <is>
          <t>PT13671</t>
        </is>
      </c>
      <c r="C706" t="inlineStr">
        <is>
          <t>Inpatient</t>
        </is>
      </c>
      <c r="D706" t="inlineStr">
        <is>
          <t>F03</t>
        </is>
      </c>
      <c r="E706" t="inlineStr">
        <is>
          <t>D320</t>
        </is>
      </c>
      <c r="F706" t="inlineStr">
        <is>
          <t>Direct Admit</t>
        </is>
      </c>
      <c r="G706" s="32" t="n">
        <v>45777.74930555555</v>
      </c>
      <c r="H706" s="32" t="n">
        <v>45787.61041666667</v>
      </c>
      <c r="I706" t="inlineStr">
        <is>
          <t>I48.91</t>
        </is>
      </c>
      <c r="J706" t="inlineStr">
        <is>
          <t>PY01</t>
        </is>
      </c>
      <c r="K706" s="33" t="n">
        <v>46780.26</v>
      </c>
      <c r="L706" s="34" t="n"/>
    </row>
    <row r="707">
      <c r="A707" t="inlineStr">
        <is>
          <t>ENC114641</t>
        </is>
      </c>
      <c r="B707" t="inlineStr">
        <is>
          <t>PT10079</t>
        </is>
      </c>
      <c r="C707" t="inlineStr">
        <is>
          <t>Inpatient</t>
        </is>
      </c>
      <c r="D707" t="inlineStr">
        <is>
          <t>F02</t>
        </is>
      </c>
      <c r="E707" t="inlineStr">
        <is>
          <t>D210</t>
        </is>
      </c>
      <c r="F707" t="inlineStr">
        <is>
          <t>Direct Admit</t>
        </is>
      </c>
      <c r="G707" s="32" t="n">
        <v>45777.89236111111</v>
      </c>
      <c r="H707" s="32" t="n">
        <v>45780.77916666667</v>
      </c>
      <c r="I707" t="inlineStr">
        <is>
          <t>J18.9</t>
        </is>
      </c>
      <c r="J707" t="inlineStr">
        <is>
          <t>PY06</t>
        </is>
      </c>
      <c r="K707" s="33" t="n">
        <v>19362.42</v>
      </c>
      <c r="L707" s="34" t="n"/>
    </row>
    <row r="708">
      <c r="A708" t="inlineStr">
        <is>
          <t>ENC114645</t>
        </is>
      </c>
      <c r="B708" t="inlineStr">
        <is>
          <t>PT12455</t>
        </is>
      </c>
      <c r="C708" t="inlineStr">
        <is>
          <t>Inpatient</t>
        </is>
      </c>
      <c r="D708" t="inlineStr">
        <is>
          <t>F01</t>
        </is>
      </c>
      <c r="E708" t="inlineStr">
        <is>
          <t>D140</t>
        </is>
      </c>
      <c r="F708" t="inlineStr">
        <is>
          <t>Emergency Department</t>
        </is>
      </c>
      <c r="G708" s="32" t="n">
        <v>45778.26736111111</v>
      </c>
      <c r="H708" s="32" t="n">
        <v>45791.65486111111</v>
      </c>
      <c r="I708" t="inlineStr">
        <is>
          <t>S72.001A</t>
        </is>
      </c>
      <c r="J708" t="inlineStr">
        <is>
          <t>PY01</t>
        </is>
      </c>
      <c r="K708" s="33" t="n">
        <v>121346.54</v>
      </c>
      <c r="L708" s="34" t="n"/>
    </row>
    <row r="709">
      <c r="A709" t="inlineStr">
        <is>
          <t>ENC114652</t>
        </is>
      </c>
      <c r="B709" t="inlineStr">
        <is>
          <t>PT10118</t>
        </is>
      </c>
      <c r="C709" t="inlineStr">
        <is>
          <t>Inpatient</t>
        </is>
      </c>
      <c r="D709" t="inlineStr">
        <is>
          <t>F03</t>
        </is>
      </c>
      <c r="E709" t="inlineStr">
        <is>
          <t>D310</t>
        </is>
      </c>
      <c r="F709" t="inlineStr">
        <is>
          <t>Direct Admit</t>
        </is>
      </c>
      <c r="G709" s="32" t="n">
        <v>45778.36319444444</v>
      </c>
      <c r="H709" s="32" t="n">
        <v>45780.60833333333</v>
      </c>
      <c r="I709" t="inlineStr">
        <is>
          <t>N39.0</t>
        </is>
      </c>
      <c r="J709" t="inlineStr">
        <is>
          <t>PY04</t>
        </is>
      </c>
      <c r="K709" s="33" t="n">
        <v>7431.79</v>
      </c>
      <c r="L709" s="34" t="n"/>
    </row>
    <row r="710">
      <c r="A710" t="inlineStr">
        <is>
          <t>ENC114660</t>
        </is>
      </c>
      <c r="B710" t="inlineStr">
        <is>
          <t>PT13151</t>
        </is>
      </c>
      <c r="C710" t="inlineStr">
        <is>
          <t>Inpatient</t>
        </is>
      </c>
      <c r="D710" t="inlineStr">
        <is>
          <t>F01</t>
        </is>
      </c>
      <c r="E710" t="inlineStr">
        <is>
          <t>D120</t>
        </is>
      </c>
      <c r="F710" t="inlineStr">
        <is>
          <t>Direct Admit</t>
        </is>
      </c>
      <c r="G710" s="32" t="n">
        <v>45778.50069444445</v>
      </c>
      <c r="H710" s="32" t="n">
        <v>45781.71458333333</v>
      </c>
      <c r="I710" t="inlineStr">
        <is>
          <t>I50.9</t>
        </is>
      </c>
      <c r="J710" t="inlineStr">
        <is>
          <t>PY02</t>
        </is>
      </c>
      <c r="K710" s="33" t="n">
        <v>25737.56</v>
      </c>
      <c r="L710" s="34" t="n"/>
    </row>
    <row r="711">
      <c r="A711" t="inlineStr">
        <is>
          <t>ENC114664</t>
        </is>
      </c>
      <c r="B711" t="inlineStr">
        <is>
          <t>PT12930</t>
        </is>
      </c>
      <c r="C711" t="inlineStr">
        <is>
          <t>Emergency</t>
        </is>
      </c>
      <c r="D711" t="inlineStr">
        <is>
          <t>F02</t>
        </is>
      </c>
      <c r="E711" t="inlineStr">
        <is>
          <t>D200</t>
        </is>
      </c>
      <c r="G711" s="32" t="n">
        <v>45778.55416666667</v>
      </c>
      <c r="H711" s="32" t="n">
        <v>45778.76458333333</v>
      </c>
      <c r="I711" t="inlineStr">
        <is>
          <t>F10.239</t>
        </is>
      </c>
      <c r="J711" t="inlineStr">
        <is>
          <t>PY06</t>
        </is>
      </c>
      <c r="K711" s="33" t="n">
        <v>3874.19</v>
      </c>
      <c r="L711" s="34" t="n"/>
    </row>
    <row r="712">
      <c r="A712" t="inlineStr">
        <is>
          <t>ENC114669</t>
        </is>
      </c>
      <c r="B712" t="inlineStr">
        <is>
          <t>PT13042</t>
        </is>
      </c>
      <c r="C712" t="inlineStr">
        <is>
          <t>Outpatient</t>
        </is>
      </c>
      <c r="D712" t="inlineStr">
        <is>
          <t>F04</t>
        </is>
      </c>
      <c r="E712" t="inlineStr">
        <is>
          <t>D400</t>
        </is>
      </c>
      <c r="G712" s="32" t="n">
        <v>45778.63541666666</v>
      </c>
      <c r="H712" s="32" t="n">
        <v>45778.65486111111</v>
      </c>
      <c r="I712" t="inlineStr">
        <is>
          <t>G43.909</t>
        </is>
      </c>
      <c r="J712" t="inlineStr">
        <is>
          <t>PY04</t>
        </is>
      </c>
      <c r="K712" s="33" t="n">
        <v>356.54</v>
      </c>
      <c r="L712" s="34" t="n"/>
    </row>
    <row r="713">
      <c r="A713" t="inlineStr">
        <is>
          <t>ENC114676</t>
        </is>
      </c>
      <c r="B713" t="inlineStr">
        <is>
          <t>PT10874</t>
        </is>
      </c>
      <c r="C713" t="inlineStr">
        <is>
          <t>Emergency</t>
        </is>
      </c>
      <c r="D713" t="inlineStr">
        <is>
          <t>F01</t>
        </is>
      </c>
      <c r="E713" t="inlineStr">
        <is>
          <t>D100</t>
        </is>
      </c>
      <c r="G713" s="32" t="n">
        <v>45778.83402777778</v>
      </c>
      <c r="H713" s="32" t="n">
        <v>45778.89791666667</v>
      </c>
      <c r="I713" t="inlineStr">
        <is>
          <t>S93.401A</t>
        </is>
      </c>
      <c r="J713" t="inlineStr">
        <is>
          <t>PY01</t>
        </is>
      </c>
      <c r="K713" s="33" t="n">
        <v>1501.48</v>
      </c>
      <c r="L713" s="34" t="n"/>
    </row>
    <row r="714">
      <c r="A714" t="inlineStr">
        <is>
          <t>ENC114680</t>
        </is>
      </c>
      <c r="B714" t="inlineStr">
        <is>
          <t>PT13590</t>
        </is>
      </c>
      <c r="C714" t="inlineStr">
        <is>
          <t>Emergency</t>
        </is>
      </c>
      <c r="D714" t="inlineStr">
        <is>
          <t>F03</t>
        </is>
      </c>
      <c r="E714" t="inlineStr">
        <is>
          <t>D300</t>
        </is>
      </c>
      <c r="G714" s="32" t="n">
        <v>45779.05555555555</v>
      </c>
      <c r="H714" s="32" t="n">
        <v>45779.17638888889</v>
      </c>
      <c r="I714" t="inlineStr">
        <is>
          <t>A08.4</t>
        </is>
      </c>
      <c r="J714" t="inlineStr">
        <is>
          <t>PY07</t>
        </is>
      </c>
      <c r="K714" s="33" t="n">
        <v>2491.12</v>
      </c>
      <c r="L714" s="34" t="n"/>
    </row>
    <row r="715">
      <c r="A715" t="inlineStr">
        <is>
          <t>ENC114686</t>
        </is>
      </c>
      <c r="B715" t="inlineStr">
        <is>
          <t>PT11778</t>
        </is>
      </c>
      <c r="C715" t="inlineStr">
        <is>
          <t>Outpatient</t>
        </is>
      </c>
      <c r="D715" t="inlineStr">
        <is>
          <t>F04</t>
        </is>
      </c>
      <c r="E715" t="inlineStr">
        <is>
          <t>D400</t>
        </is>
      </c>
      <c r="G715" s="32" t="n">
        <v>45779.39583333334</v>
      </c>
      <c r="H715" s="32" t="n">
        <v>45779.42291666667</v>
      </c>
      <c r="I715" t="inlineStr">
        <is>
          <t>E78.5</t>
        </is>
      </c>
      <c r="J715" t="inlineStr">
        <is>
          <t>PY04</t>
        </is>
      </c>
      <c r="K715" s="33" t="n">
        <v>116.83</v>
      </c>
      <c r="L715" s="34" t="n"/>
    </row>
    <row r="716">
      <c r="A716" t="inlineStr">
        <is>
          <t>ENC114694</t>
        </is>
      </c>
      <c r="B716" t="inlineStr">
        <is>
          <t>PT10843</t>
        </is>
      </c>
      <c r="C716" t="inlineStr">
        <is>
          <t>Outpatient</t>
        </is>
      </c>
      <c r="D716" t="inlineStr">
        <is>
          <t>F04</t>
        </is>
      </c>
      <c r="E716" t="inlineStr">
        <is>
          <t>D440</t>
        </is>
      </c>
      <c r="G716" s="32" t="n">
        <v>45779.47916666666</v>
      </c>
      <c r="H716" s="32" t="n">
        <v>45779.51666666667</v>
      </c>
      <c r="I716" t="inlineStr">
        <is>
          <t>E11.9</t>
        </is>
      </c>
      <c r="J716" t="inlineStr">
        <is>
          <t>PY07</t>
        </is>
      </c>
      <c r="K716" s="33" t="n">
        <v>308.96</v>
      </c>
      <c r="L716" s="34" t="n"/>
    </row>
    <row r="717">
      <c r="A717" t="inlineStr">
        <is>
          <t>ENC114701</t>
        </is>
      </c>
      <c r="B717" t="inlineStr">
        <is>
          <t>PT10842</t>
        </is>
      </c>
      <c r="C717" t="inlineStr">
        <is>
          <t>Emergency</t>
        </is>
      </c>
      <c r="D717" t="inlineStr">
        <is>
          <t>F01</t>
        </is>
      </c>
      <c r="E717" t="inlineStr">
        <is>
          <t>D100</t>
        </is>
      </c>
      <c r="G717" s="32" t="n">
        <v>45779.54097222222</v>
      </c>
      <c r="H717" s="32" t="n">
        <v>45779.69027777778</v>
      </c>
      <c r="I717" t="inlineStr">
        <is>
          <t>R07.9</t>
        </is>
      </c>
      <c r="J717" t="inlineStr">
        <is>
          <t>PY03</t>
        </is>
      </c>
      <c r="K717" s="33" t="n">
        <v>3101.01</v>
      </c>
      <c r="L717" s="34" t="n"/>
    </row>
    <row r="718">
      <c r="A718" t="inlineStr">
        <is>
          <t>ENC114688</t>
        </is>
      </c>
      <c r="B718" t="inlineStr">
        <is>
          <t>PT13090</t>
        </is>
      </c>
      <c r="C718" t="inlineStr">
        <is>
          <t>Observation</t>
        </is>
      </c>
      <c r="D718" t="inlineStr">
        <is>
          <t>F03</t>
        </is>
      </c>
      <c r="E718" t="inlineStr">
        <is>
          <t>D310</t>
        </is>
      </c>
      <c r="F718" t="inlineStr">
        <is>
          <t>Emergency Department</t>
        </is>
      </c>
      <c r="G718" s="32" t="n">
        <v>45779.59861111111</v>
      </c>
      <c r="H718" s="32" t="n">
        <v>45781.21319444444</v>
      </c>
      <c r="I718" t="inlineStr">
        <is>
          <t>R07.9</t>
        </is>
      </c>
      <c r="J718" t="inlineStr">
        <is>
          <t>PY01</t>
        </is>
      </c>
      <c r="K718" s="33" t="n">
        <v>12205.1</v>
      </c>
      <c r="L718" s="34" t="n"/>
    </row>
    <row r="719">
      <c r="A719" t="inlineStr">
        <is>
          <t>ENC114713</t>
        </is>
      </c>
      <c r="B719" t="inlineStr">
        <is>
          <t>PT11411</t>
        </is>
      </c>
      <c r="C719" t="inlineStr">
        <is>
          <t>Emergency</t>
        </is>
      </c>
      <c r="D719" t="inlineStr">
        <is>
          <t>F01</t>
        </is>
      </c>
      <c r="E719" t="inlineStr">
        <is>
          <t>D100</t>
        </is>
      </c>
      <c r="G719" s="32" t="n">
        <v>45779.69791666666</v>
      </c>
      <c r="H719" s="32" t="n">
        <v>45779.81736111111</v>
      </c>
      <c r="I719" t="inlineStr">
        <is>
          <t>R07.9</t>
        </is>
      </c>
      <c r="J719" t="inlineStr">
        <is>
          <t>PY04</t>
        </is>
      </c>
      <c r="K719" s="33" t="n">
        <v>3325.56</v>
      </c>
      <c r="L719" s="34" t="n"/>
    </row>
    <row r="720">
      <c r="A720" t="inlineStr">
        <is>
          <t>ENC114708</t>
        </is>
      </c>
      <c r="B720" t="inlineStr">
        <is>
          <t>PT11833</t>
        </is>
      </c>
      <c r="C720" t="inlineStr">
        <is>
          <t>Inpatient</t>
        </is>
      </c>
      <c r="D720" t="inlineStr">
        <is>
          <t>F02</t>
        </is>
      </c>
      <c r="E720" t="inlineStr">
        <is>
          <t>D210</t>
        </is>
      </c>
      <c r="F720" t="inlineStr">
        <is>
          <t>Emergency Department</t>
        </is>
      </c>
      <c r="G720" s="32" t="n">
        <v>45779.76388888889</v>
      </c>
      <c r="H720" s="32" t="n">
        <v>45781.66041666667</v>
      </c>
      <c r="I720" t="inlineStr">
        <is>
          <t>J45.909</t>
        </is>
      </c>
      <c r="J720" t="inlineStr">
        <is>
          <t>PY06</t>
        </is>
      </c>
      <c r="K720" s="33" t="n">
        <v>8778.68</v>
      </c>
      <c r="L720" s="34" t="n"/>
    </row>
    <row r="721">
      <c r="A721" t="inlineStr">
        <is>
          <t>ENC114719</t>
        </is>
      </c>
      <c r="B721" t="inlineStr">
        <is>
          <t>PT10734</t>
        </is>
      </c>
      <c r="C721" t="inlineStr">
        <is>
          <t>Emergency</t>
        </is>
      </c>
      <c r="D721" t="inlineStr">
        <is>
          <t>F01</t>
        </is>
      </c>
      <c r="E721" t="inlineStr">
        <is>
          <t>D100</t>
        </is>
      </c>
      <c r="G721" s="32" t="n">
        <v>45780.46388888889</v>
      </c>
      <c r="H721" s="32" t="n">
        <v>45780.60486111111</v>
      </c>
      <c r="I721" t="inlineStr">
        <is>
          <t>R07.9</t>
        </is>
      </c>
      <c r="J721" t="inlineStr">
        <is>
          <t>PY05</t>
        </is>
      </c>
      <c r="K721" s="33" t="n">
        <v>3153.26</v>
      </c>
      <c r="L721" s="34" t="n"/>
    </row>
    <row r="722">
      <c r="A722" t="inlineStr">
        <is>
          <t>ENC114724</t>
        </is>
      </c>
      <c r="B722" t="inlineStr">
        <is>
          <t>PT10743</t>
        </is>
      </c>
      <c r="C722" t="inlineStr">
        <is>
          <t>Observation</t>
        </is>
      </c>
      <c r="D722" t="inlineStr">
        <is>
          <t>F02</t>
        </is>
      </c>
      <c r="E722" t="inlineStr">
        <is>
          <t>D210</t>
        </is>
      </c>
      <c r="F722" t="inlineStr">
        <is>
          <t>Emergency Department</t>
        </is>
      </c>
      <c r="G722" s="32" t="n">
        <v>45780.69097222222</v>
      </c>
      <c r="H722" s="32" t="n">
        <v>45781.84652777778</v>
      </c>
      <c r="I722" t="inlineStr">
        <is>
          <t>R10.9</t>
        </is>
      </c>
      <c r="J722" t="inlineStr">
        <is>
          <t>PY02</t>
        </is>
      </c>
      <c r="K722" s="33" t="n">
        <v>6767.94</v>
      </c>
      <c r="L722" s="34" t="n"/>
    </row>
    <row r="723">
      <c r="A723" t="inlineStr">
        <is>
          <t>ENC114729</t>
        </is>
      </c>
      <c r="B723" t="inlineStr">
        <is>
          <t>PT10894</t>
        </is>
      </c>
      <c r="C723" t="inlineStr">
        <is>
          <t>Inpatient</t>
        </is>
      </c>
      <c r="D723" t="inlineStr">
        <is>
          <t>F01</t>
        </is>
      </c>
      <c r="E723" t="inlineStr">
        <is>
          <t>D120</t>
        </is>
      </c>
      <c r="F723" t="inlineStr">
        <is>
          <t>Emergency Department</t>
        </is>
      </c>
      <c r="G723" s="32" t="n">
        <v>45780.96805555555</v>
      </c>
      <c r="H723" s="32" t="n">
        <v>45783.66388888889</v>
      </c>
      <c r="I723" t="inlineStr">
        <is>
          <t>I48.91</t>
        </is>
      </c>
      <c r="J723" t="inlineStr">
        <is>
          <t>PY03</t>
        </is>
      </c>
      <c r="K723" s="33" t="n">
        <v>12304.57</v>
      </c>
      <c r="L723" s="34" t="n"/>
    </row>
    <row r="724">
      <c r="A724" t="inlineStr">
        <is>
          <t>ENC114736</t>
        </is>
      </c>
      <c r="B724" t="inlineStr">
        <is>
          <t>PT10696</t>
        </is>
      </c>
      <c r="C724" t="inlineStr">
        <is>
          <t>Emergency</t>
        </is>
      </c>
      <c r="D724" t="inlineStr">
        <is>
          <t>F02</t>
        </is>
      </c>
      <c r="E724" t="inlineStr">
        <is>
          <t>D200</t>
        </is>
      </c>
      <c r="G724" s="32" t="n">
        <v>45781.51041666666</v>
      </c>
      <c r="H724" s="32" t="n">
        <v>45781.61111111111</v>
      </c>
      <c r="I724" t="inlineStr">
        <is>
          <t>G43.909</t>
        </is>
      </c>
      <c r="J724" t="inlineStr">
        <is>
          <t>PY01</t>
        </is>
      </c>
      <c r="K724" s="33" t="n">
        <v>638.34</v>
      </c>
      <c r="L724" s="34" t="n"/>
    </row>
    <row r="725">
      <c r="A725" t="inlineStr">
        <is>
          <t>ENC114743</t>
        </is>
      </c>
      <c r="B725" t="inlineStr">
        <is>
          <t>PT12526</t>
        </is>
      </c>
      <c r="C725" t="inlineStr">
        <is>
          <t>Emergency</t>
        </is>
      </c>
      <c r="D725" t="inlineStr">
        <is>
          <t>F01</t>
        </is>
      </c>
      <c r="E725" t="inlineStr">
        <is>
          <t>D100</t>
        </is>
      </c>
      <c r="G725" s="32" t="n">
        <v>45781.65763888889</v>
      </c>
      <c r="H725" s="32" t="n">
        <v>45781.81319444445</v>
      </c>
      <c r="I725" t="inlineStr">
        <is>
          <t>N39.0</t>
        </is>
      </c>
      <c r="J725" t="inlineStr">
        <is>
          <t>PY02</t>
        </is>
      </c>
      <c r="K725" s="33" t="n">
        <v>3622.23</v>
      </c>
      <c r="L725" s="34" t="n"/>
    </row>
    <row r="726">
      <c r="A726" t="inlineStr">
        <is>
          <t>ENC114747</t>
        </is>
      </c>
      <c r="B726" t="inlineStr">
        <is>
          <t>PT10171</t>
        </is>
      </c>
      <c r="C726" t="inlineStr">
        <is>
          <t>Inpatient</t>
        </is>
      </c>
      <c r="D726" t="inlineStr">
        <is>
          <t>F03</t>
        </is>
      </c>
      <c r="E726" t="inlineStr">
        <is>
          <t>D310</t>
        </is>
      </c>
      <c r="F726" t="inlineStr">
        <is>
          <t>Emergency Department</t>
        </is>
      </c>
      <c r="G726" s="32" t="n">
        <v>45781.90902777778</v>
      </c>
      <c r="H726" s="32" t="n">
        <v>45784.5875</v>
      </c>
      <c r="I726" t="inlineStr">
        <is>
          <t>J18.9</t>
        </is>
      </c>
      <c r="J726" t="inlineStr">
        <is>
          <t>PY01</t>
        </is>
      </c>
      <c r="K726" s="33" t="n">
        <v>14779.55</v>
      </c>
      <c r="L726" s="34" t="n"/>
    </row>
    <row r="727">
      <c r="A727" t="inlineStr">
        <is>
          <t>ENC114753</t>
        </is>
      </c>
      <c r="B727" t="inlineStr">
        <is>
          <t>PT10612</t>
        </is>
      </c>
      <c r="C727" t="inlineStr">
        <is>
          <t>Emergency</t>
        </is>
      </c>
      <c r="D727" t="inlineStr">
        <is>
          <t>F03</t>
        </is>
      </c>
      <c r="E727" t="inlineStr">
        <is>
          <t>D300</t>
        </is>
      </c>
      <c r="G727" s="32" t="n">
        <v>45782.19097222222</v>
      </c>
      <c r="H727" s="32" t="n">
        <v>45782.27638888889</v>
      </c>
      <c r="I727" t="inlineStr">
        <is>
          <t>G43.909</t>
        </is>
      </c>
      <c r="J727" t="inlineStr">
        <is>
          <t>PY01</t>
        </is>
      </c>
      <c r="K727" s="33" t="n">
        <v>1543.1</v>
      </c>
      <c r="L727" s="34" t="n"/>
    </row>
    <row r="728">
      <c r="A728" t="inlineStr">
        <is>
          <t>ENC114759</t>
        </is>
      </c>
      <c r="B728" t="inlineStr">
        <is>
          <t>PT10648</t>
        </is>
      </c>
      <c r="C728" t="inlineStr">
        <is>
          <t>Outpatient</t>
        </is>
      </c>
      <c r="D728" t="inlineStr">
        <is>
          <t>F04</t>
        </is>
      </c>
      <c r="E728" t="inlineStr">
        <is>
          <t>D400</t>
        </is>
      </c>
      <c r="G728" s="32" t="n">
        <v>45782.36458333334</v>
      </c>
      <c r="H728" s="32" t="n">
        <v>45782.39166666667</v>
      </c>
      <c r="I728" t="inlineStr">
        <is>
          <t>I10</t>
        </is>
      </c>
      <c r="J728" t="inlineStr">
        <is>
          <t>PY07</t>
        </is>
      </c>
      <c r="K728" s="33" t="n">
        <v>444.1</v>
      </c>
      <c r="L728" s="34" t="n"/>
    </row>
    <row r="729">
      <c r="A729" t="inlineStr">
        <is>
          <t>ENC114766</t>
        </is>
      </c>
      <c r="B729" t="inlineStr">
        <is>
          <t>PT12768</t>
        </is>
      </c>
      <c r="C729" t="inlineStr">
        <is>
          <t>Emergency</t>
        </is>
      </c>
      <c r="D729" t="inlineStr">
        <is>
          <t>F01</t>
        </is>
      </c>
      <c r="E729" t="inlineStr">
        <is>
          <t>D100</t>
        </is>
      </c>
      <c r="G729" s="32" t="n">
        <v>45782.4625</v>
      </c>
      <c r="H729" s="32" t="n">
        <v>45782.50555555556</v>
      </c>
      <c r="I729" t="inlineStr">
        <is>
          <t>J06.9</t>
        </is>
      </c>
      <c r="J729" t="inlineStr">
        <is>
          <t>PY03</t>
        </is>
      </c>
      <c r="K729" s="33" t="n">
        <v>680.6799999999999</v>
      </c>
      <c r="L729" s="34" t="n"/>
    </row>
    <row r="730">
      <c r="A730" t="inlineStr">
        <is>
          <t>ENC114765</t>
        </is>
      </c>
      <c r="B730" t="inlineStr">
        <is>
          <t>PT12692</t>
        </is>
      </c>
      <c r="C730" t="inlineStr">
        <is>
          <t>Inpatient</t>
        </is>
      </c>
      <c r="D730" t="inlineStr">
        <is>
          <t>F03</t>
        </is>
      </c>
      <c r="E730" t="inlineStr">
        <is>
          <t>D310</t>
        </is>
      </c>
      <c r="F730" t="inlineStr">
        <is>
          <t>Emergency Department</t>
        </is>
      </c>
      <c r="G730" s="32" t="n">
        <v>45782.50486111111</v>
      </c>
      <c r="H730" s="32" t="n">
        <v>45790.60763888889</v>
      </c>
      <c r="I730" t="inlineStr">
        <is>
          <t>A41.9</t>
        </is>
      </c>
      <c r="J730" t="inlineStr">
        <is>
          <t>PY03</t>
        </is>
      </c>
      <c r="K730" s="33" t="n">
        <v>51250.73</v>
      </c>
      <c r="L730" s="34" t="n"/>
    </row>
    <row r="731">
      <c r="A731" t="inlineStr">
        <is>
          <t>ENC114777</t>
        </is>
      </c>
      <c r="B731" t="inlineStr">
        <is>
          <t>PT12671</t>
        </is>
      </c>
      <c r="C731" t="inlineStr">
        <is>
          <t>Outpatient</t>
        </is>
      </c>
      <c r="D731" t="inlineStr">
        <is>
          <t>F04</t>
        </is>
      </c>
      <c r="E731" t="inlineStr">
        <is>
          <t>D400</t>
        </is>
      </c>
      <c r="G731" s="32" t="n">
        <v>45782.58333333334</v>
      </c>
      <c r="H731" s="32" t="n">
        <v>45782.61875</v>
      </c>
      <c r="I731" t="inlineStr">
        <is>
          <t>F41.9</t>
        </is>
      </c>
      <c r="J731" t="inlineStr">
        <is>
          <t>PY06</t>
        </is>
      </c>
      <c r="K731" s="33" t="n">
        <v>403.28</v>
      </c>
      <c r="L731" s="34" t="n"/>
    </row>
    <row r="732">
      <c r="A732" t="inlineStr">
        <is>
          <t>ENC114781</t>
        </is>
      </c>
      <c r="B732" t="inlineStr">
        <is>
          <t>PT12100</t>
        </is>
      </c>
      <c r="C732" t="inlineStr">
        <is>
          <t>Outpatient</t>
        </is>
      </c>
      <c r="D732" t="inlineStr">
        <is>
          <t>F04</t>
        </is>
      </c>
      <c r="E732" t="inlineStr">
        <is>
          <t>D450</t>
        </is>
      </c>
      <c r="G732" s="32" t="n">
        <v>45782.60416666666</v>
      </c>
      <c r="H732" s="32" t="n">
        <v>45782.62777777778</v>
      </c>
      <c r="I732" t="inlineStr">
        <is>
          <t>Z00.129</t>
        </is>
      </c>
      <c r="J732" t="inlineStr">
        <is>
          <t>PY03</t>
        </is>
      </c>
      <c r="K732" s="33" t="n">
        <v>347.97</v>
      </c>
      <c r="L732" s="34" t="n"/>
    </row>
    <row r="733">
      <c r="A733" t="inlineStr">
        <is>
          <t>ENC114788</t>
        </is>
      </c>
      <c r="B733" t="inlineStr">
        <is>
          <t>PT12131</t>
        </is>
      </c>
      <c r="C733" t="inlineStr">
        <is>
          <t>Emergency</t>
        </is>
      </c>
      <c r="D733" t="inlineStr">
        <is>
          <t>F01</t>
        </is>
      </c>
      <c r="E733" t="inlineStr">
        <is>
          <t>D100</t>
        </is>
      </c>
      <c r="G733" s="32" t="n">
        <v>45782.73819444444</v>
      </c>
      <c r="H733" s="32" t="n">
        <v>45782.83541666667</v>
      </c>
      <c r="I733" t="inlineStr">
        <is>
          <t>J06.9</t>
        </is>
      </c>
      <c r="J733" t="inlineStr">
        <is>
          <t>PY06</t>
        </is>
      </c>
      <c r="K733" s="33" t="n">
        <v>1806.24</v>
      </c>
      <c r="L733" s="34" t="n"/>
    </row>
    <row r="734">
      <c r="A734" t="inlineStr">
        <is>
          <t>ENC114783</t>
        </is>
      </c>
      <c r="B734" t="inlineStr">
        <is>
          <t>PT10401</t>
        </is>
      </c>
      <c r="C734" t="inlineStr">
        <is>
          <t>Inpatient</t>
        </is>
      </c>
      <c r="D734" t="inlineStr">
        <is>
          <t>F02</t>
        </is>
      </c>
      <c r="E734" t="inlineStr">
        <is>
          <t>D210</t>
        </is>
      </c>
      <c r="F734" t="inlineStr">
        <is>
          <t>Emergency Department</t>
        </is>
      </c>
      <c r="G734" s="32" t="n">
        <v>45782.83055555556</v>
      </c>
      <c r="H734" s="32" t="n">
        <v>45788.63333333333</v>
      </c>
      <c r="I734" t="inlineStr">
        <is>
          <t>J18.9</t>
        </is>
      </c>
      <c r="J734" t="inlineStr">
        <is>
          <t>PY03</t>
        </is>
      </c>
      <c r="K734" s="33" t="n">
        <v>25504.12</v>
      </c>
      <c r="L734" s="34" t="n"/>
    </row>
    <row r="735">
      <c r="A735" t="inlineStr">
        <is>
          <t>ENC114797</t>
        </is>
      </c>
      <c r="B735" t="inlineStr">
        <is>
          <t>PT13655</t>
        </is>
      </c>
      <c r="C735" t="inlineStr">
        <is>
          <t>Inpatient</t>
        </is>
      </c>
      <c r="D735" t="inlineStr">
        <is>
          <t>F01</t>
        </is>
      </c>
      <c r="E735" t="inlineStr">
        <is>
          <t>D110</t>
        </is>
      </c>
      <c r="F735" t="inlineStr">
        <is>
          <t>Emergency Department</t>
        </is>
      </c>
      <c r="G735" s="32" t="n">
        <v>45782.98402777778</v>
      </c>
      <c r="H735" s="32" t="n">
        <v>45786.56736111111</v>
      </c>
      <c r="I735" t="inlineStr">
        <is>
          <t>K92.2</t>
        </is>
      </c>
      <c r="J735" t="inlineStr">
        <is>
          <t>PY03</t>
        </is>
      </c>
      <c r="K735" s="33" t="n">
        <v>22013.07</v>
      </c>
      <c r="L735" s="34" t="n"/>
    </row>
    <row r="736">
      <c r="A736" t="inlineStr">
        <is>
          <t>ENC114803</t>
        </is>
      </c>
      <c r="B736" t="inlineStr">
        <is>
          <t>PT11675</t>
        </is>
      </c>
      <c r="C736" t="inlineStr">
        <is>
          <t>Emergency</t>
        </is>
      </c>
      <c r="D736" t="inlineStr">
        <is>
          <t>F01</t>
        </is>
      </c>
      <c r="E736" t="inlineStr">
        <is>
          <t>D100</t>
        </is>
      </c>
      <c r="G736" s="32" t="n">
        <v>45783.18541666667</v>
      </c>
      <c r="H736" s="32" t="n">
        <v>45783.36041666667</v>
      </c>
      <c r="I736" t="inlineStr">
        <is>
          <t>J21.9</t>
        </is>
      </c>
      <c r="J736" t="inlineStr">
        <is>
          <t>PY03</t>
        </is>
      </c>
      <c r="K736" s="33" t="n">
        <v>2652.87</v>
      </c>
      <c r="L736" s="34" t="n"/>
    </row>
    <row r="737">
      <c r="A737" t="inlineStr">
        <is>
          <t>ENC114811</t>
        </is>
      </c>
      <c r="B737" t="inlineStr">
        <is>
          <t>PT11961</t>
        </is>
      </c>
      <c r="C737" t="inlineStr">
        <is>
          <t>Outpatient</t>
        </is>
      </c>
      <c r="D737" t="inlineStr">
        <is>
          <t>F04</t>
        </is>
      </c>
      <c r="E737" t="inlineStr">
        <is>
          <t>D450</t>
        </is>
      </c>
      <c r="G737" s="32" t="n">
        <v>45783.375</v>
      </c>
      <c r="H737" s="32" t="n">
        <v>45783.40833333333</v>
      </c>
      <c r="I737" t="inlineStr">
        <is>
          <t>Z00.129</t>
        </is>
      </c>
      <c r="J737" t="inlineStr">
        <is>
          <t>PY05</t>
        </is>
      </c>
      <c r="K737" s="33" t="n">
        <v>313.73</v>
      </c>
      <c r="L737" s="34" t="n"/>
    </row>
    <row r="738">
      <c r="A738" t="inlineStr">
        <is>
          <t>ENC114816</t>
        </is>
      </c>
      <c r="B738" t="inlineStr">
        <is>
          <t>PT13492</t>
        </is>
      </c>
      <c r="C738" t="inlineStr">
        <is>
          <t>Outpatient</t>
        </is>
      </c>
      <c r="D738" t="inlineStr">
        <is>
          <t>F04</t>
        </is>
      </c>
      <c r="E738" t="inlineStr">
        <is>
          <t>D400</t>
        </is>
      </c>
      <c r="G738" s="32" t="n">
        <v>45783.46875</v>
      </c>
      <c r="H738" s="32" t="n">
        <v>45783.49444444444</v>
      </c>
      <c r="I738" t="inlineStr">
        <is>
          <t>F32.9</t>
        </is>
      </c>
      <c r="J738" t="inlineStr">
        <is>
          <t>PY07</t>
        </is>
      </c>
      <c r="K738" s="33" t="n">
        <v>315.52</v>
      </c>
      <c r="L738" s="34" t="n"/>
    </row>
    <row r="739">
      <c r="A739" t="inlineStr">
        <is>
          <t>ENC114820</t>
        </is>
      </c>
      <c r="B739" t="inlineStr">
        <is>
          <t>PT12503</t>
        </is>
      </c>
      <c r="C739" t="inlineStr">
        <is>
          <t>Outpatient</t>
        </is>
      </c>
      <c r="D739" t="inlineStr">
        <is>
          <t>F04</t>
        </is>
      </c>
      <c r="E739" t="inlineStr">
        <is>
          <t>D440</t>
        </is>
      </c>
      <c r="G739" s="32" t="n">
        <v>45783.5625</v>
      </c>
      <c r="H739" s="32" t="n">
        <v>45783.57638888889</v>
      </c>
      <c r="I739" t="inlineStr">
        <is>
          <t>E11.9</t>
        </is>
      </c>
      <c r="J739" t="inlineStr">
        <is>
          <t>PY04</t>
        </is>
      </c>
      <c r="K739" s="33" t="n">
        <v>210.74</v>
      </c>
      <c r="L739" s="34" t="n"/>
    </row>
    <row r="740">
      <c r="A740" t="inlineStr">
        <is>
          <t>ENC114825</t>
        </is>
      </c>
      <c r="B740" t="inlineStr">
        <is>
          <t>PT10680</t>
        </is>
      </c>
      <c r="C740" t="inlineStr">
        <is>
          <t>Outpatient</t>
        </is>
      </c>
      <c r="D740" t="inlineStr">
        <is>
          <t>F04</t>
        </is>
      </c>
      <c r="E740" t="inlineStr">
        <is>
          <t>D410</t>
        </is>
      </c>
      <c r="G740" s="32" t="n">
        <v>45783.57291666666</v>
      </c>
      <c r="H740" s="32" t="n">
        <v>45783.60902777778</v>
      </c>
      <c r="I740" t="inlineStr">
        <is>
          <t>I48.91</t>
        </is>
      </c>
      <c r="J740" t="inlineStr">
        <is>
          <t>PY05</t>
        </is>
      </c>
      <c r="K740" s="33" t="n">
        <v>215.18</v>
      </c>
      <c r="L740" s="34" t="n"/>
    </row>
    <row r="741">
      <c r="A741" t="inlineStr">
        <is>
          <t>ENC114832</t>
        </is>
      </c>
      <c r="B741" t="inlineStr">
        <is>
          <t>PT13900</t>
        </is>
      </c>
      <c r="C741" t="inlineStr">
        <is>
          <t>Outpatient</t>
        </is>
      </c>
      <c r="D741" t="inlineStr">
        <is>
          <t>F04</t>
        </is>
      </c>
      <c r="E741" t="inlineStr">
        <is>
          <t>D400</t>
        </is>
      </c>
      <c r="G741" s="32" t="n">
        <v>45783.67708333334</v>
      </c>
      <c r="H741" s="32" t="n">
        <v>45783.70486111111</v>
      </c>
      <c r="I741" t="inlineStr">
        <is>
          <t>J44.1</t>
        </is>
      </c>
      <c r="J741" t="inlineStr">
        <is>
          <t>PY01</t>
        </is>
      </c>
      <c r="K741" s="33" t="n">
        <v>286.09</v>
      </c>
      <c r="L741" s="34" t="n"/>
    </row>
    <row r="742">
      <c r="A742" t="inlineStr">
        <is>
          <t>ENC114831</t>
        </is>
      </c>
      <c r="B742" t="inlineStr">
        <is>
          <t>PT11711</t>
        </is>
      </c>
      <c r="C742" t="inlineStr">
        <is>
          <t>Inpatient</t>
        </is>
      </c>
      <c r="D742" t="inlineStr">
        <is>
          <t>F01</t>
        </is>
      </c>
      <c r="E742" t="inlineStr">
        <is>
          <t>D111</t>
        </is>
      </c>
      <c r="F742" t="inlineStr">
        <is>
          <t>Emergency Department</t>
        </is>
      </c>
      <c r="G742" s="32" t="n">
        <v>45783.84166666667</v>
      </c>
      <c r="H742" s="32" t="n">
        <v>45790.68055555555</v>
      </c>
      <c r="I742" t="inlineStr">
        <is>
          <t>F10.239</t>
        </is>
      </c>
      <c r="J742" t="inlineStr">
        <is>
          <t>PY07</t>
        </is>
      </c>
      <c r="K742" s="33" t="n">
        <v>24953.75</v>
      </c>
      <c r="L742" s="34" t="n"/>
    </row>
    <row r="743">
      <c r="A743" t="inlineStr">
        <is>
          <t>ENC114844</t>
        </is>
      </c>
      <c r="B743" t="inlineStr">
        <is>
          <t>PT12093</t>
        </is>
      </c>
      <c r="C743" t="inlineStr">
        <is>
          <t>Inpatient</t>
        </is>
      </c>
      <c r="D743" t="inlineStr">
        <is>
          <t>F01</t>
        </is>
      </c>
      <c r="E743" t="inlineStr">
        <is>
          <t>D170</t>
        </is>
      </c>
      <c r="F743" t="inlineStr">
        <is>
          <t>Direct Admit</t>
        </is>
      </c>
      <c r="G743" s="32" t="n">
        <v>45784.30763888889</v>
      </c>
      <c r="H743" s="32" t="n">
        <v>45786.47291666667</v>
      </c>
      <c r="I743" t="inlineStr">
        <is>
          <t>O80</t>
        </is>
      </c>
      <c r="J743" t="inlineStr">
        <is>
          <t>PY04</t>
        </is>
      </c>
      <c r="K743" s="33" t="n">
        <v>14037.04</v>
      </c>
      <c r="L743" s="34" t="n"/>
    </row>
    <row r="744">
      <c r="A744" t="inlineStr">
        <is>
          <t>ENC114848</t>
        </is>
      </c>
      <c r="B744" t="inlineStr">
        <is>
          <t>PT12250</t>
        </is>
      </c>
      <c r="C744" t="inlineStr">
        <is>
          <t>Outpatient</t>
        </is>
      </c>
      <c r="D744" t="inlineStr">
        <is>
          <t>F04</t>
        </is>
      </c>
      <c r="E744" t="inlineStr">
        <is>
          <t>D440</t>
        </is>
      </c>
      <c r="G744" s="32" t="n">
        <v>45784.41666666666</v>
      </c>
      <c r="H744" s="32" t="n">
        <v>45784.44097222222</v>
      </c>
      <c r="I744" t="inlineStr">
        <is>
          <t>E11.9</t>
        </is>
      </c>
      <c r="J744" t="inlineStr">
        <is>
          <t>PY01</t>
        </is>
      </c>
      <c r="K744" s="33" t="n">
        <v>271.06</v>
      </c>
      <c r="L744" s="34" t="n"/>
    </row>
    <row r="745">
      <c r="A745" t="inlineStr">
        <is>
          <t>ENC114853</t>
        </is>
      </c>
      <c r="B745" t="inlineStr">
        <is>
          <t>PT11082</t>
        </is>
      </c>
      <c r="C745" t="inlineStr">
        <is>
          <t>Emergency</t>
        </is>
      </c>
      <c r="D745" t="inlineStr">
        <is>
          <t>F01</t>
        </is>
      </c>
      <c r="E745" t="inlineStr">
        <is>
          <t>D100</t>
        </is>
      </c>
      <c r="G745" s="32" t="n">
        <v>45784.47083333333</v>
      </c>
      <c r="H745" s="32" t="n">
        <v>45784.57986111111</v>
      </c>
      <c r="I745" t="inlineStr">
        <is>
          <t>F41.9</t>
        </is>
      </c>
      <c r="J745" t="inlineStr">
        <is>
          <t>PY01</t>
        </is>
      </c>
      <c r="K745" s="33" t="n">
        <v>949.5599999999999</v>
      </c>
      <c r="L745" s="34" t="n"/>
    </row>
    <row r="746">
      <c r="A746" t="inlineStr">
        <is>
          <t>ENC114858</t>
        </is>
      </c>
      <c r="B746" t="inlineStr">
        <is>
          <t>PT10657</t>
        </is>
      </c>
      <c r="C746" t="inlineStr">
        <is>
          <t>Outpatient</t>
        </is>
      </c>
      <c r="D746" t="inlineStr">
        <is>
          <t>F04</t>
        </is>
      </c>
      <c r="E746" t="inlineStr">
        <is>
          <t>D400</t>
        </is>
      </c>
      <c r="G746" s="32" t="n">
        <v>45784.61458333334</v>
      </c>
      <c r="H746" s="32" t="n">
        <v>45784.63611111111</v>
      </c>
      <c r="I746" t="inlineStr">
        <is>
          <t>Z00.00</t>
        </is>
      </c>
      <c r="J746" t="inlineStr">
        <is>
          <t>PY03</t>
        </is>
      </c>
      <c r="K746" s="33" t="n">
        <v>393.9</v>
      </c>
      <c r="L746" s="34" t="n"/>
    </row>
    <row r="747">
      <c r="A747" t="inlineStr">
        <is>
          <t>ENC114864</t>
        </is>
      </c>
      <c r="B747" t="inlineStr">
        <is>
          <t>PT12222</t>
        </is>
      </c>
      <c r="C747" t="inlineStr">
        <is>
          <t>Emergency</t>
        </is>
      </c>
      <c r="D747" t="inlineStr">
        <is>
          <t>F01</t>
        </is>
      </c>
      <c r="E747" t="inlineStr">
        <is>
          <t>D100</t>
        </is>
      </c>
      <c r="G747" s="32" t="n">
        <v>45784.76597222222</v>
      </c>
      <c r="H747" s="32" t="n">
        <v>45784.83263888889</v>
      </c>
      <c r="I747" t="inlineStr">
        <is>
          <t>J44.1</t>
        </is>
      </c>
      <c r="J747" t="inlineStr">
        <is>
          <t>PY01</t>
        </is>
      </c>
      <c r="K747" s="33" t="n">
        <v>1220.47</v>
      </c>
      <c r="L747" s="34" t="n"/>
    </row>
    <row r="748">
      <c r="A748" t="inlineStr">
        <is>
          <t>ENC114870</t>
        </is>
      </c>
      <c r="B748" t="inlineStr">
        <is>
          <t>PT12699</t>
        </is>
      </c>
      <c r="C748" t="inlineStr">
        <is>
          <t>Inpatient</t>
        </is>
      </c>
      <c r="D748" t="inlineStr">
        <is>
          <t>F01</t>
        </is>
      </c>
      <c r="E748" t="inlineStr">
        <is>
          <t>D140</t>
        </is>
      </c>
      <c r="F748" t="inlineStr">
        <is>
          <t>Elective</t>
        </is>
      </c>
      <c r="G748" s="32" t="n">
        <v>45785.30416666667</v>
      </c>
      <c r="H748" s="32" t="n">
        <v>45788.47777777778</v>
      </c>
      <c r="I748" t="inlineStr">
        <is>
          <t>M17.11</t>
        </is>
      </c>
      <c r="J748" t="inlineStr">
        <is>
          <t>PY02</t>
        </is>
      </c>
      <c r="K748" s="33" t="n">
        <v>67410.42999999999</v>
      </c>
      <c r="L748" s="34" t="n"/>
    </row>
    <row r="749">
      <c r="A749" t="inlineStr">
        <is>
          <t>ENC114875</t>
        </is>
      </c>
      <c r="B749" t="inlineStr">
        <is>
          <t>PT10860</t>
        </is>
      </c>
      <c r="C749" t="inlineStr">
        <is>
          <t>Inpatient</t>
        </is>
      </c>
      <c r="D749" t="inlineStr">
        <is>
          <t>F01</t>
        </is>
      </c>
      <c r="E749" t="inlineStr">
        <is>
          <t>D111</t>
        </is>
      </c>
      <c r="F749" t="inlineStr">
        <is>
          <t>Transfer</t>
        </is>
      </c>
      <c r="G749" s="32" t="n">
        <v>45785.425</v>
      </c>
      <c r="H749" s="32" t="n">
        <v>45788.61458333334</v>
      </c>
      <c r="I749" t="inlineStr">
        <is>
          <t>K35.80</t>
        </is>
      </c>
      <c r="J749" t="inlineStr">
        <is>
          <t>PY02</t>
        </is>
      </c>
      <c r="K749" s="33" t="n">
        <v>31657.46</v>
      </c>
      <c r="L749" s="34" t="n"/>
    </row>
    <row r="750">
      <c r="A750" t="inlineStr">
        <is>
          <t>ENC114882</t>
        </is>
      </c>
      <c r="B750" t="inlineStr">
        <is>
          <t>PT12306</t>
        </is>
      </c>
      <c r="C750" t="inlineStr">
        <is>
          <t>Outpatient</t>
        </is>
      </c>
      <c r="D750" t="inlineStr">
        <is>
          <t>F04</t>
        </is>
      </c>
      <c r="E750" t="inlineStr">
        <is>
          <t>D430</t>
        </is>
      </c>
      <c r="G750" s="32" t="n">
        <v>45785.51041666666</v>
      </c>
      <c r="H750" s="32" t="n">
        <v>45785.68819444445</v>
      </c>
      <c r="I750" t="inlineStr">
        <is>
          <t>Z51.11</t>
        </is>
      </c>
      <c r="J750" t="inlineStr">
        <is>
          <t>PY03</t>
        </is>
      </c>
      <c r="K750" s="33" t="n">
        <v>8005.83</v>
      </c>
      <c r="L750" s="34" t="n"/>
    </row>
    <row r="751">
      <c r="A751" t="inlineStr">
        <is>
          <t>ENC114886</t>
        </is>
      </c>
      <c r="B751" t="inlineStr">
        <is>
          <t>PT10105</t>
        </is>
      </c>
      <c r="C751" t="inlineStr">
        <is>
          <t>Outpatient</t>
        </is>
      </c>
      <c r="D751" t="inlineStr">
        <is>
          <t>F04</t>
        </is>
      </c>
      <c r="E751" t="inlineStr">
        <is>
          <t>D400</t>
        </is>
      </c>
      <c r="G751" s="32" t="n">
        <v>45785.59375</v>
      </c>
      <c r="H751" s="32" t="n">
        <v>45785.61388888889</v>
      </c>
      <c r="I751" t="inlineStr">
        <is>
          <t>F41.9</t>
        </is>
      </c>
      <c r="J751" t="inlineStr">
        <is>
          <t>PY05</t>
        </is>
      </c>
      <c r="K751" s="33" t="n">
        <v>326.03</v>
      </c>
      <c r="L751" s="34" t="n"/>
    </row>
    <row r="752">
      <c r="A752" t="inlineStr">
        <is>
          <t>ENC114892</t>
        </is>
      </c>
      <c r="B752" t="inlineStr">
        <is>
          <t>PT11209</t>
        </is>
      </c>
      <c r="C752" t="inlineStr">
        <is>
          <t>Outpatient</t>
        </is>
      </c>
      <c r="D752" t="inlineStr">
        <is>
          <t>F04</t>
        </is>
      </c>
      <c r="E752" t="inlineStr">
        <is>
          <t>D410</t>
        </is>
      </c>
      <c r="G752" s="32" t="n">
        <v>45785.67708333334</v>
      </c>
      <c r="H752" s="32" t="n">
        <v>45785.7125</v>
      </c>
      <c r="I752" t="inlineStr">
        <is>
          <t>I50.9</t>
        </is>
      </c>
      <c r="J752" t="inlineStr">
        <is>
          <t>PY01</t>
        </is>
      </c>
      <c r="K752" s="33" t="n">
        <v>263.39</v>
      </c>
      <c r="L752" s="34" t="n"/>
    </row>
    <row r="753">
      <c r="A753" t="inlineStr">
        <is>
          <t>ENC114897</t>
        </is>
      </c>
      <c r="B753" t="inlineStr">
        <is>
          <t>PT12296</t>
        </is>
      </c>
      <c r="C753" t="inlineStr">
        <is>
          <t>Emergency</t>
        </is>
      </c>
      <c r="D753" t="inlineStr">
        <is>
          <t>F01</t>
        </is>
      </c>
      <c r="E753" t="inlineStr">
        <is>
          <t>D100</t>
        </is>
      </c>
      <c r="G753" s="32" t="n">
        <v>45785.74236111111</v>
      </c>
      <c r="H753" s="32" t="n">
        <v>45785.89722222222</v>
      </c>
      <c r="I753" t="inlineStr">
        <is>
          <t>R07.9</t>
        </is>
      </c>
      <c r="J753" t="inlineStr">
        <is>
          <t>PY04</t>
        </is>
      </c>
      <c r="K753" s="33" t="n">
        <v>4639.36</v>
      </c>
      <c r="L753" s="34" t="n"/>
    </row>
    <row r="754">
      <c r="A754" t="inlineStr">
        <is>
          <t>ENC114903</t>
        </is>
      </c>
      <c r="B754" t="inlineStr">
        <is>
          <t>PT13879</t>
        </is>
      </c>
      <c r="C754" t="inlineStr">
        <is>
          <t>Emergency</t>
        </is>
      </c>
      <c r="D754" t="inlineStr">
        <is>
          <t>F03</t>
        </is>
      </c>
      <c r="E754" t="inlineStr">
        <is>
          <t>D300</t>
        </is>
      </c>
      <c r="G754" s="32" t="n">
        <v>45786.16875</v>
      </c>
      <c r="H754" s="32" t="n">
        <v>45786.25833333333</v>
      </c>
      <c r="I754" t="inlineStr">
        <is>
          <t>R07.9</t>
        </is>
      </c>
      <c r="J754" t="inlineStr">
        <is>
          <t>PY07</t>
        </is>
      </c>
      <c r="K754" s="33" t="n">
        <v>4031.79</v>
      </c>
      <c r="L754" s="34" t="n"/>
    </row>
    <row r="755">
      <c r="A755" t="inlineStr">
        <is>
          <t>ENC114909</t>
        </is>
      </c>
      <c r="B755" t="inlineStr">
        <is>
          <t>PT11896</t>
        </is>
      </c>
      <c r="C755" t="inlineStr">
        <is>
          <t>Outpatient</t>
        </is>
      </c>
      <c r="D755" t="inlineStr">
        <is>
          <t>F04</t>
        </is>
      </c>
      <c r="E755" t="inlineStr">
        <is>
          <t>D440</t>
        </is>
      </c>
      <c r="G755" s="32" t="n">
        <v>45786.40625</v>
      </c>
      <c r="H755" s="32" t="n">
        <v>45786.4375</v>
      </c>
      <c r="I755" t="inlineStr">
        <is>
          <t>E11.9</t>
        </is>
      </c>
      <c r="J755" t="inlineStr">
        <is>
          <t>PY03</t>
        </is>
      </c>
      <c r="K755" s="33" t="n">
        <v>424.13</v>
      </c>
      <c r="L755" s="34" t="n"/>
    </row>
    <row r="756">
      <c r="A756" t="inlineStr">
        <is>
          <t>ENC114917</t>
        </is>
      </c>
      <c r="B756" t="inlineStr">
        <is>
          <t>PT10465</t>
        </is>
      </c>
      <c r="C756" t="inlineStr">
        <is>
          <t>Outpatient</t>
        </is>
      </c>
      <c r="D756" t="inlineStr">
        <is>
          <t>F04</t>
        </is>
      </c>
      <c r="E756" t="inlineStr">
        <is>
          <t>D400</t>
        </is>
      </c>
      <c r="G756" s="32" t="n">
        <v>45786.5</v>
      </c>
      <c r="H756" s="32" t="n">
        <v>45786.53263888889</v>
      </c>
      <c r="I756" t="inlineStr">
        <is>
          <t>I10</t>
        </is>
      </c>
      <c r="J756" t="inlineStr">
        <is>
          <t>PY01</t>
        </is>
      </c>
      <c r="K756" s="33" t="n">
        <v>497.64</v>
      </c>
      <c r="L756" s="34" t="n"/>
    </row>
    <row r="757">
      <c r="A757" t="inlineStr">
        <is>
          <t>ENC114920</t>
        </is>
      </c>
      <c r="B757" t="inlineStr">
        <is>
          <t>PT10527</t>
        </is>
      </c>
      <c r="C757" t="inlineStr">
        <is>
          <t>Outpatient</t>
        </is>
      </c>
      <c r="D757" t="inlineStr">
        <is>
          <t>F04</t>
        </is>
      </c>
      <c r="E757" t="inlineStr">
        <is>
          <t>D430</t>
        </is>
      </c>
      <c r="G757" s="32" t="n">
        <v>45786.60416666666</v>
      </c>
      <c r="H757" s="32" t="n">
        <v>45786.80694444444</v>
      </c>
      <c r="I757" t="inlineStr">
        <is>
          <t>Z51.11</t>
        </is>
      </c>
      <c r="J757" t="inlineStr">
        <is>
          <t>PY02</t>
        </is>
      </c>
      <c r="K757" s="33" t="n">
        <v>4739.76</v>
      </c>
      <c r="L757" s="34" t="n"/>
    </row>
    <row r="758">
      <c r="A758" t="inlineStr">
        <is>
          <t>ENC114926</t>
        </is>
      </c>
      <c r="B758" t="inlineStr">
        <is>
          <t>PT13203</t>
        </is>
      </c>
      <c r="C758" t="inlineStr">
        <is>
          <t>Emergency</t>
        </is>
      </c>
      <c r="D758" t="inlineStr">
        <is>
          <t>F01</t>
        </is>
      </c>
      <c r="E758" t="inlineStr">
        <is>
          <t>D100</t>
        </is>
      </c>
      <c r="G758" s="32" t="n">
        <v>45786.70694444444</v>
      </c>
      <c r="H758" s="32" t="n">
        <v>45786.9125</v>
      </c>
      <c r="I758" t="inlineStr">
        <is>
          <t>J06.9</t>
        </is>
      </c>
      <c r="J758" t="inlineStr">
        <is>
          <t>PY03</t>
        </is>
      </c>
      <c r="K758" s="33" t="n">
        <v>1969.57</v>
      </c>
      <c r="L758" s="34" t="n"/>
    </row>
    <row r="759">
      <c r="A759" t="inlineStr">
        <is>
          <t>ENC114931</t>
        </is>
      </c>
      <c r="B759" t="inlineStr">
        <is>
          <t>PT10239</t>
        </is>
      </c>
      <c r="C759" t="inlineStr">
        <is>
          <t>Inpatient</t>
        </is>
      </c>
      <c r="D759" t="inlineStr">
        <is>
          <t>F01</t>
        </is>
      </c>
      <c r="E759" t="inlineStr">
        <is>
          <t>D170</t>
        </is>
      </c>
      <c r="F759" t="inlineStr">
        <is>
          <t>Direct Admit</t>
        </is>
      </c>
      <c r="G759" s="32" t="n">
        <v>45786.86527777778</v>
      </c>
      <c r="H759" s="32" t="n">
        <v>45788.59583333333</v>
      </c>
      <c r="I759" t="inlineStr">
        <is>
          <t>O80</t>
        </is>
      </c>
      <c r="J759" t="inlineStr">
        <is>
          <t>PY04</t>
        </is>
      </c>
      <c r="K759" s="33" t="n">
        <v>13619.33</v>
      </c>
      <c r="L759" s="34" t="n"/>
    </row>
    <row r="760">
      <c r="A760" t="inlineStr">
        <is>
          <t>ENC114938</t>
        </is>
      </c>
      <c r="B760" t="inlineStr">
        <is>
          <t>PT11340</t>
        </is>
      </c>
      <c r="C760" t="inlineStr">
        <is>
          <t>Emergency</t>
        </is>
      </c>
      <c r="D760" t="inlineStr">
        <is>
          <t>F01</t>
        </is>
      </c>
      <c r="E760" t="inlineStr">
        <is>
          <t>D100</t>
        </is>
      </c>
      <c r="G760" s="32" t="n">
        <v>45787.39305555556</v>
      </c>
      <c r="H760" s="32" t="n">
        <v>45787.55486111111</v>
      </c>
      <c r="I760" t="inlineStr">
        <is>
          <t>A08.4</t>
        </is>
      </c>
      <c r="J760" t="inlineStr">
        <is>
          <t>PY05</t>
        </is>
      </c>
      <c r="K760" s="33" t="n">
        <v>3101.76</v>
      </c>
      <c r="L760" s="34" t="n"/>
    </row>
    <row r="761">
      <c r="A761" t="inlineStr">
        <is>
          <t>ENC114943</t>
        </is>
      </c>
      <c r="B761" t="inlineStr">
        <is>
          <t>PT10605</t>
        </is>
      </c>
      <c r="C761" t="inlineStr">
        <is>
          <t>Emergency</t>
        </is>
      </c>
      <c r="D761" t="inlineStr">
        <is>
          <t>F01</t>
        </is>
      </c>
      <c r="E761" t="inlineStr">
        <is>
          <t>D100</t>
        </is>
      </c>
      <c r="G761" s="32" t="n">
        <v>45787.69722222222</v>
      </c>
      <c r="H761" s="32" t="n">
        <v>45787.9125</v>
      </c>
      <c r="I761" t="inlineStr">
        <is>
          <t>I10</t>
        </is>
      </c>
      <c r="J761" t="inlineStr">
        <is>
          <t>PY02</t>
        </is>
      </c>
      <c r="K761" s="33" t="n">
        <v>3790.47</v>
      </c>
      <c r="L761" s="34" t="n"/>
    </row>
    <row r="762">
      <c r="A762" t="inlineStr">
        <is>
          <t>ENC114948</t>
        </is>
      </c>
      <c r="B762" t="inlineStr">
        <is>
          <t>PT11455</t>
        </is>
      </c>
      <c r="C762" t="inlineStr">
        <is>
          <t>Emergency</t>
        </is>
      </c>
      <c r="D762" t="inlineStr">
        <is>
          <t>F02</t>
        </is>
      </c>
      <c r="E762" t="inlineStr">
        <is>
          <t>D200</t>
        </is>
      </c>
      <c r="G762" s="32" t="n">
        <v>45788.32986111111</v>
      </c>
      <c r="H762" s="32" t="n">
        <v>45788.40972222222</v>
      </c>
      <c r="I762" t="inlineStr">
        <is>
          <t>J06.9</t>
        </is>
      </c>
      <c r="J762" t="inlineStr">
        <is>
          <t>PY02</t>
        </is>
      </c>
      <c r="K762" s="33" t="n">
        <v>1372.35</v>
      </c>
      <c r="L762" s="34" t="n"/>
    </row>
    <row r="763">
      <c r="A763" t="inlineStr">
        <is>
          <t>ENC114951</t>
        </is>
      </c>
      <c r="B763" t="inlineStr">
        <is>
          <t>PT13168</t>
        </is>
      </c>
      <c r="C763" t="inlineStr">
        <is>
          <t>Observation</t>
        </is>
      </c>
      <c r="D763" t="inlineStr">
        <is>
          <t>F01</t>
        </is>
      </c>
      <c r="E763" t="inlineStr">
        <is>
          <t>D195</t>
        </is>
      </c>
      <c r="F763" t="inlineStr">
        <is>
          <t>Emergency Department</t>
        </is>
      </c>
      <c r="G763" s="32" t="n">
        <v>45788.52569444444</v>
      </c>
      <c r="H763" s="32" t="n">
        <v>45789.31180555555</v>
      </c>
      <c r="I763" t="inlineStr">
        <is>
          <t>R10.9</t>
        </is>
      </c>
      <c r="J763" t="inlineStr">
        <is>
          <t>PY04</t>
        </is>
      </c>
      <c r="K763" s="33" t="n">
        <v>6014.86</v>
      </c>
      <c r="L763" s="34" t="n"/>
    </row>
    <row r="764">
      <c r="A764" t="inlineStr">
        <is>
          <t>ENC114959</t>
        </is>
      </c>
      <c r="B764" t="inlineStr">
        <is>
          <t>PT10990</t>
        </is>
      </c>
      <c r="C764" t="inlineStr">
        <is>
          <t>Emergency</t>
        </is>
      </c>
      <c r="D764" t="inlineStr">
        <is>
          <t>F01</t>
        </is>
      </c>
      <c r="E764" t="inlineStr">
        <is>
          <t>D100</t>
        </is>
      </c>
      <c r="G764" s="32" t="n">
        <v>45788.71736111111</v>
      </c>
      <c r="H764" s="32" t="n">
        <v>45788.89375</v>
      </c>
      <c r="I764" t="inlineStr">
        <is>
          <t>L03.115</t>
        </is>
      </c>
      <c r="J764" t="inlineStr">
        <is>
          <t>PY03</t>
        </is>
      </c>
      <c r="K764" s="33" t="n">
        <v>3550.23</v>
      </c>
      <c r="L764" s="34" t="n"/>
    </row>
    <row r="765">
      <c r="A765" t="inlineStr">
        <is>
          <t>ENC114963</t>
        </is>
      </c>
      <c r="B765" t="inlineStr">
        <is>
          <t>PT10281</t>
        </is>
      </c>
      <c r="C765" t="inlineStr">
        <is>
          <t>Inpatient</t>
        </is>
      </c>
      <c r="D765" t="inlineStr">
        <is>
          <t>F01</t>
        </is>
      </c>
      <c r="E765" t="inlineStr">
        <is>
          <t>D190</t>
        </is>
      </c>
      <c r="F765" t="inlineStr">
        <is>
          <t>Emergency Department</t>
        </is>
      </c>
      <c r="G765" s="32" t="n">
        <v>45789.09722222222</v>
      </c>
      <c r="H765" s="32" t="n">
        <v>45803.79305555556</v>
      </c>
      <c r="I765" t="inlineStr">
        <is>
          <t>F32.9</t>
        </is>
      </c>
      <c r="J765" t="inlineStr">
        <is>
          <t>PY03</t>
        </is>
      </c>
      <c r="K765" s="33" t="n">
        <v>39018.56</v>
      </c>
      <c r="L765" s="34" t="n"/>
    </row>
    <row r="766">
      <c r="A766" t="inlineStr">
        <is>
          <t>ENC114971</t>
        </is>
      </c>
      <c r="B766" t="inlineStr">
        <is>
          <t>PT10307</t>
        </is>
      </c>
      <c r="C766" t="inlineStr">
        <is>
          <t>Outpatient</t>
        </is>
      </c>
      <c r="D766" t="inlineStr">
        <is>
          <t>F04</t>
        </is>
      </c>
      <c r="E766" t="inlineStr">
        <is>
          <t>D400</t>
        </is>
      </c>
      <c r="G766" s="32" t="n">
        <v>45789.4375</v>
      </c>
      <c r="H766" s="32" t="n">
        <v>45789.46041666667</v>
      </c>
      <c r="I766" t="inlineStr">
        <is>
          <t>I10</t>
        </is>
      </c>
      <c r="J766" t="inlineStr">
        <is>
          <t>PY01</t>
        </is>
      </c>
      <c r="K766" s="33" t="n">
        <v>422.08</v>
      </c>
      <c r="L766" s="34" t="n"/>
    </row>
    <row r="767">
      <c r="A767" t="inlineStr">
        <is>
          <t>ENC114978</t>
        </is>
      </c>
      <c r="B767" t="inlineStr">
        <is>
          <t>PT13376</t>
        </is>
      </c>
      <c r="C767" t="inlineStr">
        <is>
          <t>Outpatient</t>
        </is>
      </c>
      <c r="D767" t="inlineStr">
        <is>
          <t>F04</t>
        </is>
      </c>
      <c r="E767" t="inlineStr">
        <is>
          <t>D400</t>
        </is>
      </c>
      <c r="G767" s="32" t="n">
        <v>45789.52083333334</v>
      </c>
      <c r="H767" s="32" t="n">
        <v>45789.55625</v>
      </c>
      <c r="I767" t="inlineStr">
        <is>
          <t>Z00.00</t>
        </is>
      </c>
      <c r="J767" t="inlineStr">
        <is>
          <t>PY03</t>
        </is>
      </c>
      <c r="K767" s="33" t="n">
        <v>476.02</v>
      </c>
      <c r="L767" s="34" t="n"/>
    </row>
    <row r="768">
      <c r="A768" t="inlineStr">
        <is>
          <t>ENC114983</t>
        </is>
      </c>
      <c r="B768" t="inlineStr">
        <is>
          <t>PT11201</t>
        </is>
      </c>
      <c r="C768" t="inlineStr">
        <is>
          <t>Outpatient</t>
        </is>
      </c>
      <c r="D768" t="inlineStr">
        <is>
          <t>F04</t>
        </is>
      </c>
      <c r="E768" t="inlineStr">
        <is>
          <t>D400</t>
        </is>
      </c>
      <c r="G768" s="32" t="n">
        <v>45789.625</v>
      </c>
      <c r="H768" s="32" t="n">
        <v>45789.64652777778</v>
      </c>
      <c r="I768" t="inlineStr">
        <is>
          <t>M54.50</t>
        </is>
      </c>
      <c r="J768" t="inlineStr">
        <is>
          <t>PY08</t>
        </is>
      </c>
      <c r="K768" s="33" t="n">
        <v>255.07</v>
      </c>
      <c r="L768" s="34" t="n"/>
    </row>
    <row r="769">
      <c r="A769" t="inlineStr">
        <is>
          <t>ENC114988</t>
        </is>
      </c>
      <c r="B769" t="inlineStr">
        <is>
          <t>PT13733</t>
        </is>
      </c>
      <c r="C769" t="inlineStr">
        <is>
          <t>Outpatient</t>
        </is>
      </c>
      <c r="D769" t="inlineStr">
        <is>
          <t>F04</t>
        </is>
      </c>
      <c r="E769" t="inlineStr">
        <is>
          <t>D450</t>
        </is>
      </c>
      <c r="G769" s="32" t="n">
        <v>45789.66666666666</v>
      </c>
      <c r="H769" s="32" t="n">
        <v>45789.70208333333</v>
      </c>
      <c r="I769" t="inlineStr">
        <is>
          <t>Z00.129</t>
        </is>
      </c>
      <c r="J769" t="inlineStr">
        <is>
          <t>PY06</t>
        </is>
      </c>
      <c r="K769" s="33" t="n">
        <v>374.5</v>
      </c>
      <c r="L769" s="34" t="n"/>
    </row>
    <row r="770">
      <c r="A770" t="inlineStr">
        <is>
          <t>ENC114993</t>
        </is>
      </c>
      <c r="B770" t="inlineStr">
        <is>
          <t>PT11378</t>
        </is>
      </c>
      <c r="C770" t="inlineStr">
        <is>
          <t>Emergency</t>
        </is>
      </c>
      <c r="D770" t="inlineStr">
        <is>
          <t>F01</t>
        </is>
      </c>
      <c r="E770" t="inlineStr">
        <is>
          <t>D100</t>
        </is>
      </c>
      <c r="G770" s="32" t="n">
        <v>45789.77291666667</v>
      </c>
      <c r="H770" s="32" t="n">
        <v>45789.89861111111</v>
      </c>
      <c r="I770" t="inlineStr">
        <is>
          <t>G43.909</t>
        </is>
      </c>
      <c r="J770" t="inlineStr">
        <is>
          <t>PY03</t>
        </is>
      </c>
      <c r="K770" s="33" t="n">
        <v>1682.4</v>
      </c>
      <c r="L770" s="34" t="n"/>
    </row>
    <row r="771">
      <c r="A771" t="inlineStr">
        <is>
          <t>ENC114998</t>
        </is>
      </c>
      <c r="B771" t="inlineStr">
        <is>
          <t>PT13127</t>
        </is>
      </c>
      <c r="C771" t="inlineStr">
        <is>
          <t>Inpatient</t>
        </is>
      </c>
      <c r="D771" t="inlineStr">
        <is>
          <t>F01</t>
        </is>
      </c>
      <c r="E771" t="inlineStr">
        <is>
          <t>D170</t>
        </is>
      </c>
      <c r="F771" t="inlineStr">
        <is>
          <t>Direct Admit</t>
        </is>
      </c>
      <c r="G771" s="32" t="n">
        <v>45789.93680555555</v>
      </c>
      <c r="H771" s="32" t="n">
        <v>45791.44791666666</v>
      </c>
      <c r="I771" t="inlineStr">
        <is>
          <t>O82</t>
        </is>
      </c>
      <c r="J771" t="inlineStr">
        <is>
          <t>PY04</t>
        </is>
      </c>
      <c r="K771" s="33" t="n">
        <v>22828.65</v>
      </c>
      <c r="L771" s="34" t="n"/>
    </row>
    <row r="772">
      <c r="A772" t="inlineStr">
        <is>
          <t>ENC115004</t>
        </is>
      </c>
      <c r="B772" t="inlineStr">
        <is>
          <t>PT13921</t>
        </is>
      </c>
      <c r="C772" t="inlineStr">
        <is>
          <t>Outpatient</t>
        </is>
      </c>
      <c r="D772" t="inlineStr">
        <is>
          <t>F04</t>
        </is>
      </c>
      <c r="E772" t="inlineStr">
        <is>
          <t>D400</t>
        </is>
      </c>
      <c r="G772" s="32" t="n">
        <v>45790.36458333334</v>
      </c>
      <c r="H772" s="32" t="n">
        <v>45790.375</v>
      </c>
      <c r="I772" t="inlineStr">
        <is>
          <t>E78.5</t>
        </is>
      </c>
      <c r="J772" t="inlineStr">
        <is>
          <t>PY04</t>
        </is>
      </c>
      <c r="K772" s="33" t="n">
        <v>308.45</v>
      </c>
      <c r="L772" s="34" t="n"/>
    </row>
    <row r="773">
      <c r="A773" t="inlineStr">
        <is>
          <t>ENC115010</t>
        </is>
      </c>
      <c r="B773" t="inlineStr">
        <is>
          <t>PT11064</t>
        </is>
      </c>
      <c r="C773" t="inlineStr">
        <is>
          <t>Outpatient</t>
        </is>
      </c>
      <c r="D773" t="inlineStr">
        <is>
          <t>F04</t>
        </is>
      </c>
      <c r="E773" t="inlineStr">
        <is>
          <t>D400</t>
        </is>
      </c>
      <c r="G773" s="32" t="n">
        <v>45790.46875</v>
      </c>
      <c r="H773" s="32" t="n">
        <v>45790.48333333333</v>
      </c>
      <c r="I773" t="inlineStr">
        <is>
          <t>J06.9</t>
        </is>
      </c>
      <c r="J773" t="inlineStr">
        <is>
          <t>PY04</t>
        </is>
      </c>
      <c r="K773" s="33" t="n">
        <v>367.34</v>
      </c>
      <c r="L773" s="34" t="n"/>
    </row>
    <row r="774">
      <c r="A774" t="inlineStr">
        <is>
          <t>ENC115016</t>
        </is>
      </c>
      <c r="B774" t="inlineStr">
        <is>
          <t>PT13292</t>
        </is>
      </c>
      <c r="C774" t="inlineStr">
        <is>
          <t>Outpatient</t>
        </is>
      </c>
      <c r="D774" t="inlineStr">
        <is>
          <t>F04</t>
        </is>
      </c>
      <c r="E774" t="inlineStr">
        <is>
          <t>D400</t>
        </is>
      </c>
      <c r="G774" s="32" t="n">
        <v>45790.51041666666</v>
      </c>
      <c r="H774" s="32" t="n">
        <v>45790.54722222222</v>
      </c>
      <c r="I774" t="inlineStr">
        <is>
          <t>E78.5</t>
        </is>
      </c>
      <c r="J774" t="inlineStr">
        <is>
          <t>PY02</t>
        </is>
      </c>
      <c r="K774" s="33" t="n">
        <v>236.21</v>
      </c>
      <c r="L774" s="34" t="n"/>
    </row>
    <row r="775">
      <c r="A775" t="inlineStr">
        <is>
          <t>ENC115021</t>
        </is>
      </c>
      <c r="B775" t="inlineStr">
        <is>
          <t>PT10545</t>
        </is>
      </c>
      <c r="C775" t="inlineStr">
        <is>
          <t>Outpatient</t>
        </is>
      </c>
      <c r="D775" t="inlineStr">
        <is>
          <t>F04</t>
        </is>
      </c>
      <c r="E775" t="inlineStr">
        <is>
          <t>D400</t>
        </is>
      </c>
      <c r="G775" s="32" t="n">
        <v>45790.58333333334</v>
      </c>
      <c r="H775" s="32" t="n">
        <v>45790.61666666667</v>
      </c>
      <c r="I775" t="inlineStr">
        <is>
          <t>Z23</t>
        </is>
      </c>
      <c r="J775" t="inlineStr">
        <is>
          <t>PY01</t>
        </is>
      </c>
      <c r="K775" s="33" t="n">
        <v>137.7</v>
      </c>
      <c r="L775" s="34" t="n"/>
    </row>
    <row r="776">
      <c r="A776" t="inlineStr">
        <is>
          <t>ENC115027</t>
        </is>
      </c>
      <c r="B776" t="inlineStr">
        <is>
          <t>PT12972</t>
        </is>
      </c>
      <c r="C776" t="inlineStr">
        <is>
          <t>Outpatient</t>
        </is>
      </c>
      <c r="D776" t="inlineStr">
        <is>
          <t>F04</t>
        </is>
      </c>
      <c r="E776" t="inlineStr">
        <is>
          <t>D400</t>
        </is>
      </c>
      <c r="G776" s="32" t="n">
        <v>45790.66666666666</v>
      </c>
      <c r="H776" s="32" t="n">
        <v>45790.7</v>
      </c>
      <c r="I776" t="inlineStr">
        <is>
          <t>I10</t>
        </is>
      </c>
      <c r="J776" t="inlineStr">
        <is>
          <t>PY01</t>
        </is>
      </c>
      <c r="K776" s="33" t="n">
        <v>562.61</v>
      </c>
      <c r="L776" s="34" t="n"/>
    </row>
    <row r="777">
      <c r="A777" t="inlineStr">
        <is>
          <t>ENC115034</t>
        </is>
      </c>
      <c r="B777" t="inlineStr">
        <is>
          <t>PT13553</t>
        </is>
      </c>
      <c r="C777" t="inlineStr">
        <is>
          <t>Emergency</t>
        </is>
      </c>
      <c r="D777" t="inlineStr">
        <is>
          <t>F01</t>
        </is>
      </c>
      <c r="E777" t="inlineStr">
        <is>
          <t>D100</t>
        </is>
      </c>
      <c r="G777" s="32" t="n">
        <v>45790.825</v>
      </c>
      <c r="H777" s="32" t="n">
        <v>45791.03055555555</v>
      </c>
      <c r="I777" t="inlineStr">
        <is>
          <t>S06.0X0A</t>
        </is>
      </c>
      <c r="J777" t="inlineStr">
        <is>
          <t>PY03</t>
        </is>
      </c>
      <c r="K777" s="33" t="n">
        <v>3842.4</v>
      </c>
      <c r="L777" s="34" t="n"/>
    </row>
    <row r="778">
      <c r="A778" t="inlineStr">
        <is>
          <t>ENC115033</t>
        </is>
      </c>
      <c r="B778" t="inlineStr">
        <is>
          <t>PT12735</t>
        </is>
      </c>
      <c r="C778" t="inlineStr">
        <is>
          <t>Observation</t>
        </is>
      </c>
      <c r="D778" t="inlineStr">
        <is>
          <t>F01</t>
        </is>
      </c>
      <c r="E778" t="inlineStr">
        <is>
          <t>D195</t>
        </is>
      </c>
      <c r="F778" t="inlineStr">
        <is>
          <t>Emergency Department</t>
        </is>
      </c>
      <c r="G778" s="32" t="n">
        <v>45790.93472222222</v>
      </c>
      <c r="H778" s="32" t="n">
        <v>45791.60347222222</v>
      </c>
      <c r="I778" t="inlineStr">
        <is>
          <t>N39.0</t>
        </is>
      </c>
      <c r="J778" t="inlineStr">
        <is>
          <t>PY03</t>
        </is>
      </c>
      <c r="K778" s="33" t="n">
        <v>8674.75</v>
      </c>
      <c r="L778" s="34" t="n"/>
    </row>
    <row r="779">
      <c r="A779" t="inlineStr">
        <is>
          <t>ENC115036</t>
        </is>
      </c>
      <c r="B779" t="inlineStr">
        <is>
          <t>PT11211</t>
        </is>
      </c>
      <c r="C779" t="inlineStr">
        <is>
          <t>Observation</t>
        </is>
      </c>
      <c r="D779" t="inlineStr">
        <is>
          <t>F01</t>
        </is>
      </c>
      <c r="E779" t="inlineStr">
        <is>
          <t>D195</t>
        </is>
      </c>
      <c r="F779" t="inlineStr">
        <is>
          <t>Emergency Department</t>
        </is>
      </c>
      <c r="G779" s="32" t="n">
        <v>45791.03541666667</v>
      </c>
      <c r="H779" s="32" t="n">
        <v>45792.07847222222</v>
      </c>
      <c r="I779" t="inlineStr">
        <is>
          <t>K80.20</t>
        </is>
      </c>
      <c r="J779" t="inlineStr">
        <is>
          <t>PY02</t>
        </is>
      </c>
      <c r="K779" s="33" t="n">
        <v>4888.73</v>
      </c>
      <c r="L779" s="34" t="n"/>
    </row>
    <row r="780">
      <c r="A780" t="inlineStr">
        <is>
          <t>ENC115048</t>
        </is>
      </c>
      <c r="B780" t="inlineStr">
        <is>
          <t>PT13644</t>
        </is>
      </c>
      <c r="C780" t="inlineStr">
        <is>
          <t>Outpatient</t>
        </is>
      </c>
      <c r="D780" t="inlineStr">
        <is>
          <t>F04</t>
        </is>
      </c>
      <c r="E780" t="inlineStr">
        <is>
          <t>D400</t>
        </is>
      </c>
      <c r="G780" s="32" t="n">
        <v>45791.34375</v>
      </c>
      <c r="H780" s="32" t="n">
        <v>45791.37708333333</v>
      </c>
      <c r="I780" t="inlineStr">
        <is>
          <t>E78.5</t>
        </is>
      </c>
      <c r="J780" t="inlineStr">
        <is>
          <t>PY01</t>
        </is>
      </c>
      <c r="K780" s="33" t="n">
        <v>297.64</v>
      </c>
      <c r="L780" s="34" t="n"/>
    </row>
    <row r="781">
      <c r="A781" t="inlineStr">
        <is>
          <t>ENC115053</t>
        </is>
      </c>
      <c r="B781" t="inlineStr">
        <is>
          <t>PT10706</t>
        </is>
      </c>
      <c r="C781" t="inlineStr">
        <is>
          <t>Outpatient</t>
        </is>
      </c>
      <c r="D781" t="inlineStr">
        <is>
          <t>F04</t>
        </is>
      </c>
      <c r="E781" t="inlineStr">
        <is>
          <t>D430</t>
        </is>
      </c>
      <c r="G781" s="32" t="n">
        <v>45791.42708333334</v>
      </c>
      <c r="H781" s="32" t="n">
        <v>45791.44861111111</v>
      </c>
      <c r="I781" t="inlineStr">
        <is>
          <t>C34.90</t>
        </is>
      </c>
      <c r="J781" t="inlineStr">
        <is>
          <t>PY03</t>
        </is>
      </c>
      <c r="K781" s="33" t="n">
        <v>658.23</v>
      </c>
      <c r="L781" s="34" t="n"/>
    </row>
    <row r="782">
      <c r="A782" t="inlineStr">
        <is>
          <t>ENC115061</t>
        </is>
      </c>
      <c r="B782" t="inlineStr">
        <is>
          <t>PT13633</t>
        </is>
      </c>
      <c r="C782" t="inlineStr">
        <is>
          <t>Outpatient</t>
        </is>
      </c>
      <c r="D782" t="inlineStr">
        <is>
          <t>F04</t>
        </is>
      </c>
      <c r="E782" t="inlineStr">
        <is>
          <t>D400</t>
        </is>
      </c>
      <c r="G782" s="32" t="n">
        <v>45791.54166666666</v>
      </c>
      <c r="H782" s="32" t="n">
        <v>45791.56111111111</v>
      </c>
      <c r="I782" t="inlineStr">
        <is>
          <t>E78.5</t>
        </is>
      </c>
      <c r="J782" t="inlineStr">
        <is>
          <t>PY03</t>
        </is>
      </c>
      <c r="K782" s="33" t="n">
        <v>349.33</v>
      </c>
      <c r="L782" s="34" t="n"/>
    </row>
    <row r="783">
      <c r="A783" t="inlineStr">
        <is>
          <t>ENC115068</t>
        </is>
      </c>
      <c r="B783" t="inlineStr">
        <is>
          <t>PT10356</t>
        </is>
      </c>
      <c r="C783" t="inlineStr">
        <is>
          <t>Emergency</t>
        </is>
      </c>
      <c r="D783" t="inlineStr">
        <is>
          <t>F01</t>
        </is>
      </c>
      <c r="E783" t="inlineStr">
        <is>
          <t>D100</t>
        </is>
      </c>
      <c r="G783" s="32" t="n">
        <v>45791.60208333333</v>
      </c>
      <c r="H783" s="32" t="n">
        <v>45791.69236111111</v>
      </c>
      <c r="I783" t="inlineStr">
        <is>
          <t>J06.9</t>
        </is>
      </c>
      <c r="J783" t="inlineStr">
        <is>
          <t>PY01</t>
        </is>
      </c>
      <c r="K783" s="33" t="n">
        <v>820.23</v>
      </c>
      <c r="L783" s="34" t="n"/>
    </row>
    <row r="784">
      <c r="A784" t="inlineStr">
        <is>
          <t>ENC115064</t>
        </is>
      </c>
      <c r="B784" t="inlineStr">
        <is>
          <t>PT12893</t>
        </is>
      </c>
      <c r="C784" t="inlineStr">
        <is>
          <t>Inpatient</t>
        </is>
      </c>
      <c r="D784" t="inlineStr">
        <is>
          <t>F01</t>
        </is>
      </c>
      <c r="E784" t="inlineStr">
        <is>
          <t>D110</t>
        </is>
      </c>
      <c r="F784" t="inlineStr">
        <is>
          <t>Emergency Department</t>
        </is>
      </c>
      <c r="G784" s="32" t="n">
        <v>45791.65</v>
      </c>
      <c r="H784" s="32" t="n">
        <v>45800.59930555556</v>
      </c>
      <c r="I784" t="inlineStr">
        <is>
          <t>A41.9</t>
        </is>
      </c>
      <c r="J784" t="inlineStr">
        <is>
          <t>PY04</t>
        </is>
      </c>
      <c r="K784" s="33" t="n">
        <v>68890.27</v>
      </c>
      <c r="L784" s="34" t="n"/>
    </row>
    <row r="785">
      <c r="A785" t="inlineStr">
        <is>
          <t>ENC115077</t>
        </is>
      </c>
      <c r="B785" t="inlineStr">
        <is>
          <t>PT13155</t>
        </is>
      </c>
      <c r="C785" t="inlineStr">
        <is>
          <t>Emergency</t>
        </is>
      </c>
      <c r="D785" t="inlineStr">
        <is>
          <t>F01</t>
        </is>
      </c>
      <c r="E785" t="inlineStr">
        <is>
          <t>D100</t>
        </is>
      </c>
      <c r="G785" s="32" t="n">
        <v>45791.84652777778</v>
      </c>
      <c r="H785" s="32" t="n">
        <v>45791.96388888889</v>
      </c>
      <c r="I785" t="inlineStr">
        <is>
          <t>E86.0</t>
        </is>
      </c>
      <c r="J785" t="inlineStr">
        <is>
          <t>PY01</t>
        </is>
      </c>
      <c r="K785" s="33" t="n">
        <v>1417.32</v>
      </c>
      <c r="L785" s="34" t="n"/>
    </row>
    <row r="786">
      <c r="A786" t="inlineStr">
        <is>
          <t>ENC115081</t>
        </is>
      </c>
      <c r="B786" t="inlineStr">
        <is>
          <t>PT12813</t>
        </is>
      </c>
      <c r="C786" t="inlineStr">
        <is>
          <t>Emergency</t>
        </is>
      </c>
      <c r="D786" t="inlineStr">
        <is>
          <t>F02</t>
        </is>
      </c>
      <c r="E786" t="inlineStr">
        <is>
          <t>D200</t>
        </is>
      </c>
      <c r="G786" s="32" t="n">
        <v>45791.99513888889</v>
      </c>
      <c r="H786" s="32" t="n">
        <v>45792.09166666667</v>
      </c>
      <c r="I786" t="inlineStr">
        <is>
          <t>U07.1</t>
        </is>
      </c>
      <c r="J786" t="inlineStr">
        <is>
          <t>PY05</t>
        </is>
      </c>
      <c r="K786" s="33" t="n">
        <v>3503.53</v>
      </c>
      <c r="L786" s="34" t="n"/>
    </row>
    <row r="787">
      <c r="A787" t="inlineStr">
        <is>
          <t>ENC115088</t>
        </is>
      </c>
      <c r="B787" t="inlineStr">
        <is>
          <t>PT10729</t>
        </is>
      </c>
      <c r="C787" t="inlineStr">
        <is>
          <t>Outpatient</t>
        </is>
      </c>
      <c r="D787" t="inlineStr">
        <is>
          <t>F04</t>
        </is>
      </c>
      <c r="E787" t="inlineStr">
        <is>
          <t>D430</t>
        </is>
      </c>
      <c r="G787" s="32" t="n">
        <v>45792.46875</v>
      </c>
      <c r="H787" s="32" t="n">
        <v>45792.59930555556</v>
      </c>
      <c r="I787" t="inlineStr">
        <is>
          <t>Z51.11</t>
        </is>
      </c>
      <c r="J787" t="inlineStr">
        <is>
          <t>PY03</t>
        </is>
      </c>
      <c r="K787" s="33" t="n">
        <v>12440.77</v>
      </c>
      <c r="L787" s="34" t="n"/>
    </row>
    <row r="788">
      <c r="A788" t="inlineStr">
        <is>
          <t>ENC115087</t>
        </is>
      </c>
      <c r="B788" t="inlineStr">
        <is>
          <t>PT10146</t>
        </is>
      </c>
      <c r="C788" t="inlineStr">
        <is>
          <t>Inpatient</t>
        </is>
      </c>
      <c r="D788" t="inlineStr">
        <is>
          <t>F02</t>
        </is>
      </c>
      <c r="E788" t="inlineStr">
        <is>
          <t>D270</t>
        </is>
      </c>
      <c r="F788" t="inlineStr">
        <is>
          <t>Emergency Department</t>
        </is>
      </c>
      <c r="G788" s="32" t="n">
        <v>45792.55694444444</v>
      </c>
      <c r="H788" s="32" t="n">
        <v>45793.47430555556</v>
      </c>
      <c r="I788" t="inlineStr">
        <is>
          <t>O80</t>
        </is>
      </c>
      <c r="J788" t="inlineStr">
        <is>
          <t>PY03</t>
        </is>
      </c>
      <c r="K788" s="33" t="n">
        <v>15403.16</v>
      </c>
      <c r="L788" s="34" t="n"/>
    </row>
    <row r="789">
      <c r="A789" t="inlineStr">
        <is>
          <t>ENC115099</t>
        </is>
      </c>
      <c r="B789" t="inlineStr">
        <is>
          <t>PT12563</t>
        </is>
      </c>
      <c r="C789" t="inlineStr">
        <is>
          <t>Emergency</t>
        </is>
      </c>
      <c r="D789" t="inlineStr">
        <is>
          <t>F01</t>
        </is>
      </c>
      <c r="E789" t="inlineStr">
        <is>
          <t>D100</t>
        </is>
      </c>
      <c r="G789" s="32" t="n">
        <v>45792.77083333334</v>
      </c>
      <c r="H789" s="32" t="n">
        <v>45792.87013888889</v>
      </c>
      <c r="I789" t="inlineStr">
        <is>
          <t>A08.4</t>
        </is>
      </c>
      <c r="J789" t="inlineStr">
        <is>
          <t>PY05</t>
        </is>
      </c>
      <c r="K789" s="33" t="n">
        <v>1335.97</v>
      </c>
      <c r="L789" s="34" t="n"/>
    </row>
    <row r="790">
      <c r="A790" t="inlineStr">
        <is>
          <t>ENC115100</t>
        </is>
      </c>
      <c r="B790" t="inlineStr">
        <is>
          <t>PT11976</t>
        </is>
      </c>
      <c r="C790" t="inlineStr">
        <is>
          <t>Observation</t>
        </is>
      </c>
      <c r="D790" t="inlineStr">
        <is>
          <t>F02</t>
        </is>
      </c>
      <c r="E790" t="inlineStr">
        <is>
          <t>D210</t>
        </is>
      </c>
      <c r="F790" t="inlineStr">
        <is>
          <t>Emergency Department</t>
        </is>
      </c>
      <c r="G790" s="32" t="n">
        <v>45793.11805555555</v>
      </c>
      <c r="H790" s="32" t="n">
        <v>45793.80208333334</v>
      </c>
      <c r="I790" t="inlineStr">
        <is>
          <t>R07.9</t>
        </is>
      </c>
      <c r="J790" t="inlineStr">
        <is>
          <t>PY04</t>
        </is>
      </c>
      <c r="K790" s="33" t="n">
        <v>10603.66</v>
      </c>
      <c r="L790" s="34" t="n"/>
    </row>
    <row r="791">
      <c r="A791" t="inlineStr">
        <is>
          <t>ENC115109</t>
        </is>
      </c>
      <c r="B791" t="inlineStr">
        <is>
          <t>PT12850</t>
        </is>
      </c>
      <c r="C791" t="inlineStr">
        <is>
          <t>Outpatient</t>
        </is>
      </c>
      <c r="D791" t="inlineStr">
        <is>
          <t>F04</t>
        </is>
      </c>
      <c r="E791" t="inlineStr">
        <is>
          <t>D400</t>
        </is>
      </c>
      <c r="G791" s="32" t="n">
        <v>45793.40625</v>
      </c>
      <c r="H791" s="32" t="n">
        <v>45793.41805555556</v>
      </c>
      <c r="I791" t="inlineStr">
        <is>
          <t>Z00.00</t>
        </is>
      </c>
      <c r="J791" t="inlineStr">
        <is>
          <t>PY06</t>
        </is>
      </c>
      <c r="K791" s="33" t="n">
        <v>405.96</v>
      </c>
      <c r="L791" s="34" t="n"/>
    </row>
    <row r="792">
      <c r="A792" t="inlineStr">
        <is>
          <t>ENC115117</t>
        </is>
      </c>
      <c r="B792" t="inlineStr">
        <is>
          <t>PT13786</t>
        </is>
      </c>
      <c r="C792" t="inlineStr">
        <is>
          <t>Outpatient</t>
        </is>
      </c>
      <c r="D792" t="inlineStr">
        <is>
          <t>F04</t>
        </is>
      </c>
      <c r="E792" t="inlineStr">
        <is>
          <t>D440</t>
        </is>
      </c>
      <c r="G792" s="32" t="n">
        <v>45793.52083333334</v>
      </c>
      <c r="H792" s="32" t="n">
        <v>45793.54375</v>
      </c>
      <c r="I792" t="inlineStr">
        <is>
          <t>E11.65</t>
        </is>
      </c>
      <c r="J792" t="inlineStr">
        <is>
          <t>PY07</t>
        </is>
      </c>
      <c r="K792" s="33" t="n">
        <v>409.66</v>
      </c>
      <c r="L792" s="34" t="n"/>
    </row>
    <row r="793">
      <c r="A793" t="inlineStr">
        <is>
          <t>ENC115110</t>
        </is>
      </c>
      <c r="B793" t="inlineStr">
        <is>
          <t>PT11064</t>
        </is>
      </c>
      <c r="C793" t="inlineStr">
        <is>
          <t>Inpatient</t>
        </is>
      </c>
      <c r="D793" t="inlineStr">
        <is>
          <t>F01</t>
        </is>
      </c>
      <c r="E793" t="inlineStr">
        <is>
          <t>D111</t>
        </is>
      </c>
      <c r="F793" t="inlineStr">
        <is>
          <t>Emergency Department</t>
        </is>
      </c>
      <c r="G793" s="32" t="n">
        <v>45793.59027777778</v>
      </c>
      <c r="H793" s="32" t="n">
        <v>45798.74583333333</v>
      </c>
      <c r="I793" t="inlineStr">
        <is>
          <t>N17.9</t>
        </is>
      </c>
      <c r="J793" t="inlineStr">
        <is>
          <t>PY04</t>
        </is>
      </c>
      <c r="K793" s="33" t="n">
        <v>20880.25</v>
      </c>
      <c r="L793" s="34" t="n"/>
    </row>
    <row r="794">
      <c r="A794" t="inlineStr">
        <is>
          <t>ENC115128</t>
        </is>
      </c>
      <c r="B794" t="inlineStr">
        <is>
          <t>PT10719</t>
        </is>
      </c>
      <c r="C794" t="inlineStr">
        <is>
          <t>Outpatient</t>
        </is>
      </c>
      <c r="D794" t="inlineStr">
        <is>
          <t>F04</t>
        </is>
      </c>
      <c r="E794" t="inlineStr">
        <is>
          <t>D400</t>
        </is>
      </c>
      <c r="G794" s="32" t="n">
        <v>45793.67708333334</v>
      </c>
      <c r="H794" s="32" t="n">
        <v>45793.69027777778</v>
      </c>
      <c r="I794" t="inlineStr">
        <is>
          <t>J06.9</t>
        </is>
      </c>
      <c r="J794" t="inlineStr">
        <is>
          <t>PY01</t>
        </is>
      </c>
      <c r="K794" s="33" t="n">
        <v>249.09</v>
      </c>
      <c r="L794" s="34" t="n"/>
    </row>
    <row r="795">
      <c r="A795" t="inlineStr">
        <is>
          <t>ENC115131</t>
        </is>
      </c>
      <c r="B795" t="inlineStr">
        <is>
          <t>PT13869</t>
        </is>
      </c>
      <c r="C795" t="inlineStr">
        <is>
          <t>Inpatient</t>
        </is>
      </c>
      <c r="D795" t="inlineStr">
        <is>
          <t>F03</t>
        </is>
      </c>
      <c r="E795" t="inlineStr">
        <is>
          <t>D310</t>
        </is>
      </c>
      <c r="F795" t="inlineStr">
        <is>
          <t>Emergency Department</t>
        </is>
      </c>
      <c r="G795" s="32" t="n">
        <v>45794.02847222222</v>
      </c>
      <c r="H795" s="32" t="n">
        <v>45798.64097222222</v>
      </c>
      <c r="I795" t="inlineStr">
        <is>
          <t>N17.9</t>
        </is>
      </c>
      <c r="J795" t="inlineStr">
        <is>
          <t>PY01</t>
        </is>
      </c>
      <c r="K795" s="33" t="n">
        <v>20781.16</v>
      </c>
      <c r="L795" s="34" t="n"/>
    </row>
    <row r="796">
      <c r="A796" t="inlineStr">
        <is>
          <t>ENC115139</t>
        </is>
      </c>
      <c r="B796" t="inlineStr">
        <is>
          <t>PT10603</t>
        </is>
      </c>
      <c r="C796" t="inlineStr">
        <is>
          <t>Emergency</t>
        </is>
      </c>
      <c r="D796" t="inlineStr">
        <is>
          <t>F01</t>
        </is>
      </c>
      <c r="E796" t="inlineStr">
        <is>
          <t>D100</t>
        </is>
      </c>
      <c r="G796" s="32" t="n">
        <v>45794.49166666667</v>
      </c>
      <c r="H796" s="32" t="n">
        <v>45794.72361111111</v>
      </c>
      <c r="I796" t="inlineStr">
        <is>
          <t>F20.9</t>
        </is>
      </c>
      <c r="J796" t="inlineStr">
        <is>
          <t>PY02</t>
        </is>
      </c>
      <c r="K796" s="33" t="n">
        <v>5527.57</v>
      </c>
      <c r="L796" s="34" t="n"/>
    </row>
    <row r="797">
      <c r="A797" t="inlineStr">
        <is>
          <t>ENC115144</t>
        </is>
      </c>
      <c r="B797" t="inlineStr">
        <is>
          <t>PT13829</t>
        </is>
      </c>
      <c r="C797" t="inlineStr">
        <is>
          <t>Emergency</t>
        </is>
      </c>
      <c r="D797" t="inlineStr">
        <is>
          <t>F01</t>
        </is>
      </c>
      <c r="E797" t="inlineStr">
        <is>
          <t>D100</t>
        </is>
      </c>
      <c r="G797" s="32" t="n">
        <v>45794.54513888889</v>
      </c>
      <c r="H797" s="32" t="n">
        <v>45794.70555555556</v>
      </c>
      <c r="I797" t="inlineStr">
        <is>
          <t>K80.20</t>
        </is>
      </c>
      <c r="J797" t="inlineStr">
        <is>
          <t>PY02</t>
        </is>
      </c>
      <c r="K797" s="33" t="n">
        <v>2782.55</v>
      </c>
      <c r="L797" s="34" t="n"/>
    </row>
    <row r="798">
      <c r="A798" t="inlineStr">
        <is>
          <t>ENC115147</t>
        </is>
      </c>
      <c r="B798" t="inlineStr">
        <is>
          <t>PT12373</t>
        </is>
      </c>
      <c r="C798" t="inlineStr">
        <is>
          <t>Observation</t>
        </is>
      </c>
      <c r="D798" t="inlineStr">
        <is>
          <t>F02</t>
        </is>
      </c>
      <c r="E798" t="inlineStr">
        <is>
          <t>D210</t>
        </is>
      </c>
      <c r="F798" t="inlineStr">
        <is>
          <t>Emergency Department</t>
        </is>
      </c>
      <c r="G798" s="32" t="n">
        <v>45794.8375</v>
      </c>
      <c r="H798" s="32" t="n">
        <v>45796.08055555556</v>
      </c>
      <c r="I798" t="inlineStr">
        <is>
          <t>R55</t>
        </is>
      </c>
      <c r="J798" t="inlineStr">
        <is>
          <t>PY01</t>
        </is>
      </c>
      <c r="K798" s="33" t="n">
        <v>6286.41</v>
      </c>
      <c r="L798" s="34" t="n"/>
    </row>
    <row r="799">
      <c r="A799" t="inlineStr">
        <is>
          <t>ENC115156</t>
        </is>
      </c>
      <c r="B799" t="inlineStr">
        <is>
          <t>PT12605</t>
        </is>
      </c>
      <c r="C799" t="inlineStr">
        <is>
          <t>Emergency</t>
        </is>
      </c>
      <c r="D799" t="inlineStr">
        <is>
          <t>F01</t>
        </is>
      </c>
      <c r="E799" t="inlineStr">
        <is>
          <t>D100</t>
        </is>
      </c>
      <c r="G799" s="32" t="n">
        <v>45795.45555555556</v>
      </c>
      <c r="H799" s="32" t="n">
        <v>45795.51597222222</v>
      </c>
      <c r="I799" t="inlineStr">
        <is>
          <t>R10.9</t>
        </is>
      </c>
      <c r="J799" t="inlineStr">
        <is>
          <t>PY02</t>
        </is>
      </c>
      <c r="K799" s="33" t="n">
        <v>2662.01</v>
      </c>
      <c r="L799" s="34" t="n"/>
    </row>
    <row r="800">
      <c r="A800" t="inlineStr">
        <is>
          <t>ENC115157</t>
        </is>
      </c>
      <c r="B800" t="inlineStr">
        <is>
          <t>PT10224</t>
        </is>
      </c>
      <c r="C800" t="inlineStr">
        <is>
          <t>Inpatient</t>
        </is>
      </c>
      <c r="D800" t="inlineStr">
        <is>
          <t>F01</t>
        </is>
      </c>
      <c r="E800" t="inlineStr">
        <is>
          <t>D111</t>
        </is>
      </c>
      <c r="F800" t="inlineStr">
        <is>
          <t>Emergency Department</t>
        </is>
      </c>
      <c r="G800" s="32" t="n">
        <v>45795.63055555556</v>
      </c>
      <c r="H800" s="32" t="n">
        <v>45796.58333333334</v>
      </c>
      <c r="I800" t="inlineStr">
        <is>
          <t>J18.9</t>
        </is>
      </c>
      <c r="J800" t="inlineStr">
        <is>
          <t>PY04</t>
        </is>
      </c>
      <c r="K800" s="33" t="n">
        <v>14496.87</v>
      </c>
      <c r="L800" s="34" t="n"/>
    </row>
    <row r="801">
      <c r="A801" t="inlineStr">
        <is>
          <t>ENC115165</t>
        </is>
      </c>
      <c r="B801" t="inlineStr">
        <is>
          <t>PT12221</t>
        </is>
      </c>
      <c r="C801" t="inlineStr">
        <is>
          <t>Inpatient</t>
        </is>
      </c>
      <c r="D801" t="inlineStr">
        <is>
          <t>F01</t>
        </is>
      </c>
      <c r="E801" t="inlineStr">
        <is>
          <t>D111</t>
        </is>
      </c>
      <c r="F801" t="inlineStr">
        <is>
          <t>Emergency Department</t>
        </is>
      </c>
      <c r="G801" s="32" t="n">
        <v>45795.81527777778</v>
      </c>
      <c r="H801" s="32" t="n">
        <v>45800.54027777778</v>
      </c>
      <c r="I801" t="inlineStr">
        <is>
          <t>U07.1</t>
        </is>
      </c>
      <c r="J801" t="inlineStr">
        <is>
          <t>PY03</t>
        </is>
      </c>
      <c r="K801" s="33" t="n">
        <v>19873.45</v>
      </c>
      <c r="L801" s="34" t="n"/>
    </row>
    <row r="802">
      <c r="A802" t="inlineStr">
        <is>
          <t>ENC115171</t>
        </is>
      </c>
      <c r="B802" t="inlineStr">
        <is>
          <t>PT11203</t>
        </is>
      </c>
      <c r="C802" t="inlineStr">
        <is>
          <t>Emergency</t>
        </is>
      </c>
      <c r="D802" t="inlineStr">
        <is>
          <t>F01</t>
        </is>
      </c>
      <c r="E802" t="inlineStr">
        <is>
          <t>D100</t>
        </is>
      </c>
      <c r="G802" s="32" t="n">
        <v>45796.14861111111</v>
      </c>
      <c r="H802" s="32" t="n">
        <v>45796.26805555556</v>
      </c>
      <c r="I802" t="inlineStr">
        <is>
          <t>S06.0X0A</t>
        </is>
      </c>
      <c r="J802" t="inlineStr">
        <is>
          <t>PY01</t>
        </is>
      </c>
      <c r="K802" s="33" t="n">
        <v>2842.88</v>
      </c>
      <c r="L802" s="34" t="n"/>
    </row>
    <row r="803">
      <c r="A803" t="inlineStr">
        <is>
          <t>ENC115176</t>
        </is>
      </c>
      <c r="B803" t="inlineStr">
        <is>
          <t>PT12866</t>
        </is>
      </c>
      <c r="C803" t="inlineStr">
        <is>
          <t>Outpatient</t>
        </is>
      </c>
      <c r="D803" t="inlineStr">
        <is>
          <t>F04</t>
        </is>
      </c>
      <c r="E803" t="inlineStr">
        <is>
          <t>D430</t>
        </is>
      </c>
      <c r="G803" s="32" t="n">
        <v>45796.39583333334</v>
      </c>
      <c r="H803" s="32" t="n">
        <v>45796.50069444445</v>
      </c>
      <c r="I803" t="inlineStr">
        <is>
          <t>Z51.11</t>
        </is>
      </c>
      <c r="J803" t="inlineStr">
        <is>
          <t>PY03</t>
        </is>
      </c>
      <c r="K803" s="33" t="n">
        <v>16450.4</v>
      </c>
      <c r="L803" s="34" t="n"/>
    </row>
    <row r="804">
      <c r="A804" t="inlineStr">
        <is>
          <t>ENC115182</t>
        </is>
      </c>
      <c r="B804" t="inlineStr">
        <is>
          <t>PT10514</t>
        </is>
      </c>
      <c r="C804" t="inlineStr">
        <is>
          <t>Emergency</t>
        </is>
      </c>
      <c r="D804" t="inlineStr">
        <is>
          <t>F01</t>
        </is>
      </c>
      <c r="E804" t="inlineStr">
        <is>
          <t>D100</t>
        </is>
      </c>
      <c r="G804" s="32" t="n">
        <v>45796.43958333333</v>
      </c>
      <c r="H804" s="32" t="n">
        <v>45796.53472222222</v>
      </c>
      <c r="I804" t="inlineStr">
        <is>
          <t>F41.9</t>
        </is>
      </c>
      <c r="J804" t="inlineStr">
        <is>
          <t>PY05</t>
        </is>
      </c>
      <c r="K804" s="33" t="n">
        <v>1762.78</v>
      </c>
      <c r="L804" s="34" t="n"/>
    </row>
    <row r="805">
      <c r="A805" t="inlineStr">
        <is>
          <t>ENC115187</t>
        </is>
      </c>
      <c r="B805" t="inlineStr">
        <is>
          <t>PT13507</t>
        </is>
      </c>
      <c r="C805" t="inlineStr">
        <is>
          <t>Emergency</t>
        </is>
      </c>
      <c r="D805" t="inlineStr">
        <is>
          <t>F01</t>
        </is>
      </c>
      <c r="E805" t="inlineStr">
        <is>
          <t>D100</t>
        </is>
      </c>
      <c r="G805" s="32" t="n">
        <v>45796.49583333333</v>
      </c>
      <c r="H805" s="32" t="n">
        <v>45796.6625</v>
      </c>
      <c r="I805" t="inlineStr">
        <is>
          <t>F10.239</t>
        </is>
      </c>
      <c r="J805" t="inlineStr">
        <is>
          <t>PY03</t>
        </is>
      </c>
      <c r="K805" s="33" t="n">
        <v>2953.7</v>
      </c>
      <c r="L805" s="34" t="n"/>
    </row>
    <row r="806">
      <c r="A806" t="inlineStr">
        <is>
          <t>ENC115195</t>
        </is>
      </c>
      <c r="B806" t="inlineStr">
        <is>
          <t>PT11467</t>
        </is>
      </c>
      <c r="C806" t="inlineStr">
        <is>
          <t>Outpatient</t>
        </is>
      </c>
      <c r="D806" t="inlineStr">
        <is>
          <t>F04</t>
        </is>
      </c>
      <c r="E806" t="inlineStr">
        <is>
          <t>D400</t>
        </is>
      </c>
      <c r="G806" s="32" t="n">
        <v>45796.61458333334</v>
      </c>
      <c r="H806" s="32" t="n">
        <v>45796.64513888889</v>
      </c>
      <c r="I806" t="inlineStr">
        <is>
          <t>J06.9</t>
        </is>
      </c>
      <c r="J806" t="inlineStr">
        <is>
          <t>PY05</t>
        </is>
      </c>
      <c r="K806" s="33" t="n">
        <v>307.9</v>
      </c>
      <c r="L806" s="34" t="n"/>
    </row>
    <row r="807">
      <c r="A807" t="inlineStr">
        <is>
          <t>ENC115200</t>
        </is>
      </c>
      <c r="B807" t="inlineStr">
        <is>
          <t>PT11374</t>
        </is>
      </c>
      <c r="C807" t="inlineStr">
        <is>
          <t>Emergency</t>
        </is>
      </c>
      <c r="D807" t="inlineStr">
        <is>
          <t>F01</t>
        </is>
      </c>
      <c r="E807" t="inlineStr">
        <is>
          <t>D100</t>
        </is>
      </c>
      <c r="G807" s="32" t="n">
        <v>45796.66388888889</v>
      </c>
      <c r="H807" s="32" t="n">
        <v>45796.84791666667</v>
      </c>
      <c r="I807" t="inlineStr">
        <is>
          <t>R07.9</t>
        </is>
      </c>
      <c r="J807" t="inlineStr">
        <is>
          <t>PY01</t>
        </is>
      </c>
      <c r="K807" s="33" t="n">
        <v>4003.4</v>
      </c>
      <c r="L807" s="34" t="n"/>
    </row>
    <row r="808">
      <c r="A808" t="inlineStr">
        <is>
          <t>ENC115202</t>
        </is>
      </c>
      <c r="B808" t="inlineStr">
        <is>
          <t>PT10631</t>
        </is>
      </c>
      <c r="C808" t="inlineStr">
        <is>
          <t>Observation</t>
        </is>
      </c>
      <c r="D808" t="inlineStr">
        <is>
          <t>F01</t>
        </is>
      </c>
      <c r="E808" t="inlineStr">
        <is>
          <t>D195</t>
        </is>
      </c>
      <c r="F808" t="inlineStr">
        <is>
          <t>Emergency Department</t>
        </is>
      </c>
      <c r="G808" s="32" t="n">
        <v>45796.82986111111</v>
      </c>
      <c r="H808" s="32" t="n">
        <v>45798.21597222222</v>
      </c>
      <c r="I808" t="inlineStr">
        <is>
          <t>E86.0</t>
        </is>
      </c>
      <c r="J808" t="inlineStr">
        <is>
          <t>PY04</t>
        </is>
      </c>
      <c r="K808" s="33" t="n">
        <v>8765.67</v>
      </c>
      <c r="L808" s="34" t="n"/>
    </row>
    <row r="809">
      <c r="A809" t="inlineStr">
        <is>
          <t>ENC115211</t>
        </is>
      </c>
      <c r="B809" t="inlineStr">
        <is>
          <t>PT10119</t>
        </is>
      </c>
      <c r="C809" t="inlineStr">
        <is>
          <t>Outpatient</t>
        </is>
      </c>
      <c r="D809" t="inlineStr">
        <is>
          <t>F04</t>
        </is>
      </c>
      <c r="E809" t="inlineStr">
        <is>
          <t>D420</t>
        </is>
      </c>
      <c r="G809" s="32" t="n">
        <v>45797.34375</v>
      </c>
      <c r="H809" s="32" t="n">
        <v>45797.37986111111</v>
      </c>
      <c r="I809" t="inlineStr">
        <is>
          <t>M17.11</t>
        </is>
      </c>
      <c r="J809" t="inlineStr">
        <is>
          <t>PY03</t>
        </is>
      </c>
      <c r="K809" s="33" t="n">
        <v>465.02</v>
      </c>
      <c r="L809" s="34" t="n"/>
    </row>
    <row r="810">
      <c r="A810" t="inlineStr">
        <is>
          <t>ENC115216</t>
        </is>
      </c>
      <c r="B810" t="inlineStr">
        <is>
          <t>PT13268</t>
        </is>
      </c>
      <c r="C810" t="inlineStr">
        <is>
          <t>Outpatient</t>
        </is>
      </c>
      <c r="D810" t="inlineStr">
        <is>
          <t>F04</t>
        </is>
      </c>
      <c r="E810" t="inlineStr">
        <is>
          <t>D400</t>
        </is>
      </c>
      <c r="G810" s="32" t="n">
        <v>45797.39583333334</v>
      </c>
      <c r="H810" s="32" t="n">
        <v>45797.40972222222</v>
      </c>
      <c r="I810" t="inlineStr">
        <is>
          <t>E78.5</t>
        </is>
      </c>
      <c r="J810" t="inlineStr">
        <is>
          <t>PY04</t>
        </is>
      </c>
      <c r="K810" s="33" t="n">
        <v>437.57</v>
      </c>
      <c r="L810" s="34" t="n"/>
    </row>
    <row r="811">
      <c r="A811" t="inlineStr">
        <is>
          <t>ENC115210</t>
        </is>
      </c>
      <c r="B811" t="inlineStr">
        <is>
          <t>PT12647</t>
        </is>
      </c>
      <c r="C811" t="inlineStr">
        <is>
          <t>Inpatient</t>
        </is>
      </c>
      <c r="D811" t="inlineStr">
        <is>
          <t>F01</t>
        </is>
      </c>
      <c r="E811" t="inlineStr">
        <is>
          <t>D110</t>
        </is>
      </c>
      <c r="F811" t="inlineStr">
        <is>
          <t>Emergency Department</t>
        </is>
      </c>
      <c r="G811" s="32" t="n">
        <v>45797.49861111111</v>
      </c>
      <c r="H811" s="32" t="n">
        <v>45800.41458333333</v>
      </c>
      <c r="I811" t="inlineStr">
        <is>
          <t>E11.65</t>
        </is>
      </c>
      <c r="J811" t="inlineStr">
        <is>
          <t>PY02</t>
        </is>
      </c>
      <c r="K811" s="33" t="n">
        <v>13153.32</v>
      </c>
      <c r="L811" s="34" t="n"/>
    </row>
    <row r="812">
      <c r="A812" t="inlineStr">
        <is>
          <t>ENC115229</t>
        </is>
      </c>
      <c r="B812" t="inlineStr">
        <is>
          <t>PT11832</t>
        </is>
      </c>
      <c r="C812" t="inlineStr">
        <is>
          <t>Outpatient</t>
        </is>
      </c>
      <c r="D812" t="inlineStr">
        <is>
          <t>F04</t>
        </is>
      </c>
      <c r="E812" t="inlineStr">
        <is>
          <t>D400</t>
        </is>
      </c>
      <c r="G812" s="32" t="n">
        <v>45797.59375</v>
      </c>
      <c r="H812" s="32" t="n">
        <v>45797.6125</v>
      </c>
      <c r="I812" t="inlineStr">
        <is>
          <t>E78.5</t>
        </is>
      </c>
      <c r="J812" t="inlineStr">
        <is>
          <t>PY03</t>
        </is>
      </c>
      <c r="K812" s="33" t="n">
        <v>250.94</v>
      </c>
      <c r="L812" s="34" t="n"/>
    </row>
    <row r="813">
      <c r="A813" t="inlineStr">
        <is>
          <t>ENC115235</t>
        </is>
      </c>
      <c r="B813" t="inlineStr">
        <is>
          <t>PT11496</t>
        </is>
      </c>
      <c r="C813" t="inlineStr">
        <is>
          <t>Emergency</t>
        </is>
      </c>
      <c r="D813" t="inlineStr">
        <is>
          <t>F03</t>
        </is>
      </c>
      <c r="E813" t="inlineStr">
        <is>
          <t>D300</t>
        </is>
      </c>
      <c r="G813" s="32" t="n">
        <v>45797.64444444444</v>
      </c>
      <c r="H813" s="32" t="n">
        <v>45797.74583333333</v>
      </c>
      <c r="I813" t="inlineStr">
        <is>
          <t>S06.0X0A</t>
        </is>
      </c>
      <c r="J813" t="inlineStr">
        <is>
          <t>PY01</t>
        </is>
      </c>
      <c r="K813" s="33" t="n">
        <v>1397.77</v>
      </c>
      <c r="L813" s="34" t="n"/>
    </row>
    <row r="814">
      <c r="A814" t="inlineStr">
        <is>
          <t>ENC115239</t>
        </is>
      </c>
      <c r="B814" t="inlineStr">
        <is>
          <t>PT10373</t>
        </is>
      </c>
      <c r="C814" t="inlineStr">
        <is>
          <t>Outpatient</t>
        </is>
      </c>
      <c r="D814" t="inlineStr">
        <is>
          <t>F04</t>
        </is>
      </c>
      <c r="E814" t="inlineStr">
        <is>
          <t>D430</t>
        </is>
      </c>
      <c r="G814" s="32" t="n">
        <v>45797.66666666666</v>
      </c>
      <c r="H814" s="32" t="n">
        <v>45797.88888888889</v>
      </c>
      <c r="I814" t="inlineStr">
        <is>
          <t>Z51.11</t>
        </is>
      </c>
      <c r="J814" t="inlineStr">
        <is>
          <t>PY05</t>
        </is>
      </c>
      <c r="K814" s="33" t="n">
        <v>18019.78</v>
      </c>
      <c r="L814" s="34" t="n"/>
    </row>
    <row r="815">
      <c r="A815" t="inlineStr">
        <is>
          <t>ENC115228</t>
        </is>
      </c>
      <c r="B815" t="inlineStr">
        <is>
          <t>PT11842</t>
        </is>
      </c>
      <c r="C815" t="inlineStr">
        <is>
          <t>Inpatient</t>
        </is>
      </c>
      <c r="D815" t="inlineStr">
        <is>
          <t>F03</t>
        </is>
      </c>
      <c r="E815" t="inlineStr">
        <is>
          <t>D320</t>
        </is>
      </c>
      <c r="F815" t="inlineStr">
        <is>
          <t>Emergency Department</t>
        </is>
      </c>
      <c r="G815" s="32" t="n">
        <v>45797.70208333333</v>
      </c>
      <c r="H815" s="32" t="n">
        <v>45801.45694444444</v>
      </c>
      <c r="I815" t="inlineStr">
        <is>
          <t>I50.9</t>
        </is>
      </c>
      <c r="J815" t="inlineStr">
        <is>
          <t>PY01</t>
        </is>
      </c>
      <c r="K815" s="33" t="n">
        <v>19889.6</v>
      </c>
      <c r="L815" s="34" t="n"/>
    </row>
    <row r="816">
      <c r="A816" t="inlineStr">
        <is>
          <t>ENC115250</t>
        </is>
      </c>
      <c r="B816" t="inlineStr">
        <is>
          <t>PT11473</t>
        </is>
      </c>
      <c r="C816" t="inlineStr">
        <is>
          <t>Emergency</t>
        </is>
      </c>
      <c r="D816" t="inlineStr">
        <is>
          <t>F03</t>
        </is>
      </c>
      <c r="E816" t="inlineStr">
        <is>
          <t>D300</t>
        </is>
      </c>
      <c r="G816" s="32" t="n">
        <v>45797.82013888889</v>
      </c>
      <c r="H816" s="32" t="n">
        <v>45797.89513888889</v>
      </c>
      <c r="I816" t="inlineStr">
        <is>
          <t>L03.115</t>
        </is>
      </c>
      <c r="J816" t="inlineStr">
        <is>
          <t>PY07</t>
        </is>
      </c>
      <c r="K816" s="33" t="n">
        <v>1176.33</v>
      </c>
      <c r="L816" s="34" t="n"/>
    </row>
    <row r="817">
      <c r="A817" t="inlineStr">
        <is>
          <t>ENC115255</t>
        </is>
      </c>
      <c r="B817" t="inlineStr">
        <is>
          <t>PT10393</t>
        </is>
      </c>
      <c r="C817" t="inlineStr">
        <is>
          <t>Inpatient</t>
        </is>
      </c>
      <c r="D817" t="inlineStr">
        <is>
          <t>F01</t>
        </is>
      </c>
      <c r="E817" t="inlineStr">
        <is>
          <t>D110</t>
        </is>
      </c>
      <c r="F817" t="inlineStr">
        <is>
          <t>Transfer</t>
        </is>
      </c>
      <c r="G817" s="32" t="n">
        <v>45798.02361111111</v>
      </c>
      <c r="H817" s="32" t="n">
        <v>45801.50277777778</v>
      </c>
      <c r="I817" t="inlineStr">
        <is>
          <t>N39.0</t>
        </is>
      </c>
      <c r="J817" t="inlineStr">
        <is>
          <t>PY01</t>
        </is>
      </c>
      <c r="K817" s="33" t="n">
        <v>21504.71</v>
      </c>
      <c r="L817" s="34" t="n"/>
    </row>
    <row r="818">
      <c r="A818" t="inlineStr">
        <is>
          <t>ENC115260</t>
        </is>
      </c>
      <c r="B818" t="inlineStr">
        <is>
          <t>PT12693</t>
        </is>
      </c>
      <c r="C818" t="inlineStr">
        <is>
          <t>Outpatient</t>
        </is>
      </c>
      <c r="D818" t="inlineStr">
        <is>
          <t>F04</t>
        </is>
      </c>
      <c r="E818" t="inlineStr">
        <is>
          <t>D420</t>
        </is>
      </c>
      <c r="G818" s="32" t="n">
        <v>45798.39583333334</v>
      </c>
      <c r="H818" s="32" t="n">
        <v>45798.41666666666</v>
      </c>
      <c r="I818" t="inlineStr">
        <is>
          <t>S93.401A</t>
        </is>
      </c>
      <c r="J818" t="inlineStr">
        <is>
          <t>PY08</t>
        </is>
      </c>
      <c r="K818" s="33" t="n">
        <v>285.77</v>
      </c>
      <c r="L818" s="34" t="n"/>
    </row>
    <row r="819">
      <c r="A819" t="inlineStr">
        <is>
          <t>ENC115266</t>
        </is>
      </c>
      <c r="B819" t="inlineStr">
        <is>
          <t>PT13861</t>
        </is>
      </c>
      <c r="C819" t="inlineStr">
        <is>
          <t>Inpatient</t>
        </is>
      </c>
      <c r="D819" t="inlineStr">
        <is>
          <t>F03</t>
        </is>
      </c>
      <c r="E819" t="inlineStr">
        <is>
          <t>D330</t>
        </is>
      </c>
      <c r="F819" t="inlineStr">
        <is>
          <t>Direct Admit</t>
        </is>
      </c>
      <c r="G819" s="32" t="n">
        <v>45798.54583333333</v>
      </c>
      <c r="H819" s="32" t="n">
        <v>45812.68333333333</v>
      </c>
      <c r="I819" t="inlineStr">
        <is>
          <t>A41.9</t>
        </is>
      </c>
      <c r="J819" t="inlineStr">
        <is>
          <t>PY04</t>
        </is>
      </c>
      <c r="K819" s="33" t="n">
        <v>127008.94</v>
      </c>
      <c r="L819" s="34" t="n"/>
    </row>
    <row r="820">
      <c r="A820" t="inlineStr">
        <is>
          <t>ENC115270</t>
        </is>
      </c>
      <c r="B820" t="inlineStr">
        <is>
          <t>PT11931</t>
        </is>
      </c>
      <c r="C820" t="inlineStr">
        <is>
          <t>Inpatient</t>
        </is>
      </c>
      <c r="D820" t="inlineStr">
        <is>
          <t>F01</t>
        </is>
      </c>
      <c r="E820" t="inlineStr">
        <is>
          <t>D111</t>
        </is>
      </c>
      <c r="F820" t="inlineStr">
        <is>
          <t>Emergency Department</t>
        </is>
      </c>
      <c r="G820" s="32" t="n">
        <v>45798.82430555556</v>
      </c>
      <c r="H820" s="32" t="n">
        <v>45801.56736111111</v>
      </c>
      <c r="I820" t="inlineStr">
        <is>
          <t>J44.1</t>
        </is>
      </c>
      <c r="J820" t="inlineStr">
        <is>
          <t>PY01</t>
        </is>
      </c>
      <c r="K820" s="33" t="n">
        <v>18647.77</v>
      </c>
      <c r="L820" s="34" t="n"/>
    </row>
    <row r="821">
      <c r="A821" t="inlineStr">
        <is>
          <t>ENC115276</t>
        </is>
      </c>
      <c r="B821" t="inlineStr">
        <is>
          <t>PT13301</t>
        </is>
      </c>
      <c r="C821" t="inlineStr">
        <is>
          <t>Emergency</t>
        </is>
      </c>
      <c r="D821" t="inlineStr">
        <is>
          <t>F01</t>
        </is>
      </c>
      <c r="E821" t="inlineStr">
        <is>
          <t>D100</t>
        </is>
      </c>
      <c r="G821" s="32" t="n">
        <v>45799.15694444445</v>
      </c>
      <c r="H821" s="32" t="n">
        <v>45799.31805555556</v>
      </c>
      <c r="I821" t="inlineStr">
        <is>
          <t>R10.9</t>
        </is>
      </c>
      <c r="J821" t="inlineStr">
        <is>
          <t>PY05</t>
        </is>
      </c>
      <c r="K821" s="33" t="n">
        <v>5197.85</v>
      </c>
      <c r="L821" s="34" t="n"/>
    </row>
    <row r="822">
      <c r="A822" t="inlineStr">
        <is>
          <t>ENC115282</t>
        </is>
      </c>
      <c r="B822" t="inlineStr">
        <is>
          <t>PT11730</t>
        </is>
      </c>
      <c r="C822" t="inlineStr">
        <is>
          <t>Outpatient</t>
        </is>
      </c>
      <c r="D822" t="inlineStr">
        <is>
          <t>F04</t>
        </is>
      </c>
      <c r="E822" t="inlineStr">
        <is>
          <t>D400</t>
        </is>
      </c>
      <c r="G822" s="32" t="n">
        <v>45799.45833333334</v>
      </c>
      <c r="H822" s="32" t="n">
        <v>45799.48402777778</v>
      </c>
      <c r="I822" t="inlineStr">
        <is>
          <t>J06.9</t>
        </is>
      </c>
      <c r="J822" t="inlineStr">
        <is>
          <t>PY07</t>
        </is>
      </c>
      <c r="K822" s="33" t="n">
        <v>538.75</v>
      </c>
      <c r="L822" s="34" t="n"/>
    </row>
    <row r="823">
      <c r="A823" t="inlineStr">
        <is>
          <t>ENC115289</t>
        </is>
      </c>
      <c r="B823" t="inlineStr">
        <is>
          <t>PT12459</t>
        </is>
      </c>
      <c r="C823" t="inlineStr">
        <is>
          <t>Outpatient</t>
        </is>
      </c>
      <c r="D823" t="inlineStr">
        <is>
          <t>F04</t>
        </is>
      </c>
      <c r="E823" t="inlineStr">
        <is>
          <t>D410</t>
        </is>
      </c>
      <c r="G823" s="32" t="n">
        <v>45799.59375</v>
      </c>
      <c r="H823" s="32" t="n">
        <v>45799.60763888889</v>
      </c>
      <c r="I823" t="inlineStr">
        <is>
          <t>I48.91</t>
        </is>
      </c>
      <c r="J823" t="inlineStr">
        <is>
          <t>PY02</t>
        </is>
      </c>
      <c r="K823" s="33" t="n">
        <v>324.76</v>
      </c>
      <c r="L823" s="34" t="n"/>
    </row>
    <row r="824">
      <c r="A824" t="inlineStr">
        <is>
          <t>ENC115294</t>
        </is>
      </c>
      <c r="B824" t="inlineStr">
        <is>
          <t>PT11674</t>
        </is>
      </c>
      <c r="C824" t="inlineStr">
        <is>
          <t>Outpatient</t>
        </is>
      </c>
      <c r="D824" t="inlineStr">
        <is>
          <t>F04</t>
        </is>
      </c>
      <c r="E824" t="inlineStr">
        <is>
          <t>D430</t>
        </is>
      </c>
      <c r="G824" s="32" t="n">
        <v>45799.625</v>
      </c>
      <c r="H824" s="32" t="n">
        <v>45799.80486111111</v>
      </c>
      <c r="I824" t="inlineStr">
        <is>
          <t>Z51.11</t>
        </is>
      </c>
      <c r="J824" t="inlineStr">
        <is>
          <t>PY05</t>
        </is>
      </c>
      <c r="K824" s="33" t="n">
        <v>7243.67</v>
      </c>
      <c r="L824" s="34" t="n"/>
    </row>
    <row r="825">
      <c r="A825" t="inlineStr">
        <is>
          <t>ENC115299</t>
        </is>
      </c>
      <c r="B825" t="inlineStr">
        <is>
          <t>PT11038</t>
        </is>
      </c>
      <c r="C825" t="inlineStr">
        <is>
          <t>Outpatient</t>
        </is>
      </c>
      <c r="D825" t="inlineStr">
        <is>
          <t>F04</t>
        </is>
      </c>
      <c r="E825" t="inlineStr">
        <is>
          <t>D400</t>
        </is>
      </c>
      <c r="G825" s="32" t="n">
        <v>45799.65625</v>
      </c>
      <c r="H825" s="32" t="n">
        <v>45799.69305555556</v>
      </c>
      <c r="I825" t="inlineStr">
        <is>
          <t>L03.115</t>
        </is>
      </c>
      <c r="J825" t="inlineStr">
        <is>
          <t>PY03</t>
        </is>
      </c>
      <c r="K825" s="33" t="n">
        <v>282.87</v>
      </c>
      <c r="L825" s="34" t="n"/>
    </row>
    <row r="826">
      <c r="A826" t="inlineStr">
        <is>
          <t>ENC115304</t>
        </is>
      </c>
      <c r="B826" t="inlineStr">
        <is>
          <t>PT12537</t>
        </is>
      </c>
      <c r="C826" t="inlineStr">
        <is>
          <t>Emergency</t>
        </is>
      </c>
      <c r="D826" t="inlineStr">
        <is>
          <t>F01</t>
        </is>
      </c>
      <c r="E826" t="inlineStr">
        <is>
          <t>D100</t>
        </is>
      </c>
      <c r="G826" s="32" t="n">
        <v>45799.76458333333</v>
      </c>
      <c r="H826" s="32" t="n">
        <v>45799.86666666667</v>
      </c>
      <c r="I826" t="inlineStr">
        <is>
          <t>R10.9</t>
        </is>
      </c>
      <c r="J826" t="inlineStr">
        <is>
          <t>PY01</t>
        </is>
      </c>
      <c r="K826" s="33" t="n">
        <v>6428.51</v>
      </c>
      <c r="L826" s="34" t="n"/>
    </row>
    <row r="827">
      <c r="A827" t="inlineStr">
        <is>
          <t>ENC115310</t>
        </is>
      </c>
      <c r="B827" t="inlineStr">
        <is>
          <t>PT10519</t>
        </is>
      </c>
      <c r="C827" t="inlineStr">
        <is>
          <t>Emergency</t>
        </is>
      </c>
      <c r="D827" t="inlineStr">
        <is>
          <t>F03</t>
        </is>
      </c>
      <c r="E827" t="inlineStr">
        <is>
          <t>D300</t>
        </is>
      </c>
      <c r="G827" s="32" t="n">
        <v>45800.36041666667</v>
      </c>
      <c r="H827" s="32" t="n">
        <v>45800.48680555556</v>
      </c>
      <c r="I827" t="inlineStr">
        <is>
          <t>I10</t>
        </is>
      </c>
      <c r="J827" t="inlineStr">
        <is>
          <t>PY02</t>
        </is>
      </c>
      <c r="K827" s="33" t="n">
        <v>1098.82</v>
      </c>
      <c r="L827" s="34" t="n"/>
    </row>
    <row r="828">
      <c r="A828" t="inlineStr">
        <is>
          <t>ENC115315</t>
        </is>
      </c>
      <c r="B828" t="inlineStr">
        <is>
          <t>PT10345</t>
        </is>
      </c>
      <c r="C828" t="inlineStr">
        <is>
          <t>Outpatient</t>
        </is>
      </c>
      <c r="D828" t="inlineStr">
        <is>
          <t>F04</t>
        </is>
      </c>
      <c r="E828" t="inlineStr">
        <is>
          <t>D410</t>
        </is>
      </c>
      <c r="G828" s="32" t="n">
        <v>45800.5</v>
      </c>
      <c r="H828" s="32" t="n">
        <v>45800.525</v>
      </c>
      <c r="I828" t="inlineStr">
        <is>
          <t>I48.91</t>
        </is>
      </c>
      <c r="J828" t="inlineStr">
        <is>
          <t>PY01</t>
        </is>
      </c>
      <c r="K828" s="33" t="n">
        <v>258.23</v>
      </c>
      <c r="L828" s="34" t="n"/>
    </row>
    <row r="829">
      <c r="A829" t="inlineStr">
        <is>
          <t>ENC115321</t>
        </is>
      </c>
      <c r="B829" t="inlineStr">
        <is>
          <t>PT12263</t>
        </is>
      </c>
      <c r="C829" t="inlineStr">
        <is>
          <t>Outpatient</t>
        </is>
      </c>
      <c r="D829" t="inlineStr">
        <is>
          <t>F04</t>
        </is>
      </c>
      <c r="E829" t="inlineStr">
        <is>
          <t>D400</t>
        </is>
      </c>
      <c r="G829" s="32" t="n">
        <v>45800.59375</v>
      </c>
      <c r="H829" s="32" t="n">
        <v>45800.60486111111</v>
      </c>
      <c r="I829" t="inlineStr">
        <is>
          <t>Z00.00</t>
        </is>
      </c>
      <c r="J829" t="inlineStr">
        <is>
          <t>PY07</t>
        </is>
      </c>
      <c r="K829" s="33" t="n">
        <v>311.75</v>
      </c>
      <c r="L829" s="34" t="n"/>
    </row>
    <row r="830">
      <c r="A830" t="inlineStr">
        <is>
          <t>ENC115330</t>
        </is>
      </c>
      <c r="B830" t="inlineStr">
        <is>
          <t>PT10019</t>
        </is>
      </c>
      <c r="C830" t="inlineStr">
        <is>
          <t>Outpatient</t>
        </is>
      </c>
      <c r="D830" t="inlineStr">
        <is>
          <t>F04</t>
        </is>
      </c>
      <c r="E830" t="inlineStr">
        <is>
          <t>D450</t>
        </is>
      </c>
      <c r="G830" s="32" t="n">
        <v>45800.6875</v>
      </c>
      <c r="H830" s="32" t="n">
        <v>45800.72361111111</v>
      </c>
      <c r="I830" t="inlineStr">
        <is>
          <t>H66.90</t>
        </is>
      </c>
      <c r="J830" t="inlineStr">
        <is>
          <t>PY04</t>
        </is>
      </c>
      <c r="K830" s="33" t="n">
        <v>623.0599999999999</v>
      </c>
      <c r="L830" s="34" t="n"/>
    </row>
    <row r="831">
      <c r="A831" t="inlineStr">
        <is>
          <t>ENC115335</t>
        </is>
      </c>
      <c r="B831" t="inlineStr">
        <is>
          <t>PT10101</t>
        </is>
      </c>
      <c r="C831" t="inlineStr">
        <is>
          <t>Emergency</t>
        </is>
      </c>
      <c r="D831" t="inlineStr">
        <is>
          <t>F03</t>
        </is>
      </c>
      <c r="E831" t="inlineStr">
        <is>
          <t>D300</t>
        </is>
      </c>
      <c r="G831" s="32" t="n">
        <v>45800.79652777778</v>
      </c>
      <c r="H831" s="32" t="n">
        <v>45800.92916666667</v>
      </c>
      <c r="I831" t="inlineStr">
        <is>
          <t>U07.1</t>
        </is>
      </c>
      <c r="J831" t="inlineStr">
        <is>
          <t>PY02</t>
        </is>
      </c>
      <c r="K831" s="33" t="n">
        <v>1451.85</v>
      </c>
      <c r="L831" s="34" t="n"/>
    </row>
    <row r="832">
      <c r="A832" t="inlineStr">
        <is>
          <t>ENC115338</t>
        </is>
      </c>
      <c r="B832" t="inlineStr">
        <is>
          <t>PT12198</t>
        </is>
      </c>
      <c r="C832" t="inlineStr">
        <is>
          <t>Emergency</t>
        </is>
      </c>
      <c r="D832" t="inlineStr">
        <is>
          <t>F01</t>
        </is>
      </c>
      <c r="E832" t="inlineStr">
        <is>
          <t>D100</t>
        </is>
      </c>
      <c r="G832" s="32" t="n">
        <v>45801.23680555556</v>
      </c>
      <c r="H832" s="32" t="n">
        <v>45801.38958333333</v>
      </c>
      <c r="I832" t="inlineStr">
        <is>
          <t>I10</t>
        </is>
      </c>
      <c r="J832" t="inlineStr">
        <is>
          <t>PY02</t>
        </is>
      </c>
      <c r="K832" s="33" t="n">
        <v>4808.63</v>
      </c>
      <c r="L832" s="34" t="n"/>
    </row>
    <row r="833">
      <c r="A833" t="inlineStr">
        <is>
          <t>ENC115341</t>
        </is>
      </c>
      <c r="B833" t="inlineStr">
        <is>
          <t>PT12968</t>
        </is>
      </c>
      <c r="C833" t="inlineStr">
        <is>
          <t>Inpatient</t>
        </is>
      </c>
      <c r="D833" t="inlineStr">
        <is>
          <t>F01</t>
        </is>
      </c>
      <c r="E833" t="inlineStr">
        <is>
          <t>D140</t>
        </is>
      </c>
      <c r="F833" t="inlineStr">
        <is>
          <t>Emergency Department</t>
        </is>
      </c>
      <c r="G833" s="32" t="n">
        <v>45801.49444444444</v>
      </c>
      <c r="H833" s="32" t="n">
        <v>45811.65763888889</v>
      </c>
      <c r="I833" t="inlineStr">
        <is>
          <t>S72.001A</t>
        </is>
      </c>
      <c r="J833" t="inlineStr">
        <is>
          <t>PY02</t>
        </is>
      </c>
      <c r="K833" s="33" t="n">
        <v>78525.23</v>
      </c>
      <c r="L833" s="34" t="n"/>
    </row>
    <row r="834">
      <c r="A834" t="inlineStr">
        <is>
          <t>ENC115349</t>
        </is>
      </c>
      <c r="B834" t="inlineStr">
        <is>
          <t>PT13415</t>
        </is>
      </c>
      <c r="C834" t="inlineStr">
        <is>
          <t>Emergency</t>
        </is>
      </c>
      <c r="D834" t="inlineStr">
        <is>
          <t>F01</t>
        </is>
      </c>
      <c r="E834" t="inlineStr">
        <is>
          <t>D100</t>
        </is>
      </c>
      <c r="G834" s="32" t="n">
        <v>45801.68333333333</v>
      </c>
      <c r="H834" s="32" t="n">
        <v>45801.80833333333</v>
      </c>
      <c r="I834" t="inlineStr">
        <is>
          <t>S93.401A</t>
        </is>
      </c>
      <c r="J834" t="inlineStr">
        <is>
          <t>PY06</t>
        </is>
      </c>
      <c r="K834" s="33" t="n">
        <v>1397.56</v>
      </c>
      <c r="L834" s="34" t="n"/>
    </row>
    <row r="835">
      <c r="A835" t="inlineStr">
        <is>
          <t>ENC115354</t>
        </is>
      </c>
      <c r="B835" t="inlineStr">
        <is>
          <t>PT11548</t>
        </is>
      </c>
      <c r="C835" t="inlineStr">
        <is>
          <t>Inpatient</t>
        </is>
      </c>
      <c r="D835" t="inlineStr">
        <is>
          <t>F03</t>
        </is>
      </c>
      <c r="E835" t="inlineStr">
        <is>
          <t>D310</t>
        </is>
      </c>
      <c r="F835" t="inlineStr">
        <is>
          <t>Emergency Department</t>
        </is>
      </c>
      <c r="G835" s="32" t="n">
        <v>45802.42777777778</v>
      </c>
      <c r="H835" s="32" t="n">
        <v>45807.79027777778</v>
      </c>
      <c r="I835" t="inlineStr">
        <is>
          <t>A41.9</t>
        </is>
      </c>
      <c r="J835" t="inlineStr">
        <is>
          <t>PY05</t>
        </is>
      </c>
      <c r="K835" s="33" t="n">
        <v>68783.67</v>
      </c>
      <c r="L835" s="34" t="n"/>
    </row>
    <row r="836">
      <c r="A836" t="inlineStr">
        <is>
          <t>ENC115359</t>
        </is>
      </c>
      <c r="B836" t="inlineStr">
        <is>
          <t>PT13017</t>
        </is>
      </c>
      <c r="C836" t="inlineStr">
        <is>
          <t>Inpatient</t>
        </is>
      </c>
      <c r="D836" t="inlineStr">
        <is>
          <t>F01</t>
        </is>
      </c>
      <c r="E836" t="inlineStr">
        <is>
          <t>D111</t>
        </is>
      </c>
      <c r="F836" t="inlineStr">
        <is>
          <t>Emergency Department</t>
        </is>
      </c>
      <c r="G836" s="32" t="n">
        <v>45802.64166666667</v>
      </c>
      <c r="H836" s="32" t="n">
        <v>45803.60972222222</v>
      </c>
      <c r="I836" t="inlineStr">
        <is>
          <t>A08.4</t>
        </is>
      </c>
      <c r="J836" t="inlineStr">
        <is>
          <t>PY04</t>
        </is>
      </c>
      <c r="K836" s="33" t="n">
        <v>5490.15</v>
      </c>
      <c r="L836" s="34" t="n"/>
    </row>
    <row r="837">
      <c r="A837" t="inlineStr">
        <is>
          <t>ENC115364</t>
        </is>
      </c>
      <c r="B837" t="inlineStr">
        <is>
          <t>PT11529</t>
        </is>
      </c>
      <c r="C837" t="inlineStr">
        <is>
          <t>Inpatient</t>
        </is>
      </c>
      <c r="D837" t="inlineStr">
        <is>
          <t>F02</t>
        </is>
      </c>
      <c r="E837" t="inlineStr">
        <is>
          <t>D210</t>
        </is>
      </c>
      <c r="F837" t="inlineStr">
        <is>
          <t>Emergency Department</t>
        </is>
      </c>
      <c r="G837" s="32" t="n">
        <v>45803.01597222222</v>
      </c>
      <c r="H837" s="32" t="n">
        <v>45808.64861111111</v>
      </c>
      <c r="I837" t="inlineStr">
        <is>
          <t>E11.65</t>
        </is>
      </c>
      <c r="J837" t="inlineStr">
        <is>
          <t>PY04</t>
        </is>
      </c>
      <c r="K837" s="33" t="n">
        <v>22060.36</v>
      </c>
      <c r="L837" s="34" t="n"/>
    </row>
    <row r="838">
      <c r="A838" t="inlineStr">
        <is>
          <t>ENC115371</t>
        </is>
      </c>
      <c r="B838" t="inlineStr">
        <is>
          <t>PT11941</t>
        </is>
      </c>
      <c r="C838" t="inlineStr">
        <is>
          <t>Inpatient</t>
        </is>
      </c>
      <c r="D838" t="inlineStr">
        <is>
          <t>F01</t>
        </is>
      </c>
      <c r="E838" t="inlineStr">
        <is>
          <t>D140</t>
        </is>
      </c>
      <c r="F838" t="inlineStr">
        <is>
          <t>Elective</t>
        </is>
      </c>
      <c r="G838" s="32" t="n">
        <v>45803.2375</v>
      </c>
      <c r="H838" s="32" t="n">
        <v>45805.71111111111</v>
      </c>
      <c r="I838" t="inlineStr">
        <is>
          <t>M17.11</t>
        </is>
      </c>
      <c r="J838" t="inlineStr">
        <is>
          <t>PY01</t>
        </is>
      </c>
      <c r="K838" s="33" t="n">
        <v>42440.55</v>
      </c>
      <c r="L838" s="34" t="n"/>
    </row>
    <row r="839">
      <c r="A839" t="inlineStr">
        <is>
          <t>ENC115378</t>
        </is>
      </c>
      <c r="B839" t="inlineStr">
        <is>
          <t>PT12220</t>
        </is>
      </c>
      <c r="C839" t="inlineStr">
        <is>
          <t>Inpatient</t>
        </is>
      </c>
      <c r="D839" t="inlineStr">
        <is>
          <t>F01</t>
        </is>
      </c>
      <c r="E839" t="inlineStr">
        <is>
          <t>D150</t>
        </is>
      </c>
      <c r="F839" t="inlineStr">
        <is>
          <t>Direct Admit</t>
        </is>
      </c>
      <c r="G839" s="32" t="n">
        <v>45803.43402777778</v>
      </c>
      <c r="H839" s="32" t="n">
        <v>45806.58055555556</v>
      </c>
      <c r="I839" t="inlineStr">
        <is>
          <t>C50.911</t>
        </is>
      </c>
      <c r="J839" t="inlineStr">
        <is>
          <t>PY04</t>
        </is>
      </c>
      <c r="K839" s="33" t="n">
        <v>28821.57</v>
      </c>
      <c r="L839" s="34" t="n"/>
    </row>
    <row r="840">
      <c r="A840" t="inlineStr">
        <is>
          <t>ENC115375</t>
        </is>
      </c>
      <c r="B840" t="inlineStr">
        <is>
          <t>PT11798</t>
        </is>
      </c>
      <c r="C840" t="inlineStr">
        <is>
          <t>Inpatient</t>
        </is>
      </c>
      <c r="D840" t="inlineStr">
        <is>
          <t>F03</t>
        </is>
      </c>
      <c r="E840" t="inlineStr">
        <is>
          <t>D320</t>
        </is>
      </c>
      <c r="F840" t="inlineStr">
        <is>
          <t>Emergency Department</t>
        </is>
      </c>
      <c r="G840" s="32" t="n">
        <v>45803.55069444444</v>
      </c>
      <c r="H840" s="32" t="n">
        <v>45807.73541666667</v>
      </c>
      <c r="I840" t="inlineStr">
        <is>
          <t>I48.91</t>
        </is>
      </c>
      <c r="J840" t="inlineStr">
        <is>
          <t>PY02</t>
        </is>
      </c>
      <c r="K840" s="33" t="n">
        <v>30976.92</v>
      </c>
      <c r="L840" s="34" t="n"/>
    </row>
    <row r="841">
      <c r="A841" t="inlineStr">
        <is>
          <t>ENC115385</t>
        </is>
      </c>
      <c r="B841" t="inlineStr">
        <is>
          <t>PT13149</t>
        </is>
      </c>
      <c r="C841" t="inlineStr">
        <is>
          <t>Inpatient</t>
        </is>
      </c>
      <c r="D841" t="inlineStr">
        <is>
          <t>F03</t>
        </is>
      </c>
      <c r="E841" t="inlineStr">
        <is>
          <t>D310</t>
        </is>
      </c>
      <c r="F841" t="inlineStr">
        <is>
          <t>Emergency Department</t>
        </is>
      </c>
      <c r="G841" s="32" t="n">
        <v>45803.64097222222</v>
      </c>
      <c r="H841" s="32" t="n">
        <v>45806.64722222222</v>
      </c>
      <c r="I841" t="inlineStr">
        <is>
          <t>A08.4</t>
        </is>
      </c>
      <c r="J841" t="inlineStr">
        <is>
          <t>PY02</t>
        </is>
      </c>
      <c r="K841" s="33" t="n">
        <v>10971.39</v>
      </c>
      <c r="L841" s="34" t="n"/>
    </row>
    <row r="842">
      <c r="A842" t="inlineStr">
        <is>
          <t>ENC115395</t>
        </is>
      </c>
      <c r="B842" t="inlineStr">
        <is>
          <t>PT12139</t>
        </is>
      </c>
      <c r="C842" t="inlineStr">
        <is>
          <t>Outpatient</t>
        </is>
      </c>
      <c r="D842" t="inlineStr">
        <is>
          <t>F04</t>
        </is>
      </c>
      <c r="E842" t="inlineStr">
        <is>
          <t>D400</t>
        </is>
      </c>
      <c r="G842" s="32" t="n">
        <v>45803.6875</v>
      </c>
      <c r="H842" s="32" t="n">
        <v>45803.70347222222</v>
      </c>
      <c r="I842" t="inlineStr">
        <is>
          <t>F41.9</t>
        </is>
      </c>
      <c r="J842" t="inlineStr">
        <is>
          <t>PY03</t>
        </is>
      </c>
      <c r="K842" s="33" t="n">
        <v>203.69</v>
      </c>
      <c r="L842" s="34" t="n"/>
    </row>
    <row r="843">
      <c r="A843" t="inlineStr">
        <is>
          <t>ENC115392</t>
        </is>
      </c>
      <c r="B843" t="inlineStr">
        <is>
          <t>PT11598</t>
        </is>
      </c>
      <c r="C843" t="inlineStr">
        <is>
          <t>Inpatient</t>
        </is>
      </c>
      <c r="D843" t="inlineStr">
        <is>
          <t>F01</t>
        </is>
      </c>
      <c r="E843" t="inlineStr">
        <is>
          <t>D111</t>
        </is>
      </c>
      <c r="F843" t="inlineStr">
        <is>
          <t>Emergency Department</t>
        </is>
      </c>
      <c r="G843" s="32" t="n">
        <v>45803.80625</v>
      </c>
      <c r="H843" s="32" t="n">
        <v>45810.58541666667</v>
      </c>
      <c r="I843" t="inlineStr">
        <is>
          <t>L03.115</t>
        </is>
      </c>
      <c r="J843" t="inlineStr">
        <is>
          <t>PY04</t>
        </is>
      </c>
      <c r="K843" s="33" t="n">
        <v>18920</v>
      </c>
      <c r="L843" s="34" t="n"/>
    </row>
    <row r="844">
      <c r="A844" t="inlineStr">
        <is>
          <t>ENC115404</t>
        </is>
      </c>
      <c r="B844" t="inlineStr">
        <is>
          <t>PT11131</t>
        </is>
      </c>
      <c r="C844" t="inlineStr">
        <is>
          <t>Observation</t>
        </is>
      </c>
      <c r="D844" t="inlineStr">
        <is>
          <t>F01</t>
        </is>
      </c>
      <c r="E844" t="inlineStr">
        <is>
          <t>D195</t>
        </is>
      </c>
      <c r="F844" t="inlineStr">
        <is>
          <t>Emergency Department</t>
        </is>
      </c>
      <c r="G844" s="32" t="n">
        <v>45804.06666666667</v>
      </c>
      <c r="H844" s="32" t="n">
        <v>45805.03055555555</v>
      </c>
      <c r="I844" t="inlineStr">
        <is>
          <t>I50.9</t>
        </is>
      </c>
      <c r="J844" t="inlineStr">
        <is>
          <t>PY07</t>
        </is>
      </c>
      <c r="K844" s="33" t="n">
        <v>6516.33</v>
      </c>
      <c r="L844" s="34" t="n"/>
    </row>
    <row r="845">
      <c r="A845" t="inlineStr">
        <is>
          <t>ENC115410</t>
        </is>
      </c>
      <c r="B845" t="inlineStr">
        <is>
          <t>PT12757</t>
        </is>
      </c>
      <c r="C845" t="inlineStr">
        <is>
          <t>Outpatient</t>
        </is>
      </c>
      <c r="D845" t="inlineStr">
        <is>
          <t>F04</t>
        </is>
      </c>
      <c r="E845" t="inlineStr">
        <is>
          <t>D410</t>
        </is>
      </c>
      <c r="G845" s="32" t="n">
        <v>45804.375</v>
      </c>
      <c r="H845" s="32" t="n">
        <v>45804.39583333334</v>
      </c>
      <c r="I845" t="inlineStr">
        <is>
          <t>I48.91</t>
        </is>
      </c>
      <c r="J845" t="inlineStr">
        <is>
          <t>PY05</t>
        </is>
      </c>
      <c r="K845" s="33" t="n">
        <v>477.48</v>
      </c>
      <c r="L845" s="34" t="n"/>
    </row>
    <row r="846">
      <c r="A846" t="inlineStr">
        <is>
          <t>ENC115416</t>
        </is>
      </c>
      <c r="B846" t="inlineStr">
        <is>
          <t>PT10906</t>
        </is>
      </c>
      <c r="C846" t="inlineStr">
        <is>
          <t>Outpatient</t>
        </is>
      </c>
      <c r="D846" t="inlineStr">
        <is>
          <t>F04</t>
        </is>
      </c>
      <c r="E846" t="inlineStr">
        <is>
          <t>D400</t>
        </is>
      </c>
      <c r="G846" s="32" t="n">
        <v>45804.5</v>
      </c>
      <c r="H846" s="32" t="n">
        <v>45804.52152777778</v>
      </c>
      <c r="I846" t="inlineStr">
        <is>
          <t>G43.909</t>
        </is>
      </c>
      <c r="J846" t="inlineStr">
        <is>
          <t>PY04</t>
        </is>
      </c>
      <c r="K846" s="33" t="n">
        <v>303.99</v>
      </c>
      <c r="L846" s="34" t="n"/>
    </row>
    <row r="847">
      <c r="A847" t="inlineStr">
        <is>
          <t>ENC115423</t>
        </is>
      </c>
      <c r="B847" t="inlineStr">
        <is>
          <t>PT12443</t>
        </is>
      </c>
      <c r="C847" t="inlineStr">
        <is>
          <t>Outpatient</t>
        </is>
      </c>
      <c r="D847" t="inlineStr">
        <is>
          <t>F04</t>
        </is>
      </c>
      <c r="E847" t="inlineStr">
        <is>
          <t>D400</t>
        </is>
      </c>
      <c r="G847" s="32" t="n">
        <v>45804.61458333334</v>
      </c>
      <c r="H847" s="32" t="n">
        <v>45804.65</v>
      </c>
      <c r="I847" t="inlineStr">
        <is>
          <t>Z00.00</t>
        </is>
      </c>
      <c r="J847" t="inlineStr">
        <is>
          <t>PY03</t>
        </is>
      </c>
      <c r="K847" s="33" t="n">
        <v>408.32</v>
      </c>
      <c r="L847" s="34" t="n"/>
    </row>
    <row r="848">
      <c r="A848" t="inlineStr">
        <is>
          <t>ENC115429</t>
        </is>
      </c>
      <c r="B848" t="inlineStr">
        <is>
          <t>PT11843</t>
        </is>
      </c>
      <c r="C848" t="inlineStr">
        <is>
          <t>Emergency</t>
        </is>
      </c>
      <c r="D848" t="inlineStr">
        <is>
          <t>F01</t>
        </is>
      </c>
      <c r="E848" t="inlineStr">
        <is>
          <t>D100</t>
        </is>
      </c>
      <c r="G848" s="32" t="n">
        <v>45804.76666666667</v>
      </c>
      <c r="H848" s="32" t="n">
        <v>45804.84791666667</v>
      </c>
      <c r="I848" t="inlineStr">
        <is>
          <t>I50.9</t>
        </is>
      </c>
      <c r="J848" t="inlineStr">
        <is>
          <t>PY05</t>
        </is>
      </c>
      <c r="K848" s="33" t="n">
        <v>1416.19</v>
      </c>
      <c r="L848" s="34" t="n"/>
    </row>
    <row r="849">
      <c r="A849" t="inlineStr">
        <is>
          <t>ENC115433</t>
        </is>
      </c>
      <c r="B849" t="inlineStr">
        <is>
          <t>PT12426</t>
        </is>
      </c>
      <c r="C849" t="inlineStr">
        <is>
          <t>Inpatient</t>
        </is>
      </c>
      <c r="D849" t="inlineStr">
        <is>
          <t>F03</t>
        </is>
      </c>
      <c r="E849" t="inlineStr">
        <is>
          <t>D330</t>
        </is>
      </c>
      <c r="F849" t="inlineStr">
        <is>
          <t>Direct Admit</t>
        </is>
      </c>
      <c r="G849" s="32" t="n">
        <v>45804.86597222222</v>
      </c>
      <c r="H849" s="32" t="n">
        <v>45807.64097222222</v>
      </c>
      <c r="I849" t="inlineStr">
        <is>
          <t>J96.01</t>
        </is>
      </c>
      <c r="J849" t="inlineStr">
        <is>
          <t>PY01</t>
        </is>
      </c>
      <c r="K849" s="33" t="n">
        <v>44077.84</v>
      </c>
      <c r="L849" s="34" t="n"/>
    </row>
    <row r="850">
      <c r="A850" t="inlineStr">
        <is>
          <t>ENC115438</t>
        </is>
      </c>
      <c r="B850" t="inlineStr">
        <is>
          <t>PT11484</t>
        </is>
      </c>
      <c r="C850" t="inlineStr">
        <is>
          <t>Emergency</t>
        </is>
      </c>
      <c r="D850" t="inlineStr">
        <is>
          <t>F02</t>
        </is>
      </c>
      <c r="E850" t="inlineStr">
        <is>
          <t>D200</t>
        </is>
      </c>
      <c r="G850" s="32" t="n">
        <v>45805.30555555555</v>
      </c>
      <c r="H850" s="32" t="n">
        <v>45805.41805555556</v>
      </c>
      <c r="I850" t="inlineStr">
        <is>
          <t>K80.20</t>
        </is>
      </c>
      <c r="J850" t="inlineStr">
        <is>
          <t>PY03</t>
        </is>
      </c>
      <c r="K850" s="33" t="n">
        <v>842.5700000000001</v>
      </c>
      <c r="L850" s="34" t="n"/>
    </row>
    <row r="851">
      <c r="A851" t="inlineStr">
        <is>
          <t>ENC115440</t>
        </is>
      </c>
      <c r="B851" t="inlineStr">
        <is>
          <t>PT13808</t>
        </is>
      </c>
      <c r="C851" t="inlineStr">
        <is>
          <t>Inpatient</t>
        </is>
      </c>
      <c r="D851" t="inlineStr">
        <is>
          <t>F01</t>
        </is>
      </c>
      <c r="E851" t="inlineStr">
        <is>
          <t>D110</t>
        </is>
      </c>
      <c r="F851" t="inlineStr">
        <is>
          <t>Emergency Department</t>
        </is>
      </c>
      <c r="G851" s="32" t="n">
        <v>45805.42222222222</v>
      </c>
      <c r="H851" s="32" t="n">
        <v>45807.58680555555</v>
      </c>
      <c r="I851" t="inlineStr">
        <is>
          <t>E86.0</t>
        </is>
      </c>
      <c r="J851" t="inlineStr">
        <is>
          <t>PY01</t>
        </is>
      </c>
      <c r="K851" s="33" t="n">
        <v>8126.74</v>
      </c>
      <c r="L851" s="34" t="n"/>
    </row>
    <row r="852">
      <c r="A852" t="inlineStr">
        <is>
          <t>ENC115450</t>
        </is>
      </c>
      <c r="B852" t="inlineStr">
        <is>
          <t>PT11678</t>
        </is>
      </c>
      <c r="C852" t="inlineStr">
        <is>
          <t>Emergency</t>
        </is>
      </c>
      <c r="D852" t="inlineStr">
        <is>
          <t>F02</t>
        </is>
      </c>
      <c r="E852" t="inlineStr">
        <is>
          <t>D200</t>
        </is>
      </c>
      <c r="G852" s="32" t="n">
        <v>45805.44027777778</v>
      </c>
      <c r="H852" s="32" t="n">
        <v>45805.5875</v>
      </c>
      <c r="I852" t="inlineStr">
        <is>
          <t>A08.4</t>
        </is>
      </c>
      <c r="J852" t="inlineStr">
        <is>
          <t>PY01</t>
        </is>
      </c>
      <c r="K852" s="33" t="n">
        <v>2566.66</v>
      </c>
      <c r="L852" s="34" t="n"/>
    </row>
    <row r="853">
      <c r="A853" t="inlineStr">
        <is>
          <t>ENC115456</t>
        </is>
      </c>
      <c r="B853" t="inlineStr">
        <is>
          <t>PT11101</t>
        </is>
      </c>
      <c r="C853" t="inlineStr">
        <is>
          <t>Outpatient</t>
        </is>
      </c>
      <c r="D853" t="inlineStr">
        <is>
          <t>F04</t>
        </is>
      </c>
      <c r="E853" t="inlineStr">
        <is>
          <t>D440</t>
        </is>
      </c>
      <c r="G853" s="32" t="n">
        <v>45805.52083333334</v>
      </c>
      <c r="H853" s="32" t="n">
        <v>45805.54097222222</v>
      </c>
      <c r="I853" t="inlineStr">
        <is>
          <t>E11.65</t>
        </is>
      </c>
      <c r="J853" t="inlineStr">
        <is>
          <t>PY01</t>
        </is>
      </c>
      <c r="K853" s="33" t="n">
        <v>182.78</v>
      </c>
      <c r="L853" s="34" t="n"/>
    </row>
    <row r="854">
      <c r="A854" t="inlineStr">
        <is>
          <t>ENC115460</t>
        </is>
      </c>
      <c r="B854" t="inlineStr">
        <is>
          <t>PT13818</t>
        </is>
      </c>
      <c r="C854" t="inlineStr">
        <is>
          <t>Outpatient</t>
        </is>
      </c>
      <c r="D854" t="inlineStr">
        <is>
          <t>F04</t>
        </is>
      </c>
      <c r="E854" t="inlineStr">
        <is>
          <t>D440</t>
        </is>
      </c>
      <c r="G854" s="32" t="n">
        <v>45805.61458333334</v>
      </c>
      <c r="H854" s="32" t="n">
        <v>45805.65208333333</v>
      </c>
      <c r="I854" t="inlineStr">
        <is>
          <t>E11.9</t>
        </is>
      </c>
      <c r="J854" t="inlineStr">
        <is>
          <t>PY04</t>
        </is>
      </c>
      <c r="K854" s="33" t="n">
        <v>300.86</v>
      </c>
      <c r="L854" s="34" t="n"/>
    </row>
    <row r="855">
      <c r="A855" t="inlineStr">
        <is>
          <t>ENC115467</t>
        </is>
      </c>
      <c r="B855" t="inlineStr">
        <is>
          <t>PT12502</t>
        </is>
      </c>
      <c r="C855" t="inlineStr">
        <is>
          <t>Emergency</t>
        </is>
      </c>
      <c r="D855" t="inlineStr">
        <is>
          <t>F02</t>
        </is>
      </c>
      <c r="E855" t="inlineStr">
        <is>
          <t>D200</t>
        </is>
      </c>
      <c r="G855" s="32" t="n">
        <v>45805.71805555555</v>
      </c>
      <c r="H855" s="32" t="n">
        <v>45805.80347222222</v>
      </c>
      <c r="I855" t="inlineStr">
        <is>
          <t>S93.401A</t>
        </is>
      </c>
      <c r="J855" t="inlineStr">
        <is>
          <t>PY01</t>
        </is>
      </c>
      <c r="K855" s="33" t="n">
        <v>732.77</v>
      </c>
      <c r="L855" s="34" t="n"/>
    </row>
    <row r="856">
      <c r="A856" t="inlineStr">
        <is>
          <t>ENC115471</t>
        </is>
      </c>
      <c r="B856" t="inlineStr">
        <is>
          <t>PT10686</t>
        </is>
      </c>
      <c r="C856" t="inlineStr">
        <is>
          <t>Emergency</t>
        </is>
      </c>
      <c r="D856" t="inlineStr">
        <is>
          <t>F01</t>
        </is>
      </c>
      <c r="E856" t="inlineStr">
        <is>
          <t>D100</t>
        </is>
      </c>
      <c r="G856" s="32" t="n">
        <v>45805.92083333333</v>
      </c>
      <c r="H856" s="32" t="n">
        <v>45806.04652777778</v>
      </c>
      <c r="I856" t="inlineStr">
        <is>
          <t>J45.909</t>
        </is>
      </c>
      <c r="J856" t="inlineStr">
        <is>
          <t>PY05</t>
        </is>
      </c>
      <c r="K856" s="33" t="n">
        <v>5006.19</v>
      </c>
      <c r="L856" s="34" t="n"/>
    </row>
    <row r="857">
      <c r="A857" t="inlineStr">
        <is>
          <t>ENC115477</t>
        </is>
      </c>
      <c r="B857" t="inlineStr">
        <is>
          <t>PT13829</t>
        </is>
      </c>
      <c r="C857" t="inlineStr">
        <is>
          <t>Inpatient</t>
        </is>
      </c>
      <c r="D857" t="inlineStr">
        <is>
          <t>F01</t>
        </is>
      </c>
      <c r="E857" t="inlineStr">
        <is>
          <t>D160</t>
        </is>
      </c>
      <c r="F857" t="inlineStr">
        <is>
          <t>Direct Admit</t>
        </is>
      </c>
      <c r="G857" s="32" t="n">
        <v>45806.21041666667</v>
      </c>
      <c r="H857" s="32" t="n">
        <v>45810.50555555556</v>
      </c>
      <c r="I857" t="inlineStr">
        <is>
          <t>I63.9</t>
        </is>
      </c>
      <c r="J857" t="inlineStr">
        <is>
          <t>PY02</t>
        </is>
      </c>
      <c r="K857" s="33" t="n">
        <v>21385.88</v>
      </c>
      <c r="L857" s="34" t="n"/>
    </row>
    <row r="858">
      <c r="A858" t="inlineStr">
        <is>
          <t>ENC115483</t>
        </is>
      </c>
      <c r="B858" t="inlineStr">
        <is>
          <t>PT12326</t>
        </is>
      </c>
      <c r="C858" t="inlineStr">
        <is>
          <t>Emergency</t>
        </is>
      </c>
      <c r="D858" t="inlineStr">
        <is>
          <t>F01</t>
        </is>
      </c>
      <c r="E858" t="inlineStr">
        <is>
          <t>D100</t>
        </is>
      </c>
      <c r="G858" s="32" t="n">
        <v>45806.47986111111</v>
      </c>
      <c r="H858" s="32" t="n">
        <v>45806.58263888889</v>
      </c>
      <c r="I858" t="inlineStr">
        <is>
          <t>E86.0</t>
        </is>
      </c>
      <c r="J858" t="inlineStr">
        <is>
          <t>PY01</t>
        </is>
      </c>
      <c r="K858" s="33" t="n">
        <v>2899.17</v>
      </c>
      <c r="L858" s="34" t="n"/>
    </row>
    <row r="859">
      <c r="A859" t="inlineStr">
        <is>
          <t>ENC115488</t>
        </is>
      </c>
      <c r="B859" t="inlineStr">
        <is>
          <t>PT12171</t>
        </is>
      </c>
      <c r="C859" t="inlineStr">
        <is>
          <t>Outpatient</t>
        </is>
      </c>
      <c r="D859" t="inlineStr">
        <is>
          <t>F04</t>
        </is>
      </c>
      <c r="E859" t="inlineStr">
        <is>
          <t>D450</t>
        </is>
      </c>
      <c r="G859" s="32" t="n">
        <v>45806.57291666666</v>
      </c>
      <c r="H859" s="32" t="n">
        <v>45806.60347222222</v>
      </c>
      <c r="I859" t="inlineStr">
        <is>
          <t>Z00.129</t>
        </is>
      </c>
      <c r="J859" t="inlineStr">
        <is>
          <t>PY03</t>
        </is>
      </c>
      <c r="K859" s="33" t="n">
        <v>368.71</v>
      </c>
      <c r="L859" s="34" t="n"/>
    </row>
    <row r="860">
      <c r="A860" t="inlineStr">
        <is>
          <t>ENC115492</t>
        </is>
      </c>
      <c r="B860" t="inlineStr">
        <is>
          <t>PT12055</t>
        </is>
      </c>
      <c r="C860" t="inlineStr">
        <is>
          <t>Inpatient</t>
        </is>
      </c>
      <c r="D860" t="inlineStr">
        <is>
          <t>F01</t>
        </is>
      </c>
      <c r="E860" t="inlineStr">
        <is>
          <t>D130</t>
        </is>
      </c>
      <c r="F860" t="inlineStr">
        <is>
          <t>Emergency Department</t>
        </is>
      </c>
      <c r="G860" s="32" t="n">
        <v>45806.82430555556</v>
      </c>
      <c r="H860" s="32" t="n">
        <v>45815.55972222222</v>
      </c>
      <c r="I860" t="inlineStr">
        <is>
          <t>A41.9</t>
        </is>
      </c>
      <c r="J860" t="inlineStr">
        <is>
          <t>PY04</t>
        </is>
      </c>
      <c r="K860" s="33" t="n">
        <v>81411.81</v>
      </c>
      <c r="L860" s="34" t="n"/>
    </row>
    <row r="861">
      <c r="A861" t="inlineStr">
        <is>
          <t>ENC115499</t>
        </is>
      </c>
      <c r="B861" t="inlineStr">
        <is>
          <t>PT13544</t>
        </is>
      </c>
      <c r="C861" t="inlineStr">
        <is>
          <t>Inpatient</t>
        </is>
      </c>
      <c r="D861" t="inlineStr">
        <is>
          <t>F01</t>
        </is>
      </c>
      <c r="E861" t="inlineStr">
        <is>
          <t>D170</t>
        </is>
      </c>
      <c r="F861" t="inlineStr">
        <is>
          <t>Emergency Department</t>
        </is>
      </c>
      <c r="G861" s="32" t="n">
        <v>45807.23888888889</v>
      </c>
      <c r="H861" s="32" t="n">
        <v>45808.52361111111</v>
      </c>
      <c r="I861" t="inlineStr">
        <is>
          <t>O80</t>
        </is>
      </c>
      <c r="J861" t="inlineStr">
        <is>
          <t>PY04</t>
        </is>
      </c>
      <c r="K861" s="33" t="n">
        <v>12007.04</v>
      </c>
      <c r="L861" s="34" t="n"/>
    </row>
    <row r="862">
      <c r="A862" t="inlineStr">
        <is>
          <t>ENC115501</t>
        </is>
      </c>
      <c r="B862" t="inlineStr">
        <is>
          <t>PT11632</t>
        </is>
      </c>
      <c r="C862" t="inlineStr">
        <is>
          <t>Inpatient</t>
        </is>
      </c>
      <c r="D862" t="inlineStr">
        <is>
          <t>F01</t>
        </is>
      </c>
      <c r="E862" t="inlineStr">
        <is>
          <t>D110</t>
        </is>
      </c>
      <c r="F862" t="inlineStr">
        <is>
          <t>Emergency Department</t>
        </is>
      </c>
      <c r="G862" s="32" t="n">
        <v>45807.40833333333</v>
      </c>
      <c r="H862" s="32" t="n">
        <v>45808.625</v>
      </c>
      <c r="I862" t="inlineStr">
        <is>
          <t>J18.9</t>
        </is>
      </c>
      <c r="J862" t="inlineStr">
        <is>
          <t>PY03</t>
        </is>
      </c>
      <c r="K862" s="33" t="n">
        <v>6234.09</v>
      </c>
      <c r="L862" s="34" t="n"/>
    </row>
    <row r="863">
      <c r="A863" t="inlineStr">
        <is>
          <t>ENC115511</t>
        </is>
      </c>
      <c r="B863" t="inlineStr">
        <is>
          <t>PT11302</t>
        </is>
      </c>
      <c r="C863" t="inlineStr">
        <is>
          <t>Outpatient</t>
        </is>
      </c>
      <c r="D863" t="inlineStr">
        <is>
          <t>F04</t>
        </is>
      </c>
      <c r="E863" t="inlineStr">
        <is>
          <t>D400</t>
        </is>
      </c>
      <c r="G863" s="32" t="n">
        <v>45807.5</v>
      </c>
      <c r="H863" s="32" t="n">
        <v>45807.51180555556</v>
      </c>
      <c r="I863" t="inlineStr">
        <is>
          <t>E78.5</t>
        </is>
      </c>
      <c r="J863" t="inlineStr">
        <is>
          <t>PY05</t>
        </is>
      </c>
      <c r="K863" s="33" t="n">
        <v>200.05</v>
      </c>
      <c r="L863" s="34" t="n"/>
    </row>
    <row r="864">
      <c r="A864" t="inlineStr">
        <is>
          <t>ENC115518</t>
        </is>
      </c>
      <c r="B864" t="inlineStr">
        <is>
          <t>PT12179</t>
        </is>
      </c>
      <c r="C864" t="inlineStr">
        <is>
          <t>Outpatient</t>
        </is>
      </c>
      <c r="D864" t="inlineStr">
        <is>
          <t>F04</t>
        </is>
      </c>
      <c r="E864" t="inlineStr">
        <is>
          <t>D400</t>
        </is>
      </c>
      <c r="G864" s="32" t="n">
        <v>45807.60416666666</v>
      </c>
      <c r="H864" s="32" t="n">
        <v>45807.62569444445</v>
      </c>
      <c r="I864" t="inlineStr">
        <is>
          <t>J06.9</t>
        </is>
      </c>
      <c r="J864" t="inlineStr">
        <is>
          <t>PY07</t>
        </is>
      </c>
      <c r="K864" s="33" t="n">
        <v>285.78</v>
      </c>
      <c r="L864" s="34" t="n"/>
    </row>
    <row r="865">
      <c r="A865" t="inlineStr">
        <is>
          <t>ENC115522</t>
        </is>
      </c>
      <c r="B865" t="inlineStr">
        <is>
          <t>PT13770</t>
        </is>
      </c>
      <c r="C865" t="inlineStr">
        <is>
          <t>Outpatient</t>
        </is>
      </c>
      <c r="D865" t="inlineStr">
        <is>
          <t>F04</t>
        </is>
      </c>
      <c r="E865" t="inlineStr">
        <is>
          <t>D410</t>
        </is>
      </c>
      <c r="G865" s="32" t="n">
        <v>45807.64583333334</v>
      </c>
      <c r="H865" s="32" t="n">
        <v>45807.66736111111</v>
      </c>
      <c r="I865" t="inlineStr">
        <is>
          <t>I48.91</t>
        </is>
      </c>
      <c r="J865" t="inlineStr">
        <is>
          <t>PY03</t>
        </is>
      </c>
      <c r="K865" s="33" t="n">
        <v>277.21</v>
      </c>
      <c r="L865" s="34" t="n"/>
    </row>
    <row r="866">
      <c r="A866" t="inlineStr">
        <is>
          <t>ENC115528</t>
        </is>
      </c>
      <c r="B866" t="inlineStr">
        <is>
          <t>PT10697</t>
        </is>
      </c>
      <c r="C866" t="inlineStr">
        <is>
          <t>Emergency</t>
        </is>
      </c>
      <c r="D866" t="inlineStr">
        <is>
          <t>F01</t>
        </is>
      </c>
      <c r="E866" t="inlineStr">
        <is>
          <t>D100</t>
        </is>
      </c>
      <c r="G866" s="32" t="n">
        <v>45807.87013888889</v>
      </c>
      <c r="H866" s="32" t="n">
        <v>45808.01180555556</v>
      </c>
      <c r="I866" t="inlineStr">
        <is>
          <t>R07.9</t>
        </is>
      </c>
      <c r="J866" t="inlineStr">
        <is>
          <t>PY07</t>
        </is>
      </c>
      <c r="K866" s="33" t="n">
        <v>4600.71</v>
      </c>
      <c r="L866" s="34" t="n"/>
    </row>
    <row r="867">
      <c r="A867" t="inlineStr">
        <is>
          <t>ENC115533</t>
        </is>
      </c>
      <c r="B867" t="inlineStr">
        <is>
          <t>PT11913</t>
        </is>
      </c>
      <c r="C867" t="inlineStr">
        <is>
          <t>Inpatient</t>
        </is>
      </c>
      <c r="D867" t="inlineStr">
        <is>
          <t>F01</t>
        </is>
      </c>
      <c r="E867" t="inlineStr">
        <is>
          <t>D110</t>
        </is>
      </c>
      <c r="F867" t="inlineStr">
        <is>
          <t>Elective</t>
        </is>
      </c>
      <c r="G867" s="32" t="n">
        <v>45808.3625</v>
      </c>
      <c r="H867" s="32" t="n">
        <v>45811.70347222222</v>
      </c>
      <c r="I867" t="inlineStr">
        <is>
          <t>K80.20</t>
        </is>
      </c>
      <c r="J867" t="inlineStr">
        <is>
          <t>PY05</t>
        </is>
      </c>
      <c r="K867" s="33" t="n">
        <v>23006.75</v>
      </c>
      <c r="L867" s="34" t="n"/>
    </row>
    <row r="868">
      <c r="A868" t="inlineStr">
        <is>
          <t>ENC115539</t>
        </is>
      </c>
      <c r="B868" t="inlineStr">
        <is>
          <t>PT11592</t>
        </is>
      </c>
      <c r="C868" t="inlineStr">
        <is>
          <t>Emergency</t>
        </is>
      </c>
      <c r="D868" t="inlineStr">
        <is>
          <t>F02</t>
        </is>
      </c>
      <c r="E868" t="inlineStr">
        <is>
          <t>D200</t>
        </is>
      </c>
      <c r="G868" s="32" t="n">
        <v>45808.8625</v>
      </c>
      <c r="H868" s="32" t="n">
        <v>45808.95486111111</v>
      </c>
      <c r="I868" t="inlineStr">
        <is>
          <t>N39.0</t>
        </is>
      </c>
      <c r="J868" t="inlineStr">
        <is>
          <t>PY01</t>
        </is>
      </c>
      <c r="K868" s="33" t="n">
        <v>751.46</v>
      </c>
      <c r="L868" s="34" t="n"/>
    </row>
    <row r="869">
      <c r="A869" t="inlineStr">
        <is>
          <t>ENC115544</t>
        </is>
      </c>
      <c r="B869" t="inlineStr">
        <is>
          <t>PT12208</t>
        </is>
      </c>
      <c r="C869" t="inlineStr">
        <is>
          <t>Inpatient</t>
        </is>
      </c>
      <c r="D869" t="inlineStr">
        <is>
          <t>F01</t>
        </is>
      </c>
      <c r="E869" t="inlineStr">
        <is>
          <t>D170</t>
        </is>
      </c>
      <c r="F869" t="inlineStr">
        <is>
          <t>Direct Admit</t>
        </is>
      </c>
      <c r="G869" s="32" t="n">
        <v>45809.20208333333</v>
      </c>
      <c r="H869" s="32" t="n">
        <v>45810.53125</v>
      </c>
      <c r="I869" t="inlineStr">
        <is>
          <t>O80</t>
        </is>
      </c>
      <c r="J869" t="inlineStr">
        <is>
          <t>PY05</t>
        </is>
      </c>
      <c r="K869" s="33" t="n">
        <v>13529.06</v>
      </c>
      <c r="L869" s="34" t="n"/>
    </row>
    <row r="870">
      <c r="A870" t="inlineStr">
        <is>
          <t>ENC115546</t>
        </is>
      </c>
      <c r="B870" t="inlineStr">
        <is>
          <t>PT13056</t>
        </is>
      </c>
      <c r="C870" t="inlineStr">
        <is>
          <t>Observation</t>
        </is>
      </c>
      <c r="D870" t="inlineStr">
        <is>
          <t>F01</t>
        </is>
      </c>
      <c r="E870" t="inlineStr">
        <is>
          <t>D195</t>
        </is>
      </c>
      <c r="F870" t="inlineStr">
        <is>
          <t>Emergency Department</t>
        </is>
      </c>
      <c r="G870" s="32" t="n">
        <v>45809.46944444445</v>
      </c>
      <c r="H870" s="32" t="n">
        <v>45810.63888888889</v>
      </c>
      <c r="I870" t="inlineStr">
        <is>
          <t>R07.9</t>
        </is>
      </c>
      <c r="J870" t="inlineStr">
        <is>
          <t>PY02</t>
        </is>
      </c>
      <c r="K870" s="33" t="n">
        <v>7125.44</v>
      </c>
      <c r="L870" s="34" t="n"/>
    </row>
    <row r="871">
      <c r="A871" t="inlineStr">
        <is>
          <t>ENC115556</t>
        </is>
      </c>
      <c r="B871" t="inlineStr">
        <is>
          <t>PT11196</t>
        </is>
      </c>
      <c r="C871" t="inlineStr">
        <is>
          <t>Emergency</t>
        </is>
      </c>
      <c r="D871" t="inlineStr">
        <is>
          <t>F01</t>
        </is>
      </c>
      <c r="E871" t="inlineStr">
        <is>
          <t>D100</t>
        </is>
      </c>
      <c r="G871" s="32" t="n">
        <v>45809.64097222222</v>
      </c>
      <c r="H871" s="32" t="n">
        <v>45809.79513888889</v>
      </c>
      <c r="I871" t="inlineStr">
        <is>
          <t>N39.0</t>
        </is>
      </c>
      <c r="J871" t="inlineStr">
        <is>
          <t>PY05</t>
        </is>
      </c>
      <c r="K871" s="33" t="n">
        <v>3052.23</v>
      </c>
      <c r="L871" s="34" t="n"/>
    </row>
    <row r="872">
      <c r="A872" t="inlineStr">
        <is>
          <t>ENC115561</t>
        </is>
      </c>
      <c r="B872" t="inlineStr">
        <is>
          <t>PT12916</t>
        </is>
      </c>
      <c r="C872" t="inlineStr">
        <is>
          <t>Emergency</t>
        </is>
      </c>
      <c r="D872" t="inlineStr">
        <is>
          <t>F01</t>
        </is>
      </c>
      <c r="E872" t="inlineStr">
        <is>
          <t>D100</t>
        </is>
      </c>
      <c r="G872" s="32" t="n">
        <v>45809.84166666667</v>
      </c>
      <c r="H872" s="32" t="n">
        <v>45810.04652777778</v>
      </c>
      <c r="I872" t="inlineStr">
        <is>
          <t>E11.65</t>
        </is>
      </c>
      <c r="J872" t="inlineStr">
        <is>
          <t>PY03</t>
        </is>
      </c>
      <c r="K872" s="33" t="n">
        <v>2607.61</v>
      </c>
      <c r="L872" s="34" t="n"/>
    </row>
    <row r="873">
      <c r="A873" t="inlineStr">
        <is>
          <t>ENC115566</t>
        </is>
      </c>
      <c r="B873" t="inlineStr">
        <is>
          <t>PT13582</t>
        </is>
      </c>
      <c r="C873" t="inlineStr">
        <is>
          <t>Observation</t>
        </is>
      </c>
      <c r="D873" t="inlineStr">
        <is>
          <t>F01</t>
        </is>
      </c>
      <c r="E873" t="inlineStr">
        <is>
          <t>D195</t>
        </is>
      </c>
      <c r="F873" t="inlineStr">
        <is>
          <t>Emergency Department</t>
        </is>
      </c>
      <c r="G873" s="32" t="n">
        <v>45810.33541666667</v>
      </c>
      <c r="H873" s="32" t="n">
        <v>45811.48680555556</v>
      </c>
      <c r="I873" t="inlineStr">
        <is>
          <t>G40.909</t>
        </is>
      </c>
      <c r="J873" t="inlineStr">
        <is>
          <t>PY01</t>
        </is>
      </c>
      <c r="K873" s="33" t="n">
        <v>4631.44</v>
      </c>
      <c r="L873" s="34" t="n"/>
    </row>
    <row r="874">
      <c r="A874" t="inlineStr">
        <is>
          <t>ENC115573</t>
        </is>
      </c>
      <c r="B874" t="inlineStr">
        <is>
          <t>PT13435</t>
        </is>
      </c>
      <c r="C874" t="inlineStr">
        <is>
          <t>Outpatient</t>
        </is>
      </c>
      <c r="D874" t="inlineStr">
        <is>
          <t>F04</t>
        </is>
      </c>
      <c r="E874" t="inlineStr">
        <is>
          <t>D430</t>
        </is>
      </c>
      <c r="G874" s="32" t="n">
        <v>45810.4375</v>
      </c>
      <c r="H874" s="32" t="n">
        <v>45810.58472222222</v>
      </c>
      <c r="I874" t="inlineStr">
        <is>
          <t>Z51.11</t>
        </is>
      </c>
      <c r="J874" t="inlineStr">
        <is>
          <t>PY03</t>
        </is>
      </c>
      <c r="K874" s="33" t="n">
        <v>4156.93</v>
      </c>
      <c r="L874" s="34" t="n"/>
    </row>
    <row r="875">
      <c r="A875" t="inlineStr">
        <is>
          <t>ENC115579</t>
        </is>
      </c>
      <c r="B875" t="inlineStr">
        <is>
          <t>PT11995</t>
        </is>
      </c>
      <c r="C875" t="inlineStr">
        <is>
          <t>Emergency</t>
        </is>
      </c>
      <c r="D875" t="inlineStr">
        <is>
          <t>F01</t>
        </is>
      </c>
      <c r="E875" t="inlineStr">
        <is>
          <t>D100</t>
        </is>
      </c>
      <c r="G875" s="32" t="n">
        <v>45810.64305555556</v>
      </c>
      <c r="H875" s="32" t="n">
        <v>45810.81736111111</v>
      </c>
      <c r="I875" t="inlineStr">
        <is>
          <t>J45.909</t>
        </is>
      </c>
      <c r="J875" t="inlineStr">
        <is>
          <t>PY04</t>
        </is>
      </c>
      <c r="K875" s="33" t="n">
        <v>2889.25</v>
      </c>
      <c r="L875" s="34" t="n"/>
    </row>
    <row r="876">
      <c r="A876" t="inlineStr">
        <is>
          <t>ENC115586</t>
        </is>
      </c>
      <c r="B876" t="inlineStr">
        <is>
          <t>PT11831</t>
        </is>
      </c>
      <c r="C876" t="inlineStr">
        <is>
          <t>Emergency</t>
        </is>
      </c>
      <c r="D876" t="inlineStr">
        <is>
          <t>F01</t>
        </is>
      </c>
      <c r="E876" t="inlineStr">
        <is>
          <t>D100</t>
        </is>
      </c>
      <c r="G876" s="32" t="n">
        <v>45810.81111111111</v>
      </c>
      <c r="H876" s="32" t="n">
        <v>45810.95</v>
      </c>
      <c r="I876" t="inlineStr">
        <is>
          <t>R07.9</t>
        </is>
      </c>
      <c r="J876" t="inlineStr">
        <is>
          <t>PY02</t>
        </is>
      </c>
      <c r="K876" s="33" t="n">
        <v>2764.22</v>
      </c>
      <c r="L876" s="34" t="n"/>
    </row>
    <row r="877">
      <c r="A877" t="inlineStr">
        <is>
          <t>ENC115584</t>
        </is>
      </c>
      <c r="B877" t="inlineStr">
        <is>
          <t>PT11508</t>
        </is>
      </c>
      <c r="C877" t="inlineStr">
        <is>
          <t>Inpatient</t>
        </is>
      </c>
      <c r="D877" t="inlineStr">
        <is>
          <t>F01</t>
        </is>
      </c>
      <c r="E877" t="inlineStr">
        <is>
          <t>D160</t>
        </is>
      </c>
      <c r="F877" t="inlineStr">
        <is>
          <t>Emergency Department</t>
        </is>
      </c>
      <c r="G877" s="32" t="n">
        <v>45810.91805555556</v>
      </c>
      <c r="H877" s="32" t="n">
        <v>45815.69097222222</v>
      </c>
      <c r="I877" t="inlineStr">
        <is>
          <t>I63.9</t>
        </is>
      </c>
      <c r="J877" t="inlineStr">
        <is>
          <t>PY05</t>
        </is>
      </c>
      <c r="K877" s="33" t="n">
        <v>27385.87</v>
      </c>
      <c r="L877" s="34" t="n"/>
    </row>
    <row r="878">
      <c r="A878" t="inlineStr">
        <is>
          <t>ENC115596</t>
        </is>
      </c>
      <c r="B878" t="inlineStr">
        <is>
          <t>PT12316</t>
        </is>
      </c>
      <c r="C878" t="inlineStr">
        <is>
          <t>Inpatient</t>
        </is>
      </c>
      <c r="D878" t="inlineStr">
        <is>
          <t>F01</t>
        </is>
      </c>
      <c r="E878" t="inlineStr">
        <is>
          <t>D140</t>
        </is>
      </c>
      <c r="F878" t="inlineStr">
        <is>
          <t>Elective</t>
        </is>
      </c>
      <c r="G878" s="32" t="n">
        <v>45811.32847222222</v>
      </c>
      <c r="H878" s="32" t="n">
        <v>45813.5625</v>
      </c>
      <c r="I878" t="inlineStr">
        <is>
          <t>M17.11</t>
        </is>
      </c>
      <c r="J878" t="inlineStr">
        <is>
          <t>PY02</t>
        </is>
      </c>
      <c r="K878" s="33" t="n">
        <v>47868.74</v>
      </c>
      <c r="L878" s="34" t="n"/>
    </row>
    <row r="879">
      <c r="A879" t="inlineStr">
        <is>
          <t>ENC115602</t>
        </is>
      </c>
      <c r="B879" t="inlineStr">
        <is>
          <t>PT10245</t>
        </is>
      </c>
      <c r="C879" t="inlineStr">
        <is>
          <t>Emergency</t>
        </is>
      </c>
      <c r="D879" t="inlineStr">
        <is>
          <t>F01</t>
        </is>
      </c>
      <c r="E879" t="inlineStr">
        <is>
          <t>D100</t>
        </is>
      </c>
      <c r="G879" s="32" t="n">
        <v>45811.40972222222</v>
      </c>
      <c r="H879" s="32" t="n">
        <v>45811.49583333333</v>
      </c>
      <c r="I879" t="inlineStr">
        <is>
          <t>A08.4</t>
        </is>
      </c>
      <c r="J879" t="inlineStr">
        <is>
          <t>PY05</t>
        </is>
      </c>
      <c r="K879" s="33" t="n">
        <v>676.15</v>
      </c>
      <c r="L879" s="34" t="n"/>
    </row>
    <row r="880">
      <c r="A880" t="inlineStr">
        <is>
          <t>ENC115606</t>
        </is>
      </c>
      <c r="B880" t="inlineStr">
        <is>
          <t>PT11269</t>
        </is>
      </c>
      <c r="C880" t="inlineStr">
        <is>
          <t>Outpatient</t>
        </is>
      </c>
      <c r="D880" t="inlineStr">
        <is>
          <t>F04</t>
        </is>
      </c>
      <c r="E880" t="inlineStr">
        <is>
          <t>D400</t>
        </is>
      </c>
      <c r="G880" s="32" t="n">
        <v>45811.54166666666</v>
      </c>
      <c r="H880" s="32" t="n">
        <v>45811.55694444444</v>
      </c>
      <c r="I880" t="inlineStr">
        <is>
          <t>Z00.00</t>
        </is>
      </c>
      <c r="J880" t="inlineStr">
        <is>
          <t>PY06</t>
        </is>
      </c>
      <c r="K880" s="33" t="n">
        <v>293.93</v>
      </c>
      <c r="L880" s="34" t="n"/>
    </row>
    <row r="881">
      <c r="A881" t="inlineStr">
        <is>
          <t>ENC115612</t>
        </is>
      </c>
      <c r="B881" t="inlineStr">
        <is>
          <t>PT13569</t>
        </is>
      </c>
      <c r="C881" t="inlineStr">
        <is>
          <t>Outpatient</t>
        </is>
      </c>
      <c r="D881" t="inlineStr">
        <is>
          <t>F04</t>
        </is>
      </c>
      <c r="E881" t="inlineStr">
        <is>
          <t>D400</t>
        </is>
      </c>
      <c r="G881" s="32" t="n">
        <v>45811.61458333334</v>
      </c>
      <c r="H881" s="32" t="n">
        <v>45811.6375</v>
      </c>
      <c r="I881" t="inlineStr">
        <is>
          <t>Z00.00</t>
        </is>
      </c>
      <c r="J881" t="inlineStr">
        <is>
          <t>PY03</t>
        </is>
      </c>
      <c r="K881" s="33" t="n">
        <v>375.59</v>
      </c>
      <c r="L881" s="34" t="n"/>
    </row>
    <row r="882">
      <c r="A882" t="inlineStr">
        <is>
          <t>ENC115618</t>
        </is>
      </c>
      <c r="B882" t="inlineStr">
        <is>
          <t>PT12292</t>
        </is>
      </c>
      <c r="C882" t="inlineStr">
        <is>
          <t>Outpatient</t>
        </is>
      </c>
      <c r="D882" t="inlineStr">
        <is>
          <t>F04</t>
        </is>
      </c>
      <c r="E882" t="inlineStr">
        <is>
          <t>D410</t>
        </is>
      </c>
      <c r="G882" s="32" t="n">
        <v>45811.64583333334</v>
      </c>
      <c r="H882" s="32" t="n">
        <v>45811.68194444444</v>
      </c>
      <c r="I882" t="inlineStr">
        <is>
          <t>I50.9</t>
        </is>
      </c>
      <c r="J882" t="inlineStr">
        <is>
          <t>PY02</t>
        </is>
      </c>
      <c r="K882" s="33" t="n">
        <v>294.31</v>
      </c>
      <c r="L882" s="34" t="n"/>
    </row>
    <row r="883">
      <c r="A883" t="inlineStr">
        <is>
          <t>ENC115622</t>
        </is>
      </c>
      <c r="B883" t="inlineStr">
        <is>
          <t>PT12410</t>
        </is>
      </c>
      <c r="C883" t="inlineStr">
        <is>
          <t>Emergency</t>
        </is>
      </c>
      <c r="D883" t="inlineStr">
        <is>
          <t>F03</t>
        </is>
      </c>
      <c r="E883" t="inlineStr">
        <is>
          <t>D300</t>
        </is>
      </c>
      <c r="G883" s="32" t="n">
        <v>45811.86319444444</v>
      </c>
      <c r="H883" s="32" t="n">
        <v>45811.99375</v>
      </c>
      <c r="I883" t="inlineStr">
        <is>
          <t>E11.9</t>
        </is>
      </c>
      <c r="J883" t="inlineStr">
        <is>
          <t>PY05</t>
        </is>
      </c>
      <c r="K883" s="33" t="n">
        <v>3914.4</v>
      </c>
      <c r="L883" s="34" t="n"/>
    </row>
    <row r="884">
      <c r="A884" t="inlineStr">
        <is>
          <t>ENC115627</t>
        </is>
      </c>
      <c r="B884" t="inlineStr">
        <is>
          <t>PT12051</t>
        </is>
      </c>
      <c r="C884" t="inlineStr">
        <is>
          <t>Emergency</t>
        </is>
      </c>
      <c r="D884" t="inlineStr">
        <is>
          <t>F02</t>
        </is>
      </c>
      <c r="E884" t="inlineStr">
        <is>
          <t>D200</t>
        </is>
      </c>
      <c r="G884" s="32" t="n">
        <v>45812.34652777778</v>
      </c>
      <c r="H884" s="32" t="n">
        <v>45812.45416666667</v>
      </c>
      <c r="I884" t="inlineStr">
        <is>
          <t>E11.9</t>
        </is>
      </c>
      <c r="J884" t="inlineStr">
        <is>
          <t>PY01</t>
        </is>
      </c>
      <c r="K884" s="33" t="n">
        <v>3276.04</v>
      </c>
      <c r="L884" s="34" t="n"/>
    </row>
    <row r="885">
      <c r="A885" t="inlineStr">
        <is>
          <t>ENC115636</t>
        </is>
      </c>
      <c r="B885" t="inlineStr">
        <is>
          <t>PT13769</t>
        </is>
      </c>
      <c r="C885" t="inlineStr">
        <is>
          <t>Outpatient</t>
        </is>
      </c>
      <c r="D885" t="inlineStr">
        <is>
          <t>F04</t>
        </is>
      </c>
      <c r="E885" t="inlineStr">
        <is>
          <t>D400</t>
        </is>
      </c>
      <c r="G885" s="32" t="n">
        <v>45812.45833333334</v>
      </c>
      <c r="H885" s="32" t="n">
        <v>45812.49444444444</v>
      </c>
      <c r="I885" t="inlineStr">
        <is>
          <t>E78.5</t>
        </is>
      </c>
      <c r="J885" t="inlineStr">
        <is>
          <t>PY04</t>
        </is>
      </c>
      <c r="K885" s="33" t="n">
        <v>220.8</v>
      </c>
      <c r="L885" s="34" t="n"/>
    </row>
    <row r="886">
      <c r="A886" t="inlineStr">
        <is>
          <t>ENC115641</t>
        </is>
      </c>
      <c r="B886" t="inlineStr">
        <is>
          <t>PT12012</t>
        </is>
      </c>
      <c r="C886" t="inlineStr">
        <is>
          <t>Outpatient</t>
        </is>
      </c>
      <c r="D886" t="inlineStr">
        <is>
          <t>F04</t>
        </is>
      </c>
      <c r="E886" t="inlineStr">
        <is>
          <t>D440</t>
        </is>
      </c>
      <c r="G886" s="32" t="n">
        <v>45812.55208333334</v>
      </c>
      <c r="H886" s="32" t="n">
        <v>45812.57986111111</v>
      </c>
      <c r="I886" t="inlineStr">
        <is>
          <t>E11.9</t>
        </is>
      </c>
      <c r="J886" t="inlineStr">
        <is>
          <t>PY05</t>
        </is>
      </c>
      <c r="K886" s="33" t="n">
        <v>237.75</v>
      </c>
      <c r="L886" s="34" t="n"/>
    </row>
    <row r="887">
      <c r="A887" t="inlineStr">
        <is>
          <t>ENC115647</t>
        </is>
      </c>
      <c r="B887" t="inlineStr">
        <is>
          <t>PT10398</t>
        </is>
      </c>
      <c r="C887" t="inlineStr">
        <is>
          <t>Outpatient</t>
        </is>
      </c>
      <c r="D887" t="inlineStr">
        <is>
          <t>F04</t>
        </is>
      </c>
      <c r="E887" t="inlineStr">
        <is>
          <t>D410</t>
        </is>
      </c>
      <c r="G887" s="32" t="n">
        <v>45812.60416666666</v>
      </c>
      <c r="H887" s="32" t="n">
        <v>45812.6375</v>
      </c>
      <c r="I887" t="inlineStr">
        <is>
          <t>I50.9</t>
        </is>
      </c>
      <c r="J887" t="inlineStr">
        <is>
          <t>PY01</t>
        </is>
      </c>
      <c r="K887" s="33" t="n">
        <v>277.63</v>
      </c>
      <c r="L887" s="34" t="n"/>
    </row>
    <row r="888">
      <c r="A888" t="inlineStr">
        <is>
          <t>ENC115635</t>
        </is>
      </c>
      <c r="B888" t="inlineStr">
        <is>
          <t>PT10170</t>
        </is>
      </c>
      <c r="C888" t="inlineStr">
        <is>
          <t>Inpatient</t>
        </is>
      </c>
      <c r="D888" t="inlineStr">
        <is>
          <t>F01</t>
        </is>
      </c>
      <c r="E888" t="inlineStr">
        <is>
          <t>D120</t>
        </is>
      </c>
      <c r="F888" t="inlineStr">
        <is>
          <t>Emergency Department</t>
        </is>
      </c>
      <c r="G888" s="32" t="n">
        <v>45812.63680555556</v>
      </c>
      <c r="H888" s="32" t="n">
        <v>45818.39444444444</v>
      </c>
      <c r="I888" t="inlineStr">
        <is>
          <t>I50.9</t>
        </is>
      </c>
      <c r="J888" t="inlineStr">
        <is>
          <t>PY02</t>
        </is>
      </c>
      <c r="K888" s="33" t="n">
        <v>30107.51</v>
      </c>
      <c r="L888" s="34" t="n"/>
    </row>
    <row r="889">
      <c r="A889" t="inlineStr">
        <is>
          <t>ENC115656</t>
        </is>
      </c>
      <c r="B889" t="inlineStr">
        <is>
          <t>PT13513</t>
        </is>
      </c>
      <c r="C889" t="inlineStr">
        <is>
          <t>Emergency</t>
        </is>
      </c>
      <c r="D889" t="inlineStr">
        <is>
          <t>F01</t>
        </is>
      </c>
      <c r="E889" t="inlineStr">
        <is>
          <t>D100</t>
        </is>
      </c>
      <c r="G889" s="32" t="n">
        <v>45812.70208333333</v>
      </c>
      <c r="H889" s="32" t="n">
        <v>45812.75277777778</v>
      </c>
      <c r="I889" t="inlineStr">
        <is>
          <t>H66.90</t>
        </is>
      </c>
      <c r="J889" t="inlineStr">
        <is>
          <t>PY03</t>
        </is>
      </c>
      <c r="K889" s="33" t="n">
        <v>1708.39</v>
      </c>
      <c r="L889" s="34" t="n"/>
    </row>
    <row r="890">
      <c r="A890" t="inlineStr">
        <is>
          <t>ENC115661</t>
        </is>
      </c>
      <c r="B890" t="inlineStr">
        <is>
          <t>PT13778</t>
        </is>
      </c>
      <c r="C890" t="inlineStr">
        <is>
          <t>Emergency</t>
        </is>
      </c>
      <c r="D890" t="inlineStr">
        <is>
          <t>F01</t>
        </is>
      </c>
      <c r="E890" t="inlineStr">
        <is>
          <t>D100</t>
        </is>
      </c>
      <c r="G890" s="32" t="n">
        <v>45813.09722222222</v>
      </c>
      <c r="H890" s="32" t="n">
        <v>45813.1375</v>
      </c>
      <c r="I890" t="inlineStr">
        <is>
          <t>S06.0X0A</t>
        </is>
      </c>
      <c r="J890" t="inlineStr">
        <is>
          <t>PY08</t>
        </is>
      </c>
      <c r="K890" s="33" t="n">
        <v>1819.04</v>
      </c>
      <c r="L890" s="34" t="n"/>
    </row>
    <row r="891">
      <c r="A891" t="inlineStr">
        <is>
          <t>ENC115666</t>
        </is>
      </c>
      <c r="B891" t="inlineStr">
        <is>
          <t>PT11724</t>
        </is>
      </c>
      <c r="C891" t="inlineStr">
        <is>
          <t>Inpatient</t>
        </is>
      </c>
      <c r="D891" t="inlineStr">
        <is>
          <t>F01</t>
        </is>
      </c>
      <c r="E891" t="inlineStr">
        <is>
          <t>D190</t>
        </is>
      </c>
      <c r="F891" t="inlineStr">
        <is>
          <t>Direct Admit</t>
        </is>
      </c>
      <c r="G891" s="32" t="n">
        <v>45813.31666666667</v>
      </c>
      <c r="H891" s="32" t="n">
        <v>45826.74513888889</v>
      </c>
      <c r="I891" t="inlineStr">
        <is>
          <t>F20.9</t>
        </is>
      </c>
      <c r="J891" t="inlineStr">
        <is>
          <t>PY01</t>
        </is>
      </c>
      <c r="K891" s="33" t="n">
        <v>52054.98</v>
      </c>
      <c r="L891" s="34" t="n"/>
    </row>
    <row r="892">
      <c r="A892" t="inlineStr">
        <is>
          <t>ENC115672</t>
        </is>
      </c>
      <c r="B892" t="inlineStr">
        <is>
          <t>PT13488</t>
        </is>
      </c>
      <c r="C892" t="inlineStr">
        <is>
          <t>Outpatient</t>
        </is>
      </c>
      <c r="D892" t="inlineStr">
        <is>
          <t>F04</t>
        </is>
      </c>
      <c r="E892" t="inlineStr">
        <is>
          <t>D400</t>
        </is>
      </c>
      <c r="G892" s="32" t="n">
        <v>45813.46875</v>
      </c>
      <c r="H892" s="32" t="n">
        <v>45813.49791666667</v>
      </c>
      <c r="I892" t="inlineStr">
        <is>
          <t>M54.50</t>
        </is>
      </c>
      <c r="J892" t="inlineStr">
        <is>
          <t>PY06</t>
        </is>
      </c>
      <c r="K892" s="33" t="n">
        <v>417.46</v>
      </c>
      <c r="L892" s="34" t="n"/>
    </row>
    <row r="893">
      <c r="A893" t="inlineStr">
        <is>
          <t>ENC115680</t>
        </is>
      </c>
      <c r="B893" t="inlineStr">
        <is>
          <t>PT11807</t>
        </is>
      </c>
      <c r="C893" t="inlineStr">
        <is>
          <t>Outpatient</t>
        </is>
      </c>
      <c r="D893" t="inlineStr">
        <is>
          <t>F04</t>
        </is>
      </c>
      <c r="E893" t="inlineStr">
        <is>
          <t>D450</t>
        </is>
      </c>
      <c r="G893" s="32" t="n">
        <v>45813.65625</v>
      </c>
      <c r="H893" s="32" t="n">
        <v>45813.69166666667</v>
      </c>
      <c r="I893" t="inlineStr">
        <is>
          <t>Z00.129</t>
        </is>
      </c>
      <c r="J893" t="inlineStr">
        <is>
          <t>PY04</t>
        </is>
      </c>
      <c r="K893" s="33" t="n">
        <v>477.91</v>
      </c>
      <c r="L893" s="34" t="n"/>
    </row>
    <row r="894">
      <c r="A894" t="inlineStr">
        <is>
          <t>ENC115684</t>
        </is>
      </c>
      <c r="B894" t="inlineStr">
        <is>
          <t>PT10313</t>
        </is>
      </c>
      <c r="C894" t="inlineStr">
        <is>
          <t>Emergency</t>
        </is>
      </c>
      <c r="D894" t="inlineStr">
        <is>
          <t>F01</t>
        </is>
      </c>
      <c r="E894" t="inlineStr">
        <is>
          <t>D100</t>
        </is>
      </c>
      <c r="G894" s="32" t="n">
        <v>45813.76875</v>
      </c>
      <c r="H894" s="32" t="n">
        <v>45813.90763888889</v>
      </c>
      <c r="I894" t="inlineStr">
        <is>
          <t>S06.0X0A</t>
        </is>
      </c>
      <c r="J894" t="inlineStr">
        <is>
          <t>PY08</t>
        </is>
      </c>
      <c r="K894" s="33" t="n">
        <v>3412.85</v>
      </c>
      <c r="L894" s="34" t="n"/>
    </row>
    <row r="895">
      <c r="A895" t="inlineStr">
        <is>
          <t>ENC115691</t>
        </is>
      </c>
      <c r="B895" t="inlineStr">
        <is>
          <t>PT13492</t>
        </is>
      </c>
      <c r="C895" t="inlineStr">
        <is>
          <t>Inpatient</t>
        </is>
      </c>
      <c r="D895" t="inlineStr">
        <is>
          <t>F03</t>
        </is>
      </c>
      <c r="E895" t="inlineStr">
        <is>
          <t>D310</t>
        </is>
      </c>
      <c r="F895" t="inlineStr">
        <is>
          <t>Direct Admit</t>
        </is>
      </c>
      <c r="G895" s="32" t="n">
        <v>45814.20833333334</v>
      </c>
      <c r="H895" s="32" t="n">
        <v>45818.67569444444</v>
      </c>
      <c r="I895" t="inlineStr">
        <is>
          <t>A41.9</t>
        </is>
      </c>
      <c r="J895" t="inlineStr">
        <is>
          <t>PY07</t>
        </is>
      </c>
      <c r="K895" s="33" t="n">
        <v>57649.11</v>
      </c>
      <c r="L895" s="34" t="n"/>
    </row>
    <row r="896">
      <c r="A896" t="inlineStr">
        <is>
          <t>ENC115695</t>
        </is>
      </c>
      <c r="B896" t="inlineStr">
        <is>
          <t>PT10101</t>
        </is>
      </c>
      <c r="C896" t="inlineStr">
        <is>
          <t>Outpatient</t>
        </is>
      </c>
      <c r="D896" t="inlineStr">
        <is>
          <t>F04</t>
        </is>
      </c>
      <c r="E896" t="inlineStr">
        <is>
          <t>D400</t>
        </is>
      </c>
      <c r="G896" s="32" t="n">
        <v>45814.35416666666</v>
      </c>
      <c r="H896" s="32" t="n">
        <v>45814.36597222222</v>
      </c>
      <c r="I896" t="inlineStr">
        <is>
          <t>I10</t>
        </is>
      </c>
      <c r="J896" t="inlineStr">
        <is>
          <t>PY02</t>
        </is>
      </c>
      <c r="K896" s="33" t="n">
        <v>199.18</v>
      </c>
      <c r="L896" s="34" t="n"/>
    </row>
    <row r="897">
      <c r="A897" t="inlineStr">
        <is>
          <t>ENC115702</t>
        </is>
      </c>
      <c r="B897" t="inlineStr">
        <is>
          <t>PT11013</t>
        </is>
      </c>
      <c r="C897" t="inlineStr">
        <is>
          <t>Emergency</t>
        </is>
      </c>
      <c r="D897" t="inlineStr">
        <is>
          <t>F01</t>
        </is>
      </c>
      <c r="E897" t="inlineStr">
        <is>
          <t>D100</t>
        </is>
      </c>
      <c r="G897" s="32" t="n">
        <v>45814.44166666667</v>
      </c>
      <c r="H897" s="32" t="n">
        <v>45814.63402777778</v>
      </c>
      <c r="I897" t="inlineStr">
        <is>
          <t>F41.9</t>
        </is>
      </c>
      <c r="J897" t="inlineStr">
        <is>
          <t>PY03</t>
        </is>
      </c>
      <c r="K897" s="33" t="n">
        <v>1189.54</v>
      </c>
      <c r="L897" s="34" t="n"/>
    </row>
    <row r="898">
      <c r="A898" t="inlineStr">
        <is>
          <t>ENC115706</t>
        </is>
      </c>
      <c r="B898" t="inlineStr">
        <is>
          <t>PT13057</t>
        </is>
      </c>
      <c r="C898" t="inlineStr">
        <is>
          <t>Outpatient</t>
        </is>
      </c>
      <c r="D898" t="inlineStr">
        <is>
          <t>F04</t>
        </is>
      </c>
      <c r="E898" t="inlineStr">
        <is>
          <t>D440</t>
        </is>
      </c>
      <c r="G898" s="32" t="n">
        <v>45814.47916666666</v>
      </c>
      <c r="H898" s="32" t="n">
        <v>45814.50347222222</v>
      </c>
      <c r="I898" t="inlineStr">
        <is>
          <t>E11.9</t>
        </is>
      </c>
      <c r="J898" t="inlineStr">
        <is>
          <t>PY05</t>
        </is>
      </c>
      <c r="K898" s="33" t="n">
        <v>316.69</v>
      </c>
      <c r="L898" s="34" t="n"/>
    </row>
    <row r="899">
      <c r="A899" t="inlineStr">
        <is>
          <t>ENC115711</t>
        </is>
      </c>
      <c r="B899" t="inlineStr">
        <is>
          <t>PT12596</t>
        </is>
      </c>
      <c r="C899" t="inlineStr">
        <is>
          <t>Outpatient</t>
        </is>
      </c>
      <c r="D899" t="inlineStr">
        <is>
          <t>F04</t>
        </is>
      </c>
      <c r="E899" t="inlineStr">
        <is>
          <t>D440</t>
        </is>
      </c>
      <c r="G899" s="32" t="n">
        <v>45814.65625</v>
      </c>
      <c r="H899" s="32" t="n">
        <v>45814.69027777778</v>
      </c>
      <c r="I899" t="inlineStr">
        <is>
          <t>E11.9</t>
        </is>
      </c>
      <c r="J899" t="inlineStr">
        <is>
          <t>PY03</t>
        </is>
      </c>
      <c r="K899" s="33" t="n">
        <v>473.06</v>
      </c>
      <c r="L899" s="34" t="n"/>
    </row>
    <row r="900">
      <c r="A900" t="inlineStr">
        <is>
          <t>ENC115717</t>
        </is>
      </c>
      <c r="B900" t="inlineStr">
        <is>
          <t>PT12071</t>
        </is>
      </c>
      <c r="C900" t="inlineStr">
        <is>
          <t>Emergency</t>
        </is>
      </c>
      <c r="D900" t="inlineStr">
        <is>
          <t>F01</t>
        </is>
      </c>
      <c r="E900" t="inlineStr">
        <is>
          <t>D100</t>
        </is>
      </c>
      <c r="G900" s="32" t="n">
        <v>45814.69166666667</v>
      </c>
      <c r="H900" s="32" t="n">
        <v>45814.87569444445</v>
      </c>
      <c r="I900" t="inlineStr">
        <is>
          <t>J45.909</t>
        </is>
      </c>
      <c r="J900" t="inlineStr">
        <is>
          <t>PY06</t>
        </is>
      </c>
      <c r="K900" s="33" t="n">
        <v>4981.08</v>
      </c>
      <c r="L900" s="34" t="n"/>
    </row>
    <row r="901">
      <c r="A901" t="inlineStr">
        <is>
          <t>ENC115721</t>
        </is>
      </c>
      <c r="B901" t="inlineStr">
        <is>
          <t>PT12547</t>
        </is>
      </c>
      <c r="C901" t="inlineStr">
        <is>
          <t>Inpatient</t>
        </is>
      </c>
      <c r="D901" t="inlineStr">
        <is>
          <t>F01</t>
        </is>
      </c>
      <c r="E901" t="inlineStr">
        <is>
          <t>D110</t>
        </is>
      </c>
      <c r="F901" t="inlineStr">
        <is>
          <t>Emergency Department</t>
        </is>
      </c>
      <c r="G901" s="32" t="n">
        <v>45814.87013888889</v>
      </c>
      <c r="H901" s="32" t="n">
        <v>45816.64861111111</v>
      </c>
      <c r="I901" t="inlineStr">
        <is>
          <t>E87.1</t>
        </is>
      </c>
      <c r="J901" t="inlineStr">
        <is>
          <t>PY04</t>
        </is>
      </c>
      <c r="K901" s="33" t="n">
        <v>15772.04</v>
      </c>
      <c r="L901" s="34" t="n"/>
    </row>
    <row r="902">
      <c r="A902" t="inlineStr">
        <is>
          <t>ENC115728</t>
        </is>
      </c>
      <c r="B902" t="inlineStr">
        <is>
          <t>PT10901</t>
        </is>
      </c>
      <c r="C902" t="inlineStr">
        <is>
          <t>Inpatient</t>
        </is>
      </c>
      <c r="D902" t="inlineStr">
        <is>
          <t>F01</t>
        </is>
      </c>
      <c r="E902" t="inlineStr">
        <is>
          <t>D111</t>
        </is>
      </c>
      <c r="F902" t="inlineStr">
        <is>
          <t>Emergency Department</t>
        </is>
      </c>
      <c r="G902" s="32" t="n">
        <v>45815.67569444444</v>
      </c>
      <c r="H902" s="32" t="n">
        <v>45821.53194444445</v>
      </c>
      <c r="I902" t="inlineStr">
        <is>
          <t>J18.9</t>
        </is>
      </c>
      <c r="J902" t="inlineStr">
        <is>
          <t>PY01</t>
        </is>
      </c>
      <c r="K902" s="33" t="n">
        <v>26200.01</v>
      </c>
      <c r="L902" s="34" t="n"/>
    </row>
    <row r="903">
      <c r="A903" t="inlineStr">
        <is>
          <t>ENC115729</t>
        </is>
      </c>
      <c r="B903" t="inlineStr">
        <is>
          <t>PT12636</t>
        </is>
      </c>
      <c r="C903" t="inlineStr">
        <is>
          <t>Inpatient</t>
        </is>
      </c>
      <c r="D903" t="inlineStr">
        <is>
          <t>F03</t>
        </is>
      </c>
      <c r="E903" t="inlineStr">
        <is>
          <t>D310</t>
        </is>
      </c>
      <c r="F903" t="inlineStr">
        <is>
          <t>Emergency Department</t>
        </is>
      </c>
      <c r="G903" s="32" t="n">
        <v>45815.76319444444</v>
      </c>
      <c r="H903" s="32" t="n">
        <v>45817.75069444445</v>
      </c>
      <c r="I903" t="inlineStr">
        <is>
          <t>L03.115</t>
        </is>
      </c>
      <c r="J903" t="inlineStr">
        <is>
          <t>PY01</t>
        </is>
      </c>
      <c r="K903" s="33" t="n">
        <v>14950.97</v>
      </c>
      <c r="L903" s="34" t="n"/>
    </row>
    <row r="904">
      <c r="A904" t="inlineStr">
        <is>
          <t>ENC115739</t>
        </is>
      </c>
      <c r="B904" t="inlineStr">
        <is>
          <t>PT10520</t>
        </is>
      </c>
      <c r="C904" t="inlineStr">
        <is>
          <t>Emergency</t>
        </is>
      </c>
      <c r="D904" t="inlineStr">
        <is>
          <t>F01</t>
        </is>
      </c>
      <c r="E904" t="inlineStr">
        <is>
          <t>D100</t>
        </is>
      </c>
      <c r="G904" s="32" t="n">
        <v>45816.36805555555</v>
      </c>
      <c r="H904" s="32" t="n">
        <v>45816.42847222222</v>
      </c>
      <c r="I904" t="inlineStr">
        <is>
          <t>M54.50</t>
        </is>
      </c>
      <c r="J904" t="inlineStr">
        <is>
          <t>PY02</t>
        </is>
      </c>
      <c r="K904" s="33" t="n">
        <v>645</v>
      </c>
      <c r="L904" s="34" t="n"/>
    </row>
    <row r="905">
      <c r="A905" t="inlineStr">
        <is>
          <t>ENC115744</t>
        </is>
      </c>
      <c r="B905" t="inlineStr">
        <is>
          <t>PT12378</t>
        </is>
      </c>
      <c r="C905" t="inlineStr">
        <is>
          <t>Inpatient</t>
        </is>
      </c>
      <c r="D905" t="inlineStr">
        <is>
          <t>F01</t>
        </is>
      </c>
      <c r="E905" t="inlineStr">
        <is>
          <t>D170</t>
        </is>
      </c>
      <c r="F905" t="inlineStr">
        <is>
          <t>Direct Admit</t>
        </is>
      </c>
      <c r="G905" s="32" t="n">
        <v>45816.57083333333</v>
      </c>
      <c r="H905" s="32" t="n">
        <v>45818.62777777778</v>
      </c>
      <c r="I905" t="inlineStr">
        <is>
          <t>O80</t>
        </is>
      </c>
      <c r="J905" t="inlineStr">
        <is>
          <t>PY04</t>
        </is>
      </c>
      <c r="K905" s="33" t="n">
        <v>22670.27</v>
      </c>
      <c r="L905" s="34" t="n"/>
    </row>
    <row r="906">
      <c r="A906" t="inlineStr">
        <is>
          <t>ENC115752</t>
        </is>
      </c>
      <c r="B906" t="inlineStr">
        <is>
          <t>PT10743</t>
        </is>
      </c>
      <c r="C906" t="inlineStr">
        <is>
          <t>Emergency</t>
        </is>
      </c>
      <c r="D906" t="inlineStr">
        <is>
          <t>F01</t>
        </is>
      </c>
      <c r="E906" t="inlineStr">
        <is>
          <t>D100</t>
        </is>
      </c>
      <c r="G906" s="32" t="n">
        <v>45816.73958333334</v>
      </c>
      <c r="H906" s="32" t="n">
        <v>45816.84722222222</v>
      </c>
      <c r="I906" t="inlineStr">
        <is>
          <t>E86.0</t>
        </is>
      </c>
      <c r="J906" t="inlineStr">
        <is>
          <t>PY02</t>
        </is>
      </c>
      <c r="K906" s="33" t="n">
        <v>2263.19</v>
      </c>
      <c r="L906" s="34" t="n"/>
    </row>
    <row r="907">
      <c r="A907" t="inlineStr">
        <is>
          <t>ENC115757</t>
        </is>
      </c>
      <c r="B907" t="inlineStr">
        <is>
          <t>PT10297</t>
        </is>
      </c>
      <c r="C907" t="inlineStr">
        <is>
          <t>Emergency</t>
        </is>
      </c>
      <c r="D907" t="inlineStr">
        <is>
          <t>F01</t>
        </is>
      </c>
      <c r="E907" t="inlineStr">
        <is>
          <t>D100</t>
        </is>
      </c>
      <c r="G907" s="32" t="n">
        <v>45816.93958333333</v>
      </c>
      <c r="H907" s="32" t="n">
        <v>45817.02847222222</v>
      </c>
      <c r="I907" t="inlineStr">
        <is>
          <t>E86.0</t>
        </is>
      </c>
      <c r="J907" t="inlineStr">
        <is>
          <t>PY02</t>
        </is>
      </c>
      <c r="K907" s="33" t="n">
        <v>1871.67</v>
      </c>
      <c r="L907" s="34" t="n"/>
    </row>
    <row r="908">
      <c r="A908" t="inlineStr">
        <is>
          <t>ENC115758</t>
        </is>
      </c>
      <c r="B908" t="inlineStr">
        <is>
          <t>PT13442</t>
        </is>
      </c>
      <c r="C908" t="inlineStr">
        <is>
          <t>Inpatient</t>
        </is>
      </c>
      <c r="D908" t="inlineStr">
        <is>
          <t>F02</t>
        </is>
      </c>
      <c r="E908" t="inlineStr">
        <is>
          <t>D210</t>
        </is>
      </c>
      <c r="F908" t="inlineStr">
        <is>
          <t>Emergency Department</t>
        </is>
      </c>
      <c r="G908" s="32" t="n">
        <v>45817.36736111111</v>
      </c>
      <c r="H908" s="32" t="n">
        <v>45819.68541666667</v>
      </c>
      <c r="I908" t="inlineStr">
        <is>
          <t>N17.9</t>
        </is>
      </c>
      <c r="J908" t="inlineStr">
        <is>
          <t>PY04</t>
        </is>
      </c>
      <c r="K908" s="33" t="n">
        <v>16889.52</v>
      </c>
      <c r="L908" s="34" t="n"/>
    </row>
    <row r="909">
      <c r="A909" t="inlineStr">
        <is>
          <t>ENC115767</t>
        </is>
      </c>
      <c r="B909" t="inlineStr">
        <is>
          <t>PT13925</t>
        </is>
      </c>
      <c r="C909" t="inlineStr">
        <is>
          <t>Outpatient</t>
        </is>
      </c>
      <c r="D909" t="inlineStr">
        <is>
          <t>F04</t>
        </is>
      </c>
      <c r="E909" t="inlineStr">
        <is>
          <t>D440</t>
        </is>
      </c>
      <c r="G909" s="32" t="n">
        <v>45817.41666666666</v>
      </c>
      <c r="H909" s="32" t="n">
        <v>45817.45486111111</v>
      </c>
      <c r="I909" t="inlineStr">
        <is>
          <t>E11.9</t>
        </is>
      </c>
      <c r="J909" t="inlineStr">
        <is>
          <t>PY01</t>
        </is>
      </c>
      <c r="K909" s="33" t="n">
        <v>368.66</v>
      </c>
      <c r="L909" s="34" t="n"/>
    </row>
    <row r="910">
      <c r="A910" t="inlineStr">
        <is>
          <t>ENC115772</t>
        </is>
      </c>
      <c r="B910" t="inlineStr">
        <is>
          <t>PT12583</t>
        </is>
      </c>
      <c r="C910" t="inlineStr">
        <is>
          <t>Outpatient</t>
        </is>
      </c>
      <c r="D910" t="inlineStr">
        <is>
          <t>F04</t>
        </is>
      </c>
      <c r="E910" t="inlineStr">
        <is>
          <t>D400</t>
        </is>
      </c>
      <c r="G910" s="32" t="n">
        <v>45817.46875</v>
      </c>
      <c r="H910" s="32" t="n">
        <v>45817.50347222222</v>
      </c>
      <c r="I910" t="inlineStr">
        <is>
          <t>Z00.00</t>
        </is>
      </c>
      <c r="J910" t="inlineStr">
        <is>
          <t>PY04</t>
        </is>
      </c>
      <c r="K910" s="33" t="n">
        <v>240.39</v>
      </c>
      <c r="L910" s="34" t="n"/>
    </row>
    <row r="911">
      <c r="A911" t="inlineStr">
        <is>
          <t>ENC115780</t>
        </is>
      </c>
      <c r="B911" t="inlineStr">
        <is>
          <t>PT11080</t>
        </is>
      </c>
      <c r="C911" t="inlineStr">
        <is>
          <t>Outpatient</t>
        </is>
      </c>
      <c r="D911" t="inlineStr">
        <is>
          <t>F04</t>
        </is>
      </c>
      <c r="E911" t="inlineStr">
        <is>
          <t>D400</t>
        </is>
      </c>
      <c r="G911" s="32" t="n">
        <v>45817.57291666666</v>
      </c>
      <c r="H911" s="32" t="n">
        <v>45817.58402777778</v>
      </c>
      <c r="I911" t="inlineStr">
        <is>
          <t>I10</t>
        </is>
      </c>
      <c r="J911" t="inlineStr">
        <is>
          <t>PY01</t>
        </is>
      </c>
      <c r="K911" s="33" t="n">
        <v>266.26</v>
      </c>
      <c r="L911" s="34" t="n"/>
    </row>
    <row r="912">
      <c r="A912" t="inlineStr">
        <is>
          <t>ENC115785</t>
        </is>
      </c>
      <c r="B912" t="inlineStr">
        <is>
          <t>PT11656</t>
        </is>
      </c>
      <c r="C912" t="inlineStr">
        <is>
          <t>Inpatient</t>
        </is>
      </c>
      <c r="D912" t="inlineStr">
        <is>
          <t>F01</t>
        </is>
      </c>
      <c r="E912" t="inlineStr">
        <is>
          <t>D110</t>
        </is>
      </c>
      <c r="F912" t="inlineStr">
        <is>
          <t>Direct Admit</t>
        </is>
      </c>
      <c r="G912" s="32" t="n">
        <v>45817.65763888889</v>
      </c>
      <c r="H912" s="32" t="n">
        <v>45827.53819444445</v>
      </c>
      <c r="I912" t="inlineStr">
        <is>
          <t>A41.9</t>
        </is>
      </c>
      <c r="J912" t="inlineStr">
        <is>
          <t>PY07</t>
        </is>
      </c>
      <c r="K912" s="33" t="n">
        <v>81062.64999999999</v>
      </c>
      <c r="L912" s="34" t="n"/>
    </row>
    <row r="913">
      <c r="A913" t="inlineStr">
        <is>
          <t>ENC115789</t>
        </is>
      </c>
      <c r="B913" t="inlineStr">
        <is>
          <t>PT11508</t>
        </is>
      </c>
      <c r="C913" t="inlineStr">
        <is>
          <t>Inpatient</t>
        </is>
      </c>
      <c r="D913" t="inlineStr">
        <is>
          <t>F01</t>
        </is>
      </c>
      <c r="E913" t="inlineStr">
        <is>
          <t>D160</t>
        </is>
      </c>
      <c r="F913" t="inlineStr">
        <is>
          <t>Emergency Department</t>
        </is>
      </c>
      <c r="G913" s="32" t="n">
        <v>45818.03194444445</v>
      </c>
      <c r="H913" s="32" t="n">
        <v>45821.5625</v>
      </c>
      <c r="I913" t="inlineStr">
        <is>
          <t>I63.9</t>
        </is>
      </c>
      <c r="J913" t="inlineStr">
        <is>
          <t>PY05</t>
        </is>
      </c>
      <c r="K913" s="33" t="n">
        <v>17099.58</v>
      </c>
      <c r="L913" s="34" t="n"/>
    </row>
    <row r="914">
      <c r="A914" t="inlineStr">
        <is>
          <t>ENC115795</t>
        </is>
      </c>
      <c r="B914" t="inlineStr">
        <is>
          <t>PT10911</t>
        </is>
      </c>
      <c r="C914" t="inlineStr">
        <is>
          <t>Outpatient</t>
        </is>
      </c>
      <c r="D914" t="inlineStr">
        <is>
          <t>F04</t>
        </is>
      </c>
      <c r="E914" t="inlineStr">
        <is>
          <t>D430</t>
        </is>
      </c>
      <c r="G914" s="32" t="n">
        <v>45818.39583333334</v>
      </c>
      <c r="H914" s="32" t="n">
        <v>45818.54097222222</v>
      </c>
      <c r="I914" t="inlineStr">
        <is>
          <t>Z51.11</t>
        </is>
      </c>
      <c r="J914" t="inlineStr">
        <is>
          <t>PY02</t>
        </is>
      </c>
      <c r="K914" s="33" t="n">
        <v>6485.66</v>
      </c>
      <c r="L914" s="34" t="n"/>
    </row>
    <row r="915">
      <c r="A915" t="inlineStr">
        <is>
          <t>ENC115801</t>
        </is>
      </c>
      <c r="B915" t="inlineStr">
        <is>
          <t>PT11401</t>
        </is>
      </c>
      <c r="C915" t="inlineStr">
        <is>
          <t>Emergency</t>
        </is>
      </c>
      <c r="D915" t="inlineStr">
        <is>
          <t>F03</t>
        </is>
      </c>
      <c r="E915" t="inlineStr">
        <is>
          <t>D300</t>
        </is>
      </c>
      <c r="G915" s="32" t="n">
        <v>45818.46736111111</v>
      </c>
      <c r="H915" s="32" t="n">
        <v>45818.58402777778</v>
      </c>
      <c r="I915" t="inlineStr">
        <is>
          <t>R10.9</t>
        </is>
      </c>
      <c r="J915" t="inlineStr">
        <is>
          <t>PY04</t>
        </is>
      </c>
      <c r="K915" s="33" t="n">
        <v>1509.08</v>
      </c>
      <c r="L915" s="34" t="n"/>
    </row>
    <row r="916">
      <c r="A916" t="inlineStr">
        <is>
          <t>ENC115807</t>
        </is>
      </c>
      <c r="B916" t="inlineStr">
        <is>
          <t>PT11581</t>
        </is>
      </c>
      <c r="C916" t="inlineStr">
        <is>
          <t>Outpatient</t>
        </is>
      </c>
      <c r="D916" t="inlineStr">
        <is>
          <t>F04</t>
        </is>
      </c>
      <c r="E916" t="inlineStr">
        <is>
          <t>D400</t>
        </is>
      </c>
      <c r="G916" s="32" t="n">
        <v>45818.48958333334</v>
      </c>
      <c r="H916" s="32" t="n">
        <v>45818.50486111111</v>
      </c>
      <c r="I916" t="inlineStr">
        <is>
          <t>I10</t>
        </is>
      </c>
      <c r="J916" t="inlineStr">
        <is>
          <t>PY01</t>
        </is>
      </c>
      <c r="K916" s="33" t="n">
        <v>384.1</v>
      </c>
      <c r="L916" s="34" t="n"/>
    </row>
    <row r="917">
      <c r="A917" t="inlineStr">
        <is>
          <t>ENC115812</t>
        </is>
      </c>
      <c r="B917" t="inlineStr">
        <is>
          <t>PT11725</t>
        </is>
      </c>
      <c r="C917" t="inlineStr">
        <is>
          <t>Outpatient</t>
        </is>
      </c>
      <c r="D917" t="inlineStr">
        <is>
          <t>F04</t>
        </is>
      </c>
      <c r="E917" t="inlineStr">
        <is>
          <t>D420</t>
        </is>
      </c>
      <c r="G917" s="32" t="n">
        <v>45818.59375</v>
      </c>
      <c r="H917" s="32" t="n">
        <v>45818.61388888889</v>
      </c>
      <c r="I917" t="inlineStr">
        <is>
          <t>M17.11</t>
        </is>
      </c>
      <c r="J917" t="inlineStr">
        <is>
          <t>PY04</t>
        </is>
      </c>
      <c r="K917" s="33" t="n">
        <v>362.38</v>
      </c>
      <c r="L917" s="34" t="n"/>
    </row>
    <row r="918">
      <c r="A918" t="inlineStr">
        <is>
          <t>ENC115818</t>
        </is>
      </c>
      <c r="B918" t="inlineStr">
        <is>
          <t>PT13480</t>
        </is>
      </c>
      <c r="C918" t="inlineStr">
        <is>
          <t>Emergency</t>
        </is>
      </c>
      <c r="D918" t="inlineStr">
        <is>
          <t>F01</t>
        </is>
      </c>
      <c r="E918" t="inlineStr">
        <is>
          <t>D100</t>
        </is>
      </c>
      <c r="G918" s="32" t="n">
        <v>45818.76875</v>
      </c>
      <c r="H918" s="32" t="n">
        <v>45818.88611111111</v>
      </c>
      <c r="I918" t="inlineStr">
        <is>
          <t>S93.401A</t>
        </is>
      </c>
      <c r="J918" t="inlineStr">
        <is>
          <t>PY06</t>
        </is>
      </c>
      <c r="K918" s="33" t="n">
        <v>1112.2</v>
      </c>
      <c r="L918" s="34" t="n"/>
    </row>
    <row r="919">
      <c r="A919" t="inlineStr">
        <is>
          <t>ENC115820</t>
        </is>
      </c>
      <c r="B919" t="inlineStr">
        <is>
          <t>PT13847</t>
        </is>
      </c>
      <c r="C919" t="inlineStr">
        <is>
          <t>Observation</t>
        </is>
      </c>
      <c r="D919" t="inlineStr">
        <is>
          <t>F03</t>
        </is>
      </c>
      <c r="E919" t="inlineStr">
        <is>
          <t>D310</t>
        </is>
      </c>
      <c r="F919" t="inlineStr">
        <is>
          <t>Emergency Department</t>
        </is>
      </c>
      <c r="G919" s="32" t="n">
        <v>45819.04097222222</v>
      </c>
      <c r="H919" s="32" t="n">
        <v>45819.97013888889</v>
      </c>
      <c r="I919" t="inlineStr">
        <is>
          <t>R07.9</t>
        </is>
      </c>
      <c r="J919" t="inlineStr">
        <is>
          <t>PY05</t>
        </is>
      </c>
      <c r="K919" s="33" t="n">
        <v>8395.559999999999</v>
      </c>
      <c r="L919" s="34" t="n"/>
    </row>
    <row r="920">
      <c r="A920" t="inlineStr">
        <is>
          <t>ENC115829</t>
        </is>
      </c>
      <c r="B920" t="inlineStr">
        <is>
          <t>PT10496</t>
        </is>
      </c>
      <c r="C920" t="inlineStr">
        <is>
          <t>Outpatient</t>
        </is>
      </c>
      <c r="D920" t="inlineStr">
        <is>
          <t>F04</t>
        </is>
      </c>
      <c r="E920" t="inlineStr">
        <is>
          <t>D430</t>
        </is>
      </c>
      <c r="G920" s="32" t="n">
        <v>45819.41666666666</v>
      </c>
      <c r="H920" s="32" t="n">
        <v>45819.52986111111</v>
      </c>
      <c r="I920" t="inlineStr">
        <is>
          <t>Z51.11</t>
        </is>
      </c>
      <c r="J920" t="inlineStr">
        <is>
          <t>PY02</t>
        </is>
      </c>
      <c r="K920" s="33" t="n">
        <v>16293.37</v>
      </c>
      <c r="L920" s="34" t="n"/>
    </row>
    <row r="921">
      <c r="A921" t="inlineStr">
        <is>
          <t>ENC115835</t>
        </is>
      </c>
      <c r="B921" t="inlineStr">
        <is>
          <t>PT11401</t>
        </is>
      </c>
      <c r="C921" t="inlineStr">
        <is>
          <t>Outpatient</t>
        </is>
      </c>
      <c r="D921" t="inlineStr">
        <is>
          <t>F04</t>
        </is>
      </c>
      <c r="E921" t="inlineStr">
        <is>
          <t>D400</t>
        </is>
      </c>
      <c r="G921" s="32" t="n">
        <v>45819.5</v>
      </c>
      <c r="H921" s="32" t="n">
        <v>45819.52847222222</v>
      </c>
      <c r="I921" t="inlineStr">
        <is>
          <t>J06.9</t>
        </is>
      </c>
      <c r="J921" t="inlineStr">
        <is>
          <t>PY04</t>
        </is>
      </c>
      <c r="K921" s="33" t="n">
        <v>354.44</v>
      </c>
      <c r="L921" s="34" t="n"/>
    </row>
    <row r="922">
      <c r="A922" t="inlineStr">
        <is>
          <t>ENC115840</t>
        </is>
      </c>
      <c r="B922" t="inlineStr">
        <is>
          <t>PT13167</t>
        </is>
      </c>
      <c r="C922" t="inlineStr">
        <is>
          <t>Outpatient</t>
        </is>
      </c>
      <c r="D922" t="inlineStr">
        <is>
          <t>F04</t>
        </is>
      </c>
      <c r="E922" t="inlineStr">
        <is>
          <t>D400</t>
        </is>
      </c>
      <c r="G922" s="32" t="n">
        <v>45819.57291666666</v>
      </c>
      <c r="H922" s="32" t="n">
        <v>45819.58472222222</v>
      </c>
      <c r="I922" t="inlineStr">
        <is>
          <t>Z00.00</t>
        </is>
      </c>
      <c r="J922" t="inlineStr">
        <is>
          <t>PY01</t>
        </is>
      </c>
      <c r="K922" s="33" t="n">
        <v>450.2</v>
      </c>
      <c r="L922" s="34" t="n"/>
    </row>
    <row r="923">
      <c r="A923" t="inlineStr">
        <is>
          <t>ENC115845</t>
        </is>
      </c>
      <c r="B923" t="inlineStr">
        <is>
          <t>PT10342</t>
        </is>
      </c>
      <c r="C923" t="inlineStr">
        <is>
          <t>Emergency</t>
        </is>
      </c>
      <c r="D923" t="inlineStr">
        <is>
          <t>F01</t>
        </is>
      </c>
      <c r="E923" t="inlineStr">
        <is>
          <t>D100</t>
        </is>
      </c>
      <c r="G923" s="32" t="n">
        <v>45819.75069444445</v>
      </c>
      <c r="H923" s="32" t="n">
        <v>45819.87916666667</v>
      </c>
      <c r="I923" t="inlineStr">
        <is>
          <t>R07.9</t>
        </is>
      </c>
      <c r="J923" t="inlineStr">
        <is>
          <t>PY05</t>
        </is>
      </c>
      <c r="K923" s="33" t="n">
        <v>2822.84</v>
      </c>
      <c r="L923" s="34" t="n"/>
    </row>
    <row r="924">
      <c r="A924" t="inlineStr">
        <is>
          <t>ENC115849</t>
        </is>
      </c>
      <c r="B924" t="inlineStr">
        <is>
          <t>PT10576</t>
        </is>
      </c>
      <c r="C924" t="inlineStr">
        <is>
          <t>Inpatient</t>
        </is>
      </c>
      <c r="D924" t="inlineStr">
        <is>
          <t>F01</t>
        </is>
      </c>
      <c r="E924" t="inlineStr">
        <is>
          <t>D110</t>
        </is>
      </c>
      <c r="F924" t="inlineStr">
        <is>
          <t>Emergency Department</t>
        </is>
      </c>
      <c r="G924" s="32" t="n">
        <v>45819.97083333333</v>
      </c>
      <c r="H924" s="32" t="n">
        <v>45823.58125</v>
      </c>
      <c r="I924" t="inlineStr">
        <is>
          <t>U07.1</t>
        </is>
      </c>
      <c r="J924" t="inlineStr">
        <is>
          <t>PY06</t>
        </is>
      </c>
      <c r="K924" s="33" t="n">
        <v>19092.37</v>
      </c>
      <c r="L924" s="34" t="n"/>
    </row>
    <row r="925">
      <c r="A925" t="inlineStr">
        <is>
          <t>ENC115856</t>
        </is>
      </c>
      <c r="B925" t="inlineStr">
        <is>
          <t>PT13857</t>
        </is>
      </c>
      <c r="C925" t="inlineStr">
        <is>
          <t>Emergency</t>
        </is>
      </c>
      <c r="D925" t="inlineStr">
        <is>
          <t>F01</t>
        </is>
      </c>
      <c r="E925" t="inlineStr">
        <is>
          <t>D100</t>
        </is>
      </c>
      <c r="G925" s="32" t="n">
        <v>45820.26597222222</v>
      </c>
      <c r="H925" s="32" t="n">
        <v>45820.32638888889</v>
      </c>
      <c r="I925" t="inlineStr">
        <is>
          <t>S93.401A</t>
        </is>
      </c>
      <c r="J925" t="inlineStr">
        <is>
          <t>PY06</t>
        </is>
      </c>
      <c r="K925" s="33" t="n">
        <v>1089.84</v>
      </c>
      <c r="L925" s="34" t="n"/>
    </row>
    <row r="926">
      <c r="A926" t="inlineStr">
        <is>
          <t>ENC115861</t>
        </is>
      </c>
      <c r="B926" t="inlineStr">
        <is>
          <t>PT13631</t>
        </is>
      </c>
      <c r="C926" t="inlineStr">
        <is>
          <t>Outpatient</t>
        </is>
      </c>
      <c r="D926" t="inlineStr">
        <is>
          <t>F04</t>
        </is>
      </c>
      <c r="E926" t="inlineStr">
        <is>
          <t>D440</t>
        </is>
      </c>
      <c r="G926" s="32" t="n">
        <v>45820.375</v>
      </c>
      <c r="H926" s="32" t="n">
        <v>45820.40069444444</v>
      </c>
      <c r="I926" t="inlineStr">
        <is>
          <t>E11.9</t>
        </is>
      </c>
      <c r="J926" t="inlineStr">
        <is>
          <t>PY02</t>
        </is>
      </c>
      <c r="K926" s="33" t="n">
        <v>320.79</v>
      </c>
      <c r="L926" s="34" t="n"/>
    </row>
    <row r="927">
      <c r="A927" t="inlineStr">
        <is>
          <t>ENC115868</t>
        </is>
      </c>
      <c r="B927" t="inlineStr">
        <is>
          <t>PT13841</t>
        </is>
      </c>
      <c r="C927" t="inlineStr">
        <is>
          <t>Outpatient</t>
        </is>
      </c>
      <c r="D927" t="inlineStr">
        <is>
          <t>F04</t>
        </is>
      </c>
      <c r="E927" t="inlineStr">
        <is>
          <t>D440</t>
        </is>
      </c>
      <c r="G927" s="32" t="n">
        <v>45820.4375</v>
      </c>
      <c r="H927" s="32" t="n">
        <v>45820.46597222222</v>
      </c>
      <c r="I927" t="inlineStr">
        <is>
          <t>E11.65</t>
        </is>
      </c>
      <c r="J927" t="inlineStr">
        <is>
          <t>PY02</t>
        </is>
      </c>
      <c r="K927" s="33" t="n">
        <v>224.92</v>
      </c>
      <c r="L927" s="34" t="n"/>
    </row>
    <row r="928">
      <c r="A928" t="inlineStr">
        <is>
          <t>ENC115864</t>
        </is>
      </c>
      <c r="B928" t="inlineStr">
        <is>
          <t>PT10970</t>
        </is>
      </c>
      <c r="C928" t="inlineStr">
        <is>
          <t>Observation</t>
        </is>
      </c>
      <c r="D928" t="inlineStr">
        <is>
          <t>F01</t>
        </is>
      </c>
      <c r="E928" t="inlineStr">
        <is>
          <t>D195</t>
        </is>
      </c>
      <c r="F928" t="inlineStr">
        <is>
          <t>Emergency Department</t>
        </is>
      </c>
      <c r="G928" s="32" t="n">
        <v>45820.57569444444</v>
      </c>
      <c r="H928" s="32" t="n">
        <v>45821.16597222222</v>
      </c>
      <c r="I928" t="inlineStr">
        <is>
          <t>J45.909</t>
        </is>
      </c>
      <c r="J928" t="inlineStr">
        <is>
          <t>PY04</t>
        </is>
      </c>
      <c r="K928" s="33" t="n">
        <v>7623.02</v>
      </c>
      <c r="L928" s="34" t="n"/>
    </row>
    <row r="929">
      <c r="A929" t="inlineStr">
        <is>
          <t>ENC115880</t>
        </is>
      </c>
      <c r="B929" t="inlineStr">
        <is>
          <t>PT12410</t>
        </is>
      </c>
      <c r="C929" t="inlineStr">
        <is>
          <t>Outpatient</t>
        </is>
      </c>
      <c r="D929" t="inlineStr">
        <is>
          <t>F04</t>
        </is>
      </c>
      <c r="E929" t="inlineStr">
        <is>
          <t>D400</t>
        </is>
      </c>
      <c r="G929" s="32" t="n">
        <v>45820.63541666666</v>
      </c>
      <c r="H929" s="32" t="n">
        <v>45820.65694444445</v>
      </c>
      <c r="I929" t="inlineStr">
        <is>
          <t>G43.909</t>
        </is>
      </c>
      <c r="J929" t="inlineStr">
        <is>
          <t>PY05</t>
        </is>
      </c>
      <c r="K929" s="33" t="n">
        <v>320.15</v>
      </c>
      <c r="L929" s="34" t="n"/>
    </row>
    <row r="930">
      <c r="A930" t="inlineStr">
        <is>
          <t>ENC115881</t>
        </is>
      </c>
      <c r="B930" t="inlineStr">
        <is>
          <t>PT11300</t>
        </is>
      </c>
      <c r="C930" t="inlineStr">
        <is>
          <t>Observation</t>
        </is>
      </c>
      <c r="D930" t="inlineStr">
        <is>
          <t>F01</t>
        </is>
      </c>
      <c r="E930" t="inlineStr">
        <is>
          <t>D195</t>
        </is>
      </c>
      <c r="F930" t="inlineStr">
        <is>
          <t>Emergency Department</t>
        </is>
      </c>
      <c r="G930" s="32" t="n">
        <v>45820.74930555555</v>
      </c>
      <c r="H930" s="32" t="n">
        <v>45821.50625</v>
      </c>
      <c r="I930" t="inlineStr">
        <is>
          <t>J18.9</t>
        </is>
      </c>
      <c r="J930" t="inlineStr">
        <is>
          <t>PY04</t>
        </is>
      </c>
      <c r="K930" s="33" t="n">
        <v>4371.44</v>
      </c>
      <c r="L930" s="34" t="n"/>
    </row>
    <row r="931">
      <c r="A931" t="inlineStr">
        <is>
          <t>ENC115889</t>
        </is>
      </c>
      <c r="B931" t="inlineStr">
        <is>
          <t>PT13135</t>
        </is>
      </c>
      <c r="C931" t="inlineStr">
        <is>
          <t>Emergency</t>
        </is>
      </c>
      <c r="D931" t="inlineStr">
        <is>
          <t>F03</t>
        </is>
      </c>
      <c r="E931" t="inlineStr">
        <is>
          <t>D300</t>
        </is>
      </c>
      <c r="G931" s="32" t="n">
        <v>45821.03125</v>
      </c>
      <c r="H931" s="32" t="n">
        <v>45821.2125</v>
      </c>
      <c r="I931" t="inlineStr">
        <is>
          <t>R07.9</t>
        </is>
      </c>
      <c r="J931" t="inlineStr">
        <is>
          <t>PY06</t>
        </is>
      </c>
      <c r="K931" s="33" t="n">
        <v>3049.19</v>
      </c>
      <c r="L931" s="34" t="n"/>
    </row>
    <row r="932">
      <c r="A932" t="inlineStr">
        <is>
          <t>ENC115895</t>
        </is>
      </c>
      <c r="B932" t="inlineStr">
        <is>
          <t>PT12214</t>
        </is>
      </c>
      <c r="C932" t="inlineStr">
        <is>
          <t>Outpatient</t>
        </is>
      </c>
      <c r="D932" t="inlineStr">
        <is>
          <t>F04</t>
        </is>
      </c>
      <c r="E932" t="inlineStr">
        <is>
          <t>D400</t>
        </is>
      </c>
      <c r="G932" s="32" t="n">
        <v>45821.41666666666</v>
      </c>
      <c r="H932" s="32" t="n">
        <v>45821.44930555556</v>
      </c>
      <c r="I932" t="inlineStr">
        <is>
          <t>J06.9</t>
        </is>
      </c>
      <c r="J932" t="inlineStr">
        <is>
          <t>PY06</t>
        </is>
      </c>
      <c r="K932" s="33" t="n">
        <v>252.95</v>
      </c>
      <c r="L932" s="34" t="n"/>
    </row>
    <row r="933">
      <c r="A933" t="inlineStr">
        <is>
          <t>ENC115900</t>
        </is>
      </c>
      <c r="B933" t="inlineStr">
        <is>
          <t>PT10820</t>
        </is>
      </c>
      <c r="C933" t="inlineStr">
        <is>
          <t>Outpatient</t>
        </is>
      </c>
      <c r="D933" t="inlineStr">
        <is>
          <t>F04</t>
        </is>
      </c>
      <c r="E933" t="inlineStr">
        <is>
          <t>D400</t>
        </is>
      </c>
      <c r="G933" s="32" t="n">
        <v>45821.5</v>
      </c>
      <c r="H933" s="32" t="n">
        <v>45821.51180555556</v>
      </c>
      <c r="I933" t="inlineStr">
        <is>
          <t>G43.909</t>
        </is>
      </c>
      <c r="J933" t="inlineStr">
        <is>
          <t>PY02</t>
        </is>
      </c>
      <c r="K933" s="33" t="n">
        <v>229.76</v>
      </c>
      <c r="L933" s="34" t="n"/>
    </row>
    <row r="934">
      <c r="A934" t="inlineStr">
        <is>
          <t>ENC115907</t>
        </is>
      </c>
      <c r="B934" t="inlineStr">
        <is>
          <t>PT10129</t>
        </is>
      </c>
      <c r="C934" t="inlineStr">
        <is>
          <t>Emergency</t>
        </is>
      </c>
      <c r="D934" t="inlineStr">
        <is>
          <t>F02</t>
        </is>
      </c>
      <c r="E934" t="inlineStr">
        <is>
          <t>D200</t>
        </is>
      </c>
      <c r="G934" s="32" t="n">
        <v>45821.75486111111</v>
      </c>
      <c r="H934" s="32" t="n">
        <v>45821.89236111111</v>
      </c>
      <c r="I934" t="inlineStr">
        <is>
          <t>N39.0</t>
        </is>
      </c>
      <c r="J934" t="inlineStr">
        <is>
          <t>PY05</t>
        </is>
      </c>
      <c r="K934" s="33" t="n">
        <v>3216.79</v>
      </c>
      <c r="L934" s="34" t="n"/>
    </row>
    <row r="935">
      <c r="A935" t="inlineStr">
        <is>
          <t>ENC115914</t>
        </is>
      </c>
      <c r="B935" t="inlineStr">
        <is>
          <t>PT12274</t>
        </is>
      </c>
      <c r="C935" t="inlineStr">
        <is>
          <t>Emergency</t>
        </is>
      </c>
      <c r="D935" t="inlineStr">
        <is>
          <t>F03</t>
        </is>
      </c>
      <c r="E935" t="inlineStr">
        <is>
          <t>D300</t>
        </is>
      </c>
      <c r="G935" s="32" t="n">
        <v>45821.92638888889</v>
      </c>
      <c r="H935" s="32" t="n">
        <v>45822.05</v>
      </c>
      <c r="I935" t="inlineStr">
        <is>
          <t>R07.9</t>
        </is>
      </c>
      <c r="J935" t="inlineStr">
        <is>
          <t>PY03</t>
        </is>
      </c>
      <c r="K935" s="33" t="n">
        <v>3674</v>
      </c>
      <c r="L935" s="34" t="n"/>
    </row>
    <row r="936">
      <c r="A936" t="inlineStr">
        <is>
          <t>ENC115912</t>
        </is>
      </c>
      <c r="B936" t="inlineStr">
        <is>
          <t>PT11444</t>
        </is>
      </c>
      <c r="C936" t="inlineStr">
        <is>
          <t>Observation</t>
        </is>
      </c>
      <c r="D936" t="inlineStr">
        <is>
          <t>F01</t>
        </is>
      </c>
      <c r="E936" t="inlineStr">
        <is>
          <t>D195</t>
        </is>
      </c>
      <c r="F936" t="inlineStr">
        <is>
          <t>Emergency Department</t>
        </is>
      </c>
      <c r="G936" s="32" t="n">
        <v>45822.06944444445</v>
      </c>
      <c r="H936" s="32" t="n">
        <v>45823.09652777778</v>
      </c>
      <c r="I936" t="inlineStr">
        <is>
          <t>I48.91</t>
        </is>
      </c>
      <c r="J936" t="inlineStr">
        <is>
          <t>PY03</t>
        </is>
      </c>
      <c r="K936" s="33" t="n">
        <v>5382.93</v>
      </c>
      <c r="L936" s="34" t="n"/>
    </row>
    <row r="937">
      <c r="A937" t="inlineStr">
        <is>
          <t>ENC115923</t>
        </is>
      </c>
      <c r="B937" t="inlineStr">
        <is>
          <t>PT12604</t>
        </is>
      </c>
      <c r="C937" t="inlineStr">
        <is>
          <t>Emergency</t>
        </is>
      </c>
      <c r="D937" t="inlineStr">
        <is>
          <t>F01</t>
        </is>
      </c>
      <c r="E937" t="inlineStr">
        <is>
          <t>D100</t>
        </is>
      </c>
      <c r="G937" s="32" t="n">
        <v>45822.35347222222</v>
      </c>
      <c r="H937" s="32" t="n">
        <v>45822.45</v>
      </c>
      <c r="I937" t="inlineStr">
        <is>
          <t>J06.9</t>
        </is>
      </c>
      <c r="J937" t="inlineStr">
        <is>
          <t>PY04</t>
        </is>
      </c>
      <c r="K937" s="33" t="n">
        <v>566.72</v>
      </c>
      <c r="L937" s="34" t="n"/>
    </row>
    <row r="938">
      <c r="A938" t="inlineStr">
        <is>
          <t>ENC115931</t>
        </is>
      </c>
      <c r="B938" t="inlineStr">
        <is>
          <t>PT10104</t>
        </is>
      </c>
      <c r="C938" t="inlineStr">
        <is>
          <t>Emergency</t>
        </is>
      </c>
      <c r="D938" t="inlineStr">
        <is>
          <t>F03</t>
        </is>
      </c>
      <c r="E938" t="inlineStr">
        <is>
          <t>D300</t>
        </is>
      </c>
      <c r="G938" s="32" t="n">
        <v>45822.59236111111</v>
      </c>
      <c r="H938" s="32" t="n">
        <v>45822.93472222222</v>
      </c>
      <c r="I938" t="inlineStr">
        <is>
          <t>U07.1</t>
        </is>
      </c>
      <c r="J938" t="inlineStr">
        <is>
          <t>PY03</t>
        </is>
      </c>
      <c r="K938" s="33" t="n">
        <v>5551.63</v>
      </c>
      <c r="L938" s="34" t="n"/>
    </row>
    <row r="939">
      <c r="A939" t="inlineStr">
        <is>
          <t>ENC115936</t>
        </is>
      </c>
      <c r="B939" t="inlineStr">
        <is>
          <t>PT13361</t>
        </is>
      </c>
      <c r="C939" t="inlineStr">
        <is>
          <t>Emergency</t>
        </is>
      </c>
      <c r="D939" t="inlineStr">
        <is>
          <t>F02</t>
        </is>
      </c>
      <c r="E939" t="inlineStr">
        <is>
          <t>D200</t>
        </is>
      </c>
      <c r="G939" s="32" t="n">
        <v>45822.82083333333</v>
      </c>
      <c r="H939" s="32" t="n">
        <v>45822.99027777778</v>
      </c>
      <c r="I939" t="inlineStr">
        <is>
          <t>S93.401A</t>
        </is>
      </c>
      <c r="J939" t="inlineStr">
        <is>
          <t>PY05</t>
        </is>
      </c>
      <c r="K939" s="33" t="n">
        <v>1382.77</v>
      </c>
      <c r="L939" s="34" t="n"/>
    </row>
    <row r="940">
      <c r="A940" t="inlineStr">
        <is>
          <t>ENC115939</t>
        </is>
      </c>
      <c r="B940" t="inlineStr">
        <is>
          <t>PT13011</t>
        </is>
      </c>
      <c r="C940" t="inlineStr">
        <is>
          <t>Inpatient</t>
        </is>
      </c>
      <c r="D940" t="inlineStr">
        <is>
          <t>F01</t>
        </is>
      </c>
      <c r="E940" t="inlineStr">
        <is>
          <t>D110</t>
        </is>
      </c>
      <c r="F940" t="inlineStr">
        <is>
          <t>Emergency Department</t>
        </is>
      </c>
      <c r="G940" s="32" t="n">
        <v>45822.97986111111</v>
      </c>
      <c r="H940" s="32" t="n">
        <v>45826.63680555556</v>
      </c>
      <c r="I940" t="inlineStr">
        <is>
          <t>L03.115</t>
        </is>
      </c>
      <c r="J940" t="inlineStr">
        <is>
          <t>PY06</t>
        </is>
      </c>
      <c r="K940" s="33" t="n">
        <v>13643.04</v>
      </c>
      <c r="L940" s="34" t="n"/>
    </row>
    <row r="941">
      <c r="A941" t="inlineStr">
        <is>
          <t>ENC115945</t>
        </is>
      </c>
      <c r="B941" t="inlineStr">
        <is>
          <t>PT10389</t>
        </is>
      </c>
      <c r="C941" t="inlineStr">
        <is>
          <t>Emergency</t>
        </is>
      </c>
      <c r="D941" t="inlineStr">
        <is>
          <t>F01</t>
        </is>
      </c>
      <c r="E941" t="inlineStr">
        <is>
          <t>D100</t>
        </is>
      </c>
      <c r="G941" s="32" t="n">
        <v>45823.57708333333</v>
      </c>
      <c r="H941" s="32" t="n">
        <v>45823.71875</v>
      </c>
      <c r="I941" t="inlineStr">
        <is>
          <t>G40.909</t>
        </is>
      </c>
      <c r="J941" t="inlineStr">
        <is>
          <t>PY02</t>
        </is>
      </c>
      <c r="K941" s="33" t="n">
        <v>4210.64</v>
      </c>
      <c r="L941" s="34" t="n"/>
    </row>
    <row r="942">
      <c r="A942" t="inlineStr">
        <is>
          <t>ENC115946</t>
        </is>
      </c>
      <c r="B942" t="inlineStr">
        <is>
          <t>PT13490</t>
        </is>
      </c>
      <c r="C942" t="inlineStr">
        <is>
          <t>Inpatient</t>
        </is>
      </c>
      <c r="D942" t="inlineStr">
        <is>
          <t>F01</t>
        </is>
      </c>
      <c r="E942" t="inlineStr">
        <is>
          <t>D110</t>
        </is>
      </c>
      <c r="F942" t="inlineStr">
        <is>
          <t>Emergency Department</t>
        </is>
      </c>
      <c r="G942" s="32" t="n">
        <v>45823.77638888889</v>
      </c>
      <c r="H942" s="32" t="n">
        <v>45829.62708333333</v>
      </c>
      <c r="I942" t="inlineStr">
        <is>
          <t>N17.9</t>
        </is>
      </c>
      <c r="J942" t="inlineStr">
        <is>
          <t>PY02</t>
        </is>
      </c>
      <c r="K942" s="33" t="n">
        <v>20380.24</v>
      </c>
      <c r="L942" s="34" t="n"/>
    </row>
    <row r="943">
      <c r="A943" t="inlineStr">
        <is>
          <t>ENC115956</t>
        </is>
      </c>
      <c r="B943" t="inlineStr">
        <is>
          <t>PT10714</t>
        </is>
      </c>
      <c r="C943" t="inlineStr">
        <is>
          <t>Emergency</t>
        </is>
      </c>
      <c r="D943" t="inlineStr">
        <is>
          <t>F01</t>
        </is>
      </c>
      <c r="E943" t="inlineStr">
        <is>
          <t>D100</t>
        </is>
      </c>
      <c r="G943" s="32" t="n">
        <v>45824.10902777778</v>
      </c>
      <c r="H943" s="32" t="n">
        <v>45824.21597222222</v>
      </c>
      <c r="I943" t="inlineStr">
        <is>
          <t>R55</t>
        </is>
      </c>
      <c r="J943" t="inlineStr">
        <is>
          <t>PY01</t>
        </is>
      </c>
      <c r="K943" s="33" t="n">
        <v>2275.07</v>
      </c>
      <c r="L943" s="34" t="n"/>
    </row>
    <row r="944">
      <c r="A944" t="inlineStr">
        <is>
          <t>ENC115962</t>
        </is>
      </c>
      <c r="B944" t="inlineStr">
        <is>
          <t>PT10941</t>
        </is>
      </c>
      <c r="C944" t="inlineStr">
        <is>
          <t>Emergency</t>
        </is>
      </c>
      <c r="D944" t="inlineStr">
        <is>
          <t>F01</t>
        </is>
      </c>
      <c r="E944" t="inlineStr">
        <is>
          <t>D100</t>
        </is>
      </c>
      <c r="G944" s="32" t="n">
        <v>45824.37430555555</v>
      </c>
      <c r="H944" s="32" t="n">
        <v>45824.43194444444</v>
      </c>
      <c r="I944" t="inlineStr">
        <is>
          <t>S06.0X0A</t>
        </is>
      </c>
      <c r="J944" t="inlineStr">
        <is>
          <t>PY01</t>
        </is>
      </c>
      <c r="K944" s="33" t="n">
        <v>1151.04</v>
      </c>
      <c r="L944" s="34" t="n"/>
    </row>
    <row r="945">
      <c r="A945" t="inlineStr">
        <is>
          <t>ENC115967</t>
        </is>
      </c>
      <c r="B945" t="inlineStr">
        <is>
          <t>PT10529</t>
        </is>
      </c>
      <c r="C945" t="inlineStr">
        <is>
          <t>Emergency</t>
        </is>
      </c>
      <c r="D945" t="inlineStr">
        <is>
          <t>F01</t>
        </is>
      </c>
      <c r="E945" t="inlineStr">
        <is>
          <t>D100</t>
        </is>
      </c>
      <c r="G945" s="32" t="n">
        <v>45824.43402777778</v>
      </c>
      <c r="H945" s="32" t="n">
        <v>45824.57986111111</v>
      </c>
      <c r="I945" t="inlineStr">
        <is>
          <t>N39.0</t>
        </is>
      </c>
      <c r="J945" t="inlineStr">
        <is>
          <t>PY01</t>
        </is>
      </c>
      <c r="K945" s="33" t="n">
        <v>2213.22</v>
      </c>
      <c r="L945" s="34" t="n"/>
    </row>
    <row r="946">
      <c r="A946" t="inlineStr">
        <is>
          <t>ENC115973</t>
        </is>
      </c>
      <c r="B946" t="inlineStr">
        <is>
          <t>PT11005</t>
        </is>
      </c>
      <c r="C946" t="inlineStr">
        <is>
          <t>Outpatient</t>
        </is>
      </c>
      <c r="D946" t="inlineStr">
        <is>
          <t>F04</t>
        </is>
      </c>
      <c r="E946" t="inlineStr">
        <is>
          <t>D450</t>
        </is>
      </c>
      <c r="G946" s="32" t="n">
        <v>45824.54166666666</v>
      </c>
      <c r="H946" s="32" t="n">
        <v>45824.56388888889</v>
      </c>
      <c r="I946" t="inlineStr">
        <is>
          <t>Z00.129</t>
        </is>
      </c>
      <c r="J946" t="inlineStr">
        <is>
          <t>PY05</t>
        </is>
      </c>
      <c r="K946" s="33" t="n">
        <v>245.55</v>
      </c>
      <c r="L946" s="34" t="n"/>
    </row>
    <row r="947">
      <c r="A947" t="inlineStr">
        <is>
          <t>ENC115980</t>
        </is>
      </c>
      <c r="B947" t="inlineStr">
        <is>
          <t>PT10993</t>
        </is>
      </c>
      <c r="C947" t="inlineStr">
        <is>
          <t>Outpatient</t>
        </is>
      </c>
      <c r="D947" t="inlineStr">
        <is>
          <t>F04</t>
        </is>
      </c>
      <c r="E947" t="inlineStr">
        <is>
          <t>D450</t>
        </is>
      </c>
      <c r="G947" s="32" t="n">
        <v>45824.59375</v>
      </c>
      <c r="H947" s="32" t="n">
        <v>45824.60902777778</v>
      </c>
      <c r="I947" t="inlineStr">
        <is>
          <t>Z00.129</t>
        </is>
      </c>
      <c r="J947" t="inlineStr">
        <is>
          <t>PY06</t>
        </is>
      </c>
      <c r="K947" s="33" t="n">
        <v>278.68</v>
      </c>
      <c r="L947" s="34" t="n"/>
    </row>
    <row r="948">
      <c r="A948" t="inlineStr">
        <is>
          <t>ENC115986</t>
        </is>
      </c>
      <c r="B948" t="inlineStr">
        <is>
          <t>PT10285</t>
        </is>
      </c>
      <c r="C948" t="inlineStr">
        <is>
          <t>Emergency</t>
        </is>
      </c>
      <c r="D948" t="inlineStr">
        <is>
          <t>F01</t>
        </is>
      </c>
      <c r="E948" t="inlineStr">
        <is>
          <t>D100</t>
        </is>
      </c>
      <c r="G948" s="32" t="n">
        <v>45824.70138888889</v>
      </c>
      <c r="H948" s="32" t="n">
        <v>45824.78958333333</v>
      </c>
      <c r="I948" t="inlineStr">
        <is>
          <t>G43.909</t>
        </is>
      </c>
      <c r="J948" t="inlineStr">
        <is>
          <t>PY01</t>
        </is>
      </c>
      <c r="K948" s="33" t="n">
        <v>504.34</v>
      </c>
      <c r="L948" s="34" t="n"/>
    </row>
    <row r="949">
      <c r="A949" t="inlineStr">
        <is>
          <t>ENC115990</t>
        </is>
      </c>
      <c r="B949" t="inlineStr">
        <is>
          <t>PT12444</t>
        </is>
      </c>
      <c r="C949" t="inlineStr">
        <is>
          <t>Emergency</t>
        </is>
      </c>
      <c r="D949" t="inlineStr">
        <is>
          <t>F03</t>
        </is>
      </c>
      <c r="E949" t="inlineStr">
        <is>
          <t>D300</t>
        </is>
      </c>
      <c r="G949" s="32" t="n">
        <v>45825.32152777778</v>
      </c>
      <c r="H949" s="32" t="n">
        <v>45825.47361111111</v>
      </c>
      <c r="I949" t="inlineStr">
        <is>
          <t>E86.0</t>
        </is>
      </c>
      <c r="J949" t="inlineStr">
        <is>
          <t>PY04</t>
        </is>
      </c>
      <c r="K949" s="33" t="n">
        <v>2828.39</v>
      </c>
      <c r="L949" s="34" t="n"/>
    </row>
    <row r="950">
      <c r="A950" t="inlineStr">
        <is>
          <t>ENC115995</t>
        </is>
      </c>
      <c r="B950" t="inlineStr">
        <is>
          <t>PT12475</t>
        </is>
      </c>
      <c r="C950" t="inlineStr">
        <is>
          <t>Outpatient</t>
        </is>
      </c>
      <c r="D950" t="inlineStr">
        <is>
          <t>F04</t>
        </is>
      </c>
      <c r="E950" t="inlineStr">
        <is>
          <t>D430</t>
        </is>
      </c>
      <c r="G950" s="32" t="n">
        <v>45825.375</v>
      </c>
      <c r="H950" s="32" t="n">
        <v>45825.51111111111</v>
      </c>
      <c r="I950" t="inlineStr">
        <is>
          <t>Z51.11</t>
        </is>
      </c>
      <c r="J950" t="inlineStr">
        <is>
          <t>PY03</t>
        </is>
      </c>
      <c r="K950" s="33" t="n">
        <v>15244.74</v>
      </c>
      <c r="L950" s="34" t="n"/>
    </row>
    <row r="951">
      <c r="A951" t="inlineStr">
        <is>
          <t>ENC116002</t>
        </is>
      </c>
      <c r="B951" t="inlineStr">
        <is>
          <t>PT12539</t>
        </is>
      </c>
      <c r="C951" t="inlineStr">
        <is>
          <t>Outpatient</t>
        </is>
      </c>
      <c r="D951" t="inlineStr">
        <is>
          <t>F04</t>
        </is>
      </c>
      <c r="E951" t="inlineStr">
        <is>
          <t>D400</t>
        </is>
      </c>
      <c r="G951" s="32" t="n">
        <v>45825.47916666666</v>
      </c>
      <c r="H951" s="32" t="n">
        <v>45825.51597222222</v>
      </c>
      <c r="I951" t="inlineStr">
        <is>
          <t>Z00.00</t>
        </is>
      </c>
      <c r="J951" t="inlineStr">
        <is>
          <t>PY05</t>
        </is>
      </c>
      <c r="K951" s="33" t="n">
        <v>275.48</v>
      </c>
      <c r="L951" s="34" t="n"/>
    </row>
    <row r="952">
      <c r="A952" t="inlineStr">
        <is>
          <t>ENC116007</t>
        </is>
      </c>
      <c r="B952" t="inlineStr">
        <is>
          <t>PT10643</t>
        </is>
      </c>
      <c r="C952" t="inlineStr">
        <is>
          <t>Outpatient</t>
        </is>
      </c>
      <c r="D952" t="inlineStr">
        <is>
          <t>F04</t>
        </is>
      </c>
      <c r="E952" t="inlineStr">
        <is>
          <t>D450</t>
        </is>
      </c>
      <c r="G952" s="32" t="n">
        <v>45825.5625</v>
      </c>
      <c r="H952" s="32" t="n">
        <v>45825.57430555556</v>
      </c>
      <c r="I952" t="inlineStr">
        <is>
          <t>Z00.129</t>
        </is>
      </c>
      <c r="J952" t="inlineStr">
        <is>
          <t>PY04</t>
        </is>
      </c>
      <c r="K952" s="33" t="n">
        <v>344.21</v>
      </c>
      <c r="L952" s="34" t="n"/>
    </row>
    <row r="953">
      <c r="A953" t="inlineStr">
        <is>
          <t>ENC116013</t>
        </is>
      </c>
      <c r="B953" t="inlineStr">
        <is>
          <t>PT12049</t>
        </is>
      </c>
      <c r="C953" t="inlineStr">
        <is>
          <t>Outpatient</t>
        </is>
      </c>
      <c r="D953" t="inlineStr">
        <is>
          <t>F04</t>
        </is>
      </c>
      <c r="E953" t="inlineStr">
        <is>
          <t>D410</t>
        </is>
      </c>
      <c r="G953" s="32" t="n">
        <v>45825.67708333334</v>
      </c>
      <c r="H953" s="32" t="n">
        <v>45825.69375</v>
      </c>
      <c r="I953" t="inlineStr">
        <is>
          <t>I50.9</t>
        </is>
      </c>
      <c r="J953" t="inlineStr">
        <is>
          <t>PY01</t>
        </is>
      </c>
      <c r="K953" s="33" t="n">
        <v>252.88</v>
      </c>
      <c r="L953" s="34" t="n"/>
    </row>
    <row r="954">
      <c r="A954" t="inlineStr">
        <is>
          <t>ENC116015</t>
        </is>
      </c>
      <c r="B954" t="inlineStr">
        <is>
          <t>PT10388</t>
        </is>
      </c>
      <c r="C954" t="inlineStr">
        <is>
          <t>Observation</t>
        </is>
      </c>
      <c r="D954" t="inlineStr">
        <is>
          <t>F01</t>
        </is>
      </c>
      <c r="E954" t="inlineStr">
        <is>
          <t>D195</t>
        </is>
      </c>
      <c r="F954" t="inlineStr">
        <is>
          <t>Emergency Department</t>
        </is>
      </c>
      <c r="G954" s="32" t="n">
        <v>45825.85069444445</v>
      </c>
      <c r="H954" s="32" t="n">
        <v>45827.36111111111</v>
      </c>
      <c r="I954" t="inlineStr">
        <is>
          <t>R07.9</t>
        </is>
      </c>
      <c r="J954" t="inlineStr">
        <is>
          <t>PY01</t>
        </is>
      </c>
      <c r="K954" s="33" t="n">
        <v>10173.93</v>
      </c>
      <c r="L954" s="34" t="n"/>
    </row>
    <row r="955">
      <c r="A955" t="inlineStr">
        <is>
          <t>ENC116023</t>
        </is>
      </c>
      <c r="B955" t="inlineStr">
        <is>
          <t>PT10493</t>
        </is>
      </c>
      <c r="C955" t="inlineStr">
        <is>
          <t>Emergency</t>
        </is>
      </c>
      <c r="D955" t="inlineStr">
        <is>
          <t>F01</t>
        </is>
      </c>
      <c r="E955" t="inlineStr">
        <is>
          <t>D100</t>
        </is>
      </c>
      <c r="G955" s="32" t="n">
        <v>45826.13263888889</v>
      </c>
      <c r="H955" s="32" t="n">
        <v>45826.22569444445</v>
      </c>
      <c r="I955" t="inlineStr">
        <is>
          <t>F41.9</t>
        </is>
      </c>
      <c r="J955" t="inlineStr">
        <is>
          <t>PY05</t>
        </is>
      </c>
      <c r="K955" s="33" t="n">
        <v>2167.22</v>
      </c>
      <c r="L955" s="34" t="n"/>
    </row>
    <row r="956">
      <c r="A956" t="inlineStr">
        <is>
          <t>ENC116031</t>
        </is>
      </c>
      <c r="B956" t="inlineStr">
        <is>
          <t>PT11076</t>
        </is>
      </c>
      <c r="C956" t="inlineStr">
        <is>
          <t>Emergency</t>
        </is>
      </c>
      <c r="D956" t="inlineStr">
        <is>
          <t>F01</t>
        </is>
      </c>
      <c r="E956" t="inlineStr">
        <is>
          <t>D100</t>
        </is>
      </c>
      <c r="G956" s="32" t="n">
        <v>45826.46111111111</v>
      </c>
      <c r="H956" s="32" t="n">
        <v>45826.62847222222</v>
      </c>
      <c r="I956" t="inlineStr">
        <is>
          <t>G40.909</t>
        </is>
      </c>
      <c r="J956" t="inlineStr">
        <is>
          <t>PY06</t>
        </is>
      </c>
      <c r="K956" s="33" t="n">
        <v>4638.05</v>
      </c>
      <c r="L956" s="34" t="n"/>
    </row>
    <row r="957">
      <c r="A957" t="inlineStr">
        <is>
          <t>ENC116035</t>
        </is>
      </c>
      <c r="B957" t="inlineStr">
        <is>
          <t>PT11130</t>
        </is>
      </c>
      <c r="C957" t="inlineStr">
        <is>
          <t>Outpatient</t>
        </is>
      </c>
      <c r="D957" t="inlineStr">
        <is>
          <t>F04</t>
        </is>
      </c>
      <c r="E957" t="inlineStr">
        <is>
          <t>D410</t>
        </is>
      </c>
      <c r="G957" s="32" t="n">
        <v>45826.52083333334</v>
      </c>
      <c r="H957" s="32" t="n">
        <v>45826.54513888889</v>
      </c>
      <c r="I957" t="inlineStr">
        <is>
          <t>I48.91</t>
        </is>
      </c>
      <c r="J957" t="inlineStr">
        <is>
          <t>PY02</t>
        </is>
      </c>
      <c r="K957" s="33" t="n">
        <v>344.7</v>
      </c>
      <c r="L957" s="34" t="n"/>
    </row>
    <row r="958">
      <c r="A958" t="inlineStr">
        <is>
          <t>ENC116043</t>
        </is>
      </c>
      <c r="B958" t="inlineStr">
        <is>
          <t>PT10885</t>
        </is>
      </c>
      <c r="C958" t="inlineStr">
        <is>
          <t>Outpatient</t>
        </is>
      </c>
      <c r="D958" t="inlineStr">
        <is>
          <t>F04</t>
        </is>
      </c>
      <c r="E958" t="inlineStr">
        <is>
          <t>D400</t>
        </is>
      </c>
      <c r="G958" s="32" t="n">
        <v>45826.625</v>
      </c>
      <c r="H958" s="32" t="n">
        <v>45826.64722222222</v>
      </c>
      <c r="I958" t="inlineStr">
        <is>
          <t>E78.5</t>
        </is>
      </c>
      <c r="J958" t="inlineStr">
        <is>
          <t>PY06</t>
        </is>
      </c>
      <c r="K958" s="33" t="n">
        <v>188.21</v>
      </c>
      <c r="L958" s="34" t="n"/>
    </row>
    <row r="959">
      <c r="A959" t="inlineStr">
        <is>
          <t>ENC116050</t>
        </is>
      </c>
      <c r="B959" t="inlineStr">
        <is>
          <t>PT13682</t>
        </is>
      </c>
      <c r="C959" t="inlineStr">
        <is>
          <t>Outpatient</t>
        </is>
      </c>
      <c r="D959" t="inlineStr">
        <is>
          <t>F04</t>
        </is>
      </c>
      <c r="E959" t="inlineStr">
        <is>
          <t>D400</t>
        </is>
      </c>
      <c r="G959" s="32" t="n">
        <v>45826.65625</v>
      </c>
      <c r="H959" s="32" t="n">
        <v>45826.67291666667</v>
      </c>
      <c r="I959" t="inlineStr">
        <is>
          <t>Z00.00</t>
        </is>
      </c>
      <c r="J959" t="inlineStr">
        <is>
          <t>PY03</t>
        </is>
      </c>
      <c r="K959" s="33" t="n">
        <v>348.08</v>
      </c>
      <c r="L959" s="34" t="n"/>
    </row>
    <row r="960">
      <c r="A960" t="inlineStr">
        <is>
          <t>ENC116044</t>
        </is>
      </c>
      <c r="B960" t="inlineStr">
        <is>
          <t>PT12683</t>
        </is>
      </c>
      <c r="C960" t="inlineStr">
        <is>
          <t>Inpatient</t>
        </is>
      </c>
      <c r="D960" t="inlineStr">
        <is>
          <t>F01</t>
        </is>
      </c>
      <c r="E960" t="inlineStr">
        <is>
          <t>D160</t>
        </is>
      </c>
      <c r="F960" t="inlineStr">
        <is>
          <t>Emergency Department</t>
        </is>
      </c>
      <c r="G960" s="32" t="n">
        <v>45826.77083333334</v>
      </c>
      <c r="H960" s="32" t="n">
        <v>45830.47777777778</v>
      </c>
      <c r="I960" t="inlineStr">
        <is>
          <t>I63.9</t>
        </is>
      </c>
      <c r="J960" t="inlineStr">
        <is>
          <t>PY01</t>
        </is>
      </c>
      <c r="K960" s="33" t="n">
        <v>15798.31</v>
      </c>
      <c r="L960" s="34" t="n"/>
    </row>
    <row r="961">
      <c r="A961" t="inlineStr">
        <is>
          <t>ENC116058</t>
        </is>
      </c>
      <c r="B961" t="inlineStr">
        <is>
          <t>PT12977</t>
        </is>
      </c>
      <c r="C961" t="inlineStr">
        <is>
          <t>Outpatient</t>
        </is>
      </c>
      <c r="D961" t="inlineStr">
        <is>
          <t>F04</t>
        </is>
      </c>
      <c r="E961" t="inlineStr">
        <is>
          <t>D410</t>
        </is>
      </c>
      <c r="G961" s="32" t="n">
        <v>45827.35416666666</v>
      </c>
      <c r="H961" s="32" t="n">
        <v>45827.39027777778</v>
      </c>
      <c r="I961" t="inlineStr">
        <is>
          <t>I50.9</t>
        </is>
      </c>
      <c r="J961" t="inlineStr">
        <is>
          <t>PY01</t>
        </is>
      </c>
      <c r="K961" s="33" t="n">
        <v>170.07</v>
      </c>
      <c r="L961" s="34" t="n"/>
    </row>
    <row r="962">
      <c r="A962" t="inlineStr">
        <is>
          <t>ENC116063</t>
        </is>
      </c>
      <c r="B962" t="inlineStr">
        <is>
          <t>PT12502</t>
        </is>
      </c>
      <c r="C962" t="inlineStr">
        <is>
          <t>Outpatient</t>
        </is>
      </c>
      <c r="D962" t="inlineStr">
        <is>
          <t>F04</t>
        </is>
      </c>
      <c r="E962" t="inlineStr">
        <is>
          <t>D400</t>
        </is>
      </c>
      <c r="G962" s="32" t="n">
        <v>45827.47916666666</v>
      </c>
      <c r="H962" s="32" t="n">
        <v>45827.50416666667</v>
      </c>
      <c r="I962" t="inlineStr">
        <is>
          <t>Z00.00</t>
        </is>
      </c>
      <c r="J962" t="inlineStr">
        <is>
          <t>PY01</t>
        </is>
      </c>
      <c r="K962" s="33" t="n">
        <v>317.7</v>
      </c>
      <c r="L962" s="34" t="n"/>
    </row>
    <row r="963">
      <c r="A963" t="inlineStr">
        <is>
          <t>ENC116069</t>
        </is>
      </c>
      <c r="B963" t="inlineStr">
        <is>
          <t>PT12955</t>
        </is>
      </c>
      <c r="C963" t="inlineStr">
        <is>
          <t>Outpatient</t>
        </is>
      </c>
      <c r="D963" t="inlineStr">
        <is>
          <t>F04</t>
        </is>
      </c>
      <c r="E963" t="inlineStr">
        <is>
          <t>D400</t>
        </is>
      </c>
      <c r="G963" s="32" t="n">
        <v>45827.52083333334</v>
      </c>
      <c r="H963" s="32" t="n">
        <v>45827.55625</v>
      </c>
      <c r="I963" t="inlineStr">
        <is>
          <t>Z00.00</t>
        </is>
      </c>
      <c r="J963" t="inlineStr">
        <is>
          <t>PY02</t>
        </is>
      </c>
      <c r="K963" s="33" t="n">
        <v>248.02</v>
      </c>
      <c r="L963" s="34" t="n"/>
    </row>
    <row r="964">
      <c r="A964" t="inlineStr">
        <is>
          <t>ENC116076</t>
        </is>
      </c>
      <c r="B964" t="inlineStr">
        <is>
          <t>PT10030</t>
        </is>
      </c>
      <c r="C964" t="inlineStr">
        <is>
          <t>Outpatient</t>
        </is>
      </c>
      <c r="D964" t="inlineStr">
        <is>
          <t>F04</t>
        </is>
      </c>
      <c r="E964" t="inlineStr">
        <is>
          <t>D400</t>
        </is>
      </c>
      <c r="G964" s="32" t="n">
        <v>45827.60416666666</v>
      </c>
      <c r="H964" s="32" t="n">
        <v>45827.61597222222</v>
      </c>
      <c r="I964" t="inlineStr">
        <is>
          <t>Z00.00</t>
        </is>
      </c>
      <c r="J964" t="inlineStr">
        <is>
          <t>PY01</t>
        </is>
      </c>
      <c r="K964" s="33" t="n">
        <v>325.39</v>
      </c>
      <c r="L964" s="34" t="n"/>
    </row>
    <row r="965">
      <c r="A965" t="inlineStr">
        <is>
          <t>ENC116081</t>
        </is>
      </c>
      <c r="B965" t="inlineStr">
        <is>
          <t>PT12422</t>
        </is>
      </c>
      <c r="C965" t="inlineStr">
        <is>
          <t>Outpatient</t>
        </is>
      </c>
      <c r="D965" t="inlineStr">
        <is>
          <t>F04</t>
        </is>
      </c>
      <c r="E965" t="inlineStr">
        <is>
          <t>D400</t>
        </is>
      </c>
      <c r="G965" s="32" t="n">
        <v>45827.65625</v>
      </c>
      <c r="H965" s="32" t="n">
        <v>45827.68125</v>
      </c>
      <c r="I965" t="inlineStr">
        <is>
          <t>J44.1</t>
        </is>
      </c>
      <c r="J965" t="inlineStr">
        <is>
          <t>PY03</t>
        </is>
      </c>
      <c r="K965" s="33" t="n">
        <v>357.54</v>
      </c>
      <c r="L965" s="34" t="n"/>
    </row>
    <row r="966">
      <c r="A966" t="inlineStr">
        <is>
          <t>ENC116075</t>
        </is>
      </c>
      <c r="B966" t="inlineStr">
        <is>
          <t>PT12543</t>
        </is>
      </c>
      <c r="C966" t="inlineStr">
        <is>
          <t>Inpatient</t>
        </is>
      </c>
      <c r="D966" t="inlineStr">
        <is>
          <t>F01</t>
        </is>
      </c>
      <c r="E966" t="inlineStr">
        <is>
          <t>D150</t>
        </is>
      </c>
      <c r="F966" t="inlineStr">
        <is>
          <t>Emergency Department</t>
        </is>
      </c>
      <c r="G966" s="32" t="n">
        <v>45827.73611111111</v>
      </c>
      <c r="H966" s="32" t="n">
        <v>45832.62013888889</v>
      </c>
      <c r="I966" t="inlineStr">
        <is>
          <t>C34.90</t>
        </is>
      </c>
      <c r="J966" t="inlineStr">
        <is>
          <t>PY02</t>
        </is>
      </c>
      <c r="K966" s="33" t="n">
        <v>27899.47</v>
      </c>
      <c r="L966" s="34" t="n"/>
    </row>
    <row r="967">
      <c r="A967" t="inlineStr">
        <is>
          <t>ENC116094</t>
        </is>
      </c>
      <c r="B967" t="inlineStr">
        <is>
          <t>PT13357</t>
        </is>
      </c>
      <c r="C967" t="inlineStr">
        <is>
          <t>Emergency</t>
        </is>
      </c>
      <c r="D967" t="inlineStr">
        <is>
          <t>F01</t>
        </is>
      </c>
      <c r="E967" t="inlineStr">
        <is>
          <t>D100</t>
        </is>
      </c>
      <c r="G967" s="32" t="n">
        <v>45827.98472222222</v>
      </c>
      <c r="H967" s="32" t="n">
        <v>45828.08541666667</v>
      </c>
      <c r="I967" t="inlineStr">
        <is>
          <t>R10.9</t>
        </is>
      </c>
      <c r="J967" t="inlineStr">
        <is>
          <t>PY03</t>
        </is>
      </c>
      <c r="K967" s="33" t="n">
        <v>2531.4</v>
      </c>
      <c r="L967" s="34" t="n"/>
    </row>
    <row r="968">
      <c r="A968" t="inlineStr">
        <is>
          <t>ENC116090</t>
        </is>
      </c>
      <c r="B968" t="inlineStr">
        <is>
          <t>PT10551</t>
        </is>
      </c>
      <c r="C968" t="inlineStr">
        <is>
          <t>Observation</t>
        </is>
      </c>
      <c r="D968" t="inlineStr">
        <is>
          <t>F01</t>
        </is>
      </c>
      <c r="E968" t="inlineStr">
        <is>
          <t>D195</t>
        </is>
      </c>
      <c r="F968" t="inlineStr">
        <is>
          <t>Emergency Department</t>
        </is>
      </c>
      <c r="G968" s="32" t="n">
        <v>45828.06388888889</v>
      </c>
      <c r="H968" s="32" t="n">
        <v>45828.67152777778</v>
      </c>
      <c r="I968" t="inlineStr">
        <is>
          <t>J44.1</t>
        </is>
      </c>
      <c r="J968" t="inlineStr">
        <is>
          <t>PY06</t>
        </is>
      </c>
      <c r="K968" s="33" t="n">
        <v>6997</v>
      </c>
      <c r="L968" s="34" t="n"/>
    </row>
    <row r="969">
      <c r="A969" t="inlineStr">
        <is>
          <t>ENC116101</t>
        </is>
      </c>
      <c r="B969" t="inlineStr">
        <is>
          <t>PT10767</t>
        </is>
      </c>
      <c r="C969" t="inlineStr">
        <is>
          <t>Emergency</t>
        </is>
      </c>
      <c r="D969" t="inlineStr">
        <is>
          <t>F02</t>
        </is>
      </c>
      <c r="E969" t="inlineStr">
        <is>
          <t>D200</t>
        </is>
      </c>
      <c r="G969" s="32" t="n">
        <v>45828.35416666666</v>
      </c>
      <c r="H969" s="32" t="n">
        <v>45828.51666666667</v>
      </c>
      <c r="I969" t="inlineStr">
        <is>
          <t>M54.50</t>
        </is>
      </c>
      <c r="J969" t="inlineStr">
        <is>
          <t>PY04</t>
        </is>
      </c>
      <c r="K969" s="33" t="n">
        <v>3996.01</v>
      </c>
      <c r="L969" s="34" t="n"/>
    </row>
    <row r="970">
      <c r="A970" t="inlineStr">
        <is>
          <t>ENC116108</t>
        </is>
      </c>
      <c r="B970" t="inlineStr">
        <is>
          <t>PT10621</t>
        </is>
      </c>
      <c r="C970" t="inlineStr">
        <is>
          <t>Outpatient</t>
        </is>
      </c>
      <c r="D970" t="inlineStr">
        <is>
          <t>F04</t>
        </is>
      </c>
      <c r="E970" t="inlineStr">
        <is>
          <t>D450</t>
        </is>
      </c>
      <c r="G970" s="32" t="n">
        <v>45828.47916666666</v>
      </c>
      <c r="H970" s="32" t="n">
        <v>45828.49097222222</v>
      </c>
      <c r="I970" t="inlineStr">
        <is>
          <t>H66.90</t>
        </is>
      </c>
      <c r="J970" t="inlineStr">
        <is>
          <t>PY03</t>
        </is>
      </c>
      <c r="K970" s="33" t="n">
        <v>444.69</v>
      </c>
      <c r="L970" s="34" t="n"/>
    </row>
    <row r="971">
      <c r="A971" t="inlineStr">
        <is>
          <t>ENC116113</t>
        </is>
      </c>
      <c r="B971" t="inlineStr">
        <is>
          <t>PT10181</t>
        </is>
      </c>
      <c r="C971" t="inlineStr">
        <is>
          <t>Emergency</t>
        </is>
      </c>
      <c r="D971" t="inlineStr">
        <is>
          <t>F03</t>
        </is>
      </c>
      <c r="E971" t="inlineStr">
        <is>
          <t>D300</t>
        </is>
      </c>
      <c r="G971" s="32" t="n">
        <v>45828.52291666667</v>
      </c>
      <c r="H971" s="32" t="n">
        <v>45828.72916666666</v>
      </c>
      <c r="I971" t="inlineStr">
        <is>
          <t>R55</t>
        </is>
      </c>
      <c r="J971" t="inlineStr">
        <is>
          <t>PY04</t>
        </is>
      </c>
      <c r="K971" s="33" t="n">
        <v>2870.37</v>
      </c>
      <c r="L971" s="34" t="n"/>
    </row>
    <row r="972">
      <c r="A972" t="inlineStr">
        <is>
          <t>ENC116119</t>
        </is>
      </c>
      <c r="B972" t="inlineStr">
        <is>
          <t>PT11154</t>
        </is>
      </c>
      <c r="C972" t="inlineStr">
        <is>
          <t>Outpatient</t>
        </is>
      </c>
      <c r="D972" t="inlineStr">
        <is>
          <t>F04</t>
        </is>
      </c>
      <c r="E972" t="inlineStr">
        <is>
          <t>D440</t>
        </is>
      </c>
      <c r="G972" s="32" t="n">
        <v>45828.63541666666</v>
      </c>
      <c r="H972" s="32" t="n">
        <v>45828.66180555556</v>
      </c>
      <c r="I972" t="inlineStr">
        <is>
          <t>E11.9</t>
        </is>
      </c>
      <c r="J972" t="inlineStr">
        <is>
          <t>PY02</t>
        </is>
      </c>
      <c r="K972" s="33" t="n">
        <v>164.67</v>
      </c>
      <c r="L972" s="34" t="n"/>
    </row>
    <row r="973">
      <c r="A973" t="inlineStr">
        <is>
          <t>ENC116123</t>
        </is>
      </c>
      <c r="B973" t="inlineStr">
        <is>
          <t>PT13738</t>
        </is>
      </c>
      <c r="C973" t="inlineStr">
        <is>
          <t>Emergency</t>
        </is>
      </c>
      <c r="D973" t="inlineStr">
        <is>
          <t>F01</t>
        </is>
      </c>
      <c r="E973" t="inlineStr">
        <is>
          <t>D100</t>
        </is>
      </c>
      <c r="G973" s="32" t="n">
        <v>45828.74305555555</v>
      </c>
      <c r="H973" s="32" t="n">
        <v>45828.89027777778</v>
      </c>
      <c r="I973" t="inlineStr">
        <is>
          <t>R55</t>
        </is>
      </c>
      <c r="J973" t="inlineStr">
        <is>
          <t>PY03</t>
        </is>
      </c>
      <c r="K973" s="33" t="n">
        <v>2194.42</v>
      </c>
      <c r="L973" s="34" t="n"/>
    </row>
    <row r="974">
      <c r="A974" t="inlineStr">
        <is>
          <t>ENC116129</t>
        </is>
      </c>
      <c r="B974" t="inlineStr">
        <is>
          <t>PT10037</t>
        </is>
      </c>
      <c r="C974" t="inlineStr">
        <is>
          <t>Inpatient</t>
        </is>
      </c>
      <c r="D974" t="inlineStr">
        <is>
          <t>F03</t>
        </is>
      </c>
      <c r="E974" t="inlineStr">
        <is>
          <t>D310</t>
        </is>
      </c>
      <c r="F974" t="inlineStr">
        <is>
          <t>Emergency Department</t>
        </is>
      </c>
      <c r="G974" s="32" t="n">
        <v>45829.28402777778</v>
      </c>
      <c r="H974" s="32" t="n">
        <v>45831.61527777778</v>
      </c>
      <c r="I974" t="inlineStr">
        <is>
          <t>J44.1</t>
        </is>
      </c>
      <c r="J974" t="inlineStr">
        <is>
          <t>PY02</t>
        </is>
      </c>
      <c r="K974" s="33" t="n">
        <v>13840.33</v>
      </c>
      <c r="L974" s="34" t="n"/>
    </row>
    <row r="975">
      <c r="A975" t="inlineStr">
        <is>
          <t>ENC116135</t>
        </is>
      </c>
      <c r="B975" t="inlineStr">
        <is>
          <t>PT12317</t>
        </is>
      </c>
      <c r="C975" t="inlineStr">
        <is>
          <t>Emergency</t>
        </is>
      </c>
      <c r="D975" t="inlineStr">
        <is>
          <t>F02</t>
        </is>
      </c>
      <c r="E975" t="inlineStr">
        <is>
          <t>D200</t>
        </is>
      </c>
      <c r="G975" s="32" t="n">
        <v>45829.69444444445</v>
      </c>
      <c r="H975" s="32" t="n">
        <v>45829.77847222222</v>
      </c>
      <c r="I975" t="inlineStr">
        <is>
          <t>A08.4</t>
        </is>
      </c>
      <c r="J975" t="inlineStr">
        <is>
          <t>PY02</t>
        </is>
      </c>
      <c r="K975" s="33" t="n">
        <v>1412.54</v>
      </c>
      <c r="L975" s="34" t="n"/>
    </row>
    <row r="976">
      <c r="A976" t="inlineStr">
        <is>
          <t>ENC116137</t>
        </is>
      </c>
      <c r="B976" t="inlineStr">
        <is>
          <t>PT12823</t>
        </is>
      </c>
      <c r="C976" t="inlineStr">
        <is>
          <t>Inpatient</t>
        </is>
      </c>
      <c r="D976" t="inlineStr">
        <is>
          <t>F01</t>
        </is>
      </c>
      <c r="E976" t="inlineStr">
        <is>
          <t>D120</t>
        </is>
      </c>
      <c r="F976" t="inlineStr">
        <is>
          <t>Emergency Department</t>
        </is>
      </c>
      <c r="G976" s="32" t="n">
        <v>45829.92847222222</v>
      </c>
      <c r="H976" s="32" t="n">
        <v>45836.55763888889</v>
      </c>
      <c r="I976" t="inlineStr">
        <is>
          <t>I50.9</t>
        </is>
      </c>
      <c r="J976" t="inlineStr">
        <is>
          <t>PY04</t>
        </is>
      </c>
      <c r="K976" s="33" t="n">
        <v>73062.89999999999</v>
      </c>
      <c r="L976" s="34" t="n"/>
    </row>
    <row r="977">
      <c r="A977" t="inlineStr">
        <is>
          <t>ENC116146</t>
        </is>
      </c>
      <c r="B977" t="inlineStr">
        <is>
          <t>PT13783</t>
        </is>
      </c>
      <c r="C977" t="inlineStr">
        <is>
          <t>Emergency</t>
        </is>
      </c>
      <c r="D977" t="inlineStr">
        <is>
          <t>F01</t>
        </is>
      </c>
      <c r="E977" t="inlineStr">
        <is>
          <t>D100</t>
        </is>
      </c>
      <c r="G977" s="32" t="n">
        <v>45830.38611111111</v>
      </c>
      <c r="H977" s="32" t="n">
        <v>45830.54027777778</v>
      </c>
      <c r="I977" t="inlineStr">
        <is>
          <t>N39.0</t>
        </is>
      </c>
      <c r="J977" t="inlineStr">
        <is>
          <t>PY03</t>
        </is>
      </c>
      <c r="K977" s="33" t="n">
        <v>3156.04</v>
      </c>
      <c r="L977" s="34" t="n"/>
    </row>
    <row r="978">
      <c r="A978" t="inlineStr">
        <is>
          <t>ENC116147</t>
        </is>
      </c>
      <c r="B978" t="inlineStr">
        <is>
          <t>PT13735</t>
        </is>
      </c>
      <c r="C978" t="inlineStr">
        <is>
          <t>Inpatient</t>
        </is>
      </c>
      <c r="D978" t="inlineStr">
        <is>
          <t>F01</t>
        </is>
      </c>
      <c r="E978" t="inlineStr">
        <is>
          <t>D190</t>
        </is>
      </c>
      <c r="F978" t="inlineStr">
        <is>
          <t>Emergency Department</t>
        </is>
      </c>
      <c r="G978" s="32" t="n">
        <v>45830.56736111111</v>
      </c>
      <c r="H978" s="32" t="n">
        <v>45834.53541666667</v>
      </c>
      <c r="I978" t="inlineStr">
        <is>
          <t>F32.9</t>
        </is>
      </c>
      <c r="J978" t="inlineStr">
        <is>
          <t>PY06</t>
        </is>
      </c>
      <c r="K978" s="33" t="n">
        <v>10972.27</v>
      </c>
      <c r="L978" s="34" t="n"/>
    </row>
    <row r="979">
      <c r="A979" t="inlineStr">
        <is>
          <t>ENC116159</t>
        </is>
      </c>
      <c r="B979" t="inlineStr">
        <is>
          <t>PT13868</t>
        </is>
      </c>
      <c r="C979" t="inlineStr">
        <is>
          <t>Emergency</t>
        </is>
      </c>
      <c r="D979" t="inlineStr">
        <is>
          <t>F01</t>
        </is>
      </c>
      <c r="E979" t="inlineStr">
        <is>
          <t>D100</t>
        </is>
      </c>
      <c r="G979" s="32" t="n">
        <v>45830.8125</v>
      </c>
      <c r="H979" s="32" t="n">
        <v>45830.90277777778</v>
      </c>
      <c r="I979" t="inlineStr">
        <is>
          <t>S93.401A</t>
        </is>
      </c>
      <c r="J979" t="inlineStr">
        <is>
          <t>PY01</t>
        </is>
      </c>
      <c r="K979" s="33" t="n">
        <v>845.79</v>
      </c>
      <c r="L979" s="34" t="n"/>
    </row>
    <row r="980">
      <c r="A980" t="inlineStr">
        <is>
          <t>ENC116160</t>
        </is>
      </c>
      <c r="B980" t="inlineStr">
        <is>
          <t>PT13249</t>
        </is>
      </c>
      <c r="C980" t="inlineStr">
        <is>
          <t>Inpatient</t>
        </is>
      </c>
      <c r="D980" t="inlineStr">
        <is>
          <t>F01</t>
        </is>
      </c>
      <c r="E980" t="inlineStr">
        <is>
          <t>D150</t>
        </is>
      </c>
      <c r="F980" t="inlineStr">
        <is>
          <t>Emergency Department</t>
        </is>
      </c>
      <c r="G980" s="32" t="n">
        <v>45831.01180555556</v>
      </c>
      <c r="H980" s="32" t="n">
        <v>45836.64652777778</v>
      </c>
      <c r="I980" t="inlineStr">
        <is>
          <t>D70.1</t>
        </is>
      </c>
      <c r="J980" t="inlineStr">
        <is>
          <t>PY02</t>
        </is>
      </c>
      <c r="K980" s="33" t="n">
        <v>32411.44</v>
      </c>
      <c r="L980" s="34" t="n"/>
    </row>
    <row r="981">
      <c r="A981" t="inlineStr">
        <is>
          <t>ENC116169</t>
        </is>
      </c>
      <c r="B981" t="inlineStr">
        <is>
          <t>PT12549</t>
        </is>
      </c>
      <c r="C981" t="inlineStr">
        <is>
          <t>Emergency</t>
        </is>
      </c>
      <c r="D981" t="inlineStr">
        <is>
          <t>F01</t>
        </is>
      </c>
      <c r="E981" t="inlineStr">
        <is>
          <t>D100</t>
        </is>
      </c>
      <c r="G981" s="32" t="n">
        <v>45831.31319444445</v>
      </c>
      <c r="H981" s="32" t="n">
        <v>45831.42222222222</v>
      </c>
      <c r="I981" t="inlineStr">
        <is>
          <t>R10.9</t>
        </is>
      </c>
      <c r="J981" t="inlineStr">
        <is>
          <t>PY01</t>
        </is>
      </c>
      <c r="K981" s="33" t="n">
        <v>1124.15</v>
      </c>
      <c r="L981" s="34" t="n"/>
    </row>
    <row r="982">
      <c r="A982" t="inlineStr">
        <is>
          <t>ENC116176</t>
        </is>
      </c>
      <c r="B982" t="inlineStr">
        <is>
          <t>PT12681</t>
        </is>
      </c>
      <c r="C982" t="inlineStr">
        <is>
          <t>Outpatient</t>
        </is>
      </c>
      <c r="D982" t="inlineStr">
        <is>
          <t>F04</t>
        </is>
      </c>
      <c r="E982" t="inlineStr">
        <is>
          <t>D400</t>
        </is>
      </c>
      <c r="G982" s="32" t="n">
        <v>45831.40625</v>
      </c>
      <c r="H982" s="32" t="n">
        <v>45831.44097222222</v>
      </c>
      <c r="I982" t="inlineStr">
        <is>
          <t>I10</t>
        </is>
      </c>
      <c r="J982" t="inlineStr">
        <is>
          <t>PY05</t>
        </is>
      </c>
      <c r="K982" s="33" t="n">
        <v>135.78</v>
      </c>
      <c r="L982" s="34" t="n"/>
    </row>
    <row r="983">
      <c r="A983" t="inlineStr">
        <is>
          <t>ENC116180</t>
        </is>
      </c>
      <c r="B983" t="inlineStr">
        <is>
          <t>PT12096</t>
        </is>
      </c>
      <c r="C983" t="inlineStr">
        <is>
          <t>Outpatient</t>
        </is>
      </c>
      <c r="D983" t="inlineStr">
        <is>
          <t>F04</t>
        </is>
      </c>
      <c r="E983" t="inlineStr">
        <is>
          <t>D450</t>
        </is>
      </c>
      <c r="G983" s="32" t="n">
        <v>45831.48958333334</v>
      </c>
      <c r="H983" s="32" t="n">
        <v>45831.52777777778</v>
      </c>
      <c r="I983" t="inlineStr">
        <is>
          <t>Z00.129</t>
        </is>
      </c>
      <c r="J983" t="inlineStr">
        <is>
          <t>PY04</t>
        </is>
      </c>
      <c r="K983" s="33" t="n">
        <v>376.18</v>
      </c>
      <c r="L983" s="34" t="n"/>
    </row>
    <row r="984">
      <c r="A984" t="inlineStr">
        <is>
          <t>ENC116185</t>
        </is>
      </c>
      <c r="B984" t="inlineStr">
        <is>
          <t>PT12888</t>
        </is>
      </c>
      <c r="C984" t="inlineStr">
        <is>
          <t>Outpatient</t>
        </is>
      </c>
      <c r="D984" t="inlineStr">
        <is>
          <t>F04</t>
        </is>
      </c>
      <c r="E984" t="inlineStr">
        <is>
          <t>D400</t>
        </is>
      </c>
      <c r="G984" s="32" t="n">
        <v>45831.54166666666</v>
      </c>
      <c r="H984" s="32" t="n">
        <v>45831.57013888889</v>
      </c>
      <c r="I984" t="inlineStr">
        <is>
          <t>I10</t>
        </is>
      </c>
      <c r="J984" t="inlineStr">
        <is>
          <t>PY05</t>
        </is>
      </c>
      <c r="K984" s="33" t="n">
        <v>356.61</v>
      </c>
      <c r="L984" s="34" t="n"/>
    </row>
    <row r="985">
      <c r="A985" t="inlineStr">
        <is>
          <t>ENC116187</t>
        </is>
      </c>
      <c r="B985" t="inlineStr">
        <is>
          <t>PT11959</t>
        </is>
      </c>
      <c r="C985" t="inlineStr">
        <is>
          <t>Inpatient</t>
        </is>
      </c>
      <c r="D985" t="inlineStr">
        <is>
          <t>F01</t>
        </is>
      </c>
      <c r="E985" t="inlineStr">
        <is>
          <t>D160</t>
        </is>
      </c>
      <c r="F985" t="inlineStr">
        <is>
          <t>Emergency Department</t>
        </is>
      </c>
      <c r="G985" s="32" t="n">
        <v>45831.63819444444</v>
      </c>
      <c r="H985" s="32" t="n">
        <v>45834.65833333333</v>
      </c>
      <c r="I985" t="inlineStr">
        <is>
          <t>G40.909</t>
        </is>
      </c>
      <c r="J985" t="inlineStr">
        <is>
          <t>PY07</t>
        </is>
      </c>
      <c r="K985" s="33" t="n">
        <v>13868.43</v>
      </c>
      <c r="L985" s="34" t="n"/>
    </row>
    <row r="986">
      <c r="A986" t="inlineStr">
        <is>
          <t>ENC116196</t>
        </is>
      </c>
      <c r="B986" t="inlineStr">
        <is>
          <t>PT13739</t>
        </is>
      </c>
      <c r="C986" t="inlineStr">
        <is>
          <t>Emergency</t>
        </is>
      </c>
      <c r="D986" t="inlineStr">
        <is>
          <t>F01</t>
        </is>
      </c>
      <c r="E986" t="inlineStr">
        <is>
          <t>D100</t>
        </is>
      </c>
      <c r="G986" s="32" t="n">
        <v>45831.77291666667</v>
      </c>
      <c r="H986" s="32" t="n">
        <v>45831.86805555555</v>
      </c>
      <c r="I986" t="inlineStr">
        <is>
          <t>E86.0</t>
        </is>
      </c>
      <c r="J986" t="inlineStr">
        <is>
          <t>PY05</t>
        </is>
      </c>
      <c r="K986" s="33" t="n">
        <v>2495.13</v>
      </c>
      <c r="L986" s="34" t="n"/>
    </row>
    <row r="987">
      <c r="A987" t="inlineStr">
        <is>
          <t>ENC116201</t>
        </is>
      </c>
      <c r="B987" t="inlineStr">
        <is>
          <t>PT10566</t>
        </is>
      </c>
      <c r="C987" t="inlineStr">
        <is>
          <t>Outpatient</t>
        </is>
      </c>
      <c r="D987" t="inlineStr">
        <is>
          <t>F04</t>
        </is>
      </c>
      <c r="E987" t="inlineStr">
        <is>
          <t>D400</t>
        </is>
      </c>
      <c r="G987" s="32" t="n">
        <v>45832.33333333334</v>
      </c>
      <c r="H987" s="32" t="n">
        <v>45832.35416666666</v>
      </c>
      <c r="I987" t="inlineStr">
        <is>
          <t>Z00.00</t>
        </is>
      </c>
      <c r="J987" t="inlineStr">
        <is>
          <t>PY01</t>
        </is>
      </c>
      <c r="K987" s="33" t="n">
        <v>298.79</v>
      </c>
      <c r="L987" s="34" t="n"/>
    </row>
    <row r="988">
      <c r="A988" t="inlineStr">
        <is>
          <t>ENC116207</t>
        </is>
      </c>
      <c r="B988" t="inlineStr">
        <is>
          <t>PT10773</t>
        </is>
      </c>
      <c r="C988" t="inlineStr">
        <is>
          <t>Outpatient</t>
        </is>
      </c>
      <c r="D988" t="inlineStr">
        <is>
          <t>F04</t>
        </is>
      </c>
      <c r="E988" t="inlineStr">
        <is>
          <t>D400</t>
        </is>
      </c>
      <c r="G988" s="32" t="n">
        <v>45832.44791666666</v>
      </c>
      <c r="H988" s="32" t="n">
        <v>45832.46458333333</v>
      </c>
      <c r="I988" t="inlineStr">
        <is>
          <t>I10</t>
        </is>
      </c>
      <c r="J988" t="inlineStr">
        <is>
          <t>PY02</t>
        </is>
      </c>
      <c r="K988" s="33" t="n">
        <v>385</v>
      </c>
      <c r="L988" s="34" t="n"/>
    </row>
    <row r="989">
      <c r="A989" t="inlineStr">
        <is>
          <t>ENC116213</t>
        </is>
      </c>
      <c r="B989" t="inlineStr">
        <is>
          <t>PT13501</t>
        </is>
      </c>
      <c r="C989" t="inlineStr">
        <is>
          <t>Emergency</t>
        </is>
      </c>
      <c r="D989" t="inlineStr">
        <is>
          <t>F01</t>
        </is>
      </c>
      <c r="E989" t="inlineStr">
        <is>
          <t>D100</t>
        </is>
      </c>
      <c r="G989" s="32" t="n">
        <v>45832.48125</v>
      </c>
      <c r="H989" s="32" t="n">
        <v>45832.59583333333</v>
      </c>
      <c r="I989" t="inlineStr">
        <is>
          <t>H66.90</t>
        </is>
      </c>
      <c r="J989" t="inlineStr">
        <is>
          <t>PY06</t>
        </is>
      </c>
      <c r="K989" s="33" t="n">
        <v>1430.86</v>
      </c>
      <c r="L989" s="34" t="n"/>
    </row>
    <row r="990">
      <c r="A990" t="inlineStr">
        <is>
          <t>ENC116218</t>
        </is>
      </c>
      <c r="B990" t="inlineStr">
        <is>
          <t>PT10306</t>
        </is>
      </c>
      <c r="C990" t="inlineStr">
        <is>
          <t>Outpatient</t>
        </is>
      </c>
      <c r="D990" t="inlineStr">
        <is>
          <t>F04</t>
        </is>
      </c>
      <c r="E990" t="inlineStr">
        <is>
          <t>D400</t>
        </is>
      </c>
      <c r="G990" s="32" t="n">
        <v>45832.54166666666</v>
      </c>
      <c r="H990" s="32" t="n">
        <v>45832.56319444445</v>
      </c>
      <c r="I990" t="inlineStr">
        <is>
          <t>E78.5</t>
        </is>
      </c>
      <c r="J990" t="inlineStr">
        <is>
          <t>PY02</t>
        </is>
      </c>
      <c r="K990" s="33" t="n">
        <v>518.1799999999999</v>
      </c>
      <c r="L990" s="34" t="n"/>
    </row>
    <row r="991">
      <c r="A991" t="inlineStr">
        <is>
          <t>ENC116225</t>
        </is>
      </c>
      <c r="B991" t="inlineStr">
        <is>
          <t>PT11681</t>
        </is>
      </c>
      <c r="C991" t="inlineStr">
        <is>
          <t>Emergency</t>
        </is>
      </c>
      <c r="D991" t="inlineStr">
        <is>
          <t>F02</t>
        </is>
      </c>
      <c r="E991" t="inlineStr">
        <is>
          <t>D200</t>
        </is>
      </c>
      <c r="G991" s="32" t="n">
        <v>45832.62013888889</v>
      </c>
      <c r="H991" s="32" t="n">
        <v>45832.73402777778</v>
      </c>
      <c r="I991" t="inlineStr">
        <is>
          <t>M54.50</t>
        </is>
      </c>
      <c r="J991" t="inlineStr">
        <is>
          <t>PY01</t>
        </is>
      </c>
      <c r="K991" s="33" t="n">
        <v>1184.03</v>
      </c>
      <c r="L991" s="34" t="n"/>
    </row>
    <row r="992">
      <c r="A992" t="inlineStr">
        <is>
          <t>ENC116231</t>
        </is>
      </c>
      <c r="B992" t="inlineStr">
        <is>
          <t>PT11766</t>
        </is>
      </c>
      <c r="C992" t="inlineStr">
        <is>
          <t>Emergency</t>
        </is>
      </c>
      <c r="D992" t="inlineStr">
        <is>
          <t>F02</t>
        </is>
      </c>
      <c r="E992" t="inlineStr">
        <is>
          <t>D200</t>
        </is>
      </c>
      <c r="G992" s="32" t="n">
        <v>45832.72013888889</v>
      </c>
      <c r="H992" s="32" t="n">
        <v>45832.89236111111</v>
      </c>
      <c r="I992" t="inlineStr">
        <is>
          <t>E86.0</t>
        </is>
      </c>
      <c r="J992" t="inlineStr">
        <is>
          <t>PY01</t>
        </is>
      </c>
      <c r="K992" s="33" t="n">
        <v>1083.44</v>
      </c>
      <c r="L992" s="34" t="n"/>
    </row>
    <row r="993">
      <c r="A993" t="inlineStr">
        <is>
          <t>ENC116235</t>
        </is>
      </c>
      <c r="B993" t="inlineStr">
        <is>
          <t>PT13163</t>
        </is>
      </c>
      <c r="C993" t="inlineStr">
        <is>
          <t>Outpatient</t>
        </is>
      </c>
      <c r="D993" t="inlineStr">
        <is>
          <t>F04</t>
        </is>
      </c>
      <c r="E993" t="inlineStr">
        <is>
          <t>D400</t>
        </is>
      </c>
      <c r="G993" s="32" t="n">
        <v>45833.33333333334</v>
      </c>
      <c r="H993" s="32" t="n">
        <v>45833.35972222222</v>
      </c>
      <c r="I993" t="inlineStr">
        <is>
          <t>Z00.00</t>
        </is>
      </c>
      <c r="J993" t="inlineStr">
        <is>
          <t>PY07</t>
        </is>
      </c>
      <c r="K993" s="33" t="n">
        <v>445.32</v>
      </c>
      <c r="L993" s="34" t="n"/>
    </row>
    <row r="994">
      <c r="A994" t="inlineStr">
        <is>
          <t>ENC116240</t>
        </is>
      </c>
      <c r="B994" t="inlineStr">
        <is>
          <t>PT11300</t>
        </is>
      </c>
      <c r="C994" t="inlineStr">
        <is>
          <t>Outpatient</t>
        </is>
      </c>
      <c r="D994" t="inlineStr">
        <is>
          <t>F04</t>
        </is>
      </c>
      <c r="E994" t="inlineStr">
        <is>
          <t>D440</t>
        </is>
      </c>
      <c r="G994" s="32" t="n">
        <v>45833.44791666666</v>
      </c>
      <c r="H994" s="32" t="n">
        <v>45833.48194444444</v>
      </c>
      <c r="I994" t="inlineStr">
        <is>
          <t>E11.9</t>
        </is>
      </c>
      <c r="J994" t="inlineStr">
        <is>
          <t>PY04</t>
        </is>
      </c>
      <c r="K994" s="33" t="n">
        <v>205.57</v>
      </c>
      <c r="L994" s="34" t="n"/>
    </row>
    <row r="995">
      <c r="A995" t="inlineStr">
        <is>
          <t>ENC116246</t>
        </is>
      </c>
      <c r="B995" t="inlineStr">
        <is>
          <t>PT10297</t>
        </is>
      </c>
      <c r="C995" t="inlineStr">
        <is>
          <t>Outpatient</t>
        </is>
      </c>
      <c r="D995" t="inlineStr">
        <is>
          <t>F04</t>
        </is>
      </c>
      <c r="E995" t="inlineStr">
        <is>
          <t>D430</t>
        </is>
      </c>
      <c r="G995" s="32" t="n">
        <v>45833.54166666666</v>
      </c>
      <c r="H995" s="32" t="n">
        <v>45833.55902777778</v>
      </c>
      <c r="I995" t="inlineStr">
        <is>
          <t>C50.911</t>
        </is>
      </c>
      <c r="J995" t="inlineStr">
        <is>
          <t>PY02</t>
        </is>
      </c>
      <c r="K995" s="33" t="n">
        <v>619.21</v>
      </c>
      <c r="L995" s="34" t="n"/>
    </row>
    <row r="996">
      <c r="A996" t="inlineStr">
        <is>
          <t>ENC116252</t>
        </is>
      </c>
      <c r="B996" t="inlineStr">
        <is>
          <t>PT13352</t>
        </is>
      </c>
      <c r="C996" t="inlineStr">
        <is>
          <t>Emergency</t>
        </is>
      </c>
      <c r="D996" t="inlineStr">
        <is>
          <t>F01</t>
        </is>
      </c>
      <c r="E996" t="inlineStr">
        <is>
          <t>D100</t>
        </is>
      </c>
      <c r="G996" s="32" t="n">
        <v>45833.62638888889</v>
      </c>
      <c r="H996" s="32" t="n">
        <v>45833.70277777778</v>
      </c>
      <c r="I996" t="inlineStr">
        <is>
          <t>M54.50</t>
        </is>
      </c>
      <c r="J996" t="inlineStr">
        <is>
          <t>PY01</t>
        </is>
      </c>
      <c r="K996" s="33" t="n">
        <v>1061.53</v>
      </c>
      <c r="L996" s="34" t="n"/>
    </row>
    <row r="997">
      <c r="A997" t="inlineStr">
        <is>
          <t>ENC116253</t>
        </is>
      </c>
      <c r="B997" t="inlineStr">
        <is>
          <t>PT13678</t>
        </is>
      </c>
      <c r="C997" t="inlineStr">
        <is>
          <t>Inpatient</t>
        </is>
      </c>
      <c r="D997" t="inlineStr">
        <is>
          <t>F01</t>
        </is>
      </c>
      <c r="E997" t="inlineStr">
        <is>
          <t>D111</t>
        </is>
      </c>
      <c r="F997" t="inlineStr">
        <is>
          <t>Emergency Department</t>
        </is>
      </c>
      <c r="G997" s="32" t="n">
        <v>45833.81319444445</v>
      </c>
      <c r="H997" s="32" t="n">
        <v>45841.63472222222</v>
      </c>
      <c r="I997" t="inlineStr">
        <is>
          <t>K92.2</t>
        </is>
      </c>
      <c r="J997" t="inlineStr">
        <is>
          <t>PY02</t>
        </is>
      </c>
      <c r="K997" s="33" t="n">
        <v>47173.77</v>
      </c>
      <c r="L997" s="34" t="n"/>
    </row>
    <row r="998">
      <c r="A998" t="inlineStr">
        <is>
          <t>ENC116264</t>
        </is>
      </c>
      <c r="B998" t="inlineStr">
        <is>
          <t>PT11736</t>
        </is>
      </c>
      <c r="C998" t="inlineStr">
        <is>
          <t>Inpatient</t>
        </is>
      </c>
      <c r="D998" t="inlineStr">
        <is>
          <t>F01</t>
        </is>
      </c>
      <c r="E998" t="inlineStr">
        <is>
          <t>D170</t>
        </is>
      </c>
      <c r="F998" t="inlineStr">
        <is>
          <t>Direct Admit</t>
        </is>
      </c>
      <c r="G998" s="32" t="n">
        <v>45834.00486111111</v>
      </c>
      <c r="H998" s="32" t="n">
        <v>45835.47291666667</v>
      </c>
      <c r="I998" t="inlineStr">
        <is>
          <t>O82</t>
        </is>
      </c>
      <c r="J998" t="inlineStr">
        <is>
          <t>PY04</t>
        </is>
      </c>
      <c r="K998" s="33" t="n">
        <v>19480.14</v>
      </c>
      <c r="L998" s="34" t="n"/>
    </row>
    <row r="999">
      <c r="A999" t="inlineStr">
        <is>
          <t>ENC116269</t>
        </is>
      </c>
      <c r="B999" t="inlineStr">
        <is>
          <t>PT13524</t>
        </is>
      </c>
      <c r="C999" t="inlineStr">
        <is>
          <t>Outpatient</t>
        </is>
      </c>
      <c r="D999" t="inlineStr">
        <is>
          <t>F04</t>
        </is>
      </c>
      <c r="E999" t="inlineStr">
        <is>
          <t>D400</t>
        </is>
      </c>
      <c r="G999" s="32" t="n">
        <v>45834.36458333334</v>
      </c>
      <c r="H999" s="32" t="n">
        <v>45834.39513888889</v>
      </c>
      <c r="I999" t="inlineStr">
        <is>
          <t>J06.9</t>
        </is>
      </c>
      <c r="J999" t="inlineStr">
        <is>
          <t>PY05</t>
        </is>
      </c>
      <c r="K999" s="33" t="n">
        <v>548.4</v>
      </c>
      <c r="L999" s="34" t="n"/>
    </row>
    <row r="1000">
      <c r="A1000" t="inlineStr">
        <is>
          <t>ENC116276</t>
        </is>
      </c>
      <c r="B1000" t="inlineStr">
        <is>
          <t>PT10679</t>
        </is>
      </c>
      <c r="C1000" t="inlineStr">
        <is>
          <t>Inpatient</t>
        </is>
      </c>
      <c r="D1000" t="inlineStr">
        <is>
          <t>F01</t>
        </is>
      </c>
      <c r="E1000" t="inlineStr">
        <is>
          <t>D120</t>
        </is>
      </c>
      <c r="F1000" t="inlineStr">
        <is>
          <t>Transfer</t>
        </is>
      </c>
      <c r="G1000" s="32" t="n">
        <v>45834.425</v>
      </c>
      <c r="H1000" s="32" t="n">
        <v>45839.56736111111</v>
      </c>
      <c r="I1000" t="inlineStr">
        <is>
          <t>I50.9</t>
        </is>
      </c>
      <c r="J1000" t="inlineStr">
        <is>
          <t>PY01</t>
        </is>
      </c>
      <c r="K1000" s="33" t="n">
        <v>17997.74</v>
      </c>
      <c r="L1000" s="34" t="n"/>
    </row>
    <row r="1001">
      <c r="A1001" t="inlineStr">
        <is>
          <t>ENC116280</t>
        </is>
      </c>
      <c r="B1001" t="inlineStr">
        <is>
          <t>PT12604</t>
        </is>
      </c>
      <c r="C1001" t="inlineStr">
        <is>
          <t>Outpatient</t>
        </is>
      </c>
      <c r="D1001" t="inlineStr">
        <is>
          <t>F04</t>
        </is>
      </c>
      <c r="E1001" t="inlineStr">
        <is>
          <t>D400</t>
        </is>
      </c>
      <c r="G1001" s="32" t="n">
        <v>45834.47916666666</v>
      </c>
      <c r="H1001" s="32" t="n">
        <v>45834.50277777778</v>
      </c>
      <c r="I1001" t="inlineStr">
        <is>
          <t>I10</t>
        </is>
      </c>
      <c r="J1001" t="inlineStr">
        <is>
          <t>PY04</t>
        </is>
      </c>
      <c r="K1001" s="33" t="n">
        <v>208.47</v>
      </c>
      <c r="L1001" s="34" t="n"/>
    </row>
    <row r="1002">
      <c r="A1002" t="inlineStr">
        <is>
          <t>ENC116285</t>
        </is>
      </c>
      <c r="B1002" t="inlineStr">
        <is>
          <t>PT12220</t>
        </is>
      </c>
      <c r="C1002" t="inlineStr">
        <is>
          <t>Outpatient</t>
        </is>
      </c>
      <c r="D1002" t="inlineStr">
        <is>
          <t>F04</t>
        </is>
      </c>
      <c r="E1002" t="inlineStr">
        <is>
          <t>D420</t>
        </is>
      </c>
      <c r="G1002" s="32" t="n">
        <v>45834.59375</v>
      </c>
      <c r="H1002" s="32" t="n">
        <v>45834.62222222222</v>
      </c>
      <c r="I1002" t="inlineStr">
        <is>
          <t>S93.401A</t>
        </is>
      </c>
      <c r="J1002" t="inlineStr">
        <is>
          <t>PY04</t>
        </is>
      </c>
      <c r="K1002" s="33" t="n">
        <v>245.9</v>
      </c>
      <c r="L1002" s="34" t="n"/>
    </row>
    <row r="1003">
      <c r="A1003" t="inlineStr">
        <is>
          <t>ENC116291</t>
        </is>
      </c>
      <c r="B1003" t="inlineStr">
        <is>
          <t>PT10505</t>
        </is>
      </c>
      <c r="C1003" t="inlineStr">
        <is>
          <t>Outpatient</t>
        </is>
      </c>
      <c r="D1003" t="inlineStr">
        <is>
          <t>F04</t>
        </is>
      </c>
      <c r="E1003" t="inlineStr">
        <is>
          <t>D400</t>
        </is>
      </c>
      <c r="G1003" s="32" t="n">
        <v>45834.67708333334</v>
      </c>
      <c r="H1003" s="32" t="n">
        <v>45834.69236111111</v>
      </c>
      <c r="I1003" t="inlineStr">
        <is>
          <t>F41.9</t>
        </is>
      </c>
      <c r="J1003" t="inlineStr">
        <is>
          <t>PY03</t>
        </is>
      </c>
      <c r="K1003" s="33" t="n">
        <v>291.59</v>
      </c>
      <c r="L1003" s="34" t="n"/>
    </row>
    <row r="1004">
      <c r="A1004" t="inlineStr">
        <is>
          <t>ENC116294</t>
        </is>
      </c>
      <c r="B1004" t="inlineStr">
        <is>
          <t>PT12532</t>
        </is>
      </c>
      <c r="C1004" t="inlineStr">
        <is>
          <t>Inpatient</t>
        </is>
      </c>
      <c r="D1004" t="inlineStr">
        <is>
          <t>F01</t>
        </is>
      </c>
      <c r="E1004" t="inlineStr">
        <is>
          <t>D110</t>
        </is>
      </c>
      <c r="F1004" t="inlineStr">
        <is>
          <t>Emergency Department</t>
        </is>
      </c>
      <c r="G1004" s="32" t="n">
        <v>45834.79444444444</v>
      </c>
      <c r="H1004" s="32" t="n">
        <v>45838.45277777778</v>
      </c>
      <c r="I1004" t="inlineStr">
        <is>
          <t>N39.0</t>
        </is>
      </c>
      <c r="J1004" t="inlineStr">
        <is>
          <t>PY04</t>
        </is>
      </c>
      <c r="K1004" s="33" t="n">
        <v>23945.87</v>
      </c>
      <c r="L1004" s="34" t="n"/>
    </row>
    <row r="1005">
      <c r="A1005" t="inlineStr">
        <is>
          <t>ENC116304</t>
        </is>
      </c>
      <c r="B1005" t="inlineStr">
        <is>
          <t>PT12236</t>
        </is>
      </c>
      <c r="C1005" t="inlineStr">
        <is>
          <t>Emergency</t>
        </is>
      </c>
      <c r="D1005" t="inlineStr">
        <is>
          <t>F01</t>
        </is>
      </c>
      <c r="E1005" t="inlineStr">
        <is>
          <t>D100</t>
        </is>
      </c>
      <c r="G1005" s="32" t="n">
        <v>45834.92569444444</v>
      </c>
      <c r="H1005" s="32" t="n">
        <v>45835.07430555556</v>
      </c>
      <c r="I1005" t="inlineStr">
        <is>
          <t>J45.909</t>
        </is>
      </c>
      <c r="J1005" t="inlineStr">
        <is>
          <t>PY04</t>
        </is>
      </c>
      <c r="K1005" s="33" t="n">
        <v>3288.6</v>
      </c>
      <c r="L1005" s="34" t="n"/>
    </row>
    <row r="1006">
      <c r="A1006" t="inlineStr">
        <is>
          <t>ENC116310</t>
        </is>
      </c>
      <c r="B1006" t="inlineStr">
        <is>
          <t>PT11831</t>
        </is>
      </c>
      <c r="C1006" t="inlineStr">
        <is>
          <t>Inpatient</t>
        </is>
      </c>
      <c r="D1006" t="inlineStr">
        <is>
          <t>F01</t>
        </is>
      </c>
      <c r="E1006" t="inlineStr">
        <is>
          <t>D110</t>
        </is>
      </c>
      <c r="F1006" t="inlineStr">
        <is>
          <t>Direct Admit</t>
        </is>
      </c>
      <c r="G1006" s="32" t="n">
        <v>45835.09930555556</v>
      </c>
      <c r="H1006" s="32" t="n">
        <v>45839.575</v>
      </c>
      <c r="I1006" t="inlineStr">
        <is>
          <t>N39.0</t>
        </is>
      </c>
      <c r="J1006" t="inlineStr">
        <is>
          <t>PY02</t>
        </is>
      </c>
      <c r="K1006" s="33" t="n">
        <v>20739</v>
      </c>
      <c r="L1006" s="34" t="n"/>
    </row>
    <row r="1007">
      <c r="A1007" t="inlineStr">
        <is>
          <t>ENC116313</t>
        </is>
      </c>
      <c r="B1007" t="inlineStr">
        <is>
          <t>PT11926</t>
        </is>
      </c>
      <c r="C1007" t="inlineStr">
        <is>
          <t>Outpatient</t>
        </is>
      </c>
      <c r="D1007" t="inlineStr">
        <is>
          <t>F04</t>
        </is>
      </c>
      <c r="E1007" t="inlineStr">
        <is>
          <t>D430</t>
        </is>
      </c>
      <c r="G1007" s="32" t="n">
        <v>45835.42708333334</v>
      </c>
      <c r="H1007" s="32" t="n">
        <v>45835.64444444444</v>
      </c>
      <c r="I1007" t="inlineStr">
        <is>
          <t>Z51.11</t>
        </is>
      </c>
      <c r="J1007" t="inlineStr">
        <is>
          <t>PY02</t>
        </is>
      </c>
      <c r="K1007" s="33" t="n">
        <v>4425.57</v>
      </c>
      <c r="L1007" s="34" t="n"/>
    </row>
    <row r="1008">
      <c r="A1008" t="inlineStr">
        <is>
          <t>ENC116318</t>
        </is>
      </c>
      <c r="B1008" t="inlineStr">
        <is>
          <t>PT10225</t>
        </is>
      </c>
      <c r="C1008" t="inlineStr">
        <is>
          <t>Outpatient</t>
        </is>
      </c>
      <c r="D1008" t="inlineStr">
        <is>
          <t>F04</t>
        </is>
      </c>
      <c r="E1008" t="inlineStr">
        <is>
          <t>D450</t>
        </is>
      </c>
      <c r="G1008" s="32" t="n">
        <v>45835.57291666666</v>
      </c>
      <c r="H1008" s="32" t="n">
        <v>45835.59930555556</v>
      </c>
      <c r="I1008" t="inlineStr">
        <is>
          <t>Z00.129</t>
        </is>
      </c>
      <c r="J1008" t="inlineStr">
        <is>
          <t>PY03</t>
        </is>
      </c>
      <c r="K1008" s="33" t="n">
        <v>346.81</v>
      </c>
      <c r="L1008" s="34" t="n"/>
    </row>
    <row r="1009">
      <c r="A1009" t="inlineStr">
        <is>
          <t>ENC116325</t>
        </is>
      </c>
      <c r="B1009" t="inlineStr">
        <is>
          <t>PT11723</t>
        </is>
      </c>
      <c r="C1009" t="inlineStr">
        <is>
          <t>Emergency</t>
        </is>
      </c>
      <c r="D1009" t="inlineStr">
        <is>
          <t>F01</t>
        </is>
      </c>
      <c r="E1009" t="inlineStr">
        <is>
          <t>D100</t>
        </is>
      </c>
      <c r="G1009" s="32" t="n">
        <v>45835.72291666667</v>
      </c>
      <c r="H1009" s="32" t="n">
        <v>45835.82847222222</v>
      </c>
      <c r="I1009" t="inlineStr">
        <is>
          <t>F41.9</t>
        </is>
      </c>
      <c r="J1009" t="inlineStr">
        <is>
          <t>PY03</t>
        </is>
      </c>
      <c r="K1009" s="33" t="n">
        <v>731.98</v>
      </c>
      <c r="L1009" s="34" t="n"/>
    </row>
    <row r="1010">
      <c r="A1010" t="inlineStr">
        <is>
          <t>ENC116331</t>
        </is>
      </c>
      <c r="B1010" t="inlineStr">
        <is>
          <t>PT12446</t>
        </is>
      </c>
      <c r="C1010" t="inlineStr">
        <is>
          <t>Emergency</t>
        </is>
      </c>
      <c r="D1010" t="inlineStr">
        <is>
          <t>F01</t>
        </is>
      </c>
      <c r="E1010" t="inlineStr">
        <is>
          <t>D100</t>
        </is>
      </c>
      <c r="G1010" s="32" t="n">
        <v>45835.86041666667</v>
      </c>
      <c r="H1010" s="32" t="n">
        <v>45836.05138888889</v>
      </c>
      <c r="I1010" t="inlineStr">
        <is>
          <t>S06.0X0A</t>
        </is>
      </c>
      <c r="J1010" t="inlineStr">
        <is>
          <t>PY03</t>
        </is>
      </c>
      <c r="K1010" s="33" t="n">
        <v>3126.72</v>
      </c>
      <c r="L1010" s="34" t="n"/>
    </row>
    <row r="1011">
      <c r="A1011" t="inlineStr">
        <is>
          <t>ENC116335</t>
        </is>
      </c>
      <c r="B1011" t="inlineStr">
        <is>
          <t>PT12690</t>
        </is>
      </c>
      <c r="C1011" t="inlineStr">
        <is>
          <t>Emergency</t>
        </is>
      </c>
      <c r="D1011" t="inlineStr">
        <is>
          <t>F01</t>
        </is>
      </c>
      <c r="E1011" t="inlineStr">
        <is>
          <t>D100</t>
        </is>
      </c>
      <c r="G1011" s="32" t="n">
        <v>45836.05833333333</v>
      </c>
      <c r="H1011" s="32" t="n">
        <v>45836.14166666667</v>
      </c>
      <c r="I1011" t="inlineStr">
        <is>
          <t>M54.50</t>
        </is>
      </c>
      <c r="J1011" t="inlineStr">
        <is>
          <t>PY01</t>
        </is>
      </c>
      <c r="K1011" s="33" t="n">
        <v>1040.8</v>
      </c>
      <c r="L1011" s="34" t="n"/>
    </row>
    <row r="1012">
      <c r="A1012" t="inlineStr">
        <is>
          <t>ENC116341</t>
        </is>
      </c>
      <c r="B1012" t="inlineStr">
        <is>
          <t>PT11705</t>
        </is>
      </c>
      <c r="C1012" t="inlineStr">
        <is>
          <t>Emergency</t>
        </is>
      </c>
      <c r="D1012" t="inlineStr">
        <is>
          <t>F01</t>
        </is>
      </c>
      <c r="E1012" t="inlineStr">
        <is>
          <t>D100</t>
        </is>
      </c>
      <c r="G1012" s="32" t="n">
        <v>45836.35138888889</v>
      </c>
      <c r="H1012" s="32" t="n">
        <v>45836.41597222222</v>
      </c>
      <c r="I1012" t="inlineStr">
        <is>
          <t>G43.909</t>
        </is>
      </c>
      <c r="J1012" t="inlineStr">
        <is>
          <t>PY05</t>
        </is>
      </c>
      <c r="K1012" s="33" t="n">
        <v>582.41</v>
      </c>
      <c r="L1012" s="34" t="n"/>
    </row>
    <row r="1013">
      <c r="A1013" t="inlineStr">
        <is>
          <t>ENC116346</t>
        </is>
      </c>
      <c r="B1013" t="inlineStr">
        <is>
          <t>PT11614</t>
        </is>
      </c>
      <c r="C1013" t="inlineStr">
        <is>
          <t>Emergency</t>
        </is>
      </c>
      <c r="D1013" t="inlineStr">
        <is>
          <t>F02</t>
        </is>
      </c>
      <c r="E1013" t="inlineStr">
        <is>
          <t>D200</t>
        </is>
      </c>
      <c r="G1013" s="32" t="n">
        <v>45836.63680555556</v>
      </c>
      <c r="H1013" s="32" t="n">
        <v>45836.82777777778</v>
      </c>
      <c r="I1013" t="inlineStr">
        <is>
          <t>M54.50</t>
        </is>
      </c>
      <c r="J1013" t="inlineStr">
        <is>
          <t>PY07</t>
        </is>
      </c>
      <c r="K1013" s="33" t="n">
        <v>2804.33</v>
      </c>
      <c r="L1013" s="34" t="n"/>
    </row>
    <row r="1014">
      <c r="A1014" t="inlineStr">
        <is>
          <t>ENC116353</t>
        </is>
      </c>
      <c r="B1014" t="inlineStr">
        <is>
          <t>PT12054</t>
        </is>
      </c>
      <c r="C1014" t="inlineStr">
        <is>
          <t>Emergency</t>
        </is>
      </c>
      <c r="D1014" t="inlineStr">
        <is>
          <t>F03</t>
        </is>
      </c>
      <c r="E1014" t="inlineStr">
        <is>
          <t>D300</t>
        </is>
      </c>
      <c r="G1014" s="32" t="n">
        <v>45836.77708333333</v>
      </c>
      <c r="H1014" s="32" t="n">
        <v>45836.89027777778</v>
      </c>
      <c r="I1014" t="inlineStr">
        <is>
          <t>J45.909</t>
        </is>
      </c>
      <c r="J1014" t="inlineStr">
        <is>
          <t>PY04</t>
        </is>
      </c>
      <c r="K1014" s="33" t="n">
        <v>1688.43</v>
      </c>
      <c r="L1014" s="34" t="n"/>
    </row>
    <row r="1015">
      <c r="A1015" t="inlineStr">
        <is>
          <t>ENC116357</t>
        </is>
      </c>
      <c r="B1015" t="inlineStr">
        <is>
          <t>PT10410</t>
        </is>
      </c>
      <c r="C1015" t="inlineStr">
        <is>
          <t>Emergency</t>
        </is>
      </c>
      <c r="D1015" t="inlineStr">
        <is>
          <t>F01</t>
        </is>
      </c>
      <c r="E1015" t="inlineStr">
        <is>
          <t>D100</t>
        </is>
      </c>
      <c r="G1015" s="32" t="n">
        <v>45836.91180555556</v>
      </c>
      <c r="H1015" s="32" t="n">
        <v>45837.04027777778</v>
      </c>
      <c r="I1015" t="inlineStr">
        <is>
          <t>N39.0</t>
        </is>
      </c>
      <c r="J1015" t="inlineStr">
        <is>
          <t>PY01</t>
        </is>
      </c>
      <c r="K1015" s="33" t="n">
        <v>1080.81</v>
      </c>
      <c r="L1015" s="34" t="n"/>
    </row>
    <row r="1016">
      <c r="A1016" t="inlineStr">
        <is>
          <t>ENC116364</t>
        </is>
      </c>
      <c r="B1016" t="inlineStr">
        <is>
          <t>PT10373</t>
        </is>
      </c>
      <c r="C1016" t="inlineStr">
        <is>
          <t>Emergency</t>
        </is>
      </c>
      <c r="D1016" t="inlineStr">
        <is>
          <t>F01</t>
        </is>
      </c>
      <c r="E1016" t="inlineStr">
        <is>
          <t>D100</t>
        </is>
      </c>
      <c r="G1016" s="32" t="n">
        <v>45837.45763888889</v>
      </c>
      <c r="H1016" s="32" t="n">
        <v>45837.52847222222</v>
      </c>
      <c r="I1016" t="inlineStr">
        <is>
          <t>E86.0</t>
        </is>
      </c>
      <c r="J1016" t="inlineStr">
        <is>
          <t>PY05</t>
        </is>
      </c>
      <c r="K1016" s="33" t="n">
        <v>1418.31</v>
      </c>
      <c r="L1016" s="34" t="n"/>
    </row>
    <row r="1017">
      <c r="A1017" t="inlineStr">
        <is>
          <t>ENC116368</t>
        </is>
      </c>
      <c r="B1017" t="inlineStr">
        <is>
          <t>PT13090</t>
        </is>
      </c>
      <c r="C1017" t="inlineStr">
        <is>
          <t>Observation</t>
        </is>
      </c>
      <c r="D1017" t="inlineStr">
        <is>
          <t>F03</t>
        </is>
      </c>
      <c r="E1017" t="inlineStr">
        <is>
          <t>D310</t>
        </is>
      </c>
      <c r="F1017" t="inlineStr">
        <is>
          <t>Emergency Department</t>
        </is>
      </c>
      <c r="G1017" s="32" t="n">
        <v>45837.81875</v>
      </c>
      <c r="H1017" s="32" t="n">
        <v>45839.29583333333</v>
      </c>
      <c r="I1017" t="inlineStr">
        <is>
          <t>F41.9</t>
        </is>
      </c>
      <c r="J1017" t="inlineStr">
        <is>
          <t>PY01</t>
        </is>
      </c>
      <c r="K1017" s="33" t="n">
        <v>12146.59</v>
      </c>
      <c r="L1017" s="34" t="n"/>
    </row>
    <row r="1018">
      <c r="A1018" t="inlineStr">
        <is>
          <t>ENC116376</t>
        </is>
      </c>
      <c r="B1018" t="inlineStr">
        <is>
          <t>PT10572</t>
        </is>
      </c>
      <c r="C1018" t="inlineStr">
        <is>
          <t>Outpatient</t>
        </is>
      </c>
      <c r="D1018" t="inlineStr">
        <is>
          <t>F04</t>
        </is>
      </c>
      <c r="E1018" t="inlineStr">
        <is>
          <t>D400</t>
        </is>
      </c>
      <c r="G1018" s="32" t="n">
        <v>45838.36458333334</v>
      </c>
      <c r="H1018" s="32" t="n">
        <v>45838.38055555556</v>
      </c>
      <c r="I1018" t="inlineStr">
        <is>
          <t>J45.909</t>
        </is>
      </c>
      <c r="J1018" t="inlineStr">
        <is>
          <t>PY05</t>
        </is>
      </c>
      <c r="K1018" s="33" t="n">
        <v>367.14</v>
      </c>
      <c r="L1018" s="34" t="n"/>
    </row>
    <row r="1019">
      <c r="A1019" t="inlineStr">
        <is>
          <t>ENC116381</t>
        </is>
      </c>
      <c r="B1019" t="inlineStr">
        <is>
          <t>PT12507</t>
        </is>
      </c>
      <c r="C1019" t="inlineStr">
        <is>
          <t>Outpatient</t>
        </is>
      </c>
      <c r="D1019" t="inlineStr">
        <is>
          <t>F04</t>
        </is>
      </c>
      <c r="E1019" t="inlineStr">
        <is>
          <t>D400</t>
        </is>
      </c>
      <c r="G1019" s="32" t="n">
        <v>45838.40625</v>
      </c>
      <c r="H1019" s="32" t="n">
        <v>45838.43958333333</v>
      </c>
      <c r="I1019" t="inlineStr">
        <is>
          <t>E78.5</t>
        </is>
      </c>
      <c r="J1019" t="inlineStr">
        <is>
          <t>PY04</t>
        </is>
      </c>
      <c r="K1019" s="33" t="n">
        <v>454.18</v>
      </c>
      <c r="L1019" s="34" t="n"/>
    </row>
    <row r="1020">
      <c r="A1020" t="inlineStr">
        <is>
          <t>ENC116374</t>
        </is>
      </c>
      <c r="B1020" t="inlineStr">
        <is>
          <t>PT13698</t>
        </is>
      </c>
      <c r="C1020" t="inlineStr">
        <is>
          <t>Inpatient</t>
        </is>
      </c>
      <c r="D1020" t="inlineStr">
        <is>
          <t>F01</t>
        </is>
      </c>
      <c r="E1020" t="inlineStr">
        <is>
          <t>D111</t>
        </is>
      </c>
      <c r="F1020" t="inlineStr">
        <is>
          <t>Emergency Department</t>
        </is>
      </c>
      <c r="G1020" s="32" t="n">
        <v>45838.44027777778</v>
      </c>
      <c r="H1020" s="32" t="n">
        <v>45846.61597222222</v>
      </c>
      <c r="I1020" t="inlineStr">
        <is>
          <t>L03.115</t>
        </is>
      </c>
      <c r="J1020" t="inlineStr">
        <is>
          <t>PY02</t>
        </is>
      </c>
      <c r="K1020" s="33" t="n">
        <v>26645.87</v>
      </c>
      <c r="L1020" s="34" t="n"/>
    </row>
    <row r="1021">
      <c r="A1021" t="inlineStr">
        <is>
          <t>ENC116385</t>
        </is>
      </c>
      <c r="B1021" t="inlineStr">
        <is>
          <t>PT12222</t>
        </is>
      </c>
      <c r="C1021" t="inlineStr">
        <is>
          <t>Inpatient</t>
        </is>
      </c>
      <c r="D1021" t="inlineStr">
        <is>
          <t>F01</t>
        </is>
      </c>
      <c r="E1021" t="inlineStr">
        <is>
          <t>D111</t>
        </is>
      </c>
      <c r="F1021" t="inlineStr">
        <is>
          <t>Emergency Department</t>
        </is>
      </c>
      <c r="G1021" s="32" t="n">
        <v>45838.51527777778</v>
      </c>
      <c r="H1021" s="32" t="n">
        <v>45842.57708333333</v>
      </c>
      <c r="I1021" t="inlineStr">
        <is>
          <t>J44.1</t>
        </is>
      </c>
      <c r="J1021" t="inlineStr">
        <is>
          <t>PY01</t>
        </is>
      </c>
      <c r="K1021" s="33" t="n">
        <v>21473.43</v>
      </c>
      <c r="L1021" s="34" t="n"/>
    </row>
    <row r="1022">
      <c r="A1022" t="inlineStr">
        <is>
          <t>ENC116397</t>
        </is>
      </c>
      <c r="B1022" t="inlineStr">
        <is>
          <t>PT12137</t>
        </is>
      </c>
      <c r="C1022" t="inlineStr">
        <is>
          <t>Emergency</t>
        </is>
      </c>
      <c r="D1022" t="inlineStr">
        <is>
          <t>F01</t>
        </is>
      </c>
      <c r="E1022" t="inlineStr">
        <is>
          <t>D100</t>
        </is>
      </c>
      <c r="G1022" s="32" t="n">
        <v>45838.70277777778</v>
      </c>
      <c r="H1022" s="32" t="n">
        <v>45838.90694444445</v>
      </c>
      <c r="I1022" t="inlineStr">
        <is>
          <t>G40.909</t>
        </is>
      </c>
      <c r="J1022" t="inlineStr">
        <is>
          <t>PY03</t>
        </is>
      </c>
      <c r="K1022" s="33" t="n">
        <v>3376.39</v>
      </c>
      <c r="L1022" s="34" t="n"/>
    </row>
    <row r="1023">
      <c r="A1023" t="inlineStr">
        <is>
          <t>ENC116399</t>
        </is>
      </c>
      <c r="B1023" t="inlineStr">
        <is>
          <t>PT11388</t>
        </is>
      </c>
      <c r="C1023" t="inlineStr">
        <is>
          <t>Inpatient</t>
        </is>
      </c>
      <c r="D1023" t="inlineStr">
        <is>
          <t>F01</t>
        </is>
      </c>
      <c r="E1023" t="inlineStr">
        <is>
          <t>D190</t>
        </is>
      </c>
      <c r="F1023" t="inlineStr">
        <is>
          <t>Emergency Department</t>
        </is>
      </c>
      <c r="G1023" s="32" t="n">
        <v>45838.90763888889</v>
      </c>
      <c r="H1023" s="32" t="n">
        <v>45847.36111111111</v>
      </c>
      <c r="I1023" t="inlineStr">
        <is>
          <t>F32.9</t>
        </is>
      </c>
      <c r="J1023" t="inlineStr">
        <is>
          <t>PY04</t>
        </is>
      </c>
      <c r="K1023" s="33" t="n">
        <v>27266.35</v>
      </c>
      <c r="L1023" s="34" t="n"/>
    </row>
    <row r="1024">
      <c r="A1024" t="inlineStr">
        <is>
          <t>ENC116409</t>
        </is>
      </c>
      <c r="B1024" t="inlineStr">
        <is>
          <t>PT12014</t>
        </is>
      </c>
      <c r="C1024" t="inlineStr">
        <is>
          <t>Emergency</t>
        </is>
      </c>
      <c r="D1024" t="inlineStr">
        <is>
          <t>F01</t>
        </is>
      </c>
      <c r="E1024" t="inlineStr">
        <is>
          <t>D100</t>
        </is>
      </c>
      <c r="G1024" s="32" t="n">
        <v>45839.40833333333</v>
      </c>
      <c r="H1024" s="32" t="n">
        <v>45839.57083333333</v>
      </c>
      <c r="I1024" t="inlineStr">
        <is>
          <t>A08.4</t>
        </is>
      </c>
      <c r="J1024" t="inlineStr">
        <is>
          <t>PY03</t>
        </is>
      </c>
      <c r="K1024" s="33" t="n">
        <v>4225.61</v>
      </c>
      <c r="L1024" s="34" t="n"/>
    </row>
    <row r="1025">
      <c r="A1025" t="inlineStr">
        <is>
          <t>ENC116414</t>
        </is>
      </c>
      <c r="B1025" t="inlineStr">
        <is>
          <t>PT13570</t>
        </is>
      </c>
      <c r="C1025" t="inlineStr">
        <is>
          <t>Outpatient</t>
        </is>
      </c>
      <c r="D1025" t="inlineStr">
        <is>
          <t>F04</t>
        </is>
      </c>
      <c r="E1025" t="inlineStr">
        <is>
          <t>D400</t>
        </is>
      </c>
      <c r="G1025" s="32" t="n">
        <v>45839.4375</v>
      </c>
      <c r="H1025" s="32" t="n">
        <v>45839.45208333333</v>
      </c>
      <c r="I1025" t="inlineStr">
        <is>
          <t>Z00.00</t>
        </is>
      </c>
      <c r="J1025" t="inlineStr">
        <is>
          <t>PY04</t>
        </is>
      </c>
      <c r="K1025" s="33" t="n">
        <v>239.14</v>
      </c>
      <c r="L1025" s="34" t="n"/>
    </row>
    <row r="1026">
      <c r="A1026" t="inlineStr">
        <is>
          <t>ENC116419</t>
        </is>
      </c>
      <c r="B1026" t="inlineStr">
        <is>
          <t>PT10146</t>
        </is>
      </c>
      <c r="C1026" t="inlineStr">
        <is>
          <t>Inpatient</t>
        </is>
      </c>
      <c r="D1026" t="inlineStr">
        <is>
          <t>F02</t>
        </is>
      </c>
      <c r="E1026" t="inlineStr">
        <is>
          <t>D270</t>
        </is>
      </c>
      <c r="F1026" t="inlineStr">
        <is>
          <t>Direct Admit</t>
        </is>
      </c>
      <c r="G1026" s="32" t="n">
        <v>45839.51805555556</v>
      </c>
      <c r="H1026" s="32" t="n">
        <v>45841.65763888889</v>
      </c>
      <c r="I1026" t="inlineStr">
        <is>
          <t>O82</t>
        </is>
      </c>
      <c r="J1026" t="inlineStr">
        <is>
          <t>PY03</t>
        </is>
      </c>
      <c r="K1026" s="33" t="n">
        <v>25946.26</v>
      </c>
      <c r="L1026" s="34" t="n"/>
    </row>
    <row r="1027">
      <c r="A1027" t="inlineStr">
        <is>
          <t>ENC116425</t>
        </is>
      </c>
      <c r="B1027" t="inlineStr">
        <is>
          <t>PT13360</t>
        </is>
      </c>
      <c r="C1027" t="inlineStr">
        <is>
          <t>Emergency</t>
        </is>
      </c>
      <c r="D1027" t="inlineStr">
        <is>
          <t>F01</t>
        </is>
      </c>
      <c r="E1027" t="inlineStr">
        <is>
          <t>D100</t>
        </is>
      </c>
      <c r="G1027" s="32" t="n">
        <v>45839.55208333334</v>
      </c>
      <c r="H1027" s="32" t="n">
        <v>45839.65902777778</v>
      </c>
      <c r="I1027" t="inlineStr">
        <is>
          <t>S06.0X0A</t>
        </is>
      </c>
      <c r="J1027" t="inlineStr">
        <is>
          <t>PY04</t>
        </is>
      </c>
      <c r="K1027" s="33" t="n">
        <v>2896.1</v>
      </c>
      <c r="L1027" s="34" t="n"/>
    </row>
    <row r="1028">
      <c r="A1028" t="inlineStr">
        <is>
          <t>ENC116431</t>
        </is>
      </c>
      <c r="B1028" t="inlineStr">
        <is>
          <t>PT11171</t>
        </is>
      </c>
      <c r="C1028" t="inlineStr">
        <is>
          <t>Outpatient</t>
        </is>
      </c>
      <c r="D1028" t="inlineStr">
        <is>
          <t>F04</t>
        </is>
      </c>
      <c r="E1028" t="inlineStr">
        <is>
          <t>D400</t>
        </is>
      </c>
      <c r="G1028" s="32" t="n">
        <v>45839.65625</v>
      </c>
      <c r="H1028" s="32" t="n">
        <v>45839.68611111111</v>
      </c>
      <c r="I1028" t="inlineStr">
        <is>
          <t>E78.5</t>
        </is>
      </c>
      <c r="J1028" t="inlineStr">
        <is>
          <t>PY01</t>
        </is>
      </c>
      <c r="K1028" s="33" t="n">
        <v>398.42</v>
      </c>
      <c r="L1028" s="34" t="n"/>
    </row>
    <row r="1029">
      <c r="A1029" t="inlineStr">
        <is>
          <t>ENC116436</t>
        </is>
      </c>
      <c r="B1029" t="inlineStr">
        <is>
          <t>PT12403</t>
        </is>
      </c>
      <c r="C1029" t="inlineStr">
        <is>
          <t>Emergency</t>
        </is>
      </c>
      <c r="D1029" t="inlineStr">
        <is>
          <t>F01</t>
        </is>
      </c>
      <c r="E1029" t="inlineStr">
        <is>
          <t>D100</t>
        </is>
      </c>
      <c r="G1029" s="32" t="n">
        <v>45839.85347222222</v>
      </c>
      <c r="H1029" s="32" t="n">
        <v>45839.98958333334</v>
      </c>
      <c r="I1029" t="inlineStr">
        <is>
          <t>G43.909</t>
        </is>
      </c>
      <c r="J1029" t="inlineStr">
        <is>
          <t>PY03</t>
        </is>
      </c>
      <c r="K1029" s="33" t="n">
        <v>2492.91</v>
      </c>
      <c r="L1029" s="34" t="n"/>
    </row>
    <row r="1030">
      <c r="A1030" t="inlineStr">
        <is>
          <t>ENC116440</t>
        </is>
      </c>
      <c r="B1030" t="inlineStr">
        <is>
          <t>PT11975</t>
        </is>
      </c>
      <c r="C1030" t="inlineStr">
        <is>
          <t>Inpatient</t>
        </is>
      </c>
      <c r="D1030" t="inlineStr">
        <is>
          <t>F01</t>
        </is>
      </c>
      <c r="E1030" t="inlineStr">
        <is>
          <t>D110</t>
        </is>
      </c>
      <c r="F1030" t="inlineStr">
        <is>
          <t>Emergency Department</t>
        </is>
      </c>
      <c r="G1030" s="32" t="n">
        <v>45840.31597222222</v>
      </c>
      <c r="H1030" s="32" t="n">
        <v>45845.62083333333</v>
      </c>
      <c r="I1030" t="inlineStr">
        <is>
          <t>A41.9</t>
        </is>
      </c>
      <c r="J1030" t="inlineStr">
        <is>
          <t>PY04</t>
        </is>
      </c>
      <c r="K1030" s="33" t="n">
        <v>49443.43</v>
      </c>
      <c r="L1030" s="34" t="n"/>
    </row>
    <row r="1031">
      <c r="A1031" t="inlineStr">
        <is>
          <t>ENC116448</t>
        </is>
      </c>
      <c r="B1031" t="inlineStr">
        <is>
          <t>PT10601</t>
        </is>
      </c>
      <c r="C1031" t="inlineStr">
        <is>
          <t>Outpatient</t>
        </is>
      </c>
      <c r="D1031" t="inlineStr">
        <is>
          <t>F04</t>
        </is>
      </c>
      <c r="E1031" t="inlineStr">
        <is>
          <t>D400</t>
        </is>
      </c>
      <c r="G1031" s="32" t="n">
        <v>45840.46875</v>
      </c>
      <c r="H1031" s="32" t="n">
        <v>45840.48611111111</v>
      </c>
      <c r="I1031" t="inlineStr">
        <is>
          <t>F41.9</t>
        </is>
      </c>
      <c r="J1031" t="inlineStr">
        <is>
          <t>PY05</t>
        </is>
      </c>
      <c r="K1031" s="33" t="n">
        <v>265.75</v>
      </c>
      <c r="L1031" s="34" t="n"/>
    </row>
    <row r="1032">
      <c r="A1032" t="inlineStr">
        <is>
          <t>ENC116452</t>
        </is>
      </c>
      <c r="B1032" t="inlineStr">
        <is>
          <t>PT10014</t>
        </is>
      </c>
      <c r="C1032" t="inlineStr">
        <is>
          <t>Outpatient</t>
        </is>
      </c>
      <c r="D1032" t="inlineStr">
        <is>
          <t>F04</t>
        </is>
      </c>
      <c r="E1032" t="inlineStr">
        <is>
          <t>D450</t>
        </is>
      </c>
      <c r="G1032" s="32" t="n">
        <v>45840.5625</v>
      </c>
      <c r="H1032" s="32" t="n">
        <v>45840.58611111111</v>
      </c>
      <c r="I1032" t="inlineStr">
        <is>
          <t>Z00.129</t>
        </is>
      </c>
      <c r="J1032" t="inlineStr">
        <is>
          <t>PY03</t>
        </is>
      </c>
      <c r="K1032" s="33" t="n">
        <v>301.58</v>
      </c>
      <c r="L1032" s="34" t="n"/>
    </row>
    <row r="1033">
      <c r="A1033" t="inlineStr">
        <is>
          <t>ENC116459</t>
        </is>
      </c>
      <c r="B1033" t="inlineStr">
        <is>
          <t>PT10343</t>
        </is>
      </c>
      <c r="C1033" t="inlineStr">
        <is>
          <t>Emergency</t>
        </is>
      </c>
      <c r="D1033" t="inlineStr">
        <is>
          <t>F01</t>
        </is>
      </c>
      <c r="E1033" t="inlineStr">
        <is>
          <t>D100</t>
        </is>
      </c>
      <c r="G1033" s="32" t="n">
        <v>45840.73055555556</v>
      </c>
      <c r="H1033" s="32" t="n">
        <v>45840.82916666667</v>
      </c>
      <c r="I1033" t="inlineStr">
        <is>
          <t>E86.0</t>
        </is>
      </c>
      <c r="J1033" t="inlineStr">
        <is>
          <t>PY07</t>
        </is>
      </c>
      <c r="K1033" s="33" t="n">
        <v>1823.85</v>
      </c>
      <c r="L1033" s="34" t="n"/>
    </row>
    <row r="1034">
      <c r="A1034" t="inlineStr">
        <is>
          <t>ENC116464</t>
        </is>
      </c>
      <c r="B1034" t="inlineStr">
        <is>
          <t>PT11925</t>
        </is>
      </c>
      <c r="C1034" t="inlineStr">
        <is>
          <t>Emergency</t>
        </is>
      </c>
      <c r="D1034" t="inlineStr">
        <is>
          <t>F01</t>
        </is>
      </c>
      <c r="E1034" t="inlineStr">
        <is>
          <t>D100</t>
        </is>
      </c>
      <c r="G1034" s="32" t="n">
        <v>45840.94305555556</v>
      </c>
      <c r="H1034" s="32" t="n">
        <v>45841.03680555556</v>
      </c>
      <c r="I1034" t="inlineStr">
        <is>
          <t>J06.9</t>
        </is>
      </c>
      <c r="J1034" t="inlineStr">
        <is>
          <t>PY05</t>
        </is>
      </c>
      <c r="K1034" s="33" t="n">
        <v>1359.84</v>
      </c>
      <c r="L1034" s="34" t="n"/>
    </row>
    <row r="1035">
      <c r="A1035" t="inlineStr">
        <is>
          <t>ENC116469</t>
        </is>
      </c>
      <c r="B1035" t="inlineStr">
        <is>
          <t>PT13303</t>
        </is>
      </c>
      <c r="C1035" t="inlineStr">
        <is>
          <t>Inpatient</t>
        </is>
      </c>
      <c r="D1035" t="inlineStr">
        <is>
          <t>F01</t>
        </is>
      </c>
      <c r="E1035" t="inlineStr">
        <is>
          <t>D140</t>
        </is>
      </c>
      <c r="F1035" t="inlineStr">
        <is>
          <t>Elective</t>
        </is>
      </c>
      <c r="G1035" s="32" t="n">
        <v>45841.29652777778</v>
      </c>
      <c r="H1035" s="32" t="n">
        <v>45842.60208333333</v>
      </c>
      <c r="I1035" t="inlineStr">
        <is>
          <t>M16.11</t>
        </is>
      </c>
      <c r="J1035" t="inlineStr">
        <is>
          <t>PY01</t>
        </is>
      </c>
      <c r="K1035" s="33" t="n">
        <v>41296.28</v>
      </c>
      <c r="L1035" s="34" t="n"/>
    </row>
    <row r="1036">
      <c r="A1036" t="inlineStr">
        <is>
          <t>ENC116474</t>
        </is>
      </c>
      <c r="B1036" t="inlineStr">
        <is>
          <t>PT12193</t>
        </is>
      </c>
      <c r="C1036" t="inlineStr">
        <is>
          <t>Emergency</t>
        </is>
      </c>
      <c r="D1036" t="inlineStr">
        <is>
          <t>F02</t>
        </is>
      </c>
      <c r="E1036" t="inlineStr">
        <is>
          <t>D200</t>
        </is>
      </c>
      <c r="G1036" s="32" t="n">
        <v>45841.38611111111</v>
      </c>
      <c r="H1036" s="32" t="n">
        <v>45841.47708333333</v>
      </c>
      <c r="I1036" t="inlineStr">
        <is>
          <t>M54.50</t>
        </is>
      </c>
      <c r="J1036" t="inlineStr">
        <is>
          <t>PY01</t>
        </is>
      </c>
      <c r="K1036" s="33" t="n">
        <v>1282.03</v>
      </c>
      <c r="L1036" s="34" t="n"/>
    </row>
    <row r="1037">
      <c r="A1037" t="inlineStr">
        <is>
          <t>ENC116482</t>
        </is>
      </c>
      <c r="B1037" t="inlineStr">
        <is>
          <t>PT13829</t>
        </is>
      </c>
      <c r="C1037" t="inlineStr">
        <is>
          <t>Outpatient</t>
        </is>
      </c>
      <c r="D1037" t="inlineStr">
        <is>
          <t>F04</t>
        </is>
      </c>
      <c r="E1037" t="inlineStr">
        <is>
          <t>D440</t>
        </is>
      </c>
      <c r="G1037" s="32" t="n">
        <v>45841.48958333334</v>
      </c>
      <c r="H1037" s="32" t="n">
        <v>45841.51597222222</v>
      </c>
      <c r="I1037" t="inlineStr">
        <is>
          <t>E11.9</t>
        </is>
      </c>
      <c r="J1037" t="inlineStr">
        <is>
          <t>PY02</t>
        </is>
      </c>
      <c r="K1037" s="33" t="n">
        <v>152.17</v>
      </c>
      <c r="L1037" s="34" t="n"/>
    </row>
    <row r="1038">
      <c r="A1038" t="inlineStr">
        <is>
          <t>ENC116487</t>
        </is>
      </c>
      <c r="B1038" t="inlineStr">
        <is>
          <t>PT12277</t>
        </is>
      </c>
      <c r="C1038" t="inlineStr">
        <is>
          <t>Emergency</t>
        </is>
      </c>
      <c r="D1038" t="inlineStr">
        <is>
          <t>F03</t>
        </is>
      </c>
      <c r="E1038" t="inlineStr">
        <is>
          <t>D300</t>
        </is>
      </c>
      <c r="G1038" s="32" t="n">
        <v>45841.53263888889</v>
      </c>
      <c r="H1038" s="32" t="n">
        <v>45841.73125</v>
      </c>
      <c r="I1038" t="inlineStr">
        <is>
          <t>R07.9</t>
        </is>
      </c>
      <c r="J1038" t="inlineStr">
        <is>
          <t>PY02</t>
        </is>
      </c>
      <c r="K1038" s="33" t="n">
        <v>2655.91</v>
      </c>
      <c r="L1038" s="34" t="n"/>
    </row>
    <row r="1039">
      <c r="A1039" t="inlineStr">
        <is>
          <t>ENC116489</t>
        </is>
      </c>
      <c r="B1039" t="inlineStr">
        <is>
          <t>PT11616</t>
        </is>
      </c>
      <c r="C1039" t="inlineStr">
        <is>
          <t>Inpatient</t>
        </is>
      </c>
      <c r="D1039" t="inlineStr">
        <is>
          <t>F01</t>
        </is>
      </c>
      <c r="E1039" t="inlineStr">
        <is>
          <t>D111</t>
        </is>
      </c>
      <c r="F1039" t="inlineStr">
        <is>
          <t>Emergency Department</t>
        </is>
      </c>
      <c r="G1039" s="32" t="n">
        <v>45841.64027777778</v>
      </c>
      <c r="H1039" s="32" t="n">
        <v>45847.53819444445</v>
      </c>
      <c r="I1039" t="inlineStr">
        <is>
          <t>E87.1</t>
        </is>
      </c>
      <c r="J1039" t="inlineStr">
        <is>
          <t>PY03</t>
        </is>
      </c>
      <c r="K1039" s="33" t="n">
        <v>21295.02</v>
      </c>
      <c r="L1039" s="34" t="n"/>
    </row>
    <row r="1040">
      <c r="A1040" t="inlineStr">
        <is>
          <t>ENC116492</t>
        </is>
      </c>
      <c r="B1040" t="inlineStr">
        <is>
          <t>PT11767</t>
        </is>
      </c>
      <c r="C1040" t="inlineStr">
        <is>
          <t>Observation</t>
        </is>
      </c>
      <c r="D1040" t="inlineStr">
        <is>
          <t>F01</t>
        </is>
      </c>
      <c r="E1040" t="inlineStr">
        <is>
          <t>D195</t>
        </is>
      </c>
      <c r="F1040" t="inlineStr">
        <is>
          <t>Emergency Department</t>
        </is>
      </c>
      <c r="G1040" s="32" t="n">
        <v>45841.73958333334</v>
      </c>
      <c r="H1040" s="32" t="n">
        <v>45842.51944444444</v>
      </c>
      <c r="I1040" t="inlineStr">
        <is>
          <t>J21.9</t>
        </is>
      </c>
      <c r="J1040" t="inlineStr">
        <is>
          <t>PY05</t>
        </is>
      </c>
      <c r="K1040" s="33" t="n">
        <v>8960.65</v>
      </c>
      <c r="L1040" s="34" t="n"/>
    </row>
    <row r="1041">
      <c r="A1041" t="inlineStr">
        <is>
          <t>ENC116503</t>
        </is>
      </c>
      <c r="B1041" t="inlineStr">
        <is>
          <t>PT11955</t>
        </is>
      </c>
      <c r="C1041" t="inlineStr">
        <is>
          <t>Outpatient</t>
        </is>
      </c>
      <c r="D1041" t="inlineStr">
        <is>
          <t>F04</t>
        </is>
      </c>
      <c r="E1041" t="inlineStr">
        <is>
          <t>D400</t>
        </is>
      </c>
      <c r="G1041" s="32" t="n">
        <v>45842.34375</v>
      </c>
      <c r="H1041" s="32" t="n">
        <v>45842.36527777778</v>
      </c>
      <c r="I1041" t="inlineStr">
        <is>
          <t>I10</t>
        </is>
      </c>
      <c r="J1041" t="inlineStr">
        <is>
          <t>PY01</t>
        </is>
      </c>
      <c r="K1041" s="33" t="n">
        <v>259.05</v>
      </c>
      <c r="L1041" s="34" t="n"/>
    </row>
    <row r="1042">
      <c r="A1042" t="inlineStr">
        <is>
          <t>ENC116509</t>
        </is>
      </c>
      <c r="B1042" t="inlineStr">
        <is>
          <t>PT11733</t>
        </is>
      </c>
      <c r="C1042" t="inlineStr">
        <is>
          <t>Outpatient</t>
        </is>
      </c>
      <c r="D1042" t="inlineStr">
        <is>
          <t>F04</t>
        </is>
      </c>
      <c r="E1042" t="inlineStr">
        <is>
          <t>D430</t>
        </is>
      </c>
      <c r="G1042" s="32" t="n">
        <v>45842.42708333334</v>
      </c>
      <c r="H1042" s="32" t="n">
        <v>45842.44305555556</v>
      </c>
      <c r="I1042" t="inlineStr">
        <is>
          <t>C34.90</t>
        </is>
      </c>
      <c r="J1042" t="inlineStr">
        <is>
          <t>PY02</t>
        </is>
      </c>
      <c r="K1042" s="33" t="n">
        <v>696.61</v>
      </c>
      <c r="L1042" s="34" t="n"/>
    </row>
    <row r="1043">
      <c r="A1043" t="inlineStr">
        <is>
          <t>ENC116515</t>
        </is>
      </c>
      <c r="B1043" t="inlineStr">
        <is>
          <t>PT13015</t>
        </is>
      </c>
      <c r="C1043" t="inlineStr">
        <is>
          <t>Outpatient</t>
        </is>
      </c>
      <c r="D1043" t="inlineStr">
        <is>
          <t>F04</t>
        </is>
      </c>
      <c r="E1043" t="inlineStr">
        <is>
          <t>D450</t>
        </is>
      </c>
      <c r="G1043" s="32" t="n">
        <v>45842.53125</v>
      </c>
      <c r="H1043" s="32" t="n">
        <v>45842.54791666667</v>
      </c>
      <c r="I1043" t="inlineStr">
        <is>
          <t>J45.909</t>
        </is>
      </c>
      <c r="J1043" t="inlineStr">
        <is>
          <t>PY03</t>
        </is>
      </c>
      <c r="K1043" s="33" t="n">
        <v>157.99</v>
      </c>
      <c r="L1043" s="34" t="n"/>
    </row>
    <row r="1044">
      <c r="A1044" t="inlineStr">
        <is>
          <t>ENC116521</t>
        </is>
      </c>
      <c r="B1044" t="inlineStr">
        <is>
          <t>PT11209</t>
        </is>
      </c>
      <c r="C1044" t="inlineStr">
        <is>
          <t>Emergency</t>
        </is>
      </c>
      <c r="D1044" t="inlineStr">
        <is>
          <t>F01</t>
        </is>
      </c>
      <c r="E1044" t="inlineStr">
        <is>
          <t>D100</t>
        </is>
      </c>
      <c r="G1044" s="32" t="n">
        <v>45842.60347222222</v>
      </c>
      <c r="H1044" s="32" t="n">
        <v>45842.70138888889</v>
      </c>
      <c r="I1044" t="inlineStr">
        <is>
          <t>R10.9</t>
        </is>
      </c>
      <c r="J1044" t="inlineStr">
        <is>
          <t>PY01</t>
        </is>
      </c>
      <c r="K1044" s="33" t="n">
        <v>1262.77</v>
      </c>
      <c r="L1044" s="34" t="n"/>
    </row>
    <row r="1045">
      <c r="A1045" t="inlineStr">
        <is>
          <t>ENC116518</t>
        </is>
      </c>
      <c r="B1045" t="inlineStr">
        <is>
          <t>PT10618</t>
        </is>
      </c>
      <c r="C1045" t="inlineStr">
        <is>
          <t>Inpatient</t>
        </is>
      </c>
      <c r="D1045" t="inlineStr">
        <is>
          <t>F01</t>
        </is>
      </c>
      <c r="E1045" t="inlineStr">
        <is>
          <t>D111</t>
        </is>
      </c>
      <c r="F1045" t="inlineStr">
        <is>
          <t>Emergency Department</t>
        </is>
      </c>
      <c r="G1045" s="32" t="n">
        <v>45842.81388888889</v>
      </c>
      <c r="H1045" s="32" t="n">
        <v>45849.52708333333</v>
      </c>
      <c r="I1045" t="inlineStr">
        <is>
          <t>N17.9</t>
        </is>
      </c>
      <c r="J1045" t="inlineStr">
        <is>
          <t>PY01</t>
        </is>
      </c>
      <c r="K1045" s="33" t="n">
        <v>33943.66</v>
      </c>
      <c r="L1045" s="34" t="n"/>
    </row>
    <row r="1046">
      <c r="A1046" t="inlineStr">
        <is>
          <t>ENC116530</t>
        </is>
      </c>
      <c r="B1046" t="inlineStr">
        <is>
          <t>PT11161</t>
        </is>
      </c>
      <c r="C1046" t="inlineStr">
        <is>
          <t>Emergency</t>
        </is>
      </c>
      <c r="D1046" t="inlineStr">
        <is>
          <t>F02</t>
        </is>
      </c>
      <c r="E1046" t="inlineStr">
        <is>
          <t>D200</t>
        </is>
      </c>
      <c r="G1046" s="32" t="n">
        <v>45843.01875</v>
      </c>
      <c r="H1046" s="32" t="n">
        <v>45843.09652777778</v>
      </c>
      <c r="I1046" t="inlineStr">
        <is>
          <t>S06.0X0A</t>
        </is>
      </c>
      <c r="J1046" t="inlineStr">
        <is>
          <t>PY01</t>
        </is>
      </c>
      <c r="K1046" s="33" t="n">
        <v>786.6900000000001</v>
      </c>
      <c r="L1046" s="34" t="n"/>
    </row>
    <row r="1047">
      <c r="A1047" t="inlineStr">
        <is>
          <t>ENC116536</t>
        </is>
      </c>
      <c r="B1047" t="inlineStr">
        <is>
          <t>PT13726</t>
        </is>
      </c>
      <c r="C1047" t="inlineStr">
        <is>
          <t>Emergency</t>
        </is>
      </c>
      <c r="D1047" t="inlineStr">
        <is>
          <t>F02</t>
        </is>
      </c>
      <c r="E1047" t="inlineStr">
        <is>
          <t>D200</t>
        </is>
      </c>
      <c r="G1047" s="32" t="n">
        <v>45843.63819444444</v>
      </c>
      <c r="H1047" s="32" t="n">
        <v>45843.74375</v>
      </c>
      <c r="I1047" t="inlineStr">
        <is>
          <t>M54.50</t>
        </is>
      </c>
      <c r="J1047" t="inlineStr">
        <is>
          <t>PY01</t>
        </is>
      </c>
      <c r="K1047" s="33" t="n">
        <v>1364.28</v>
      </c>
      <c r="L1047" s="34" t="n"/>
    </row>
    <row r="1048">
      <c r="A1048" t="inlineStr">
        <is>
          <t>ENC116542</t>
        </is>
      </c>
      <c r="B1048" t="inlineStr">
        <is>
          <t>PT11121</t>
        </is>
      </c>
      <c r="C1048" t="inlineStr">
        <is>
          <t>Emergency</t>
        </is>
      </c>
      <c r="D1048" t="inlineStr">
        <is>
          <t>F02</t>
        </is>
      </c>
      <c r="E1048" t="inlineStr">
        <is>
          <t>D200</t>
        </is>
      </c>
      <c r="G1048" s="32" t="n">
        <v>45843.89236111111</v>
      </c>
      <c r="H1048" s="32" t="n">
        <v>45844.05902777778</v>
      </c>
      <c r="I1048" t="inlineStr">
        <is>
          <t>K80.20</t>
        </is>
      </c>
      <c r="J1048" t="inlineStr">
        <is>
          <t>PY01</t>
        </is>
      </c>
      <c r="K1048" s="33" t="n">
        <v>3271.19</v>
      </c>
      <c r="L1048" s="34" t="n"/>
    </row>
    <row r="1049">
      <c r="A1049" t="inlineStr">
        <is>
          <t>ENC116547</t>
        </is>
      </c>
      <c r="B1049" t="inlineStr">
        <is>
          <t>PT13846</t>
        </is>
      </c>
      <c r="C1049" t="inlineStr">
        <is>
          <t>Emergency</t>
        </is>
      </c>
      <c r="D1049" t="inlineStr">
        <is>
          <t>F01</t>
        </is>
      </c>
      <c r="E1049" t="inlineStr">
        <is>
          <t>D100</t>
        </is>
      </c>
      <c r="G1049" s="32" t="n">
        <v>45844.48888888889</v>
      </c>
      <c r="H1049" s="32" t="n">
        <v>45844.55763888889</v>
      </c>
      <c r="I1049" t="inlineStr">
        <is>
          <t>S93.401A</t>
        </is>
      </c>
      <c r="J1049" t="inlineStr">
        <is>
          <t>PY04</t>
        </is>
      </c>
      <c r="K1049" s="33" t="n">
        <v>870.08</v>
      </c>
      <c r="L1049" s="34" t="n"/>
    </row>
    <row r="1050">
      <c r="A1050" t="inlineStr">
        <is>
          <t>ENC116548</t>
        </is>
      </c>
      <c r="B1050" t="inlineStr">
        <is>
          <t>PT13561</t>
        </is>
      </c>
      <c r="C1050" t="inlineStr">
        <is>
          <t>Inpatient</t>
        </is>
      </c>
      <c r="D1050" t="inlineStr">
        <is>
          <t>F01</t>
        </is>
      </c>
      <c r="E1050" t="inlineStr">
        <is>
          <t>D110</t>
        </is>
      </c>
      <c r="F1050" t="inlineStr">
        <is>
          <t>Emergency Department</t>
        </is>
      </c>
      <c r="G1050" s="32" t="n">
        <v>45844.69513888889</v>
      </c>
      <c r="H1050" s="32" t="n">
        <v>45847.69791666666</v>
      </c>
      <c r="I1050" t="inlineStr">
        <is>
          <t>E11.65</t>
        </is>
      </c>
      <c r="J1050" t="inlineStr">
        <is>
          <t>PY04</t>
        </is>
      </c>
      <c r="K1050" s="33" t="n">
        <v>11975.83</v>
      </c>
      <c r="L1050" s="34" t="n"/>
    </row>
    <row r="1051">
      <c r="A1051" t="inlineStr">
        <is>
          <t>ENC116557</t>
        </is>
      </c>
      <c r="B1051" t="inlineStr">
        <is>
          <t>PT13678</t>
        </is>
      </c>
      <c r="C1051" t="inlineStr">
        <is>
          <t>Inpatient</t>
        </is>
      </c>
      <c r="D1051" t="inlineStr">
        <is>
          <t>F01</t>
        </is>
      </c>
      <c r="E1051" t="inlineStr">
        <is>
          <t>D110</t>
        </is>
      </c>
      <c r="F1051" t="inlineStr">
        <is>
          <t>Emergency Department</t>
        </is>
      </c>
      <c r="G1051" s="32" t="n">
        <v>45845.03263888889</v>
      </c>
      <c r="H1051" s="32" t="n">
        <v>45847.47361111111</v>
      </c>
      <c r="I1051" t="inlineStr">
        <is>
          <t>N17.9</t>
        </is>
      </c>
      <c r="J1051" t="inlineStr">
        <is>
          <t>PY02</t>
        </is>
      </c>
      <c r="K1051" s="33" t="n">
        <v>15351.07</v>
      </c>
      <c r="L1051" s="34" t="n"/>
    </row>
    <row r="1052">
      <c r="A1052" t="inlineStr">
        <is>
          <t>ENC116565</t>
        </is>
      </c>
      <c r="B1052" t="inlineStr">
        <is>
          <t>PT10716</t>
        </is>
      </c>
      <c r="C1052" t="inlineStr">
        <is>
          <t>Outpatient</t>
        </is>
      </c>
      <c r="D1052" t="inlineStr">
        <is>
          <t>F04</t>
        </is>
      </c>
      <c r="E1052" t="inlineStr">
        <is>
          <t>D400</t>
        </is>
      </c>
      <c r="G1052" s="32" t="n">
        <v>45845.36458333334</v>
      </c>
      <c r="H1052" s="32" t="n">
        <v>45845.39097222222</v>
      </c>
      <c r="I1052" t="inlineStr">
        <is>
          <t>Z00.00</t>
        </is>
      </c>
      <c r="J1052" t="inlineStr">
        <is>
          <t>PY01</t>
        </is>
      </c>
      <c r="K1052" s="33" t="n">
        <v>369.78</v>
      </c>
      <c r="L1052" s="34" t="n"/>
    </row>
    <row r="1053">
      <c r="A1053" t="inlineStr">
        <is>
          <t>ENC116566</t>
        </is>
      </c>
      <c r="B1053" t="inlineStr">
        <is>
          <t>PT12575</t>
        </is>
      </c>
      <c r="C1053" t="inlineStr">
        <is>
          <t>Inpatient</t>
        </is>
      </c>
      <c r="D1053" t="inlineStr">
        <is>
          <t>F01</t>
        </is>
      </c>
      <c r="E1053" t="inlineStr">
        <is>
          <t>D170</t>
        </is>
      </c>
      <c r="F1053" t="inlineStr">
        <is>
          <t>Emergency Department</t>
        </is>
      </c>
      <c r="G1053" s="32" t="n">
        <v>45845.48541666667</v>
      </c>
      <c r="H1053" s="32" t="n">
        <v>45847.59583333333</v>
      </c>
      <c r="I1053" t="inlineStr">
        <is>
          <t>O80</t>
        </is>
      </c>
      <c r="J1053" t="inlineStr">
        <is>
          <t>PY03</t>
        </is>
      </c>
      <c r="K1053" s="33" t="n">
        <v>20892.96</v>
      </c>
      <c r="L1053" s="34" t="n"/>
    </row>
    <row r="1054">
      <c r="A1054" t="inlineStr">
        <is>
          <t>ENC116578</t>
        </is>
      </c>
      <c r="B1054" t="inlineStr">
        <is>
          <t>PT10902</t>
        </is>
      </c>
      <c r="C1054" t="inlineStr">
        <is>
          <t>Outpatient</t>
        </is>
      </c>
      <c r="D1054" t="inlineStr">
        <is>
          <t>F04</t>
        </is>
      </c>
      <c r="E1054" t="inlineStr">
        <is>
          <t>D430</t>
        </is>
      </c>
      <c r="G1054" s="32" t="n">
        <v>45845.53125</v>
      </c>
      <c r="H1054" s="32" t="n">
        <v>45845.63680555556</v>
      </c>
      <c r="I1054" t="inlineStr">
        <is>
          <t>Z51.11</t>
        </is>
      </c>
      <c r="J1054" t="inlineStr">
        <is>
          <t>PY03</t>
        </is>
      </c>
      <c r="K1054" s="33" t="n">
        <v>8055.28</v>
      </c>
      <c r="L1054" s="34" t="n"/>
    </row>
    <row r="1055">
      <c r="A1055" t="inlineStr">
        <is>
          <t>ENC116582</t>
        </is>
      </c>
      <c r="B1055" t="inlineStr">
        <is>
          <t>PT11397</t>
        </is>
      </c>
      <c r="C1055" t="inlineStr">
        <is>
          <t>Outpatient</t>
        </is>
      </c>
      <c r="D1055" t="inlineStr">
        <is>
          <t>F04</t>
        </is>
      </c>
      <c r="E1055" t="inlineStr">
        <is>
          <t>D440</t>
        </is>
      </c>
      <c r="G1055" s="32" t="n">
        <v>45845.58333333334</v>
      </c>
      <c r="H1055" s="32" t="n">
        <v>45845.59375</v>
      </c>
      <c r="I1055" t="inlineStr">
        <is>
          <t>E11.9</t>
        </is>
      </c>
      <c r="J1055" t="inlineStr">
        <is>
          <t>PY03</t>
        </is>
      </c>
      <c r="K1055" s="33" t="n">
        <v>300.15</v>
      </c>
      <c r="L1055" s="34" t="n"/>
    </row>
    <row r="1056">
      <c r="A1056" t="inlineStr">
        <is>
          <t>ENC116588</t>
        </is>
      </c>
      <c r="B1056" t="inlineStr">
        <is>
          <t>PT10499</t>
        </is>
      </c>
      <c r="C1056" t="inlineStr">
        <is>
          <t>Emergency</t>
        </is>
      </c>
      <c r="D1056" t="inlineStr">
        <is>
          <t>F01</t>
        </is>
      </c>
      <c r="E1056" t="inlineStr">
        <is>
          <t>D100</t>
        </is>
      </c>
      <c r="G1056" s="32" t="n">
        <v>45845.68541666667</v>
      </c>
      <c r="H1056" s="32" t="n">
        <v>45845.79513888889</v>
      </c>
      <c r="I1056" t="inlineStr">
        <is>
          <t>U07.1</t>
        </is>
      </c>
      <c r="J1056" t="inlineStr">
        <is>
          <t>PY01</t>
        </is>
      </c>
      <c r="K1056" s="33" t="n">
        <v>3879.98</v>
      </c>
      <c r="L1056" s="34" t="n"/>
    </row>
    <row r="1057">
      <c r="A1057" t="inlineStr">
        <is>
          <t>ENC116593</t>
        </is>
      </c>
      <c r="B1057" t="inlineStr">
        <is>
          <t>PT12372</t>
        </is>
      </c>
      <c r="C1057" t="inlineStr">
        <is>
          <t>Emergency</t>
        </is>
      </c>
      <c r="D1057" t="inlineStr">
        <is>
          <t>F01</t>
        </is>
      </c>
      <c r="E1057" t="inlineStr">
        <is>
          <t>D100</t>
        </is>
      </c>
      <c r="G1057" s="32" t="n">
        <v>45845.89444444444</v>
      </c>
      <c r="H1057" s="32" t="n">
        <v>45846.00902777778</v>
      </c>
      <c r="I1057" t="inlineStr">
        <is>
          <t>F32.9</t>
        </is>
      </c>
      <c r="J1057" t="inlineStr">
        <is>
          <t>PY05</t>
        </is>
      </c>
      <c r="K1057" s="33" t="n">
        <v>5468.25</v>
      </c>
      <c r="L1057" s="34" t="n"/>
    </row>
    <row r="1058">
      <c r="A1058" t="inlineStr">
        <is>
          <t>ENC116598</t>
        </is>
      </c>
      <c r="B1058" t="inlineStr">
        <is>
          <t>PT12232</t>
        </is>
      </c>
      <c r="C1058" t="inlineStr">
        <is>
          <t>Inpatient</t>
        </is>
      </c>
      <c r="D1058" t="inlineStr">
        <is>
          <t>F01</t>
        </is>
      </c>
      <c r="E1058" t="inlineStr">
        <is>
          <t>D170</t>
        </is>
      </c>
      <c r="F1058" t="inlineStr">
        <is>
          <t>Direct Admit</t>
        </is>
      </c>
      <c r="G1058" s="32" t="n">
        <v>45846.00972222222</v>
      </c>
      <c r="H1058" s="32" t="n">
        <v>45848.57777777778</v>
      </c>
      <c r="I1058" t="inlineStr">
        <is>
          <t>O80</t>
        </is>
      </c>
      <c r="J1058" t="inlineStr">
        <is>
          <t>PY06</t>
        </is>
      </c>
      <c r="K1058" s="33" t="n">
        <v>15661.47</v>
      </c>
      <c r="L1058" s="34" t="n"/>
    </row>
    <row r="1059">
      <c r="A1059" t="inlineStr">
        <is>
          <t>ENC116603</t>
        </is>
      </c>
      <c r="B1059" t="inlineStr">
        <is>
          <t>PT13980</t>
        </is>
      </c>
      <c r="C1059" t="inlineStr">
        <is>
          <t>Outpatient</t>
        </is>
      </c>
      <c r="D1059" t="inlineStr">
        <is>
          <t>F04</t>
        </is>
      </c>
      <c r="E1059" t="inlineStr">
        <is>
          <t>D400</t>
        </is>
      </c>
      <c r="G1059" s="32" t="n">
        <v>45846.375</v>
      </c>
      <c r="H1059" s="32" t="n">
        <v>45846.39583333334</v>
      </c>
      <c r="I1059" t="inlineStr">
        <is>
          <t>Z00.00</t>
        </is>
      </c>
      <c r="J1059" t="inlineStr">
        <is>
          <t>PY01</t>
        </is>
      </c>
      <c r="K1059" s="33" t="n">
        <v>260.2</v>
      </c>
      <c r="L1059" s="34" t="n"/>
    </row>
    <row r="1060">
      <c r="A1060" t="inlineStr">
        <is>
          <t>ENC116604</t>
        </is>
      </c>
      <c r="B1060" t="inlineStr">
        <is>
          <t>PT10837</t>
        </is>
      </c>
      <c r="C1060" t="inlineStr">
        <is>
          <t>Inpatient</t>
        </is>
      </c>
      <c r="D1060" t="inlineStr">
        <is>
          <t>F01</t>
        </is>
      </c>
      <c r="E1060" t="inlineStr">
        <is>
          <t>D111</t>
        </is>
      </c>
      <c r="F1060" t="inlineStr">
        <is>
          <t>Emergency Department</t>
        </is>
      </c>
      <c r="G1060" s="32" t="n">
        <v>45846.47638888889</v>
      </c>
      <c r="H1060" s="32" t="n">
        <v>45849.76388888889</v>
      </c>
      <c r="I1060" t="inlineStr">
        <is>
          <t>F10.239</t>
        </is>
      </c>
      <c r="J1060" t="inlineStr">
        <is>
          <t>PY03</t>
        </is>
      </c>
      <c r="K1060" s="33" t="n">
        <v>18594.84</v>
      </c>
      <c r="L1060" s="34" t="n"/>
    </row>
    <row r="1061">
      <c r="A1061" t="inlineStr">
        <is>
          <t>ENC116616</t>
        </is>
      </c>
      <c r="B1061" t="inlineStr">
        <is>
          <t>PT13989</t>
        </is>
      </c>
      <c r="C1061" t="inlineStr">
        <is>
          <t>Outpatient</t>
        </is>
      </c>
      <c r="D1061" t="inlineStr">
        <is>
          <t>F04</t>
        </is>
      </c>
      <c r="E1061" t="inlineStr">
        <is>
          <t>D400</t>
        </is>
      </c>
      <c r="G1061" s="32" t="n">
        <v>45846.54166666666</v>
      </c>
      <c r="H1061" s="32" t="n">
        <v>45846.55277777778</v>
      </c>
      <c r="I1061" t="inlineStr">
        <is>
          <t>I10</t>
        </is>
      </c>
      <c r="J1061" t="inlineStr">
        <is>
          <t>PY01</t>
        </is>
      </c>
      <c r="K1061" s="33" t="n">
        <v>330.42</v>
      </c>
      <c r="L1061" s="34" t="n"/>
    </row>
    <row r="1062">
      <c r="A1062" t="inlineStr">
        <is>
          <t>ENC116620</t>
        </is>
      </c>
      <c r="B1062" t="inlineStr">
        <is>
          <t>PT11975</t>
        </is>
      </c>
      <c r="C1062" t="inlineStr">
        <is>
          <t>Outpatient</t>
        </is>
      </c>
      <c r="D1062" t="inlineStr">
        <is>
          <t>F04</t>
        </is>
      </c>
      <c r="E1062" t="inlineStr">
        <is>
          <t>D400</t>
        </is>
      </c>
      <c r="G1062" s="32" t="n">
        <v>45846.60416666666</v>
      </c>
      <c r="H1062" s="32" t="n">
        <v>45846.61805555555</v>
      </c>
      <c r="I1062" t="inlineStr">
        <is>
          <t>E78.5</t>
        </is>
      </c>
      <c r="J1062" t="inlineStr">
        <is>
          <t>PY04</t>
        </is>
      </c>
      <c r="K1062" s="33" t="n">
        <v>156.54</v>
      </c>
      <c r="L1062" s="34" t="n"/>
    </row>
    <row r="1063">
      <c r="A1063" t="inlineStr">
        <is>
          <t>ENC116625</t>
        </is>
      </c>
      <c r="B1063" t="inlineStr">
        <is>
          <t>PT13938</t>
        </is>
      </c>
      <c r="C1063" t="inlineStr">
        <is>
          <t>Emergency</t>
        </is>
      </c>
      <c r="D1063" t="inlineStr">
        <is>
          <t>F01</t>
        </is>
      </c>
      <c r="E1063" t="inlineStr">
        <is>
          <t>D100</t>
        </is>
      </c>
      <c r="G1063" s="32" t="n">
        <v>45846.77152777778</v>
      </c>
      <c r="H1063" s="32" t="n">
        <v>45846.94722222222</v>
      </c>
      <c r="I1063" t="inlineStr">
        <is>
          <t>I10</t>
        </is>
      </c>
      <c r="J1063" t="inlineStr">
        <is>
          <t>PY01</t>
        </is>
      </c>
      <c r="K1063" s="33" t="n">
        <v>4327.46</v>
      </c>
      <c r="L1063" s="34" t="n"/>
    </row>
    <row r="1064">
      <c r="A1064" t="inlineStr">
        <is>
          <t>ENC116630</t>
        </is>
      </c>
      <c r="B1064" t="inlineStr">
        <is>
          <t>PT10081</t>
        </is>
      </c>
      <c r="C1064" t="inlineStr">
        <is>
          <t>Inpatient</t>
        </is>
      </c>
      <c r="D1064" t="inlineStr">
        <is>
          <t>F01</t>
        </is>
      </c>
      <c r="E1064" t="inlineStr">
        <is>
          <t>D140</t>
        </is>
      </c>
      <c r="F1064" t="inlineStr">
        <is>
          <t>Elective</t>
        </is>
      </c>
      <c r="G1064" s="32" t="n">
        <v>45847.23541666667</v>
      </c>
      <c r="H1064" s="32" t="n">
        <v>45851.51180555556</v>
      </c>
      <c r="I1064" t="inlineStr">
        <is>
          <t>M16.11</t>
        </is>
      </c>
      <c r="J1064" t="inlineStr">
        <is>
          <t>PY01</t>
        </is>
      </c>
      <c r="K1064" s="33" t="n">
        <v>62384.76</v>
      </c>
      <c r="L1064" s="34" t="n"/>
    </row>
    <row r="1065">
      <c r="A1065" t="inlineStr">
        <is>
          <t>ENC116637</t>
        </is>
      </c>
      <c r="B1065" t="inlineStr">
        <is>
          <t>PT10597</t>
        </is>
      </c>
      <c r="C1065" t="inlineStr">
        <is>
          <t>Emergency</t>
        </is>
      </c>
      <c r="D1065" t="inlineStr">
        <is>
          <t>F01</t>
        </is>
      </c>
      <c r="E1065" t="inlineStr">
        <is>
          <t>D100</t>
        </is>
      </c>
      <c r="G1065" s="32" t="n">
        <v>45847.41736111111</v>
      </c>
      <c r="H1065" s="32" t="n">
        <v>45847.54722222222</v>
      </c>
      <c r="I1065" t="inlineStr">
        <is>
          <t>J44.1</t>
        </is>
      </c>
      <c r="J1065" t="inlineStr">
        <is>
          <t>PY01</t>
        </is>
      </c>
      <c r="K1065" s="33" t="n">
        <v>3977.55</v>
      </c>
      <c r="L1065" s="34" t="n"/>
    </row>
    <row r="1066">
      <c r="A1066" t="inlineStr">
        <is>
          <t>ENC116647</t>
        </is>
      </c>
      <c r="B1066" t="inlineStr">
        <is>
          <t>PT13932</t>
        </is>
      </c>
      <c r="C1066" t="inlineStr">
        <is>
          <t>Emergency</t>
        </is>
      </c>
      <c r="D1066" t="inlineStr">
        <is>
          <t>F01</t>
        </is>
      </c>
      <c r="E1066" t="inlineStr">
        <is>
          <t>D100</t>
        </is>
      </c>
      <c r="G1066" s="32" t="n">
        <v>45847.52708333333</v>
      </c>
      <c r="H1066" s="32" t="n">
        <v>45847.68263888889</v>
      </c>
      <c r="I1066" t="inlineStr">
        <is>
          <t>F32.9</t>
        </is>
      </c>
      <c r="J1066" t="inlineStr">
        <is>
          <t>PY03</t>
        </is>
      </c>
      <c r="K1066" s="33" t="n">
        <v>2806.39</v>
      </c>
      <c r="L1066" s="34" t="n"/>
    </row>
    <row r="1067">
      <c r="A1067" t="inlineStr">
        <is>
          <t>ENC116642</t>
        </is>
      </c>
      <c r="B1067" t="inlineStr">
        <is>
          <t>PT10064</t>
        </is>
      </c>
      <c r="C1067" t="inlineStr">
        <is>
          <t>Inpatient</t>
        </is>
      </c>
      <c r="D1067" t="inlineStr">
        <is>
          <t>F01</t>
        </is>
      </c>
      <c r="E1067" t="inlineStr">
        <is>
          <t>D120</t>
        </is>
      </c>
      <c r="F1067" t="inlineStr">
        <is>
          <t>Emergency Department</t>
        </is>
      </c>
      <c r="G1067" s="32" t="n">
        <v>45847.58680555555</v>
      </c>
      <c r="H1067" s="32" t="n">
        <v>45851.66666666666</v>
      </c>
      <c r="I1067" t="inlineStr">
        <is>
          <t>I21.4</t>
        </is>
      </c>
      <c r="J1067" t="inlineStr">
        <is>
          <t>PY06</t>
        </is>
      </c>
      <c r="K1067" s="33" t="n">
        <v>63426.39</v>
      </c>
      <c r="L1067" s="34" t="n"/>
    </row>
    <row r="1068">
      <c r="A1068" t="inlineStr">
        <is>
          <t>ENC116646</t>
        </is>
      </c>
      <c r="B1068" t="inlineStr">
        <is>
          <t>PT10740</t>
        </is>
      </c>
      <c r="C1068" t="inlineStr">
        <is>
          <t>Inpatient</t>
        </is>
      </c>
      <c r="D1068" t="inlineStr">
        <is>
          <t>F01</t>
        </is>
      </c>
      <c r="E1068" t="inlineStr">
        <is>
          <t>D120</t>
        </is>
      </c>
      <c r="F1068" t="inlineStr">
        <is>
          <t>Emergency Department</t>
        </is>
      </c>
      <c r="G1068" s="32" t="n">
        <v>45847.69027777778</v>
      </c>
      <c r="H1068" s="32" t="n">
        <v>45850.60555555556</v>
      </c>
      <c r="I1068" t="inlineStr">
        <is>
          <t>I50.9</t>
        </is>
      </c>
      <c r="J1068" t="inlineStr">
        <is>
          <t>PY04</t>
        </is>
      </c>
      <c r="K1068" s="33" t="n">
        <v>18036.8</v>
      </c>
      <c r="L1068" s="34" t="n"/>
    </row>
    <row r="1069">
      <c r="A1069" t="inlineStr">
        <is>
          <t>ENC116659</t>
        </is>
      </c>
      <c r="B1069" t="inlineStr">
        <is>
          <t>PT10703</t>
        </is>
      </c>
      <c r="C1069" t="inlineStr">
        <is>
          <t>Inpatient</t>
        </is>
      </c>
      <c r="D1069" t="inlineStr">
        <is>
          <t>F01</t>
        </is>
      </c>
      <c r="E1069" t="inlineStr">
        <is>
          <t>D190</t>
        </is>
      </c>
      <c r="F1069" t="inlineStr">
        <is>
          <t>Transfer</t>
        </is>
      </c>
      <c r="G1069" s="32" t="n">
        <v>45847.74722222222</v>
      </c>
      <c r="H1069" s="32" t="n">
        <v>45855.64027777778</v>
      </c>
      <c r="I1069" t="inlineStr">
        <is>
          <t>F32.9</t>
        </is>
      </c>
      <c r="J1069" t="inlineStr">
        <is>
          <t>PY03</t>
        </is>
      </c>
      <c r="K1069" s="33" t="n">
        <v>23378.79</v>
      </c>
      <c r="L1069" s="34" t="n"/>
    </row>
    <row r="1070">
      <c r="A1070" t="inlineStr">
        <is>
          <t>ENC116664</t>
        </is>
      </c>
      <c r="B1070" t="inlineStr">
        <is>
          <t>PT10419</t>
        </is>
      </c>
      <c r="C1070" t="inlineStr">
        <is>
          <t>Inpatient</t>
        </is>
      </c>
      <c r="D1070" t="inlineStr">
        <is>
          <t>F01</t>
        </is>
      </c>
      <c r="E1070" t="inlineStr">
        <is>
          <t>D120</t>
        </is>
      </c>
      <c r="F1070" t="inlineStr">
        <is>
          <t>Emergency Department</t>
        </is>
      </c>
      <c r="G1070" s="32" t="n">
        <v>45847.99166666667</v>
      </c>
      <c r="H1070" s="32" t="n">
        <v>45849.41805555556</v>
      </c>
      <c r="I1070" t="inlineStr">
        <is>
          <t>I50.9</t>
        </is>
      </c>
      <c r="J1070" t="inlineStr">
        <is>
          <t>PY01</t>
        </is>
      </c>
      <c r="K1070" s="33" t="n">
        <v>10194.8</v>
      </c>
      <c r="L1070" s="34" t="n"/>
    </row>
    <row r="1071">
      <c r="A1071" t="inlineStr">
        <is>
          <t>ENC116670</t>
        </is>
      </c>
      <c r="B1071" t="inlineStr">
        <is>
          <t>PT12511</t>
        </is>
      </c>
      <c r="C1071" t="inlineStr">
        <is>
          <t>Emergency</t>
        </is>
      </c>
      <c r="D1071" t="inlineStr">
        <is>
          <t>F01</t>
        </is>
      </c>
      <c r="E1071" t="inlineStr">
        <is>
          <t>D100</t>
        </is>
      </c>
      <c r="G1071" s="32" t="n">
        <v>45848.29375</v>
      </c>
      <c r="H1071" s="32" t="n">
        <v>45848.4</v>
      </c>
      <c r="I1071" t="inlineStr">
        <is>
          <t>I10</t>
        </is>
      </c>
      <c r="J1071" t="inlineStr">
        <is>
          <t>PY02</t>
        </is>
      </c>
      <c r="K1071" s="33" t="n">
        <v>1338.09</v>
      </c>
      <c r="L1071" s="34" t="n"/>
    </row>
    <row r="1072">
      <c r="A1072" t="inlineStr">
        <is>
          <t>ENC116675</t>
        </is>
      </c>
      <c r="B1072" t="inlineStr">
        <is>
          <t>PT11476</t>
        </is>
      </c>
      <c r="C1072" t="inlineStr">
        <is>
          <t>Outpatient</t>
        </is>
      </c>
      <c r="D1072" t="inlineStr">
        <is>
          <t>F04</t>
        </is>
      </c>
      <c r="E1072" t="inlineStr">
        <is>
          <t>D420</t>
        </is>
      </c>
      <c r="G1072" s="32" t="n">
        <v>45848.39583333334</v>
      </c>
      <c r="H1072" s="32" t="n">
        <v>45848.43402777778</v>
      </c>
      <c r="I1072" t="inlineStr">
        <is>
          <t>M17.11</t>
        </is>
      </c>
      <c r="J1072" t="inlineStr">
        <is>
          <t>PY07</t>
        </is>
      </c>
      <c r="K1072" s="33" t="n">
        <v>157.64</v>
      </c>
      <c r="L1072" s="34" t="n"/>
    </row>
    <row r="1073">
      <c r="A1073" t="inlineStr">
        <is>
          <t>ENC116682</t>
        </is>
      </c>
      <c r="B1073" t="inlineStr">
        <is>
          <t>PT11908</t>
        </is>
      </c>
      <c r="C1073" t="inlineStr">
        <is>
          <t>Inpatient</t>
        </is>
      </c>
      <c r="D1073" t="inlineStr">
        <is>
          <t>F01</t>
        </is>
      </c>
      <c r="E1073" t="inlineStr">
        <is>
          <t>D111</t>
        </is>
      </c>
      <c r="F1073" t="inlineStr">
        <is>
          <t>Direct Admit</t>
        </is>
      </c>
      <c r="G1073" s="32" t="n">
        <v>45848.50555555556</v>
      </c>
      <c r="H1073" s="32" t="n">
        <v>45850.59583333333</v>
      </c>
      <c r="I1073" t="inlineStr">
        <is>
          <t>E11.65</t>
        </is>
      </c>
      <c r="J1073" t="inlineStr">
        <is>
          <t>PY04</t>
        </is>
      </c>
      <c r="K1073" s="33" t="n">
        <v>8262.200000000001</v>
      </c>
      <c r="L1073" s="34" t="n"/>
    </row>
    <row r="1074">
      <c r="A1074" t="inlineStr">
        <is>
          <t>ENC116686</t>
        </is>
      </c>
      <c r="B1074" t="inlineStr">
        <is>
          <t>PT13698</t>
        </is>
      </c>
      <c r="C1074" t="inlineStr">
        <is>
          <t>Emergency</t>
        </is>
      </c>
      <c r="D1074" t="inlineStr">
        <is>
          <t>F01</t>
        </is>
      </c>
      <c r="E1074" t="inlineStr">
        <is>
          <t>D100</t>
        </is>
      </c>
      <c r="G1074" s="32" t="n">
        <v>45848.53958333333</v>
      </c>
      <c r="H1074" s="32" t="n">
        <v>45848.68819444445</v>
      </c>
      <c r="I1074" t="inlineStr">
        <is>
          <t>K80.20</t>
        </is>
      </c>
      <c r="J1074" t="inlineStr">
        <is>
          <t>PY02</t>
        </is>
      </c>
      <c r="K1074" s="33" t="n">
        <v>2506.41</v>
      </c>
      <c r="L1074" s="34" t="n"/>
    </row>
    <row r="1075">
      <c r="A1075" t="inlineStr">
        <is>
          <t>ENC116693</t>
        </is>
      </c>
      <c r="B1075" t="inlineStr">
        <is>
          <t>PT12312</t>
        </is>
      </c>
      <c r="C1075" t="inlineStr">
        <is>
          <t>Outpatient</t>
        </is>
      </c>
      <c r="D1075" t="inlineStr">
        <is>
          <t>F04</t>
        </is>
      </c>
      <c r="E1075" t="inlineStr">
        <is>
          <t>D440</t>
        </is>
      </c>
      <c r="G1075" s="32" t="n">
        <v>45848.59375</v>
      </c>
      <c r="H1075" s="32" t="n">
        <v>45848.62291666667</v>
      </c>
      <c r="I1075" t="inlineStr">
        <is>
          <t>E11.9</t>
        </is>
      </c>
      <c r="J1075" t="inlineStr">
        <is>
          <t>PY01</t>
        </is>
      </c>
      <c r="K1075" s="33" t="n">
        <v>343.43</v>
      </c>
      <c r="L1075" s="34" t="n"/>
    </row>
    <row r="1076">
      <c r="A1076" t="inlineStr">
        <is>
          <t>ENC116687</t>
        </is>
      </c>
      <c r="B1076" t="inlineStr">
        <is>
          <t>PT12885</t>
        </is>
      </c>
      <c r="C1076" t="inlineStr">
        <is>
          <t>Inpatient</t>
        </is>
      </c>
      <c r="D1076" t="inlineStr">
        <is>
          <t>F01</t>
        </is>
      </c>
      <c r="E1076" t="inlineStr">
        <is>
          <t>D111</t>
        </is>
      </c>
      <c r="F1076" t="inlineStr">
        <is>
          <t>Emergency Department</t>
        </is>
      </c>
      <c r="G1076" s="32" t="n">
        <v>45848.71736111111</v>
      </c>
      <c r="H1076" s="32" t="n">
        <v>45853.49722222222</v>
      </c>
      <c r="I1076" t="inlineStr">
        <is>
          <t>J96.01</t>
        </is>
      </c>
      <c r="J1076" t="inlineStr">
        <is>
          <t>PY01</t>
        </is>
      </c>
      <c r="K1076" s="33" t="n">
        <v>45615.93</v>
      </c>
      <c r="L1076" s="34" t="n"/>
    </row>
    <row r="1077">
      <c r="A1077" t="inlineStr">
        <is>
          <t>ENC116703</t>
        </is>
      </c>
      <c r="B1077" t="inlineStr">
        <is>
          <t>PT13573</t>
        </is>
      </c>
      <c r="C1077" t="inlineStr">
        <is>
          <t>Inpatient</t>
        </is>
      </c>
      <c r="D1077" t="inlineStr">
        <is>
          <t>F01</t>
        </is>
      </c>
      <c r="E1077" t="inlineStr">
        <is>
          <t>D111</t>
        </is>
      </c>
      <c r="F1077" t="inlineStr">
        <is>
          <t>Emergency Department</t>
        </is>
      </c>
      <c r="G1077" s="32" t="n">
        <v>45848.98333333333</v>
      </c>
      <c r="H1077" s="32" t="n">
        <v>45851.44861111111</v>
      </c>
      <c r="I1077" t="inlineStr">
        <is>
          <t>E86.0</t>
        </is>
      </c>
      <c r="J1077" t="inlineStr">
        <is>
          <t>PY04</t>
        </is>
      </c>
      <c r="K1077" s="33" t="n">
        <v>10180.29</v>
      </c>
      <c r="L1077" s="34" t="n"/>
    </row>
    <row r="1078">
      <c r="A1078" t="inlineStr">
        <is>
          <t>ENC116709</t>
        </is>
      </c>
      <c r="B1078" t="inlineStr">
        <is>
          <t>PT11829</t>
        </is>
      </c>
      <c r="C1078" t="inlineStr">
        <is>
          <t>Outpatient</t>
        </is>
      </c>
      <c r="D1078" t="inlineStr">
        <is>
          <t>F04</t>
        </is>
      </c>
      <c r="E1078" t="inlineStr">
        <is>
          <t>D400</t>
        </is>
      </c>
      <c r="G1078" s="32" t="n">
        <v>45849.38541666666</v>
      </c>
      <c r="H1078" s="32" t="n">
        <v>45849.41805555556</v>
      </c>
      <c r="I1078" t="inlineStr">
        <is>
          <t>I10</t>
        </is>
      </c>
      <c r="J1078" t="inlineStr">
        <is>
          <t>PY02</t>
        </is>
      </c>
      <c r="K1078" s="33" t="n">
        <v>154.15</v>
      </c>
      <c r="L1078" s="34" t="n"/>
    </row>
    <row r="1079">
      <c r="A1079" t="inlineStr">
        <is>
          <t>ENC116714</t>
        </is>
      </c>
      <c r="B1079" t="inlineStr">
        <is>
          <t>PT11654</t>
        </is>
      </c>
      <c r="C1079" t="inlineStr">
        <is>
          <t>Outpatient</t>
        </is>
      </c>
      <c r="D1079" t="inlineStr">
        <is>
          <t>F04</t>
        </is>
      </c>
      <c r="E1079" t="inlineStr">
        <is>
          <t>D450</t>
        </is>
      </c>
      <c r="G1079" s="32" t="n">
        <v>45849.48958333334</v>
      </c>
      <c r="H1079" s="32" t="n">
        <v>45849.50208333333</v>
      </c>
      <c r="I1079" t="inlineStr">
        <is>
          <t>Z00.129</t>
        </is>
      </c>
      <c r="J1079" t="inlineStr">
        <is>
          <t>PY04</t>
        </is>
      </c>
      <c r="K1079" s="33" t="n">
        <v>258.21</v>
      </c>
      <c r="L1079" s="34" t="n"/>
    </row>
    <row r="1080">
      <c r="A1080" t="inlineStr">
        <is>
          <t>ENC116720</t>
        </is>
      </c>
      <c r="B1080" t="inlineStr">
        <is>
          <t>PT12840</t>
        </is>
      </c>
      <c r="C1080" t="inlineStr">
        <is>
          <t>Outpatient</t>
        </is>
      </c>
      <c r="D1080" t="inlineStr">
        <is>
          <t>F04</t>
        </is>
      </c>
      <c r="E1080" t="inlineStr">
        <is>
          <t>D450</t>
        </is>
      </c>
      <c r="G1080" s="32" t="n">
        <v>45849.5625</v>
      </c>
      <c r="H1080" s="32" t="n">
        <v>45849.57638888889</v>
      </c>
      <c r="I1080" t="inlineStr">
        <is>
          <t>Z00.129</t>
        </is>
      </c>
      <c r="J1080" t="inlineStr">
        <is>
          <t>PY04</t>
        </is>
      </c>
      <c r="K1080" s="33" t="n">
        <v>402.47</v>
      </c>
      <c r="L1080" s="34" t="n"/>
    </row>
    <row r="1081">
      <c r="A1081" t="inlineStr">
        <is>
          <t>ENC116728</t>
        </is>
      </c>
      <c r="B1081" t="inlineStr">
        <is>
          <t>PT10579</t>
        </is>
      </c>
      <c r="C1081" t="inlineStr">
        <is>
          <t>Outpatient</t>
        </is>
      </c>
      <c r="D1081" t="inlineStr">
        <is>
          <t>F04</t>
        </is>
      </c>
      <c r="E1081" t="inlineStr">
        <is>
          <t>D430</t>
        </is>
      </c>
      <c r="G1081" s="32" t="n">
        <v>45849.67708333334</v>
      </c>
      <c r="H1081" s="32" t="n">
        <v>45849.87916666667</v>
      </c>
      <c r="I1081" t="inlineStr">
        <is>
          <t>Z51.11</t>
        </is>
      </c>
      <c r="J1081" t="inlineStr">
        <is>
          <t>PY04</t>
        </is>
      </c>
      <c r="K1081" s="33" t="n">
        <v>8873.4</v>
      </c>
      <c r="L1081" s="34" t="n"/>
    </row>
    <row r="1082">
      <c r="A1082" t="inlineStr">
        <is>
          <t>ENC116733</t>
        </is>
      </c>
      <c r="B1082" t="inlineStr">
        <is>
          <t>PT13889</t>
        </is>
      </c>
      <c r="C1082" t="inlineStr">
        <is>
          <t>Emergency</t>
        </is>
      </c>
      <c r="D1082" t="inlineStr">
        <is>
          <t>F03</t>
        </is>
      </c>
      <c r="E1082" t="inlineStr">
        <is>
          <t>D300</t>
        </is>
      </c>
      <c r="G1082" s="32" t="n">
        <v>45849.81527777778</v>
      </c>
      <c r="H1082" s="32" t="n">
        <v>45849.9125</v>
      </c>
      <c r="I1082" t="inlineStr">
        <is>
          <t>N39.0</t>
        </is>
      </c>
      <c r="J1082" t="inlineStr">
        <is>
          <t>PY07</t>
        </is>
      </c>
      <c r="K1082" s="33" t="n">
        <v>3428.33</v>
      </c>
      <c r="L1082" s="34" t="n"/>
    </row>
    <row r="1083">
      <c r="A1083" t="inlineStr">
        <is>
          <t>ENC116735</t>
        </is>
      </c>
      <c r="B1083" t="inlineStr">
        <is>
          <t>PT13293</t>
        </is>
      </c>
      <c r="C1083" t="inlineStr">
        <is>
          <t>Inpatient</t>
        </is>
      </c>
      <c r="D1083" t="inlineStr">
        <is>
          <t>F01</t>
        </is>
      </c>
      <c r="E1083" t="inlineStr">
        <is>
          <t>D160</t>
        </is>
      </c>
      <c r="F1083" t="inlineStr">
        <is>
          <t>Emergency Department</t>
        </is>
      </c>
      <c r="G1083" s="32" t="n">
        <v>45850.07638888889</v>
      </c>
      <c r="H1083" s="32" t="n">
        <v>45853.67638888889</v>
      </c>
      <c r="I1083" t="inlineStr">
        <is>
          <t>G40.909</t>
        </is>
      </c>
      <c r="J1083" t="inlineStr">
        <is>
          <t>PY02</t>
        </is>
      </c>
      <c r="K1083" s="33" t="n">
        <v>35077.26</v>
      </c>
      <c r="L1083" s="34" t="n"/>
    </row>
    <row r="1084">
      <c r="A1084" t="inlineStr">
        <is>
          <t>ENC116742</t>
        </is>
      </c>
      <c r="B1084" t="inlineStr">
        <is>
          <t>PT12455</t>
        </is>
      </c>
      <c r="C1084" t="inlineStr">
        <is>
          <t>Emergency</t>
        </is>
      </c>
      <c r="D1084" t="inlineStr">
        <is>
          <t>F01</t>
        </is>
      </c>
      <c r="E1084" t="inlineStr">
        <is>
          <t>D100</t>
        </is>
      </c>
      <c r="G1084" s="32" t="n">
        <v>45850.52986111111</v>
      </c>
      <c r="H1084" s="32" t="n">
        <v>45850.69861111111</v>
      </c>
      <c r="I1084" t="inlineStr">
        <is>
          <t>E86.0</t>
        </is>
      </c>
      <c r="J1084" t="inlineStr">
        <is>
          <t>PY01</t>
        </is>
      </c>
      <c r="K1084" s="33" t="n">
        <v>2058.05</v>
      </c>
      <c r="L1084" s="34" t="n"/>
    </row>
    <row r="1085">
      <c r="A1085" t="inlineStr">
        <is>
          <t>ENC116750</t>
        </is>
      </c>
      <c r="B1085" t="inlineStr">
        <is>
          <t>PT12918</t>
        </is>
      </c>
      <c r="C1085" t="inlineStr">
        <is>
          <t>Emergency</t>
        </is>
      </c>
      <c r="D1085" t="inlineStr">
        <is>
          <t>F01</t>
        </is>
      </c>
      <c r="E1085" t="inlineStr">
        <is>
          <t>D100</t>
        </is>
      </c>
      <c r="G1085" s="32" t="n">
        <v>45850.73680555556</v>
      </c>
      <c r="H1085" s="32" t="n">
        <v>45850.95763888889</v>
      </c>
      <c r="I1085" t="inlineStr">
        <is>
          <t>E86.0</t>
        </is>
      </c>
      <c r="J1085" t="inlineStr">
        <is>
          <t>PY01</t>
        </is>
      </c>
      <c r="K1085" s="33" t="n">
        <v>3694.95</v>
      </c>
      <c r="L1085" s="34" t="n"/>
    </row>
    <row r="1086">
      <c r="A1086" t="inlineStr">
        <is>
          <t>ENC116754</t>
        </is>
      </c>
      <c r="B1086" t="inlineStr">
        <is>
          <t>PT10301</t>
        </is>
      </c>
      <c r="C1086" t="inlineStr">
        <is>
          <t>Inpatient</t>
        </is>
      </c>
      <c r="D1086" t="inlineStr">
        <is>
          <t>F02</t>
        </is>
      </c>
      <c r="E1086" t="inlineStr">
        <is>
          <t>D210</t>
        </is>
      </c>
      <c r="F1086" t="inlineStr">
        <is>
          <t>Direct Admit</t>
        </is>
      </c>
      <c r="G1086" s="32" t="n">
        <v>45850.86388888889</v>
      </c>
      <c r="H1086" s="32" t="n">
        <v>45855.55763888889</v>
      </c>
      <c r="I1086" t="inlineStr">
        <is>
          <t>K35.80</t>
        </is>
      </c>
      <c r="J1086" t="inlineStr">
        <is>
          <t>PY03</t>
        </is>
      </c>
      <c r="K1086" s="33" t="n">
        <v>27587.81</v>
      </c>
      <c r="L1086" s="34" t="n"/>
    </row>
    <row r="1087">
      <c r="A1087" t="inlineStr">
        <is>
          <t>ENC116759</t>
        </is>
      </c>
      <c r="B1087" t="inlineStr">
        <is>
          <t>PT13669</t>
        </is>
      </c>
      <c r="C1087" t="inlineStr">
        <is>
          <t>Emergency</t>
        </is>
      </c>
      <c r="D1087" t="inlineStr">
        <is>
          <t>F02</t>
        </is>
      </c>
      <c r="E1087" t="inlineStr">
        <is>
          <t>D200</t>
        </is>
      </c>
      <c r="G1087" s="32" t="n">
        <v>45851.13680555556</v>
      </c>
      <c r="H1087" s="32" t="n">
        <v>45851.24722222222</v>
      </c>
      <c r="I1087" t="inlineStr">
        <is>
          <t>E86.0</t>
        </is>
      </c>
      <c r="J1087" t="inlineStr">
        <is>
          <t>PY02</t>
        </is>
      </c>
      <c r="K1087" s="33" t="n">
        <v>1829.71</v>
      </c>
      <c r="L1087" s="34" t="n"/>
    </row>
    <row r="1088">
      <c r="A1088" t="inlineStr">
        <is>
          <t>ENC116764</t>
        </is>
      </c>
      <c r="B1088" t="inlineStr">
        <is>
          <t>PT11367</t>
        </is>
      </c>
      <c r="C1088" t="inlineStr">
        <is>
          <t>Inpatient</t>
        </is>
      </c>
      <c r="D1088" t="inlineStr">
        <is>
          <t>F03</t>
        </is>
      </c>
      <c r="E1088" t="inlineStr">
        <is>
          <t>D310</t>
        </is>
      </c>
      <c r="F1088" t="inlineStr">
        <is>
          <t>Direct Admit</t>
        </is>
      </c>
      <c r="G1088" s="32" t="n">
        <v>45851.59791666667</v>
      </c>
      <c r="H1088" s="32" t="n">
        <v>45854.66458333333</v>
      </c>
      <c r="I1088" t="inlineStr">
        <is>
          <t>A41.9</t>
        </is>
      </c>
      <c r="J1088" t="inlineStr">
        <is>
          <t>PY04</t>
        </is>
      </c>
      <c r="K1088" s="33" t="n">
        <v>41726.04</v>
      </c>
      <c r="L1088" s="34" t="n"/>
    </row>
    <row r="1089">
      <c r="A1089" t="inlineStr">
        <is>
          <t>ENC116770</t>
        </is>
      </c>
      <c r="B1089" t="inlineStr">
        <is>
          <t>PT13531</t>
        </is>
      </c>
      <c r="C1089" t="inlineStr">
        <is>
          <t>Emergency</t>
        </is>
      </c>
      <c r="D1089" t="inlineStr">
        <is>
          <t>F01</t>
        </is>
      </c>
      <c r="E1089" t="inlineStr">
        <is>
          <t>D100</t>
        </is>
      </c>
      <c r="G1089" s="32" t="n">
        <v>45851.77013888889</v>
      </c>
      <c r="H1089" s="32" t="n">
        <v>45851.94722222222</v>
      </c>
      <c r="I1089" t="inlineStr">
        <is>
          <t>R10.9</t>
        </is>
      </c>
      <c r="J1089" t="inlineStr">
        <is>
          <t>PY03</t>
        </is>
      </c>
      <c r="K1089" s="33" t="n">
        <v>3166.52</v>
      </c>
      <c r="L1089" s="34" t="n"/>
    </row>
    <row r="1090">
      <c r="A1090" t="inlineStr">
        <is>
          <t>ENC116772</t>
        </is>
      </c>
      <c r="B1090" t="inlineStr">
        <is>
          <t>PT12386</t>
        </is>
      </c>
      <c r="C1090" t="inlineStr">
        <is>
          <t>Observation</t>
        </is>
      </c>
      <c r="D1090" t="inlineStr">
        <is>
          <t>F01</t>
        </is>
      </c>
      <c r="E1090" t="inlineStr">
        <is>
          <t>D195</t>
        </is>
      </c>
      <c r="F1090" t="inlineStr">
        <is>
          <t>Emergency Department</t>
        </is>
      </c>
      <c r="G1090" s="32" t="n">
        <v>45852.02916666667</v>
      </c>
      <c r="H1090" s="32" t="n">
        <v>45853.15416666667</v>
      </c>
      <c r="I1090" t="inlineStr">
        <is>
          <t>I21.4</t>
        </is>
      </c>
      <c r="J1090" t="inlineStr">
        <is>
          <t>PY03</t>
        </is>
      </c>
      <c r="K1090" s="33" t="n">
        <v>13220.65</v>
      </c>
      <c r="L1090" s="34" t="n"/>
    </row>
    <row r="1091">
      <c r="A1091" t="inlineStr">
        <is>
          <t>ENC116781</t>
        </is>
      </c>
      <c r="B1091" t="inlineStr">
        <is>
          <t>PT12682</t>
        </is>
      </c>
      <c r="C1091" t="inlineStr">
        <is>
          <t>Outpatient</t>
        </is>
      </c>
      <c r="D1091" t="inlineStr">
        <is>
          <t>F04</t>
        </is>
      </c>
      <c r="E1091" t="inlineStr">
        <is>
          <t>D400</t>
        </is>
      </c>
      <c r="G1091" s="32" t="n">
        <v>45852.42708333334</v>
      </c>
      <c r="H1091" s="32" t="n">
        <v>45852.46041666667</v>
      </c>
      <c r="I1091" t="inlineStr">
        <is>
          <t>E78.5</t>
        </is>
      </c>
      <c r="J1091" t="inlineStr">
        <is>
          <t>PY05</t>
        </is>
      </c>
      <c r="K1091" s="33" t="n">
        <v>321.17</v>
      </c>
      <c r="L1091" s="34" t="n"/>
    </row>
    <row r="1092">
      <c r="A1092" t="inlineStr">
        <is>
          <t>ENC116787</t>
        </is>
      </c>
      <c r="B1092" t="inlineStr">
        <is>
          <t>PT11179</t>
        </is>
      </c>
      <c r="C1092" t="inlineStr">
        <is>
          <t>Outpatient</t>
        </is>
      </c>
      <c r="D1092" t="inlineStr">
        <is>
          <t>F04</t>
        </is>
      </c>
      <c r="E1092" t="inlineStr">
        <is>
          <t>D400</t>
        </is>
      </c>
      <c r="G1092" s="32" t="n">
        <v>45852.5</v>
      </c>
      <c r="H1092" s="32" t="n">
        <v>45852.52777777778</v>
      </c>
      <c r="I1092" t="inlineStr">
        <is>
          <t>Z23</t>
        </is>
      </c>
      <c r="J1092" t="inlineStr">
        <is>
          <t>PY07</t>
        </is>
      </c>
      <c r="K1092" s="33" t="n">
        <v>116.47</v>
      </c>
      <c r="L1092" s="34" t="n"/>
    </row>
    <row r="1093">
      <c r="A1093" t="inlineStr">
        <is>
          <t>ENC116792</t>
        </is>
      </c>
      <c r="B1093" t="inlineStr">
        <is>
          <t>PT11738</t>
        </is>
      </c>
      <c r="C1093" t="inlineStr">
        <is>
          <t>Emergency</t>
        </is>
      </c>
      <c r="D1093" t="inlineStr">
        <is>
          <t>F01</t>
        </is>
      </c>
      <c r="E1093" t="inlineStr">
        <is>
          <t>D100</t>
        </is>
      </c>
      <c r="G1093" s="32" t="n">
        <v>45852.60416666666</v>
      </c>
      <c r="H1093" s="32" t="n">
        <v>45852.73680555556</v>
      </c>
      <c r="I1093" t="inlineStr">
        <is>
          <t>I48.91</t>
        </is>
      </c>
      <c r="J1093" t="inlineStr">
        <is>
          <t>PY03</t>
        </is>
      </c>
      <c r="K1093" s="33" t="n">
        <v>7149.46</v>
      </c>
      <c r="L1093" s="34" t="n"/>
    </row>
    <row r="1094">
      <c r="A1094" t="inlineStr">
        <is>
          <t>ENC116798</t>
        </is>
      </c>
      <c r="B1094" t="inlineStr">
        <is>
          <t>PT11927</t>
        </is>
      </c>
      <c r="C1094" t="inlineStr">
        <is>
          <t>Inpatient</t>
        </is>
      </c>
      <c r="D1094" t="inlineStr">
        <is>
          <t>F02</t>
        </is>
      </c>
      <c r="E1094" t="inlineStr">
        <is>
          <t>D230</t>
        </is>
      </c>
      <c r="F1094" t="inlineStr">
        <is>
          <t>Emergency Department</t>
        </is>
      </c>
      <c r="G1094" s="32" t="n">
        <v>45852.86527777778</v>
      </c>
      <c r="H1094" s="32" t="n">
        <v>45865.63055555556</v>
      </c>
      <c r="I1094" t="inlineStr">
        <is>
          <t>J96.01</t>
        </is>
      </c>
      <c r="J1094" t="inlineStr">
        <is>
          <t>PY05</t>
        </is>
      </c>
      <c r="K1094" s="33" t="n">
        <v>123933.01</v>
      </c>
      <c r="L1094" s="34" t="n"/>
    </row>
    <row r="1095">
      <c r="A1095" t="inlineStr">
        <is>
          <t>ENC116803</t>
        </is>
      </c>
      <c r="B1095" t="inlineStr">
        <is>
          <t>PT11851</t>
        </is>
      </c>
      <c r="C1095" t="inlineStr">
        <is>
          <t>Emergency</t>
        </is>
      </c>
      <c r="D1095" t="inlineStr">
        <is>
          <t>F01</t>
        </is>
      </c>
      <c r="E1095" t="inlineStr">
        <is>
          <t>D100</t>
        </is>
      </c>
      <c r="G1095" s="32" t="n">
        <v>45852.98958333334</v>
      </c>
      <c r="H1095" s="32" t="n">
        <v>45853.09236111111</v>
      </c>
      <c r="I1095" t="inlineStr">
        <is>
          <t>R07.9</t>
        </is>
      </c>
      <c r="J1095" t="inlineStr">
        <is>
          <t>PY01</t>
        </is>
      </c>
      <c r="K1095" s="33" t="n">
        <v>1485.63</v>
      </c>
      <c r="L1095" s="34" t="n"/>
    </row>
    <row r="1096">
      <c r="A1096" t="inlineStr">
        <is>
          <t>ENC116810</t>
        </is>
      </c>
      <c r="B1096" t="inlineStr">
        <is>
          <t>PT11337</t>
        </is>
      </c>
      <c r="C1096" t="inlineStr">
        <is>
          <t>Outpatient</t>
        </is>
      </c>
      <c r="D1096" t="inlineStr">
        <is>
          <t>F04</t>
        </is>
      </c>
      <c r="E1096" t="inlineStr">
        <is>
          <t>D400</t>
        </is>
      </c>
      <c r="G1096" s="32" t="n">
        <v>45853.375</v>
      </c>
      <c r="H1096" s="32" t="n">
        <v>45853.39097222222</v>
      </c>
      <c r="I1096" t="inlineStr">
        <is>
          <t>J45.909</t>
        </is>
      </c>
      <c r="J1096" t="inlineStr">
        <is>
          <t>PY03</t>
        </is>
      </c>
      <c r="K1096" s="33" t="n">
        <v>274.43</v>
      </c>
      <c r="L1096" s="34" t="n"/>
    </row>
    <row r="1097">
      <c r="A1097" t="inlineStr">
        <is>
          <t>ENC116814</t>
        </is>
      </c>
      <c r="B1097" t="inlineStr">
        <is>
          <t>PT12318</t>
        </is>
      </c>
      <c r="C1097" t="inlineStr">
        <is>
          <t>Outpatient</t>
        </is>
      </c>
      <c r="D1097" t="inlineStr">
        <is>
          <t>F04</t>
        </is>
      </c>
      <c r="E1097" t="inlineStr">
        <is>
          <t>D400</t>
        </is>
      </c>
      <c r="G1097" s="32" t="n">
        <v>45853.48958333334</v>
      </c>
      <c r="H1097" s="32" t="n">
        <v>45853.51736111111</v>
      </c>
      <c r="I1097" t="inlineStr">
        <is>
          <t>Z23</t>
        </is>
      </c>
      <c r="J1097" t="inlineStr">
        <is>
          <t>PY01</t>
        </is>
      </c>
      <c r="K1097" s="33" t="n">
        <v>112.26</v>
      </c>
      <c r="L1097" s="34" t="n"/>
    </row>
    <row r="1098">
      <c r="A1098" t="inlineStr">
        <is>
          <t>ENC116821</t>
        </is>
      </c>
      <c r="B1098" t="inlineStr">
        <is>
          <t>PT12513</t>
        </is>
      </c>
      <c r="C1098" t="inlineStr">
        <is>
          <t>Outpatient</t>
        </is>
      </c>
      <c r="D1098" t="inlineStr">
        <is>
          <t>F04</t>
        </is>
      </c>
      <c r="E1098" t="inlineStr">
        <is>
          <t>D420</t>
        </is>
      </c>
      <c r="G1098" s="32" t="n">
        <v>45853.6875</v>
      </c>
      <c r="H1098" s="32" t="n">
        <v>45853.71736111111</v>
      </c>
      <c r="I1098" t="inlineStr">
        <is>
          <t>M16.11</t>
        </is>
      </c>
      <c r="J1098" t="inlineStr">
        <is>
          <t>PY02</t>
        </is>
      </c>
      <c r="K1098" s="33" t="n">
        <v>474.25</v>
      </c>
      <c r="L1098" s="34" t="n"/>
    </row>
    <row r="1099">
      <c r="A1099" t="inlineStr">
        <is>
          <t>ENC116828</t>
        </is>
      </c>
      <c r="B1099" t="inlineStr">
        <is>
          <t>PT10586</t>
        </is>
      </c>
      <c r="C1099" t="inlineStr">
        <is>
          <t>Emergency</t>
        </is>
      </c>
      <c r="D1099" t="inlineStr">
        <is>
          <t>F01</t>
        </is>
      </c>
      <c r="E1099" t="inlineStr">
        <is>
          <t>D100</t>
        </is>
      </c>
      <c r="G1099" s="32" t="n">
        <v>45853.89861111111</v>
      </c>
      <c r="H1099" s="32" t="n">
        <v>45854.06319444445</v>
      </c>
      <c r="I1099" t="inlineStr">
        <is>
          <t>R07.9</t>
        </is>
      </c>
      <c r="J1099" t="inlineStr">
        <is>
          <t>PY01</t>
        </is>
      </c>
      <c r="K1099" s="33" t="n">
        <v>3255.94</v>
      </c>
      <c r="L1099" s="34" t="n"/>
    </row>
    <row r="1100">
      <c r="A1100" t="inlineStr">
        <is>
          <t>ENC116832</t>
        </is>
      </c>
      <c r="B1100" t="inlineStr">
        <is>
          <t>PT12586</t>
        </is>
      </c>
      <c r="C1100" t="inlineStr">
        <is>
          <t>Inpatient</t>
        </is>
      </c>
      <c r="D1100" t="inlineStr">
        <is>
          <t>F03</t>
        </is>
      </c>
      <c r="E1100" t="inlineStr">
        <is>
          <t>D330</t>
        </is>
      </c>
      <c r="F1100" t="inlineStr">
        <is>
          <t>Direct Admit</t>
        </is>
      </c>
      <c r="G1100" s="32" t="n">
        <v>45854.25069444445</v>
      </c>
      <c r="H1100" s="32" t="n">
        <v>45860.48888888889</v>
      </c>
      <c r="I1100" t="inlineStr">
        <is>
          <t>A41.9</t>
        </is>
      </c>
      <c r="J1100" t="inlineStr">
        <is>
          <t>PY06</t>
        </is>
      </c>
      <c r="K1100" s="33" t="n">
        <v>67847.60000000001</v>
      </c>
      <c r="L1100" s="34" t="n"/>
    </row>
    <row r="1101">
      <c r="A1101" t="inlineStr">
        <is>
          <t>ENC116838</t>
        </is>
      </c>
      <c r="B1101" t="inlineStr">
        <is>
          <t>PT10651</t>
        </is>
      </c>
      <c r="C1101" t="inlineStr">
        <is>
          <t>Emergency</t>
        </is>
      </c>
      <c r="D1101" t="inlineStr">
        <is>
          <t>F01</t>
        </is>
      </c>
      <c r="E1101" t="inlineStr">
        <is>
          <t>D100</t>
        </is>
      </c>
      <c r="G1101" s="32" t="n">
        <v>45854.44375</v>
      </c>
      <c r="H1101" s="32" t="n">
        <v>45854.54375</v>
      </c>
      <c r="I1101" t="inlineStr">
        <is>
          <t>S93.401A</t>
        </is>
      </c>
      <c r="J1101" t="inlineStr">
        <is>
          <t>PY03</t>
        </is>
      </c>
      <c r="K1101" s="33" t="n">
        <v>379.06</v>
      </c>
      <c r="L1101" s="34" t="n"/>
    </row>
    <row r="1102">
      <c r="A1102" t="inlineStr">
        <is>
          <t>ENC116843</t>
        </is>
      </c>
      <c r="B1102" t="inlineStr">
        <is>
          <t>PT11470</t>
        </is>
      </c>
      <c r="C1102" t="inlineStr">
        <is>
          <t>Outpatient</t>
        </is>
      </c>
      <c r="D1102" t="inlineStr">
        <is>
          <t>F04</t>
        </is>
      </c>
      <c r="E1102" t="inlineStr">
        <is>
          <t>D400</t>
        </is>
      </c>
      <c r="G1102" s="32" t="n">
        <v>45854.48958333334</v>
      </c>
      <c r="H1102" s="32" t="n">
        <v>45854.5125</v>
      </c>
      <c r="I1102" t="inlineStr">
        <is>
          <t>J06.9</t>
        </is>
      </c>
      <c r="J1102" t="inlineStr">
        <is>
          <t>PY01</t>
        </is>
      </c>
      <c r="K1102" s="33" t="n">
        <v>294.14</v>
      </c>
      <c r="L1102" s="34" t="n"/>
    </row>
    <row r="1103">
      <c r="A1103" t="inlineStr">
        <is>
          <t>ENC116849</t>
        </is>
      </c>
      <c r="B1103" t="inlineStr">
        <is>
          <t>PT10922</t>
        </is>
      </c>
      <c r="C1103" t="inlineStr">
        <is>
          <t>Outpatient</t>
        </is>
      </c>
      <c r="D1103" t="inlineStr">
        <is>
          <t>F04</t>
        </is>
      </c>
      <c r="E1103" t="inlineStr">
        <is>
          <t>D400</t>
        </is>
      </c>
      <c r="G1103" s="32" t="n">
        <v>45854.54166666666</v>
      </c>
      <c r="H1103" s="32" t="n">
        <v>45854.56527777778</v>
      </c>
      <c r="I1103" t="inlineStr">
        <is>
          <t>Z00.00</t>
        </is>
      </c>
      <c r="J1103" t="inlineStr">
        <is>
          <t>PY06</t>
        </is>
      </c>
      <c r="K1103" s="33" t="n">
        <v>291.36</v>
      </c>
      <c r="L1103" s="34" t="n"/>
    </row>
    <row r="1104">
      <c r="A1104" t="inlineStr">
        <is>
          <t>ENC116854</t>
        </is>
      </c>
      <c r="B1104" t="inlineStr">
        <is>
          <t>PT12032</t>
        </is>
      </c>
      <c r="C1104" t="inlineStr">
        <is>
          <t>Outpatient</t>
        </is>
      </c>
      <c r="D1104" t="inlineStr">
        <is>
          <t>F04</t>
        </is>
      </c>
      <c r="E1104" t="inlineStr">
        <is>
          <t>D430</t>
        </is>
      </c>
      <c r="G1104" s="32" t="n">
        <v>45854.61458333334</v>
      </c>
      <c r="H1104" s="32" t="n">
        <v>45854.73541666667</v>
      </c>
      <c r="I1104" t="inlineStr">
        <is>
          <t>Z51.11</t>
        </is>
      </c>
      <c r="J1104" t="inlineStr">
        <is>
          <t>PY03</t>
        </is>
      </c>
      <c r="K1104" s="33" t="n">
        <v>9126.040000000001</v>
      </c>
      <c r="L1104" s="34" t="n"/>
    </row>
    <row r="1105">
      <c r="A1105" t="inlineStr">
        <is>
          <t>ENC116857</t>
        </is>
      </c>
      <c r="B1105" t="inlineStr">
        <is>
          <t>PT13079</t>
        </is>
      </c>
      <c r="C1105" t="inlineStr">
        <is>
          <t>Inpatient</t>
        </is>
      </c>
      <c r="D1105" t="inlineStr">
        <is>
          <t>F01</t>
        </is>
      </c>
      <c r="E1105" t="inlineStr">
        <is>
          <t>D110</t>
        </is>
      </c>
      <c r="F1105" t="inlineStr">
        <is>
          <t>Emergency Department</t>
        </is>
      </c>
      <c r="G1105" s="32" t="n">
        <v>45854.83055555556</v>
      </c>
      <c r="H1105" s="32" t="n">
        <v>45858.61180555556</v>
      </c>
      <c r="I1105" t="inlineStr">
        <is>
          <t>J18.9</t>
        </is>
      </c>
      <c r="J1105" t="inlineStr">
        <is>
          <t>PY01</t>
        </is>
      </c>
      <c r="K1105" s="33" t="n">
        <v>19816.08</v>
      </c>
      <c r="L1105" s="34" t="n"/>
    </row>
    <row r="1106">
      <c r="A1106" t="inlineStr">
        <is>
          <t>ENC116866</t>
        </is>
      </c>
      <c r="B1106" t="inlineStr">
        <is>
          <t>PT11288</t>
        </is>
      </c>
      <c r="C1106" t="inlineStr">
        <is>
          <t>Outpatient</t>
        </is>
      </c>
      <c r="D1106" t="inlineStr">
        <is>
          <t>F04</t>
        </is>
      </c>
      <c r="E1106" t="inlineStr">
        <is>
          <t>D450</t>
        </is>
      </c>
      <c r="G1106" s="32" t="n">
        <v>45855.34375</v>
      </c>
      <c r="H1106" s="32" t="n">
        <v>45855.35694444444</v>
      </c>
      <c r="I1106" t="inlineStr">
        <is>
          <t>Z00.129</t>
        </is>
      </c>
      <c r="J1106" t="inlineStr">
        <is>
          <t>PY03</t>
        </is>
      </c>
      <c r="K1106" s="33" t="n">
        <v>432.51</v>
      </c>
      <c r="L1106" s="34" t="n"/>
    </row>
    <row r="1107">
      <c r="A1107" t="inlineStr">
        <is>
          <t>ENC116871</t>
        </is>
      </c>
      <c r="B1107" t="inlineStr">
        <is>
          <t>PT12761</t>
        </is>
      </c>
      <c r="C1107" t="inlineStr">
        <is>
          <t>Outpatient</t>
        </is>
      </c>
      <c r="D1107" t="inlineStr">
        <is>
          <t>F04</t>
        </is>
      </c>
      <c r="E1107" t="inlineStr">
        <is>
          <t>D400</t>
        </is>
      </c>
      <c r="G1107" s="32" t="n">
        <v>45855.44791666666</v>
      </c>
      <c r="H1107" s="32" t="n">
        <v>45855.47638888889</v>
      </c>
      <c r="I1107" t="inlineStr">
        <is>
          <t>G40.909</t>
        </is>
      </c>
      <c r="J1107" t="inlineStr">
        <is>
          <t>PY05</t>
        </is>
      </c>
      <c r="K1107" s="33" t="n">
        <v>350.06</v>
      </c>
      <c r="L1107" s="34" t="n"/>
    </row>
    <row r="1108">
      <c r="A1108" t="inlineStr">
        <is>
          <t>ENC116876</t>
        </is>
      </c>
      <c r="B1108" t="inlineStr">
        <is>
          <t>PT10514</t>
        </is>
      </c>
      <c r="C1108" t="inlineStr">
        <is>
          <t>Outpatient</t>
        </is>
      </c>
      <c r="D1108" t="inlineStr">
        <is>
          <t>F04</t>
        </is>
      </c>
      <c r="E1108" t="inlineStr">
        <is>
          <t>D400</t>
        </is>
      </c>
      <c r="G1108" s="32" t="n">
        <v>45855.51041666666</v>
      </c>
      <c r="H1108" s="32" t="n">
        <v>45855.54652777778</v>
      </c>
      <c r="I1108" t="inlineStr">
        <is>
          <t>F41.9</t>
        </is>
      </c>
      <c r="J1108" t="inlineStr">
        <is>
          <t>PY05</t>
        </is>
      </c>
      <c r="K1108" s="33" t="n">
        <v>490.94</v>
      </c>
      <c r="L1108" s="34" t="n"/>
    </row>
    <row r="1109">
      <c r="A1109" t="inlineStr">
        <is>
          <t>ENC116881</t>
        </is>
      </c>
      <c r="B1109" t="inlineStr">
        <is>
          <t>PT10777</t>
        </is>
      </c>
      <c r="C1109" t="inlineStr">
        <is>
          <t>Outpatient</t>
        </is>
      </c>
      <c r="D1109" t="inlineStr">
        <is>
          <t>F04</t>
        </is>
      </c>
      <c r="E1109" t="inlineStr">
        <is>
          <t>D430</t>
        </is>
      </c>
      <c r="G1109" s="32" t="n">
        <v>45855.58333333334</v>
      </c>
      <c r="H1109" s="32" t="n">
        <v>45855.70347222222</v>
      </c>
      <c r="I1109" t="inlineStr">
        <is>
          <t>Z51.11</t>
        </is>
      </c>
      <c r="J1109" t="inlineStr">
        <is>
          <t>PY01</t>
        </is>
      </c>
      <c r="K1109" s="33" t="n">
        <v>8986.07</v>
      </c>
      <c r="L1109" s="34" t="n"/>
    </row>
    <row r="1110">
      <c r="A1110" t="inlineStr">
        <is>
          <t>ENC116887</t>
        </is>
      </c>
      <c r="B1110" t="inlineStr">
        <is>
          <t>PT13413</t>
        </is>
      </c>
      <c r="C1110" t="inlineStr">
        <is>
          <t>Emergency</t>
        </is>
      </c>
      <c r="D1110" t="inlineStr">
        <is>
          <t>F01</t>
        </is>
      </c>
      <c r="E1110" t="inlineStr">
        <is>
          <t>D100</t>
        </is>
      </c>
      <c r="G1110" s="32" t="n">
        <v>45855.72361111111</v>
      </c>
      <c r="H1110" s="32" t="n">
        <v>45855.85069444445</v>
      </c>
      <c r="I1110" t="inlineStr">
        <is>
          <t>F41.9</t>
        </is>
      </c>
      <c r="J1110" t="inlineStr">
        <is>
          <t>PY04</t>
        </is>
      </c>
      <c r="K1110" s="33" t="n">
        <v>3226.51</v>
      </c>
      <c r="L1110" s="34" t="n"/>
    </row>
    <row r="1111">
      <c r="A1111" t="inlineStr">
        <is>
          <t>ENC116891</t>
        </is>
      </c>
      <c r="B1111" t="inlineStr">
        <is>
          <t>PT12007</t>
        </is>
      </c>
      <c r="C1111" t="inlineStr">
        <is>
          <t>Inpatient</t>
        </is>
      </c>
      <c r="D1111" t="inlineStr">
        <is>
          <t>F01</t>
        </is>
      </c>
      <c r="E1111" t="inlineStr">
        <is>
          <t>D111</t>
        </is>
      </c>
      <c r="F1111" t="inlineStr">
        <is>
          <t>Emergency Department</t>
        </is>
      </c>
      <c r="G1111" s="32" t="n">
        <v>45856.13125</v>
      </c>
      <c r="H1111" s="32" t="n">
        <v>45859.56041666667</v>
      </c>
      <c r="I1111" t="inlineStr">
        <is>
          <t>N39.0</t>
        </is>
      </c>
      <c r="J1111" t="inlineStr">
        <is>
          <t>PY02</t>
        </is>
      </c>
      <c r="K1111" s="33" t="n">
        <v>16792.25</v>
      </c>
      <c r="L1111" s="34" t="n"/>
    </row>
    <row r="1112">
      <c r="A1112" t="inlineStr">
        <is>
          <t>ENC116899</t>
        </is>
      </c>
      <c r="B1112" t="inlineStr">
        <is>
          <t>PT11840</t>
        </is>
      </c>
      <c r="C1112" t="inlineStr">
        <is>
          <t>Outpatient</t>
        </is>
      </c>
      <c r="D1112" t="inlineStr">
        <is>
          <t>F04</t>
        </is>
      </c>
      <c r="E1112" t="inlineStr">
        <is>
          <t>D430</t>
        </is>
      </c>
      <c r="G1112" s="32" t="n">
        <v>45856.46875</v>
      </c>
      <c r="H1112" s="32" t="n">
        <v>45856.48819444444</v>
      </c>
      <c r="I1112" t="inlineStr">
        <is>
          <t>C50.911</t>
        </is>
      </c>
      <c r="J1112" t="inlineStr">
        <is>
          <t>PY02</t>
        </is>
      </c>
      <c r="K1112" s="33" t="n">
        <v>569.8099999999999</v>
      </c>
      <c r="L1112" s="34" t="n"/>
    </row>
    <row r="1113">
      <c r="A1113" t="inlineStr">
        <is>
          <t>ENC116898</t>
        </is>
      </c>
      <c r="B1113" t="inlineStr">
        <is>
          <t>PT11265</t>
        </is>
      </c>
      <c r="C1113" t="inlineStr">
        <is>
          <t>Inpatient</t>
        </is>
      </c>
      <c r="D1113" t="inlineStr">
        <is>
          <t>F03</t>
        </is>
      </c>
      <c r="E1113" t="inlineStr">
        <is>
          <t>D310</t>
        </is>
      </c>
      <c r="F1113" t="inlineStr">
        <is>
          <t>Emergency Department</t>
        </is>
      </c>
      <c r="G1113" s="32" t="n">
        <v>45856.57222222222</v>
      </c>
      <c r="H1113" s="32" t="n">
        <v>45862.40625</v>
      </c>
      <c r="I1113" t="inlineStr">
        <is>
          <t>N39.0</t>
        </is>
      </c>
      <c r="J1113" t="inlineStr">
        <is>
          <t>PY06</t>
        </is>
      </c>
      <c r="K1113" s="33" t="n">
        <v>30722.69</v>
      </c>
      <c r="L1113" s="34" t="n"/>
    </row>
    <row r="1114">
      <c r="A1114" t="inlineStr">
        <is>
          <t>ENC116903</t>
        </is>
      </c>
      <c r="B1114" t="inlineStr">
        <is>
          <t>PT11482</t>
        </is>
      </c>
      <c r="C1114" t="inlineStr">
        <is>
          <t>Inpatient</t>
        </is>
      </c>
      <c r="D1114" t="inlineStr">
        <is>
          <t>F01</t>
        </is>
      </c>
      <c r="E1114" t="inlineStr">
        <is>
          <t>D111</t>
        </is>
      </c>
      <c r="F1114" t="inlineStr">
        <is>
          <t>Emergency Department</t>
        </is>
      </c>
      <c r="G1114" s="32" t="n">
        <v>45856.6625</v>
      </c>
      <c r="H1114" s="32" t="n">
        <v>45859.675</v>
      </c>
      <c r="I1114" t="inlineStr">
        <is>
          <t>L03.115</t>
        </is>
      </c>
      <c r="J1114" t="inlineStr">
        <is>
          <t>PY05</t>
        </is>
      </c>
      <c r="K1114" s="33" t="n">
        <v>16120.15</v>
      </c>
      <c r="L1114" s="34" t="n"/>
    </row>
    <row r="1115">
      <c r="A1115" t="inlineStr">
        <is>
          <t>ENC116916</t>
        </is>
      </c>
      <c r="B1115" t="inlineStr">
        <is>
          <t>PT10219</t>
        </is>
      </c>
      <c r="C1115" t="inlineStr">
        <is>
          <t>Emergency</t>
        </is>
      </c>
      <c r="D1115" t="inlineStr">
        <is>
          <t>F03</t>
        </is>
      </c>
      <c r="E1115" t="inlineStr">
        <is>
          <t>D300</t>
        </is>
      </c>
      <c r="G1115" s="32" t="n">
        <v>45856.86180555556</v>
      </c>
      <c r="H1115" s="32" t="n">
        <v>45857.05208333334</v>
      </c>
      <c r="I1115" t="inlineStr">
        <is>
          <t>K80.20</t>
        </is>
      </c>
      <c r="J1115" t="inlineStr">
        <is>
          <t>PY01</t>
        </is>
      </c>
      <c r="K1115" s="33" t="n">
        <v>3294.11</v>
      </c>
      <c r="L1115" s="34" t="n"/>
    </row>
    <row r="1116">
      <c r="A1116" t="inlineStr">
        <is>
          <t>ENC116921</t>
        </is>
      </c>
      <c r="B1116" t="inlineStr">
        <is>
          <t>PT13054</t>
        </is>
      </c>
      <c r="C1116" t="inlineStr">
        <is>
          <t>Inpatient</t>
        </is>
      </c>
      <c r="D1116" t="inlineStr">
        <is>
          <t>F01</t>
        </is>
      </c>
      <c r="E1116" t="inlineStr">
        <is>
          <t>D170</t>
        </is>
      </c>
      <c r="F1116" t="inlineStr">
        <is>
          <t>Direct Admit</t>
        </is>
      </c>
      <c r="G1116" s="32" t="n">
        <v>45857.30625</v>
      </c>
      <c r="H1116" s="32" t="n">
        <v>45865.50902777778</v>
      </c>
      <c r="I1116" t="inlineStr">
        <is>
          <t>O82</t>
        </is>
      </c>
      <c r="J1116" t="inlineStr">
        <is>
          <t>PY05</t>
        </is>
      </c>
      <c r="K1116" s="33" t="n">
        <v>24462</v>
      </c>
      <c r="L1116" s="34" t="n"/>
    </row>
    <row r="1117">
      <c r="A1117" t="inlineStr">
        <is>
          <t>ENC116926</t>
        </is>
      </c>
      <c r="B1117" t="inlineStr">
        <is>
          <t>PT13940</t>
        </is>
      </c>
      <c r="C1117" t="inlineStr">
        <is>
          <t>Emergency</t>
        </is>
      </c>
      <c r="D1117" t="inlineStr">
        <is>
          <t>F03</t>
        </is>
      </c>
      <c r="E1117" t="inlineStr">
        <is>
          <t>D300</t>
        </is>
      </c>
      <c r="G1117" s="32" t="n">
        <v>45857.65208333333</v>
      </c>
      <c r="H1117" s="32" t="n">
        <v>45857.73888888889</v>
      </c>
      <c r="I1117" t="inlineStr">
        <is>
          <t>E86.0</t>
        </is>
      </c>
      <c r="J1117" t="inlineStr">
        <is>
          <t>PY05</t>
        </is>
      </c>
      <c r="K1117" s="33" t="n">
        <v>4759.45</v>
      </c>
      <c r="L1117" s="34" t="n"/>
    </row>
    <row r="1118">
      <c r="A1118" t="inlineStr">
        <is>
          <t>ENC116934</t>
        </is>
      </c>
      <c r="B1118" t="inlineStr">
        <is>
          <t>PT12912</t>
        </is>
      </c>
      <c r="C1118" t="inlineStr">
        <is>
          <t>Inpatient</t>
        </is>
      </c>
      <c r="D1118" t="inlineStr">
        <is>
          <t>F01</t>
        </is>
      </c>
      <c r="E1118" t="inlineStr">
        <is>
          <t>D120</t>
        </is>
      </c>
      <c r="F1118" t="inlineStr">
        <is>
          <t>Direct Admit</t>
        </is>
      </c>
      <c r="G1118" s="32" t="n">
        <v>45857.83055555556</v>
      </c>
      <c r="H1118" s="32" t="n">
        <v>45860.63958333333</v>
      </c>
      <c r="I1118" t="inlineStr">
        <is>
          <t>I21.4</t>
        </is>
      </c>
      <c r="J1118" t="inlineStr">
        <is>
          <t>PY05</t>
        </is>
      </c>
      <c r="K1118" s="33" t="n">
        <v>59545.38</v>
      </c>
      <c r="L1118" s="34" t="n"/>
    </row>
    <row r="1119">
      <c r="A1119" t="inlineStr">
        <is>
          <t>ENC116940</t>
        </is>
      </c>
      <c r="B1119" t="inlineStr">
        <is>
          <t>PT10088</t>
        </is>
      </c>
      <c r="C1119" t="inlineStr">
        <is>
          <t>Inpatient</t>
        </is>
      </c>
      <c r="D1119" t="inlineStr">
        <is>
          <t>F02</t>
        </is>
      </c>
      <c r="E1119" t="inlineStr">
        <is>
          <t>D210</t>
        </is>
      </c>
      <c r="F1119" t="inlineStr">
        <is>
          <t>Transfer</t>
        </is>
      </c>
      <c r="G1119" s="32" t="n">
        <v>45857.92708333334</v>
      </c>
      <c r="H1119" s="32" t="n">
        <v>45864.64375</v>
      </c>
      <c r="I1119" t="inlineStr">
        <is>
          <t>I21.4</t>
        </is>
      </c>
      <c r="J1119" t="inlineStr">
        <is>
          <t>PY01</t>
        </is>
      </c>
      <c r="K1119" s="33" t="n">
        <v>97096.75999999999</v>
      </c>
      <c r="L1119" s="34" t="n"/>
    </row>
    <row r="1120">
      <c r="A1120" t="inlineStr">
        <is>
          <t>ENC116944</t>
        </is>
      </c>
      <c r="B1120" t="inlineStr">
        <is>
          <t>PT11829</t>
        </is>
      </c>
      <c r="C1120" t="inlineStr">
        <is>
          <t>Emergency</t>
        </is>
      </c>
      <c r="D1120" t="inlineStr">
        <is>
          <t>F01</t>
        </is>
      </c>
      <c r="E1120" t="inlineStr">
        <is>
          <t>D100</t>
        </is>
      </c>
      <c r="G1120" s="32" t="n">
        <v>45858.13611111111</v>
      </c>
      <c r="H1120" s="32" t="n">
        <v>45858.20625</v>
      </c>
      <c r="I1120" t="inlineStr">
        <is>
          <t>E11.9</t>
        </is>
      </c>
      <c r="J1120" t="inlineStr">
        <is>
          <t>PY02</t>
        </is>
      </c>
      <c r="K1120" s="33" t="n">
        <v>1273.79</v>
      </c>
      <c r="L1120" s="34" t="n"/>
    </row>
    <row r="1121">
      <c r="A1121" t="inlineStr">
        <is>
          <t>ENC116949</t>
        </is>
      </c>
      <c r="B1121" t="inlineStr">
        <is>
          <t>PT11110</t>
        </is>
      </c>
      <c r="C1121" t="inlineStr">
        <is>
          <t>Emergency</t>
        </is>
      </c>
      <c r="D1121" t="inlineStr">
        <is>
          <t>F03</t>
        </is>
      </c>
      <c r="E1121" t="inlineStr">
        <is>
          <t>D300</t>
        </is>
      </c>
      <c r="G1121" s="32" t="n">
        <v>45858.51597222222</v>
      </c>
      <c r="H1121" s="32" t="n">
        <v>45858.58680555555</v>
      </c>
      <c r="I1121" t="inlineStr">
        <is>
          <t>U07.1</t>
        </is>
      </c>
      <c r="J1121" t="inlineStr">
        <is>
          <t>PY04</t>
        </is>
      </c>
      <c r="K1121" s="33" t="n">
        <v>1950.94</v>
      </c>
      <c r="L1121" s="34" t="n"/>
    </row>
    <row r="1122">
      <c r="A1122" t="inlineStr">
        <is>
          <t>ENC116954</t>
        </is>
      </c>
      <c r="B1122" t="inlineStr">
        <is>
          <t>PT13693</t>
        </is>
      </c>
      <c r="C1122" t="inlineStr">
        <is>
          <t>Inpatient</t>
        </is>
      </c>
      <c r="D1122" t="inlineStr">
        <is>
          <t>F02</t>
        </is>
      </c>
      <c r="E1122" t="inlineStr">
        <is>
          <t>D210</t>
        </is>
      </c>
      <c r="F1122" t="inlineStr">
        <is>
          <t>Emergency Department</t>
        </is>
      </c>
      <c r="G1122" s="32" t="n">
        <v>45858.73263888889</v>
      </c>
      <c r="H1122" s="32" t="n">
        <v>45860.53472222222</v>
      </c>
      <c r="I1122" t="inlineStr">
        <is>
          <t>E11.65</t>
        </is>
      </c>
      <c r="J1122" t="inlineStr">
        <is>
          <t>PY01</t>
        </is>
      </c>
      <c r="K1122" s="33" t="n">
        <v>10649.7</v>
      </c>
      <c r="L1122" s="34" t="n"/>
    </row>
    <row r="1123">
      <c r="A1123" t="inlineStr">
        <is>
          <t>ENC116956</t>
        </is>
      </c>
      <c r="B1123" t="inlineStr">
        <is>
          <t>PT11582</t>
        </is>
      </c>
      <c r="C1123" t="inlineStr">
        <is>
          <t>Inpatient</t>
        </is>
      </c>
      <c r="D1123" t="inlineStr">
        <is>
          <t>F03</t>
        </is>
      </c>
      <c r="E1123" t="inlineStr">
        <is>
          <t>D310</t>
        </is>
      </c>
      <c r="F1123" t="inlineStr">
        <is>
          <t>Emergency Department</t>
        </is>
      </c>
      <c r="G1123" s="32" t="n">
        <v>45858.86111111111</v>
      </c>
      <c r="H1123" s="32" t="n">
        <v>45861.59722222222</v>
      </c>
      <c r="I1123" t="inlineStr">
        <is>
          <t>J44.1</t>
        </is>
      </c>
      <c r="J1123" t="inlineStr">
        <is>
          <t>PY02</t>
        </is>
      </c>
      <c r="K1123" s="33" t="n">
        <v>12848.86</v>
      </c>
      <c r="L1123" s="34" t="n"/>
    </row>
    <row r="1124">
      <c r="A1124" t="inlineStr">
        <is>
          <t>ENC116965</t>
        </is>
      </c>
      <c r="B1124" t="inlineStr">
        <is>
          <t>PT12389</t>
        </is>
      </c>
      <c r="C1124" t="inlineStr">
        <is>
          <t>Outpatient</t>
        </is>
      </c>
      <c r="D1124" t="inlineStr">
        <is>
          <t>F04</t>
        </is>
      </c>
      <c r="E1124" t="inlineStr">
        <is>
          <t>D400</t>
        </is>
      </c>
      <c r="G1124" s="32" t="n">
        <v>45859.375</v>
      </c>
      <c r="H1124" s="32" t="n">
        <v>45859.3875</v>
      </c>
      <c r="I1124" t="inlineStr">
        <is>
          <t>I10</t>
        </is>
      </c>
      <c r="J1124" t="inlineStr">
        <is>
          <t>PY03</t>
        </is>
      </c>
      <c r="K1124" s="33" t="n">
        <v>208.5</v>
      </c>
      <c r="L1124" s="34" t="n"/>
    </row>
    <row r="1125">
      <c r="A1125" t="inlineStr">
        <is>
          <t>ENC116968</t>
        </is>
      </c>
      <c r="B1125" t="inlineStr">
        <is>
          <t>PT12508</t>
        </is>
      </c>
      <c r="C1125" t="inlineStr">
        <is>
          <t>Inpatient</t>
        </is>
      </c>
      <c r="D1125" t="inlineStr">
        <is>
          <t>F03</t>
        </is>
      </c>
      <c r="E1125" t="inlineStr">
        <is>
          <t>D310</t>
        </is>
      </c>
      <c r="F1125" t="inlineStr">
        <is>
          <t>Emergency Department</t>
        </is>
      </c>
      <c r="G1125" s="32" t="n">
        <v>45859.54166666666</v>
      </c>
      <c r="H1125" s="32" t="n">
        <v>45865.43958333333</v>
      </c>
      <c r="I1125" t="inlineStr">
        <is>
          <t>F10.239</t>
        </is>
      </c>
      <c r="J1125" t="inlineStr">
        <is>
          <t>PY04</t>
        </is>
      </c>
      <c r="K1125" s="33" t="n">
        <v>39776.43</v>
      </c>
      <c r="L1125" s="34" t="n"/>
    </row>
    <row r="1126">
      <c r="A1126" t="inlineStr">
        <is>
          <t>ENC116977</t>
        </is>
      </c>
      <c r="B1126" t="inlineStr">
        <is>
          <t>PT13360</t>
        </is>
      </c>
      <c r="C1126" t="inlineStr">
        <is>
          <t>Outpatient</t>
        </is>
      </c>
      <c r="D1126" t="inlineStr">
        <is>
          <t>F04</t>
        </is>
      </c>
      <c r="E1126" t="inlineStr">
        <is>
          <t>D420</t>
        </is>
      </c>
      <c r="G1126" s="32" t="n">
        <v>45859.61458333334</v>
      </c>
      <c r="H1126" s="32" t="n">
        <v>45859.64444444444</v>
      </c>
      <c r="I1126" t="inlineStr">
        <is>
          <t>M17.11</t>
        </is>
      </c>
      <c r="J1126" t="inlineStr">
        <is>
          <t>PY04</t>
        </is>
      </c>
      <c r="K1126" s="33" t="n">
        <v>351.62</v>
      </c>
      <c r="L1126" s="34" t="n"/>
    </row>
    <row r="1127">
      <c r="A1127" t="inlineStr">
        <is>
          <t>ENC116982</t>
        </is>
      </c>
      <c r="B1127" t="inlineStr">
        <is>
          <t>PT13894</t>
        </is>
      </c>
      <c r="C1127" t="inlineStr">
        <is>
          <t>Emergency</t>
        </is>
      </c>
      <c r="D1127" t="inlineStr">
        <is>
          <t>F01</t>
        </is>
      </c>
      <c r="E1127" t="inlineStr">
        <is>
          <t>D100</t>
        </is>
      </c>
      <c r="G1127" s="32" t="n">
        <v>45859.77152777778</v>
      </c>
      <c r="H1127" s="32" t="n">
        <v>45859.90902777778</v>
      </c>
      <c r="I1127" t="inlineStr">
        <is>
          <t>N39.0</t>
        </is>
      </c>
      <c r="J1127" t="inlineStr">
        <is>
          <t>PY07</t>
        </is>
      </c>
      <c r="K1127" s="33" t="n">
        <v>2603.44</v>
      </c>
      <c r="L1127" s="34" t="n"/>
    </row>
    <row r="1128">
      <c r="A1128" t="inlineStr">
        <is>
          <t>ENC116988</t>
        </is>
      </c>
      <c r="B1128" t="inlineStr">
        <is>
          <t>PT10768</t>
        </is>
      </c>
      <c r="C1128" t="inlineStr">
        <is>
          <t>Emergency</t>
        </is>
      </c>
      <c r="D1128" t="inlineStr">
        <is>
          <t>F02</t>
        </is>
      </c>
      <c r="E1128" t="inlineStr">
        <is>
          <t>D200</t>
        </is>
      </c>
      <c r="G1128" s="32" t="n">
        <v>45859.87291666667</v>
      </c>
      <c r="H1128" s="32" t="n">
        <v>45859.93472222222</v>
      </c>
      <c r="I1128" t="inlineStr">
        <is>
          <t>L03.115</t>
        </is>
      </c>
      <c r="J1128" t="inlineStr">
        <is>
          <t>PY05</t>
        </is>
      </c>
      <c r="K1128" s="33" t="n">
        <v>1704.63</v>
      </c>
      <c r="L1128" s="34" t="n"/>
    </row>
    <row r="1129">
      <c r="A1129" t="inlineStr">
        <is>
          <t>ENC116993</t>
        </is>
      </c>
      <c r="B1129" t="inlineStr">
        <is>
          <t>PT13507</t>
        </is>
      </c>
      <c r="C1129" t="inlineStr">
        <is>
          <t>Emergency</t>
        </is>
      </c>
      <c r="D1129" t="inlineStr">
        <is>
          <t>F02</t>
        </is>
      </c>
      <c r="E1129" t="inlineStr">
        <is>
          <t>D200</t>
        </is>
      </c>
      <c r="G1129" s="32" t="n">
        <v>45860.36180555556</v>
      </c>
      <c r="H1129" s="32" t="n">
        <v>45860.41597222222</v>
      </c>
      <c r="I1129" t="inlineStr">
        <is>
          <t>S93.401A</t>
        </is>
      </c>
      <c r="J1129" t="inlineStr">
        <is>
          <t>PY08</t>
        </is>
      </c>
      <c r="K1129" s="33" t="n">
        <v>902.76</v>
      </c>
      <c r="L1129" s="34" t="n"/>
    </row>
    <row r="1130">
      <c r="A1130" t="inlineStr">
        <is>
          <t>ENC116998</t>
        </is>
      </c>
      <c r="B1130" t="inlineStr">
        <is>
          <t>PT13756</t>
        </is>
      </c>
      <c r="C1130" t="inlineStr">
        <is>
          <t>Emergency</t>
        </is>
      </c>
      <c r="D1130" t="inlineStr">
        <is>
          <t>F01</t>
        </is>
      </c>
      <c r="E1130" t="inlineStr">
        <is>
          <t>D100</t>
        </is>
      </c>
      <c r="G1130" s="32" t="n">
        <v>45860.41111111111</v>
      </c>
      <c r="H1130" s="32" t="n">
        <v>45860.45555555556</v>
      </c>
      <c r="I1130" t="inlineStr">
        <is>
          <t>L03.115</t>
        </is>
      </c>
      <c r="J1130" t="inlineStr">
        <is>
          <t>PY01</t>
        </is>
      </c>
      <c r="K1130" s="33" t="n">
        <v>3024.2</v>
      </c>
      <c r="L1130" s="34" t="n"/>
    </row>
    <row r="1131">
      <c r="A1131" t="inlineStr">
        <is>
          <t>ENC117004</t>
        </is>
      </c>
      <c r="B1131" t="inlineStr">
        <is>
          <t>PT12458</t>
        </is>
      </c>
      <c r="C1131" t="inlineStr">
        <is>
          <t>Emergency</t>
        </is>
      </c>
      <c r="D1131" t="inlineStr">
        <is>
          <t>F01</t>
        </is>
      </c>
      <c r="E1131" t="inlineStr">
        <is>
          <t>D100</t>
        </is>
      </c>
      <c r="G1131" s="32" t="n">
        <v>45860.53263888889</v>
      </c>
      <c r="H1131" s="32" t="n">
        <v>45860.65902777778</v>
      </c>
      <c r="I1131" t="inlineStr">
        <is>
          <t>U07.1</t>
        </is>
      </c>
      <c r="J1131" t="inlineStr">
        <is>
          <t>PY07</t>
        </is>
      </c>
      <c r="K1131" s="33" t="n">
        <v>1235.86</v>
      </c>
      <c r="L1131" s="34" t="n"/>
    </row>
    <row r="1132">
      <c r="A1132" t="inlineStr">
        <is>
          <t>ENC117010</t>
        </is>
      </c>
      <c r="B1132" t="inlineStr">
        <is>
          <t>PT11735</t>
        </is>
      </c>
      <c r="C1132" t="inlineStr">
        <is>
          <t>Outpatient</t>
        </is>
      </c>
      <c r="D1132" t="inlineStr">
        <is>
          <t>F04</t>
        </is>
      </c>
      <c r="E1132" t="inlineStr">
        <is>
          <t>D450</t>
        </is>
      </c>
      <c r="G1132" s="32" t="n">
        <v>45860.59375</v>
      </c>
      <c r="H1132" s="32" t="n">
        <v>45860.60763888889</v>
      </c>
      <c r="I1132" t="inlineStr">
        <is>
          <t>H66.90</t>
        </is>
      </c>
      <c r="J1132" t="inlineStr">
        <is>
          <t>PY03</t>
        </is>
      </c>
      <c r="K1132" s="33" t="n">
        <v>423.45</v>
      </c>
      <c r="L1132" s="34" t="n"/>
    </row>
    <row r="1133">
      <c r="A1133" t="inlineStr">
        <is>
          <t>ENC117017</t>
        </is>
      </c>
      <c r="B1133" t="inlineStr">
        <is>
          <t>PT10465</t>
        </is>
      </c>
      <c r="C1133" t="inlineStr">
        <is>
          <t>Outpatient</t>
        </is>
      </c>
      <c r="D1133" t="inlineStr">
        <is>
          <t>F04</t>
        </is>
      </c>
      <c r="E1133" t="inlineStr">
        <is>
          <t>D440</t>
        </is>
      </c>
      <c r="G1133" s="32" t="n">
        <v>45860.67708333334</v>
      </c>
      <c r="H1133" s="32" t="n">
        <v>45860.71180555555</v>
      </c>
      <c r="I1133" t="inlineStr">
        <is>
          <t>E11.9</t>
        </is>
      </c>
      <c r="J1133" t="inlineStr">
        <is>
          <t>PY01</t>
        </is>
      </c>
      <c r="K1133" s="33" t="n">
        <v>325.13</v>
      </c>
      <c r="L1133" s="34" t="n"/>
    </row>
    <row r="1134">
      <c r="A1134" t="inlineStr">
        <is>
          <t>ENC117012</t>
        </is>
      </c>
      <c r="B1134" t="inlineStr">
        <is>
          <t>PT10455</t>
        </is>
      </c>
      <c r="C1134" t="inlineStr">
        <is>
          <t>Observation</t>
        </is>
      </c>
      <c r="D1134" t="inlineStr">
        <is>
          <t>F02</t>
        </is>
      </c>
      <c r="E1134" t="inlineStr">
        <is>
          <t>D210</t>
        </is>
      </c>
      <c r="F1134" t="inlineStr">
        <is>
          <t>Emergency Department</t>
        </is>
      </c>
      <c r="G1134" s="32" t="n">
        <v>45860.75694444445</v>
      </c>
      <c r="H1134" s="32" t="n">
        <v>45861.66944444444</v>
      </c>
      <c r="I1134" t="inlineStr">
        <is>
          <t>R07.9</t>
        </is>
      </c>
      <c r="J1134" t="inlineStr">
        <is>
          <t>PY05</t>
        </is>
      </c>
      <c r="K1134" s="33" t="n">
        <v>7648.76</v>
      </c>
      <c r="L1134" s="34" t="n"/>
    </row>
    <row r="1135">
      <c r="A1135" t="inlineStr">
        <is>
          <t>ENC117027</t>
        </is>
      </c>
      <c r="B1135" t="inlineStr">
        <is>
          <t>PT11780</t>
        </is>
      </c>
      <c r="C1135" t="inlineStr">
        <is>
          <t>Inpatient</t>
        </is>
      </c>
      <c r="D1135" t="inlineStr">
        <is>
          <t>F02</t>
        </is>
      </c>
      <c r="E1135" t="inlineStr">
        <is>
          <t>D270</t>
        </is>
      </c>
      <c r="F1135" t="inlineStr">
        <is>
          <t>Direct Admit</t>
        </is>
      </c>
      <c r="G1135" s="32" t="n">
        <v>45860.90833333333</v>
      </c>
      <c r="H1135" s="32" t="n">
        <v>45862.5875</v>
      </c>
      <c r="I1135" t="inlineStr">
        <is>
          <t>O82</t>
        </is>
      </c>
      <c r="J1135" t="inlineStr">
        <is>
          <t>PY06</t>
        </is>
      </c>
      <c r="K1135" s="33" t="n">
        <v>19018.18</v>
      </c>
      <c r="L1135" s="34" t="n"/>
    </row>
    <row r="1136">
      <c r="A1136" t="inlineStr">
        <is>
          <t>ENC117032</t>
        </is>
      </c>
      <c r="B1136" t="inlineStr">
        <is>
          <t>PT10243</t>
        </is>
      </c>
      <c r="C1136" t="inlineStr">
        <is>
          <t>Outpatient</t>
        </is>
      </c>
      <c r="D1136" t="inlineStr">
        <is>
          <t>F04</t>
        </is>
      </c>
      <c r="E1136" t="inlineStr">
        <is>
          <t>D440</t>
        </is>
      </c>
      <c r="G1136" s="32" t="n">
        <v>45861.34375</v>
      </c>
      <c r="H1136" s="32" t="n">
        <v>45861.36458333334</v>
      </c>
      <c r="I1136" t="inlineStr">
        <is>
          <t>E11.9</t>
        </is>
      </c>
      <c r="J1136" t="inlineStr">
        <is>
          <t>PY04</t>
        </is>
      </c>
      <c r="K1136" s="33" t="n">
        <v>527.7</v>
      </c>
      <c r="L1136" s="34" t="n"/>
    </row>
    <row r="1137">
      <c r="A1137" t="inlineStr">
        <is>
          <t>ENC117038</t>
        </is>
      </c>
      <c r="B1137" t="inlineStr">
        <is>
          <t>PT12095</t>
        </is>
      </c>
      <c r="C1137" t="inlineStr">
        <is>
          <t>Outpatient</t>
        </is>
      </c>
      <c r="D1137" t="inlineStr">
        <is>
          <t>F04</t>
        </is>
      </c>
      <c r="E1137" t="inlineStr">
        <is>
          <t>D400</t>
        </is>
      </c>
      <c r="G1137" s="32" t="n">
        <v>45861.38541666666</v>
      </c>
      <c r="H1137" s="32" t="n">
        <v>45861.40416666667</v>
      </c>
      <c r="I1137" t="inlineStr">
        <is>
          <t>Z00.00</t>
        </is>
      </c>
      <c r="J1137" t="inlineStr">
        <is>
          <t>PY02</t>
        </is>
      </c>
      <c r="K1137" s="33" t="n">
        <v>433.79</v>
      </c>
      <c r="L1137" s="34" t="n"/>
    </row>
    <row r="1138">
      <c r="A1138" t="inlineStr">
        <is>
          <t>ENC117044</t>
        </is>
      </c>
      <c r="B1138" t="inlineStr">
        <is>
          <t>PT10985</t>
        </is>
      </c>
      <c r="C1138" t="inlineStr">
        <is>
          <t>Emergency</t>
        </is>
      </c>
      <c r="D1138" t="inlineStr">
        <is>
          <t>F01</t>
        </is>
      </c>
      <c r="E1138" t="inlineStr">
        <is>
          <t>D100</t>
        </is>
      </c>
      <c r="G1138" s="32" t="n">
        <v>45861.42222222222</v>
      </c>
      <c r="H1138" s="32" t="n">
        <v>45861.51458333333</v>
      </c>
      <c r="I1138" t="inlineStr">
        <is>
          <t>J06.9</t>
        </is>
      </c>
      <c r="J1138" t="inlineStr">
        <is>
          <t>PY03</t>
        </is>
      </c>
      <c r="K1138" s="33" t="n">
        <v>1796.35</v>
      </c>
      <c r="L1138" s="34" t="n"/>
    </row>
    <row r="1139">
      <c r="A1139" t="inlineStr">
        <is>
          <t>ENC117049</t>
        </is>
      </c>
      <c r="B1139" t="inlineStr">
        <is>
          <t>PT11877</t>
        </is>
      </c>
      <c r="C1139" t="inlineStr">
        <is>
          <t>Outpatient</t>
        </is>
      </c>
      <c r="D1139" t="inlineStr">
        <is>
          <t>F04</t>
        </is>
      </c>
      <c r="E1139" t="inlineStr">
        <is>
          <t>D400</t>
        </is>
      </c>
      <c r="G1139" s="32" t="n">
        <v>45861.45833333334</v>
      </c>
      <c r="H1139" s="32" t="n">
        <v>45861.47638888889</v>
      </c>
      <c r="I1139" t="inlineStr">
        <is>
          <t>Z00.00</t>
        </is>
      </c>
      <c r="J1139" t="inlineStr">
        <is>
          <t>PY03</t>
        </is>
      </c>
      <c r="K1139" s="33" t="n">
        <v>210.36</v>
      </c>
      <c r="L1139" s="34" t="n"/>
    </row>
    <row r="1140">
      <c r="A1140" t="inlineStr">
        <is>
          <t>ENC117054</t>
        </is>
      </c>
      <c r="B1140" t="inlineStr">
        <is>
          <t>PT11483</t>
        </is>
      </c>
      <c r="C1140" t="inlineStr">
        <is>
          <t>Outpatient</t>
        </is>
      </c>
      <c r="D1140" t="inlineStr">
        <is>
          <t>F04</t>
        </is>
      </c>
      <c r="E1140" t="inlineStr">
        <is>
          <t>D450</t>
        </is>
      </c>
      <c r="G1140" s="32" t="n">
        <v>45861.54166666666</v>
      </c>
      <c r="H1140" s="32" t="n">
        <v>45861.575</v>
      </c>
      <c r="I1140" t="inlineStr">
        <is>
          <t>Z00.129</t>
        </is>
      </c>
      <c r="J1140" t="inlineStr">
        <is>
          <t>PY04</t>
        </is>
      </c>
      <c r="K1140" s="33" t="n">
        <v>411.49</v>
      </c>
      <c r="L1140" s="34" t="n"/>
    </row>
    <row r="1141">
      <c r="A1141" t="inlineStr">
        <is>
          <t>ENC117060</t>
        </is>
      </c>
      <c r="B1141" t="inlineStr">
        <is>
          <t>PT13829</t>
        </is>
      </c>
      <c r="C1141" t="inlineStr">
        <is>
          <t>Outpatient</t>
        </is>
      </c>
      <c r="D1141" t="inlineStr">
        <is>
          <t>F04</t>
        </is>
      </c>
      <c r="E1141" t="inlineStr">
        <is>
          <t>D440</t>
        </is>
      </c>
      <c r="G1141" s="32" t="n">
        <v>45861.67708333334</v>
      </c>
      <c r="H1141" s="32" t="n">
        <v>45861.70833333334</v>
      </c>
      <c r="I1141" t="inlineStr">
        <is>
          <t>E11.65</t>
        </is>
      </c>
      <c r="J1141" t="inlineStr">
        <is>
          <t>PY02</t>
        </is>
      </c>
      <c r="K1141" s="33" t="n">
        <v>306.8</v>
      </c>
      <c r="L1141" s="34" t="n"/>
    </row>
    <row r="1142">
      <c r="A1142" t="inlineStr">
        <is>
          <t>ENC117065</t>
        </is>
      </c>
      <c r="B1142" t="inlineStr">
        <is>
          <t>PT11876</t>
        </is>
      </c>
      <c r="C1142" t="inlineStr">
        <is>
          <t>Emergency</t>
        </is>
      </c>
      <c r="D1142" t="inlineStr">
        <is>
          <t>F01</t>
        </is>
      </c>
      <c r="E1142" t="inlineStr">
        <is>
          <t>D100</t>
        </is>
      </c>
      <c r="G1142" s="32" t="n">
        <v>45861.81597222222</v>
      </c>
      <c r="H1142" s="32" t="n">
        <v>45862.03055555555</v>
      </c>
      <c r="I1142" t="inlineStr">
        <is>
          <t>J45.909</t>
        </is>
      </c>
      <c r="J1142" t="inlineStr">
        <is>
          <t>PY03</t>
        </is>
      </c>
      <c r="K1142" s="33" t="n">
        <v>4909.1</v>
      </c>
      <c r="L1142" s="34" t="n"/>
    </row>
    <row r="1143">
      <c r="A1143" t="inlineStr">
        <is>
          <t>ENC117071</t>
        </is>
      </c>
      <c r="B1143" t="inlineStr">
        <is>
          <t>PT13634</t>
        </is>
      </c>
      <c r="C1143" t="inlineStr">
        <is>
          <t>Outpatient</t>
        </is>
      </c>
      <c r="D1143" t="inlineStr">
        <is>
          <t>F04</t>
        </is>
      </c>
      <c r="E1143" t="inlineStr">
        <is>
          <t>D450</t>
        </is>
      </c>
      <c r="G1143" s="32" t="n">
        <v>45862.42708333334</v>
      </c>
      <c r="H1143" s="32" t="n">
        <v>45862.46041666667</v>
      </c>
      <c r="I1143" t="inlineStr">
        <is>
          <t>H66.90</t>
        </is>
      </c>
      <c r="J1143" t="inlineStr">
        <is>
          <t>PY03</t>
        </is>
      </c>
      <c r="K1143" s="33" t="n">
        <v>247.58</v>
      </c>
      <c r="L1143" s="34" t="n"/>
    </row>
    <row r="1144">
      <c r="A1144" t="inlineStr">
        <is>
          <t>ENC117078</t>
        </is>
      </c>
      <c r="B1144" t="inlineStr">
        <is>
          <t>PT12016</t>
        </is>
      </c>
      <c r="C1144" t="inlineStr">
        <is>
          <t>Emergency</t>
        </is>
      </c>
      <c r="D1144" t="inlineStr">
        <is>
          <t>F01</t>
        </is>
      </c>
      <c r="E1144" t="inlineStr">
        <is>
          <t>D100</t>
        </is>
      </c>
      <c r="G1144" s="32" t="n">
        <v>45862.52986111111</v>
      </c>
      <c r="H1144" s="32" t="n">
        <v>45862.7</v>
      </c>
      <c r="I1144" t="inlineStr">
        <is>
          <t>U07.1</t>
        </is>
      </c>
      <c r="J1144" t="inlineStr">
        <is>
          <t>PY03</t>
        </is>
      </c>
      <c r="K1144" s="33" t="n">
        <v>5400.43</v>
      </c>
      <c r="L1144" s="34" t="n"/>
    </row>
    <row r="1145">
      <c r="A1145" t="inlineStr">
        <is>
          <t>ENC117077</t>
        </is>
      </c>
      <c r="B1145" t="inlineStr">
        <is>
          <t>PT13088</t>
        </is>
      </c>
      <c r="C1145" t="inlineStr">
        <is>
          <t>Inpatient</t>
        </is>
      </c>
      <c r="D1145" t="inlineStr">
        <is>
          <t>F01</t>
        </is>
      </c>
      <c r="E1145" t="inlineStr">
        <is>
          <t>D160</t>
        </is>
      </c>
      <c r="F1145" t="inlineStr">
        <is>
          <t>Emergency Department</t>
        </is>
      </c>
      <c r="G1145" s="32" t="n">
        <v>45862.60763888889</v>
      </c>
      <c r="H1145" s="32" t="n">
        <v>45865.60625</v>
      </c>
      <c r="I1145" t="inlineStr">
        <is>
          <t>I63.9</t>
        </is>
      </c>
      <c r="J1145" t="inlineStr">
        <is>
          <t>PY03</t>
        </is>
      </c>
      <c r="K1145" s="33" t="n">
        <v>21168.03</v>
      </c>
      <c r="L1145" s="34" t="n"/>
    </row>
    <row r="1146">
      <c r="A1146" t="inlineStr">
        <is>
          <t>ENC117088</t>
        </is>
      </c>
      <c r="B1146" t="inlineStr">
        <is>
          <t>PT13318</t>
        </is>
      </c>
      <c r="C1146" t="inlineStr">
        <is>
          <t>Outpatient</t>
        </is>
      </c>
      <c r="D1146" t="inlineStr">
        <is>
          <t>F04</t>
        </is>
      </c>
      <c r="E1146" t="inlineStr">
        <is>
          <t>D430</t>
        </is>
      </c>
      <c r="G1146" s="32" t="n">
        <v>45862.65625</v>
      </c>
      <c r="H1146" s="32" t="n">
        <v>45862.77847222222</v>
      </c>
      <c r="I1146" t="inlineStr">
        <is>
          <t>Z51.11</t>
        </is>
      </c>
      <c r="J1146" t="inlineStr">
        <is>
          <t>PY03</t>
        </is>
      </c>
      <c r="K1146" s="33" t="n">
        <v>5694.75</v>
      </c>
      <c r="L1146" s="34" t="n"/>
    </row>
    <row r="1147">
      <c r="A1147" t="inlineStr">
        <is>
          <t>ENC117094</t>
        </is>
      </c>
      <c r="B1147" t="inlineStr">
        <is>
          <t>PT11930</t>
        </is>
      </c>
      <c r="C1147" t="inlineStr">
        <is>
          <t>Outpatient</t>
        </is>
      </c>
      <c r="D1147" t="inlineStr">
        <is>
          <t>F04</t>
        </is>
      </c>
      <c r="E1147" t="inlineStr">
        <is>
          <t>D430</t>
        </is>
      </c>
      <c r="G1147" s="32" t="n">
        <v>45862.6875</v>
      </c>
      <c r="H1147" s="32" t="n">
        <v>45862.89027777778</v>
      </c>
      <c r="I1147" t="inlineStr">
        <is>
          <t>Z51.11</t>
        </is>
      </c>
      <c r="J1147" t="inlineStr">
        <is>
          <t>PY01</t>
        </is>
      </c>
      <c r="K1147" s="33" t="n">
        <v>5685.42</v>
      </c>
      <c r="L1147" s="34" t="n"/>
    </row>
    <row r="1148">
      <c r="A1148" t="inlineStr">
        <is>
          <t>ENC117102</t>
        </is>
      </c>
      <c r="B1148" t="inlineStr">
        <is>
          <t>PT13134</t>
        </is>
      </c>
      <c r="C1148" t="inlineStr">
        <is>
          <t>Emergency</t>
        </is>
      </c>
      <c r="D1148" t="inlineStr">
        <is>
          <t>F01</t>
        </is>
      </c>
      <c r="E1148" t="inlineStr">
        <is>
          <t>D100</t>
        </is>
      </c>
      <c r="G1148" s="32" t="n">
        <v>45862.93472222222</v>
      </c>
      <c r="H1148" s="32" t="n">
        <v>45863.05902777778</v>
      </c>
      <c r="I1148" t="inlineStr">
        <is>
          <t>I50.9</t>
        </is>
      </c>
      <c r="J1148" t="inlineStr">
        <is>
          <t>PY05</t>
        </is>
      </c>
      <c r="K1148" s="33" t="n">
        <v>3234.24</v>
      </c>
      <c r="L1148" s="34" t="n"/>
    </row>
    <row r="1149">
      <c r="A1149" t="inlineStr">
        <is>
          <t>ENC117104</t>
        </is>
      </c>
      <c r="B1149" t="inlineStr">
        <is>
          <t>PT10171</t>
        </is>
      </c>
      <c r="C1149" t="inlineStr">
        <is>
          <t>Inpatient</t>
        </is>
      </c>
      <c r="D1149" t="inlineStr">
        <is>
          <t>F01</t>
        </is>
      </c>
      <c r="E1149" t="inlineStr">
        <is>
          <t>D140</t>
        </is>
      </c>
      <c r="F1149" t="inlineStr">
        <is>
          <t>Elective</t>
        </is>
      </c>
      <c r="G1149" s="32" t="n">
        <v>45863.30138888889</v>
      </c>
      <c r="H1149" s="32" t="n">
        <v>45864.52569444444</v>
      </c>
      <c r="I1149" t="inlineStr">
        <is>
          <t>M17.11</t>
        </is>
      </c>
      <c r="J1149" t="inlineStr">
        <is>
          <t>PY01</t>
        </is>
      </c>
      <c r="K1149" s="33" t="n">
        <v>36833.19</v>
      </c>
      <c r="L1149" s="34" t="n"/>
    </row>
    <row r="1150">
      <c r="A1150" t="inlineStr">
        <is>
          <t>ENC117110</t>
        </is>
      </c>
      <c r="B1150" t="inlineStr">
        <is>
          <t>PT11852</t>
        </is>
      </c>
      <c r="C1150" t="inlineStr">
        <is>
          <t>Emergency</t>
        </is>
      </c>
      <c r="D1150" t="inlineStr">
        <is>
          <t>F01</t>
        </is>
      </c>
      <c r="E1150" t="inlineStr">
        <is>
          <t>D100</t>
        </is>
      </c>
      <c r="G1150" s="32" t="n">
        <v>45863.41736111111</v>
      </c>
      <c r="H1150" s="32" t="n">
        <v>45863.50138888889</v>
      </c>
      <c r="I1150" t="inlineStr">
        <is>
          <t>R07.9</t>
        </is>
      </c>
      <c r="J1150" t="inlineStr">
        <is>
          <t>PY01</t>
        </is>
      </c>
      <c r="K1150" s="33" t="n">
        <v>4427.44</v>
      </c>
      <c r="L1150" s="34" t="n"/>
    </row>
    <row r="1151">
      <c r="A1151" t="inlineStr">
        <is>
          <t>ENC117117</t>
        </is>
      </c>
      <c r="B1151" t="inlineStr">
        <is>
          <t>PT11282</t>
        </is>
      </c>
      <c r="C1151" t="inlineStr">
        <is>
          <t>Outpatient</t>
        </is>
      </c>
      <c r="D1151" t="inlineStr">
        <is>
          <t>F04</t>
        </is>
      </c>
      <c r="E1151" t="inlineStr">
        <is>
          <t>D420</t>
        </is>
      </c>
      <c r="G1151" s="32" t="n">
        <v>45863.54166666666</v>
      </c>
      <c r="H1151" s="32" t="n">
        <v>45863.57430555556</v>
      </c>
      <c r="I1151" t="inlineStr">
        <is>
          <t>M16.11</t>
        </is>
      </c>
      <c r="J1151" t="inlineStr">
        <is>
          <t>PY01</t>
        </is>
      </c>
      <c r="K1151" s="33" t="n">
        <v>378.05</v>
      </c>
      <c r="L1151" s="34" t="n"/>
    </row>
    <row r="1152">
      <c r="A1152" t="inlineStr">
        <is>
          <t>ENC117122</t>
        </is>
      </c>
      <c r="B1152" t="inlineStr">
        <is>
          <t>PT12503</t>
        </is>
      </c>
      <c r="C1152" t="inlineStr">
        <is>
          <t>Outpatient</t>
        </is>
      </c>
      <c r="D1152" t="inlineStr">
        <is>
          <t>F04</t>
        </is>
      </c>
      <c r="E1152" t="inlineStr">
        <is>
          <t>D400</t>
        </is>
      </c>
      <c r="G1152" s="32" t="n">
        <v>45863.61458333334</v>
      </c>
      <c r="H1152" s="32" t="n">
        <v>45863.63819444444</v>
      </c>
      <c r="I1152" t="inlineStr">
        <is>
          <t>I10</t>
        </is>
      </c>
      <c r="J1152" t="inlineStr">
        <is>
          <t>PY04</t>
        </is>
      </c>
      <c r="K1152" s="33" t="n">
        <v>411.62</v>
      </c>
      <c r="L1152" s="34" t="n"/>
    </row>
    <row r="1153">
      <c r="A1153" t="inlineStr">
        <is>
          <t>ENC117127</t>
        </is>
      </c>
      <c r="B1153" t="inlineStr">
        <is>
          <t>PT10598</t>
        </is>
      </c>
      <c r="C1153" t="inlineStr">
        <is>
          <t>Emergency</t>
        </is>
      </c>
      <c r="D1153" t="inlineStr">
        <is>
          <t>F01</t>
        </is>
      </c>
      <c r="E1153" t="inlineStr">
        <is>
          <t>D100</t>
        </is>
      </c>
      <c r="G1153" s="32" t="n">
        <v>45863.69027777778</v>
      </c>
      <c r="H1153" s="32" t="n">
        <v>45863.85625</v>
      </c>
      <c r="I1153" t="inlineStr">
        <is>
          <t>R07.9</t>
        </is>
      </c>
      <c r="J1153" t="inlineStr">
        <is>
          <t>PY03</t>
        </is>
      </c>
      <c r="K1153" s="33" t="n">
        <v>3278.31</v>
      </c>
      <c r="L1153" s="34" t="n"/>
    </row>
    <row r="1154">
      <c r="A1154" t="inlineStr">
        <is>
          <t>ENC117132</t>
        </is>
      </c>
      <c r="B1154" t="inlineStr">
        <is>
          <t>PT13990</t>
        </is>
      </c>
      <c r="C1154" t="inlineStr">
        <is>
          <t>Inpatient</t>
        </is>
      </c>
      <c r="D1154" t="inlineStr">
        <is>
          <t>F02</t>
        </is>
      </c>
      <c r="E1154" t="inlineStr">
        <is>
          <t>D270</t>
        </is>
      </c>
      <c r="F1154" t="inlineStr">
        <is>
          <t>Direct Admit</t>
        </is>
      </c>
      <c r="G1154" s="32" t="n">
        <v>45864.01875</v>
      </c>
      <c r="H1154" s="32" t="n">
        <v>45867.59722222222</v>
      </c>
      <c r="I1154" t="inlineStr">
        <is>
          <t>O80</t>
        </is>
      </c>
      <c r="J1154" t="inlineStr">
        <is>
          <t>PY05</t>
        </is>
      </c>
      <c r="K1154" s="33" t="n">
        <v>27031.58</v>
      </c>
      <c r="L1154" s="34" t="n"/>
    </row>
    <row r="1155">
      <c r="A1155" t="inlineStr">
        <is>
          <t>ENC117138</t>
        </is>
      </c>
      <c r="B1155" t="inlineStr">
        <is>
          <t>PT11558</t>
        </is>
      </c>
      <c r="C1155" t="inlineStr">
        <is>
          <t>Emergency</t>
        </is>
      </c>
      <c r="D1155" t="inlineStr">
        <is>
          <t>F01</t>
        </is>
      </c>
      <c r="E1155" t="inlineStr">
        <is>
          <t>D100</t>
        </is>
      </c>
      <c r="G1155" s="32" t="n">
        <v>45864.52152777778</v>
      </c>
      <c r="H1155" s="32" t="n">
        <v>45864.63888888889</v>
      </c>
      <c r="I1155" t="inlineStr">
        <is>
          <t>M54.50</t>
        </is>
      </c>
      <c r="J1155" t="inlineStr">
        <is>
          <t>PY04</t>
        </is>
      </c>
      <c r="K1155" s="33" t="n">
        <v>615.12</v>
      </c>
      <c r="L1155" s="34" t="n"/>
    </row>
    <row r="1156">
      <c r="A1156" t="inlineStr">
        <is>
          <t>ENC117144</t>
        </is>
      </c>
      <c r="B1156" t="inlineStr">
        <is>
          <t>PT11377</t>
        </is>
      </c>
      <c r="C1156" t="inlineStr">
        <is>
          <t>Emergency</t>
        </is>
      </c>
      <c r="D1156" t="inlineStr">
        <is>
          <t>F01</t>
        </is>
      </c>
      <c r="E1156" t="inlineStr">
        <is>
          <t>D100</t>
        </is>
      </c>
      <c r="G1156" s="32" t="n">
        <v>45864.77916666667</v>
      </c>
      <c r="H1156" s="32" t="n">
        <v>45864.91111111111</v>
      </c>
      <c r="I1156" t="inlineStr">
        <is>
          <t>M54.50</t>
        </is>
      </c>
      <c r="J1156" t="inlineStr">
        <is>
          <t>PY03</t>
        </is>
      </c>
      <c r="K1156" s="33" t="n">
        <v>3060.45</v>
      </c>
      <c r="L1156" s="34" t="n"/>
    </row>
    <row r="1157">
      <c r="A1157" t="inlineStr">
        <is>
          <t>ENC117149</t>
        </is>
      </c>
      <c r="B1157" t="inlineStr">
        <is>
          <t>PT10724</t>
        </is>
      </c>
      <c r="C1157" t="inlineStr">
        <is>
          <t>Emergency</t>
        </is>
      </c>
      <c r="D1157" t="inlineStr">
        <is>
          <t>F01</t>
        </is>
      </c>
      <c r="E1157" t="inlineStr">
        <is>
          <t>D100</t>
        </is>
      </c>
      <c r="G1157" s="32" t="n">
        <v>45865.42777777778</v>
      </c>
      <c r="H1157" s="32" t="n">
        <v>45865.55833333333</v>
      </c>
      <c r="I1157" t="inlineStr">
        <is>
          <t>J44.1</t>
        </is>
      </c>
      <c r="J1157" t="inlineStr">
        <is>
          <t>PY05</t>
        </is>
      </c>
      <c r="K1157" s="33" t="n">
        <v>3119.31</v>
      </c>
      <c r="L1157" s="34" t="n"/>
    </row>
    <row r="1158">
      <c r="A1158" t="inlineStr">
        <is>
          <t>ENC117156</t>
        </is>
      </c>
      <c r="B1158" t="inlineStr">
        <is>
          <t>PT11721</t>
        </is>
      </c>
      <c r="C1158" t="inlineStr">
        <is>
          <t>Emergency</t>
        </is>
      </c>
      <c r="D1158" t="inlineStr">
        <is>
          <t>F01</t>
        </is>
      </c>
      <c r="E1158" t="inlineStr">
        <is>
          <t>D100</t>
        </is>
      </c>
      <c r="G1158" s="32" t="n">
        <v>45865.64097222222</v>
      </c>
      <c r="H1158" s="32" t="n">
        <v>45865.75</v>
      </c>
      <c r="I1158" t="inlineStr">
        <is>
          <t>J18.9</t>
        </is>
      </c>
      <c r="J1158" t="inlineStr">
        <is>
          <t>PY03</t>
        </is>
      </c>
      <c r="K1158" s="33" t="n">
        <v>4060.21</v>
      </c>
      <c r="L1158" s="34" t="n"/>
    </row>
    <row r="1159">
      <c r="A1159" t="inlineStr">
        <is>
          <t>ENC117159</t>
        </is>
      </c>
      <c r="B1159" t="inlineStr">
        <is>
          <t>PT12048</t>
        </is>
      </c>
      <c r="C1159" t="inlineStr">
        <is>
          <t>Inpatient</t>
        </is>
      </c>
      <c r="D1159" t="inlineStr">
        <is>
          <t>F01</t>
        </is>
      </c>
      <c r="E1159" t="inlineStr">
        <is>
          <t>D111</t>
        </is>
      </c>
      <c r="F1159" t="inlineStr">
        <is>
          <t>Emergency Department</t>
        </is>
      </c>
      <c r="G1159" s="32" t="n">
        <v>45866.09027777778</v>
      </c>
      <c r="H1159" s="32" t="n">
        <v>45869.66805555556</v>
      </c>
      <c r="I1159" t="inlineStr">
        <is>
          <t>J18.9</t>
        </is>
      </c>
      <c r="J1159" t="inlineStr">
        <is>
          <t>PY03</t>
        </is>
      </c>
      <c r="K1159" s="33" t="n">
        <v>13083.53</v>
      </c>
      <c r="L1159" s="34" t="n"/>
    </row>
    <row r="1160">
      <c r="A1160" t="inlineStr">
        <is>
          <t>ENC117165</t>
        </is>
      </c>
      <c r="B1160" t="inlineStr">
        <is>
          <t>PT10643</t>
        </is>
      </c>
      <c r="C1160" t="inlineStr">
        <is>
          <t>Emergency</t>
        </is>
      </c>
      <c r="D1160" t="inlineStr">
        <is>
          <t>F01</t>
        </is>
      </c>
      <c r="E1160" t="inlineStr">
        <is>
          <t>D100</t>
        </is>
      </c>
      <c r="G1160" s="32" t="n">
        <v>45866.34791666667</v>
      </c>
      <c r="H1160" s="32" t="n">
        <v>45866.45416666667</v>
      </c>
      <c r="I1160" t="inlineStr">
        <is>
          <t>N39.0</t>
        </is>
      </c>
      <c r="J1160" t="inlineStr">
        <is>
          <t>PY04</t>
        </is>
      </c>
      <c r="K1160" s="33" t="n">
        <v>2903.65</v>
      </c>
      <c r="L1160" s="34" t="n"/>
    </row>
    <row r="1161">
      <c r="A1161" t="inlineStr">
        <is>
          <t>ENC117166</t>
        </is>
      </c>
      <c r="B1161" t="inlineStr">
        <is>
          <t>PT13088</t>
        </is>
      </c>
      <c r="C1161" t="inlineStr">
        <is>
          <t>Inpatient</t>
        </is>
      </c>
      <c r="D1161" t="inlineStr">
        <is>
          <t>F01</t>
        </is>
      </c>
      <c r="E1161" t="inlineStr">
        <is>
          <t>D160</t>
        </is>
      </c>
      <c r="F1161" t="inlineStr">
        <is>
          <t>Emergency Department</t>
        </is>
      </c>
      <c r="G1161" s="32" t="n">
        <v>45866.51111111111</v>
      </c>
      <c r="H1161" s="32" t="n">
        <v>45870.59305555555</v>
      </c>
      <c r="I1161" t="inlineStr">
        <is>
          <t>I63.9</t>
        </is>
      </c>
      <c r="J1161" t="inlineStr">
        <is>
          <t>PY03</t>
        </is>
      </c>
      <c r="K1161" s="33" t="n">
        <v>22166.78</v>
      </c>
      <c r="L1161" s="34" t="n"/>
    </row>
    <row r="1162">
      <c r="A1162" t="inlineStr">
        <is>
          <t>ENC117167</t>
        </is>
      </c>
      <c r="B1162" t="inlineStr">
        <is>
          <t>PT10397</t>
        </is>
      </c>
      <c r="C1162" t="inlineStr">
        <is>
          <t>Inpatient</t>
        </is>
      </c>
      <c r="D1162" t="inlineStr">
        <is>
          <t>F01</t>
        </is>
      </c>
      <c r="E1162" t="inlineStr">
        <is>
          <t>D110</t>
        </is>
      </c>
      <c r="F1162" t="inlineStr">
        <is>
          <t>Emergency Department</t>
        </is>
      </c>
      <c r="G1162" s="32" t="n">
        <v>45866.59166666667</v>
      </c>
      <c r="H1162" s="32" t="n">
        <v>45871.64583333334</v>
      </c>
      <c r="I1162" t="inlineStr">
        <is>
          <t>F10.239</t>
        </is>
      </c>
      <c r="J1162" t="inlineStr">
        <is>
          <t>PY05</t>
        </is>
      </c>
      <c r="K1162" s="33" t="n">
        <v>25622</v>
      </c>
      <c r="L1162" s="34" t="n"/>
    </row>
    <row r="1163">
      <c r="A1163" t="inlineStr">
        <is>
          <t>ENC117184</t>
        </is>
      </c>
      <c r="B1163" t="inlineStr">
        <is>
          <t>PT12721</t>
        </is>
      </c>
      <c r="C1163" t="inlineStr">
        <is>
          <t>Outpatient</t>
        </is>
      </c>
      <c r="D1163" t="inlineStr">
        <is>
          <t>F04</t>
        </is>
      </c>
      <c r="E1163" t="inlineStr">
        <is>
          <t>D430</t>
        </is>
      </c>
      <c r="G1163" s="32" t="n">
        <v>45866.67708333334</v>
      </c>
      <c r="H1163" s="32" t="n">
        <v>45866.69652777778</v>
      </c>
      <c r="I1163" t="inlineStr">
        <is>
          <t>C34.90</t>
        </is>
      </c>
      <c r="J1163" t="inlineStr">
        <is>
          <t>PY02</t>
        </is>
      </c>
      <c r="K1163" s="33" t="n">
        <v>594.45</v>
      </c>
      <c r="L1163" s="34" t="n"/>
    </row>
    <row r="1164">
      <c r="A1164" t="inlineStr">
        <is>
          <t>ENC117189</t>
        </is>
      </c>
      <c r="B1164" t="inlineStr">
        <is>
          <t>PT11727</t>
        </is>
      </c>
      <c r="C1164" t="inlineStr">
        <is>
          <t>Emergency</t>
        </is>
      </c>
      <c r="D1164" t="inlineStr">
        <is>
          <t>F01</t>
        </is>
      </c>
      <c r="E1164" t="inlineStr">
        <is>
          <t>D100</t>
        </is>
      </c>
      <c r="G1164" s="32" t="n">
        <v>45866.77361111111</v>
      </c>
      <c r="H1164" s="32" t="n">
        <v>45866.83888888889</v>
      </c>
      <c r="I1164" t="inlineStr">
        <is>
          <t>N39.0</t>
        </is>
      </c>
      <c r="J1164" t="inlineStr">
        <is>
          <t>PY06</t>
        </is>
      </c>
      <c r="K1164" s="33" t="n">
        <v>3904.22</v>
      </c>
      <c r="L1164" s="34" t="n"/>
    </row>
    <row r="1165">
      <c r="A1165" t="inlineStr">
        <is>
          <t>ENC117190</t>
        </is>
      </c>
      <c r="B1165" t="inlineStr">
        <is>
          <t>PT11773</t>
        </is>
      </c>
      <c r="C1165" t="inlineStr">
        <is>
          <t>Inpatient</t>
        </is>
      </c>
      <c r="D1165" t="inlineStr">
        <is>
          <t>F01</t>
        </is>
      </c>
      <c r="E1165" t="inlineStr">
        <is>
          <t>D110</t>
        </is>
      </c>
      <c r="F1165" t="inlineStr">
        <is>
          <t>Emergency Department</t>
        </is>
      </c>
      <c r="G1165" s="32" t="n">
        <v>45866.95694444444</v>
      </c>
      <c r="H1165" s="32" t="n">
        <v>45869.47430555556</v>
      </c>
      <c r="I1165" t="inlineStr">
        <is>
          <t>K92.2</t>
        </is>
      </c>
      <c r="J1165" t="inlineStr">
        <is>
          <t>PY02</t>
        </is>
      </c>
      <c r="K1165" s="33" t="n">
        <v>13572.79</v>
      </c>
      <c r="L1165" s="34" t="n"/>
    </row>
    <row r="1166">
      <c r="A1166" t="inlineStr">
        <is>
          <t>ENC117200</t>
        </is>
      </c>
      <c r="B1166" t="inlineStr">
        <is>
          <t>PT10196</t>
        </is>
      </c>
      <c r="C1166" t="inlineStr">
        <is>
          <t>Outpatient</t>
        </is>
      </c>
      <c r="D1166" t="inlineStr">
        <is>
          <t>F04</t>
        </is>
      </c>
      <c r="E1166" t="inlineStr">
        <is>
          <t>D430</t>
        </is>
      </c>
      <c r="G1166" s="32" t="n">
        <v>45867.33333333334</v>
      </c>
      <c r="H1166" s="32" t="n">
        <v>45867.35555555556</v>
      </c>
      <c r="I1166" t="inlineStr">
        <is>
          <t>C50.911</t>
        </is>
      </c>
      <c r="J1166" t="inlineStr">
        <is>
          <t>PY02</t>
        </is>
      </c>
      <c r="K1166" s="33" t="n">
        <v>843.2</v>
      </c>
      <c r="L1166" s="34" t="n"/>
    </row>
    <row r="1167">
      <c r="A1167" t="inlineStr">
        <is>
          <t>ENC117205</t>
        </is>
      </c>
      <c r="B1167" t="inlineStr">
        <is>
          <t>PT10331</t>
        </is>
      </c>
      <c r="C1167" t="inlineStr">
        <is>
          <t>Emergency</t>
        </is>
      </c>
      <c r="D1167" t="inlineStr">
        <is>
          <t>F01</t>
        </is>
      </c>
      <c r="E1167" t="inlineStr">
        <is>
          <t>D100</t>
        </is>
      </c>
      <c r="G1167" s="32" t="n">
        <v>45867.37291666667</v>
      </c>
      <c r="H1167" s="32" t="n">
        <v>45867.49444444444</v>
      </c>
      <c r="I1167" t="inlineStr">
        <is>
          <t>R10.9</t>
        </is>
      </c>
      <c r="J1167" t="inlineStr">
        <is>
          <t>PY01</t>
        </is>
      </c>
      <c r="K1167" s="33" t="n">
        <v>3209.27</v>
      </c>
      <c r="L1167" s="34" t="n"/>
    </row>
    <row r="1168">
      <c r="A1168" t="inlineStr">
        <is>
          <t>ENC117199</t>
        </is>
      </c>
      <c r="B1168" t="inlineStr">
        <is>
          <t>PT10228</t>
        </is>
      </c>
      <c r="C1168" t="inlineStr">
        <is>
          <t>Observation</t>
        </is>
      </c>
      <c r="D1168" t="inlineStr">
        <is>
          <t>F01</t>
        </is>
      </c>
      <c r="E1168" t="inlineStr">
        <is>
          <t>D195</t>
        </is>
      </c>
      <c r="F1168" t="inlineStr">
        <is>
          <t>Emergency Department</t>
        </is>
      </c>
      <c r="G1168" s="32" t="n">
        <v>45867.48263888889</v>
      </c>
      <c r="H1168" s="32" t="n">
        <v>45868.80069444444</v>
      </c>
      <c r="I1168" t="inlineStr">
        <is>
          <t>I21.4</t>
        </is>
      </c>
      <c r="J1168" t="inlineStr">
        <is>
          <t>PY05</t>
        </is>
      </c>
      <c r="K1168" s="33" t="n">
        <v>7208.07</v>
      </c>
      <c r="L1168" s="34" t="n"/>
    </row>
    <row r="1169">
      <c r="A1169" t="inlineStr">
        <is>
          <t>ENC117218</t>
        </is>
      </c>
      <c r="B1169" t="inlineStr">
        <is>
          <t>PT11156</t>
        </is>
      </c>
      <c r="C1169" t="inlineStr">
        <is>
          <t>Inpatient</t>
        </is>
      </c>
      <c r="D1169" t="inlineStr">
        <is>
          <t>F01</t>
        </is>
      </c>
      <c r="E1169" t="inlineStr">
        <is>
          <t>D111</t>
        </is>
      </c>
      <c r="F1169" t="inlineStr">
        <is>
          <t>Direct Admit</t>
        </is>
      </c>
      <c r="G1169" s="32" t="n">
        <v>45867.62152777778</v>
      </c>
      <c r="H1169" s="32" t="n">
        <v>45870.47847222222</v>
      </c>
      <c r="I1169" t="inlineStr">
        <is>
          <t>U07.1</t>
        </is>
      </c>
      <c r="J1169" t="inlineStr">
        <is>
          <t>PY05</t>
        </is>
      </c>
      <c r="K1169" s="33" t="n">
        <v>20812.3</v>
      </c>
      <c r="L1169" s="34" t="n"/>
    </row>
    <row r="1170">
      <c r="A1170" t="inlineStr">
        <is>
          <t>ENC117222</t>
        </is>
      </c>
      <c r="B1170" t="inlineStr">
        <is>
          <t>PT12678</t>
        </is>
      </c>
      <c r="C1170" t="inlineStr">
        <is>
          <t>Outpatient</t>
        </is>
      </c>
      <c r="D1170" t="inlineStr">
        <is>
          <t>F04</t>
        </is>
      </c>
      <c r="E1170" t="inlineStr">
        <is>
          <t>D400</t>
        </is>
      </c>
      <c r="G1170" s="32" t="n">
        <v>45867.65625</v>
      </c>
      <c r="H1170" s="32" t="n">
        <v>45867.67152777778</v>
      </c>
      <c r="I1170" t="inlineStr">
        <is>
          <t>Z00.00</t>
        </is>
      </c>
      <c r="J1170" t="inlineStr">
        <is>
          <t>PY01</t>
        </is>
      </c>
      <c r="K1170" s="33" t="n">
        <v>245.82</v>
      </c>
      <c r="L1170" s="34" t="n"/>
    </row>
    <row r="1171">
      <c r="A1171" t="inlineStr">
        <is>
          <t>ENC117228</t>
        </is>
      </c>
      <c r="B1171" t="inlineStr">
        <is>
          <t>PT11998</t>
        </is>
      </c>
      <c r="C1171" t="inlineStr">
        <is>
          <t>Inpatient</t>
        </is>
      </c>
      <c r="D1171" t="inlineStr">
        <is>
          <t>F01</t>
        </is>
      </c>
      <c r="E1171" t="inlineStr">
        <is>
          <t>D111</t>
        </is>
      </c>
      <c r="F1171" t="inlineStr">
        <is>
          <t>Elective</t>
        </is>
      </c>
      <c r="G1171" s="32" t="n">
        <v>45867.75277777778</v>
      </c>
      <c r="H1171" s="32" t="n">
        <v>45869.38472222222</v>
      </c>
      <c r="I1171" t="inlineStr">
        <is>
          <t>K80.20</t>
        </is>
      </c>
      <c r="J1171" t="inlineStr">
        <is>
          <t>PY02</t>
        </is>
      </c>
      <c r="K1171" s="33" t="n">
        <v>21170.28</v>
      </c>
      <c r="L1171" s="34" t="n"/>
    </row>
    <row r="1172">
      <c r="A1172" t="inlineStr">
        <is>
          <t>ENC117229</t>
        </is>
      </c>
      <c r="B1172" t="inlineStr">
        <is>
          <t>PT13911</t>
        </is>
      </c>
      <c r="C1172" t="inlineStr">
        <is>
          <t>Observation</t>
        </is>
      </c>
      <c r="D1172" t="inlineStr">
        <is>
          <t>F01</t>
        </is>
      </c>
      <c r="E1172" t="inlineStr">
        <is>
          <t>D195</t>
        </is>
      </c>
      <c r="F1172" t="inlineStr">
        <is>
          <t>Emergency Department</t>
        </is>
      </c>
      <c r="G1172" s="32" t="n">
        <v>45867.86805555555</v>
      </c>
      <c r="H1172" s="32" t="n">
        <v>45868.91111111111</v>
      </c>
      <c r="I1172" t="inlineStr">
        <is>
          <t>L03.115</t>
        </is>
      </c>
      <c r="J1172" t="inlineStr">
        <is>
          <t>PY07</t>
        </is>
      </c>
      <c r="K1172" s="33" t="n">
        <v>6427.71</v>
      </c>
      <c r="L1172" s="34" t="n"/>
    </row>
    <row r="1173">
      <c r="A1173" t="inlineStr">
        <is>
          <t>ENC117238</t>
        </is>
      </c>
      <c r="B1173" t="inlineStr">
        <is>
          <t>PT10146</t>
        </is>
      </c>
      <c r="C1173" t="inlineStr">
        <is>
          <t>Emergency</t>
        </is>
      </c>
      <c r="D1173" t="inlineStr">
        <is>
          <t>F02</t>
        </is>
      </c>
      <c r="E1173" t="inlineStr">
        <is>
          <t>D200</t>
        </is>
      </c>
      <c r="G1173" s="32" t="n">
        <v>45868.34861111111</v>
      </c>
      <c r="H1173" s="32" t="n">
        <v>45868.49722222222</v>
      </c>
      <c r="I1173" t="inlineStr">
        <is>
          <t>J45.909</t>
        </is>
      </c>
      <c r="J1173" t="inlineStr">
        <is>
          <t>PY03</t>
        </is>
      </c>
      <c r="K1173" s="33" t="n">
        <v>4305.54</v>
      </c>
      <c r="L1173" s="34" t="n"/>
    </row>
    <row r="1174">
      <c r="A1174" t="inlineStr">
        <is>
          <t>ENC117244</t>
        </is>
      </c>
      <c r="B1174" t="inlineStr">
        <is>
          <t>PT13832</t>
        </is>
      </c>
      <c r="C1174" t="inlineStr">
        <is>
          <t>Outpatient</t>
        </is>
      </c>
      <c r="D1174" t="inlineStr">
        <is>
          <t>F04</t>
        </is>
      </c>
      <c r="E1174" t="inlineStr">
        <is>
          <t>D400</t>
        </is>
      </c>
      <c r="G1174" s="32" t="n">
        <v>45868.42708333334</v>
      </c>
      <c r="H1174" s="32" t="n">
        <v>45868.44305555556</v>
      </c>
      <c r="I1174" t="inlineStr">
        <is>
          <t>M54.50</t>
        </is>
      </c>
      <c r="J1174" t="inlineStr">
        <is>
          <t>PY01</t>
        </is>
      </c>
      <c r="K1174" s="33" t="n">
        <v>236.33</v>
      </c>
      <c r="L1174" s="34" t="n"/>
    </row>
    <row r="1175">
      <c r="A1175" t="inlineStr">
        <is>
          <t>ENC117249</t>
        </is>
      </c>
      <c r="B1175" t="inlineStr">
        <is>
          <t>PT10948</t>
        </is>
      </c>
      <c r="C1175" t="inlineStr">
        <is>
          <t>Outpatient</t>
        </is>
      </c>
      <c r="D1175" t="inlineStr">
        <is>
          <t>F04</t>
        </is>
      </c>
      <c r="E1175" t="inlineStr">
        <is>
          <t>D400</t>
        </is>
      </c>
      <c r="G1175" s="32" t="n">
        <v>45868.5</v>
      </c>
      <c r="H1175" s="32" t="n">
        <v>45868.51666666667</v>
      </c>
      <c r="I1175" t="inlineStr">
        <is>
          <t>I10</t>
        </is>
      </c>
      <c r="J1175" t="inlineStr">
        <is>
          <t>PY03</t>
        </is>
      </c>
      <c r="K1175" s="33" t="n">
        <v>296.54</v>
      </c>
      <c r="L1175" s="34" t="n"/>
    </row>
    <row r="1176">
      <c r="A1176" t="inlineStr">
        <is>
          <t>ENC117255</t>
        </is>
      </c>
      <c r="B1176" t="inlineStr">
        <is>
          <t>PT12513</t>
        </is>
      </c>
      <c r="C1176" t="inlineStr">
        <is>
          <t>Emergency</t>
        </is>
      </c>
      <c r="D1176" t="inlineStr">
        <is>
          <t>F03</t>
        </is>
      </c>
      <c r="E1176" t="inlineStr">
        <is>
          <t>D300</t>
        </is>
      </c>
      <c r="G1176" s="32" t="n">
        <v>45868.62430555555</v>
      </c>
      <c r="H1176" s="32" t="n">
        <v>45868.78680555556</v>
      </c>
      <c r="I1176" t="inlineStr">
        <is>
          <t>M54.50</t>
        </is>
      </c>
      <c r="J1176" t="inlineStr">
        <is>
          <t>PY02</t>
        </is>
      </c>
      <c r="K1176" s="33" t="n">
        <v>2125.52</v>
      </c>
      <c r="L1176" s="34" t="n"/>
    </row>
    <row r="1177">
      <c r="A1177" t="inlineStr">
        <is>
          <t>ENC117260</t>
        </is>
      </c>
      <c r="B1177" t="inlineStr">
        <is>
          <t>PT12712</t>
        </is>
      </c>
      <c r="C1177" t="inlineStr">
        <is>
          <t>Emergency</t>
        </is>
      </c>
      <c r="D1177" t="inlineStr">
        <is>
          <t>F01</t>
        </is>
      </c>
      <c r="E1177" t="inlineStr">
        <is>
          <t>D100</t>
        </is>
      </c>
      <c r="G1177" s="32" t="n">
        <v>45868.86736111111</v>
      </c>
      <c r="H1177" s="32" t="n">
        <v>45869.07013888889</v>
      </c>
      <c r="I1177" t="inlineStr">
        <is>
          <t>F32.9</t>
        </is>
      </c>
      <c r="J1177" t="inlineStr">
        <is>
          <t>PY02</t>
        </is>
      </c>
      <c r="K1177" s="33" t="n">
        <v>5316.12</v>
      </c>
      <c r="L1177" s="34" t="n"/>
    </row>
    <row r="1178">
      <c r="A1178" t="inlineStr">
        <is>
          <t>ENC117267</t>
        </is>
      </c>
      <c r="B1178" t="inlineStr">
        <is>
          <t>PT12028</t>
        </is>
      </c>
      <c r="C1178" t="inlineStr">
        <is>
          <t>Outpatient</t>
        </is>
      </c>
      <c r="D1178" t="inlineStr">
        <is>
          <t>F04</t>
        </is>
      </c>
      <c r="E1178" t="inlineStr">
        <is>
          <t>D400</t>
        </is>
      </c>
      <c r="G1178" s="32" t="n">
        <v>45869.44791666666</v>
      </c>
      <c r="H1178" s="32" t="n">
        <v>45869.48402777778</v>
      </c>
      <c r="I1178" t="inlineStr">
        <is>
          <t>Z23</t>
        </is>
      </c>
      <c r="J1178" t="inlineStr">
        <is>
          <t>PY07</t>
        </is>
      </c>
      <c r="K1178" s="33" t="n">
        <v>112.01</v>
      </c>
      <c r="L1178" s="34" t="n"/>
    </row>
    <row r="1179">
      <c r="A1179" t="inlineStr">
        <is>
          <t>ENC117271</t>
        </is>
      </c>
      <c r="B1179" t="inlineStr">
        <is>
          <t>PT11729</t>
        </is>
      </c>
      <c r="C1179" t="inlineStr">
        <is>
          <t>Emergency</t>
        </is>
      </c>
      <c r="D1179" t="inlineStr">
        <is>
          <t>F02</t>
        </is>
      </c>
      <c r="E1179" t="inlineStr">
        <is>
          <t>D200</t>
        </is>
      </c>
      <c r="G1179" s="32" t="n">
        <v>45869.55</v>
      </c>
      <c r="H1179" s="32" t="n">
        <v>45869.65833333333</v>
      </c>
      <c r="I1179" t="inlineStr">
        <is>
          <t>L03.115</t>
        </is>
      </c>
      <c r="J1179" t="inlineStr">
        <is>
          <t>PY02</t>
        </is>
      </c>
      <c r="K1179" s="33" t="n">
        <v>1130.52</v>
      </c>
      <c r="L1179" s="34" t="n"/>
    </row>
    <row r="1180">
      <c r="A1180" t="inlineStr">
        <is>
          <t>ENC117278</t>
        </is>
      </c>
      <c r="B1180" t="inlineStr">
        <is>
          <t>PT13793</t>
        </is>
      </c>
      <c r="C1180" t="inlineStr">
        <is>
          <t>Outpatient</t>
        </is>
      </c>
      <c r="D1180" t="inlineStr">
        <is>
          <t>F04</t>
        </is>
      </c>
      <c r="E1180" t="inlineStr">
        <is>
          <t>D400</t>
        </is>
      </c>
      <c r="G1180" s="32" t="n">
        <v>45869.625</v>
      </c>
      <c r="H1180" s="32" t="n">
        <v>45869.64027777778</v>
      </c>
      <c r="I1180" t="inlineStr">
        <is>
          <t>F41.9</t>
        </is>
      </c>
      <c r="J1180" t="inlineStr">
        <is>
          <t>PY04</t>
        </is>
      </c>
      <c r="K1180" s="33" t="n">
        <v>319.61</v>
      </c>
      <c r="L1180" s="34" t="n"/>
    </row>
    <row r="1181">
      <c r="A1181" t="inlineStr">
        <is>
          <t>ENC117284</t>
        </is>
      </c>
      <c r="B1181" t="inlineStr">
        <is>
          <t>PT10358</t>
        </is>
      </c>
      <c r="C1181" t="inlineStr">
        <is>
          <t>Outpatient</t>
        </is>
      </c>
      <c r="D1181" t="inlineStr">
        <is>
          <t>F04</t>
        </is>
      </c>
      <c r="E1181" t="inlineStr">
        <is>
          <t>D450</t>
        </is>
      </c>
      <c r="G1181" s="32" t="n">
        <v>45869.67708333334</v>
      </c>
      <c r="H1181" s="32" t="n">
        <v>45869.69930555556</v>
      </c>
      <c r="I1181" t="inlineStr">
        <is>
          <t>H66.90</t>
        </is>
      </c>
      <c r="J1181" t="inlineStr">
        <is>
          <t>PY03</t>
        </is>
      </c>
      <c r="K1181" s="33" t="n">
        <v>635.41</v>
      </c>
      <c r="L1181" s="34" t="n"/>
    </row>
    <row r="1182">
      <c r="A1182" t="inlineStr">
        <is>
          <t>ENC117274</t>
        </is>
      </c>
      <c r="B1182" t="inlineStr">
        <is>
          <t>PT11295</t>
        </is>
      </c>
      <c r="C1182" t="inlineStr">
        <is>
          <t>Inpatient</t>
        </is>
      </c>
      <c r="D1182" t="inlineStr">
        <is>
          <t>F01</t>
        </is>
      </c>
      <c r="E1182" t="inlineStr">
        <is>
          <t>D111</t>
        </is>
      </c>
      <c r="F1182" t="inlineStr">
        <is>
          <t>Emergency Department</t>
        </is>
      </c>
      <c r="G1182" s="32" t="n">
        <v>45869.73194444444</v>
      </c>
      <c r="H1182" s="32" t="n">
        <v>45873.68680555555</v>
      </c>
      <c r="I1182" t="inlineStr">
        <is>
          <t>L03.115</t>
        </is>
      </c>
      <c r="J1182" t="inlineStr">
        <is>
          <t>PY04</t>
        </is>
      </c>
      <c r="K1182" s="33" t="n">
        <v>22023.24</v>
      </c>
      <c r="L1182" s="34" t="n"/>
    </row>
    <row r="1183">
      <c r="A1183" t="inlineStr">
        <is>
          <t>ENC117294</t>
        </is>
      </c>
      <c r="B1183" t="inlineStr">
        <is>
          <t>PT13875</t>
        </is>
      </c>
      <c r="C1183" t="inlineStr">
        <is>
          <t>Inpatient</t>
        </is>
      </c>
      <c r="D1183" t="inlineStr">
        <is>
          <t>F01</t>
        </is>
      </c>
      <c r="E1183" t="inlineStr">
        <is>
          <t>D160</t>
        </is>
      </c>
      <c r="F1183" t="inlineStr">
        <is>
          <t>Emergency Department</t>
        </is>
      </c>
      <c r="G1183" s="32" t="n">
        <v>45870.16805555556</v>
      </c>
      <c r="H1183" s="32" t="n">
        <v>45874.675</v>
      </c>
      <c r="I1183" t="inlineStr">
        <is>
          <t>G40.909</t>
        </is>
      </c>
      <c r="J1183" t="inlineStr">
        <is>
          <t>PY05</t>
        </is>
      </c>
      <c r="K1183" s="33" t="n">
        <v>24672.26</v>
      </c>
      <c r="L1183" s="34" t="n"/>
    </row>
    <row r="1184">
      <c r="A1184" t="inlineStr">
        <is>
          <t>ENC117299</t>
        </is>
      </c>
      <c r="B1184" t="inlineStr">
        <is>
          <t>PT10683</t>
        </is>
      </c>
      <c r="C1184" t="inlineStr">
        <is>
          <t>Outpatient</t>
        </is>
      </c>
      <c r="D1184" t="inlineStr">
        <is>
          <t>F04</t>
        </is>
      </c>
      <c r="E1184" t="inlineStr">
        <is>
          <t>D440</t>
        </is>
      </c>
      <c r="G1184" s="32" t="n">
        <v>45870.38541666666</v>
      </c>
      <c r="H1184" s="32" t="n">
        <v>45870.39652777778</v>
      </c>
      <c r="I1184" t="inlineStr">
        <is>
          <t>E11.9</t>
        </is>
      </c>
      <c r="J1184" t="inlineStr">
        <is>
          <t>PY06</t>
        </is>
      </c>
      <c r="K1184" s="33" t="n">
        <v>346.15</v>
      </c>
      <c r="L1184" s="34" t="n"/>
    </row>
    <row r="1185">
      <c r="A1185" t="inlineStr">
        <is>
          <t>ENC117306</t>
        </is>
      </c>
      <c r="B1185" t="inlineStr">
        <is>
          <t>PT13645</t>
        </is>
      </c>
      <c r="C1185" t="inlineStr">
        <is>
          <t>Inpatient</t>
        </is>
      </c>
      <c r="D1185" t="inlineStr">
        <is>
          <t>F01</t>
        </is>
      </c>
      <c r="E1185" t="inlineStr">
        <is>
          <t>D160</t>
        </is>
      </c>
      <c r="F1185" t="inlineStr">
        <is>
          <t>Direct Admit</t>
        </is>
      </c>
      <c r="G1185" s="32" t="n">
        <v>45870.54861111111</v>
      </c>
      <c r="H1185" s="32" t="n">
        <v>45873.66180555556</v>
      </c>
      <c r="I1185" t="inlineStr">
        <is>
          <t>I63.9</t>
        </is>
      </c>
      <c r="J1185" t="inlineStr">
        <is>
          <t>PY01</t>
        </is>
      </c>
      <c r="K1185" s="33" t="n">
        <v>25219.43</v>
      </c>
      <c r="L1185" s="34" t="n"/>
    </row>
    <row r="1186">
      <c r="A1186" t="inlineStr">
        <is>
          <t>ENC117311</t>
        </is>
      </c>
      <c r="B1186" t="inlineStr">
        <is>
          <t>PT13325</t>
        </is>
      </c>
      <c r="C1186" t="inlineStr">
        <is>
          <t>Emergency</t>
        </is>
      </c>
      <c r="D1186" t="inlineStr">
        <is>
          <t>F01</t>
        </is>
      </c>
      <c r="E1186" t="inlineStr">
        <is>
          <t>D100</t>
        </is>
      </c>
      <c r="G1186" s="32" t="n">
        <v>45870.61736111111</v>
      </c>
      <c r="H1186" s="32" t="n">
        <v>45870.68958333333</v>
      </c>
      <c r="I1186" t="inlineStr">
        <is>
          <t>L03.115</t>
        </is>
      </c>
      <c r="J1186" t="inlineStr">
        <is>
          <t>PY03</t>
        </is>
      </c>
      <c r="K1186" s="33" t="n">
        <v>1400.45</v>
      </c>
      <c r="L1186" s="34" t="n"/>
    </row>
    <row r="1187">
      <c r="A1187" t="inlineStr">
        <is>
          <t>ENC117317</t>
        </is>
      </c>
      <c r="B1187" t="inlineStr">
        <is>
          <t>PT10690</t>
        </is>
      </c>
      <c r="C1187" t="inlineStr">
        <is>
          <t>Inpatient</t>
        </is>
      </c>
      <c r="D1187" t="inlineStr">
        <is>
          <t>F01</t>
        </is>
      </c>
      <c r="E1187" t="inlineStr">
        <is>
          <t>D120</t>
        </is>
      </c>
      <c r="F1187" t="inlineStr">
        <is>
          <t>Direct Admit</t>
        </is>
      </c>
      <c r="G1187" s="32" t="n">
        <v>45870.72291666667</v>
      </c>
      <c r="H1187" s="32" t="n">
        <v>45873.52361111111</v>
      </c>
      <c r="I1187" t="inlineStr">
        <is>
          <t>I48.91</t>
        </is>
      </c>
      <c r="J1187" t="inlineStr">
        <is>
          <t>PY04</t>
        </is>
      </c>
      <c r="K1187" s="33" t="n">
        <v>19450.72</v>
      </c>
      <c r="L1187" s="34" t="n"/>
    </row>
    <row r="1188">
      <c r="A1188" t="inlineStr">
        <is>
          <t>ENC117321</t>
        </is>
      </c>
      <c r="B1188" t="inlineStr">
        <is>
          <t>PT11404</t>
        </is>
      </c>
      <c r="C1188" t="inlineStr">
        <is>
          <t>Emergency</t>
        </is>
      </c>
      <c r="D1188" t="inlineStr">
        <is>
          <t>F02</t>
        </is>
      </c>
      <c r="E1188" t="inlineStr">
        <is>
          <t>D200</t>
        </is>
      </c>
      <c r="G1188" s="32" t="n">
        <v>45870.88402777778</v>
      </c>
      <c r="H1188" s="32" t="n">
        <v>45870.97986111111</v>
      </c>
      <c r="I1188" t="inlineStr">
        <is>
          <t>A08.4</t>
        </is>
      </c>
      <c r="J1188" t="inlineStr">
        <is>
          <t>PY01</t>
        </is>
      </c>
      <c r="K1188" s="33" t="n">
        <v>1543.42</v>
      </c>
      <c r="L1188" s="34" t="n"/>
    </row>
    <row r="1189">
      <c r="A1189" t="inlineStr">
        <is>
          <t>ENC117327</t>
        </is>
      </c>
      <c r="B1189" t="inlineStr">
        <is>
          <t>PT13762</t>
        </is>
      </c>
      <c r="C1189" t="inlineStr">
        <is>
          <t>Inpatient</t>
        </is>
      </c>
      <c r="D1189" t="inlineStr">
        <is>
          <t>F02</t>
        </is>
      </c>
      <c r="E1189" t="inlineStr">
        <is>
          <t>D210</t>
        </is>
      </c>
      <c r="F1189" t="inlineStr">
        <is>
          <t>Direct Admit</t>
        </is>
      </c>
      <c r="G1189" s="32" t="n">
        <v>45871.59652777778</v>
      </c>
      <c r="H1189" s="32" t="n">
        <v>45877.64652777778</v>
      </c>
      <c r="I1189" t="inlineStr">
        <is>
          <t>L03.115</t>
        </is>
      </c>
      <c r="J1189" t="inlineStr">
        <is>
          <t>PY06</t>
        </is>
      </c>
      <c r="K1189" s="33" t="n">
        <v>28460.3</v>
      </c>
      <c r="L1189" s="34" t="n"/>
    </row>
    <row r="1190">
      <c r="A1190" t="inlineStr">
        <is>
          <t>ENC117333</t>
        </is>
      </c>
      <c r="B1190" t="inlineStr">
        <is>
          <t>PT12484</t>
        </is>
      </c>
      <c r="C1190" t="inlineStr">
        <is>
          <t>Inpatient</t>
        </is>
      </c>
      <c r="D1190" t="inlineStr">
        <is>
          <t>F01</t>
        </is>
      </c>
      <c r="E1190" t="inlineStr">
        <is>
          <t>D111</t>
        </is>
      </c>
      <c r="F1190" t="inlineStr">
        <is>
          <t>Direct Admit</t>
        </is>
      </c>
      <c r="G1190" s="32" t="n">
        <v>45872.08194444444</v>
      </c>
      <c r="H1190" s="32" t="n">
        <v>45875.51875</v>
      </c>
      <c r="I1190" t="inlineStr">
        <is>
          <t>U07.1</t>
        </is>
      </c>
      <c r="J1190" t="inlineStr">
        <is>
          <t>PY01</t>
        </is>
      </c>
      <c r="K1190" s="33" t="n">
        <v>18222.95</v>
      </c>
      <c r="L1190" s="34" t="n"/>
    </row>
    <row r="1191">
      <c r="A1191" t="inlineStr">
        <is>
          <t>ENC117338</t>
        </is>
      </c>
      <c r="B1191" t="inlineStr">
        <is>
          <t>PT10309</t>
        </is>
      </c>
      <c r="C1191" t="inlineStr">
        <is>
          <t>Emergency</t>
        </is>
      </c>
      <c r="D1191" t="inlineStr">
        <is>
          <t>F01</t>
        </is>
      </c>
      <c r="E1191" t="inlineStr">
        <is>
          <t>D100</t>
        </is>
      </c>
      <c r="G1191" s="32" t="n">
        <v>45872.48402777778</v>
      </c>
      <c r="H1191" s="32" t="n">
        <v>45872.62569444445</v>
      </c>
      <c r="I1191" t="inlineStr">
        <is>
          <t>G43.909</t>
        </is>
      </c>
      <c r="J1191" t="inlineStr">
        <is>
          <t>PY04</t>
        </is>
      </c>
      <c r="K1191" s="33" t="n">
        <v>3699.83</v>
      </c>
      <c r="L1191" s="34" t="n"/>
    </row>
    <row r="1192">
      <c r="A1192" t="inlineStr">
        <is>
          <t>ENC117345</t>
        </is>
      </c>
      <c r="B1192" t="inlineStr">
        <is>
          <t>PT11853</t>
        </is>
      </c>
      <c r="C1192" t="inlineStr">
        <is>
          <t>Emergency</t>
        </is>
      </c>
      <c r="D1192" t="inlineStr">
        <is>
          <t>F01</t>
        </is>
      </c>
      <c r="E1192" t="inlineStr">
        <is>
          <t>D100</t>
        </is>
      </c>
      <c r="G1192" s="32" t="n">
        <v>45872.71319444444</v>
      </c>
      <c r="H1192" s="32" t="n">
        <v>45872.86111111111</v>
      </c>
      <c r="I1192" t="inlineStr">
        <is>
          <t>F10.239</t>
        </is>
      </c>
      <c r="J1192" t="inlineStr">
        <is>
          <t>PY04</t>
        </is>
      </c>
      <c r="K1192" s="33" t="n">
        <v>3420.07</v>
      </c>
      <c r="L1192" s="34" t="n"/>
    </row>
    <row r="1193">
      <c r="A1193" t="inlineStr">
        <is>
          <t>ENC117351</t>
        </is>
      </c>
      <c r="B1193" t="inlineStr">
        <is>
          <t>PT10750</t>
        </is>
      </c>
      <c r="C1193" t="inlineStr">
        <is>
          <t>Inpatient</t>
        </is>
      </c>
      <c r="D1193" t="inlineStr">
        <is>
          <t>F03</t>
        </is>
      </c>
      <c r="E1193" t="inlineStr">
        <is>
          <t>D340</t>
        </is>
      </c>
      <c r="F1193" t="inlineStr">
        <is>
          <t>Direct Admit</t>
        </is>
      </c>
      <c r="G1193" s="32" t="n">
        <v>45872.79722222222</v>
      </c>
      <c r="H1193" s="32" t="n">
        <v>45877.58611111111</v>
      </c>
      <c r="I1193" t="inlineStr">
        <is>
          <t>S72.001A</t>
        </is>
      </c>
      <c r="J1193" t="inlineStr">
        <is>
          <t>PY01</t>
        </is>
      </c>
      <c r="K1193" s="33" t="n">
        <v>81832.74000000001</v>
      </c>
      <c r="L1193" s="34" t="n"/>
    </row>
    <row r="1194">
      <c r="A1194" t="inlineStr">
        <is>
          <t>ENC117355</t>
        </is>
      </c>
      <c r="B1194" t="inlineStr">
        <is>
          <t>PT11790</t>
        </is>
      </c>
      <c r="C1194" t="inlineStr">
        <is>
          <t>Inpatient</t>
        </is>
      </c>
      <c r="D1194" t="inlineStr">
        <is>
          <t>F01</t>
        </is>
      </c>
      <c r="E1194" t="inlineStr">
        <is>
          <t>D110</t>
        </is>
      </c>
      <c r="F1194" t="inlineStr">
        <is>
          <t>Emergency Department</t>
        </is>
      </c>
      <c r="G1194" s="32" t="n">
        <v>45873.35208333333</v>
      </c>
      <c r="H1194" s="32" t="n">
        <v>45876.675</v>
      </c>
      <c r="I1194" t="inlineStr">
        <is>
          <t>N39.0</t>
        </is>
      </c>
      <c r="J1194" t="inlineStr">
        <is>
          <t>PY01</t>
        </is>
      </c>
      <c r="K1194" s="33" t="n">
        <v>18432.01</v>
      </c>
      <c r="L1194" s="34" t="n"/>
    </row>
    <row r="1195">
      <c r="A1195" t="inlineStr">
        <is>
          <t>ENC117360</t>
        </is>
      </c>
      <c r="B1195" t="inlineStr">
        <is>
          <t>PT13567</t>
        </is>
      </c>
      <c r="C1195" t="inlineStr">
        <is>
          <t>Emergency</t>
        </is>
      </c>
      <c r="D1195" t="inlineStr">
        <is>
          <t>F01</t>
        </is>
      </c>
      <c r="E1195" t="inlineStr">
        <is>
          <t>D100</t>
        </is>
      </c>
      <c r="G1195" s="32" t="n">
        <v>45873.49236111111</v>
      </c>
      <c r="H1195" s="32" t="n">
        <v>45873.59166666667</v>
      </c>
      <c r="I1195" t="inlineStr">
        <is>
          <t>S93.401A</t>
        </is>
      </c>
      <c r="J1195" t="inlineStr">
        <is>
          <t>PY05</t>
        </is>
      </c>
      <c r="K1195" s="33" t="n">
        <v>699.8</v>
      </c>
      <c r="L1195" s="34" t="n"/>
    </row>
    <row r="1196">
      <c r="A1196" t="inlineStr">
        <is>
          <t>ENC117367</t>
        </is>
      </c>
      <c r="B1196" t="inlineStr">
        <is>
          <t>PT12335</t>
        </is>
      </c>
      <c r="C1196" t="inlineStr">
        <is>
          <t>Inpatient</t>
        </is>
      </c>
      <c r="D1196" t="inlineStr">
        <is>
          <t>F01</t>
        </is>
      </c>
      <c r="E1196" t="inlineStr">
        <is>
          <t>D170</t>
        </is>
      </c>
      <c r="F1196" t="inlineStr">
        <is>
          <t>Direct Admit</t>
        </is>
      </c>
      <c r="G1196" s="32" t="n">
        <v>45873.59583333333</v>
      </c>
      <c r="H1196" s="32" t="n">
        <v>45876.62916666667</v>
      </c>
      <c r="I1196" t="inlineStr">
        <is>
          <t>O80</t>
        </is>
      </c>
      <c r="J1196" t="inlineStr">
        <is>
          <t>PY05</t>
        </is>
      </c>
      <c r="K1196" s="33" t="n">
        <v>14877.33</v>
      </c>
      <c r="L1196" s="34" t="n"/>
    </row>
    <row r="1197">
      <c r="A1197" t="inlineStr">
        <is>
          <t>ENC117374</t>
        </is>
      </c>
      <c r="B1197" t="inlineStr">
        <is>
          <t>PT11181</t>
        </is>
      </c>
      <c r="C1197" t="inlineStr">
        <is>
          <t>Outpatient</t>
        </is>
      </c>
      <c r="D1197" t="inlineStr">
        <is>
          <t>F04</t>
        </is>
      </c>
      <c r="E1197" t="inlineStr">
        <is>
          <t>D400</t>
        </is>
      </c>
      <c r="G1197" s="32" t="n">
        <v>45873.6875</v>
      </c>
      <c r="H1197" s="32" t="n">
        <v>45873.71180555555</v>
      </c>
      <c r="I1197" t="inlineStr">
        <is>
          <t>Z00.00</t>
        </is>
      </c>
      <c r="J1197" t="inlineStr">
        <is>
          <t>PY06</t>
        </is>
      </c>
      <c r="K1197" s="33" t="n">
        <v>440.57</v>
      </c>
      <c r="L1197" s="34" t="n"/>
    </row>
    <row r="1198">
      <c r="A1198" t="inlineStr">
        <is>
          <t>ENC117379</t>
        </is>
      </c>
      <c r="B1198" t="inlineStr">
        <is>
          <t>PT12425</t>
        </is>
      </c>
      <c r="C1198" t="inlineStr">
        <is>
          <t>Emergency</t>
        </is>
      </c>
      <c r="D1198" t="inlineStr">
        <is>
          <t>F01</t>
        </is>
      </c>
      <c r="E1198" t="inlineStr">
        <is>
          <t>D100</t>
        </is>
      </c>
      <c r="G1198" s="32" t="n">
        <v>45873.86736111111</v>
      </c>
      <c r="H1198" s="32" t="n">
        <v>45874.05486111111</v>
      </c>
      <c r="I1198" t="inlineStr">
        <is>
          <t>F41.9</t>
        </is>
      </c>
      <c r="J1198" t="inlineStr">
        <is>
          <t>PY04</t>
        </is>
      </c>
      <c r="K1198" s="33" t="n">
        <v>2920.07</v>
      </c>
      <c r="L1198" s="34" t="n"/>
    </row>
    <row r="1199">
      <c r="A1199" t="inlineStr">
        <is>
          <t>ENC117383</t>
        </is>
      </c>
      <c r="B1199" t="inlineStr">
        <is>
          <t>PT12205</t>
        </is>
      </c>
      <c r="C1199" t="inlineStr">
        <is>
          <t>Inpatient</t>
        </is>
      </c>
      <c r="D1199" t="inlineStr">
        <is>
          <t>F01</t>
        </is>
      </c>
      <c r="E1199" t="inlineStr">
        <is>
          <t>D140</t>
        </is>
      </c>
      <c r="F1199" t="inlineStr">
        <is>
          <t>Elective</t>
        </is>
      </c>
      <c r="G1199" s="32" t="n">
        <v>45874.24791666667</v>
      </c>
      <c r="H1199" s="32" t="n">
        <v>45874.78958333333</v>
      </c>
      <c r="I1199" t="inlineStr">
        <is>
          <t>M16.11</t>
        </is>
      </c>
      <c r="J1199" t="inlineStr">
        <is>
          <t>PY05</t>
        </is>
      </c>
      <c r="K1199" s="33" t="n">
        <v>60665.17</v>
      </c>
      <c r="L1199" s="34" t="n"/>
    </row>
    <row r="1200">
      <c r="A1200" t="inlineStr">
        <is>
          <t>ENC117388</t>
        </is>
      </c>
      <c r="B1200" t="inlineStr">
        <is>
          <t>PT11201</t>
        </is>
      </c>
      <c r="C1200" t="inlineStr">
        <is>
          <t>Emergency</t>
        </is>
      </c>
      <c r="D1200" t="inlineStr">
        <is>
          <t>F01</t>
        </is>
      </c>
      <c r="E1200" t="inlineStr">
        <is>
          <t>D100</t>
        </is>
      </c>
      <c r="G1200" s="32" t="n">
        <v>45874.43333333333</v>
      </c>
      <c r="H1200" s="32" t="n">
        <v>45874.50416666667</v>
      </c>
      <c r="I1200" t="inlineStr">
        <is>
          <t>E11.65</t>
        </is>
      </c>
      <c r="J1200" t="inlineStr">
        <is>
          <t>PY05</t>
        </is>
      </c>
      <c r="K1200" s="33" t="n">
        <v>2078.57</v>
      </c>
      <c r="L1200" s="34" t="n"/>
    </row>
    <row r="1201">
      <c r="A1201" t="inlineStr">
        <is>
          <t>ENC117390</t>
        </is>
      </c>
      <c r="B1201" t="inlineStr">
        <is>
          <t>PT11840</t>
        </is>
      </c>
      <c r="C1201" t="inlineStr">
        <is>
          <t>Inpatient</t>
        </is>
      </c>
      <c r="D1201" t="inlineStr">
        <is>
          <t>F01</t>
        </is>
      </c>
      <c r="E1201" t="inlineStr">
        <is>
          <t>D110</t>
        </is>
      </c>
      <c r="F1201" t="inlineStr">
        <is>
          <t>Emergency Department</t>
        </is>
      </c>
      <c r="G1201" s="32" t="n">
        <v>45874.54236111111</v>
      </c>
      <c r="H1201" s="32" t="n">
        <v>45878.60972222222</v>
      </c>
      <c r="I1201" t="inlineStr">
        <is>
          <t>K92.2</t>
        </is>
      </c>
      <c r="J1201" t="inlineStr">
        <is>
          <t>PY02</t>
        </is>
      </c>
      <c r="K1201" s="33" t="n">
        <v>21444.02</v>
      </c>
      <c r="L1201" s="34" t="n"/>
    </row>
    <row r="1202">
      <c r="A1202" t="inlineStr">
        <is>
          <t>ENC117402</t>
        </is>
      </c>
      <c r="B1202" t="inlineStr">
        <is>
          <t>PT12717</t>
        </is>
      </c>
      <c r="C1202" t="inlineStr">
        <is>
          <t>Outpatient</t>
        </is>
      </c>
      <c r="D1202" t="inlineStr">
        <is>
          <t>F04</t>
        </is>
      </c>
      <c r="E1202" t="inlineStr">
        <is>
          <t>D430</t>
        </is>
      </c>
      <c r="G1202" s="32" t="n">
        <v>45874.57291666666</v>
      </c>
      <c r="H1202" s="32" t="n">
        <v>45874.75</v>
      </c>
      <c r="I1202" t="inlineStr">
        <is>
          <t>Z51.11</t>
        </is>
      </c>
      <c r="J1202" t="inlineStr">
        <is>
          <t>PY05</t>
        </is>
      </c>
      <c r="K1202" s="33" t="n">
        <v>14727.67</v>
      </c>
      <c r="L1202" s="34" t="n"/>
    </row>
    <row r="1203">
      <c r="A1203" t="inlineStr">
        <is>
          <t>ENC117406</t>
        </is>
      </c>
      <c r="B1203" t="inlineStr">
        <is>
          <t>PT13226</t>
        </is>
      </c>
      <c r="C1203" t="inlineStr">
        <is>
          <t>Outpatient</t>
        </is>
      </c>
      <c r="D1203" t="inlineStr">
        <is>
          <t>F04</t>
        </is>
      </c>
      <c r="E1203" t="inlineStr">
        <is>
          <t>D420</t>
        </is>
      </c>
      <c r="G1203" s="32" t="n">
        <v>45874.60416666666</v>
      </c>
      <c r="H1203" s="32" t="n">
        <v>45874.61805555555</v>
      </c>
      <c r="I1203" t="inlineStr">
        <is>
          <t>M17.11</t>
        </is>
      </c>
      <c r="J1203" t="inlineStr">
        <is>
          <t>PY01</t>
        </is>
      </c>
      <c r="K1203" s="33" t="n">
        <v>249.66</v>
      </c>
      <c r="L1203" s="34" t="n"/>
    </row>
    <row r="1204">
      <c r="A1204" t="inlineStr">
        <is>
          <t>ENC117413</t>
        </is>
      </c>
      <c r="B1204" t="inlineStr">
        <is>
          <t>PT10520</t>
        </is>
      </c>
      <c r="C1204" t="inlineStr">
        <is>
          <t>Emergency</t>
        </is>
      </c>
      <c r="D1204" t="inlineStr">
        <is>
          <t>F01</t>
        </is>
      </c>
      <c r="E1204" t="inlineStr">
        <is>
          <t>D100</t>
        </is>
      </c>
      <c r="G1204" s="32" t="n">
        <v>45874.90416666667</v>
      </c>
      <c r="H1204" s="32" t="n">
        <v>45875.025</v>
      </c>
      <c r="I1204" t="inlineStr">
        <is>
          <t>U07.1</t>
        </is>
      </c>
      <c r="J1204" t="inlineStr">
        <is>
          <t>PY02</t>
        </is>
      </c>
      <c r="K1204" s="33" t="n">
        <v>1758.05</v>
      </c>
      <c r="L1204" s="34" t="n"/>
    </row>
    <row r="1205">
      <c r="A1205" t="inlineStr">
        <is>
          <t>ENC117416</t>
        </is>
      </c>
      <c r="B1205" t="inlineStr">
        <is>
          <t>PT12272</t>
        </is>
      </c>
      <c r="C1205" t="inlineStr">
        <is>
          <t>Inpatient</t>
        </is>
      </c>
      <c r="D1205" t="inlineStr">
        <is>
          <t>F01</t>
        </is>
      </c>
      <c r="E1205" t="inlineStr">
        <is>
          <t>D140</t>
        </is>
      </c>
      <c r="F1205" t="inlineStr">
        <is>
          <t>Elective</t>
        </is>
      </c>
      <c r="G1205" s="32" t="n">
        <v>45875.25</v>
      </c>
      <c r="H1205" s="32" t="n">
        <v>45877.74166666667</v>
      </c>
      <c r="I1205" t="inlineStr">
        <is>
          <t>M17.11</t>
        </is>
      </c>
      <c r="J1205" t="inlineStr">
        <is>
          <t>PY04</t>
        </is>
      </c>
      <c r="K1205" s="33" t="n">
        <v>46182.54</v>
      </c>
      <c r="L1205" s="34" t="n"/>
    </row>
    <row r="1206">
      <c r="A1206" t="inlineStr">
        <is>
          <t>ENC117423</t>
        </is>
      </c>
      <c r="B1206" t="inlineStr">
        <is>
          <t>PT12607</t>
        </is>
      </c>
      <c r="C1206" t="inlineStr">
        <is>
          <t>Outpatient</t>
        </is>
      </c>
      <c r="D1206" t="inlineStr">
        <is>
          <t>F04</t>
        </is>
      </c>
      <c r="E1206" t="inlineStr">
        <is>
          <t>D400</t>
        </is>
      </c>
      <c r="G1206" s="32" t="n">
        <v>45875.47916666666</v>
      </c>
      <c r="H1206" s="32" t="n">
        <v>45875.49027777778</v>
      </c>
      <c r="I1206" t="inlineStr">
        <is>
          <t>J06.9</t>
        </is>
      </c>
      <c r="J1206" t="inlineStr">
        <is>
          <t>PY03</t>
        </is>
      </c>
      <c r="K1206" s="33" t="n">
        <v>155.53</v>
      </c>
      <c r="L1206" s="34" t="n"/>
    </row>
    <row r="1207">
      <c r="A1207" t="inlineStr">
        <is>
          <t>ENC117428</t>
        </is>
      </c>
      <c r="B1207" t="inlineStr">
        <is>
          <t>PT13979</t>
        </is>
      </c>
      <c r="C1207" t="inlineStr">
        <is>
          <t>Outpatient</t>
        </is>
      </c>
      <c r="D1207" t="inlineStr">
        <is>
          <t>F04</t>
        </is>
      </c>
      <c r="E1207" t="inlineStr">
        <is>
          <t>D440</t>
        </is>
      </c>
      <c r="G1207" s="32" t="n">
        <v>45875.53125</v>
      </c>
      <c r="H1207" s="32" t="n">
        <v>45875.54930555556</v>
      </c>
      <c r="I1207" t="inlineStr">
        <is>
          <t>E11.9</t>
        </is>
      </c>
      <c r="J1207" t="inlineStr">
        <is>
          <t>PY01</t>
        </is>
      </c>
      <c r="K1207" s="33" t="n">
        <v>342.69</v>
      </c>
      <c r="L1207" s="34" t="n"/>
    </row>
    <row r="1208">
      <c r="A1208" t="inlineStr">
        <is>
          <t>ENC117434</t>
        </is>
      </c>
      <c r="B1208" t="inlineStr">
        <is>
          <t>PT13948</t>
        </is>
      </c>
      <c r="C1208" t="inlineStr">
        <is>
          <t>Outpatient</t>
        </is>
      </c>
      <c r="D1208" t="inlineStr">
        <is>
          <t>F04</t>
        </is>
      </c>
      <c r="E1208" t="inlineStr">
        <is>
          <t>D400</t>
        </is>
      </c>
      <c r="G1208" s="32" t="n">
        <v>45875.60416666666</v>
      </c>
      <c r="H1208" s="32" t="n">
        <v>45875.63888888889</v>
      </c>
      <c r="I1208" t="inlineStr">
        <is>
          <t>G40.909</t>
        </is>
      </c>
      <c r="J1208" t="inlineStr">
        <is>
          <t>PY05</t>
        </is>
      </c>
      <c r="K1208" s="33" t="n">
        <v>215.91</v>
      </c>
      <c r="L1208" s="34" t="n"/>
    </row>
    <row r="1209">
      <c r="A1209" t="inlineStr">
        <is>
          <t>ENC117441</t>
        </is>
      </c>
      <c r="B1209" t="inlineStr">
        <is>
          <t>PT12332</t>
        </is>
      </c>
      <c r="C1209" t="inlineStr">
        <is>
          <t>Emergency</t>
        </is>
      </c>
      <c r="D1209" t="inlineStr">
        <is>
          <t>F01</t>
        </is>
      </c>
      <c r="E1209" t="inlineStr">
        <is>
          <t>D100</t>
        </is>
      </c>
      <c r="G1209" s="32" t="n">
        <v>45875.71388888889</v>
      </c>
      <c r="H1209" s="32" t="n">
        <v>45875.84861111111</v>
      </c>
      <c r="I1209" t="inlineStr">
        <is>
          <t>R07.9</t>
        </is>
      </c>
      <c r="J1209" t="inlineStr">
        <is>
          <t>PY06</t>
        </is>
      </c>
      <c r="K1209" s="33" t="n">
        <v>3913.98</v>
      </c>
      <c r="L1209" s="34" t="n"/>
    </row>
    <row r="1210">
      <c r="A1210" t="inlineStr">
        <is>
          <t>ENC117444</t>
        </is>
      </c>
      <c r="B1210" t="inlineStr">
        <is>
          <t>PT13094</t>
        </is>
      </c>
      <c r="C1210" t="inlineStr">
        <is>
          <t>Emergency</t>
        </is>
      </c>
      <c r="D1210" t="inlineStr">
        <is>
          <t>F02</t>
        </is>
      </c>
      <c r="E1210" t="inlineStr">
        <is>
          <t>D200</t>
        </is>
      </c>
      <c r="G1210" s="32" t="n">
        <v>45876.06180555555</v>
      </c>
      <c r="H1210" s="32" t="n">
        <v>45876.12986111111</v>
      </c>
      <c r="I1210" t="inlineStr">
        <is>
          <t>J06.9</t>
        </is>
      </c>
      <c r="J1210" t="inlineStr">
        <is>
          <t>PY03</t>
        </is>
      </c>
      <c r="K1210" s="33" t="n">
        <v>1107.02</v>
      </c>
      <c r="L1210" s="34" t="n"/>
    </row>
    <row r="1211">
      <c r="A1211" t="inlineStr">
        <is>
          <t>ENC117450</t>
        </is>
      </c>
      <c r="B1211" t="inlineStr">
        <is>
          <t>PT11430</t>
        </is>
      </c>
      <c r="C1211" t="inlineStr">
        <is>
          <t>Outpatient</t>
        </is>
      </c>
      <c r="D1211" t="inlineStr">
        <is>
          <t>F04</t>
        </is>
      </c>
      <c r="E1211" t="inlineStr">
        <is>
          <t>D400</t>
        </is>
      </c>
      <c r="G1211" s="32" t="n">
        <v>45876.38541666666</v>
      </c>
      <c r="H1211" s="32" t="n">
        <v>45876.40555555555</v>
      </c>
      <c r="I1211" t="inlineStr">
        <is>
          <t>E78.5</t>
        </is>
      </c>
      <c r="J1211" t="inlineStr">
        <is>
          <t>PY04</t>
        </is>
      </c>
      <c r="K1211" s="33" t="n">
        <v>172.23</v>
      </c>
      <c r="L1211" s="34" t="n"/>
    </row>
    <row r="1212">
      <c r="A1212" t="inlineStr">
        <is>
          <t>ENC117455</t>
        </is>
      </c>
      <c r="B1212" t="inlineStr">
        <is>
          <t>PT11098</t>
        </is>
      </c>
      <c r="C1212" t="inlineStr">
        <is>
          <t>Outpatient</t>
        </is>
      </c>
      <c r="D1212" t="inlineStr">
        <is>
          <t>F04</t>
        </is>
      </c>
      <c r="E1212" t="inlineStr">
        <is>
          <t>D400</t>
        </is>
      </c>
      <c r="G1212" s="32" t="n">
        <v>45876.54166666666</v>
      </c>
      <c r="H1212" s="32" t="n">
        <v>45876.57638888889</v>
      </c>
      <c r="I1212" t="inlineStr">
        <is>
          <t>F41.9</t>
        </is>
      </c>
      <c r="J1212" t="inlineStr">
        <is>
          <t>PY06</t>
        </is>
      </c>
      <c r="K1212" s="33" t="n">
        <v>385.43</v>
      </c>
      <c r="L1212" s="34" t="n"/>
    </row>
    <row r="1213">
      <c r="A1213" t="inlineStr">
        <is>
          <t>ENC117462</t>
        </is>
      </c>
      <c r="B1213" t="inlineStr">
        <is>
          <t>PT12419</t>
        </is>
      </c>
      <c r="C1213" t="inlineStr">
        <is>
          <t>Outpatient</t>
        </is>
      </c>
      <c r="D1213" t="inlineStr">
        <is>
          <t>F04</t>
        </is>
      </c>
      <c r="E1213" t="inlineStr">
        <is>
          <t>D420</t>
        </is>
      </c>
      <c r="G1213" s="32" t="n">
        <v>45876.67708333334</v>
      </c>
      <c r="H1213" s="32" t="n">
        <v>45876.70347222222</v>
      </c>
      <c r="I1213" t="inlineStr">
        <is>
          <t>M17.11</t>
        </is>
      </c>
      <c r="J1213" t="inlineStr">
        <is>
          <t>PY05</t>
        </is>
      </c>
      <c r="K1213" s="33" t="n">
        <v>369.5</v>
      </c>
      <c r="L1213" s="34" t="n"/>
    </row>
    <row r="1214">
      <c r="A1214" t="inlineStr">
        <is>
          <t>ENC117465</t>
        </is>
      </c>
      <c r="B1214" t="inlineStr">
        <is>
          <t>PT12881</t>
        </is>
      </c>
      <c r="C1214" t="inlineStr">
        <is>
          <t>Inpatient</t>
        </is>
      </c>
      <c r="D1214" t="inlineStr">
        <is>
          <t>F01</t>
        </is>
      </c>
      <c r="E1214" t="inlineStr">
        <is>
          <t>D160</t>
        </is>
      </c>
      <c r="F1214" t="inlineStr">
        <is>
          <t>Emergency Department</t>
        </is>
      </c>
      <c r="G1214" s="32" t="n">
        <v>45876.86458333334</v>
      </c>
      <c r="H1214" s="32" t="n">
        <v>45880.59305555555</v>
      </c>
      <c r="I1214" t="inlineStr">
        <is>
          <t>G40.909</t>
        </is>
      </c>
      <c r="J1214" t="inlineStr">
        <is>
          <t>PY02</t>
        </is>
      </c>
      <c r="K1214" s="33" t="n">
        <v>18461.37</v>
      </c>
      <c r="L1214" s="34" t="n"/>
    </row>
    <row r="1215">
      <c r="A1215" t="inlineStr">
        <is>
          <t>ENC117472</t>
        </is>
      </c>
      <c r="B1215" t="inlineStr">
        <is>
          <t>PT13051</t>
        </is>
      </c>
      <c r="C1215" t="inlineStr">
        <is>
          <t>Outpatient</t>
        </is>
      </c>
      <c r="D1215" t="inlineStr">
        <is>
          <t>F04</t>
        </is>
      </c>
      <c r="E1215" t="inlineStr">
        <is>
          <t>D430</t>
        </is>
      </c>
      <c r="G1215" s="32" t="n">
        <v>45877.35416666666</v>
      </c>
      <c r="H1215" s="32" t="n">
        <v>45877.56180555555</v>
      </c>
      <c r="I1215" t="inlineStr">
        <is>
          <t>Z51.11</t>
        </is>
      </c>
      <c r="J1215" t="inlineStr">
        <is>
          <t>PY01</t>
        </is>
      </c>
      <c r="K1215" s="33" t="n">
        <v>13780.91</v>
      </c>
      <c r="L1215" s="34" t="n"/>
    </row>
    <row r="1216">
      <c r="A1216" t="inlineStr">
        <is>
          <t>ENC117479</t>
        </is>
      </c>
      <c r="B1216" t="inlineStr">
        <is>
          <t>PT10636</t>
        </is>
      </c>
      <c r="C1216" t="inlineStr">
        <is>
          <t>Outpatient</t>
        </is>
      </c>
      <c r="D1216" t="inlineStr">
        <is>
          <t>F04</t>
        </is>
      </c>
      <c r="E1216" t="inlineStr">
        <is>
          <t>D400</t>
        </is>
      </c>
      <c r="G1216" s="32" t="n">
        <v>45877.47916666666</v>
      </c>
      <c r="H1216" s="32" t="n">
        <v>45877.50138888889</v>
      </c>
      <c r="I1216" t="inlineStr">
        <is>
          <t>Z00.00</t>
        </is>
      </c>
      <c r="J1216" t="inlineStr">
        <is>
          <t>PY04</t>
        </is>
      </c>
      <c r="K1216" s="33" t="n">
        <v>373.45</v>
      </c>
      <c r="L1216" s="34" t="n"/>
    </row>
    <row r="1217">
      <c r="A1217" t="inlineStr">
        <is>
          <t>ENC117485</t>
        </is>
      </c>
      <c r="B1217" t="inlineStr">
        <is>
          <t>PT12088</t>
        </is>
      </c>
      <c r="C1217" t="inlineStr">
        <is>
          <t>Inpatient</t>
        </is>
      </c>
      <c r="D1217" t="inlineStr">
        <is>
          <t>F01</t>
        </is>
      </c>
      <c r="E1217" t="inlineStr">
        <is>
          <t>D110</t>
        </is>
      </c>
      <c r="F1217" t="inlineStr">
        <is>
          <t>Direct Admit</t>
        </is>
      </c>
      <c r="G1217" s="32" t="n">
        <v>45877.60069444445</v>
      </c>
      <c r="H1217" s="32" t="n">
        <v>45880.64305555556</v>
      </c>
      <c r="I1217" t="inlineStr">
        <is>
          <t>K56.609</t>
        </is>
      </c>
      <c r="J1217" t="inlineStr">
        <is>
          <t>PY05</t>
        </is>
      </c>
      <c r="K1217" s="33" t="n">
        <v>39304.68</v>
      </c>
      <c r="L1217" s="34" t="n"/>
    </row>
    <row r="1218">
      <c r="A1218" t="inlineStr">
        <is>
          <t>ENC117491</t>
        </is>
      </c>
      <c r="B1218" t="inlineStr">
        <is>
          <t>PT10826</t>
        </is>
      </c>
      <c r="C1218" t="inlineStr">
        <is>
          <t>Emergency</t>
        </is>
      </c>
      <c r="D1218" t="inlineStr">
        <is>
          <t>F01</t>
        </is>
      </c>
      <c r="E1218" t="inlineStr">
        <is>
          <t>D100</t>
        </is>
      </c>
      <c r="G1218" s="32" t="n">
        <v>45877.66736111111</v>
      </c>
      <c r="H1218" s="32" t="n">
        <v>45877.76736111111</v>
      </c>
      <c r="I1218" t="inlineStr">
        <is>
          <t>L03.115</t>
        </is>
      </c>
      <c r="J1218" t="inlineStr">
        <is>
          <t>PY01</t>
        </is>
      </c>
      <c r="K1218" s="33" t="n">
        <v>4065.97</v>
      </c>
      <c r="L1218" s="34" t="n"/>
    </row>
    <row r="1219">
      <c r="A1219" t="inlineStr">
        <is>
          <t>ENC117495</t>
        </is>
      </c>
      <c r="B1219" t="inlineStr">
        <is>
          <t>PT13607</t>
        </is>
      </c>
      <c r="C1219" t="inlineStr">
        <is>
          <t>Inpatient</t>
        </is>
      </c>
      <c r="D1219" t="inlineStr">
        <is>
          <t>F01</t>
        </is>
      </c>
      <c r="E1219" t="inlineStr">
        <is>
          <t>D170</t>
        </is>
      </c>
      <c r="F1219" t="inlineStr">
        <is>
          <t>Direct Admit</t>
        </is>
      </c>
      <c r="G1219" s="32" t="n">
        <v>45877.78819444445</v>
      </c>
      <c r="H1219" s="32" t="n">
        <v>45879.87430555555</v>
      </c>
      <c r="I1219" t="inlineStr">
        <is>
          <t>O80</t>
        </is>
      </c>
      <c r="J1219" t="inlineStr">
        <is>
          <t>PY03</t>
        </is>
      </c>
      <c r="K1219" s="33" t="n">
        <v>13462.24</v>
      </c>
      <c r="L1219" s="34" t="n"/>
    </row>
    <row r="1220">
      <c r="A1220" t="inlineStr">
        <is>
          <t>ENC117498</t>
        </is>
      </c>
      <c r="B1220" t="inlineStr">
        <is>
          <t>PT10067</t>
        </is>
      </c>
      <c r="C1220" t="inlineStr">
        <is>
          <t>Inpatient</t>
        </is>
      </c>
      <c r="D1220" t="inlineStr">
        <is>
          <t>F03</t>
        </is>
      </c>
      <c r="E1220" t="inlineStr">
        <is>
          <t>D340</t>
        </is>
      </c>
      <c r="F1220" t="inlineStr">
        <is>
          <t>Emergency Department</t>
        </is>
      </c>
      <c r="G1220" s="32" t="n">
        <v>45877.99027777778</v>
      </c>
      <c r="H1220" s="32" t="n">
        <v>45882.61666666667</v>
      </c>
      <c r="I1220" t="inlineStr">
        <is>
          <t>S72.001A</t>
        </is>
      </c>
      <c r="J1220" t="inlineStr">
        <is>
          <t>PY02</t>
        </is>
      </c>
      <c r="K1220" s="33" t="n">
        <v>63758.14</v>
      </c>
      <c r="L1220" s="34" t="n"/>
    </row>
    <row r="1221">
      <c r="A1221" t="inlineStr">
        <is>
          <t>ENC117507</t>
        </is>
      </c>
      <c r="B1221" t="inlineStr">
        <is>
          <t>PT12045</t>
        </is>
      </c>
      <c r="C1221" t="inlineStr">
        <is>
          <t>Inpatient</t>
        </is>
      </c>
      <c r="D1221" t="inlineStr">
        <is>
          <t>F01</t>
        </is>
      </c>
      <c r="E1221" t="inlineStr">
        <is>
          <t>D170</t>
        </is>
      </c>
      <c r="F1221" t="inlineStr">
        <is>
          <t>Direct Admit</t>
        </is>
      </c>
      <c r="G1221" s="32" t="n">
        <v>45878.47013888889</v>
      </c>
      <c r="H1221" s="32" t="n">
        <v>45882.54027777778</v>
      </c>
      <c r="I1221" t="inlineStr">
        <is>
          <t>O82</t>
        </is>
      </c>
      <c r="J1221" t="inlineStr">
        <is>
          <t>PY06</t>
        </is>
      </c>
      <c r="K1221" s="33" t="n">
        <v>23002.16</v>
      </c>
      <c r="L1221" s="34" t="n"/>
    </row>
    <row r="1222">
      <c r="A1222" t="inlineStr">
        <is>
          <t>ENC117511</t>
        </is>
      </c>
      <c r="B1222" t="inlineStr">
        <is>
          <t>PT12976</t>
        </is>
      </c>
      <c r="C1222" t="inlineStr">
        <is>
          <t>Emergency</t>
        </is>
      </c>
      <c r="D1222" t="inlineStr">
        <is>
          <t>F01</t>
        </is>
      </c>
      <c r="E1222" t="inlineStr">
        <is>
          <t>D100</t>
        </is>
      </c>
      <c r="G1222" s="32" t="n">
        <v>45878.65902777778</v>
      </c>
      <c r="H1222" s="32" t="n">
        <v>45878.81180555555</v>
      </c>
      <c r="I1222" t="inlineStr">
        <is>
          <t>G40.909</t>
        </is>
      </c>
      <c r="J1222" t="inlineStr">
        <is>
          <t>PY01</t>
        </is>
      </c>
      <c r="K1222" s="33" t="n">
        <v>2798.39</v>
      </c>
      <c r="L1222" s="34" t="n"/>
    </row>
    <row r="1223">
      <c r="A1223" t="inlineStr">
        <is>
          <t>ENC117516</t>
        </is>
      </c>
      <c r="B1223" t="inlineStr">
        <is>
          <t>PT13709</t>
        </is>
      </c>
      <c r="C1223" t="inlineStr">
        <is>
          <t>Observation</t>
        </is>
      </c>
      <c r="D1223" t="inlineStr">
        <is>
          <t>F02</t>
        </is>
      </c>
      <c r="E1223" t="inlineStr">
        <is>
          <t>D210</t>
        </is>
      </c>
      <c r="F1223" t="inlineStr">
        <is>
          <t>Emergency Department</t>
        </is>
      </c>
      <c r="G1223" s="32" t="n">
        <v>45878.97986111111</v>
      </c>
      <c r="H1223" s="32" t="n">
        <v>45880.09375</v>
      </c>
      <c r="I1223" t="inlineStr">
        <is>
          <t>S06.0X0A</t>
        </is>
      </c>
      <c r="J1223" t="inlineStr">
        <is>
          <t>PY05</t>
        </is>
      </c>
      <c r="K1223" s="33" t="n">
        <v>8279.969999999999</v>
      </c>
      <c r="L1223" s="34" t="n"/>
    </row>
    <row r="1224">
      <c r="A1224" t="inlineStr">
        <is>
          <t>ENC117522</t>
        </is>
      </c>
      <c r="B1224" t="inlineStr">
        <is>
          <t>PT13271</t>
        </is>
      </c>
      <c r="C1224" t="inlineStr">
        <is>
          <t>Emergency</t>
        </is>
      </c>
      <c r="D1224" t="inlineStr">
        <is>
          <t>F01</t>
        </is>
      </c>
      <c r="E1224" t="inlineStr">
        <is>
          <t>D100</t>
        </is>
      </c>
      <c r="G1224" s="32" t="n">
        <v>45879.40069444444</v>
      </c>
      <c r="H1224" s="32" t="n">
        <v>45879.50902777778</v>
      </c>
      <c r="I1224" t="inlineStr">
        <is>
          <t>R10.9</t>
        </is>
      </c>
      <c r="J1224" t="inlineStr">
        <is>
          <t>PY01</t>
        </is>
      </c>
      <c r="K1224" s="33" t="n">
        <v>1777.64</v>
      </c>
      <c r="L1224" s="34" t="n"/>
    </row>
    <row r="1225">
      <c r="A1225" t="inlineStr">
        <is>
          <t>ENC117528</t>
        </is>
      </c>
      <c r="B1225" t="inlineStr">
        <is>
          <t>PT11233</t>
        </is>
      </c>
      <c r="C1225" t="inlineStr">
        <is>
          <t>Emergency</t>
        </is>
      </c>
      <c r="D1225" t="inlineStr">
        <is>
          <t>F01</t>
        </is>
      </c>
      <c r="E1225" t="inlineStr">
        <is>
          <t>D100</t>
        </is>
      </c>
      <c r="G1225" s="32" t="n">
        <v>45879.82361111111</v>
      </c>
      <c r="H1225" s="32" t="n">
        <v>45879.91180555556</v>
      </c>
      <c r="I1225" t="inlineStr">
        <is>
          <t>S93.401A</t>
        </is>
      </c>
      <c r="J1225" t="inlineStr">
        <is>
          <t>PY04</t>
        </is>
      </c>
      <c r="K1225" s="33" t="n">
        <v>813.55</v>
      </c>
      <c r="L1225" s="34" t="n"/>
    </row>
    <row r="1226">
      <c r="A1226" t="inlineStr">
        <is>
          <t>ENC117533</t>
        </is>
      </c>
      <c r="B1226" t="inlineStr">
        <is>
          <t>PT10607</t>
        </is>
      </c>
      <c r="C1226" t="inlineStr">
        <is>
          <t>Emergency</t>
        </is>
      </c>
      <c r="D1226" t="inlineStr">
        <is>
          <t>F03</t>
        </is>
      </c>
      <c r="E1226" t="inlineStr">
        <is>
          <t>D300</t>
        </is>
      </c>
      <c r="G1226" s="32" t="n">
        <v>45880.27430555555</v>
      </c>
      <c r="H1226" s="32" t="n">
        <v>45880.39791666667</v>
      </c>
      <c r="I1226" t="inlineStr">
        <is>
          <t>S93.401A</t>
        </is>
      </c>
      <c r="J1226" t="inlineStr">
        <is>
          <t>PY03</t>
        </is>
      </c>
      <c r="K1226" s="33" t="n">
        <v>1976.59</v>
      </c>
      <c r="L1226" s="34" t="n"/>
    </row>
    <row r="1227">
      <c r="A1227" t="inlineStr">
        <is>
          <t>ENC117541</t>
        </is>
      </c>
      <c r="B1227" t="inlineStr">
        <is>
          <t>PT13851</t>
        </is>
      </c>
      <c r="C1227" t="inlineStr">
        <is>
          <t>Outpatient</t>
        </is>
      </c>
      <c r="D1227" t="inlineStr">
        <is>
          <t>F04</t>
        </is>
      </c>
      <c r="E1227" t="inlineStr">
        <is>
          <t>D450</t>
        </is>
      </c>
      <c r="G1227" s="32" t="n">
        <v>45880.42708333334</v>
      </c>
      <c r="H1227" s="32" t="n">
        <v>45880.45138888889</v>
      </c>
      <c r="I1227" t="inlineStr">
        <is>
          <t>Z00.129</t>
        </is>
      </c>
      <c r="J1227" t="inlineStr">
        <is>
          <t>PY03</t>
        </is>
      </c>
      <c r="K1227" s="33" t="n">
        <v>300.98</v>
      </c>
      <c r="L1227" s="34" t="n"/>
    </row>
    <row r="1228">
      <c r="A1228" t="inlineStr">
        <is>
          <t>ENC117545</t>
        </is>
      </c>
      <c r="B1228" t="inlineStr">
        <is>
          <t>PT13434</t>
        </is>
      </c>
      <c r="C1228" t="inlineStr">
        <is>
          <t>Emergency</t>
        </is>
      </c>
      <c r="D1228" t="inlineStr">
        <is>
          <t>F02</t>
        </is>
      </c>
      <c r="E1228" t="inlineStr">
        <is>
          <t>D200</t>
        </is>
      </c>
      <c r="G1228" s="32" t="n">
        <v>45880.53333333333</v>
      </c>
      <c r="H1228" s="32" t="n">
        <v>45880.66805555556</v>
      </c>
      <c r="I1228" t="inlineStr">
        <is>
          <t>I48.91</t>
        </is>
      </c>
      <c r="J1228" t="inlineStr">
        <is>
          <t>PY03</t>
        </is>
      </c>
      <c r="K1228" s="33" t="n">
        <v>3052.04</v>
      </c>
      <c r="L1228" s="34" t="n"/>
    </row>
    <row r="1229">
      <c r="A1229" t="inlineStr">
        <is>
          <t>ENC117552</t>
        </is>
      </c>
      <c r="B1229" t="inlineStr">
        <is>
          <t>PT10403</t>
        </is>
      </c>
      <c r="C1229" t="inlineStr">
        <is>
          <t>Outpatient</t>
        </is>
      </c>
      <c r="D1229" t="inlineStr">
        <is>
          <t>F04</t>
        </is>
      </c>
      <c r="E1229" t="inlineStr">
        <is>
          <t>D430</t>
        </is>
      </c>
      <c r="G1229" s="32" t="n">
        <v>45880.65625</v>
      </c>
      <c r="H1229" s="32" t="n">
        <v>45880.87222222222</v>
      </c>
      <c r="I1229" t="inlineStr">
        <is>
          <t>Z51.11</t>
        </is>
      </c>
      <c r="J1229" t="inlineStr">
        <is>
          <t>PY01</t>
        </is>
      </c>
      <c r="K1229" s="33" t="n">
        <v>10449.92</v>
      </c>
      <c r="L1229" s="34" t="n"/>
    </row>
    <row r="1230">
      <c r="A1230" t="inlineStr">
        <is>
          <t>ENC117555</t>
        </is>
      </c>
      <c r="B1230" t="inlineStr">
        <is>
          <t>PT12725</t>
        </is>
      </c>
      <c r="C1230" t="inlineStr">
        <is>
          <t>Inpatient</t>
        </is>
      </c>
      <c r="D1230" t="inlineStr">
        <is>
          <t>F03</t>
        </is>
      </c>
      <c r="E1230" t="inlineStr">
        <is>
          <t>D320</t>
        </is>
      </c>
      <c r="F1230" t="inlineStr">
        <is>
          <t>Emergency Department</t>
        </is>
      </c>
      <c r="G1230" s="32" t="n">
        <v>45880.84166666667</v>
      </c>
      <c r="H1230" s="32" t="n">
        <v>45885.55555555555</v>
      </c>
      <c r="I1230" t="inlineStr">
        <is>
          <t>I48.91</t>
        </is>
      </c>
      <c r="J1230" t="inlineStr">
        <is>
          <t>PY03</t>
        </is>
      </c>
      <c r="K1230" s="33" t="n">
        <v>39110.36</v>
      </c>
      <c r="L1230" s="34" t="n"/>
    </row>
    <row r="1231">
      <c r="A1231" t="inlineStr">
        <is>
          <t>ENC117561</t>
        </is>
      </c>
      <c r="B1231" t="inlineStr">
        <is>
          <t>PT13302</t>
        </is>
      </c>
      <c r="C1231" t="inlineStr">
        <is>
          <t>Inpatient</t>
        </is>
      </c>
      <c r="D1231" t="inlineStr">
        <is>
          <t>F01</t>
        </is>
      </c>
      <c r="E1231" t="inlineStr">
        <is>
          <t>D170</t>
        </is>
      </c>
      <c r="F1231" t="inlineStr">
        <is>
          <t>Direct Admit</t>
        </is>
      </c>
      <c r="G1231" s="32" t="n">
        <v>45881.09375</v>
      </c>
      <c r="H1231" s="32" t="n">
        <v>45883.63263888889</v>
      </c>
      <c r="I1231" t="inlineStr">
        <is>
          <t>O80</t>
        </is>
      </c>
      <c r="J1231" t="inlineStr">
        <is>
          <t>PY07</t>
        </is>
      </c>
      <c r="K1231" s="33" t="n">
        <v>33897.12</v>
      </c>
      <c r="L1231" s="34" t="n"/>
    </row>
    <row r="1232">
      <c r="A1232" t="inlineStr">
        <is>
          <t>ENC117568</t>
        </is>
      </c>
      <c r="B1232" t="inlineStr">
        <is>
          <t>PT10485</t>
        </is>
      </c>
      <c r="C1232" t="inlineStr">
        <is>
          <t>Outpatient</t>
        </is>
      </c>
      <c r="D1232" t="inlineStr">
        <is>
          <t>F04</t>
        </is>
      </c>
      <c r="E1232" t="inlineStr">
        <is>
          <t>D420</t>
        </is>
      </c>
      <c r="G1232" s="32" t="n">
        <v>45881.34375</v>
      </c>
      <c r="H1232" s="32" t="n">
        <v>45881.35972222222</v>
      </c>
      <c r="I1232" t="inlineStr">
        <is>
          <t>M16.11</t>
        </is>
      </c>
      <c r="J1232" t="inlineStr">
        <is>
          <t>PY06</t>
        </is>
      </c>
      <c r="K1232" s="33" t="n">
        <v>258.84</v>
      </c>
      <c r="L1232" s="34" t="n"/>
    </row>
    <row r="1233">
      <c r="A1233" t="inlineStr">
        <is>
          <t>ENC117573</t>
        </is>
      </c>
      <c r="B1233" t="inlineStr">
        <is>
          <t>PT12298</t>
        </is>
      </c>
      <c r="C1233" t="inlineStr">
        <is>
          <t>Outpatient</t>
        </is>
      </c>
      <c r="D1233" t="inlineStr">
        <is>
          <t>F04</t>
        </is>
      </c>
      <c r="E1233" t="inlineStr">
        <is>
          <t>D400</t>
        </is>
      </c>
      <c r="G1233" s="32" t="n">
        <v>45881.41666666666</v>
      </c>
      <c r="H1233" s="32" t="n">
        <v>45881.44166666667</v>
      </c>
      <c r="I1233" t="inlineStr">
        <is>
          <t>F32.9</t>
        </is>
      </c>
      <c r="J1233" t="inlineStr">
        <is>
          <t>PY03</t>
        </is>
      </c>
      <c r="K1233" s="33" t="n">
        <v>337.38</v>
      </c>
      <c r="L1233" s="34" t="n"/>
    </row>
    <row r="1234">
      <c r="A1234" t="inlineStr">
        <is>
          <t>ENC117578</t>
        </is>
      </c>
      <c r="B1234" t="inlineStr">
        <is>
          <t>PT13563</t>
        </is>
      </c>
      <c r="C1234" t="inlineStr">
        <is>
          <t>Outpatient</t>
        </is>
      </c>
      <c r="D1234" t="inlineStr">
        <is>
          <t>F04</t>
        </is>
      </c>
      <c r="E1234" t="inlineStr">
        <is>
          <t>D400</t>
        </is>
      </c>
      <c r="G1234" s="32" t="n">
        <v>45881.48958333334</v>
      </c>
      <c r="H1234" s="32" t="n">
        <v>45881.50833333333</v>
      </c>
      <c r="I1234" t="inlineStr">
        <is>
          <t>Z00.00</t>
        </is>
      </c>
      <c r="J1234" t="inlineStr">
        <is>
          <t>PY01</t>
        </is>
      </c>
      <c r="K1234" s="33" t="n">
        <v>292.35</v>
      </c>
      <c r="L1234" s="34" t="n"/>
    </row>
    <row r="1235">
      <c r="A1235" t="inlineStr">
        <is>
          <t>ENC117584</t>
        </is>
      </c>
      <c r="B1235" t="inlineStr">
        <is>
          <t>PT10201</t>
        </is>
      </c>
      <c r="C1235" t="inlineStr">
        <is>
          <t>Outpatient</t>
        </is>
      </c>
      <c r="D1235" t="inlineStr">
        <is>
          <t>F04</t>
        </is>
      </c>
      <c r="E1235" t="inlineStr">
        <is>
          <t>D400</t>
        </is>
      </c>
      <c r="G1235" s="32" t="n">
        <v>45881.59375</v>
      </c>
      <c r="H1235" s="32" t="n">
        <v>45881.62638888889</v>
      </c>
      <c r="I1235" t="inlineStr">
        <is>
          <t>Z00.00</t>
        </is>
      </c>
      <c r="J1235" t="inlineStr">
        <is>
          <t>PY02</t>
        </is>
      </c>
      <c r="K1235" s="33" t="n">
        <v>506.98</v>
      </c>
      <c r="L1235" s="34" t="n"/>
    </row>
    <row r="1236">
      <c r="A1236" t="inlineStr">
        <is>
          <t>ENC117589</t>
        </is>
      </c>
      <c r="B1236" t="inlineStr">
        <is>
          <t>PT10074</t>
        </is>
      </c>
      <c r="C1236" t="inlineStr">
        <is>
          <t>Outpatient</t>
        </is>
      </c>
      <c r="D1236" t="inlineStr">
        <is>
          <t>F04</t>
        </is>
      </c>
      <c r="E1236" t="inlineStr">
        <is>
          <t>D440</t>
        </is>
      </c>
      <c r="G1236" s="32" t="n">
        <v>45881.66666666666</v>
      </c>
      <c r="H1236" s="32" t="n">
        <v>45881.69236111111</v>
      </c>
      <c r="I1236" t="inlineStr">
        <is>
          <t>E11.9</t>
        </is>
      </c>
      <c r="J1236" t="inlineStr">
        <is>
          <t>PY02</t>
        </is>
      </c>
      <c r="K1236" s="33" t="n">
        <v>243.63</v>
      </c>
      <c r="L1236" s="34" t="n"/>
    </row>
    <row r="1237">
      <c r="A1237" t="inlineStr">
        <is>
          <t>ENC117595</t>
        </is>
      </c>
      <c r="B1237" t="inlineStr">
        <is>
          <t>PT12588</t>
        </is>
      </c>
      <c r="C1237" t="inlineStr">
        <is>
          <t>Emergency</t>
        </is>
      </c>
      <c r="D1237" t="inlineStr">
        <is>
          <t>F03</t>
        </is>
      </c>
      <c r="E1237" t="inlineStr">
        <is>
          <t>D300</t>
        </is>
      </c>
      <c r="G1237" s="32" t="n">
        <v>45881.79861111111</v>
      </c>
      <c r="H1237" s="32" t="n">
        <v>45881.96111111111</v>
      </c>
      <c r="I1237" t="inlineStr">
        <is>
          <t>N39.0</t>
        </is>
      </c>
      <c r="J1237" t="inlineStr">
        <is>
          <t>PY06</t>
        </is>
      </c>
      <c r="K1237" s="33" t="n">
        <v>3325.66</v>
      </c>
      <c r="L1237" s="34" t="n"/>
    </row>
    <row r="1238">
      <c r="A1238" t="inlineStr">
        <is>
          <t>ENC117601</t>
        </is>
      </c>
      <c r="B1238" t="inlineStr">
        <is>
          <t>PT12735</t>
        </is>
      </c>
      <c r="C1238" t="inlineStr">
        <is>
          <t>Outpatient</t>
        </is>
      </c>
      <c r="D1238" t="inlineStr">
        <is>
          <t>F04</t>
        </is>
      </c>
      <c r="E1238" t="inlineStr">
        <is>
          <t>D440</t>
        </is>
      </c>
      <c r="G1238" s="32" t="n">
        <v>45882.36458333334</v>
      </c>
      <c r="H1238" s="32" t="n">
        <v>45882.38194444445</v>
      </c>
      <c r="I1238" t="inlineStr">
        <is>
          <t>E11.9</t>
        </is>
      </c>
      <c r="J1238" t="inlineStr">
        <is>
          <t>PY03</t>
        </is>
      </c>
      <c r="K1238" s="33" t="n">
        <v>364.88</v>
      </c>
      <c r="L1238" s="34" t="n"/>
    </row>
    <row r="1239">
      <c r="A1239" t="inlineStr">
        <is>
          <t>ENC117608</t>
        </is>
      </c>
      <c r="B1239" t="inlineStr">
        <is>
          <t>PT13822</t>
        </is>
      </c>
      <c r="C1239" t="inlineStr">
        <is>
          <t>Outpatient</t>
        </is>
      </c>
      <c r="D1239" t="inlineStr">
        <is>
          <t>F04</t>
        </is>
      </c>
      <c r="E1239" t="inlineStr">
        <is>
          <t>D430</t>
        </is>
      </c>
      <c r="G1239" s="32" t="n">
        <v>45882.41666666666</v>
      </c>
      <c r="H1239" s="32" t="n">
        <v>45882.59236111111</v>
      </c>
      <c r="I1239" t="inlineStr">
        <is>
          <t>Z51.11</t>
        </is>
      </c>
      <c r="J1239" t="inlineStr">
        <is>
          <t>PY01</t>
        </is>
      </c>
      <c r="K1239" s="33" t="n">
        <v>10770.08</v>
      </c>
      <c r="L1239" s="34" t="n"/>
    </row>
    <row r="1240">
      <c r="A1240" t="inlineStr">
        <is>
          <t>ENC117613</t>
        </is>
      </c>
      <c r="B1240" t="inlineStr">
        <is>
          <t>PT13995</t>
        </is>
      </c>
      <c r="C1240" t="inlineStr">
        <is>
          <t>Outpatient</t>
        </is>
      </c>
      <c r="D1240" t="inlineStr">
        <is>
          <t>F04</t>
        </is>
      </c>
      <c r="E1240" t="inlineStr">
        <is>
          <t>D440</t>
        </is>
      </c>
      <c r="G1240" s="32" t="n">
        <v>45882.48958333334</v>
      </c>
      <c r="H1240" s="32" t="n">
        <v>45882.50208333333</v>
      </c>
      <c r="I1240" t="inlineStr">
        <is>
          <t>E11.65</t>
        </is>
      </c>
      <c r="J1240" t="inlineStr">
        <is>
          <t>PY01</t>
        </is>
      </c>
      <c r="K1240" s="33" t="n">
        <v>149.1</v>
      </c>
      <c r="L1240" s="34" t="n"/>
    </row>
    <row r="1241">
      <c r="A1241" t="inlineStr">
        <is>
          <t>ENC117615</t>
        </is>
      </c>
      <c r="B1241" t="inlineStr">
        <is>
          <t>PT12262</t>
        </is>
      </c>
      <c r="C1241" t="inlineStr">
        <is>
          <t>Inpatient</t>
        </is>
      </c>
      <c r="D1241" t="inlineStr">
        <is>
          <t>F01</t>
        </is>
      </c>
      <c r="E1241" t="inlineStr">
        <is>
          <t>D111</t>
        </is>
      </c>
      <c r="F1241" t="inlineStr">
        <is>
          <t>Emergency Department</t>
        </is>
      </c>
      <c r="G1241" s="32" t="n">
        <v>45882.59236111111</v>
      </c>
      <c r="H1241" s="32" t="n">
        <v>45888.68680555555</v>
      </c>
      <c r="I1241" t="inlineStr">
        <is>
          <t>J18.9</t>
        </is>
      </c>
      <c r="J1241" t="inlineStr">
        <is>
          <t>PY06</t>
        </is>
      </c>
      <c r="K1241" s="33" t="n">
        <v>29570.37</v>
      </c>
      <c r="L1241" s="34" t="n"/>
    </row>
    <row r="1242">
      <c r="A1242" t="inlineStr">
        <is>
          <t>ENC117622</t>
        </is>
      </c>
      <c r="B1242" t="inlineStr">
        <is>
          <t>PT10204</t>
        </is>
      </c>
      <c r="C1242" t="inlineStr">
        <is>
          <t>Outpatient</t>
        </is>
      </c>
      <c r="D1242" t="inlineStr">
        <is>
          <t>F04</t>
        </is>
      </c>
      <c r="E1242" t="inlineStr">
        <is>
          <t>D400</t>
        </is>
      </c>
      <c r="G1242" s="32" t="n">
        <v>45882.64583333334</v>
      </c>
      <c r="H1242" s="32" t="n">
        <v>45882.67222222222</v>
      </c>
      <c r="I1242" t="inlineStr">
        <is>
          <t>L03.115</t>
        </is>
      </c>
      <c r="J1242" t="inlineStr">
        <is>
          <t>PY04</t>
        </is>
      </c>
      <c r="K1242" s="33" t="n">
        <v>291.41</v>
      </c>
      <c r="L1242" s="34" t="n"/>
    </row>
    <row r="1243">
      <c r="A1243" t="inlineStr">
        <is>
          <t>ENC117629</t>
        </is>
      </c>
      <c r="B1243" t="inlineStr">
        <is>
          <t>PT13963</t>
        </is>
      </c>
      <c r="C1243" t="inlineStr">
        <is>
          <t>Inpatient</t>
        </is>
      </c>
      <c r="D1243" t="inlineStr">
        <is>
          <t>F01</t>
        </is>
      </c>
      <c r="E1243" t="inlineStr">
        <is>
          <t>D120</t>
        </is>
      </c>
      <c r="F1243" t="inlineStr">
        <is>
          <t>Emergency Department</t>
        </is>
      </c>
      <c r="G1243" s="32" t="n">
        <v>45882.89861111111</v>
      </c>
      <c r="H1243" s="32" t="n">
        <v>45885.55</v>
      </c>
      <c r="I1243" t="inlineStr">
        <is>
          <t>I50.9</t>
        </is>
      </c>
      <c r="J1243" t="inlineStr">
        <is>
          <t>PY06</t>
        </is>
      </c>
      <c r="K1243" s="33" t="n">
        <v>19178.11</v>
      </c>
      <c r="L1243" s="34" t="n"/>
    </row>
    <row r="1244">
      <c r="A1244" t="inlineStr">
        <is>
          <t>ENC117637</t>
        </is>
      </c>
      <c r="B1244" t="inlineStr">
        <is>
          <t>PT11831</t>
        </is>
      </c>
      <c r="C1244" t="inlineStr">
        <is>
          <t>Outpatient</t>
        </is>
      </c>
      <c r="D1244" t="inlineStr">
        <is>
          <t>F04</t>
        </is>
      </c>
      <c r="E1244" t="inlineStr">
        <is>
          <t>D400</t>
        </is>
      </c>
      <c r="G1244" s="32" t="n">
        <v>45883.36458333334</v>
      </c>
      <c r="H1244" s="32" t="n">
        <v>45883.39305555556</v>
      </c>
      <c r="I1244" t="inlineStr">
        <is>
          <t>E78.5</t>
        </is>
      </c>
      <c r="J1244" t="inlineStr">
        <is>
          <t>PY02</t>
        </is>
      </c>
      <c r="K1244" s="33" t="n">
        <v>449.49</v>
      </c>
      <c r="L1244" s="34" t="n"/>
    </row>
    <row r="1245">
      <c r="A1245" t="inlineStr">
        <is>
          <t>ENC117635</t>
        </is>
      </c>
      <c r="B1245" t="inlineStr">
        <is>
          <t>PT11241</t>
        </is>
      </c>
      <c r="C1245" t="inlineStr">
        <is>
          <t>Observation</t>
        </is>
      </c>
      <c r="D1245" t="inlineStr">
        <is>
          <t>F01</t>
        </is>
      </c>
      <c r="E1245" t="inlineStr">
        <is>
          <t>D195</t>
        </is>
      </c>
      <c r="F1245" t="inlineStr">
        <is>
          <t>Emergency Department</t>
        </is>
      </c>
      <c r="G1245" s="32" t="n">
        <v>45883.45555555556</v>
      </c>
      <c r="H1245" s="32" t="n">
        <v>45885.50486111111</v>
      </c>
      <c r="I1245" t="inlineStr">
        <is>
          <t>S06.0X0A</t>
        </is>
      </c>
      <c r="J1245" t="inlineStr">
        <is>
          <t>PY07</t>
        </is>
      </c>
      <c r="K1245" s="33" t="n">
        <v>11662.45</v>
      </c>
      <c r="L1245" s="34" t="n"/>
    </row>
    <row r="1246">
      <c r="A1246" t="inlineStr">
        <is>
          <t>ENC117646</t>
        </is>
      </c>
      <c r="B1246" t="inlineStr">
        <is>
          <t>PT12043</t>
        </is>
      </c>
      <c r="C1246" t="inlineStr">
        <is>
          <t>Outpatient</t>
        </is>
      </c>
      <c r="D1246" t="inlineStr">
        <is>
          <t>F04</t>
        </is>
      </c>
      <c r="E1246" t="inlineStr">
        <is>
          <t>D400</t>
        </is>
      </c>
      <c r="G1246" s="32" t="n">
        <v>45883.58333333334</v>
      </c>
      <c r="H1246" s="32" t="n">
        <v>45883.61666666667</v>
      </c>
      <c r="I1246" t="inlineStr">
        <is>
          <t>E78.5</t>
        </is>
      </c>
      <c r="J1246" t="inlineStr">
        <is>
          <t>PY01</t>
        </is>
      </c>
      <c r="K1246" s="33" t="n">
        <v>468</v>
      </c>
      <c r="L1246" s="34" t="n"/>
    </row>
    <row r="1247">
      <c r="A1247" t="inlineStr">
        <is>
          <t>ENC117645</t>
        </is>
      </c>
      <c r="B1247" t="inlineStr">
        <is>
          <t>PT11237</t>
        </is>
      </c>
      <c r="C1247" t="inlineStr">
        <is>
          <t>Inpatient</t>
        </is>
      </c>
      <c r="D1247" t="inlineStr">
        <is>
          <t>F01</t>
        </is>
      </c>
      <c r="E1247" t="inlineStr">
        <is>
          <t>D160</t>
        </is>
      </c>
      <c r="F1247" t="inlineStr">
        <is>
          <t>Emergency Department</t>
        </is>
      </c>
      <c r="G1247" s="32" t="n">
        <v>45883.70902777778</v>
      </c>
      <c r="H1247" s="32" t="n">
        <v>45889.60763888889</v>
      </c>
      <c r="I1247" t="inlineStr">
        <is>
          <t>I63.9</t>
        </is>
      </c>
      <c r="J1247" t="inlineStr">
        <is>
          <t>PY02</t>
        </is>
      </c>
      <c r="K1247" s="33" t="n">
        <v>31675.83</v>
      </c>
      <c r="L1247" s="34" t="n"/>
    </row>
    <row r="1248">
      <c r="A1248" t="inlineStr">
        <is>
          <t>ENC117652</t>
        </is>
      </c>
      <c r="B1248" t="inlineStr">
        <is>
          <t>PT10067</t>
        </is>
      </c>
      <c r="C1248" t="inlineStr">
        <is>
          <t>Inpatient</t>
        </is>
      </c>
      <c r="D1248" t="inlineStr">
        <is>
          <t>F01</t>
        </is>
      </c>
      <c r="E1248" t="inlineStr">
        <is>
          <t>D111</t>
        </is>
      </c>
      <c r="F1248" t="inlineStr">
        <is>
          <t>Emergency Department</t>
        </is>
      </c>
      <c r="G1248" s="32" t="n">
        <v>45883.86180555556</v>
      </c>
      <c r="H1248" s="32" t="n">
        <v>45888.59722222222</v>
      </c>
      <c r="I1248" t="inlineStr">
        <is>
          <t>K92.2</t>
        </is>
      </c>
      <c r="J1248" t="inlineStr">
        <is>
          <t>PY02</t>
        </is>
      </c>
      <c r="K1248" s="33" t="n">
        <v>31409.76</v>
      </c>
      <c r="L1248" s="34" t="n"/>
    </row>
    <row r="1249">
      <c r="A1249" t="inlineStr">
        <is>
          <t>ENC117660</t>
        </is>
      </c>
      <c r="B1249" t="inlineStr">
        <is>
          <t>PT10658</t>
        </is>
      </c>
      <c r="C1249" t="inlineStr">
        <is>
          <t>Inpatient</t>
        </is>
      </c>
      <c r="D1249" t="inlineStr">
        <is>
          <t>F03</t>
        </is>
      </c>
      <c r="E1249" t="inlineStr">
        <is>
          <t>D310</t>
        </is>
      </c>
      <c r="F1249" t="inlineStr">
        <is>
          <t>Emergency Department</t>
        </is>
      </c>
      <c r="G1249" s="32" t="n">
        <v>45883.97638888889</v>
      </c>
      <c r="H1249" s="32" t="n">
        <v>45888.62847222222</v>
      </c>
      <c r="I1249" t="inlineStr">
        <is>
          <t>K92.2</t>
        </is>
      </c>
      <c r="J1249" t="inlineStr">
        <is>
          <t>PY03</t>
        </is>
      </c>
      <c r="K1249" s="33" t="n">
        <v>25007.19</v>
      </c>
      <c r="L1249" s="34" t="n"/>
    </row>
    <row r="1250">
      <c r="A1250" t="inlineStr">
        <is>
          <t>ENC117665</t>
        </is>
      </c>
      <c r="B1250" t="inlineStr">
        <is>
          <t>PT13938</t>
        </is>
      </c>
      <c r="C1250" t="inlineStr">
        <is>
          <t>Inpatient</t>
        </is>
      </c>
      <c r="D1250" t="inlineStr">
        <is>
          <t>F01</t>
        </is>
      </c>
      <c r="E1250" t="inlineStr">
        <is>
          <t>D130</t>
        </is>
      </c>
      <c r="F1250" t="inlineStr">
        <is>
          <t>Emergency Department</t>
        </is>
      </c>
      <c r="G1250" s="32" t="n">
        <v>45884.34097222222</v>
      </c>
      <c r="H1250" s="32" t="n">
        <v>45888.62916666667</v>
      </c>
      <c r="I1250" t="inlineStr">
        <is>
          <t>J96.01</t>
        </is>
      </c>
      <c r="J1250" t="inlineStr">
        <is>
          <t>PY01</t>
        </is>
      </c>
      <c r="K1250" s="33" t="n">
        <v>49659.83</v>
      </c>
      <c r="L1250" s="34" t="n"/>
    </row>
    <row r="1251">
      <c r="A1251" t="inlineStr">
        <is>
          <t>ENC117673</t>
        </is>
      </c>
      <c r="B1251" t="inlineStr">
        <is>
          <t>PT13844</t>
        </is>
      </c>
      <c r="C1251" t="inlineStr">
        <is>
          <t>Outpatient</t>
        </is>
      </c>
      <c r="D1251" t="inlineStr">
        <is>
          <t>F04</t>
        </is>
      </c>
      <c r="E1251" t="inlineStr">
        <is>
          <t>D440</t>
        </is>
      </c>
      <c r="G1251" s="32" t="n">
        <v>45884.45833333334</v>
      </c>
      <c r="H1251" s="32" t="n">
        <v>45884.475</v>
      </c>
      <c r="I1251" t="inlineStr">
        <is>
          <t>E11.9</t>
        </is>
      </c>
      <c r="J1251" t="inlineStr">
        <is>
          <t>PY03</t>
        </is>
      </c>
      <c r="K1251" s="33" t="n">
        <v>232.23</v>
      </c>
      <c r="L1251" s="34" t="n"/>
    </row>
    <row r="1252">
      <c r="A1252" t="inlineStr">
        <is>
          <t>ENC117678</t>
        </is>
      </c>
      <c r="B1252" t="inlineStr">
        <is>
          <t>PT13654</t>
        </is>
      </c>
      <c r="C1252" t="inlineStr">
        <is>
          <t>Emergency</t>
        </is>
      </c>
      <c r="D1252" t="inlineStr">
        <is>
          <t>F01</t>
        </is>
      </c>
      <c r="E1252" t="inlineStr">
        <is>
          <t>D100</t>
        </is>
      </c>
      <c r="G1252" s="32" t="n">
        <v>45884.59861111111</v>
      </c>
      <c r="H1252" s="32" t="n">
        <v>45884.70138888889</v>
      </c>
      <c r="I1252" t="inlineStr">
        <is>
          <t>L03.115</t>
        </is>
      </c>
      <c r="J1252" t="inlineStr">
        <is>
          <t>PY07</t>
        </is>
      </c>
      <c r="K1252" s="33" t="n">
        <v>2091.15</v>
      </c>
      <c r="L1252" s="34" t="n"/>
    </row>
    <row r="1253">
      <c r="A1253" t="inlineStr">
        <is>
          <t>ENC117682</t>
        </is>
      </c>
      <c r="B1253" t="inlineStr">
        <is>
          <t>PT10198</t>
        </is>
      </c>
      <c r="C1253" t="inlineStr">
        <is>
          <t>Inpatient</t>
        </is>
      </c>
      <c r="D1253" t="inlineStr">
        <is>
          <t>F01</t>
        </is>
      </c>
      <c r="E1253" t="inlineStr">
        <is>
          <t>D150</t>
        </is>
      </c>
      <c r="F1253" t="inlineStr">
        <is>
          <t>Emergency Department</t>
        </is>
      </c>
      <c r="G1253" s="32" t="n">
        <v>45884.78402777778</v>
      </c>
      <c r="H1253" s="32" t="n">
        <v>45890.61388888889</v>
      </c>
      <c r="I1253" t="inlineStr">
        <is>
          <t>C34.90</t>
        </is>
      </c>
      <c r="J1253" t="inlineStr">
        <is>
          <t>PY06</t>
        </is>
      </c>
      <c r="K1253" s="33" t="n">
        <v>28601.85</v>
      </c>
      <c r="L1253" s="34" t="n"/>
    </row>
    <row r="1254">
      <c r="A1254" t="inlineStr">
        <is>
          <t>ENC117689</t>
        </is>
      </c>
      <c r="B1254" t="inlineStr">
        <is>
          <t>PT13717</t>
        </is>
      </c>
      <c r="C1254" t="inlineStr">
        <is>
          <t>Inpatient</t>
        </is>
      </c>
      <c r="D1254" t="inlineStr">
        <is>
          <t>F01</t>
        </is>
      </c>
      <c r="E1254" t="inlineStr">
        <is>
          <t>D150</t>
        </is>
      </c>
      <c r="F1254" t="inlineStr">
        <is>
          <t>Emergency Department</t>
        </is>
      </c>
      <c r="G1254" s="32" t="n">
        <v>45885.00138888889</v>
      </c>
      <c r="H1254" s="32" t="n">
        <v>45887.57986111111</v>
      </c>
      <c r="I1254" t="inlineStr">
        <is>
          <t>D70.1</t>
        </is>
      </c>
      <c r="J1254" t="inlineStr">
        <is>
          <t>PY02</t>
        </is>
      </c>
      <c r="K1254" s="33" t="n">
        <v>11319.49</v>
      </c>
      <c r="L1254" s="34" t="n"/>
    </row>
    <row r="1255">
      <c r="A1255" t="inlineStr">
        <is>
          <t>ENC117696</t>
        </is>
      </c>
      <c r="B1255" t="inlineStr">
        <is>
          <t>PT10507</t>
        </is>
      </c>
      <c r="C1255" t="inlineStr">
        <is>
          <t>Emergency</t>
        </is>
      </c>
      <c r="D1255" t="inlineStr">
        <is>
          <t>F01</t>
        </is>
      </c>
      <c r="E1255" t="inlineStr">
        <is>
          <t>D100</t>
        </is>
      </c>
      <c r="G1255" s="32" t="n">
        <v>45885.49583333333</v>
      </c>
      <c r="H1255" s="32" t="n">
        <v>45885.61180555556</v>
      </c>
      <c r="I1255" t="inlineStr">
        <is>
          <t>L03.115</t>
        </is>
      </c>
      <c r="J1255" t="inlineStr">
        <is>
          <t>PY01</t>
        </is>
      </c>
      <c r="K1255" s="33" t="n">
        <v>2285.31</v>
      </c>
      <c r="L1255" s="34" t="n"/>
    </row>
    <row r="1256">
      <c r="A1256" t="inlineStr">
        <is>
          <t>ENC117695</t>
        </is>
      </c>
      <c r="B1256" t="inlineStr">
        <is>
          <t>PT13726</t>
        </is>
      </c>
      <c r="C1256" t="inlineStr">
        <is>
          <t>Inpatient</t>
        </is>
      </c>
      <c r="D1256" t="inlineStr">
        <is>
          <t>F03</t>
        </is>
      </c>
      <c r="E1256" t="inlineStr">
        <is>
          <t>D310</t>
        </is>
      </c>
      <c r="F1256" t="inlineStr">
        <is>
          <t>Emergency Department</t>
        </is>
      </c>
      <c r="G1256" s="32" t="n">
        <v>45885.64166666667</v>
      </c>
      <c r="H1256" s="32" t="n">
        <v>45889.70208333333</v>
      </c>
      <c r="I1256" t="inlineStr">
        <is>
          <t>F10.239</t>
        </is>
      </c>
      <c r="J1256" t="inlineStr">
        <is>
          <t>PY01</t>
        </is>
      </c>
      <c r="K1256" s="33" t="n">
        <v>12912.59</v>
      </c>
      <c r="L1256" s="34" t="n"/>
    </row>
    <row r="1257">
      <c r="A1257" t="inlineStr">
        <is>
          <t>ENC117708</t>
        </is>
      </c>
      <c r="B1257" t="inlineStr">
        <is>
          <t>PT13910</t>
        </is>
      </c>
      <c r="C1257" t="inlineStr">
        <is>
          <t>Emergency</t>
        </is>
      </c>
      <c r="D1257" t="inlineStr">
        <is>
          <t>F02</t>
        </is>
      </c>
      <c r="E1257" t="inlineStr">
        <is>
          <t>D200</t>
        </is>
      </c>
      <c r="G1257" s="32" t="n">
        <v>45885.9</v>
      </c>
      <c r="H1257" s="32" t="n">
        <v>45886.06875</v>
      </c>
      <c r="I1257" t="inlineStr">
        <is>
          <t>R10.9</t>
        </is>
      </c>
      <c r="J1257" t="inlineStr">
        <is>
          <t>PY04</t>
        </is>
      </c>
      <c r="K1257" s="33" t="n">
        <v>3329.04</v>
      </c>
      <c r="L1257" s="34" t="n"/>
    </row>
    <row r="1258">
      <c r="A1258" t="inlineStr">
        <is>
          <t>ENC117711</t>
        </is>
      </c>
      <c r="B1258" t="inlineStr">
        <is>
          <t>PT12878</t>
        </is>
      </c>
      <c r="C1258" t="inlineStr">
        <is>
          <t>Inpatient</t>
        </is>
      </c>
      <c r="D1258" t="inlineStr">
        <is>
          <t>F02</t>
        </is>
      </c>
      <c r="E1258" t="inlineStr">
        <is>
          <t>D210</t>
        </is>
      </c>
      <c r="F1258" t="inlineStr">
        <is>
          <t>Emergency Department</t>
        </is>
      </c>
      <c r="G1258" s="32" t="n">
        <v>45886.175</v>
      </c>
      <c r="H1258" s="32" t="n">
        <v>45889.57013888889</v>
      </c>
      <c r="I1258" t="inlineStr">
        <is>
          <t>N17.9</t>
        </is>
      </c>
      <c r="J1258" t="inlineStr">
        <is>
          <t>PY04</t>
        </is>
      </c>
      <c r="K1258" s="33" t="n">
        <v>12621.04</v>
      </c>
      <c r="L1258" s="34" t="n"/>
    </row>
    <row r="1259">
      <c r="A1259" t="inlineStr">
        <is>
          <t>ENC117719</t>
        </is>
      </c>
      <c r="B1259" t="inlineStr">
        <is>
          <t>PT10284</t>
        </is>
      </c>
      <c r="C1259" t="inlineStr">
        <is>
          <t>Emergency</t>
        </is>
      </c>
      <c r="D1259" t="inlineStr">
        <is>
          <t>F01</t>
        </is>
      </c>
      <c r="E1259" t="inlineStr">
        <is>
          <t>D100</t>
        </is>
      </c>
      <c r="G1259" s="32" t="n">
        <v>45886.48055555556</v>
      </c>
      <c r="H1259" s="32" t="n">
        <v>45886.61597222222</v>
      </c>
      <c r="I1259" t="inlineStr">
        <is>
          <t>U07.1</t>
        </is>
      </c>
      <c r="J1259" t="inlineStr">
        <is>
          <t>PY03</t>
        </is>
      </c>
      <c r="K1259" s="33" t="n">
        <v>3116.71</v>
      </c>
      <c r="L1259" s="34" t="n"/>
    </row>
    <row r="1260">
      <c r="A1260" t="inlineStr">
        <is>
          <t>ENC117723</t>
        </is>
      </c>
      <c r="B1260" t="inlineStr">
        <is>
          <t>PT10965</t>
        </is>
      </c>
      <c r="C1260" t="inlineStr">
        <is>
          <t>Inpatient</t>
        </is>
      </c>
      <c r="D1260" t="inlineStr">
        <is>
          <t>F01</t>
        </is>
      </c>
      <c r="E1260" t="inlineStr">
        <is>
          <t>D111</t>
        </is>
      </c>
      <c r="F1260" t="inlineStr">
        <is>
          <t>Emergency Department</t>
        </is>
      </c>
      <c r="G1260" s="32" t="n">
        <v>45887.03472222222</v>
      </c>
      <c r="H1260" s="32" t="n">
        <v>45890.5125</v>
      </c>
      <c r="I1260" t="inlineStr">
        <is>
          <t>E87.1</t>
        </is>
      </c>
      <c r="J1260" t="inlineStr">
        <is>
          <t>PY02</t>
        </is>
      </c>
      <c r="K1260" s="33" t="n">
        <v>24766.7</v>
      </c>
      <c r="L1260" s="34" t="n"/>
    </row>
    <row r="1261">
      <c r="A1261" t="inlineStr">
        <is>
          <t>ENC117728</t>
        </is>
      </c>
      <c r="B1261" t="inlineStr">
        <is>
          <t>PT11549</t>
        </is>
      </c>
      <c r="C1261" t="inlineStr">
        <is>
          <t>Outpatient</t>
        </is>
      </c>
      <c r="D1261" t="inlineStr">
        <is>
          <t>F04</t>
        </is>
      </c>
      <c r="E1261" t="inlineStr">
        <is>
          <t>D430</t>
        </is>
      </c>
      <c r="G1261" s="32" t="n">
        <v>45887.46875</v>
      </c>
      <c r="H1261" s="32" t="n">
        <v>45887.65763888889</v>
      </c>
      <c r="I1261" t="inlineStr">
        <is>
          <t>Z51.11</t>
        </is>
      </c>
      <c r="J1261" t="inlineStr">
        <is>
          <t>PY02</t>
        </is>
      </c>
      <c r="K1261" s="33" t="n">
        <v>12946.59</v>
      </c>
      <c r="L1261" s="34" t="n"/>
    </row>
    <row r="1262">
      <c r="A1262" t="inlineStr">
        <is>
          <t>ENC117735</t>
        </is>
      </c>
      <c r="B1262" t="inlineStr">
        <is>
          <t>PT12345</t>
        </is>
      </c>
      <c r="C1262" t="inlineStr">
        <is>
          <t>Inpatient</t>
        </is>
      </c>
      <c r="D1262" t="inlineStr">
        <is>
          <t>F01</t>
        </is>
      </c>
      <c r="E1262" t="inlineStr">
        <is>
          <t>D111</t>
        </is>
      </c>
      <c r="F1262" t="inlineStr">
        <is>
          <t>Direct Admit</t>
        </is>
      </c>
      <c r="G1262" s="32" t="n">
        <v>45887.59236111111</v>
      </c>
      <c r="H1262" s="32" t="n">
        <v>45890.56875</v>
      </c>
      <c r="I1262" t="inlineStr">
        <is>
          <t>L03.115</t>
        </is>
      </c>
      <c r="J1262" t="inlineStr">
        <is>
          <t>PY01</t>
        </is>
      </c>
      <c r="K1262" s="33" t="n">
        <v>18613.91</v>
      </c>
      <c r="L1262" s="34" t="n"/>
    </row>
    <row r="1263">
      <c r="A1263" t="inlineStr">
        <is>
          <t>ENC117731</t>
        </is>
      </c>
      <c r="B1263" t="inlineStr">
        <is>
          <t>PT12928</t>
        </is>
      </c>
      <c r="C1263" t="inlineStr">
        <is>
          <t>Inpatient</t>
        </is>
      </c>
      <c r="D1263" t="inlineStr">
        <is>
          <t>F01</t>
        </is>
      </c>
      <c r="E1263" t="inlineStr">
        <is>
          <t>D120</t>
        </is>
      </c>
      <c r="F1263" t="inlineStr">
        <is>
          <t>Emergency Department</t>
        </is>
      </c>
      <c r="G1263" s="32" t="n">
        <v>45887.66944444444</v>
      </c>
      <c r="H1263" s="32" t="n">
        <v>45893.35416666666</v>
      </c>
      <c r="I1263" t="inlineStr">
        <is>
          <t>I48.91</t>
        </is>
      </c>
      <c r="J1263" t="inlineStr">
        <is>
          <t>PY02</t>
        </is>
      </c>
      <c r="K1263" s="33" t="n">
        <v>38590.6</v>
      </c>
      <c r="L1263" s="34" t="n"/>
    </row>
    <row r="1264">
      <c r="A1264" t="inlineStr">
        <is>
          <t>ENC117739</t>
        </is>
      </c>
      <c r="B1264" t="inlineStr">
        <is>
          <t>PT13673</t>
        </is>
      </c>
      <c r="C1264" t="inlineStr">
        <is>
          <t>Inpatient</t>
        </is>
      </c>
      <c r="D1264" t="inlineStr">
        <is>
          <t>F01</t>
        </is>
      </c>
      <c r="E1264" t="inlineStr">
        <is>
          <t>D111</t>
        </is>
      </c>
      <c r="F1264" t="inlineStr">
        <is>
          <t>Emergency Department</t>
        </is>
      </c>
      <c r="G1264" s="32" t="n">
        <v>45887.82430555556</v>
      </c>
      <c r="H1264" s="32" t="n">
        <v>45892.55347222222</v>
      </c>
      <c r="I1264" t="inlineStr">
        <is>
          <t>E87.1</t>
        </is>
      </c>
      <c r="J1264" t="inlineStr">
        <is>
          <t>PY01</t>
        </is>
      </c>
      <c r="K1264" s="33" t="n">
        <v>20149.22</v>
      </c>
      <c r="L1264" s="34" t="n"/>
    </row>
    <row r="1265">
      <c r="A1265" t="inlineStr">
        <is>
          <t>ENC117751</t>
        </is>
      </c>
      <c r="B1265" t="inlineStr">
        <is>
          <t>PT13413</t>
        </is>
      </c>
      <c r="C1265" t="inlineStr">
        <is>
          <t>Emergency</t>
        </is>
      </c>
      <c r="D1265" t="inlineStr">
        <is>
          <t>F01</t>
        </is>
      </c>
      <c r="E1265" t="inlineStr">
        <is>
          <t>D100</t>
        </is>
      </c>
      <c r="G1265" s="32" t="n">
        <v>45888.22291666667</v>
      </c>
      <c r="H1265" s="32" t="n">
        <v>45888.41527777778</v>
      </c>
      <c r="I1265" t="inlineStr">
        <is>
          <t>J45.909</t>
        </is>
      </c>
      <c r="J1265" t="inlineStr">
        <is>
          <t>PY04</t>
        </is>
      </c>
      <c r="K1265" s="33" t="n">
        <v>3536.29</v>
      </c>
      <c r="L1265" s="34" t="n"/>
    </row>
    <row r="1266">
      <c r="A1266" t="inlineStr">
        <is>
          <t>ENC117757</t>
        </is>
      </c>
      <c r="B1266" t="inlineStr">
        <is>
          <t>PT13030</t>
        </is>
      </c>
      <c r="C1266" t="inlineStr">
        <is>
          <t>Emergency</t>
        </is>
      </c>
      <c r="D1266" t="inlineStr">
        <is>
          <t>F01</t>
        </is>
      </c>
      <c r="E1266" t="inlineStr">
        <is>
          <t>D100</t>
        </is>
      </c>
      <c r="G1266" s="32" t="n">
        <v>45888.48263888889</v>
      </c>
      <c r="H1266" s="32" t="n">
        <v>45888.63333333333</v>
      </c>
      <c r="I1266" t="inlineStr">
        <is>
          <t>R07.9</t>
        </is>
      </c>
      <c r="J1266" t="inlineStr">
        <is>
          <t>PY05</t>
        </is>
      </c>
      <c r="K1266" s="33" t="n">
        <v>3023.9</v>
      </c>
      <c r="L1266" s="34" t="n"/>
    </row>
    <row r="1267">
      <c r="A1267" t="inlineStr">
        <is>
          <t>ENC117756</t>
        </is>
      </c>
      <c r="B1267" t="inlineStr">
        <is>
          <t>PT13282</t>
        </is>
      </c>
      <c r="C1267" t="inlineStr">
        <is>
          <t>Inpatient</t>
        </is>
      </c>
      <c r="D1267" t="inlineStr">
        <is>
          <t>F01</t>
        </is>
      </c>
      <c r="E1267" t="inlineStr">
        <is>
          <t>D111</t>
        </is>
      </c>
      <c r="F1267" t="inlineStr">
        <is>
          <t>Emergency Department</t>
        </is>
      </c>
      <c r="G1267" s="32" t="n">
        <v>45888.57638888889</v>
      </c>
      <c r="H1267" s="32" t="n">
        <v>45893.66319444445</v>
      </c>
      <c r="I1267" t="inlineStr">
        <is>
          <t>N17.9</t>
        </is>
      </c>
      <c r="J1267" t="inlineStr">
        <is>
          <t>PY04</t>
        </is>
      </c>
      <c r="K1267" s="33" t="n">
        <v>31719.36</v>
      </c>
      <c r="L1267" s="34" t="n"/>
    </row>
    <row r="1268">
      <c r="A1268" t="inlineStr">
        <is>
          <t>ENC117768</t>
        </is>
      </c>
      <c r="B1268" t="inlineStr">
        <is>
          <t>PT13163</t>
        </is>
      </c>
      <c r="C1268" t="inlineStr">
        <is>
          <t>Outpatient</t>
        </is>
      </c>
      <c r="D1268" t="inlineStr">
        <is>
          <t>F04</t>
        </is>
      </c>
      <c r="E1268" t="inlineStr">
        <is>
          <t>D420</t>
        </is>
      </c>
      <c r="G1268" s="32" t="n">
        <v>45888.66666666666</v>
      </c>
      <c r="H1268" s="32" t="n">
        <v>45888.68541666667</v>
      </c>
      <c r="I1268" t="inlineStr">
        <is>
          <t>M16.11</t>
        </is>
      </c>
      <c r="J1268" t="inlineStr">
        <is>
          <t>PY07</t>
        </is>
      </c>
      <c r="K1268" s="33" t="n">
        <v>361.53</v>
      </c>
      <c r="L1268" s="34" t="n"/>
    </row>
    <row r="1269">
      <c r="A1269" t="inlineStr">
        <is>
          <t>ENC117776</t>
        </is>
      </c>
      <c r="B1269" t="inlineStr">
        <is>
          <t>PT11776</t>
        </is>
      </c>
      <c r="C1269" t="inlineStr">
        <is>
          <t>Emergency</t>
        </is>
      </c>
      <c r="D1269" t="inlineStr">
        <is>
          <t>F01</t>
        </is>
      </c>
      <c r="E1269" t="inlineStr">
        <is>
          <t>D100</t>
        </is>
      </c>
      <c r="G1269" s="32" t="n">
        <v>45888.92013888889</v>
      </c>
      <c r="H1269" s="32" t="n">
        <v>45889.00902777778</v>
      </c>
      <c r="I1269" t="inlineStr">
        <is>
          <t>M54.50</t>
        </is>
      </c>
      <c r="J1269" t="inlineStr">
        <is>
          <t>PY01</t>
        </is>
      </c>
      <c r="K1269" s="33" t="n">
        <v>579.8</v>
      </c>
      <c r="L1269" s="34" t="n"/>
    </row>
    <row r="1270">
      <c r="A1270" t="inlineStr">
        <is>
          <t>ENC117772</t>
        </is>
      </c>
      <c r="B1270" t="inlineStr">
        <is>
          <t>PT12912</t>
        </is>
      </c>
      <c r="C1270" t="inlineStr">
        <is>
          <t>Observation</t>
        </is>
      </c>
      <c r="D1270" t="inlineStr">
        <is>
          <t>F01</t>
        </is>
      </c>
      <c r="E1270" t="inlineStr">
        <is>
          <t>D195</t>
        </is>
      </c>
      <c r="F1270" t="inlineStr">
        <is>
          <t>Emergency Department</t>
        </is>
      </c>
      <c r="G1270" s="32" t="n">
        <v>45889.00625</v>
      </c>
      <c r="H1270" s="32" t="n">
        <v>45889.79791666667</v>
      </c>
      <c r="I1270" t="inlineStr">
        <is>
          <t>N39.0</t>
        </is>
      </c>
      <c r="J1270" t="inlineStr">
        <is>
          <t>PY05</t>
        </is>
      </c>
      <c r="K1270" s="33" t="n">
        <v>7361.87</v>
      </c>
      <c r="L1270" s="34" t="n"/>
    </row>
    <row r="1271">
      <c r="A1271" t="inlineStr">
        <is>
          <t>ENC117784</t>
        </is>
      </c>
      <c r="B1271" t="inlineStr">
        <is>
          <t>PT11534</t>
        </is>
      </c>
      <c r="C1271" t="inlineStr">
        <is>
          <t>Inpatient</t>
        </is>
      </c>
      <c r="D1271" t="inlineStr">
        <is>
          <t>F03</t>
        </is>
      </c>
      <c r="E1271" t="inlineStr">
        <is>
          <t>D340</t>
        </is>
      </c>
      <c r="F1271" t="inlineStr">
        <is>
          <t>Elective</t>
        </is>
      </c>
      <c r="G1271" s="32" t="n">
        <v>45889.26527777778</v>
      </c>
      <c r="H1271" s="32" t="n">
        <v>45891.48819444444</v>
      </c>
      <c r="I1271" t="inlineStr">
        <is>
          <t>M17.11</t>
        </is>
      </c>
      <c r="J1271" t="inlineStr">
        <is>
          <t>PY04</t>
        </is>
      </c>
      <c r="K1271" s="33" t="n">
        <v>36768.72</v>
      </c>
      <c r="L1271" s="34" t="n"/>
    </row>
    <row r="1272">
      <c r="A1272" t="inlineStr">
        <is>
          <t>ENC117792</t>
        </is>
      </c>
      <c r="B1272" t="inlineStr">
        <is>
          <t>PT10224</t>
        </is>
      </c>
      <c r="C1272" t="inlineStr">
        <is>
          <t>Inpatient</t>
        </is>
      </c>
      <c r="D1272" t="inlineStr">
        <is>
          <t>F01</t>
        </is>
      </c>
      <c r="E1272" t="inlineStr">
        <is>
          <t>D170</t>
        </is>
      </c>
      <c r="F1272" t="inlineStr">
        <is>
          <t>Direct Admit</t>
        </is>
      </c>
      <c r="G1272" s="32" t="n">
        <v>45889.47777777778</v>
      </c>
      <c r="H1272" s="32" t="n">
        <v>45891.63055555556</v>
      </c>
      <c r="I1272" t="inlineStr">
        <is>
          <t>O80</t>
        </is>
      </c>
      <c r="J1272" t="inlineStr">
        <is>
          <t>PY04</t>
        </is>
      </c>
      <c r="K1272" s="33" t="n">
        <v>17140.78</v>
      </c>
      <c r="L1272" s="34" t="n"/>
    </row>
    <row r="1273">
      <c r="A1273" t="inlineStr">
        <is>
          <t>ENC117791</t>
        </is>
      </c>
      <c r="B1273" t="inlineStr">
        <is>
          <t>PT11220</t>
        </is>
      </c>
      <c r="C1273" t="inlineStr">
        <is>
          <t>Inpatient</t>
        </is>
      </c>
      <c r="D1273" t="inlineStr">
        <is>
          <t>F02</t>
        </is>
      </c>
      <c r="E1273" t="inlineStr">
        <is>
          <t>D210</t>
        </is>
      </c>
      <c r="F1273" t="inlineStr">
        <is>
          <t>Emergency Department</t>
        </is>
      </c>
      <c r="G1273" s="32" t="n">
        <v>45889.50972222222</v>
      </c>
      <c r="H1273" s="32" t="n">
        <v>45894.55</v>
      </c>
      <c r="I1273" t="inlineStr">
        <is>
          <t>I50.9</t>
        </is>
      </c>
      <c r="J1273" t="inlineStr">
        <is>
          <t>PY05</t>
        </is>
      </c>
      <c r="K1273" s="33" t="n">
        <v>33061.68</v>
      </c>
      <c r="L1273" s="34" t="n"/>
    </row>
    <row r="1274">
      <c r="A1274" t="inlineStr">
        <is>
          <t>ENC117802</t>
        </is>
      </c>
      <c r="B1274" t="inlineStr">
        <is>
          <t>PT11739</t>
        </is>
      </c>
      <c r="C1274" t="inlineStr">
        <is>
          <t>Outpatient</t>
        </is>
      </c>
      <c r="D1274" t="inlineStr">
        <is>
          <t>F04</t>
        </is>
      </c>
      <c r="E1274" t="inlineStr">
        <is>
          <t>D400</t>
        </is>
      </c>
      <c r="G1274" s="32" t="n">
        <v>45889.57291666666</v>
      </c>
      <c r="H1274" s="32" t="n">
        <v>45889.60555555556</v>
      </c>
      <c r="I1274" t="inlineStr">
        <is>
          <t>E78.5</t>
        </is>
      </c>
      <c r="J1274" t="inlineStr">
        <is>
          <t>PY01</t>
        </is>
      </c>
      <c r="K1274" s="33" t="n">
        <v>436.65</v>
      </c>
      <c r="L1274" s="34" t="n"/>
    </row>
    <row r="1275">
      <c r="A1275" t="inlineStr">
        <is>
          <t>ENC117806</t>
        </is>
      </c>
      <c r="B1275" t="inlineStr">
        <is>
          <t>PT12888</t>
        </is>
      </c>
      <c r="C1275" t="inlineStr">
        <is>
          <t>Emergency</t>
        </is>
      </c>
      <c r="D1275" t="inlineStr">
        <is>
          <t>F01</t>
        </is>
      </c>
      <c r="E1275" t="inlineStr">
        <is>
          <t>D100</t>
        </is>
      </c>
      <c r="G1275" s="32" t="n">
        <v>45889.65</v>
      </c>
      <c r="H1275" s="32" t="n">
        <v>45889.72986111111</v>
      </c>
      <c r="I1275" t="inlineStr">
        <is>
          <t>J18.9</t>
        </is>
      </c>
      <c r="J1275" t="inlineStr">
        <is>
          <t>PY05</t>
        </is>
      </c>
      <c r="K1275" s="33" t="n">
        <v>4266.19</v>
      </c>
      <c r="L1275" s="34" t="n"/>
    </row>
    <row r="1276">
      <c r="A1276" t="inlineStr">
        <is>
          <t>ENC117813</t>
        </is>
      </c>
      <c r="B1276" t="inlineStr">
        <is>
          <t>PT10323</t>
        </is>
      </c>
      <c r="C1276" t="inlineStr">
        <is>
          <t>Emergency</t>
        </is>
      </c>
      <c r="D1276" t="inlineStr">
        <is>
          <t>F01</t>
        </is>
      </c>
      <c r="E1276" t="inlineStr">
        <is>
          <t>D100</t>
        </is>
      </c>
      <c r="G1276" s="32" t="n">
        <v>45889.78819444445</v>
      </c>
      <c r="H1276" s="32" t="n">
        <v>45889.87708333333</v>
      </c>
      <c r="I1276" t="inlineStr">
        <is>
          <t>H66.90</t>
        </is>
      </c>
      <c r="J1276" t="inlineStr">
        <is>
          <t>PY03</t>
        </is>
      </c>
      <c r="K1276" s="33" t="n">
        <v>815.92</v>
      </c>
      <c r="L1276" s="34" t="n"/>
    </row>
    <row r="1277">
      <c r="A1277" t="inlineStr">
        <is>
          <t>ENC117817</t>
        </is>
      </c>
      <c r="B1277" t="inlineStr">
        <is>
          <t>PT12200</t>
        </is>
      </c>
      <c r="C1277" t="inlineStr">
        <is>
          <t>Outpatient</t>
        </is>
      </c>
      <c r="D1277" t="inlineStr">
        <is>
          <t>F04</t>
        </is>
      </c>
      <c r="E1277" t="inlineStr">
        <is>
          <t>D430</t>
        </is>
      </c>
      <c r="G1277" s="32" t="n">
        <v>45890.33333333334</v>
      </c>
      <c r="H1277" s="32" t="n">
        <v>45890.47430555556</v>
      </c>
      <c r="I1277" t="inlineStr">
        <is>
          <t>Z51.11</t>
        </is>
      </c>
      <c r="J1277" t="inlineStr">
        <is>
          <t>PY03</t>
        </is>
      </c>
      <c r="K1277" s="33" t="n">
        <v>9106.889999999999</v>
      </c>
      <c r="L1277" s="34" t="n"/>
    </row>
    <row r="1278">
      <c r="A1278" t="inlineStr">
        <is>
          <t>ENC117824</t>
        </is>
      </c>
      <c r="B1278" t="inlineStr">
        <is>
          <t>PT12480</t>
        </is>
      </c>
      <c r="C1278" t="inlineStr">
        <is>
          <t>Emergency</t>
        </is>
      </c>
      <c r="D1278" t="inlineStr">
        <is>
          <t>F01</t>
        </is>
      </c>
      <c r="E1278" t="inlineStr">
        <is>
          <t>D100</t>
        </is>
      </c>
      <c r="G1278" s="32" t="n">
        <v>45890.46180555555</v>
      </c>
      <c r="H1278" s="32" t="n">
        <v>45890.65277777778</v>
      </c>
      <c r="I1278" t="inlineStr">
        <is>
          <t>L03.115</t>
        </is>
      </c>
      <c r="J1278" t="inlineStr">
        <is>
          <t>PY03</t>
        </is>
      </c>
      <c r="K1278" s="33" t="n">
        <v>2939.61</v>
      </c>
      <c r="L1278" s="34" t="n"/>
    </row>
    <row r="1279">
      <c r="A1279" t="inlineStr">
        <is>
          <t>ENC117829</t>
        </is>
      </c>
      <c r="B1279" t="inlineStr">
        <is>
          <t>PT11128</t>
        </is>
      </c>
      <c r="C1279" t="inlineStr">
        <is>
          <t>Outpatient</t>
        </is>
      </c>
      <c r="D1279" t="inlineStr">
        <is>
          <t>F04</t>
        </is>
      </c>
      <c r="E1279" t="inlineStr">
        <is>
          <t>D450</t>
        </is>
      </c>
      <c r="G1279" s="32" t="n">
        <v>45890.60416666666</v>
      </c>
      <c r="H1279" s="32" t="n">
        <v>45890.63611111111</v>
      </c>
      <c r="I1279" t="inlineStr">
        <is>
          <t>Z00.129</t>
        </is>
      </c>
      <c r="J1279" t="inlineStr">
        <is>
          <t>PY04</t>
        </is>
      </c>
      <c r="K1279" s="33" t="n">
        <v>223.1</v>
      </c>
      <c r="L1279" s="34" t="n"/>
    </row>
    <row r="1280">
      <c r="A1280" t="inlineStr">
        <is>
          <t>ENC117834</t>
        </is>
      </c>
      <c r="B1280" t="inlineStr">
        <is>
          <t>PT12154</t>
        </is>
      </c>
      <c r="C1280" t="inlineStr">
        <is>
          <t>Outpatient</t>
        </is>
      </c>
      <c r="D1280" t="inlineStr">
        <is>
          <t>F04</t>
        </is>
      </c>
      <c r="E1280" t="inlineStr">
        <is>
          <t>D450</t>
        </is>
      </c>
      <c r="G1280" s="32" t="n">
        <v>45890.67708333334</v>
      </c>
      <c r="H1280" s="32" t="n">
        <v>45890.71319444444</v>
      </c>
      <c r="I1280" t="inlineStr">
        <is>
          <t>Z00.129</t>
        </is>
      </c>
      <c r="J1280" t="inlineStr">
        <is>
          <t>PY04</t>
        </is>
      </c>
      <c r="K1280" s="33" t="n">
        <v>327.95</v>
      </c>
      <c r="L1280" s="34" t="n"/>
    </row>
    <row r="1281">
      <c r="A1281" t="inlineStr">
        <is>
          <t>ENC117841</t>
        </is>
      </c>
      <c r="B1281" t="inlineStr">
        <is>
          <t>PT13497</t>
        </is>
      </c>
      <c r="C1281" t="inlineStr">
        <is>
          <t>Emergency</t>
        </is>
      </c>
      <c r="D1281" t="inlineStr">
        <is>
          <t>F02</t>
        </is>
      </c>
      <c r="E1281" t="inlineStr">
        <is>
          <t>D200</t>
        </is>
      </c>
      <c r="G1281" s="32" t="n">
        <v>45890.76041666666</v>
      </c>
      <c r="H1281" s="32" t="n">
        <v>45890.84166666667</v>
      </c>
      <c r="I1281" t="inlineStr">
        <is>
          <t>E86.0</t>
        </is>
      </c>
      <c r="J1281" t="inlineStr">
        <is>
          <t>PY02</t>
        </is>
      </c>
      <c r="K1281" s="33" t="n">
        <v>1279.7</v>
      </c>
      <c r="L1281" s="34" t="n"/>
    </row>
    <row r="1282">
      <c r="A1282" t="inlineStr">
        <is>
          <t>ENC117843</t>
        </is>
      </c>
      <c r="B1282" t="inlineStr">
        <is>
          <t>PT12605</t>
        </is>
      </c>
      <c r="C1282" t="inlineStr">
        <is>
          <t>Inpatient</t>
        </is>
      </c>
      <c r="D1282" t="inlineStr">
        <is>
          <t>F01</t>
        </is>
      </c>
      <c r="E1282" t="inlineStr">
        <is>
          <t>D110</t>
        </is>
      </c>
      <c r="F1282" t="inlineStr">
        <is>
          <t>Emergency Department</t>
        </is>
      </c>
      <c r="G1282" s="32" t="n">
        <v>45890.96736111111</v>
      </c>
      <c r="H1282" s="32" t="n">
        <v>45894.62638888889</v>
      </c>
      <c r="I1282" t="inlineStr">
        <is>
          <t>N17.9</t>
        </is>
      </c>
      <c r="J1282" t="inlineStr">
        <is>
          <t>PY02</t>
        </is>
      </c>
      <c r="K1282" s="33" t="n">
        <v>12059.9</v>
      </c>
      <c r="L1282" s="34" t="n"/>
    </row>
    <row r="1283">
      <c r="A1283" t="inlineStr">
        <is>
          <t>ENC117851</t>
        </is>
      </c>
      <c r="B1283" t="inlineStr">
        <is>
          <t>PT10495</t>
        </is>
      </c>
      <c r="C1283" t="inlineStr">
        <is>
          <t>Emergency</t>
        </is>
      </c>
      <c r="D1283" t="inlineStr">
        <is>
          <t>F02</t>
        </is>
      </c>
      <c r="E1283" t="inlineStr">
        <is>
          <t>D200</t>
        </is>
      </c>
      <c r="G1283" s="32" t="n">
        <v>45891.38611111111</v>
      </c>
      <c r="H1283" s="32" t="n">
        <v>45891.50486111111</v>
      </c>
      <c r="I1283" t="inlineStr">
        <is>
          <t>R55</t>
        </is>
      </c>
      <c r="J1283" t="inlineStr">
        <is>
          <t>PY01</t>
        </is>
      </c>
      <c r="K1283" s="33" t="n">
        <v>2312.42</v>
      </c>
      <c r="L1283" s="34" t="n"/>
    </row>
    <row r="1284">
      <c r="A1284" t="inlineStr">
        <is>
          <t>ENC117856</t>
        </is>
      </c>
      <c r="B1284" t="inlineStr">
        <is>
          <t>PT12963</t>
        </is>
      </c>
      <c r="C1284" t="inlineStr">
        <is>
          <t>Emergency</t>
        </is>
      </c>
      <c r="D1284" t="inlineStr">
        <is>
          <t>F03</t>
        </is>
      </c>
      <c r="E1284" t="inlineStr">
        <is>
          <t>D300</t>
        </is>
      </c>
      <c r="G1284" s="32" t="n">
        <v>45891.41180555556</v>
      </c>
      <c r="H1284" s="32" t="n">
        <v>45891.50694444445</v>
      </c>
      <c r="I1284" t="inlineStr">
        <is>
          <t>S06.0X0A</t>
        </is>
      </c>
      <c r="J1284" t="inlineStr">
        <is>
          <t>PY01</t>
        </is>
      </c>
      <c r="K1284" s="33" t="n">
        <v>1071.27</v>
      </c>
      <c r="L1284" s="34" t="n"/>
    </row>
    <row r="1285">
      <c r="A1285" t="inlineStr">
        <is>
          <t>ENC117863</t>
        </is>
      </c>
      <c r="B1285" t="inlineStr">
        <is>
          <t>PT12156</t>
        </is>
      </c>
      <c r="C1285" t="inlineStr">
        <is>
          <t>Outpatient</t>
        </is>
      </c>
      <c r="D1285" t="inlineStr">
        <is>
          <t>F04</t>
        </is>
      </c>
      <c r="E1285" t="inlineStr">
        <is>
          <t>D400</t>
        </is>
      </c>
      <c r="G1285" s="32" t="n">
        <v>45891.57291666666</v>
      </c>
      <c r="H1285" s="32" t="n">
        <v>45891.6</v>
      </c>
      <c r="I1285" t="inlineStr">
        <is>
          <t>F41.9</t>
        </is>
      </c>
      <c r="J1285" t="inlineStr">
        <is>
          <t>PY03</t>
        </is>
      </c>
      <c r="K1285" s="33" t="n">
        <v>235.41</v>
      </c>
      <c r="L1285" s="34" t="n"/>
    </row>
    <row r="1286">
      <c r="A1286" t="inlineStr">
        <is>
          <t>ENC117872</t>
        </is>
      </c>
      <c r="B1286" t="inlineStr">
        <is>
          <t>PT11146</t>
        </is>
      </c>
      <c r="C1286" t="inlineStr">
        <is>
          <t>Emergency</t>
        </is>
      </c>
      <c r="D1286" t="inlineStr">
        <is>
          <t>F01</t>
        </is>
      </c>
      <c r="E1286" t="inlineStr">
        <is>
          <t>D100</t>
        </is>
      </c>
      <c r="G1286" s="32" t="n">
        <v>45891.62777777778</v>
      </c>
      <c r="H1286" s="32" t="n">
        <v>45891.76666666667</v>
      </c>
      <c r="I1286" t="inlineStr">
        <is>
          <t>J06.9</t>
        </is>
      </c>
      <c r="J1286" t="inlineStr">
        <is>
          <t>PY04</t>
        </is>
      </c>
      <c r="K1286" s="33" t="n">
        <v>1320.51</v>
      </c>
      <c r="L1286" s="34" t="n"/>
    </row>
    <row r="1287">
      <c r="A1287" t="inlineStr">
        <is>
          <t>ENC117875</t>
        </is>
      </c>
      <c r="B1287" t="inlineStr">
        <is>
          <t>PT13229</t>
        </is>
      </c>
      <c r="C1287" t="inlineStr">
        <is>
          <t>Emergency</t>
        </is>
      </c>
      <c r="D1287" t="inlineStr">
        <is>
          <t>F01</t>
        </is>
      </c>
      <c r="E1287" t="inlineStr">
        <is>
          <t>D100</t>
        </is>
      </c>
      <c r="G1287" s="32" t="n">
        <v>45891.70902777778</v>
      </c>
      <c r="H1287" s="32" t="n">
        <v>45891.84791666667</v>
      </c>
      <c r="I1287" t="inlineStr">
        <is>
          <t>J45.909</t>
        </is>
      </c>
      <c r="J1287" t="inlineStr">
        <is>
          <t>PY04</t>
        </is>
      </c>
      <c r="K1287" s="33" t="n">
        <v>3739.82</v>
      </c>
      <c r="L1287" s="34" t="n"/>
    </row>
    <row r="1288">
      <c r="A1288" t="inlineStr">
        <is>
          <t>ENC117879</t>
        </is>
      </c>
      <c r="B1288" t="inlineStr">
        <is>
          <t>PT11194</t>
        </is>
      </c>
      <c r="C1288" t="inlineStr">
        <is>
          <t>Emergency</t>
        </is>
      </c>
      <c r="D1288" t="inlineStr">
        <is>
          <t>F03</t>
        </is>
      </c>
      <c r="E1288" t="inlineStr">
        <is>
          <t>D300</t>
        </is>
      </c>
      <c r="G1288" s="32" t="n">
        <v>45891.9</v>
      </c>
      <c r="H1288" s="32" t="n">
        <v>45892.05416666667</v>
      </c>
      <c r="I1288" t="inlineStr">
        <is>
          <t>R10.9</t>
        </is>
      </c>
      <c r="J1288" t="inlineStr">
        <is>
          <t>PY01</t>
        </is>
      </c>
      <c r="K1288" s="33" t="n">
        <v>3417.1</v>
      </c>
      <c r="L1288" s="34" t="n"/>
    </row>
    <row r="1289">
      <c r="A1289" t="inlineStr">
        <is>
          <t>ENC117885</t>
        </is>
      </c>
      <c r="B1289" t="inlineStr">
        <is>
          <t>PT12288</t>
        </is>
      </c>
      <c r="C1289" t="inlineStr">
        <is>
          <t>Emergency</t>
        </is>
      </c>
      <c r="D1289" t="inlineStr">
        <is>
          <t>F01</t>
        </is>
      </c>
      <c r="E1289" t="inlineStr">
        <is>
          <t>D100</t>
        </is>
      </c>
      <c r="G1289" s="32" t="n">
        <v>45892.33472222222</v>
      </c>
      <c r="H1289" s="32" t="n">
        <v>45892.41111111111</v>
      </c>
      <c r="I1289" t="inlineStr">
        <is>
          <t>S93.401A</t>
        </is>
      </c>
      <c r="J1289" t="inlineStr">
        <is>
          <t>PY06</t>
        </is>
      </c>
      <c r="K1289" s="33" t="n">
        <v>538.65</v>
      </c>
      <c r="L1289" s="34" t="n"/>
    </row>
    <row r="1290">
      <c r="A1290" t="inlineStr">
        <is>
          <t>ENC117888</t>
        </is>
      </c>
      <c r="B1290" t="inlineStr">
        <is>
          <t>PT12507</t>
        </is>
      </c>
      <c r="C1290" t="inlineStr">
        <is>
          <t>Inpatient</t>
        </is>
      </c>
      <c r="D1290" t="inlineStr">
        <is>
          <t>F01</t>
        </is>
      </c>
      <c r="E1290" t="inlineStr">
        <is>
          <t>D120</t>
        </is>
      </c>
      <c r="F1290" t="inlineStr">
        <is>
          <t>Emergency Department</t>
        </is>
      </c>
      <c r="G1290" s="32" t="n">
        <v>45892.71041666667</v>
      </c>
      <c r="H1290" s="32" t="n">
        <v>45896.50902777778</v>
      </c>
      <c r="I1290" t="inlineStr">
        <is>
          <t>I48.91</t>
        </is>
      </c>
      <c r="J1290" t="inlineStr">
        <is>
          <t>PY04</t>
        </is>
      </c>
      <c r="K1290" s="33" t="n">
        <v>20297.67</v>
      </c>
      <c r="L1290" s="34" t="n"/>
    </row>
    <row r="1291">
      <c r="A1291" t="inlineStr">
        <is>
          <t>ENC117893</t>
        </is>
      </c>
      <c r="B1291" t="inlineStr">
        <is>
          <t>PT11411</t>
        </is>
      </c>
      <c r="C1291" t="inlineStr">
        <is>
          <t>Inpatient</t>
        </is>
      </c>
      <c r="D1291" t="inlineStr">
        <is>
          <t>F01</t>
        </is>
      </c>
      <c r="E1291" t="inlineStr">
        <is>
          <t>D120</t>
        </is>
      </c>
      <c r="F1291" t="inlineStr">
        <is>
          <t>Emergency Department</t>
        </is>
      </c>
      <c r="G1291" s="32" t="n">
        <v>45892.88888888889</v>
      </c>
      <c r="H1291" s="32" t="n">
        <v>45895.58888888889</v>
      </c>
      <c r="I1291" t="inlineStr">
        <is>
          <t>I21.4</t>
        </is>
      </c>
      <c r="J1291" t="inlineStr">
        <is>
          <t>PY04</t>
        </is>
      </c>
      <c r="K1291" s="33" t="n">
        <v>62857.06</v>
      </c>
      <c r="L1291" s="34" t="n"/>
    </row>
    <row r="1292">
      <c r="A1292" t="inlineStr">
        <is>
          <t>ENC117901</t>
        </is>
      </c>
      <c r="B1292" t="inlineStr">
        <is>
          <t>PT13021</t>
        </is>
      </c>
      <c r="C1292" t="inlineStr">
        <is>
          <t>Emergency</t>
        </is>
      </c>
      <c r="D1292" t="inlineStr">
        <is>
          <t>F01</t>
        </is>
      </c>
      <c r="E1292" t="inlineStr">
        <is>
          <t>D100</t>
        </is>
      </c>
      <c r="G1292" s="32" t="n">
        <v>45893.47013888889</v>
      </c>
      <c r="H1292" s="32" t="n">
        <v>45893.55277777778</v>
      </c>
      <c r="I1292" t="inlineStr">
        <is>
          <t>S06.0X0A</t>
        </is>
      </c>
      <c r="J1292" t="inlineStr">
        <is>
          <t>PY01</t>
        </is>
      </c>
      <c r="K1292" s="33" t="n">
        <v>1136.49</v>
      </c>
      <c r="L1292" s="34" t="n"/>
    </row>
    <row r="1293">
      <c r="A1293" t="inlineStr">
        <is>
          <t>ENC117908</t>
        </is>
      </c>
      <c r="B1293" t="inlineStr">
        <is>
          <t>PT12158</t>
        </is>
      </c>
      <c r="C1293" t="inlineStr">
        <is>
          <t>Inpatient</t>
        </is>
      </c>
      <c r="D1293" t="inlineStr">
        <is>
          <t>F01</t>
        </is>
      </c>
      <c r="E1293" t="inlineStr">
        <is>
          <t>D130</t>
        </is>
      </c>
      <c r="F1293" t="inlineStr">
        <is>
          <t>Direct Admit</t>
        </is>
      </c>
      <c r="G1293" s="32" t="n">
        <v>45893.83611111111</v>
      </c>
      <c r="H1293" s="32" t="n">
        <v>45898.53333333333</v>
      </c>
      <c r="I1293" t="inlineStr">
        <is>
          <t>J96.01</t>
        </is>
      </c>
      <c r="J1293" t="inlineStr">
        <is>
          <t>PY03</t>
        </is>
      </c>
      <c r="K1293" s="33" t="n">
        <v>58304.33</v>
      </c>
      <c r="L1293" s="34" t="n"/>
    </row>
    <row r="1294">
      <c r="A1294" t="inlineStr">
        <is>
          <t>ENC117913</t>
        </is>
      </c>
      <c r="B1294" t="inlineStr">
        <is>
          <t>PT12807</t>
        </is>
      </c>
      <c r="C1294" t="inlineStr">
        <is>
          <t>Outpatient</t>
        </is>
      </c>
      <c r="D1294" t="inlineStr">
        <is>
          <t>F04</t>
        </is>
      </c>
      <c r="E1294" t="inlineStr">
        <is>
          <t>D400</t>
        </is>
      </c>
      <c r="G1294" s="32" t="n">
        <v>45894.33333333334</v>
      </c>
      <c r="H1294" s="32" t="n">
        <v>45894.36736111111</v>
      </c>
      <c r="I1294" t="inlineStr">
        <is>
          <t>E78.5</t>
        </is>
      </c>
      <c r="J1294" t="inlineStr">
        <is>
          <t>PY03</t>
        </is>
      </c>
      <c r="K1294" s="33" t="n">
        <v>191.79</v>
      </c>
      <c r="L1294" s="34" t="n"/>
    </row>
    <row r="1295">
      <c r="A1295" t="inlineStr">
        <is>
          <t>ENC117920</t>
        </is>
      </c>
      <c r="B1295" t="inlineStr">
        <is>
          <t>PT13991</t>
        </is>
      </c>
      <c r="C1295" t="inlineStr">
        <is>
          <t>Emergency</t>
        </is>
      </c>
      <c r="D1295" t="inlineStr">
        <is>
          <t>F01</t>
        </is>
      </c>
      <c r="E1295" t="inlineStr">
        <is>
          <t>D100</t>
        </is>
      </c>
      <c r="G1295" s="32" t="n">
        <v>45894.38194444445</v>
      </c>
      <c r="H1295" s="32" t="n">
        <v>45894.50486111111</v>
      </c>
      <c r="I1295" t="inlineStr">
        <is>
          <t>J44.1</t>
        </is>
      </c>
      <c r="J1295" t="inlineStr">
        <is>
          <t>PY02</t>
        </is>
      </c>
      <c r="K1295" s="33" t="n">
        <v>6602.69</v>
      </c>
      <c r="L1295" s="34" t="n"/>
    </row>
    <row r="1296">
      <c r="A1296" t="inlineStr">
        <is>
          <t>ENC117914</t>
        </is>
      </c>
      <c r="B1296" t="inlineStr">
        <is>
          <t>PT10924</t>
        </is>
      </c>
      <c r="C1296" t="inlineStr">
        <is>
          <t>Inpatient</t>
        </is>
      </c>
      <c r="D1296" t="inlineStr">
        <is>
          <t>F02</t>
        </is>
      </c>
      <c r="E1296" t="inlineStr">
        <is>
          <t>D210</t>
        </is>
      </c>
      <c r="F1296" t="inlineStr">
        <is>
          <t>Emergency Department</t>
        </is>
      </c>
      <c r="G1296" s="32" t="n">
        <v>45894.43541666667</v>
      </c>
      <c r="H1296" s="32" t="n">
        <v>45897.56458333333</v>
      </c>
      <c r="I1296" t="inlineStr">
        <is>
          <t>I48.91</t>
        </is>
      </c>
      <c r="J1296" t="inlineStr">
        <is>
          <t>PY02</t>
        </is>
      </c>
      <c r="K1296" s="33" t="n">
        <v>28083.25</v>
      </c>
      <c r="L1296" s="34" t="n"/>
    </row>
    <row r="1297">
      <c r="A1297" t="inlineStr">
        <is>
          <t>ENC117931</t>
        </is>
      </c>
      <c r="B1297" t="inlineStr">
        <is>
          <t>PT12554</t>
        </is>
      </c>
      <c r="C1297" t="inlineStr">
        <is>
          <t>Outpatient</t>
        </is>
      </c>
      <c r="D1297" t="inlineStr">
        <is>
          <t>F04</t>
        </is>
      </c>
      <c r="E1297" t="inlineStr">
        <is>
          <t>D440</t>
        </is>
      </c>
      <c r="G1297" s="32" t="n">
        <v>45894.5625</v>
      </c>
      <c r="H1297" s="32" t="n">
        <v>45894.59791666667</v>
      </c>
      <c r="I1297" t="inlineStr">
        <is>
          <t>E11.9</t>
        </is>
      </c>
      <c r="J1297" t="inlineStr">
        <is>
          <t>PY01</t>
        </is>
      </c>
      <c r="K1297" s="33" t="n">
        <v>310.78</v>
      </c>
      <c r="L1297" s="34" t="n"/>
    </row>
    <row r="1298">
      <c r="A1298" t="inlineStr">
        <is>
          <t>ENC117935</t>
        </is>
      </c>
      <c r="B1298" t="inlineStr">
        <is>
          <t>PT12288</t>
        </is>
      </c>
      <c r="C1298" t="inlineStr">
        <is>
          <t>Outpatient</t>
        </is>
      </c>
      <c r="D1298" t="inlineStr">
        <is>
          <t>F04</t>
        </is>
      </c>
      <c r="E1298" t="inlineStr">
        <is>
          <t>D400</t>
        </is>
      </c>
      <c r="G1298" s="32" t="n">
        <v>45894.60416666666</v>
      </c>
      <c r="H1298" s="32" t="n">
        <v>45894.62083333333</v>
      </c>
      <c r="I1298" t="inlineStr">
        <is>
          <t>I10</t>
        </is>
      </c>
      <c r="J1298" t="inlineStr">
        <is>
          <t>PY06</t>
        </is>
      </c>
      <c r="K1298" s="33" t="n">
        <v>168.02</v>
      </c>
      <c r="L1298" s="34" t="n"/>
    </row>
    <row r="1299">
      <c r="A1299" t="inlineStr">
        <is>
          <t>ENC117942</t>
        </is>
      </c>
      <c r="B1299" t="inlineStr">
        <is>
          <t>PT13258</t>
        </is>
      </c>
      <c r="C1299" t="inlineStr">
        <is>
          <t>Emergency</t>
        </is>
      </c>
      <c r="D1299" t="inlineStr">
        <is>
          <t>F02</t>
        </is>
      </c>
      <c r="E1299" t="inlineStr">
        <is>
          <t>D200</t>
        </is>
      </c>
      <c r="G1299" s="32" t="n">
        <v>45894.69861111111</v>
      </c>
      <c r="H1299" s="32" t="n">
        <v>45894.82291666666</v>
      </c>
      <c r="I1299" t="inlineStr">
        <is>
          <t>N39.0</t>
        </is>
      </c>
      <c r="J1299" t="inlineStr">
        <is>
          <t>PY02</t>
        </is>
      </c>
      <c r="K1299" s="33" t="n">
        <v>1566.55</v>
      </c>
      <c r="L1299" s="34" t="n"/>
    </row>
    <row r="1300">
      <c r="A1300" t="inlineStr">
        <is>
          <t>ENC117947</t>
        </is>
      </c>
      <c r="B1300" t="inlineStr">
        <is>
          <t>PT11902</t>
        </is>
      </c>
      <c r="C1300" t="inlineStr">
        <is>
          <t>Emergency</t>
        </is>
      </c>
      <c r="D1300" t="inlineStr">
        <is>
          <t>F03</t>
        </is>
      </c>
      <c r="E1300" t="inlineStr">
        <is>
          <t>D300</t>
        </is>
      </c>
      <c r="G1300" s="32" t="n">
        <v>45894.95347222222</v>
      </c>
      <c r="H1300" s="32" t="n">
        <v>45895.12916666667</v>
      </c>
      <c r="I1300" t="inlineStr">
        <is>
          <t>I48.91</t>
        </is>
      </c>
      <c r="J1300" t="inlineStr">
        <is>
          <t>PY01</t>
        </is>
      </c>
      <c r="K1300" s="33" t="n">
        <v>4521.7</v>
      </c>
      <c r="L1300" s="34" t="n"/>
    </row>
    <row r="1301">
      <c r="A1301" t="inlineStr">
        <is>
          <t>ENC117951</t>
        </is>
      </c>
      <c r="B1301" t="inlineStr">
        <is>
          <t>PT13425</t>
        </is>
      </c>
      <c r="C1301" t="inlineStr">
        <is>
          <t>Outpatient</t>
        </is>
      </c>
      <c r="D1301" t="inlineStr">
        <is>
          <t>F04</t>
        </is>
      </c>
      <c r="E1301" t="inlineStr">
        <is>
          <t>D430</t>
        </is>
      </c>
      <c r="G1301" s="32" t="n">
        <v>45895.33333333334</v>
      </c>
      <c r="H1301" s="32" t="n">
        <v>45895.35833333333</v>
      </c>
      <c r="I1301" t="inlineStr">
        <is>
          <t>C50.911</t>
        </is>
      </c>
      <c r="J1301" t="inlineStr">
        <is>
          <t>PY03</t>
        </is>
      </c>
      <c r="K1301" s="33" t="n">
        <v>912.46</v>
      </c>
      <c r="L1301" s="34" t="n"/>
    </row>
    <row r="1302">
      <c r="A1302" t="inlineStr">
        <is>
          <t>ENC117954</t>
        </is>
      </c>
      <c r="B1302" t="inlineStr">
        <is>
          <t>PT10968</t>
        </is>
      </c>
      <c r="C1302" t="inlineStr">
        <is>
          <t>Inpatient</t>
        </is>
      </c>
      <c r="D1302" t="inlineStr">
        <is>
          <t>F03</t>
        </is>
      </c>
      <c r="E1302" t="inlineStr">
        <is>
          <t>D310</t>
        </is>
      </c>
      <c r="F1302" t="inlineStr">
        <is>
          <t>Emergency Department</t>
        </is>
      </c>
      <c r="G1302" s="32" t="n">
        <v>45895.55694444444</v>
      </c>
      <c r="H1302" s="32" t="n">
        <v>45900.64513888889</v>
      </c>
      <c r="I1302" t="inlineStr">
        <is>
          <t>J96.01</t>
        </is>
      </c>
      <c r="J1302" t="inlineStr">
        <is>
          <t>PY01</t>
        </is>
      </c>
      <c r="K1302" s="33" t="n">
        <v>39694.57</v>
      </c>
      <c r="L1302" s="34" t="n"/>
    </row>
    <row r="1303">
      <c r="A1303" t="inlineStr">
        <is>
          <t>ENC117955</t>
        </is>
      </c>
      <c r="B1303" t="inlineStr">
        <is>
          <t>PT13070</t>
        </is>
      </c>
      <c r="C1303" t="inlineStr">
        <is>
          <t>Inpatient</t>
        </is>
      </c>
      <c r="D1303" t="inlineStr">
        <is>
          <t>F01</t>
        </is>
      </c>
      <c r="E1303" t="inlineStr">
        <is>
          <t>D120</t>
        </is>
      </c>
      <c r="F1303" t="inlineStr">
        <is>
          <t>Emergency Department</t>
        </is>
      </c>
      <c r="G1303" s="32" t="n">
        <v>45895.61388888889</v>
      </c>
      <c r="H1303" s="32" t="n">
        <v>45897.6375</v>
      </c>
      <c r="I1303" t="inlineStr">
        <is>
          <t>I21.4</t>
        </is>
      </c>
      <c r="J1303" t="inlineStr">
        <is>
          <t>PY01</t>
        </is>
      </c>
      <c r="K1303" s="33" t="n">
        <v>23989.55</v>
      </c>
      <c r="L1303" s="34" t="n"/>
    </row>
    <row r="1304">
      <c r="A1304" t="inlineStr">
        <is>
          <t>ENC117968</t>
        </is>
      </c>
      <c r="B1304" t="inlineStr">
        <is>
          <t>PT12878</t>
        </is>
      </c>
      <c r="C1304" t="inlineStr">
        <is>
          <t>Inpatient</t>
        </is>
      </c>
      <c r="D1304" t="inlineStr">
        <is>
          <t>F02</t>
        </is>
      </c>
      <c r="E1304" t="inlineStr">
        <is>
          <t>D210</t>
        </is>
      </c>
      <c r="F1304" t="inlineStr">
        <is>
          <t>Emergency Department</t>
        </is>
      </c>
      <c r="G1304" s="32" t="n">
        <v>45895.84027777778</v>
      </c>
      <c r="H1304" s="32" t="n">
        <v>45898.66388888889</v>
      </c>
      <c r="I1304" t="inlineStr">
        <is>
          <t>N17.9</t>
        </is>
      </c>
      <c r="J1304" t="inlineStr">
        <is>
          <t>PY04</t>
        </is>
      </c>
      <c r="K1304" s="33" t="n">
        <v>13686.47</v>
      </c>
      <c r="L1304" s="34" t="n"/>
    </row>
    <row r="1305">
      <c r="A1305" t="inlineStr">
        <is>
          <t>ENC117973</t>
        </is>
      </c>
      <c r="B1305" t="inlineStr">
        <is>
          <t>PT10551</t>
        </is>
      </c>
      <c r="C1305" t="inlineStr">
        <is>
          <t>Emergency</t>
        </is>
      </c>
      <c r="D1305" t="inlineStr">
        <is>
          <t>F01</t>
        </is>
      </c>
      <c r="E1305" t="inlineStr">
        <is>
          <t>D100</t>
        </is>
      </c>
      <c r="G1305" s="32" t="n">
        <v>45896.02847222222</v>
      </c>
      <c r="H1305" s="32" t="n">
        <v>45896.12430555555</v>
      </c>
      <c r="I1305" t="inlineStr">
        <is>
          <t>E11.65</t>
        </is>
      </c>
      <c r="J1305" t="inlineStr">
        <is>
          <t>PY06</t>
        </is>
      </c>
      <c r="K1305" s="33" t="n">
        <v>7670.79</v>
      </c>
      <c r="L1305" s="34" t="n"/>
    </row>
    <row r="1306">
      <c r="A1306" t="inlineStr">
        <is>
          <t>ENC117979</t>
        </is>
      </c>
      <c r="B1306" t="inlineStr">
        <is>
          <t>PT13758</t>
        </is>
      </c>
      <c r="C1306" t="inlineStr">
        <is>
          <t>Outpatient</t>
        </is>
      </c>
      <c r="D1306" t="inlineStr">
        <is>
          <t>F04</t>
        </is>
      </c>
      <c r="E1306" t="inlineStr">
        <is>
          <t>D400</t>
        </is>
      </c>
      <c r="G1306" s="32" t="n">
        <v>45896.42708333334</v>
      </c>
      <c r="H1306" s="32" t="n">
        <v>45896.44097222222</v>
      </c>
      <c r="I1306" t="inlineStr">
        <is>
          <t>E78.5</t>
        </is>
      </c>
      <c r="J1306" t="inlineStr">
        <is>
          <t>PY04</t>
        </is>
      </c>
      <c r="K1306" s="33" t="n">
        <v>266.17</v>
      </c>
      <c r="L1306" s="34" t="n"/>
    </row>
    <row r="1307">
      <c r="A1307" t="inlineStr">
        <is>
          <t>ENC117982</t>
        </is>
      </c>
      <c r="B1307" t="inlineStr">
        <is>
          <t>PT11253</t>
        </is>
      </c>
      <c r="C1307" t="inlineStr">
        <is>
          <t>Inpatient</t>
        </is>
      </c>
      <c r="D1307" t="inlineStr">
        <is>
          <t>F03</t>
        </is>
      </c>
      <c r="E1307" t="inlineStr">
        <is>
          <t>D310</t>
        </is>
      </c>
      <c r="F1307" t="inlineStr">
        <is>
          <t>Emergency Department</t>
        </is>
      </c>
      <c r="G1307" s="32" t="n">
        <v>45896.61875</v>
      </c>
      <c r="H1307" s="32" t="n">
        <v>45898.55694444444</v>
      </c>
      <c r="I1307" t="inlineStr">
        <is>
          <t>E11.65</t>
        </is>
      </c>
      <c r="J1307" t="inlineStr">
        <is>
          <t>PY01</t>
        </is>
      </c>
      <c r="K1307" s="33" t="n">
        <v>17008.45</v>
      </c>
      <c r="L1307" s="34" t="n"/>
    </row>
    <row r="1308">
      <c r="A1308" t="inlineStr">
        <is>
          <t>ENC117990</t>
        </is>
      </c>
      <c r="B1308" t="inlineStr">
        <is>
          <t>PT10861</t>
        </is>
      </c>
      <c r="C1308" t="inlineStr">
        <is>
          <t>Outpatient</t>
        </is>
      </c>
      <c r="D1308" t="inlineStr">
        <is>
          <t>F04</t>
        </is>
      </c>
      <c r="E1308" t="inlineStr">
        <is>
          <t>D400</t>
        </is>
      </c>
      <c r="G1308" s="32" t="n">
        <v>45896.67708333334</v>
      </c>
      <c r="H1308" s="32" t="n">
        <v>45896.69583333333</v>
      </c>
      <c r="I1308" t="inlineStr">
        <is>
          <t>I10</t>
        </is>
      </c>
      <c r="J1308" t="inlineStr">
        <is>
          <t>PY06</t>
        </is>
      </c>
      <c r="K1308" s="33" t="n">
        <v>338.9</v>
      </c>
      <c r="L1308" s="34" t="n"/>
    </row>
    <row r="1309">
      <c r="A1309" t="inlineStr">
        <is>
          <t>ENC117996</t>
        </is>
      </c>
      <c r="B1309" t="inlineStr">
        <is>
          <t>PT10930</t>
        </is>
      </c>
      <c r="C1309" t="inlineStr">
        <is>
          <t>Inpatient</t>
        </is>
      </c>
      <c r="D1309" t="inlineStr">
        <is>
          <t>F02</t>
        </is>
      </c>
      <c r="E1309" t="inlineStr">
        <is>
          <t>D270</t>
        </is>
      </c>
      <c r="F1309" t="inlineStr">
        <is>
          <t>Direct Admit</t>
        </is>
      </c>
      <c r="G1309" s="32" t="n">
        <v>45897.35972222222</v>
      </c>
      <c r="H1309" s="32" t="n">
        <v>45900.43680555555</v>
      </c>
      <c r="I1309" t="inlineStr">
        <is>
          <t>O82</t>
        </is>
      </c>
      <c r="J1309" t="inlineStr">
        <is>
          <t>PY04</t>
        </is>
      </c>
      <c r="K1309" s="33" t="n">
        <v>29735.74</v>
      </c>
      <c r="L1309" s="34" t="n"/>
    </row>
    <row r="1310">
      <c r="A1310" t="inlineStr">
        <is>
          <t>ENC118001</t>
        </is>
      </c>
      <c r="B1310" t="inlineStr">
        <is>
          <t>PT12861</t>
        </is>
      </c>
      <c r="C1310" t="inlineStr">
        <is>
          <t>Outpatient</t>
        </is>
      </c>
      <c r="D1310" t="inlineStr">
        <is>
          <t>F04</t>
        </is>
      </c>
      <c r="E1310" t="inlineStr">
        <is>
          <t>D400</t>
        </is>
      </c>
      <c r="G1310" s="32" t="n">
        <v>45897.45833333334</v>
      </c>
      <c r="H1310" s="32" t="n">
        <v>45897.49236111111</v>
      </c>
      <c r="I1310" t="inlineStr">
        <is>
          <t>I10</t>
        </is>
      </c>
      <c r="J1310" t="inlineStr">
        <is>
          <t>PY05</t>
        </is>
      </c>
      <c r="K1310" s="33" t="n">
        <v>374.08</v>
      </c>
      <c r="L1310" s="34" t="n"/>
    </row>
    <row r="1311">
      <c r="A1311" t="inlineStr">
        <is>
          <t>ENC118007</t>
        </is>
      </c>
      <c r="B1311" t="inlineStr">
        <is>
          <t>PT11122</t>
        </is>
      </c>
      <c r="C1311" t="inlineStr">
        <is>
          <t>Outpatient</t>
        </is>
      </c>
      <c r="D1311" t="inlineStr">
        <is>
          <t>F04</t>
        </is>
      </c>
      <c r="E1311" t="inlineStr">
        <is>
          <t>D400</t>
        </is>
      </c>
      <c r="G1311" s="32" t="n">
        <v>45897.55208333334</v>
      </c>
      <c r="H1311" s="32" t="n">
        <v>45897.56666666667</v>
      </c>
      <c r="I1311" t="inlineStr">
        <is>
          <t>Z00.00</t>
        </is>
      </c>
      <c r="J1311" t="inlineStr">
        <is>
          <t>PY06</t>
        </is>
      </c>
      <c r="K1311" s="33" t="n">
        <v>171.82</v>
      </c>
      <c r="L1311" s="34" t="n"/>
    </row>
    <row r="1312">
      <c r="A1312" t="inlineStr">
        <is>
          <t>ENC118012</t>
        </is>
      </c>
      <c r="B1312" t="inlineStr">
        <is>
          <t>PT10364</t>
        </is>
      </c>
      <c r="C1312" t="inlineStr">
        <is>
          <t>Outpatient</t>
        </is>
      </c>
      <c r="D1312" t="inlineStr">
        <is>
          <t>F04</t>
        </is>
      </c>
      <c r="E1312" t="inlineStr">
        <is>
          <t>D410</t>
        </is>
      </c>
      <c r="G1312" s="32" t="n">
        <v>45897.64583333334</v>
      </c>
      <c r="H1312" s="32" t="n">
        <v>45897.65972222222</v>
      </c>
      <c r="I1312" t="inlineStr">
        <is>
          <t>I48.91</t>
        </is>
      </c>
      <c r="J1312" t="inlineStr">
        <is>
          <t>PY01</t>
        </is>
      </c>
      <c r="K1312" s="33" t="n">
        <v>446.17</v>
      </c>
      <c r="L1312" s="34" t="n"/>
    </row>
    <row r="1313">
      <c r="A1313" t="inlineStr">
        <is>
          <t>ENC118020</t>
        </is>
      </c>
      <c r="B1313" t="inlineStr">
        <is>
          <t>PT13798</t>
        </is>
      </c>
      <c r="C1313" t="inlineStr">
        <is>
          <t>Inpatient</t>
        </is>
      </c>
      <c r="D1313" t="inlineStr">
        <is>
          <t>F01</t>
        </is>
      </c>
      <c r="E1313" t="inlineStr">
        <is>
          <t>D190</t>
        </is>
      </c>
      <c r="F1313" t="inlineStr">
        <is>
          <t>Direct Admit</t>
        </is>
      </c>
      <c r="G1313" s="32" t="n">
        <v>45897.84027777778</v>
      </c>
      <c r="H1313" s="32" t="n">
        <v>45906.42083333333</v>
      </c>
      <c r="I1313" t="inlineStr">
        <is>
          <t>F20.9</t>
        </is>
      </c>
      <c r="J1313" t="inlineStr">
        <is>
          <t>PY05</t>
        </is>
      </c>
      <c r="K1313" s="33" t="n">
        <v>23017.76</v>
      </c>
      <c r="L1313" s="34" t="n"/>
    </row>
    <row r="1314">
      <c r="A1314" t="inlineStr">
        <is>
          <t>ENC118024</t>
        </is>
      </c>
      <c r="B1314" t="inlineStr">
        <is>
          <t>PT12150</t>
        </is>
      </c>
      <c r="C1314" t="inlineStr">
        <is>
          <t>Inpatient</t>
        </is>
      </c>
      <c r="D1314" t="inlineStr">
        <is>
          <t>F01</t>
        </is>
      </c>
      <c r="E1314" t="inlineStr">
        <is>
          <t>D111</t>
        </is>
      </c>
      <c r="F1314" t="inlineStr">
        <is>
          <t>Elective</t>
        </is>
      </c>
      <c r="G1314" s="32" t="n">
        <v>45898.19722222222</v>
      </c>
      <c r="H1314" s="32" t="n">
        <v>45899.56111111111</v>
      </c>
      <c r="I1314" t="inlineStr">
        <is>
          <t>K80.20</t>
        </is>
      </c>
      <c r="J1314" t="inlineStr">
        <is>
          <t>PY04</t>
        </is>
      </c>
      <c r="K1314" s="33" t="n">
        <v>30422.46</v>
      </c>
      <c r="L1314" s="34" t="n"/>
    </row>
    <row r="1315">
      <c r="A1315" t="inlineStr">
        <is>
          <t>ENC118030</t>
        </is>
      </c>
      <c r="B1315" t="inlineStr">
        <is>
          <t>PT13874</t>
        </is>
      </c>
      <c r="C1315" t="inlineStr">
        <is>
          <t>Outpatient</t>
        </is>
      </c>
      <c r="D1315" t="inlineStr">
        <is>
          <t>F04</t>
        </is>
      </c>
      <c r="E1315" t="inlineStr">
        <is>
          <t>D440</t>
        </is>
      </c>
      <c r="G1315" s="32" t="n">
        <v>45898.47916666666</v>
      </c>
      <c r="H1315" s="32" t="n">
        <v>45898.51736111111</v>
      </c>
      <c r="I1315" t="inlineStr">
        <is>
          <t>E11.65</t>
        </is>
      </c>
      <c r="J1315" t="inlineStr">
        <is>
          <t>PY01</t>
        </is>
      </c>
      <c r="K1315" s="33" t="n">
        <v>144.95</v>
      </c>
      <c r="L1315" s="34" t="n"/>
    </row>
    <row r="1316">
      <c r="A1316" t="inlineStr">
        <is>
          <t>ENC118037</t>
        </is>
      </c>
      <c r="B1316" t="inlineStr">
        <is>
          <t>PT13650</t>
        </is>
      </c>
      <c r="C1316" t="inlineStr">
        <is>
          <t>Outpatient</t>
        </is>
      </c>
      <c r="D1316" t="inlineStr">
        <is>
          <t>F04</t>
        </is>
      </c>
      <c r="E1316" t="inlineStr">
        <is>
          <t>D450</t>
        </is>
      </c>
      <c r="G1316" s="32" t="n">
        <v>45898.54166666666</v>
      </c>
      <c r="H1316" s="32" t="n">
        <v>45898.57222222222</v>
      </c>
      <c r="I1316" t="inlineStr">
        <is>
          <t>Z00.129</t>
        </is>
      </c>
      <c r="J1316" t="inlineStr">
        <is>
          <t>PY04</t>
        </is>
      </c>
      <c r="K1316" s="33" t="n">
        <v>363.7</v>
      </c>
      <c r="L1316" s="34" t="n"/>
    </row>
    <row r="1317">
      <c r="A1317" t="inlineStr">
        <is>
          <t>ENC118041</t>
        </is>
      </c>
      <c r="B1317" t="inlineStr">
        <is>
          <t>PT12672</t>
        </is>
      </c>
      <c r="C1317" t="inlineStr">
        <is>
          <t>Outpatient</t>
        </is>
      </c>
      <c r="D1317" t="inlineStr">
        <is>
          <t>F04</t>
        </is>
      </c>
      <c r="E1317" t="inlineStr">
        <is>
          <t>D430</t>
        </is>
      </c>
      <c r="G1317" s="32" t="n">
        <v>45898.58333333334</v>
      </c>
      <c r="H1317" s="32" t="n">
        <v>45898.60416666666</v>
      </c>
      <c r="I1317" t="inlineStr">
        <is>
          <t>C50.911</t>
        </is>
      </c>
      <c r="J1317" t="inlineStr">
        <is>
          <t>PY01</t>
        </is>
      </c>
      <c r="K1317" s="33" t="n">
        <v>577.85</v>
      </c>
      <c r="L1317" s="34" t="n"/>
    </row>
    <row r="1318">
      <c r="A1318" t="inlineStr">
        <is>
          <t>ENC118049</t>
        </is>
      </c>
      <c r="B1318" t="inlineStr">
        <is>
          <t>PT11884</t>
        </is>
      </c>
      <c r="C1318" t="inlineStr">
        <is>
          <t>Outpatient</t>
        </is>
      </c>
      <c r="D1318" t="inlineStr">
        <is>
          <t>F04</t>
        </is>
      </c>
      <c r="E1318" t="inlineStr">
        <is>
          <t>D400</t>
        </is>
      </c>
      <c r="G1318" s="32" t="n">
        <v>45898.67708333334</v>
      </c>
      <c r="H1318" s="32" t="n">
        <v>45898.68819444445</v>
      </c>
      <c r="I1318" t="inlineStr">
        <is>
          <t>I10</t>
        </is>
      </c>
      <c r="J1318" t="inlineStr">
        <is>
          <t>PY02</t>
        </is>
      </c>
      <c r="K1318" s="33" t="n">
        <v>252.9</v>
      </c>
      <c r="L1318" s="34" t="n"/>
    </row>
    <row r="1319">
      <c r="A1319" t="inlineStr">
        <is>
          <t>ENC118051</t>
        </is>
      </c>
      <c r="B1319" t="inlineStr">
        <is>
          <t>PT11844</t>
        </is>
      </c>
      <c r="C1319" t="inlineStr">
        <is>
          <t>Emergency</t>
        </is>
      </c>
      <c r="D1319" t="inlineStr">
        <is>
          <t>F01</t>
        </is>
      </c>
      <c r="E1319" t="inlineStr">
        <is>
          <t>D100</t>
        </is>
      </c>
      <c r="G1319" s="32" t="n">
        <v>45898.81805555556</v>
      </c>
      <c r="H1319" s="32" t="n">
        <v>45898.92777777778</v>
      </c>
      <c r="I1319" t="inlineStr">
        <is>
          <t>I10</t>
        </is>
      </c>
      <c r="J1319" t="inlineStr">
        <is>
          <t>PY03</t>
        </is>
      </c>
      <c r="K1319" s="33" t="n">
        <v>1584.69</v>
      </c>
      <c r="L1319" s="34" t="n"/>
    </row>
    <row r="1320">
      <c r="A1320" t="inlineStr">
        <is>
          <t>ENC118057</t>
        </is>
      </c>
      <c r="B1320" t="inlineStr">
        <is>
          <t>PT11305</t>
        </is>
      </c>
      <c r="C1320" t="inlineStr">
        <is>
          <t>Emergency</t>
        </is>
      </c>
      <c r="D1320" t="inlineStr">
        <is>
          <t>F01</t>
        </is>
      </c>
      <c r="E1320" t="inlineStr">
        <is>
          <t>D100</t>
        </is>
      </c>
      <c r="G1320" s="32" t="n">
        <v>45899.64861111111</v>
      </c>
      <c r="H1320" s="32" t="n">
        <v>45899.76736111111</v>
      </c>
      <c r="I1320" t="inlineStr">
        <is>
          <t>R10.9</t>
        </is>
      </c>
      <c r="J1320" t="inlineStr">
        <is>
          <t>PY01</t>
        </is>
      </c>
      <c r="K1320" s="33" t="n">
        <v>2624.36</v>
      </c>
      <c r="L1320" s="34" t="n"/>
    </row>
    <row r="1321">
      <c r="A1321" t="inlineStr">
        <is>
          <t>ENC118063</t>
        </is>
      </c>
      <c r="B1321" t="inlineStr">
        <is>
          <t>PT10965</t>
        </is>
      </c>
      <c r="C1321" t="inlineStr">
        <is>
          <t>Inpatient</t>
        </is>
      </c>
      <c r="D1321" t="inlineStr">
        <is>
          <t>F01</t>
        </is>
      </c>
      <c r="E1321" t="inlineStr">
        <is>
          <t>D110</t>
        </is>
      </c>
      <c r="F1321" t="inlineStr">
        <is>
          <t>Emergency Department</t>
        </is>
      </c>
      <c r="G1321" s="32" t="n">
        <v>45899.83888888889</v>
      </c>
      <c r="H1321" s="32" t="n">
        <v>45903.56041666667</v>
      </c>
      <c r="I1321" t="inlineStr">
        <is>
          <t>E87.1</t>
        </is>
      </c>
      <c r="J1321" t="inlineStr">
        <is>
          <t>PY02</t>
        </is>
      </c>
      <c r="K1321" s="33" t="n">
        <v>14883.02</v>
      </c>
      <c r="L1321" s="34" t="n"/>
    </row>
    <row r="1322">
      <c r="A1322" t="inlineStr">
        <is>
          <t>ENC118068</t>
        </is>
      </c>
      <c r="B1322" t="inlineStr">
        <is>
          <t>PT13090</t>
        </is>
      </c>
      <c r="C1322" t="inlineStr">
        <is>
          <t>Inpatient</t>
        </is>
      </c>
      <c r="D1322" t="inlineStr">
        <is>
          <t>F03</t>
        </is>
      </c>
      <c r="E1322" t="inlineStr">
        <is>
          <t>D310</t>
        </is>
      </c>
      <c r="F1322" t="inlineStr">
        <is>
          <t>Emergency Department</t>
        </is>
      </c>
      <c r="G1322" s="32" t="n">
        <v>45900.13958333333</v>
      </c>
      <c r="H1322" s="32" t="n">
        <v>45904.51111111111</v>
      </c>
      <c r="I1322" t="inlineStr">
        <is>
          <t>N17.9</t>
        </is>
      </c>
      <c r="J1322" t="inlineStr">
        <is>
          <t>PY01</t>
        </is>
      </c>
      <c r="K1322" s="33" t="n">
        <v>14178.47</v>
      </c>
      <c r="L1322" s="34" t="n"/>
    </row>
    <row r="1323">
      <c r="A1323" t="inlineStr">
        <is>
          <t>ENC118075</t>
        </is>
      </c>
      <c r="B1323" t="inlineStr">
        <is>
          <t>PT13148</t>
        </is>
      </c>
      <c r="C1323" t="inlineStr">
        <is>
          <t>Inpatient</t>
        </is>
      </c>
      <c r="D1323" t="inlineStr">
        <is>
          <t>F01</t>
        </is>
      </c>
      <c r="E1323" t="inlineStr">
        <is>
          <t>D170</t>
        </is>
      </c>
      <c r="F1323" t="inlineStr">
        <is>
          <t>Direct Admit</t>
        </is>
      </c>
      <c r="G1323" s="32" t="n">
        <v>45900.71041666667</v>
      </c>
      <c r="H1323" s="32" t="n">
        <v>45904.59027777778</v>
      </c>
      <c r="I1323" t="inlineStr">
        <is>
          <t>O82</t>
        </is>
      </c>
      <c r="J1323" t="inlineStr">
        <is>
          <t>PY03</t>
        </is>
      </c>
      <c r="K1323" s="33" t="n">
        <v>35441.02</v>
      </c>
      <c r="L1323" s="34" t="n"/>
    </row>
    <row r="1324">
      <c r="A1324" t="inlineStr">
        <is>
          <t>ENC118079</t>
        </is>
      </c>
      <c r="B1324" t="inlineStr">
        <is>
          <t>PT10943</t>
        </is>
      </c>
      <c r="C1324" t="inlineStr">
        <is>
          <t>Inpatient</t>
        </is>
      </c>
      <c r="D1324" t="inlineStr">
        <is>
          <t>F03</t>
        </is>
      </c>
      <c r="E1324" t="inlineStr">
        <is>
          <t>D330</t>
        </is>
      </c>
      <c r="F1324" t="inlineStr">
        <is>
          <t>Direct Admit</t>
        </is>
      </c>
      <c r="G1324" s="32" t="n">
        <v>45900.79375</v>
      </c>
      <c r="H1324" s="32" t="n">
        <v>45907.44583333333</v>
      </c>
      <c r="I1324" t="inlineStr">
        <is>
          <t>A41.9</t>
        </is>
      </c>
      <c r="J1324" t="inlineStr">
        <is>
          <t>PY02</t>
        </is>
      </c>
      <c r="K1324" s="33" t="n">
        <v>48239.36</v>
      </c>
      <c r="L1324" s="34" t="n"/>
    </row>
    <row r="1325">
      <c r="A1325" t="inlineStr">
        <is>
          <t>ENC118086</t>
        </is>
      </c>
      <c r="B1325" t="inlineStr">
        <is>
          <t>PT13660</t>
        </is>
      </c>
      <c r="C1325" t="inlineStr">
        <is>
          <t>Emergency</t>
        </is>
      </c>
      <c r="D1325" t="inlineStr">
        <is>
          <t>F03</t>
        </is>
      </c>
      <c r="E1325" t="inlineStr">
        <is>
          <t>D300</t>
        </is>
      </c>
      <c r="G1325" s="32" t="n">
        <v>45901.14861111111</v>
      </c>
      <c r="H1325" s="32" t="n">
        <v>45901.20416666667</v>
      </c>
      <c r="I1325" t="inlineStr">
        <is>
          <t>E86.0</t>
        </is>
      </c>
      <c r="J1325" t="inlineStr">
        <is>
          <t>PY04</t>
        </is>
      </c>
      <c r="K1325" s="33" t="n">
        <v>865.33</v>
      </c>
      <c r="L1325" s="34" t="n"/>
    </row>
    <row r="1326">
      <c r="A1326" t="inlineStr">
        <is>
          <t>ENC118090</t>
        </is>
      </c>
      <c r="B1326" t="inlineStr">
        <is>
          <t>PT13043</t>
        </is>
      </c>
      <c r="C1326" t="inlineStr">
        <is>
          <t>Outpatient</t>
        </is>
      </c>
      <c r="D1326" t="inlineStr">
        <is>
          <t>F04</t>
        </is>
      </c>
      <c r="E1326" t="inlineStr">
        <is>
          <t>D400</t>
        </is>
      </c>
      <c r="G1326" s="32" t="n">
        <v>45901.36458333334</v>
      </c>
      <c r="H1326" s="32" t="n">
        <v>45901.38611111111</v>
      </c>
      <c r="I1326" t="inlineStr">
        <is>
          <t>N39.0</t>
        </is>
      </c>
      <c r="J1326" t="inlineStr">
        <is>
          <t>PY01</t>
        </is>
      </c>
      <c r="K1326" s="33" t="n">
        <v>431.92</v>
      </c>
      <c r="L1326" s="34" t="n"/>
    </row>
    <row r="1327">
      <c r="A1327" t="inlineStr">
        <is>
          <t>ENC118097</t>
        </is>
      </c>
      <c r="B1327" t="inlineStr">
        <is>
          <t>PT13462</t>
        </is>
      </c>
      <c r="C1327" t="inlineStr">
        <is>
          <t>Outpatient</t>
        </is>
      </c>
      <c r="D1327" t="inlineStr">
        <is>
          <t>F04</t>
        </is>
      </c>
      <c r="E1327" t="inlineStr">
        <is>
          <t>D450</t>
        </is>
      </c>
      <c r="G1327" s="32" t="n">
        <v>45901.42708333334</v>
      </c>
      <c r="H1327" s="32" t="n">
        <v>45901.44861111111</v>
      </c>
      <c r="I1327" t="inlineStr">
        <is>
          <t>Z00.129</t>
        </is>
      </c>
      <c r="J1327" t="inlineStr">
        <is>
          <t>PY03</t>
        </is>
      </c>
      <c r="K1327" s="33" t="n">
        <v>376.06</v>
      </c>
      <c r="L1327" s="34" t="n"/>
    </row>
    <row r="1328">
      <c r="A1328" t="inlineStr">
        <is>
          <t>ENC118104</t>
        </is>
      </c>
      <c r="B1328" t="inlineStr">
        <is>
          <t>PT12457</t>
        </is>
      </c>
      <c r="C1328" t="inlineStr">
        <is>
          <t>Emergency</t>
        </is>
      </c>
      <c r="D1328" t="inlineStr">
        <is>
          <t>F01</t>
        </is>
      </c>
      <c r="E1328" t="inlineStr">
        <is>
          <t>D100</t>
        </is>
      </c>
      <c r="G1328" s="32" t="n">
        <v>45901.51319444444</v>
      </c>
      <c r="H1328" s="32" t="n">
        <v>45901.65208333333</v>
      </c>
      <c r="I1328" t="inlineStr">
        <is>
          <t>F41.9</t>
        </is>
      </c>
      <c r="J1328" t="inlineStr">
        <is>
          <t>PY03</t>
        </is>
      </c>
      <c r="K1328" s="33" t="n">
        <v>857.72</v>
      </c>
      <c r="L1328" s="34" t="n"/>
    </row>
    <row r="1329">
      <c r="A1329" t="inlineStr">
        <is>
          <t>ENC118093</t>
        </is>
      </c>
      <c r="B1329" t="inlineStr">
        <is>
          <t>PT12958</t>
        </is>
      </c>
      <c r="C1329" t="inlineStr">
        <is>
          <t>Inpatient</t>
        </is>
      </c>
      <c r="D1329" t="inlineStr">
        <is>
          <t>F01</t>
        </is>
      </c>
      <c r="E1329" t="inlineStr">
        <is>
          <t>D120</t>
        </is>
      </c>
      <c r="F1329" t="inlineStr">
        <is>
          <t>Emergency Department</t>
        </is>
      </c>
      <c r="G1329" s="32" t="n">
        <v>45901.60138888889</v>
      </c>
      <c r="H1329" s="32" t="n">
        <v>45904.50833333333</v>
      </c>
      <c r="I1329" t="inlineStr">
        <is>
          <t>I48.91</t>
        </is>
      </c>
      <c r="J1329" t="inlineStr">
        <is>
          <t>PY02</t>
        </is>
      </c>
      <c r="K1329" s="33" t="n">
        <v>19004.38</v>
      </c>
      <c r="L1329" s="34" t="n"/>
    </row>
    <row r="1330">
      <c r="A1330" t="inlineStr">
        <is>
          <t>ENC118114</t>
        </is>
      </c>
      <c r="B1330" t="inlineStr">
        <is>
          <t>PT11447</t>
        </is>
      </c>
      <c r="C1330" t="inlineStr">
        <is>
          <t>Emergency</t>
        </is>
      </c>
      <c r="D1330" t="inlineStr">
        <is>
          <t>F01</t>
        </is>
      </c>
      <c r="E1330" t="inlineStr">
        <is>
          <t>D100</t>
        </is>
      </c>
      <c r="G1330" s="32" t="n">
        <v>45901.69444444445</v>
      </c>
      <c r="H1330" s="32" t="n">
        <v>45901.80555555555</v>
      </c>
      <c r="I1330" t="inlineStr">
        <is>
          <t>N39.0</t>
        </is>
      </c>
      <c r="J1330" t="inlineStr">
        <is>
          <t>PY06</t>
        </is>
      </c>
      <c r="K1330" s="33" t="n">
        <v>1330.66</v>
      </c>
      <c r="L1330" s="34" t="n"/>
    </row>
    <row r="1331">
      <c r="A1331" t="inlineStr">
        <is>
          <t>ENC118118</t>
        </is>
      </c>
      <c r="B1331" t="inlineStr">
        <is>
          <t>PT11984</t>
        </is>
      </c>
      <c r="C1331" t="inlineStr">
        <is>
          <t>Emergency</t>
        </is>
      </c>
      <c r="D1331" t="inlineStr">
        <is>
          <t>F01</t>
        </is>
      </c>
      <c r="E1331" t="inlineStr">
        <is>
          <t>D100</t>
        </is>
      </c>
      <c r="G1331" s="32" t="n">
        <v>45901.775</v>
      </c>
      <c r="H1331" s="32" t="n">
        <v>45901.92986111111</v>
      </c>
      <c r="I1331" t="inlineStr">
        <is>
          <t>J45.909</t>
        </is>
      </c>
      <c r="J1331" t="inlineStr">
        <is>
          <t>PY04</t>
        </is>
      </c>
      <c r="K1331" s="33" t="n">
        <v>4462.76</v>
      </c>
      <c r="L1331" s="34" t="n"/>
    </row>
    <row r="1332">
      <c r="A1332" t="inlineStr">
        <is>
          <t>ENC118124</t>
        </is>
      </c>
      <c r="B1332" t="inlineStr">
        <is>
          <t>PT10949</t>
        </is>
      </c>
      <c r="C1332" t="inlineStr">
        <is>
          <t>Emergency</t>
        </is>
      </c>
      <c r="D1332" t="inlineStr">
        <is>
          <t>F03</t>
        </is>
      </c>
      <c r="E1332" t="inlineStr">
        <is>
          <t>D300</t>
        </is>
      </c>
      <c r="G1332" s="32" t="n">
        <v>45901.89513888889</v>
      </c>
      <c r="H1332" s="32" t="n">
        <v>45902.10208333333</v>
      </c>
      <c r="I1332" t="inlineStr">
        <is>
          <t>N39.0</t>
        </is>
      </c>
      <c r="J1332" t="inlineStr">
        <is>
          <t>PY01</t>
        </is>
      </c>
      <c r="K1332" s="33" t="n">
        <v>2943.94</v>
      </c>
      <c r="L1332" s="34" t="n"/>
    </row>
    <row r="1333">
      <c r="A1333" t="inlineStr">
        <is>
          <t>ENC118129</t>
        </is>
      </c>
      <c r="B1333" t="inlineStr">
        <is>
          <t>PT13473</t>
        </is>
      </c>
      <c r="C1333" t="inlineStr">
        <is>
          <t>Inpatient</t>
        </is>
      </c>
      <c r="D1333" t="inlineStr">
        <is>
          <t>F03</t>
        </is>
      </c>
      <c r="E1333" t="inlineStr">
        <is>
          <t>D310</t>
        </is>
      </c>
      <c r="F1333" t="inlineStr">
        <is>
          <t>Transfer</t>
        </is>
      </c>
      <c r="G1333" s="32" t="n">
        <v>45902.08888888889</v>
      </c>
      <c r="H1333" s="32" t="n">
        <v>45905.56319444445</v>
      </c>
      <c r="I1333" t="inlineStr">
        <is>
          <t>N39.0</t>
        </is>
      </c>
      <c r="J1333" t="inlineStr">
        <is>
          <t>PY05</t>
        </is>
      </c>
      <c r="K1333" s="33" t="n">
        <v>16642.86</v>
      </c>
      <c r="L1333" s="34" t="n"/>
    </row>
    <row r="1334">
      <c r="A1334" t="inlineStr">
        <is>
          <t>ENC118136</t>
        </is>
      </c>
      <c r="B1334" t="inlineStr">
        <is>
          <t>PT11588</t>
        </is>
      </c>
      <c r="C1334" t="inlineStr">
        <is>
          <t>Outpatient</t>
        </is>
      </c>
      <c r="D1334" t="inlineStr">
        <is>
          <t>F04</t>
        </is>
      </c>
      <c r="E1334" t="inlineStr">
        <is>
          <t>D400</t>
        </is>
      </c>
      <c r="G1334" s="32" t="n">
        <v>45902.4375</v>
      </c>
      <c r="H1334" s="32" t="n">
        <v>45902.46180555555</v>
      </c>
      <c r="I1334" t="inlineStr">
        <is>
          <t>J44.1</t>
        </is>
      </c>
      <c r="J1334" t="inlineStr">
        <is>
          <t>PY05</t>
        </is>
      </c>
      <c r="K1334" s="33" t="n">
        <v>183.7</v>
      </c>
      <c r="L1334" s="34" t="n"/>
    </row>
    <row r="1335">
      <c r="A1335" t="inlineStr">
        <is>
          <t>ENC118142</t>
        </is>
      </c>
      <c r="B1335" t="inlineStr">
        <is>
          <t>PT11209</t>
        </is>
      </c>
      <c r="C1335" t="inlineStr">
        <is>
          <t>Outpatient</t>
        </is>
      </c>
      <c r="D1335" t="inlineStr">
        <is>
          <t>F04</t>
        </is>
      </c>
      <c r="E1335" t="inlineStr">
        <is>
          <t>D440</t>
        </is>
      </c>
      <c r="G1335" s="32" t="n">
        <v>45902.54166666666</v>
      </c>
      <c r="H1335" s="32" t="n">
        <v>45902.57152777778</v>
      </c>
      <c r="I1335" t="inlineStr">
        <is>
          <t>E11.9</t>
        </is>
      </c>
      <c r="J1335" t="inlineStr">
        <is>
          <t>PY01</t>
        </is>
      </c>
      <c r="K1335" s="33" t="n">
        <v>241.19</v>
      </c>
      <c r="L1335" s="34" t="n"/>
    </row>
    <row r="1336">
      <c r="A1336" t="inlineStr">
        <is>
          <t>ENC118137</t>
        </is>
      </c>
      <c r="B1336" t="inlineStr">
        <is>
          <t>PT13835</t>
        </is>
      </c>
      <c r="C1336" t="inlineStr">
        <is>
          <t>Inpatient</t>
        </is>
      </c>
      <c r="D1336" t="inlineStr">
        <is>
          <t>F01</t>
        </is>
      </c>
      <c r="E1336" t="inlineStr">
        <is>
          <t>D110</t>
        </is>
      </c>
      <c r="F1336" t="inlineStr">
        <is>
          <t>Emergency Department</t>
        </is>
      </c>
      <c r="G1336" s="32" t="n">
        <v>45902.59722222222</v>
      </c>
      <c r="H1336" s="32" t="n">
        <v>45905.49930555555</v>
      </c>
      <c r="I1336" t="inlineStr">
        <is>
          <t>J44.1</t>
        </is>
      </c>
      <c r="J1336" t="inlineStr">
        <is>
          <t>PY01</t>
        </is>
      </c>
      <c r="K1336" s="33" t="n">
        <v>16231.2</v>
      </c>
      <c r="L1336" s="34" t="n"/>
    </row>
    <row r="1337">
      <c r="A1337" t="inlineStr">
        <is>
          <t>ENC118152</t>
        </is>
      </c>
      <c r="B1337" t="inlineStr">
        <is>
          <t>PT12773</t>
        </is>
      </c>
      <c r="C1337" t="inlineStr">
        <is>
          <t>Emergency</t>
        </is>
      </c>
      <c r="D1337" t="inlineStr">
        <is>
          <t>F01</t>
        </is>
      </c>
      <c r="E1337" t="inlineStr">
        <is>
          <t>D100</t>
        </is>
      </c>
      <c r="G1337" s="32" t="n">
        <v>45902.87152777778</v>
      </c>
      <c r="H1337" s="32" t="n">
        <v>45903.01111111111</v>
      </c>
      <c r="I1337" t="inlineStr">
        <is>
          <t>U07.1</t>
        </is>
      </c>
      <c r="J1337" t="inlineStr">
        <is>
          <t>PY05</t>
        </is>
      </c>
      <c r="K1337" s="33" t="n">
        <v>2860.21</v>
      </c>
      <c r="L1337" s="34" t="n"/>
    </row>
    <row r="1338">
      <c r="A1338" t="inlineStr">
        <is>
          <t>ENC118159</t>
        </is>
      </c>
      <c r="B1338" t="inlineStr">
        <is>
          <t>PT13405</t>
        </is>
      </c>
      <c r="C1338" t="inlineStr">
        <is>
          <t>Outpatient</t>
        </is>
      </c>
      <c r="D1338" t="inlineStr">
        <is>
          <t>F04</t>
        </is>
      </c>
      <c r="E1338" t="inlineStr">
        <is>
          <t>D400</t>
        </is>
      </c>
      <c r="G1338" s="32" t="n">
        <v>45903.375</v>
      </c>
      <c r="H1338" s="32" t="n">
        <v>45903.39652777778</v>
      </c>
      <c r="I1338" t="inlineStr">
        <is>
          <t>I10</t>
        </is>
      </c>
      <c r="J1338" t="inlineStr">
        <is>
          <t>PY04</t>
        </is>
      </c>
      <c r="K1338" s="33" t="n">
        <v>323.1</v>
      </c>
      <c r="L1338" s="34" t="n"/>
    </row>
    <row r="1339">
      <c r="A1339" t="inlineStr">
        <is>
          <t>ENC118164</t>
        </is>
      </c>
      <c r="B1339" t="inlineStr">
        <is>
          <t>PT10431</t>
        </is>
      </c>
      <c r="C1339" t="inlineStr">
        <is>
          <t>Inpatient</t>
        </is>
      </c>
      <c r="D1339" t="inlineStr">
        <is>
          <t>F01</t>
        </is>
      </c>
      <c r="E1339" t="inlineStr">
        <is>
          <t>D150</t>
        </is>
      </c>
      <c r="F1339" t="inlineStr">
        <is>
          <t>Direct Admit</t>
        </is>
      </c>
      <c r="G1339" s="32" t="n">
        <v>45903.48472222222</v>
      </c>
      <c r="H1339" s="32" t="n">
        <v>45908.56527777778</v>
      </c>
      <c r="I1339" t="inlineStr">
        <is>
          <t>C34.90</t>
        </is>
      </c>
      <c r="J1339" t="inlineStr">
        <is>
          <t>PY01</t>
        </is>
      </c>
      <c r="K1339" s="33" t="n">
        <v>31227.91</v>
      </c>
      <c r="L1339" s="34" t="n"/>
    </row>
    <row r="1340">
      <c r="A1340" t="inlineStr">
        <is>
          <t>ENC118171</t>
        </is>
      </c>
      <c r="B1340" t="inlineStr">
        <is>
          <t>PT10403</t>
        </is>
      </c>
      <c r="C1340" t="inlineStr">
        <is>
          <t>Emergency</t>
        </is>
      </c>
      <c r="D1340" t="inlineStr">
        <is>
          <t>F02</t>
        </is>
      </c>
      <c r="E1340" t="inlineStr">
        <is>
          <t>D200</t>
        </is>
      </c>
      <c r="G1340" s="32" t="n">
        <v>45903.56666666667</v>
      </c>
      <c r="H1340" s="32" t="n">
        <v>45903.65694444445</v>
      </c>
      <c r="I1340" t="inlineStr">
        <is>
          <t>K80.20</t>
        </is>
      </c>
      <c r="J1340" t="inlineStr">
        <is>
          <t>PY01</t>
        </is>
      </c>
      <c r="K1340" s="33" t="n">
        <v>1668.08</v>
      </c>
      <c r="L1340" s="34" t="n"/>
    </row>
    <row r="1341">
      <c r="A1341" t="inlineStr">
        <is>
          <t>ENC118179</t>
        </is>
      </c>
      <c r="B1341" t="inlineStr">
        <is>
          <t>PT12615</t>
        </is>
      </c>
      <c r="C1341" t="inlineStr">
        <is>
          <t>Outpatient</t>
        </is>
      </c>
      <c r="D1341" t="inlineStr">
        <is>
          <t>F04</t>
        </is>
      </c>
      <c r="E1341" t="inlineStr">
        <is>
          <t>D430</t>
        </is>
      </c>
      <c r="G1341" s="32" t="n">
        <v>45903.64583333334</v>
      </c>
      <c r="H1341" s="32" t="n">
        <v>45903.86041666667</v>
      </c>
      <c r="I1341" t="inlineStr">
        <is>
          <t>Z51.11</t>
        </is>
      </c>
      <c r="J1341" t="inlineStr">
        <is>
          <t>PY03</t>
        </is>
      </c>
      <c r="K1341" s="33" t="n">
        <v>16292.81</v>
      </c>
      <c r="L1341" s="34" t="n"/>
    </row>
    <row r="1342">
      <c r="A1342" t="inlineStr">
        <is>
          <t>ENC118168</t>
        </is>
      </c>
      <c r="B1342" t="inlineStr">
        <is>
          <t>PT12739</t>
        </is>
      </c>
      <c r="C1342" t="inlineStr">
        <is>
          <t>Inpatient</t>
        </is>
      </c>
      <c r="D1342" t="inlineStr">
        <is>
          <t>F01</t>
        </is>
      </c>
      <c r="E1342" t="inlineStr">
        <is>
          <t>D111</t>
        </is>
      </c>
      <c r="F1342" t="inlineStr">
        <is>
          <t>Emergency Department</t>
        </is>
      </c>
      <c r="G1342" s="32" t="n">
        <v>45903.68402777778</v>
      </c>
      <c r="H1342" s="32" t="n">
        <v>45908.61319444444</v>
      </c>
      <c r="I1342" t="inlineStr">
        <is>
          <t>N17.9</t>
        </is>
      </c>
      <c r="J1342" t="inlineStr">
        <is>
          <t>PY04</t>
        </is>
      </c>
      <c r="K1342" s="33" t="n">
        <v>22173.63</v>
      </c>
      <c r="L1342" s="34" t="n"/>
    </row>
    <row r="1343">
      <c r="A1343" t="inlineStr">
        <is>
          <t>ENC118187</t>
        </is>
      </c>
      <c r="B1343" t="inlineStr">
        <is>
          <t>PT11728</t>
        </is>
      </c>
      <c r="C1343" t="inlineStr">
        <is>
          <t>Emergency</t>
        </is>
      </c>
      <c r="D1343" t="inlineStr">
        <is>
          <t>F01</t>
        </is>
      </c>
      <c r="E1343" t="inlineStr">
        <is>
          <t>D100</t>
        </is>
      </c>
      <c r="G1343" s="32" t="n">
        <v>45903.85555555556</v>
      </c>
      <c r="H1343" s="32" t="n">
        <v>45903.93680555555</v>
      </c>
      <c r="I1343" t="inlineStr">
        <is>
          <t>R55</t>
        </is>
      </c>
      <c r="J1343" t="inlineStr">
        <is>
          <t>PY03</t>
        </is>
      </c>
      <c r="K1343" s="33" t="n">
        <v>1086.38</v>
      </c>
      <c r="L1343" s="34" t="n"/>
    </row>
    <row r="1344">
      <c r="A1344" t="inlineStr">
        <is>
          <t>ENC118191</t>
        </is>
      </c>
      <c r="B1344" t="inlineStr">
        <is>
          <t>PT13856</t>
        </is>
      </c>
      <c r="C1344" t="inlineStr">
        <is>
          <t>Emergency</t>
        </is>
      </c>
      <c r="D1344" t="inlineStr">
        <is>
          <t>F02</t>
        </is>
      </c>
      <c r="E1344" t="inlineStr">
        <is>
          <t>D200</t>
        </is>
      </c>
      <c r="G1344" s="32" t="n">
        <v>45904.32152777778</v>
      </c>
      <c r="H1344" s="32" t="n">
        <v>45904.44375</v>
      </c>
      <c r="I1344" t="inlineStr">
        <is>
          <t>N39.0</t>
        </is>
      </c>
      <c r="J1344" t="inlineStr">
        <is>
          <t>PY04</t>
        </is>
      </c>
      <c r="K1344" s="33" t="n">
        <v>3295.28</v>
      </c>
      <c r="L1344" s="34" t="n"/>
    </row>
    <row r="1345">
      <c r="A1345" t="inlineStr">
        <is>
          <t>ENC118199</t>
        </is>
      </c>
      <c r="B1345" t="inlineStr">
        <is>
          <t>PT13276</t>
        </is>
      </c>
      <c r="C1345" t="inlineStr">
        <is>
          <t>Inpatient</t>
        </is>
      </c>
      <c r="D1345" t="inlineStr">
        <is>
          <t>F01</t>
        </is>
      </c>
      <c r="E1345" t="inlineStr">
        <is>
          <t>D110</t>
        </is>
      </c>
      <c r="F1345" t="inlineStr">
        <is>
          <t>Transfer</t>
        </is>
      </c>
      <c r="G1345" s="32" t="n">
        <v>45904.44583333333</v>
      </c>
      <c r="H1345" s="32" t="n">
        <v>45910.74305555555</v>
      </c>
      <c r="I1345" t="inlineStr">
        <is>
          <t>A41.9</t>
        </is>
      </c>
      <c r="J1345" t="inlineStr">
        <is>
          <t>PY04</t>
        </is>
      </c>
      <c r="K1345" s="33" t="n">
        <v>56592.67</v>
      </c>
      <c r="L1345" s="34" t="n"/>
    </row>
    <row r="1346">
      <c r="A1346" t="inlineStr">
        <is>
          <t>ENC118206</t>
        </is>
      </c>
      <c r="B1346" t="inlineStr">
        <is>
          <t>PT12339</t>
        </is>
      </c>
      <c r="C1346" t="inlineStr">
        <is>
          <t>Outpatient</t>
        </is>
      </c>
      <c r="D1346" t="inlineStr">
        <is>
          <t>F04</t>
        </is>
      </c>
      <c r="E1346" t="inlineStr">
        <is>
          <t>D430</t>
        </is>
      </c>
      <c r="G1346" s="32" t="n">
        <v>45904.5625</v>
      </c>
      <c r="H1346" s="32" t="n">
        <v>45904.575</v>
      </c>
      <c r="I1346" t="inlineStr">
        <is>
          <t>C34.90</t>
        </is>
      </c>
      <c r="J1346" t="inlineStr">
        <is>
          <t>PY05</t>
        </is>
      </c>
      <c r="K1346" s="33" t="n">
        <v>532.3</v>
      </c>
      <c r="L1346" s="34" t="n"/>
    </row>
    <row r="1347">
      <c r="A1347" t="inlineStr">
        <is>
          <t>ENC118210</t>
        </is>
      </c>
      <c r="B1347" t="inlineStr">
        <is>
          <t>PT13029</t>
        </is>
      </c>
      <c r="C1347" t="inlineStr">
        <is>
          <t>Outpatient</t>
        </is>
      </c>
      <c r="D1347" t="inlineStr">
        <is>
          <t>F04</t>
        </is>
      </c>
      <c r="E1347" t="inlineStr">
        <is>
          <t>D450</t>
        </is>
      </c>
      <c r="G1347" s="32" t="n">
        <v>45904.625</v>
      </c>
      <c r="H1347" s="32" t="n">
        <v>45904.65625</v>
      </c>
      <c r="I1347" t="inlineStr">
        <is>
          <t>Z00.129</t>
        </is>
      </c>
      <c r="J1347" t="inlineStr">
        <is>
          <t>PY07</t>
        </is>
      </c>
      <c r="K1347" s="33" t="n">
        <v>476.91</v>
      </c>
      <c r="L1347" s="34" t="n"/>
    </row>
    <row r="1348">
      <c r="A1348" t="inlineStr">
        <is>
          <t>ENC118215</t>
        </is>
      </c>
      <c r="B1348" t="inlineStr">
        <is>
          <t>PT13361</t>
        </is>
      </c>
      <c r="C1348" t="inlineStr">
        <is>
          <t>Outpatient</t>
        </is>
      </c>
      <c r="D1348" t="inlineStr">
        <is>
          <t>F04</t>
        </is>
      </c>
      <c r="E1348" t="inlineStr">
        <is>
          <t>D400</t>
        </is>
      </c>
      <c r="G1348" s="32" t="n">
        <v>45904.67708333334</v>
      </c>
      <c r="H1348" s="32" t="n">
        <v>45904.70138888889</v>
      </c>
      <c r="I1348" t="inlineStr">
        <is>
          <t>K80.20</t>
        </is>
      </c>
      <c r="J1348" t="inlineStr">
        <is>
          <t>PY05</t>
        </is>
      </c>
      <c r="K1348" s="33" t="n">
        <v>288.07</v>
      </c>
      <c r="L1348" s="34" t="n"/>
    </row>
    <row r="1349">
      <c r="A1349" t="inlineStr">
        <is>
          <t>ENC118219</t>
        </is>
      </c>
      <c r="B1349" t="inlineStr">
        <is>
          <t>PT10944</t>
        </is>
      </c>
      <c r="C1349" t="inlineStr">
        <is>
          <t>Emergency</t>
        </is>
      </c>
      <c r="D1349" t="inlineStr">
        <is>
          <t>F02</t>
        </is>
      </c>
      <c r="E1349" t="inlineStr">
        <is>
          <t>D200</t>
        </is>
      </c>
      <c r="G1349" s="32" t="n">
        <v>45904.85763888889</v>
      </c>
      <c r="H1349" s="32" t="n">
        <v>45905.03194444445</v>
      </c>
      <c r="I1349" t="inlineStr">
        <is>
          <t>U07.1</t>
        </is>
      </c>
      <c r="J1349" t="inlineStr">
        <is>
          <t>PY03</t>
        </is>
      </c>
      <c r="K1349" s="33" t="n">
        <v>1840.8</v>
      </c>
      <c r="L1349" s="34" t="n"/>
    </row>
    <row r="1350">
      <c r="A1350" t="inlineStr">
        <is>
          <t>ENC118224</t>
        </is>
      </c>
      <c r="B1350" t="inlineStr">
        <is>
          <t>PT10547</t>
        </is>
      </c>
      <c r="C1350" t="inlineStr">
        <is>
          <t>Outpatient</t>
        </is>
      </c>
      <c r="D1350" t="inlineStr">
        <is>
          <t>F04</t>
        </is>
      </c>
      <c r="E1350" t="inlineStr">
        <is>
          <t>D430</t>
        </is>
      </c>
      <c r="G1350" s="32" t="n">
        <v>45905.375</v>
      </c>
      <c r="H1350" s="32" t="n">
        <v>45905.54513888889</v>
      </c>
      <c r="I1350" t="inlineStr">
        <is>
          <t>Z51.11</t>
        </is>
      </c>
      <c r="J1350" t="inlineStr">
        <is>
          <t>PY04</t>
        </is>
      </c>
      <c r="K1350" s="33" t="n">
        <v>6490.47</v>
      </c>
      <c r="L1350" s="34" t="n"/>
    </row>
    <row r="1351">
      <c r="A1351" t="inlineStr">
        <is>
          <t>ENC118230</t>
        </is>
      </c>
      <c r="B1351" t="inlineStr">
        <is>
          <t>PT12153</t>
        </is>
      </c>
      <c r="C1351" t="inlineStr">
        <is>
          <t>Outpatient</t>
        </is>
      </c>
      <c r="D1351" t="inlineStr">
        <is>
          <t>F04</t>
        </is>
      </c>
      <c r="E1351" t="inlineStr">
        <is>
          <t>D410</t>
        </is>
      </c>
      <c r="G1351" s="32" t="n">
        <v>45905.4375</v>
      </c>
      <c r="H1351" s="32" t="n">
        <v>45905.45138888889</v>
      </c>
      <c r="I1351" t="inlineStr">
        <is>
          <t>I50.9</t>
        </is>
      </c>
      <c r="J1351" t="inlineStr">
        <is>
          <t>PY01</t>
        </is>
      </c>
      <c r="K1351" s="33" t="n">
        <v>279.56</v>
      </c>
      <c r="L1351" s="34" t="n"/>
    </row>
    <row r="1352">
      <c r="A1352" t="inlineStr">
        <is>
          <t>ENC118236</t>
        </is>
      </c>
      <c r="B1352" t="inlineStr">
        <is>
          <t>PT11259</t>
        </is>
      </c>
      <c r="C1352" t="inlineStr">
        <is>
          <t>Outpatient</t>
        </is>
      </c>
      <c r="D1352" t="inlineStr">
        <is>
          <t>F04</t>
        </is>
      </c>
      <c r="E1352" t="inlineStr">
        <is>
          <t>D400</t>
        </is>
      </c>
      <c r="G1352" s="32" t="n">
        <v>45905.5</v>
      </c>
      <c r="H1352" s="32" t="n">
        <v>45905.52777777778</v>
      </c>
      <c r="I1352" t="inlineStr">
        <is>
          <t>I10</t>
        </is>
      </c>
      <c r="J1352" t="inlineStr">
        <is>
          <t>PY01</t>
        </is>
      </c>
      <c r="K1352" s="33" t="n">
        <v>437.99</v>
      </c>
      <c r="L1352" s="34" t="n"/>
    </row>
    <row r="1353">
      <c r="A1353" t="inlineStr">
        <is>
          <t>ENC118241</t>
        </is>
      </c>
      <c r="B1353" t="inlineStr">
        <is>
          <t>PT12442</t>
        </is>
      </c>
      <c r="C1353" t="inlineStr">
        <is>
          <t>Outpatient</t>
        </is>
      </c>
      <c r="D1353" t="inlineStr">
        <is>
          <t>F04</t>
        </is>
      </c>
      <c r="E1353" t="inlineStr">
        <is>
          <t>D410</t>
        </is>
      </c>
      <c r="G1353" s="32" t="n">
        <v>45905.59375</v>
      </c>
      <c r="H1353" s="32" t="n">
        <v>45905.61527777778</v>
      </c>
      <c r="I1353" t="inlineStr">
        <is>
          <t>I50.9</t>
        </is>
      </c>
      <c r="J1353" t="inlineStr">
        <is>
          <t>PY04</t>
        </is>
      </c>
      <c r="K1353" s="33" t="n">
        <v>342.53</v>
      </c>
      <c r="L1353" s="34" t="n"/>
    </row>
    <row r="1354">
      <c r="A1354" t="inlineStr">
        <is>
          <t>ENC118248</t>
        </is>
      </c>
      <c r="B1354" t="inlineStr">
        <is>
          <t>PT13994</t>
        </is>
      </c>
      <c r="C1354" t="inlineStr">
        <is>
          <t>Inpatient</t>
        </is>
      </c>
      <c r="D1354" t="inlineStr">
        <is>
          <t>F01</t>
        </is>
      </c>
      <c r="E1354" t="inlineStr">
        <is>
          <t>D130</t>
        </is>
      </c>
      <c r="F1354" t="inlineStr">
        <is>
          <t>Direct Admit</t>
        </is>
      </c>
      <c r="G1354" s="32" t="n">
        <v>45905.76805555556</v>
      </c>
      <c r="H1354" s="32" t="n">
        <v>45909.62361111111</v>
      </c>
      <c r="I1354" t="inlineStr">
        <is>
          <t>K92.2</t>
        </is>
      </c>
      <c r="J1354" t="inlineStr">
        <is>
          <t>PY07</t>
        </is>
      </c>
      <c r="K1354" s="33" t="n">
        <v>47768.73</v>
      </c>
      <c r="L1354" s="34" t="n"/>
    </row>
    <row r="1355">
      <c r="A1355" t="inlineStr">
        <is>
          <t>ENC118252</t>
        </is>
      </c>
      <c r="B1355" t="inlineStr">
        <is>
          <t>PT13879</t>
        </is>
      </c>
      <c r="C1355" t="inlineStr">
        <is>
          <t>Inpatient</t>
        </is>
      </c>
      <c r="D1355" t="inlineStr">
        <is>
          <t>F01</t>
        </is>
      </c>
      <c r="E1355" t="inlineStr">
        <is>
          <t>D111</t>
        </is>
      </c>
      <c r="F1355" t="inlineStr">
        <is>
          <t>Emergency Department</t>
        </is>
      </c>
      <c r="G1355" s="32" t="n">
        <v>45906.04236111111</v>
      </c>
      <c r="H1355" s="32" t="n">
        <v>45910.42569444444</v>
      </c>
      <c r="I1355" t="inlineStr">
        <is>
          <t>A41.9</t>
        </is>
      </c>
      <c r="J1355" t="inlineStr">
        <is>
          <t>PY07</t>
        </is>
      </c>
      <c r="K1355" s="33" t="n">
        <v>44895.55</v>
      </c>
      <c r="L1355" s="34" t="n"/>
    </row>
    <row r="1356">
      <c r="A1356" t="inlineStr">
        <is>
          <t>ENC118258</t>
        </is>
      </c>
      <c r="B1356" t="inlineStr">
        <is>
          <t>PT12156</t>
        </is>
      </c>
      <c r="C1356" t="inlineStr">
        <is>
          <t>Observation</t>
        </is>
      </c>
      <c r="D1356" t="inlineStr">
        <is>
          <t>F01</t>
        </is>
      </c>
      <c r="E1356" t="inlineStr">
        <is>
          <t>D195</t>
        </is>
      </c>
      <c r="F1356" t="inlineStr">
        <is>
          <t>Direct Admit</t>
        </is>
      </c>
      <c r="G1356" s="32" t="n">
        <v>45906.54027777778</v>
      </c>
      <c r="H1356" s="32" t="n">
        <v>45907.16805555556</v>
      </c>
      <c r="I1356" t="inlineStr">
        <is>
          <t>A08.4</t>
        </is>
      </c>
      <c r="J1356" t="inlineStr">
        <is>
          <t>PY03</t>
        </is>
      </c>
      <c r="K1356" s="33" t="n">
        <v>5009.23</v>
      </c>
      <c r="L1356" s="34" t="n"/>
    </row>
    <row r="1357">
      <c r="A1357" t="inlineStr">
        <is>
          <t>ENC118264</t>
        </is>
      </c>
      <c r="B1357" t="inlineStr">
        <is>
          <t>PT13264</t>
        </is>
      </c>
      <c r="C1357" t="inlineStr">
        <is>
          <t>Emergency</t>
        </is>
      </c>
      <c r="D1357" t="inlineStr">
        <is>
          <t>F01</t>
        </is>
      </c>
      <c r="E1357" t="inlineStr">
        <is>
          <t>D100</t>
        </is>
      </c>
      <c r="G1357" s="32" t="n">
        <v>45906.89930555555</v>
      </c>
      <c r="H1357" s="32" t="n">
        <v>45907.05069444444</v>
      </c>
      <c r="I1357" t="inlineStr">
        <is>
          <t>F20.9</t>
        </is>
      </c>
      <c r="J1357" t="inlineStr">
        <is>
          <t>PY04</t>
        </is>
      </c>
      <c r="K1357" s="33" t="n">
        <v>8431.67</v>
      </c>
      <c r="L1357" s="34" t="n"/>
    </row>
    <row r="1358">
      <c r="A1358" t="inlineStr">
        <is>
          <t>ENC118269</t>
        </is>
      </c>
      <c r="B1358" t="inlineStr">
        <is>
          <t>PT13793</t>
        </is>
      </c>
      <c r="C1358" t="inlineStr">
        <is>
          <t>Emergency</t>
        </is>
      </c>
      <c r="D1358" t="inlineStr">
        <is>
          <t>F01</t>
        </is>
      </c>
      <c r="E1358" t="inlineStr">
        <is>
          <t>D100</t>
        </is>
      </c>
      <c r="G1358" s="32" t="n">
        <v>45907.31527777778</v>
      </c>
      <c r="H1358" s="32" t="n">
        <v>45907.42083333333</v>
      </c>
      <c r="I1358" t="inlineStr">
        <is>
          <t>G43.909</t>
        </is>
      </c>
      <c r="J1358" t="inlineStr">
        <is>
          <t>PY04</t>
        </is>
      </c>
      <c r="K1358" s="33" t="n">
        <v>3097.77</v>
      </c>
      <c r="L1358" s="34" t="n"/>
    </row>
    <row r="1359">
      <c r="A1359" t="inlineStr">
        <is>
          <t>ENC118275</t>
        </is>
      </c>
      <c r="B1359" t="inlineStr">
        <is>
          <t>PT13451</t>
        </is>
      </c>
      <c r="C1359" t="inlineStr">
        <is>
          <t>Emergency</t>
        </is>
      </c>
      <c r="D1359" t="inlineStr">
        <is>
          <t>F01</t>
        </is>
      </c>
      <c r="E1359" t="inlineStr">
        <is>
          <t>D100</t>
        </is>
      </c>
      <c r="G1359" s="32" t="n">
        <v>45907.46388888889</v>
      </c>
      <c r="H1359" s="32" t="n">
        <v>45907.575</v>
      </c>
      <c r="I1359" t="inlineStr">
        <is>
          <t>J18.9</t>
        </is>
      </c>
      <c r="J1359" t="inlineStr">
        <is>
          <t>PY04</t>
        </is>
      </c>
      <c r="K1359" s="33" t="n">
        <v>7124.46</v>
      </c>
      <c r="L1359" s="34" t="n"/>
    </row>
    <row r="1360">
      <c r="A1360" t="inlineStr">
        <is>
          <t>ENC118280</t>
        </is>
      </c>
      <c r="B1360" t="inlineStr">
        <is>
          <t>PT12947</t>
        </is>
      </c>
      <c r="C1360" t="inlineStr">
        <is>
          <t>Emergency</t>
        </is>
      </c>
      <c r="D1360" t="inlineStr">
        <is>
          <t>F01</t>
        </is>
      </c>
      <c r="E1360" t="inlineStr">
        <is>
          <t>D100</t>
        </is>
      </c>
      <c r="G1360" s="32" t="n">
        <v>45907.76458333333</v>
      </c>
      <c r="H1360" s="32" t="n">
        <v>45907.90347222222</v>
      </c>
      <c r="I1360" t="inlineStr">
        <is>
          <t>L03.115</t>
        </is>
      </c>
      <c r="J1360" t="inlineStr">
        <is>
          <t>PY03</t>
        </is>
      </c>
      <c r="K1360" s="33" t="n">
        <v>3233.4</v>
      </c>
      <c r="L1360" s="34" t="n"/>
    </row>
    <row r="1361">
      <c r="A1361" t="inlineStr">
        <is>
          <t>ENC118287</t>
        </is>
      </c>
      <c r="B1361" t="inlineStr">
        <is>
          <t>PT12801</t>
        </is>
      </c>
      <c r="C1361" t="inlineStr">
        <is>
          <t>Inpatient</t>
        </is>
      </c>
      <c r="D1361" t="inlineStr">
        <is>
          <t>F02</t>
        </is>
      </c>
      <c r="E1361" t="inlineStr">
        <is>
          <t>D210</t>
        </is>
      </c>
      <c r="F1361" t="inlineStr">
        <is>
          <t>Transfer</t>
        </is>
      </c>
      <c r="G1361" s="32" t="n">
        <v>45908.30069444444</v>
      </c>
      <c r="H1361" s="32" t="n">
        <v>45910.54444444444</v>
      </c>
      <c r="I1361" t="inlineStr">
        <is>
          <t>I21.4</t>
        </is>
      </c>
      <c r="J1361" t="inlineStr">
        <is>
          <t>PY05</t>
        </is>
      </c>
      <c r="K1361" s="33" t="n">
        <v>44128.34</v>
      </c>
      <c r="L1361" s="34" t="n"/>
    </row>
    <row r="1362">
      <c r="A1362" t="inlineStr">
        <is>
          <t>ENC118293</t>
        </is>
      </c>
      <c r="B1362" t="inlineStr">
        <is>
          <t>PT13390</t>
        </is>
      </c>
      <c r="C1362" t="inlineStr">
        <is>
          <t>Emergency</t>
        </is>
      </c>
      <c r="D1362" t="inlineStr">
        <is>
          <t>F01</t>
        </is>
      </c>
      <c r="E1362" t="inlineStr">
        <is>
          <t>D100</t>
        </is>
      </c>
      <c r="G1362" s="32" t="n">
        <v>45908.36527777778</v>
      </c>
      <c r="H1362" s="32" t="n">
        <v>45908.44652777778</v>
      </c>
      <c r="I1362" t="inlineStr">
        <is>
          <t>H66.90</t>
        </is>
      </c>
      <c r="J1362" t="inlineStr">
        <is>
          <t>PY04</t>
        </is>
      </c>
      <c r="K1362" s="33" t="n">
        <v>864.78</v>
      </c>
      <c r="L1362" s="34" t="n"/>
    </row>
    <row r="1363">
      <c r="A1363" t="inlineStr">
        <is>
          <t>ENC118298</t>
        </is>
      </c>
      <c r="B1363" t="inlineStr">
        <is>
          <t>PT13996</t>
        </is>
      </c>
      <c r="C1363" t="inlineStr">
        <is>
          <t>Outpatient</t>
        </is>
      </c>
      <c r="D1363" t="inlineStr">
        <is>
          <t>F04</t>
        </is>
      </c>
      <c r="E1363" t="inlineStr">
        <is>
          <t>D400</t>
        </is>
      </c>
      <c r="G1363" s="32" t="n">
        <v>45908.47916666666</v>
      </c>
      <c r="H1363" s="32" t="n">
        <v>45908.50694444445</v>
      </c>
      <c r="I1363" t="inlineStr">
        <is>
          <t>Z00.00</t>
        </is>
      </c>
      <c r="J1363" t="inlineStr">
        <is>
          <t>PY01</t>
        </is>
      </c>
      <c r="K1363" s="33" t="n">
        <v>457.13</v>
      </c>
      <c r="L1363" s="34" t="n"/>
    </row>
    <row r="1364">
      <c r="A1364" t="inlineStr">
        <is>
          <t>ENC118297</t>
        </is>
      </c>
      <c r="B1364" t="inlineStr">
        <is>
          <t>PT10224</t>
        </is>
      </c>
      <c r="C1364" t="inlineStr">
        <is>
          <t>Inpatient</t>
        </is>
      </c>
      <c r="D1364" t="inlineStr">
        <is>
          <t>F01</t>
        </is>
      </c>
      <c r="E1364" t="inlineStr">
        <is>
          <t>D170</t>
        </is>
      </c>
      <c r="F1364" t="inlineStr">
        <is>
          <t>Emergency Department</t>
        </is>
      </c>
      <c r="G1364" s="32" t="n">
        <v>45908.58263888889</v>
      </c>
      <c r="H1364" s="32" t="n">
        <v>45910.51944444444</v>
      </c>
      <c r="I1364" t="inlineStr">
        <is>
          <t>O82</t>
        </is>
      </c>
      <c r="J1364" t="inlineStr">
        <is>
          <t>PY04</t>
        </is>
      </c>
      <c r="K1364" s="33" t="n">
        <v>22116.75</v>
      </c>
      <c r="L1364" s="34" t="n"/>
    </row>
    <row r="1365">
      <c r="A1365" t="inlineStr">
        <is>
          <t>ENC118301</t>
        </is>
      </c>
      <c r="B1365" t="inlineStr">
        <is>
          <t>PT12035</t>
        </is>
      </c>
      <c r="C1365" t="inlineStr">
        <is>
          <t>Inpatient</t>
        </is>
      </c>
      <c r="D1365" t="inlineStr">
        <is>
          <t>F01</t>
        </is>
      </c>
      <c r="E1365" t="inlineStr">
        <is>
          <t>D150</t>
        </is>
      </c>
      <c r="F1365" t="inlineStr">
        <is>
          <t>Emergency Department</t>
        </is>
      </c>
      <c r="G1365" s="32" t="n">
        <v>45908.72152777778</v>
      </c>
      <c r="H1365" s="32" t="n">
        <v>45913.56666666667</v>
      </c>
      <c r="I1365" t="inlineStr">
        <is>
          <t>C34.90</t>
        </is>
      </c>
      <c r="J1365" t="inlineStr">
        <is>
          <t>PY02</t>
        </is>
      </c>
      <c r="K1365" s="33" t="n">
        <v>25449.35</v>
      </c>
      <c r="L1365" s="34" t="n"/>
    </row>
    <row r="1366">
      <c r="A1366" t="inlineStr">
        <is>
          <t>ENC118314</t>
        </is>
      </c>
      <c r="B1366" t="inlineStr">
        <is>
          <t>PT13395</t>
        </is>
      </c>
      <c r="C1366" t="inlineStr">
        <is>
          <t>Emergency</t>
        </is>
      </c>
      <c r="D1366" t="inlineStr">
        <is>
          <t>F01</t>
        </is>
      </c>
      <c r="E1366" t="inlineStr">
        <is>
          <t>D100</t>
        </is>
      </c>
      <c r="G1366" s="32" t="n">
        <v>45909.00694444445</v>
      </c>
      <c r="H1366" s="32" t="n">
        <v>45909.15138888889</v>
      </c>
      <c r="I1366" t="inlineStr">
        <is>
          <t>R55</t>
        </is>
      </c>
      <c r="J1366" t="inlineStr">
        <is>
          <t>PY02</t>
        </is>
      </c>
      <c r="K1366" s="33" t="n">
        <v>3237.47</v>
      </c>
      <c r="L1366" s="34" t="n"/>
    </row>
    <row r="1367">
      <c r="A1367" t="inlineStr">
        <is>
          <t>ENC118319</t>
        </is>
      </c>
      <c r="B1367" t="inlineStr">
        <is>
          <t>PT10721</t>
        </is>
      </c>
      <c r="C1367" t="inlineStr">
        <is>
          <t>Outpatient</t>
        </is>
      </c>
      <c r="D1367" t="inlineStr">
        <is>
          <t>F04</t>
        </is>
      </c>
      <c r="E1367" t="inlineStr">
        <is>
          <t>D400</t>
        </is>
      </c>
      <c r="G1367" s="32" t="n">
        <v>45909.34375</v>
      </c>
      <c r="H1367" s="32" t="n">
        <v>45909.36041666667</v>
      </c>
      <c r="I1367" t="inlineStr">
        <is>
          <t>Z00.00</t>
        </is>
      </c>
      <c r="J1367" t="inlineStr">
        <is>
          <t>PY01</t>
        </is>
      </c>
      <c r="K1367" s="33" t="n">
        <v>438.1</v>
      </c>
      <c r="L1367" s="34" t="n"/>
    </row>
    <row r="1368">
      <c r="A1368" t="inlineStr">
        <is>
          <t>ENC118326</t>
        </is>
      </c>
      <c r="B1368" t="inlineStr">
        <is>
          <t>PT11500</t>
        </is>
      </c>
      <c r="C1368" t="inlineStr">
        <is>
          <t>Emergency</t>
        </is>
      </c>
      <c r="D1368" t="inlineStr">
        <is>
          <t>F01</t>
        </is>
      </c>
      <c r="E1368" t="inlineStr">
        <is>
          <t>D100</t>
        </is>
      </c>
      <c r="G1368" s="32" t="n">
        <v>45909.47569444445</v>
      </c>
      <c r="H1368" s="32" t="n">
        <v>45909.61041666667</v>
      </c>
      <c r="I1368" t="inlineStr">
        <is>
          <t>S06.0X0A</t>
        </is>
      </c>
      <c r="J1368" t="inlineStr">
        <is>
          <t>PY01</t>
        </is>
      </c>
      <c r="K1368" s="33" t="n">
        <v>2924.4</v>
      </c>
      <c r="L1368" s="34" t="n"/>
    </row>
    <row r="1369">
      <c r="A1369" t="inlineStr">
        <is>
          <t>ENC118325</t>
        </is>
      </c>
      <c r="B1369" t="inlineStr">
        <is>
          <t>PT13271</t>
        </is>
      </c>
      <c r="C1369" t="inlineStr">
        <is>
          <t>Inpatient</t>
        </is>
      </c>
      <c r="D1369" t="inlineStr">
        <is>
          <t>F01</t>
        </is>
      </c>
      <c r="E1369" t="inlineStr">
        <is>
          <t>D120</t>
        </is>
      </c>
      <c r="F1369" t="inlineStr">
        <is>
          <t>Emergency Department</t>
        </is>
      </c>
      <c r="G1369" s="32" t="n">
        <v>45909.59791666667</v>
      </c>
      <c r="H1369" s="32" t="n">
        <v>45915.62152777778</v>
      </c>
      <c r="I1369" t="inlineStr">
        <is>
          <t>I50.9</t>
        </is>
      </c>
      <c r="J1369" t="inlineStr">
        <is>
          <t>PY01</t>
        </is>
      </c>
      <c r="K1369" s="33" t="n">
        <v>32995.55</v>
      </c>
      <c r="L1369" s="34" t="n"/>
    </row>
    <row r="1370">
      <c r="A1370" t="inlineStr">
        <is>
          <t>ENC118336</t>
        </is>
      </c>
      <c r="B1370" t="inlineStr">
        <is>
          <t>PT13549</t>
        </is>
      </c>
      <c r="C1370" t="inlineStr">
        <is>
          <t>Emergency</t>
        </is>
      </c>
      <c r="D1370" t="inlineStr">
        <is>
          <t>F01</t>
        </is>
      </c>
      <c r="E1370" t="inlineStr">
        <is>
          <t>D100</t>
        </is>
      </c>
      <c r="G1370" s="32" t="n">
        <v>45909.68402777778</v>
      </c>
      <c r="H1370" s="32" t="n">
        <v>45909.82222222222</v>
      </c>
      <c r="I1370" t="inlineStr">
        <is>
          <t>R07.9</t>
        </is>
      </c>
      <c r="J1370" t="inlineStr">
        <is>
          <t>PY02</t>
        </is>
      </c>
      <c r="K1370" s="33" t="n">
        <v>6080.74</v>
      </c>
      <c r="L1370" s="34" t="n"/>
    </row>
    <row r="1371">
      <c r="A1371" t="inlineStr">
        <is>
          <t>ENC118340</t>
        </is>
      </c>
      <c r="B1371" t="inlineStr">
        <is>
          <t>PT11816</t>
        </is>
      </c>
      <c r="C1371" t="inlineStr">
        <is>
          <t>Inpatient</t>
        </is>
      </c>
      <c r="D1371" t="inlineStr">
        <is>
          <t>F01</t>
        </is>
      </c>
      <c r="E1371" t="inlineStr">
        <is>
          <t>D130</t>
        </is>
      </c>
      <c r="F1371" t="inlineStr">
        <is>
          <t>Emergency Department</t>
        </is>
      </c>
      <c r="G1371" s="32" t="n">
        <v>45909.94444444445</v>
      </c>
      <c r="H1371" s="32" t="n">
        <v>45914.64305555556</v>
      </c>
      <c r="I1371" t="inlineStr">
        <is>
          <t>A41.9</t>
        </is>
      </c>
      <c r="J1371" t="inlineStr">
        <is>
          <t>PY01</t>
        </is>
      </c>
      <c r="K1371" s="33" t="n">
        <v>34362.41</v>
      </c>
      <c r="L1371" s="34" t="n"/>
    </row>
    <row r="1372">
      <c r="A1372" t="inlineStr">
        <is>
          <t>ENC118348</t>
        </is>
      </c>
      <c r="B1372" t="inlineStr">
        <is>
          <t>PT13144</t>
        </is>
      </c>
      <c r="C1372" t="inlineStr">
        <is>
          <t>Inpatient</t>
        </is>
      </c>
      <c r="D1372" t="inlineStr">
        <is>
          <t>F03</t>
        </is>
      </c>
      <c r="E1372" t="inlineStr">
        <is>
          <t>D310</t>
        </is>
      </c>
      <c r="F1372" t="inlineStr">
        <is>
          <t>Direct Admit</t>
        </is>
      </c>
      <c r="G1372" s="32" t="n">
        <v>45910.30069444444</v>
      </c>
      <c r="H1372" s="32" t="n">
        <v>45915.72013888889</v>
      </c>
      <c r="I1372" t="inlineStr">
        <is>
          <t>J18.9</t>
        </is>
      </c>
      <c r="J1372" t="inlineStr">
        <is>
          <t>PY03</t>
        </is>
      </c>
      <c r="K1372" s="33" t="n">
        <v>21080.47</v>
      </c>
      <c r="L1372" s="34" t="n"/>
    </row>
    <row r="1373">
      <c r="A1373" t="inlineStr">
        <is>
          <t>ENC118352</t>
        </is>
      </c>
      <c r="B1373" t="inlineStr">
        <is>
          <t>PT13422</t>
        </is>
      </c>
      <c r="C1373" t="inlineStr">
        <is>
          <t>Outpatient</t>
        </is>
      </c>
      <c r="D1373" t="inlineStr">
        <is>
          <t>F04</t>
        </is>
      </c>
      <c r="E1373" t="inlineStr">
        <is>
          <t>D450</t>
        </is>
      </c>
      <c r="G1373" s="32" t="n">
        <v>45910.40625</v>
      </c>
      <c r="H1373" s="32" t="n">
        <v>45910.43611111111</v>
      </c>
      <c r="I1373" t="inlineStr">
        <is>
          <t>Z00.129</t>
        </is>
      </c>
      <c r="J1373" t="inlineStr">
        <is>
          <t>PY03</t>
        </is>
      </c>
      <c r="K1373" s="33" t="n">
        <v>252.16</v>
      </c>
      <c r="L1373" s="34" t="n"/>
    </row>
    <row r="1374">
      <c r="A1374" t="inlineStr">
        <is>
          <t>ENC118360</t>
        </is>
      </c>
      <c r="B1374" t="inlineStr">
        <is>
          <t>PT13569</t>
        </is>
      </c>
      <c r="C1374" t="inlineStr">
        <is>
          <t>Outpatient</t>
        </is>
      </c>
      <c r="D1374" t="inlineStr">
        <is>
          <t>F04</t>
        </is>
      </c>
      <c r="E1374" t="inlineStr">
        <is>
          <t>D420</t>
        </is>
      </c>
      <c r="G1374" s="32" t="n">
        <v>45910.54166666666</v>
      </c>
      <c r="H1374" s="32" t="n">
        <v>45910.56388888889</v>
      </c>
      <c r="I1374" t="inlineStr">
        <is>
          <t>M16.11</t>
        </is>
      </c>
      <c r="J1374" t="inlineStr">
        <is>
          <t>PY03</t>
        </is>
      </c>
      <c r="K1374" s="33" t="n">
        <v>279.96</v>
      </c>
      <c r="L1374" s="34" t="n"/>
    </row>
    <row r="1375">
      <c r="A1375" t="inlineStr">
        <is>
          <t>ENC118358</t>
        </is>
      </c>
      <c r="B1375" t="inlineStr">
        <is>
          <t>PT13921</t>
        </is>
      </c>
      <c r="C1375" t="inlineStr">
        <is>
          <t>Observation</t>
        </is>
      </c>
      <c r="D1375" t="inlineStr">
        <is>
          <t>F01</t>
        </is>
      </c>
      <c r="E1375" t="inlineStr">
        <is>
          <t>D195</t>
        </is>
      </c>
      <c r="F1375" t="inlineStr">
        <is>
          <t>Emergency Department</t>
        </is>
      </c>
      <c r="G1375" s="32" t="n">
        <v>45910.63055555556</v>
      </c>
      <c r="H1375" s="32" t="n">
        <v>45912.04375</v>
      </c>
      <c r="I1375" t="inlineStr">
        <is>
          <t>R10.9</t>
        </is>
      </c>
      <c r="J1375" t="inlineStr">
        <is>
          <t>PY04</t>
        </is>
      </c>
      <c r="K1375" s="33" t="n">
        <v>6783.15</v>
      </c>
      <c r="L1375" s="34" t="n"/>
    </row>
    <row r="1376">
      <c r="A1376" t="inlineStr">
        <is>
          <t>ENC118369</t>
        </is>
      </c>
      <c r="B1376" t="inlineStr">
        <is>
          <t>PT11425</t>
        </is>
      </c>
      <c r="C1376" t="inlineStr">
        <is>
          <t>Emergency</t>
        </is>
      </c>
      <c r="D1376" t="inlineStr">
        <is>
          <t>F01</t>
        </is>
      </c>
      <c r="E1376" t="inlineStr">
        <is>
          <t>D100</t>
        </is>
      </c>
      <c r="G1376" s="32" t="n">
        <v>45910.69236111111</v>
      </c>
      <c r="H1376" s="32" t="n">
        <v>45910.80694444444</v>
      </c>
      <c r="I1376" t="inlineStr">
        <is>
          <t>A08.4</t>
        </is>
      </c>
      <c r="J1376" t="inlineStr">
        <is>
          <t>PY03</t>
        </is>
      </c>
      <c r="K1376" s="33" t="n">
        <v>2747.93</v>
      </c>
      <c r="L1376" s="34" t="n"/>
    </row>
    <row r="1377">
      <c r="A1377" t="inlineStr">
        <is>
          <t>ENC118375</t>
        </is>
      </c>
      <c r="B1377" t="inlineStr">
        <is>
          <t>PT10001</t>
        </is>
      </c>
      <c r="C1377" t="inlineStr">
        <is>
          <t>Emergency</t>
        </is>
      </c>
      <c r="D1377" t="inlineStr">
        <is>
          <t>F02</t>
        </is>
      </c>
      <c r="E1377" t="inlineStr">
        <is>
          <t>D200</t>
        </is>
      </c>
      <c r="G1377" s="32" t="n">
        <v>45911.06597222222</v>
      </c>
      <c r="H1377" s="32" t="n">
        <v>45911.13055555556</v>
      </c>
      <c r="I1377" t="inlineStr">
        <is>
          <t>L03.115</t>
        </is>
      </c>
      <c r="J1377" t="inlineStr">
        <is>
          <t>PY03</t>
        </is>
      </c>
      <c r="K1377" s="33" t="n">
        <v>4295.77</v>
      </c>
      <c r="L1377" s="34" t="n"/>
    </row>
    <row r="1378">
      <c r="A1378" t="inlineStr">
        <is>
          <t>ENC118378</t>
        </is>
      </c>
      <c r="B1378" t="inlineStr">
        <is>
          <t>PT10848</t>
        </is>
      </c>
      <c r="C1378" t="inlineStr">
        <is>
          <t>Inpatient</t>
        </is>
      </c>
      <c r="D1378" t="inlineStr">
        <is>
          <t>F01</t>
        </is>
      </c>
      <c r="E1378" t="inlineStr">
        <is>
          <t>D130</t>
        </is>
      </c>
      <c r="F1378" t="inlineStr">
        <is>
          <t>Emergency Department</t>
        </is>
      </c>
      <c r="G1378" s="32" t="n">
        <v>45911.34652777778</v>
      </c>
      <c r="H1378" s="32" t="n">
        <v>45916.66111111111</v>
      </c>
      <c r="I1378" t="inlineStr">
        <is>
          <t>A41.9</t>
        </is>
      </c>
      <c r="J1378" t="inlineStr">
        <is>
          <t>PY04</t>
        </is>
      </c>
      <c r="K1378" s="33" t="n">
        <v>40514.22</v>
      </c>
      <c r="L1378" s="34" t="n"/>
    </row>
    <row r="1379">
      <c r="A1379" t="inlineStr">
        <is>
          <t>ENC118386</t>
        </is>
      </c>
      <c r="B1379" t="inlineStr">
        <is>
          <t>PT12911</t>
        </is>
      </c>
      <c r="C1379" t="inlineStr">
        <is>
          <t>Outpatient</t>
        </is>
      </c>
      <c r="D1379" t="inlineStr">
        <is>
          <t>F04</t>
        </is>
      </c>
      <c r="E1379" t="inlineStr">
        <is>
          <t>D440</t>
        </is>
      </c>
      <c r="G1379" s="32" t="n">
        <v>45911.45833333334</v>
      </c>
      <c r="H1379" s="32" t="n">
        <v>45911.48819444444</v>
      </c>
      <c r="I1379" t="inlineStr">
        <is>
          <t>E11.65</t>
        </is>
      </c>
      <c r="J1379" t="inlineStr">
        <is>
          <t>PY01</t>
        </is>
      </c>
      <c r="K1379" s="33" t="n">
        <v>243.53</v>
      </c>
      <c r="L1379" s="34" t="n"/>
    </row>
    <row r="1380">
      <c r="A1380" t="inlineStr">
        <is>
          <t>ENC118391</t>
        </is>
      </c>
      <c r="B1380" t="inlineStr">
        <is>
          <t>PT11366</t>
        </is>
      </c>
      <c r="C1380" t="inlineStr">
        <is>
          <t>Outpatient</t>
        </is>
      </c>
      <c r="D1380" t="inlineStr">
        <is>
          <t>F04</t>
        </is>
      </c>
      <c r="E1380" t="inlineStr">
        <is>
          <t>D450</t>
        </is>
      </c>
      <c r="G1380" s="32" t="n">
        <v>45911.53125</v>
      </c>
      <c r="H1380" s="32" t="n">
        <v>45911.55</v>
      </c>
      <c r="I1380" t="inlineStr">
        <is>
          <t>Z00.129</t>
        </is>
      </c>
      <c r="J1380" t="inlineStr">
        <is>
          <t>PY04</t>
        </is>
      </c>
      <c r="K1380" s="33" t="n">
        <v>290.97</v>
      </c>
      <c r="L1380" s="34" t="n"/>
    </row>
    <row r="1381">
      <c r="A1381" t="inlineStr">
        <is>
          <t>ENC118397</t>
        </is>
      </c>
      <c r="B1381" t="inlineStr">
        <is>
          <t>PT11928</t>
        </is>
      </c>
      <c r="C1381" t="inlineStr">
        <is>
          <t>Emergency</t>
        </is>
      </c>
      <c r="D1381" t="inlineStr">
        <is>
          <t>F01</t>
        </is>
      </c>
      <c r="E1381" t="inlineStr">
        <is>
          <t>D100</t>
        </is>
      </c>
      <c r="G1381" s="32" t="n">
        <v>45911.58680555555</v>
      </c>
      <c r="H1381" s="32" t="n">
        <v>45911.71527777778</v>
      </c>
      <c r="I1381" t="inlineStr">
        <is>
          <t>R55</t>
        </is>
      </c>
      <c r="J1381" t="inlineStr">
        <is>
          <t>PY01</t>
        </is>
      </c>
      <c r="K1381" s="33" t="n">
        <v>3064.94</v>
      </c>
      <c r="L1381" s="34" t="n"/>
    </row>
    <row r="1382">
      <c r="A1382" t="inlineStr">
        <is>
          <t>ENC118404</t>
        </is>
      </c>
      <c r="B1382" t="inlineStr">
        <is>
          <t>PT13024</t>
        </is>
      </c>
      <c r="C1382" t="inlineStr">
        <is>
          <t>Emergency</t>
        </is>
      </c>
      <c r="D1382" t="inlineStr">
        <is>
          <t>F01</t>
        </is>
      </c>
      <c r="E1382" t="inlineStr">
        <is>
          <t>D100</t>
        </is>
      </c>
      <c r="G1382" s="32" t="n">
        <v>45911.68958333333</v>
      </c>
      <c r="H1382" s="32" t="n">
        <v>45911.78472222222</v>
      </c>
      <c r="I1382" t="inlineStr">
        <is>
          <t>L03.115</t>
        </is>
      </c>
      <c r="J1382" t="inlineStr">
        <is>
          <t>PY04</t>
        </is>
      </c>
      <c r="K1382" s="33" t="n">
        <v>1152.76</v>
      </c>
      <c r="L1382" s="34" t="n"/>
    </row>
    <row r="1383">
      <c r="A1383" t="inlineStr">
        <is>
          <t>ENC118407</t>
        </is>
      </c>
      <c r="B1383" t="inlineStr">
        <is>
          <t>PT10726</t>
        </is>
      </c>
      <c r="C1383" t="inlineStr">
        <is>
          <t>Inpatient</t>
        </is>
      </c>
      <c r="D1383" t="inlineStr">
        <is>
          <t>F01</t>
        </is>
      </c>
      <c r="E1383" t="inlineStr">
        <is>
          <t>D120</t>
        </is>
      </c>
      <c r="F1383" t="inlineStr">
        <is>
          <t>Emergency Department</t>
        </is>
      </c>
      <c r="G1383" s="32" t="n">
        <v>45911.86388888889</v>
      </c>
      <c r="H1383" s="32" t="n">
        <v>45914.54722222222</v>
      </c>
      <c r="I1383" t="inlineStr">
        <is>
          <t>I50.9</t>
        </is>
      </c>
      <c r="J1383" t="inlineStr">
        <is>
          <t>PY04</t>
        </is>
      </c>
      <c r="K1383" s="33" t="n">
        <v>14768.7</v>
      </c>
      <c r="L1383" s="34" t="n"/>
    </row>
    <row r="1384">
      <c r="A1384" t="inlineStr">
        <is>
          <t>ENC118414</t>
        </is>
      </c>
      <c r="B1384" t="inlineStr">
        <is>
          <t>PT12641</t>
        </is>
      </c>
      <c r="C1384" t="inlineStr">
        <is>
          <t>Outpatient</t>
        </is>
      </c>
      <c r="D1384" t="inlineStr">
        <is>
          <t>F04</t>
        </is>
      </c>
      <c r="E1384" t="inlineStr">
        <is>
          <t>D430</t>
        </is>
      </c>
      <c r="G1384" s="32" t="n">
        <v>45912.39583333334</v>
      </c>
      <c r="H1384" s="32" t="n">
        <v>45912.42291666667</v>
      </c>
      <c r="I1384" t="inlineStr">
        <is>
          <t>C50.911</t>
        </is>
      </c>
      <c r="J1384" t="inlineStr">
        <is>
          <t>PY04</t>
        </is>
      </c>
      <c r="K1384" s="33" t="n">
        <v>549.01</v>
      </c>
      <c r="L1384" s="34" t="n"/>
    </row>
    <row r="1385">
      <c r="A1385" t="inlineStr">
        <is>
          <t>ENC118419</t>
        </is>
      </c>
      <c r="B1385" t="inlineStr">
        <is>
          <t>PT12240</t>
        </is>
      </c>
      <c r="C1385" t="inlineStr">
        <is>
          <t>Emergency</t>
        </is>
      </c>
      <c r="D1385" t="inlineStr">
        <is>
          <t>F01</t>
        </is>
      </c>
      <c r="E1385" t="inlineStr">
        <is>
          <t>D100</t>
        </is>
      </c>
      <c r="G1385" s="32" t="n">
        <v>45912.48402777778</v>
      </c>
      <c r="H1385" s="32" t="n">
        <v>45912.65972222222</v>
      </c>
      <c r="I1385" t="inlineStr">
        <is>
          <t>F32.9</t>
        </is>
      </c>
      <c r="J1385" t="inlineStr">
        <is>
          <t>PY05</t>
        </is>
      </c>
      <c r="K1385" s="33" t="n">
        <v>4171.34</v>
      </c>
      <c r="L1385" s="34" t="n"/>
    </row>
    <row r="1386">
      <c r="A1386" t="inlineStr">
        <is>
          <t>ENC118425</t>
        </is>
      </c>
      <c r="B1386" t="inlineStr">
        <is>
          <t>PT13131</t>
        </is>
      </c>
      <c r="C1386" t="inlineStr">
        <is>
          <t>Outpatient</t>
        </is>
      </c>
      <c r="D1386" t="inlineStr">
        <is>
          <t>F04</t>
        </is>
      </c>
      <c r="E1386" t="inlineStr">
        <is>
          <t>D400</t>
        </is>
      </c>
      <c r="G1386" s="32" t="n">
        <v>45912.66666666666</v>
      </c>
      <c r="H1386" s="32" t="n">
        <v>45912.68333333333</v>
      </c>
      <c r="I1386" t="inlineStr">
        <is>
          <t>Z00.00</t>
        </is>
      </c>
      <c r="J1386" t="inlineStr">
        <is>
          <t>PY01</t>
        </is>
      </c>
      <c r="K1386" s="33" t="n">
        <v>374.07</v>
      </c>
      <c r="L1386" s="34" t="n"/>
    </row>
    <row r="1387">
      <c r="A1387" t="inlineStr">
        <is>
          <t>ENC118432</t>
        </is>
      </c>
      <c r="B1387" t="inlineStr">
        <is>
          <t>PT13993</t>
        </is>
      </c>
      <c r="C1387" t="inlineStr">
        <is>
          <t>Emergency</t>
        </is>
      </c>
      <c r="D1387" t="inlineStr">
        <is>
          <t>F01</t>
        </is>
      </c>
      <c r="E1387" t="inlineStr">
        <is>
          <t>D100</t>
        </is>
      </c>
      <c r="G1387" s="32" t="n">
        <v>45912.84513888889</v>
      </c>
      <c r="H1387" s="32" t="n">
        <v>45912.96736111111</v>
      </c>
      <c r="I1387" t="inlineStr">
        <is>
          <t>E86.0</t>
        </is>
      </c>
      <c r="J1387" t="inlineStr">
        <is>
          <t>PY05</t>
        </is>
      </c>
      <c r="K1387" s="33" t="n">
        <v>1259.36</v>
      </c>
      <c r="L1387" s="34" t="n"/>
    </row>
    <row r="1388">
      <c r="A1388" t="inlineStr">
        <is>
          <t>ENC118437</t>
        </is>
      </c>
      <c r="B1388" t="inlineStr">
        <is>
          <t>PT13736</t>
        </is>
      </c>
      <c r="C1388" t="inlineStr">
        <is>
          <t>Inpatient</t>
        </is>
      </c>
      <c r="D1388" t="inlineStr">
        <is>
          <t>F01</t>
        </is>
      </c>
      <c r="E1388" t="inlineStr">
        <is>
          <t>D170</t>
        </is>
      </c>
      <c r="F1388" t="inlineStr">
        <is>
          <t>Direct Admit</t>
        </is>
      </c>
      <c r="G1388" s="32" t="n">
        <v>45912.99861111111</v>
      </c>
      <c r="H1388" s="32" t="n">
        <v>45915.63125</v>
      </c>
      <c r="I1388" t="inlineStr">
        <is>
          <t>O80</t>
        </is>
      </c>
      <c r="J1388" t="inlineStr">
        <is>
          <t>PY05</t>
        </is>
      </c>
      <c r="K1388" s="33" t="n">
        <v>18381.54</v>
      </c>
      <c r="L1388" s="34" t="n"/>
    </row>
    <row r="1389">
      <c r="A1389" t="inlineStr">
        <is>
          <t>ENC118443</t>
        </is>
      </c>
      <c r="B1389" t="inlineStr">
        <is>
          <t>PT13290</t>
        </is>
      </c>
      <c r="C1389" t="inlineStr">
        <is>
          <t>Inpatient</t>
        </is>
      </c>
      <c r="D1389" t="inlineStr">
        <is>
          <t>F01</t>
        </is>
      </c>
      <c r="E1389" t="inlineStr">
        <is>
          <t>D110</t>
        </is>
      </c>
      <c r="F1389" t="inlineStr">
        <is>
          <t>Direct Admit</t>
        </is>
      </c>
      <c r="G1389" s="32" t="n">
        <v>45913.62222222222</v>
      </c>
      <c r="H1389" s="32" t="n">
        <v>45918.59375</v>
      </c>
      <c r="I1389" t="inlineStr">
        <is>
          <t>J44.1</t>
        </is>
      </c>
      <c r="J1389" t="inlineStr">
        <is>
          <t>PY01</t>
        </is>
      </c>
      <c r="K1389" s="33" t="n">
        <v>16107.57</v>
      </c>
      <c r="L1389" s="34" t="n"/>
    </row>
    <row r="1390">
      <c r="A1390" t="inlineStr">
        <is>
          <t>ENC118448</t>
        </is>
      </c>
      <c r="B1390" t="inlineStr">
        <is>
          <t>PT12868</t>
        </is>
      </c>
      <c r="C1390" t="inlineStr">
        <is>
          <t>Inpatient</t>
        </is>
      </c>
      <c r="D1390" t="inlineStr">
        <is>
          <t>F01</t>
        </is>
      </c>
      <c r="E1390" t="inlineStr">
        <is>
          <t>D111</t>
        </is>
      </c>
      <c r="F1390" t="inlineStr">
        <is>
          <t>Direct Admit</t>
        </is>
      </c>
      <c r="G1390" s="32" t="n">
        <v>45913.93958333333</v>
      </c>
      <c r="H1390" s="32" t="n">
        <v>45919.66111111111</v>
      </c>
      <c r="I1390" t="inlineStr">
        <is>
          <t>N17.9</t>
        </is>
      </c>
      <c r="J1390" t="inlineStr">
        <is>
          <t>PY03</t>
        </is>
      </c>
      <c r="K1390" s="33" t="n">
        <v>33493.31</v>
      </c>
      <c r="L1390" s="34" t="n"/>
    </row>
    <row r="1391">
      <c r="A1391" t="inlineStr">
        <is>
          <t>ENC118451</t>
        </is>
      </c>
      <c r="B1391" t="inlineStr">
        <is>
          <t>PT10364</t>
        </is>
      </c>
      <c r="C1391" t="inlineStr">
        <is>
          <t>Observation</t>
        </is>
      </c>
      <c r="D1391" t="inlineStr">
        <is>
          <t>F01</t>
        </is>
      </c>
      <c r="E1391" t="inlineStr">
        <is>
          <t>D195</t>
        </is>
      </c>
      <c r="F1391" t="inlineStr">
        <is>
          <t>Emergency Department</t>
        </is>
      </c>
      <c r="G1391" s="32" t="n">
        <v>45914.45347222222</v>
      </c>
      <c r="H1391" s="32" t="n">
        <v>45915.42222222222</v>
      </c>
      <c r="I1391" t="inlineStr">
        <is>
          <t>I10</t>
        </is>
      </c>
      <c r="J1391" t="inlineStr">
        <is>
          <t>PY01</t>
        </is>
      </c>
      <c r="K1391" s="33" t="n">
        <v>6777.49</v>
      </c>
      <c r="L1391" s="34" t="n"/>
    </row>
    <row r="1392">
      <c r="A1392" t="inlineStr">
        <is>
          <t>ENC118456</t>
        </is>
      </c>
      <c r="B1392" t="inlineStr">
        <is>
          <t>PT13473</t>
        </is>
      </c>
      <c r="C1392" t="inlineStr">
        <is>
          <t>Inpatient</t>
        </is>
      </c>
      <c r="D1392" t="inlineStr">
        <is>
          <t>F03</t>
        </is>
      </c>
      <c r="E1392" t="inlineStr">
        <is>
          <t>D310</t>
        </is>
      </c>
      <c r="F1392" t="inlineStr">
        <is>
          <t>Emergency Department</t>
        </is>
      </c>
      <c r="G1392" s="32" t="n">
        <v>45914.75277777778</v>
      </c>
      <c r="H1392" s="32" t="n">
        <v>45917.48333333333</v>
      </c>
      <c r="I1392" t="inlineStr">
        <is>
          <t>N39.0</t>
        </is>
      </c>
      <c r="J1392" t="inlineStr">
        <is>
          <t>PY05</t>
        </is>
      </c>
      <c r="K1392" s="33" t="n">
        <v>17933.18</v>
      </c>
      <c r="L1392" s="34" t="n"/>
    </row>
    <row r="1393">
      <c r="A1393" t="inlineStr">
        <is>
          <t>ENC118464</t>
        </is>
      </c>
      <c r="B1393" t="inlineStr">
        <is>
          <t>PT11361</t>
        </is>
      </c>
      <c r="C1393" t="inlineStr">
        <is>
          <t>Emergency</t>
        </is>
      </c>
      <c r="D1393" t="inlineStr">
        <is>
          <t>F02</t>
        </is>
      </c>
      <c r="E1393" t="inlineStr">
        <is>
          <t>D200</t>
        </is>
      </c>
      <c r="G1393" s="32" t="n">
        <v>45914.98888888889</v>
      </c>
      <c r="H1393" s="32" t="n">
        <v>45915.05694444444</v>
      </c>
      <c r="I1393" t="inlineStr">
        <is>
          <t>J06.9</t>
        </is>
      </c>
      <c r="J1393" t="inlineStr">
        <is>
          <t>PY01</t>
        </is>
      </c>
      <c r="K1393" s="33" t="n">
        <v>754.33</v>
      </c>
      <c r="L1393" s="34" t="n"/>
    </row>
    <row r="1394">
      <c r="A1394" t="inlineStr">
        <is>
          <t>ENC118470</t>
        </is>
      </c>
      <c r="B1394" t="inlineStr">
        <is>
          <t>PT12988</t>
        </is>
      </c>
      <c r="C1394" t="inlineStr">
        <is>
          <t>Outpatient</t>
        </is>
      </c>
      <c r="D1394" t="inlineStr">
        <is>
          <t>F04</t>
        </is>
      </c>
      <c r="E1394" t="inlineStr">
        <is>
          <t>D430</t>
        </is>
      </c>
      <c r="G1394" s="32" t="n">
        <v>45915.35416666666</v>
      </c>
      <c r="H1394" s="32" t="n">
        <v>45915.57430555556</v>
      </c>
      <c r="I1394" t="inlineStr">
        <is>
          <t>Z51.11</t>
        </is>
      </c>
      <c r="J1394" t="inlineStr">
        <is>
          <t>PY07</t>
        </is>
      </c>
      <c r="K1394" s="33" t="n">
        <v>12493.13</v>
      </c>
      <c r="L1394" s="34" t="n"/>
    </row>
    <row r="1395">
      <c r="A1395" t="inlineStr">
        <is>
          <t>ENC118476</t>
        </is>
      </c>
      <c r="B1395" t="inlineStr">
        <is>
          <t>PT13050</t>
        </is>
      </c>
      <c r="C1395" t="inlineStr">
        <is>
          <t>Emergency</t>
        </is>
      </c>
      <c r="D1395" t="inlineStr">
        <is>
          <t>F01</t>
        </is>
      </c>
      <c r="E1395" t="inlineStr">
        <is>
          <t>D100</t>
        </is>
      </c>
      <c r="G1395" s="32" t="n">
        <v>45915.50138888889</v>
      </c>
      <c r="H1395" s="32" t="n">
        <v>45915.62152777778</v>
      </c>
      <c r="I1395" t="inlineStr">
        <is>
          <t>S93.401A</t>
        </is>
      </c>
      <c r="J1395" t="inlineStr">
        <is>
          <t>PY01</t>
        </is>
      </c>
      <c r="K1395" s="33" t="n">
        <v>3106.84</v>
      </c>
      <c r="L1395" s="34" t="n"/>
    </row>
    <row r="1396">
      <c r="A1396" t="inlineStr">
        <is>
          <t>ENC118475</t>
        </is>
      </c>
      <c r="B1396" t="inlineStr">
        <is>
          <t>PT12922</t>
        </is>
      </c>
      <c r="C1396" t="inlineStr">
        <is>
          <t>Inpatient</t>
        </is>
      </c>
      <c r="D1396" t="inlineStr">
        <is>
          <t>F03</t>
        </is>
      </c>
      <c r="E1396" t="inlineStr">
        <is>
          <t>D320</t>
        </is>
      </c>
      <c r="F1396" t="inlineStr">
        <is>
          <t>Emergency Department</t>
        </is>
      </c>
      <c r="G1396" s="32" t="n">
        <v>45915.64513888889</v>
      </c>
      <c r="H1396" s="32" t="n">
        <v>45921.66041666667</v>
      </c>
      <c r="I1396" t="inlineStr">
        <is>
          <t>I50.9</t>
        </is>
      </c>
      <c r="J1396" t="inlineStr">
        <is>
          <t>PY01</t>
        </is>
      </c>
      <c r="K1396" s="33" t="n">
        <v>49963.78</v>
      </c>
      <c r="L1396" s="34" t="n"/>
    </row>
    <row r="1397">
      <c r="A1397" t="inlineStr">
        <is>
          <t>ENC118486</t>
        </is>
      </c>
      <c r="B1397" t="inlineStr">
        <is>
          <t>PT12465</t>
        </is>
      </c>
      <c r="C1397" t="inlineStr">
        <is>
          <t>Emergency</t>
        </is>
      </c>
      <c r="D1397" t="inlineStr">
        <is>
          <t>F01</t>
        </is>
      </c>
      <c r="E1397" t="inlineStr">
        <is>
          <t>D100</t>
        </is>
      </c>
      <c r="G1397" s="32" t="n">
        <v>45915.66805555556</v>
      </c>
      <c r="H1397" s="32" t="n">
        <v>45915.81180555555</v>
      </c>
      <c r="I1397" t="inlineStr">
        <is>
          <t>J21.9</t>
        </is>
      </c>
      <c r="J1397" t="inlineStr">
        <is>
          <t>PY03</t>
        </is>
      </c>
      <c r="K1397" s="33" t="n">
        <v>5029.21</v>
      </c>
      <c r="L1397" s="34" t="n"/>
    </row>
    <row r="1398">
      <c r="A1398" t="inlineStr">
        <is>
          <t>ENC118492</t>
        </is>
      </c>
      <c r="B1398" t="inlineStr">
        <is>
          <t>PT11377</t>
        </is>
      </c>
      <c r="C1398" t="inlineStr">
        <is>
          <t>Inpatient</t>
        </is>
      </c>
      <c r="D1398" t="inlineStr">
        <is>
          <t>F01</t>
        </is>
      </c>
      <c r="E1398" t="inlineStr">
        <is>
          <t>D170</t>
        </is>
      </c>
      <c r="F1398" t="inlineStr">
        <is>
          <t>Direct Admit</t>
        </is>
      </c>
      <c r="G1398" s="32" t="n">
        <v>45915.99583333333</v>
      </c>
      <c r="H1398" s="32" t="n">
        <v>45918.55277777778</v>
      </c>
      <c r="I1398" t="inlineStr">
        <is>
          <t>O80</t>
        </is>
      </c>
      <c r="J1398" t="inlineStr">
        <is>
          <t>PY03</t>
        </is>
      </c>
      <c r="K1398" s="33" t="n">
        <v>18368.14</v>
      </c>
      <c r="L1398" s="34" t="n"/>
    </row>
    <row r="1399">
      <c r="A1399" t="inlineStr">
        <is>
          <t>ENC118497</t>
        </is>
      </c>
      <c r="B1399" t="inlineStr">
        <is>
          <t>PT12557</t>
        </is>
      </c>
      <c r="C1399" t="inlineStr">
        <is>
          <t>Outpatient</t>
        </is>
      </c>
      <c r="D1399" t="inlineStr">
        <is>
          <t>F04</t>
        </is>
      </c>
      <c r="E1399" t="inlineStr">
        <is>
          <t>D400</t>
        </is>
      </c>
      <c r="G1399" s="32" t="n">
        <v>45916.35416666666</v>
      </c>
      <c r="H1399" s="32" t="n">
        <v>45916.39027777778</v>
      </c>
      <c r="I1399" t="inlineStr">
        <is>
          <t>Z00.00</t>
        </is>
      </c>
      <c r="J1399" t="inlineStr">
        <is>
          <t>PY03</t>
        </is>
      </c>
      <c r="K1399" s="33" t="n">
        <v>377.28</v>
      </c>
      <c r="L1399" s="34" t="n"/>
    </row>
    <row r="1400">
      <c r="A1400" t="inlineStr">
        <is>
          <t>ENC118504</t>
        </is>
      </c>
      <c r="B1400" t="inlineStr">
        <is>
          <t>PT11299</t>
        </is>
      </c>
      <c r="C1400" t="inlineStr">
        <is>
          <t>Outpatient</t>
        </is>
      </c>
      <c r="D1400" t="inlineStr">
        <is>
          <t>F04</t>
        </is>
      </c>
      <c r="E1400" t="inlineStr">
        <is>
          <t>D450</t>
        </is>
      </c>
      <c r="G1400" s="32" t="n">
        <v>45916.46875</v>
      </c>
      <c r="H1400" s="32" t="n">
        <v>45916.50416666667</v>
      </c>
      <c r="I1400" t="inlineStr">
        <is>
          <t>Z00.129</t>
        </is>
      </c>
      <c r="J1400" t="inlineStr">
        <is>
          <t>PY06</t>
        </is>
      </c>
      <c r="K1400" s="33" t="n">
        <v>464.13</v>
      </c>
      <c r="L1400" s="34" t="n"/>
    </row>
    <row r="1401">
      <c r="A1401" t="inlineStr">
        <is>
          <t>ENC118511</t>
        </is>
      </c>
      <c r="B1401" t="inlineStr">
        <is>
          <t>PT10730</t>
        </is>
      </c>
      <c r="C1401" t="inlineStr">
        <is>
          <t>Outpatient</t>
        </is>
      </c>
      <c r="D1401" t="inlineStr">
        <is>
          <t>F04</t>
        </is>
      </c>
      <c r="E1401" t="inlineStr">
        <is>
          <t>D450</t>
        </is>
      </c>
      <c r="G1401" s="32" t="n">
        <v>45916.54166666666</v>
      </c>
      <c r="H1401" s="32" t="n">
        <v>45916.57013888889</v>
      </c>
      <c r="I1401" t="inlineStr">
        <is>
          <t>H66.90</t>
        </is>
      </c>
      <c r="J1401" t="inlineStr">
        <is>
          <t>PY05</t>
        </is>
      </c>
      <c r="K1401" s="33" t="n">
        <v>307.43</v>
      </c>
      <c r="L1401" s="34" t="n"/>
    </row>
    <row r="1402">
      <c r="A1402" t="inlineStr">
        <is>
          <t>ENC118515</t>
        </is>
      </c>
      <c r="B1402" t="inlineStr">
        <is>
          <t>PT11500</t>
        </is>
      </c>
      <c r="C1402" t="inlineStr">
        <is>
          <t>Observation</t>
        </is>
      </c>
      <c r="D1402" t="inlineStr">
        <is>
          <t>F01</t>
        </is>
      </c>
      <c r="E1402" t="inlineStr">
        <is>
          <t>D195</t>
        </is>
      </c>
      <c r="F1402" t="inlineStr">
        <is>
          <t>Direct Admit</t>
        </is>
      </c>
      <c r="G1402" s="32" t="n">
        <v>45916.69375</v>
      </c>
      <c r="H1402" s="32" t="n">
        <v>45917.61944444444</v>
      </c>
      <c r="I1402" t="inlineStr">
        <is>
          <t>E86.0</t>
        </is>
      </c>
      <c r="J1402" t="inlineStr">
        <is>
          <t>PY01</t>
        </is>
      </c>
      <c r="K1402" s="33" t="n">
        <v>5143.63</v>
      </c>
      <c r="L1402" s="34" t="n"/>
    </row>
    <row r="1403">
      <c r="A1403" t="inlineStr">
        <is>
          <t>ENC118520</t>
        </is>
      </c>
      <c r="B1403" t="inlineStr">
        <is>
          <t>PT11380</t>
        </is>
      </c>
      <c r="C1403" t="inlineStr">
        <is>
          <t>Emergency</t>
        </is>
      </c>
      <c r="D1403" t="inlineStr">
        <is>
          <t>F01</t>
        </is>
      </c>
      <c r="E1403" t="inlineStr">
        <is>
          <t>D100</t>
        </is>
      </c>
      <c r="G1403" s="32" t="n">
        <v>45916.96319444444</v>
      </c>
      <c r="H1403" s="32" t="n">
        <v>45917.06319444445</v>
      </c>
      <c r="I1403" t="inlineStr">
        <is>
          <t>N39.0</t>
        </is>
      </c>
      <c r="J1403" t="inlineStr">
        <is>
          <t>PY01</t>
        </is>
      </c>
      <c r="K1403" s="33" t="n">
        <v>3031.41</v>
      </c>
      <c r="L1403" s="34" t="n"/>
    </row>
    <row r="1404">
      <c r="A1404" t="inlineStr">
        <is>
          <t>ENC118525</t>
        </is>
      </c>
      <c r="B1404" t="inlineStr">
        <is>
          <t>PT12188</t>
        </is>
      </c>
      <c r="C1404" t="inlineStr">
        <is>
          <t>Outpatient</t>
        </is>
      </c>
      <c r="D1404" t="inlineStr">
        <is>
          <t>F04</t>
        </is>
      </c>
      <c r="E1404" t="inlineStr">
        <is>
          <t>D400</t>
        </is>
      </c>
      <c r="G1404" s="32" t="n">
        <v>45917.36458333334</v>
      </c>
      <c r="H1404" s="32" t="n">
        <v>45917.38819444444</v>
      </c>
      <c r="I1404" t="inlineStr">
        <is>
          <t>Z00.00</t>
        </is>
      </c>
      <c r="J1404" t="inlineStr">
        <is>
          <t>PY03</t>
        </is>
      </c>
      <c r="K1404" s="33" t="n">
        <v>228.08</v>
      </c>
      <c r="L1404" s="34" t="n"/>
    </row>
    <row r="1405">
      <c r="A1405" t="inlineStr">
        <is>
          <t>ENC118532</t>
        </is>
      </c>
      <c r="B1405" t="inlineStr">
        <is>
          <t>PT13385</t>
        </is>
      </c>
      <c r="C1405" t="inlineStr">
        <is>
          <t>Emergency</t>
        </is>
      </c>
      <c r="D1405" t="inlineStr">
        <is>
          <t>F01</t>
        </is>
      </c>
      <c r="E1405" t="inlineStr">
        <is>
          <t>D100</t>
        </is>
      </c>
      <c r="G1405" s="32" t="n">
        <v>45917.45625</v>
      </c>
      <c r="H1405" s="32" t="n">
        <v>45917.63680555556</v>
      </c>
      <c r="I1405" t="inlineStr">
        <is>
          <t>J45.909</t>
        </is>
      </c>
      <c r="J1405" t="inlineStr">
        <is>
          <t>PY07</t>
        </is>
      </c>
      <c r="K1405" s="33" t="n">
        <v>2335.19</v>
      </c>
      <c r="L1405" s="34" t="n"/>
    </row>
    <row r="1406">
      <c r="A1406" t="inlineStr">
        <is>
          <t>ENC118537</t>
        </is>
      </c>
      <c r="B1406" t="inlineStr">
        <is>
          <t>PT12342</t>
        </is>
      </c>
      <c r="C1406" t="inlineStr">
        <is>
          <t>Outpatient</t>
        </is>
      </c>
      <c r="D1406" t="inlineStr">
        <is>
          <t>F04</t>
        </is>
      </c>
      <c r="E1406" t="inlineStr">
        <is>
          <t>D400</t>
        </is>
      </c>
      <c r="G1406" s="32" t="n">
        <v>45917.51041666666</v>
      </c>
      <c r="H1406" s="32" t="n">
        <v>45917.52986111111</v>
      </c>
      <c r="I1406" t="inlineStr">
        <is>
          <t>I10</t>
        </is>
      </c>
      <c r="J1406" t="inlineStr">
        <is>
          <t>PY06</t>
        </is>
      </c>
      <c r="K1406" s="33" t="n">
        <v>262.79</v>
      </c>
      <c r="L1406" s="34" t="n"/>
    </row>
    <row r="1407">
      <c r="A1407" t="inlineStr">
        <is>
          <t>ENC118538</t>
        </is>
      </c>
      <c r="B1407" t="inlineStr">
        <is>
          <t>PT13330</t>
        </is>
      </c>
      <c r="C1407" t="inlineStr">
        <is>
          <t>Inpatient</t>
        </is>
      </c>
      <c r="D1407" t="inlineStr">
        <is>
          <t>F03</t>
        </is>
      </c>
      <c r="E1407" t="inlineStr">
        <is>
          <t>D310</t>
        </is>
      </c>
      <c r="F1407" t="inlineStr">
        <is>
          <t>Emergency Department</t>
        </is>
      </c>
      <c r="G1407" s="32" t="n">
        <v>45917.64861111111</v>
      </c>
      <c r="H1407" s="32" t="n">
        <v>45920.50972222222</v>
      </c>
      <c r="I1407" t="inlineStr">
        <is>
          <t>J44.1</t>
        </is>
      </c>
      <c r="J1407" t="inlineStr">
        <is>
          <t>PY01</t>
        </is>
      </c>
      <c r="K1407" s="33" t="n">
        <v>13972.03</v>
      </c>
      <c r="L1407" s="34" t="n"/>
    </row>
    <row r="1408">
      <c r="A1408" t="inlineStr">
        <is>
          <t>ENC118549</t>
        </is>
      </c>
      <c r="B1408" t="inlineStr">
        <is>
          <t>PT12879</t>
        </is>
      </c>
      <c r="C1408" t="inlineStr">
        <is>
          <t>Emergency</t>
        </is>
      </c>
      <c r="D1408" t="inlineStr">
        <is>
          <t>F01</t>
        </is>
      </c>
      <c r="E1408" t="inlineStr">
        <is>
          <t>D100</t>
        </is>
      </c>
      <c r="G1408" s="32" t="n">
        <v>45917.80347222222</v>
      </c>
      <c r="H1408" s="32" t="n">
        <v>45917.98333333333</v>
      </c>
      <c r="I1408" t="inlineStr">
        <is>
          <t>R07.9</t>
        </is>
      </c>
      <c r="J1408" t="inlineStr">
        <is>
          <t>PY01</t>
        </is>
      </c>
      <c r="K1408" s="33" t="n">
        <v>3991.2</v>
      </c>
      <c r="L1408" s="34" t="n"/>
    </row>
    <row r="1409">
      <c r="A1409" t="inlineStr">
        <is>
          <t>ENC118553</t>
        </is>
      </c>
      <c r="B1409" t="inlineStr">
        <is>
          <t>PT12269</t>
        </is>
      </c>
      <c r="C1409" t="inlineStr">
        <is>
          <t>Emergency</t>
        </is>
      </c>
      <c r="D1409" t="inlineStr">
        <is>
          <t>F01</t>
        </is>
      </c>
      <c r="E1409" t="inlineStr">
        <is>
          <t>D100</t>
        </is>
      </c>
      <c r="G1409" s="32" t="n">
        <v>45918.05902777778</v>
      </c>
      <c r="H1409" s="32" t="n">
        <v>45918.19097222222</v>
      </c>
      <c r="I1409" t="inlineStr">
        <is>
          <t>R07.9</t>
        </is>
      </c>
      <c r="J1409" t="inlineStr">
        <is>
          <t>PY02</t>
        </is>
      </c>
      <c r="K1409" s="33" t="n">
        <v>3209.46</v>
      </c>
      <c r="L1409" s="34" t="n"/>
    </row>
    <row r="1410">
      <c r="A1410" t="inlineStr">
        <is>
          <t>ENC118559</t>
        </is>
      </c>
      <c r="B1410" t="inlineStr">
        <is>
          <t>PT12187</t>
        </is>
      </c>
      <c r="C1410" t="inlineStr">
        <is>
          <t>Outpatient</t>
        </is>
      </c>
      <c r="D1410" t="inlineStr">
        <is>
          <t>F04</t>
        </is>
      </c>
      <c r="E1410" t="inlineStr">
        <is>
          <t>D400</t>
        </is>
      </c>
      <c r="G1410" s="32" t="n">
        <v>45918.41666666666</v>
      </c>
      <c r="H1410" s="32" t="n">
        <v>45918.42916666667</v>
      </c>
      <c r="I1410" t="inlineStr">
        <is>
          <t>L03.115</t>
        </is>
      </c>
      <c r="J1410" t="inlineStr">
        <is>
          <t>PY02</t>
        </is>
      </c>
      <c r="K1410" s="33" t="n">
        <v>228.68</v>
      </c>
      <c r="L1410" s="34" t="n"/>
    </row>
    <row r="1411">
      <c r="A1411" t="inlineStr">
        <is>
          <t>ENC118565</t>
        </is>
      </c>
      <c r="B1411" t="inlineStr">
        <is>
          <t>PT11683</t>
        </is>
      </c>
      <c r="C1411" t="inlineStr">
        <is>
          <t>Outpatient</t>
        </is>
      </c>
      <c r="D1411" t="inlineStr">
        <is>
          <t>F04</t>
        </is>
      </c>
      <c r="E1411" t="inlineStr">
        <is>
          <t>D420</t>
        </is>
      </c>
      <c r="G1411" s="32" t="n">
        <v>45918.55208333334</v>
      </c>
      <c r="H1411" s="32" t="n">
        <v>45918.58958333333</v>
      </c>
      <c r="I1411" t="inlineStr">
        <is>
          <t>M16.11</t>
        </is>
      </c>
      <c r="J1411" t="inlineStr">
        <is>
          <t>PY01</t>
        </is>
      </c>
      <c r="K1411" s="33" t="n">
        <v>369.82</v>
      </c>
      <c r="L1411" s="34" t="n"/>
    </row>
    <row r="1412">
      <c r="A1412" t="inlineStr">
        <is>
          <t>ENC118571</t>
        </is>
      </c>
      <c r="B1412" t="inlineStr">
        <is>
          <t>PT12970</t>
        </is>
      </c>
      <c r="C1412" t="inlineStr">
        <is>
          <t>Outpatient</t>
        </is>
      </c>
      <c r="D1412" t="inlineStr">
        <is>
          <t>F04</t>
        </is>
      </c>
      <c r="E1412" t="inlineStr">
        <is>
          <t>D450</t>
        </is>
      </c>
      <c r="G1412" s="32" t="n">
        <v>45918.625</v>
      </c>
      <c r="H1412" s="32" t="n">
        <v>45918.64861111111</v>
      </c>
      <c r="I1412" t="inlineStr">
        <is>
          <t>Z00.129</t>
        </is>
      </c>
      <c r="J1412" t="inlineStr">
        <is>
          <t>PY04</t>
        </is>
      </c>
      <c r="K1412" s="33" t="n">
        <v>348.91</v>
      </c>
      <c r="L1412" s="34" t="n"/>
    </row>
    <row r="1413">
      <c r="A1413" t="inlineStr">
        <is>
          <t>ENC118576</t>
        </is>
      </c>
      <c r="B1413" t="inlineStr">
        <is>
          <t>PT12766</t>
        </is>
      </c>
      <c r="C1413" t="inlineStr">
        <is>
          <t>Emergency</t>
        </is>
      </c>
      <c r="D1413" t="inlineStr">
        <is>
          <t>F01</t>
        </is>
      </c>
      <c r="E1413" t="inlineStr">
        <is>
          <t>D100</t>
        </is>
      </c>
      <c r="G1413" s="32" t="n">
        <v>45918.73125</v>
      </c>
      <c r="H1413" s="32" t="n">
        <v>45918.79652777778</v>
      </c>
      <c r="I1413" t="inlineStr">
        <is>
          <t>G43.909</t>
        </is>
      </c>
      <c r="J1413" t="inlineStr">
        <is>
          <t>PY06</t>
        </is>
      </c>
      <c r="K1413" s="33" t="n">
        <v>2414.65</v>
      </c>
      <c r="L1413" s="34" t="n"/>
    </row>
    <row r="1414">
      <c r="A1414" t="inlineStr">
        <is>
          <t>ENC118581</t>
        </is>
      </c>
      <c r="B1414" t="inlineStr">
        <is>
          <t>PT10770</t>
        </is>
      </c>
      <c r="C1414" t="inlineStr">
        <is>
          <t>Inpatient</t>
        </is>
      </c>
      <c r="D1414" t="inlineStr">
        <is>
          <t>F01</t>
        </is>
      </c>
      <c r="E1414" t="inlineStr">
        <is>
          <t>D110</t>
        </is>
      </c>
      <c r="F1414" t="inlineStr">
        <is>
          <t>Emergency Department</t>
        </is>
      </c>
      <c r="G1414" s="32" t="n">
        <v>45919.13125</v>
      </c>
      <c r="H1414" s="32" t="n">
        <v>45927.49513888889</v>
      </c>
      <c r="I1414" t="inlineStr">
        <is>
          <t>A41.9</t>
        </is>
      </c>
      <c r="J1414" t="inlineStr">
        <is>
          <t>PY04</t>
        </is>
      </c>
      <c r="K1414" s="33" t="n">
        <v>63655.31</v>
      </c>
      <c r="L1414" s="34" t="n"/>
    </row>
    <row r="1415">
      <c r="A1415" t="inlineStr">
        <is>
          <t>ENC118585</t>
        </is>
      </c>
      <c r="B1415" t="inlineStr">
        <is>
          <t>PT11664</t>
        </is>
      </c>
      <c r="C1415" t="inlineStr">
        <is>
          <t>Inpatient</t>
        </is>
      </c>
      <c r="D1415" t="inlineStr">
        <is>
          <t>F01</t>
        </is>
      </c>
      <c r="E1415" t="inlineStr">
        <is>
          <t>D170</t>
        </is>
      </c>
      <c r="F1415" t="inlineStr">
        <is>
          <t>Emergency Department</t>
        </is>
      </c>
      <c r="G1415" s="32" t="n">
        <v>45919.38263888889</v>
      </c>
      <c r="H1415" s="32" t="n">
        <v>45922.61041666667</v>
      </c>
      <c r="I1415" t="inlineStr">
        <is>
          <t>O80</t>
        </is>
      </c>
      <c r="J1415" t="inlineStr">
        <is>
          <t>PY03</t>
        </is>
      </c>
      <c r="K1415" s="33" t="n">
        <v>19638.6</v>
      </c>
      <c r="L1415" s="34" t="n"/>
    </row>
    <row r="1416">
      <c r="A1416" t="inlineStr">
        <is>
          <t>ENC118592</t>
        </is>
      </c>
      <c r="B1416" t="inlineStr">
        <is>
          <t>PT10990</t>
        </is>
      </c>
      <c r="C1416" t="inlineStr">
        <is>
          <t>Emergency</t>
        </is>
      </c>
      <c r="D1416" t="inlineStr">
        <is>
          <t>F01</t>
        </is>
      </c>
      <c r="E1416" t="inlineStr">
        <is>
          <t>D100</t>
        </is>
      </c>
      <c r="G1416" s="32" t="n">
        <v>45919.51527777778</v>
      </c>
      <c r="H1416" s="32" t="n">
        <v>45919.59097222222</v>
      </c>
      <c r="I1416" t="inlineStr">
        <is>
          <t>J06.9</t>
        </is>
      </c>
      <c r="J1416" t="inlineStr">
        <is>
          <t>PY03</t>
        </is>
      </c>
      <c r="K1416" s="33" t="n">
        <v>1589.9</v>
      </c>
      <c r="L1416" s="34" t="n"/>
    </row>
    <row r="1417">
      <c r="A1417" t="inlineStr">
        <is>
          <t>ENC118599</t>
        </is>
      </c>
      <c r="B1417" t="inlineStr">
        <is>
          <t>PT13585</t>
        </is>
      </c>
      <c r="C1417" t="inlineStr">
        <is>
          <t>Emergency</t>
        </is>
      </c>
      <c r="D1417" t="inlineStr">
        <is>
          <t>F01</t>
        </is>
      </c>
      <c r="E1417" t="inlineStr">
        <is>
          <t>D100</t>
        </is>
      </c>
      <c r="G1417" s="32" t="n">
        <v>45919.59861111111</v>
      </c>
      <c r="H1417" s="32" t="n">
        <v>45919.80347222222</v>
      </c>
      <c r="I1417" t="inlineStr">
        <is>
          <t>S93.401A</t>
        </is>
      </c>
      <c r="J1417" t="inlineStr">
        <is>
          <t>PY06</t>
        </is>
      </c>
      <c r="K1417" s="33" t="n">
        <v>1099.54</v>
      </c>
      <c r="L1417" s="34" t="n"/>
    </row>
    <row r="1418">
      <c r="A1418" t="inlineStr">
        <is>
          <t>ENC118595</t>
        </is>
      </c>
      <c r="B1418" t="inlineStr">
        <is>
          <t>PT11072</t>
        </is>
      </c>
      <c r="C1418" t="inlineStr">
        <is>
          <t>Inpatient</t>
        </is>
      </c>
      <c r="D1418" t="inlineStr">
        <is>
          <t>F01</t>
        </is>
      </c>
      <c r="E1418" t="inlineStr">
        <is>
          <t>D150</t>
        </is>
      </c>
      <c r="F1418" t="inlineStr">
        <is>
          <t>Emergency Department</t>
        </is>
      </c>
      <c r="G1418" s="32" t="n">
        <v>45919.73055555556</v>
      </c>
      <c r="H1418" s="32" t="n">
        <v>45925.45208333333</v>
      </c>
      <c r="I1418" t="inlineStr">
        <is>
          <t>C34.90</t>
        </is>
      </c>
      <c r="J1418" t="inlineStr">
        <is>
          <t>PY06</t>
        </is>
      </c>
      <c r="K1418" s="33" t="n">
        <v>23220.85</v>
      </c>
      <c r="L1418" s="34" t="n"/>
    </row>
    <row r="1419">
      <c r="A1419" t="inlineStr">
        <is>
          <t>ENC118608</t>
        </is>
      </c>
      <c r="B1419" t="inlineStr">
        <is>
          <t>PT10640</t>
        </is>
      </c>
      <c r="C1419" t="inlineStr">
        <is>
          <t>Inpatient</t>
        </is>
      </c>
      <c r="D1419" t="inlineStr">
        <is>
          <t>F01</t>
        </is>
      </c>
      <c r="E1419" t="inlineStr">
        <is>
          <t>D111</t>
        </is>
      </c>
      <c r="F1419" t="inlineStr">
        <is>
          <t>Emergency Department</t>
        </is>
      </c>
      <c r="G1419" s="32" t="n">
        <v>45920.12569444445</v>
      </c>
      <c r="H1419" s="32" t="n">
        <v>45921.61180555556</v>
      </c>
      <c r="I1419" t="inlineStr">
        <is>
          <t>J45.909</t>
        </is>
      </c>
      <c r="J1419" t="inlineStr">
        <is>
          <t>PY07</t>
        </is>
      </c>
      <c r="K1419" s="33" t="n">
        <v>7720.11</v>
      </c>
      <c r="L1419" s="34" t="n"/>
    </row>
    <row r="1420">
      <c r="A1420" t="inlineStr">
        <is>
          <t>ENC118612</t>
        </is>
      </c>
      <c r="B1420" t="inlineStr">
        <is>
          <t>PT13392</t>
        </is>
      </c>
      <c r="C1420" t="inlineStr">
        <is>
          <t>Inpatient</t>
        </is>
      </c>
      <c r="D1420" t="inlineStr">
        <is>
          <t>F01</t>
        </is>
      </c>
      <c r="E1420" t="inlineStr">
        <is>
          <t>D111</t>
        </is>
      </c>
      <c r="F1420" t="inlineStr">
        <is>
          <t>Emergency Department</t>
        </is>
      </c>
      <c r="G1420" s="32" t="n">
        <v>45920.52430555555</v>
      </c>
      <c r="H1420" s="32" t="n">
        <v>45923.50347222222</v>
      </c>
      <c r="I1420" t="inlineStr">
        <is>
          <t>K92.2</t>
        </is>
      </c>
      <c r="J1420" t="inlineStr">
        <is>
          <t>PY02</t>
        </is>
      </c>
      <c r="K1420" s="33" t="n">
        <v>18961.1</v>
      </c>
      <c r="L1420" s="34" t="n"/>
    </row>
    <row r="1421">
      <c r="A1421" t="inlineStr">
        <is>
          <t>ENC118617</t>
        </is>
      </c>
      <c r="B1421" t="inlineStr">
        <is>
          <t>PT13989</t>
        </is>
      </c>
      <c r="C1421" t="inlineStr">
        <is>
          <t>Inpatient</t>
        </is>
      </c>
      <c r="D1421" t="inlineStr">
        <is>
          <t>F01</t>
        </is>
      </c>
      <c r="E1421" t="inlineStr">
        <is>
          <t>D150</t>
        </is>
      </c>
      <c r="F1421" t="inlineStr">
        <is>
          <t>Emergency Department</t>
        </is>
      </c>
      <c r="G1421" s="32" t="n">
        <v>45920.72986111111</v>
      </c>
      <c r="H1421" s="32" t="n">
        <v>45925.61041666667</v>
      </c>
      <c r="I1421" t="inlineStr">
        <is>
          <t>C34.90</t>
        </is>
      </c>
      <c r="J1421" t="inlineStr">
        <is>
          <t>PY01</t>
        </is>
      </c>
      <c r="K1421" s="33" t="n">
        <v>33253.98</v>
      </c>
      <c r="L1421" s="34" t="n"/>
    </row>
    <row r="1422">
      <c r="A1422" t="inlineStr">
        <is>
          <t>ENC118623</t>
        </is>
      </c>
      <c r="B1422" t="inlineStr">
        <is>
          <t>PT13413</t>
        </is>
      </c>
      <c r="C1422" t="inlineStr">
        <is>
          <t>Inpatient</t>
        </is>
      </c>
      <c r="D1422" t="inlineStr">
        <is>
          <t>F01</t>
        </is>
      </c>
      <c r="E1422" t="inlineStr">
        <is>
          <t>D111</t>
        </is>
      </c>
      <c r="F1422" t="inlineStr">
        <is>
          <t>Emergency Department</t>
        </is>
      </c>
      <c r="G1422" s="32" t="n">
        <v>45920.94930555556</v>
      </c>
      <c r="H1422" s="32" t="n">
        <v>45924.54305555556</v>
      </c>
      <c r="I1422" t="inlineStr">
        <is>
          <t>E86.0</t>
        </is>
      </c>
      <c r="J1422" t="inlineStr">
        <is>
          <t>PY04</t>
        </is>
      </c>
      <c r="K1422" s="33" t="n">
        <v>14726.97</v>
      </c>
      <c r="L1422" s="34" t="n"/>
    </row>
    <row r="1423">
      <c r="A1423" t="inlineStr">
        <is>
          <t>ENC118631</t>
        </is>
      </c>
      <c r="B1423" t="inlineStr">
        <is>
          <t>PT12139</t>
        </is>
      </c>
      <c r="C1423" t="inlineStr">
        <is>
          <t>Inpatient</t>
        </is>
      </c>
      <c r="D1423" t="inlineStr">
        <is>
          <t>F03</t>
        </is>
      </c>
      <c r="E1423" t="inlineStr">
        <is>
          <t>D310</t>
        </is>
      </c>
      <c r="F1423" t="inlineStr">
        <is>
          <t>Emergency Department</t>
        </is>
      </c>
      <c r="G1423" s="32" t="n">
        <v>45921.59097222222</v>
      </c>
      <c r="H1423" s="32" t="n">
        <v>45925.49236111111</v>
      </c>
      <c r="I1423" t="inlineStr">
        <is>
          <t>K92.2</t>
        </is>
      </c>
      <c r="J1423" t="inlineStr">
        <is>
          <t>PY03</t>
        </is>
      </c>
      <c r="K1423" s="33" t="n">
        <v>21975.22</v>
      </c>
      <c r="L1423" s="34" t="n"/>
    </row>
    <row r="1424">
      <c r="A1424" t="inlineStr">
        <is>
          <t>ENC118637</t>
        </is>
      </c>
      <c r="B1424" t="inlineStr">
        <is>
          <t>PT10712</t>
        </is>
      </c>
      <c r="C1424" t="inlineStr">
        <is>
          <t>Emergency</t>
        </is>
      </c>
      <c r="D1424" t="inlineStr">
        <is>
          <t>F01</t>
        </is>
      </c>
      <c r="E1424" t="inlineStr">
        <is>
          <t>D100</t>
        </is>
      </c>
      <c r="G1424" s="32" t="n">
        <v>45921.89305555556</v>
      </c>
      <c r="H1424" s="32" t="n">
        <v>45922.00277777778</v>
      </c>
      <c r="I1424" t="inlineStr">
        <is>
          <t>L03.115</t>
        </is>
      </c>
      <c r="J1424" t="inlineStr">
        <is>
          <t>PY03</t>
        </is>
      </c>
      <c r="K1424" s="33" t="n">
        <v>2759.56</v>
      </c>
      <c r="L1424" s="34" t="n"/>
    </row>
    <row r="1425">
      <c r="A1425" t="inlineStr">
        <is>
          <t>ENC118642</t>
        </is>
      </c>
      <c r="B1425" t="inlineStr">
        <is>
          <t>PT11706</t>
        </is>
      </c>
      <c r="C1425" t="inlineStr">
        <is>
          <t>Emergency</t>
        </is>
      </c>
      <c r="D1425" t="inlineStr">
        <is>
          <t>F01</t>
        </is>
      </c>
      <c r="E1425" t="inlineStr">
        <is>
          <t>D100</t>
        </is>
      </c>
      <c r="G1425" s="32" t="n">
        <v>45922.36458333334</v>
      </c>
      <c r="H1425" s="32" t="n">
        <v>45922.54513888889</v>
      </c>
      <c r="I1425" t="inlineStr">
        <is>
          <t>N39.0</t>
        </is>
      </c>
      <c r="J1425" t="inlineStr">
        <is>
          <t>PY02</t>
        </is>
      </c>
      <c r="K1425" s="33" t="n">
        <v>4183.29</v>
      </c>
      <c r="L1425" s="34" t="n"/>
    </row>
    <row r="1426">
      <c r="A1426" t="inlineStr">
        <is>
          <t>ENC118649</t>
        </is>
      </c>
      <c r="B1426" t="inlineStr">
        <is>
          <t>PT10249</t>
        </is>
      </c>
      <c r="C1426" t="inlineStr">
        <is>
          <t>Emergency</t>
        </is>
      </c>
      <c r="D1426" t="inlineStr">
        <is>
          <t>F01</t>
        </is>
      </c>
      <c r="E1426" t="inlineStr">
        <is>
          <t>D100</t>
        </is>
      </c>
      <c r="G1426" s="32" t="n">
        <v>45922.41944444444</v>
      </c>
      <c r="H1426" s="32" t="n">
        <v>45922.60833333333</v>
      </c>
      <c r="I1426" t="inlineStr">
        <is>
          <t>R07.9</t>
        </is>
      </c>
      <c r="J1426" t="inlineStr">
        <is>
          <t>PY01</t>
        </is>
      </c>
      <c r="K1426" s="33" t="n">
        <v>6856.37</v>
      </c>
      <c r="L1426" s="34" t="n"/>
    </row>
    <row r="1427">
      <c r="A1427" t="inlineStr">
        <is>
          <t>ENC118655</t>
        </is>
      </c>
      <c r="B1427" t="inlineStr">
        <is>
          <t>PT12712</t>
        </is>
      </c>
      <c r="C1427" t="inlineStr">
        <is>
          <t>Outpatient</t>
        </is>
      </c>
      <c r="D1427" t="inlineStr">
        <is>
          <t>F04</t>
        </is>
      </c>
      <c r="E1427" t="inlineStr">
        <is>
          <t>D400</t>
        </is>
      </c>
      <c r="G1427" s="32" t="n">
        <v>45922.48958333334</v>
      </c>
      <c r="H1427" s="32" t="n">
        <v>45922.50902777778</v>
      </c>
      <c r="I1427" t="inlineStr">
        <is>
          <t>I10</t>
        </is>
      </c>
      <c r="J1427" t="inlineStr">
        <is>
          <t>PY02</t>
        </is>
      </c>
      <c r="K1427" s="33" t="n">
        <v>198.76</v>
      </c>
      <c r="L1427" s="34" t="n"/>
    </row>
    <row r="1428">
      <c r="A1428" t="inlineStr">
        <is>
          <t>ENC118661</t>
        </is>
      </c>
      <c r="B1428" t="inlineStr">
        <is>
          <t>PT13350</t>
        </is>
      </c>
      <c r="C1428" t="inlineStr">
        <is>
          <t>Outpatient</t>
        </is>
      </c>
      <c r="D1428" t="inlineStr">
        <is>
          <t>F04</t>
        </is>
      </c>
      <c r="E1428" t="inlineStr">
        <is>
          <t>D420</t>
        </is>
      </c>
      <c r="G1428" s="32" t="n">
        <v>45922.55208333334</v>
      </c>
      <c r="H1428" s="32" t="n">
        <v>45922.58541666667</v>
      </c>
      <c r="I1428" t="inlineStr">
        <is>
          <t>M16.11</t>
        </is>
      </c>
      <c r="J1428" t="inlineStr">
        <is>
          <t>PY05</t>
        </is>
      </c>
      <c r="K1428" s="33" t="n">
        <v>245.44</v>
      </c>
      <c r="L1428" s="34" t="n"/>
    </row>
    <row r="1429">
      <c r="A1429" t="inlineStr">
        <is>
          <t>ENC118665</t>
        </is>
      </c>
      <c r="B1429" t="inlineStr">
        <is>
          <t>PT11301</t>
        </is>
      </c>
      <c r="C1429" t="inlineStr">
        <is>
          <t>Outpatient</t>
        </is>
      </c>
      <c r="D1429" t="inlineStr">
        <is>
          <t>F04</t>
        </is>
      </c>
      <c r="E1429" t="inlineStr">
        <is>
          <t>D400</t>
        </is>
      </c>
      <c r="G1429" s="32" t="n">
        <v>45922.63541666666</v>
      </c>
      <c r="H1429" s="32" t="n">
        <v>45922.64930555555</v>
      </c>
      <c r="I1429" t="inlineStr">
        <is>
          <t>I10</t>
        </is>
      </c>
      <c r="J1429" t="inlineStr">
        <is>
          <t>PY04</t>
        </is>
      </c>
      <c r="K1429" s="33" t="n">
        <v>345.32</v>
      </c>
      <c r="L1429" s="34" t="n"/>
    </row>
    <row r="1430">
      <c r="A1430" t="inlineStr">
        <is>
          <t>ENC118667</t>
        </is>
      </c>
      <c r="B1430" t="inlineStr">
        <is>
          <t>PT13908</t>
        </is>
      </c>
      <c r="C1430" t="inlineStr">
        <is>
          <t>Inpatient</t>
        </is>
      </c>
      <c r="D1430" t="inlineStr">
        <is>
          <t>F01</t>
        </is>
      </c>
      <c r="E1430" t="inlineStr">
        <is>
          <t>D111</t>
        </is>
      </c>
      <c r="F1430" t="inlineStr">
        <is>
          <t>Emergency Department</t>
        </is>
      </c>
      <c r="G1430" s="32" t="n">
        <v>45922.74027777778</v>
      </c>
      <c r="H1430" s="32" t="n">
        <v>45931.56111111111</v>
      </c>
      <c r="I1430" t="inlineStr">
        <is>
          <t>J18.9</t>
        </is>
      </c>
      <c r="J1430" t="inlineStr">
        <is>
          <t>PY06</t>
        </is>
      </c>
      <c r="K1430" s="33" t="n">
        <v>37997.22</v>
      </c>
      <c r="L1430" s="34" t="n"/>
    </row>
    <row r="1431">
      <c r="A1431" t="inlineStr">
        <is>
          <t>ENC118673</t>
        </is>
      </c>
      <c r="B1431" t="inlineStr">
        <is>
          <t>PT12778</t>
        </is>
      </c>
      <c r="C1431" t="inlineStr">
        <is>
          <t>Inpatient</t>
        </is>
      </c>
      <c r="D1431" t="inlineStr">
        <is>
          <t>F01</t>
        </is>
      </c>
      <c r="E1431" t="inlineStr">
        <is>
          <t>D120</t>
        </is>
      </c>
      <c r="F1431" t="inlineStr">
        <is>
          <t>Emergency Department</t>
        </is>
      </c>
      <c r="G1431" s="32" t="n">
        <v>45922.87152777778</v>
      </c>
      <c r="H1431" s="32" t="n">
        <v>45925.67777777778</v>
      </c>
      <c r="I1431" t="inlineStr">
        <is>
          <t>I50.9</t>
        </is>
      </c>
      <c r="J1431" t="inlineStr">
        <is>
          <t>PY01</t>
        </is>
      </c>
      <c r="K1431" s="33" t="n">
        <v>17043.6</v>
      </c>
      <c r="L1431" s="34" t="n"/>
    </row>
    <row r="1432">
      <c r="A1432" t="inlineStr">
        <is>
          <t>ENC118681</t>
        </is>
      </c>
      <c r="B1432" t="inlineStr">
        <is>
          <t>PT10556</t>
        </is>
      </c>
      <c r="C1432" t="inlineStr">
        <is>
          <t>Emergency</t>
        </is>
      </c>
      <c r="D1432" t="inlineStr">
        <is>
          <t>F01</t>
        </is>
      </c>
      <c r="E1432" t="inlineStr">
        <is>
          <t>D100</t>
        </is>
      </c>
      <c r="G1432" s="32" t="n">
        <v>45923.32361111111</v>
      </c>
      <c r="H1432" s="32" t="n">
        <v>45923.41041666667</v>
      </c>
      <c r="I1432" t="inlineStr">
        <is>
          <t>S93.401A</t>
        </is>
      </c>
      <c r="J1432" t="inlineStr">
        <is>
          <t>PY08</t>
        </is>
      </c>
      <c r="K1432" s="33" t="n">
        <v>607.1</v>
      </c>
      <c r="L1432" s="34" t="n"/>
    </row>
    <row r="1433">
      <c r="A1433" t="inlineStr">
        <is>
          <t>ENC118687</t>
        </is>
      </c>
      <c r="B1433" t="inlineStr">
        <is>
          <t>PT13324</t>
        </is>
      </c>
      <c r="C1433" t="inlineStr">
        <is>
          <t>Emergency</t>
        </is>
      </c>
      <c r="D1433" t="inlineStr">
        <is>
          <t>F03</t>
        </is>
      </c>
      <c r="E1433" t="inlineStr">
        <is>
          <t>D300</t>
        </is>
      </c>
      <c r="G1433" s="32" t="n">
        <v>45923.45208333333</v>
      </c>
      <c r="H1433" s="32" t="n">
        <v>45923.64722222222</v>
      </c>
      <c r="I1433" t="inlineStr">
        <is>
          <t>G43.909</t>
        </is>
      </c>
      <c r="J1433" t="inlineStr">
        <is>
          <t>PY05</t>
        </is>
      </c>
      <c r="K1433" s="33" t="n">
        <v>4585.04</v>
      </c>
      <c r="L1433" s="34" t="n"/>
    </row>
    <row r="1434">
      <c r="A1434" t="inlineStr">
        <is>
          <t>ENC118693</t>
        </is>
      </c>
      <c r="B1434" t="inlineStr">
        <is>
          <t>PT13767</t>
        </is>
      </c>
      <c r="C1434" t="inlineStr">
        <is>
          <t>Outpatient</t>
        </is>
      </c>
      <c r="D1434" t="inlineStr">
        <is>
          <t>F04</t>
        </is>
      </c>
      <c r="E1434" t="inlineStr">
        <is>
          <t>D430</t>
        </is>
      </c>
      <c r="G1434" s="32" t="n">
        <v>45923.57291666666</v>
      </c>
      <c r="H1434" s="32" t="n">
        <v>45923.68194444444</v>
      </c>
      <c r="I1434" t="inlineStr">
        <is>
          <t>Z51.11</t>
        </is>
      </c>
      <c r="J1434" t="inlineStr">
        <is>
          <t>PY01</t>
        </is>
      </c>
      <c r="K1434" s="33" t="n">
        <v>11656.2</v>
      </c>
      <c r="L1434" s="34" t="n"/>
    </row>
    <row r="1435">
      <c r="A1435" t="inlineStr">
        <is>
          <t>ENC118699</t>
        </is>
      </c>
      <c r="B1435" t="inlineStr">
        <is>
          <t>PT13392</t>
        </is>
      </c>
      <c r="C1435" t="inlineStr">
        <is>
          <t>Outpatient</t>
        </is>
      </c>
      <c r="D1435" t="inlineStr">
        <is>
          <t>F04</t>
        </is>
      </c>
      <c r="E1435" t="inlineStr">
        <is>
          <t>D430</t>
        </is>
      </c>
      <c r="G1435" s="32" t="n">
        <v>45923.64583333334</v>
      </c>
      <c r="H1435" s="32" t="n">
        <v>45923.85833333333</v>
      </c>
      <c r="I1435" t="inlineStr">
        <is>
          <t>Z51.11</t>
        </is>
      </c>
      <c r="J1435" t="inlineStr">
        <is>
          <t>PY02</t>
        </is>
      </c>
      <c r="K1435" s="33" t="n">
        <v>16461.87</v>
      </c>
      <c r="L1435" s="34" t="n"/>
    </row>
    <row r="1436">
      <c r="A1436" t="inlineStr">
        <is>
          <t>ENC118705</t>
        </is>
      </c>
      <c r="B1436" t="inlineStr">
        <is>
          <t>PT10769</t>
        </is>
      </c>
      <c r="C1436" t="inlineStr">
        <is>
          <t>Emergency</t>
        </is>
      </c>
      <c r="D1436" t="inlineStr">
        <is>
          <t>F01</t>
        </is>
      </c>
      <c r="E1436" t="inlineStr">
        <is>
          <t>D100</t>
        </is>
      </c>
      <c r="G1436" s="32" t="n">
        <v>45923.71875</v>
      </c>
      <c r="H1436" s="32" t="n">
        <v>45923.86041666667</v>
      </c>
      <c r="I1436" t="inlineStr">
        <is>
          <t>R10.9</t>
        </is>
      </c>
      <c r="J1436" t="inlineStr">
        <is>
          <t>PY01</t>
        </is>
      </c>
      <c r="K1436" s="33" t="n">
        <v>2424.14</v>
      </c>
      <c r="L1436" s="34" t="n"/>
    </row>
    <row r="1437">
      <c r="A1437" t="inlineStr">
        <is>
          <t>ENC118712</t>
        </is>
      </c>
      <c r="B1437" t="inlineStr">
        <is>
          <t>PT12578</t>
        </is>
      </c>
      <c r="C1437" t="inlineStr">
        <is>
          <t>Inpatient</t>
        </is>
      </c>
      <c r="D1437" t="inlineStr">
        <is>
          <t>F01</t>
        </is>
      </c>
      <c r="E1437" t="inlineStr">
        <is>
          <t>D111</t>
        </is>
      </c>
      <c r="F1437" t="inlineStr">
        <is>
          <t>Direct Admit</t>
        </is>
      </c>
      <c r="G1437" s="32" t="n">
        <v>45923.86944444444</v>
      </c>
      <c r="H1437" s="32" t="n">
        <v>45930.53888888889</v>
      </c>
      <c r="I1437" t="inlineStr">
        <is>
          <t>N17.9</t>
        </is>
      </c>
      <c r="J1437" t="inlineStr">
        <is>
          <t>PY02</t>
        </is>
      </c>
      <c r="K1437" s="33" t="n">
        <v>32248.78</v>
      </c>
      <c r="L1437" s="34" t="n"/>
    </row>
    <row r="1438">
      <c r="A1438" t="inlineStr">
        <is>
          <t>ENC118718</t>
        </is>
      </c>
      <c r="B1438" t="inlineStr">
        <is>
          <t>PT11638</t>
        </is>
      </c>
      <c r="C1438" t="inlineStr">
        <is>
          <t>Emergency</t>
        </is>
      </c>
      <c r="D1438" t="inlineStr">
        <is>
          <t>F01</t>
        </is>
      </c>
      <c r="E1438" t="inlineStr">
        <is>
          <t>D100</t>
        </is>
      </c>
      <c r="G1438" s="32" t="n">
        <v>45923.96319444444</v>
      </c>
      <c r="H1438" s="32" t="n">
        <v>45924.07361111111</v>
      </c>
      <c r="I1438" t="inlineStr">
        <is>
          <t>I10</t>
        </is>
      </c>
      <c r="J1438" t="inlineStr">
        <is>
          <t>PY04</t>
        </is>
      </c>
      <c r="K1438" s="33" t="n">
        <v>1211.28</v>
      </c>
      <c r="L1438" s="34" t="n"/>
    </row>
    <row r="1439">
      <c r="A1439" t="inlineStr">
        <is>
          <t>ENC118720</t>
        </is>
      </c>
      <c r="B1439" t="inlineStr">
        <is>
          <t>PT11101</t>
        </is>
      </c>
      <c r="C1439" t="inlineStr">
        <is>
          <t>Emergency</t>
        </is>
      </c>
      <c r="D1439" t="inlineStr">
        <is>
          <t>F03</t>
        </is>
      </c>
      <c r="E1439" t="inlineStr">
        <is>
          <t>D300</t>
        </is>
      </c>
      <c r="G1439" s="32" t="n">
        <v>45924.34513888889</v>
      </c>
      <c r="H1439" s="32" t="n">
        <v>45924.53819444445</v>
      </c>
      <c r="I1439" t="inlineStr">
        <is>
          <t>R07.9</t>
        </is>
      </c>
      <c r="J1439" t="inlineStr">
        <is>
          <t>PY01</t>
        </is>
      </c>
      <c r="K1439" s="33" t="n">
        <v>3931.99</v>
      </c>
      <c r="L1439" s="34" t="n"/>
    </row>
    <row r="1440">
      <c r="A1440" t="inlineStr">
        <is>
          <t>ENC118726</t>
        </is>
      </c>
      <c r="B1440" t="inlineStr">
        <is>
          <t>PT11299</t>
        </is>
      </c>
      <c r="C1440" t="inlineStr">
        <is>
          <t>Outpatient</t>
        </is>
      </c>
      <c r="D1440" t="inlineStr">
        <is>
          <t>F04</t>
        </is>
      </c>
      <c r="E1440" t="inlineStr">
        <is>
          <t>D450</t>
        </is>
      </c>
      <c r="G1440" s="32" t="n">
        <v>45924.47916666666</v>
      </c>
      <c r="H1440" s="32" t="n">
        <v>45924.51041666666</v>
      </c>
      <c r="I1440" t="inlineStr">
        <is>
          <t>Z00.129</t>
        </is>
      </c>
      <c r="J1440" t="inlineStr">
        <is>
          <t>PY06</t>
        </is>
      </c>
      <c r="K1440" s="33" t="n">
        <v>370.64</v>
      </c>
      <c r="L1440" s="34" t="n"/>
    </row>
    <row r="1441">
      <c r="A1441" t="inlineStr">
        <is>
          <t>ENC118732</t>
        </is>
      </c>
      <c r="B1441" t="inlineStr">
        <is>
          <t>PT12992</t>
        </is>
      </c>
      <c r="C1441" t="inlineStr">
        <is>
          <t>Emergency</t>
        </is>
      </c>
      <c r="D1441" t="inlineStr">
        <is>
          <t>F03</t>
        </is>
      </c>
      <c r="E1441" t="inlineStr">
        <is>
          <t>D300</t>
        </is>
      </c>
      <c r="G1441" s="32" t="n">
        <v>45924.56597222222</v>
      </c>
      <c r="H1441" s="32" t="n">
        <v>45924.65625</v>
      </c>
      <c r="I1441" t="inlineStr">
        <is>
          <t>F41.9</t>
        </is>
      </c>
      <c r="J1441" t="inlineStr">
        <is>
          <t>PY03</t>
        </is>
      </c>
      <c r="K1441" s="33" t="n">
        <v>1857</v>
      </c>
      <c r="L1441" s="34" t="n"/>
    </row>
    <row r="1442">
      <c r="A1442" t="inlineStr">
        <is>
          <t>ENC118738</t>
        </is>
      </c>
      <c r="B1442" t="inlineStr">
        <is>
          <t>PT12721</t>
        </is>
      </c>
      <c r="C1442" t="inlineStr">
        <is>
          <t>Outpatient</t>
        </is>
      </c>
      <c r="D1442" t="inlineStr">
        <is>
          <t>F04</t>
        </is>
      </c>
      <c r="E1442" t="inlineStr">
        <is>
          <t>D400</t>
        </is>
      </c>
      <c r="G1442" s="32" t="n">
        <v>45924.65625</v>
      </c>
      <c r="H1442" s="32" t="n">
        <v>45924.67083333333</v>
      </c>
      <c r="I1442" t="inlineStr">
        <is>
          <t>Z00.00</t>
        </is>
      </c>
      <c r="J1442" t="inlineStr">
        <is>
          <t>PY02</t>
        </is>
      </c>
      <c r="K1442" s="33" t="n">
        <v>345.58</v>
      </c>
      <c r="L1442" s="34" t="n"/>
    </row>
    <row r="1443">
      <c r="A1443" t="inlineStr">
        <is>
          <t>ENC118742</t>
        </is>
      </c>
      <c r="B1443" t="inlineStr">
        <is>
          <t>PT10773</t>
        </is>
      </c>
      <c r="C1443" t="inlineStr">
        <is>
          <t>Emergency</t>
        </is>
      </c>
      <c r="D1443" t="inlineStr">
        <is>
          <t>F01</t>
        </is>
      </c>
      <c r="E1443" t="inlineStr">
        <is>
          <t>D100</t>
        </is>
      </c>
      <c r="G1443" s="32" t="n">
        <v>45925.08402777778</v>
      </c>
      <c r="H1443" s="32" t="n">
        <v>45925.23541666667</v>
      </c>
      <c r="I1443" t="inlineStr">
        <is>
          <t>M54.50</t>
        </is>
      </c>
      <c r="J1443" t="inlineStr">
        <is>
          <t>PY02</t>
        </is>
      </c>
      <c r="K1443" s="33" t="n">
        <v>3784.26</v>
      </c>
      <c r="L1443" s="34" t="n"/>
    </row>
    <row r="1444">
      <c r="A1444" t="inlineStr">
        <is>
          <t>ENC118748</t>
        </is>
      </c>
      <c r="B1444" t="inlineStr">
        <is>
          <t>PT12473</t>
        </is>
      </c>
      <c r="C1444" t="inlineStr">
        <is>
          <t>Outpatient</t>
        </is>
      </c>
      <c r="D1444" t="inlineStr">
        <is>
          <t>F04</t>
        </is>
      </c>
      <c r="E1444" t="inlineStr">
        <is>
          <t>D400</t>
        </is>
      </c>
      <c r="G1444" s="32" t="n">
        <v>45925.51041666666</v>
      </c>
      <c r="H1444" s="32" t="n">
        <v>45925.52986111111</v>
      </c>
      <c r="I1444" t="inlineStr">
        <is>
          <t>I10</t>
        </is>
      </c>
      <c r="J1444" t="inlineStr">
        <is>
          <t>PY03</t>
        </is>
      </c>
      <c r="K1444" s="33" t="n">
        <v>275.71</v>
      </c>
      <c r="L1444" s="34" t="n"/>
    </row>
    <row r="1445">
      <c r="A1445" t="inlineStr">
        <is>
          <t>ENC118754</t>
        </is>
      </c>
      <c r="B1445" t="inlineStr">
        <is>
          <t>PT11989</t>
        </is>
      </c>
      <c r="C1445" t="inlineStr">
        <is>
          <t>Inpatient</t>
        </is>
      </c>
      <c r="D1445" t="inlineStr">
        <is>
          <t>F01</t>
        </is>
      </c>
      <c r="E1445" t="inlineStr">
        <is>
          <t>D110</t>
        </is>
      </c>
      <c r="F1445" t="inlineStr">
        <is>
          <t>Transfer</t>
        </is>
      </c>
      <c r="G1445" s="32" t="n">
        <v>45925.60416666666</v>
      </c>
      <c r="H1445" s="32" t="n">
        <v>45930.62708333333</v>
      </c>
      <c r="I1445" t="inlineStr">
        <is>
          <t>J44.1</t>
        </is>
      </c>
      <c r="J1445" t="inlineStr">
        <is>
          <t>PY01</t>
        </is>
      </c>
      <c r="K1445" s="33" t="n">
        <v>17621.73</v>
      </c>
      <c r="L1445" s="34" t="n"/>
    </row>
    <row r="1446">
      <c r="A1446" t="inlineStr">
        <is>
          <t>ENC118758</t>
        </is>
      </c>
      <c r="B1446" t="inlineStr">
        <is>
          <t>PT12355</t>
        </is>
      </c>
      <c r="C1446" t="inlineStr">
        <is>
          <t>Inpatient</t>
        </is>
      </c>
      <c r="D1446" t="inlineStr">
        <is>
          <t>F03</t>
        </is>
      </c>
      <c r="E1446" t="inlineStr">
        <is>
          <t>D310</t>
        </is>
      </c>
      <c r="F1446" t="inlineStr">
        <is>
          <t>Emergency Department</t>
        </is>
      </c>
      <c r="G1446" s="32" t="n">
        <v>45925.87847222222</v>
      </c>
      <c r="H1446" s="32" t="n">
        <v>45932.69027777778</v>
      </c>
      <c r="I1446" t="inlineStr">
        <is>
          <t>A41.9</t>
        </is>
      </c>
      <c r="J1446" t="inlineStr">
        <is>
          <t>PY01</t>
        </is>
      </c>
      <c r="K1446" s="33" t="n">
        <v>63619.53</v>
      </c>
      <c r="L1446" s="34" t="n"/>
    </row>
    <row r="1447">
      <c r="A1447" t="inlineStr">
        <is>
          <t>ENC118765</t>
        </is>
      </c>
      <c r="B1447" t="inlineStr">
        <is>
          <t>PT10971</t>
        </is>
      </c>
      <c r="C1447" t="inlineStr">
        <is>
          <t>Emergency</t>
        </is>
      </c>
      <c r="D1447" t="inlineStr">
        <is>
          <t>F01</t>
        </is>
      </c>
      <c r="E1447" t="inlineStr">
        <is>
          <t>D100</t>
        </is>
      </c>
      <c r="G1447" s="32" t="n">
        <v>45926.37569444445</v>
      </c>
      <c r="H1447" s="32" t="n">
        <v>45926.50763888889</v>
      </c>
      <c r="I1447" t="inlineStr">
        <is>
          <t>G40.909</t>
        </is>
      </c>
      <c r="J1447" t="inlineStr">
        <is>
          <t>PY04</t>
        </is>
      </c>
      <c r="K1447" s="33" t="n">
        <v>2751.77</v>
      </c>
      <c r="L1447" s="34" t="n"/>
    </row>
    <row r="1448">
      <c r="A1448" t="inlineStr">
        <is>
          <t>ENC118771</t>
        </is>
      </c>
      <c r="B1448" t="inlineStr">
        <is>
          <t>PT12745</t>
        </is>
      </c>
      <c r="C1448" t="inlineStr">
        <is>
          <t>Emergency</t>
        </is>
      </c>
      <c r="D1448" t="inlineStr">
        <is>
          <t>F01</t>
        </is>
      </c>
      <c r="E1448" t="inlineStr">
        <is>
          <t>D100</t>
        </is>
      </c>
      <c r="G1448" s="32" t="n">
        <v>45926.47222222222</v>
      </c>
      <c r="H1448" s="32" t="n">
        <v>45926.54236111111</v>
      </c>
      <c r="I1448" t="inlineStr">
        <is>
          <t>R10.9</t>
        </is>
      </c>
      <c r="J1448" t="inlineStr">
        <is>
          <t>PY01</t>
        </is>
      </c>
      <c r="K1448" s="33" t="n">
        <v>1314.26</v>
      </c>
      <c r="L1448" s="34" t="n"/>
    </row>
    <row r="1449">
      <c r="A1449" t="inlineStr">
        <is>
          <t>ENC118777</t>
        </is>
      </c>
      <c r="B1449" t="inlineStr">
        <is>
          <t>PT12896</t>
        </is>
      </c>
      <c r="C1449" t="inlineStr">
        <is>
          <t>Outpatient</t>
        </is>
      </c>
      <c r="D1449" t="inlineStr">
        <is>
          <t>F04</t>
        </is>
      </c>
      <c r="E1449" t="inlineStr">
        <is>
          <t>D400</t>
        </is>
      </c>
      <c r="G1449" s="32" t="n">
        <v>45926.55208333334</v>
      </c>
      <c r="H1449" s="32" t="n">
        <v>45926.575</v>
      </c>
      <c r="I1449" t="inlineStr">
        <is>
          <t>Z00.00</t>
        </is>
      </c>
      <c r="J1449" t="inlineStr">
        <is>
          <t>PY02</t>
        </is>
      </c>
      <c r="K1449" s="33" t="n">
        <v>514.13</v>
      </c>
      <c r="L1449" s="34" t="n"/>
    </row>
    <row r="1450">
      <c r="A1450" t="inlineStr">
        <is>
          <t>ENC118770</t>
        </is>
      </c>
      <c r="B1450" t="inlineStr">
        <is>
          <t>PT12662</t>
        </is>
      </c>
      <c r="C1450" t="inlineStr">
        <is>
          <t>Inpatient</t>
        </is>
      </c>
      <c r="D1450" t="inlineStr">
        <is>
          <t>F02</t>
        </is>
      </c>
      <c r="E1450" t="inlineStr">
        <is>
          <t>D210</t>
        </is>
      </c>
      <c r="F1450" t="inlineStr">
        <is>
          <t>Emergency Department</t>
        </is>
      </c>
      <c r="G1450" s="32" t="n">
        <v>45926.61319444444</v>
      </c>
      <c r="H1450" s="32" t="n">
        <v>45930.53958333333</v>
      </c>
      <c r="I1450" t="inlineStr">
        <is>
          <t>N17.9</t>
        </is>
      </c>
      <c r="J1450" t="inlineStr">
        <is>
          <t>PY01</t>
        </is>
      </c>
      <c r="K1450" s="33" t="n">
        <v>22010.74</v>
      </c>
      <c r="L1450" s="34" t="n"/>
    </row>
    <row r="1451">
      <c r="A1451" t="inlineStr">
        <is>
          <t>ENC118788</t>
        </is>
      </c>
      <c r="B1451" t="inlineStr">
        <is>
          <t>PT12874</t>
        </is>
      </c>
      <c r="C1451" t="inlineStr">
        <is>
          <t>Emergency</t>
        </is>
      </c>
      <c r="D1451" t="inlineStr">
        <is>
          <t>F02</t>
        </is>
      </c>
      <c r="E1451" t="inlineStr">
        <is>
          <t>D200</t>
        </is>
      </c>
      <c r="G1451" s="32" t="n">
        <v>45926.77291666667</v>
      </c>
      <c r="H1451" s="32" t="n">
        <v>45926.95486111111</v>
      </c>
      <c r="I1451" t="inlineStr">
        <is>
          <t>R10.9</t>
        </is>
      </c>
      <c r="J1451" t="inlineStr">
        <is>
          <t>PY04</t>
        </is>
      </c>
      <c r="K1451" s="33" t="n">
        <v>5434.67</v>
      </c>
      <c r="L1451" s="34" t="n"/>
    </row>
    <row r="1452">
      <c r="A1452" t="inlineStr">
        <is>
          <t>ENC118794</t>
        </is>
      </c>
      <c r="B1452" t="inlineStr">
        <is>
          <t>PT13669</t>
        </is>
      </c>
      <c r="C1452" t="inlineStr">
        <is>
          <t>Emergency</t>
        </is>
      </c>
      <c r="D1452" t="inlineStr">
        <is>
          <t>F02</t>
        </is>
      </c>
      <c r="E1452" t="inlineStr">
        <is>
          <t>D200</t>
        </is>
      </c>
      <c r="G1452" s="32" t="n">
        <v>45927.37708333333</v>
      </c>
      <c r="H1452" s="32" t="n">
        <v>45927.52569444444</v>
      </c>
      <c r="I1452" t="inlineStr">
        <is>
          <t>N39.0</t>
        </is>
      </c>
      <c r="J1452" t="inlineStr">
        <is>
          <t>PY02</t>
        </is>
      </c>
      <c r="K1452" s="33" t="n">
        <v>3883.48</v>
      </c>
      <c r="L1452" s="34" t="n"/>
    </row>
    <row r="1453">
      <c r="A1453" t="inlineStr">
        <is>
          <t>ENC118799</t>
        </is>
      </c>
      <c r="B1453" t="inlineStr">
        <is>
          <t>PT10852</t>
        </is>
      </c>
      <c r="C1453" t="inlineStr">
        <is>
          <t>Emergency</t>
        </is>
      </c>
      <c r="D1453" t="inlineStr">
        <is>
          <t>F01</t>
        </is>
      </c>
      <c r="E1453" t="inlineStr">
        <is>
          <t>D100</t>
        </is>
      </c>
      <c r="G1453" s="32" t="n">
        <v>45927.62916666667</v>
      </c>
      <c r="H1453" s="32" t="n">
        <v>45927.72291666667</v>
      </c>
      <c r="I1453" t="inlineStr">
        <is>
          <t>L03.115</t>
        </is>
      </c>
      <c r="J1453" t="inlineStr">
        <is>
          <t>PY04</t>
        </is>
      </c>
      <c r="K1453" s="33" t="n">
        <v>2046.72</v>
      </c>
      <c r="L1453" s="34" t="n"/>
    </row>
    <row r="1454">
      <c r="A1454" t="inlineStr">
        <is>
          <t>ENC118804</t>
        </is>
      </c>
      <c r="B1454" t="inlineStr">
        <is>
          <t>PT12691</t>
        </is>
      </c>
      <c r="C1454" t="inlineStr">
        <is>
          <t>Emergency</t>
        </is>
      </c>
      <c r="D1454" t="inlineStr">
        <is>
          <t>F03</t>
        </is>
      </c>
      <c r="E1454" t="inlineStr">
        <is>
          <t>D300</t>
        </is>
      </c>
      <c r="G1454" s="32" t="n">
        <v>45927.92083333333</v>
      </c>
      <c r="H1454" s="32" t="n">
        <v>45928.03611111111</v>
      </c>
      <c r="I1454" t="inlineStr">
        <is>
          <t>G43.909</t>
        </is>
      </c>
      <c r="J1454" t="inlineStr">
        <is>
          <t>PY07</t>
        </is>
      </c>
      <c r="K1454" s="33" t="n">
        <v>3235.95</v>
      </c>
      <c r="L1454" s="34" t="n"/>
    </row>
    <row r="1455">
      <c r="A1455" t="inlineStr">
        <is>
          <t>ENC118811</t>
        </is>
      </c>
      <c r="B1455" t="inlineStr">
        <is>
          <t>PT12301</t>
        </is>
      </c>
      <c r="C1455" t="inlineStr">
        <is>
          <t>Emergency</t>
        </is>
      </c>
      <c r="D1455" t="inlineStr">
        <is>
          <t>F01</t>
        </is>
      </c>
      <c r="E1455" t="inlineStr">
        <is>
          <t>D100</t>
        </is>
      </c>
      <c r="G1455" s="32" t="n">
        <v>45928.20208333333</v>
      </c>
      <c r="H1455" s="32" t="n">
        <v>45928.35555555556</v>
      </c>
      <c r="I1455" t="inlineStr">
        <is>
          <t>I50.9</t>
        </is>
      </c>
      <c r="J1455" t="inlineStr">
        <is>
          <t>PY01</t>
        </is>
      </c>
      <c r="K1455" s="33" t="n">
        <v>4160.07</v>
      </c>
      <c r="L1455" s="34" t="n"/>
    </row>
    <row r="1456">
      <c r="A1456" t="inlineStr">
        <is>
          <t>ENC118815</t>
        </is>
      </c>
      <c r="B1456" t="inlineStr">
        <is>
          <t>PT10844</t>
        </is>
      </c>
      <c r="C1456" t="inlineStr">
        <is>
          <t>Emergency</t>
        </is>
      </c>
      <c r="D1456" t="inlineStr">
        <is>
          <t>F03</t>
        </is>
      </c>
      <c r="E1456" t="inlineStr">
        <is>
          <t>D300</t>
        </is>
      </c>
      <c r="G1456" s="32" t="n">
        <v>45928.45972222222</v>
      </c>
      <c r="H1456" s="32" t="n">
        <v>45928.58263888889</v>
      </c>
      <c r="I1456" t="inlineStr">
        <is>
          <t>A08.4</t>
        </is>
      </c>
      <c r="J1456" t="inlineStr">
        <is>
          <t>PY04</t>
        </is>
      </c>
      <c r="K1456" s="33" t="n">
        <v>2681.96</v>
      </c>
      <c r="L1456" s="34" t="n"/>
    </row>
    <row r="1457">
      <c r="A1457" t="inlineStr">
        <is>
          <t>ENC118820</t>
        </is>
      </c>
      <c r="B1457" t="inlineStr">
        <is>
          <t>PT12999</t>
        </is>
      </c>
      <c r="C1457" t="inlineStr">
        <is>
          <t>Emergency</t>
        </is>
      </c>
      <c r="D1457" t="inlineStr">
        <is>
          <t>F01</t>
        </is>
      </c>
      <c r="E1457" t="inlineStr">
        <is>
          <t>D100</t>
        </is>
      </c>
      <c r="G1457" s="32" t="n">
        <v>45928.74236111111</v>
      </c>
      <c r="H1457" s="32" t="n">
        <v>45928.91527777778</v>
      </c>
      <c r="I1457" t="inlineStr">
        <is>
          <t>R07.9</t>
        </is>
      </c>
      <c r="J1457" t="inlineStr">
        <is>
          <t>PY01</t>
        </is>
      </c>
      <c r="K1457" s="33" t="n">
        <v>3166.68</v>
      </c>
      <c r="L1457" s="34" t="n"/>
    </row>
    <row r="1458">
      <c r="A1458" t="inlineStr">
        <is>
          <t>ENC118826</t>
        </is>
      </c>
      <c r="B1458" t="inlineStr">
        <is>
          <t>PT12064</t>
        </is>
      </c>
      <c r="C1458" t="inlineStr">
        <is>
          <t>Observation</t>
        </is>
      </c>
      <c r="D1458" t="inlineStr">
        <is>
          <t>F01</t>
        </is>
      </c>
      <c r="E1458" t="inlineStr">
        <is>
          <t>D195</t>
        </is>
      </c>
      <c r="F1458" t="inlineStr">
        <is>
          <t>Emergency Department</t>
        </is>
      </c>
      <c r="G1458" s="32" t="n">
        <v>45929.28333333333</v>
      </c>
      <c r="H1458" s="32" t="n">
        <v>45931.22291666667</v>
      </c>
      <c r="I1458" t="inlineStr">
        <is>
          <t>N39.0</t>
        </is>
      </c>
      <c r="J1458" t="inlineStr">
        <is>
          <t>PY03</t>
        </is>
      </c>
      <c r="K1458" s="33" t="n">
        <v>14058.01</v>
      </c>
      <c r="L1458" s="34" t="n"/>
    </row>
    <row r="1459">
      <c r="A1459" t="inlineStr">
        <is>
          <t>ENC118833</t>
        </is>
      </c>
      <c r="B1459" t="inlineStr">
        <is>
          <t>PT11300</t>
        </is>
      </c>
      <c r="C1459" t="inlineStr">
        <is>
          <t>Emergency</t>
        </is>
      </c>
      <c r="D1459" t="inlineStr">
        <is>
          <t>F01</t>
        </is>
      </c>
      <c r="E1459" t="inlineStr">
        <is>
          <t>D100</t>
        </is>
      </c>
      <c r="G1459" s="32" t="n">
        <v>45929.39375</v>
      </c>
      <c r="H1459" s="32" t="n">
        <v>45929.52847222222</v>
      </c>
      <c r="I1459" t="inlineStr">
        <is>
          <t>F10.239</t>
        </is>
      </c>
      <c r="J1459" t="inlineStr">
        <is>
          <t>PY04</t>
        </is>
      </c>
      <c r="K1459" s="33" t="n">
        <v>4429.18</v>
      </c>
      <c r="L1459" s="34" t="n"/>
    </row>
    <row r="1460">
      <c r="A1460" t="inlineStr">
        <is>
          <t>ENC118830</t>
        </is>
      </c>
      <c r="B1460" t="inlineStr">
        <is>
          <t>PT10043</t>
        </is>
      </c>
      <c r="C1460" t="inlineStr">
        <is>
          <t>Inpatient</t>
        </is>
      </c>
      <c r="D1460" t="inlineStr">
        <is>
          <t>F03</t>
        </is>
      </c>
      <c r="E1460" t="inlineStr">
        <is>
          <t>D310</t>
        </is>
      </c>
      <c r="F1460" t="inlineStr">
        <is>
          <t>Emergency Department</t>
        </is>
      </c>
      <c r="G1460" s="32" t="n">
        <v>45929.50277777778</v>
      </c>
      <c r="H1460" s="32" t="n">
        <v>45934.79166666666</v>
      </c>
      <c r="I1460" t="inlineStr">
        <is>
          <t>J44.1</t>
        </is>
      </c>
      <c r="J1460" t="inlineStr">
        <is>
          <t>PY05</t>
        </is>
      </c>
      <c r="K1460" s="33" t="n">
        <v>36206.72</v>
      </c>
      <c r="L1460" s="34" t="n"/>
    </row>
    <row r="1461">
      <c r="A1461" t="inlineStr">
        <is>
          <t>ENC118843</t>
        </is>
      </c>
      <c r="B1461" t="inlineStr">
        <is>
          <t>PT10823</t>
        </is>
      </c>
      <c r="C1461" t="inlineStr">
        <is>
          <t>Outpatient</t>
        </is>
      </c>
      <c r="D1461" t="inlineStr">
        <is>
          <t>F04</t>
        </is>
      </c>
      <c r="E1461" t="inlineStr">
        <is>
          <t>D400</t>
        </is>
      </c>
      <c r="G1461" s="32" t="n">
        <v>45929.55208333334</v>
      </c>
      <c r="H1461" s="32" t="n">
        <v>45929.58819444444</v>
      </c>
      <c r="I1461" t="inlineStr">
        <is>
          <t>Z00.00</t>
        </is>
      </c>
      <c r="J1461" t="inlineStr">
        <is>
          <t>PY05</t>
        </is>
      </c>
      <c r="K1461" s="33" t="n">
        <v>196.77</v>
      </c>
      <c r="L1461" s="34" t="n"/>
    </row>
    <row r="1462">
      <c r="A1462" t="inlineStr">
        <is>
          <t>ENC118850</t>
        </is>
      </c>
      <c r="B1462" t="inlineStr">
        <is>
          <t>PT11098</t>
        </is>
      </c>
      <c r="C1462" t="inlineStr">
        <is>
          <t>Emergency</t>
        </is>
      </c>
      <c r="D1462" t="inlineStr">
        <is>
          <t>F02</t>
        </is>
      </c>
      <c r="E1462" t="inlineStr">
        <is>
          <t>D200</t>
        </is>
      </c>
      <c r="G1462" s="32" t="n">
        <v>45929.86944444444</v>
      </c>
      <c r="H1462" s="32" t="n">
        <v>45930.02083333334</v>
      </c>
      <c r="I1462" t="inlineStr">
        <is>
          <t>E86.0</t>
        </is>
      </c>
      <c r="J1462" t="inlineStr">
        <is>
          <t>PY06</t>
        </is>
      </c>
      <c r="K1462" s="33" t="n">
        <v>1408.32</v>
      </c>
      <c r="L1462" s="34" t="n"/>
    </row>
    <row r="1463">
      <c r="A1463" t="inlineStr">
        <is>
          <t>ENC118853</t>
        </is>
      </c>
      <c r="B1463" t="inlineStr">
        <is>
          <t>PT12917</t>
        </is>
      </c>
      <c r="C1463" t="inlineStr">
        <is>
          <t>Inpatient</t>
        </is>
      </c>
      <c r="D1463" t="inlineStr">
        <is>
          <t>F03</t>
        </is>
      </c>
      <c r="E1463" t="inlineStr">
        <is>
          <t>D310</t>
        </is>
      </c>
      <c r="F1463" t="inlineStr">
        <is>
          <t>Emergency Department</t>
        </is>
      </c>
      <c r="G1463" s="32" t="n">
        <v>45930.14652777778</v>
      </c>
      <c r="H1463" s="32" t="n">
        <v>45938.63055555556</v>
      </c>
      <c r="I1463" t="inlineStr">
        <is>
          <t>J18.9</t>
        </is>
      </c>
      <c r="J1463" t="inlineStr">
        <is>
          <t>PY01</t>
        </is>
      </c>
      <c r="K1463" s="33" t="n">
        <v>28547.9</v>
      </c>
      <c r="L1463" s="34" t="n"/>
    </row>
    <row r="1464">
      <c r="A1464" t="inlineStr">
        <is>
          <t>ENC118859</t>
        </is>
      </c>
      <c r="B1464" t="inlineStr">
        <is>
          <t>PT13759</t>
        </is>
      </c>
      <c r="C1464" t="inlineStr">
        <is>
          <t>Emergency</t>
        </is>
      </c>
      <c r="D1464" t="inlineStr">
        <is>
          <t>F01</t>
        </is>
      </c>
      <c r="E1464" t="inlineStr">
        <is>
          <t>D100</t>
        </is>
      </c>
      <c r="G1464" s="32" t="n">
        <v>45930.45694444444</v>
      </c>
      <c r="H1464" s="32" t="n">
        <v>45930.61388888889</v>
      </c>
      <c r="I1464" t="inlineStr">
        <is>
          <t>R55</t>
        </is>
      </c>
      <c r="J1464" t="inlineStr">
        <is>
          <t>PY01</t>
        </is>
      </c>
      <c r="K1464" s="33" t="n">
        <v>3207.65</v>
      </c>
      <c r="L1464" s="34" t="n"/>
    </row>
    <row r="1465">
      <c r="A1465" t="inlineStr">
        <is>
          <t>ENC118866</t>
        </is>
      </c>
      <c r="B1465" t="inlineStr">
        <is>
          <t>PT13005</t>
        </is>
      </c>
      <c r="C1465" t="inlineStr">
        <is>
          <t>Outpatient</t>
        </is>
      </c>
      <c r="D1465" t="inlineStr">
        <is>
          <t>F04</t>
        </is>
      </c>
      <c r="E1465" t="inlineStr">
        <is>
          <t>D400</t>
        </is>
      </c>
      <c r="G1465" s="32" t="n">
        <v>45930.55208333334</v>
      </c>
      <c r="H1465" s="32" t="n">
        <v>45930.57291666666</v>
      </c>
      <c r="I1465" t="inlineStr">
        <is>
          <t>J45.909</t>
        </is>
      </c>
      <c r="J1465" t="inlineStr">
        <is>
          <t>PY03</t>
        </is>
      </c>
      <c r="K1465" s="33" t="n">
        <v>375.14</v>
      </c>
      <c r="L1465" s="34" t="n"/>
    </row>
    <row r="1466">
      <c r="A1466" t="inlineStr">
        <is>
          <t>ENC118871</t>
        </is>
      </c>
      <c r="B1466" t="inlineStr">
        <is>
          <t>PT10092</t>
        </is>
      </c>
      <c r="C1466" t="inlineStr">
        <is>
          <t>Emergency</t>
        </is>
      </c>
      <c r="D1466" t="inlineStr">
        <is>
          <t>F01</t>
        </is>
      </c>
      <c r="E1466" t="inlineStr">
        <is>
          <t>D100</t>
        </is>
      </c>
      <c r="G1466" s="32" t="n">
        <v>45930.61875</v>
      </c>
      <c r="H1466" s="32" t="n">
        <v>45930.73402777778</v>
      </c>
      <c r="I1466" t="inlineStr">
        <is>
          <t>J06.9</t>
        </is>
      </c>
      <c r="J1466" t="inlineStr">
        <is>
          <t>PY05</t>
        </is>
      </c>
      <c r="K1466" s="33" t="n">
        <v>1133.28</v>
      </c>
      <c r="L1466" s="34" t="n"/>
    </row>
    <row r="1467">
      <c r="A1467" t="inlineStr">
        <is>
          <t>ENC118876</t>
        </is>
      </c>
      <c r="B1467" t="inlineStr">
        <is>
          <t>PT11529</t>
        </is>
      </c>
      <c r="C1467" t="inlineStr">
        <is>
          <t>Emergency</t>
        </is>
      </c>
      <c r="D1467" t="inlineStr">
        <is>
          <t>F03</t>
        </is>
      </c>
      <c r="E1467" t="inlineStr">
        <is>
          <t>D300</t>
        </is>
      </c>
      <c r="G1467" s="32" t="n">
        <v>45930.76805555556</v>
      </c>
      <c r="H1467" s="32" t="n">
        <v>45930.85555555556</v>
      </c>
      <c r="I1467" t="inlineStr">
        <is>
          <t>S06.0X0A</t>
        </is>
      </c>
      <c r="J1467" t="inlineStr">
        <is>
          <t>PY04</t>
        </is>
      </c>
      <c r="K1467" s="33" t="n">
        <v>6020.48</v>
      </c>
      <c r="L1467" s="34" t="n"/>
    </row>
    <row r="1468">
      <c r="A1468" t="inlineStr">
        <is>
          <t>ENC118882</t>
        </is>
      </c>
      <c r="B1468" t="inlineStr">
        <is>
          <t>PT12304</t>
        </is>
      </c>
      <c r="C1468" t="inlineStr">
        <is>
          <t>Emergency</t>
        </is>
      </c>
      <c r="D1468" t="inlineStr">
        <is>
          <t>F01</t>
        </is>
      </c>
      <c r="E1468" t="inlineStr">
        <is>
          <t>D100</t>
        </is>
      </c>
      <c r="G1468" s="32" t="n">
        <v>45930.90555555555</v>
      </c>
      <c r="H1468" s="32" t="n">
        <v>45930.97361111111</v>
      </c>
      <c r="I1468" t="inlineStr">
        <is>
          <t>J06.9</t>
        </is>
      </c>
      <c r="J1468" t="inlineStr">
        <is>
          <t>PY01</t>
        </is>
      </c>
      <c r="K1468" s="33" t="n">
        <v>1689.91</v>
      </c>
      <c r="L1468" s="34" t="n"/>
    </row>
    <row r="1469">
      <c r="A1469" t="inlineStr">
        <is>
          <t>ENC118886</t>
        </is>
      </c>
      <c r="B1469" t="inlineStr">
        <is>
          <t>PT13577</t>
        </is>
      </c>
      <c r="C1469" t="inlineStr">
        <is>
          <t>Inpatient</t>
        </is>
      </c>
      <c r="D1469" t="inlineStr">
        <is>
          <t>F01</t>
        </is>
      </c>
      <c r="E1469" t="inlineStr">
        <is>
          <t>D190</t>
        </is>
      </c>
      <c r="F1469" t="inlineStr">
        <is>
          <t>Emergency Department</t>
        </is>
      </c>
      <c r="G1469" s="32" t="n">
        <v>45931.27222222222</v>
      </c>
      <c r="H1469" s="32" t="n">
        <v>45939.37430555555</v>
      </c>
      <c r="I1469" t="inlineStr">
        <is>
          <t>F20.9</t>
        </is>
      </c>
      <c r="J1469" t="inlineStr">
        <is>
          <t>PY01</t>
        </is>
      </c>
      <c r="K1469" s="33" t="n">
        <v>19247.02</v>
      </c>
      <c r="L1469" s="34" t="n"/>
    </row>
    <row r="1470">
      <c r="A1470" t="inlineStr">
        <is>
          <t>ENC118895</t>
        </is>
      </c>
      <c r="B1470" t="inlineStr">
        <is>
          <t>PT10870</t>
        </is>
      </c>
      <c r="C1470" t="inlineStr">
        <is>
          <t>Outpatient</t>
        </is>
      </c>
      <c r="D1470" t="inlineStr">
        <is>
          <t>F04</t>
        </is>
      </c>
      <c r="E1470" t="inlineStr">
        <is>
          <t>D420</t>
        </is>
      </c>
      <c r="G1470" s="32" t="n">
        <v>45931.46875</v>
      </c>
      <c r="H1470" s="32" t="n">
        <v>45931.50208333333</v>
      </c>
      <c r="I1470" t="inlineStr">
        <is>
          <t>M17.11</t>
        </is>
      </c>
      <c r="J1470" t="inlineStr">
        <is>
          <t>PY02</t>
        </is>
      </c>
      <c r="K1470" s="33" t="n">
        <v>136.51</v>
      </c>
      <c r="L1470" s="34" t="n"/>
    </row>
    <row r="1471">
      <c r="A1471" t="inlineStr">
        <is>
          <t>ENC118890</t>
        </is>
      </c>
      <c r="B1471" t="inlineStr">
        <is>
          <t>PT10943</t>
        </is>
      </c>
      <c r="C1471" t="inlineStr">
        <is>
          <t>Inpatient</t>
        </is>
      </c>
      <c r="D1471" t="inlineStr">
        <is>
          <t>F01</t>
        </is>
      </c>
      <c r="E1471" t="inlineStr">
        <is>
          <t>D150</t>
        </is>
      </c>
      <c r="F1471" t="inlineStr">
        <is>
          <t>Emergency Department</t>
        </is>
      </c>
      <c r="G1471" s="32" t="n">
        <v>45931.52986111111</v>
      </c>
      <c r="H1471" s="32" t="n">
        <v>45935.68402777778</v>
      </c>
      <c r="I1471" t="inlineStr">
        <is>
          <t>C34.90</t>
        </is>
      </c>
      <c r="J1471" t="inlineStr">
        <is>
          <t>PY02</t>
        </is>
      </c>
      <c r="K1471" s="33" t="n">
        <v>31210.95</v>
      </c>
      <c r="L1471" s="34" t="n"/>
    </row>
    <row r="1472">
      <c r="A1472" t="inlineStr">
        <is>
          <t>ENC118905</t>
        </is>
      </c>
      <c r="B1472" t="inlineStr">
        <is>
          <t>PT13094</t>
        </is>
      </c>
      <c r="C1472" t="inlineStr">
        <is>
          <t>Outpatient</t>
        </is>
      </c>
      <c r="D1472" t="inlineStr">
        <is>
          <t>F04</t>
        </is>
      </c>
      <c r="E1472" t="inlineStr">
        <is>
          <t>D430</t>
        </is>
      </c>
      <c r="G1472" s="32" t="n">
        <v>45931.59375</v>
      </c>
      <c r="H1472" s="32" t="n">
        <v>45931.73263888889</v>
      </c>
      <c r="I1472" t="inlineStr">
        <is>
          <t>Z51.11</t>
        </is>
      </c>
      <c r="J1472" t="inlineStr">
        <is>
          <t>PY03</t>
        </is>
      </c>
      <c r="K1472" s="33" t="n">
        <v>8415.24</v>
      </c>
      <c r="L1472" s="34" t="n"/>
    </row>
    <row r="1473">
      <c r="A1473" t="inlineStr">
        <is>
          <t>ENC118910</t>
        </is>
      </c>
      <c r="B1473" t="inlineStr">
        <is>
          <t>PT10447</t>
        </is>
      </c>
      <c r="C1473" t="inlineStr">
        <is>
          <t>Outpatient</t>
        </is>
      </c>
      <c r="D1473" t="inlineStr">
        <is>
          <t>F04</t>
        </is>
      </c>
      <c r="E1473" t="inlineStr">
        <is>
          <t>D450</t>
        </is>
      </c>
      <c r="G1473" s="32" t="n">
        <v>45931.65625</v>
      </c>
      <c r="H1473" s="32" t="n">
        <v>45931.69305555556</v>
      </c>
      <c r="I1473" t="inlineStr">
        <is>
          <t>Z00.129</t>
        </is>
      </c>
      <c r="J1473" t="inlineStr">
        <is>
          <t>PY05</t>
        </is>
      </c>
      <c r="K1473" s="33" t="n">
        <v>387.4</v>
      </c>
      <c r="L1473" s="34" t="n"/>
    </row>
    <row r="1474">
      <c r="A1474" t="inlineStr">
        <is>
          <t>ENC118915</t>
        </is>
      </c>
      <c r="B1474" t="inlineStr">
        <is>
          <t>PT10196</t>
        </is>
      </c>
      <c r="C1474" t="inlineStr">
        <is>
          <t>Inpatient</t>
        </is>
      </c>
      <c r="D1474" t="inlineStr">
        <is>
          <t>F01</t>
        </is>
      </c>
      <c r="E1474" t="inlineStr">
        <is>
          <t>D111</t>
        </is>
      </c>
      <c r="F1474" t="inlineStr">
        <is>
          <t>Emergency Department</t>
        </is>
      </c>
      <c r="G1474" s="32" t="n">
        <v>45931.97638888889</v>
      </c>
      <c r="H1474" s="32" t="n">
        <v>45935.58263888889</v>
      </c>
      <c r="I1474" t="inlineStr">
        <is>
          <t>J44.1</t>
        </is>
      </c>
      <c r="J1474" t="inlineStr">
        <is>
          <t>PY02</t>
        </is>
      </c>
      <c r="K1474" s="33" t="n">
        <v>23060.38</v>
      </c>
      <c r="L1474" s="34" t="n"/>
    </row>
    <row r="1475">
      <c r="A1475" t="inlineStr">
        <is>
          <t>ENC118923</t>
        </is>
      </c>
      <c r="B1475" t="inlineStr">
        <is>
          <t>PT11250</t>
        </is>
      </c>
      <c r="C1475" t="inlineStr">
        <is>
          <t>Outpatient</t>
        </is>
      </c>
      <c r="D1475" t="inlineStr">
        <is>
          <t>F04</t>
        </is>
      </c>
      <c r="E1475" t="inlineStr">
        <is>
          <t>D450</t>
        </is>
      </c>
      <c r="G1475" s="32" t="n">
        <v>45932.375</v>
      </c>
      <c r="H1475" s="32" t="n">
        <v>45932.3875</v>
      </c>
      <c r="I1475" t="inlineStr">
        <is>
          <t>Z00.129</t>
        </is>
      </c>
      <c r="J1475" t="inlineStr">
        <is>
          <t>PY03</t>
        </is>
      </c>
      <c r="K1475" s="33" t="n">
        <v>303.88</v>
      </c>
      <c r="L1475" s="34" t="n"/>
    </row>
    <row r="1476">
      <c r="A1476" t="inlineStr">
        <is>
          <t>ENC118919</t>
        </is>
      </c>
      <c r="B1476" t="inlineStr">
        <is>
          <t>PT12916</t>
        </is>
      </c>
      <c r="C1476" t="inlineStr">
        <is>
          <t>Inpatient</t>
        </is>
      </c>
      <c r="D1476" t="inlineStr">
        <is>
          <t>F02</t>
        </is>
      </c>
      <c r="E1476" t="inlineStr">
        <is>
          <t>D210</t>
        </is>
      </c>
      <c r="F1476" t="inlineStr">
        <is>
          <t>Emergency Department</t>
        </is>
      </c>
      <c r="G1476" s="32" t="n">
        <v>45932.44513888889</v>
      </c>
      <c r="H1476" s="32" t="n">
        <v>45934.81736111111</v>
      </c>
      <c r="I1476" t="inlineStr">
        <is>
          <t>E86.0</t>
        </is>
      </c>
      <c r="J1476" t="inlineStr">
        <is>
          <t>PY03</t>
        </is>
      </c>
      <c r="K1476" s="33" t="n">
        <v>12132.05</v>
      </c>
      <c r="L1476" s="34" t="n"/>
    </row>
    <row r="1477">
      <c r="A1477" t="inlineStr">
        <is>
          <t>ENC118932</t>
        </is>
      </c>
      <c r="B1477" t="inlineStr">
        <is>
          <t>PT12612</t>
        </is>
      </c>
      <c r="C1477" t="inlineStr">
        <is>
          <t>Outpatient</t>
        </is>
      </c>
      <c r="D1477" t="inlineStr">
        <is>
          <t>F04</t>
        </is>
      </c>
      <c r="E1477" t="inlineStr">
        <is>
          <t>D400</t>
        </is>
      </c>
      <c r="G1477" s="32" t="n">
        <v>45932.51041666666</v>
      </c>
      <c r="H1477" s="32" t="n">
        <v>45932.53958333333</v>
      </c>
      <c r="I1477" t="inlineStr">
        <is>
          <t>J06.9</t>
        </is>
      </c>
      <c r="J1477" t="inlineStr">
        <is>
          <t>PY05</t>
        </is>
      </c>
      <c r="K1477" s="33" t="n">
        <v>313.59</v>
      </c>
      <c r="L1477" s="34" t="n"/>
    </row>
    <row r="1478">
      <c r="A1478" t="inlineStr">
        <is>
          <t>ENC118939</t>
        </is>
      </c>
      <c r="B1478" t="inlineStr">
        <is>
          <t>PT10800</t>
        </is>
      </c>
      <c r="C1478" t="inlineStr">
        <is>
          <t>Outpatient</t>
        </is>
      </c>
      <c r="D1478" t="inlineStr">
        <is>
          <t>F04</t>
        </is>
      </c>
      <c r="E1478" t="inlineStr">
        <is>
          <t>D450</t>
        </is>
      </c>
      <c r="G1478" s="32" t="n">
        <v>45932.625</v>
      </c>
      <c r="H1478" s="32" t="n">
        <v>45932.65902777778</v>
      </c>
      <c r="I1478" t="inlineStr">
        <is>
          <t>Z00.129</t>
        </is>
      </c>
      <c r="J1478" t="inlineStr">
        <is>
          <t>PY04</t>
        </is>
      </c>
      <c r="K1478" s="33" t="n">
        <v>443.95</v>
      </c>
      <c r="L1478" s="34" t="n"/>
    </row>
    <row r="1479">
      <c r="A1479" t="inlineStr">
        <is>
          <t>ENC118945</t>
        </is>
      </c>
      <c r="B1479" t="inlineStr">
        <is>
          <t>PT10171</t>
        </is>
      </c>
      <c r="C1479" t="inlineStr">
        <is>
          <t>Emergency</t>
        </is>
      </c>
      <c r="D1479" t="inlineStr">
        <is>
          <t>F03</t>
        </is>
      </c>
      <c r="E1479" t="inlineStr">
        <is>
          <t>D300</t>
        </is>
      </c>
      <c r="G1479" s="32" t="n">
        <v>45932.78472222222</v>
      </c>
      <c r="H1479" s="32" t="n">
        <v>45932.90069444444</v>
      </c>
      <c r="I1479" t="inlineStr">
        <is>
          <t>S93.401A</t>
        </is>
      </c>
      <c r="J1479" t="inlineStr">
        <is>
          <t>PY01</t>
        </is>
      </c>
      <c r="K1479" s="33" t="n">
        <v>959.3200000000001</v>
      </c>
      <c r="L1479" s="34" t="n"/>
    </row>
    <row r="1480">
      <c r="A1480" t="inlineStr">
        <is>
          <t>ENC118950</t>
        </is>
      </c>
      <c r="B1480" t="inlineStr">
        <is>
          <t>PT11965</t>
        </is>
      </c>
      <c r="C1480" t="inlineStr">
        <is>
          <t>Emergency</t>
        </is>
      </c>
      <c r="D1480" t="inlineStr">
        <is>
          <t>F01</t>
        </is>
      </c>
      <c r="E1480" t="inlineStr">
        <is>
          <t>D100</t>
        </is>
      </c>
      <c r="G1480" s="32" t="n">
        <v>45933.10347222222</v>
      </c>
      <c r="H1480" s="32" t="n">
        <v>45933.28541666667</v>
      </c>
      <c r="I1480" t="inlineStr">
        <is>
          <t>J21.9</t>
        </is>
      </c>
      <c r="J1480" t="inlineStr">
        <is>
          <t>PY06</t>
        </is>
      </c>
      <c r="K1480" s="33" t="n">
        <v>3168.69</v>
      </c>
      <c r="L1480" s="34" t="n"/>
    </row>
    <row r="1481">
      <c r="A1481" t="inlineStr">
        <is>
          <t>ENC118956</t>
        </is>
      </c>
      <c r="B1481" t="inlineStr">
        <is>
          <t>PT11783</t>
        </is>
      </c>
      <c r="C1481" t="inlineStr">
        <is>
          <t>Outpatient</t>
        </is>
      </c>
      <c r="D1481" t="inlineStr">
        <is>
          <t>F04</t>
        </is>
      </c>
      <c r="E1481" t="inlineStr">
        <is>
          <t>D400</t>
        </is>
      </c>
      <c r="G1481" s="32" t="n">
        <v>45933.35416666666</v>
      </c>
      <c r="H1481" s="32" t="n">
        <v>45933.38263888889</v>
      </c>
      <c r="I1481" t="inlineStr">
        <is>
          <t>I10</t>
        </is>
      </c>
      <c r="J1481" t="inlineStr">
        <is>
          <t>PY03</t>
        </is>
      </c>
      <c r="K1481" s="33" t="n">
        <v>204.61</v>
      </c>
      <c r="L1481" s="34" t="n"/>
    </row>
    <row r="1482">
      <c r="A1482" t="inlineStr">
        <is>
          <t>ENC118954</t>
        </is>
      </c>
      <c r="B1482" t="inlineStr">
        <is>
          <t>PT12910</t>
        </is>
      </c>
      <c r="C1482" t="inlineStr">
        <is>
          <t>Inpatient</t>
        </is>
      </c>
      <c r="D1482" t="inlineStr">
        <is>
          <t>F03</t>
        </is>
      </c>
      <c r="E1482" t="inlineStr">
        <is>
          <t>D310</t>
        </is>
      </c>
      <c r="F1482" t="inlineStr">
        <is>
          <t>Emergency Department</t>
        </is>
      </c>
      <c r="G1482" s="32" t="n">
        <v>45933.47708333333</v>
      </c>
      <c r="H1482" s="32" t="n">
        <v>45937.39513888889</v>
      </c>
      <c r="I1482" t="inlineStr">
        <is>
          <t>N17.9</t>
        </is>
      </c>
      <c r="J1482" t="inlineStr">
        <is>
          <t>PY05</t>
        </is>
      </c>
      <c r="K1482" s="33" t="n">
        <v>22351.56</v>
      </c>
      <c r="L1482" s="34" t="n"/>
    </row>
    <row r="1483">
      <c r="A1483" t="inlineStr">
        <is>
          <t>ENC118966</t>
        </is>
      </c>
      <c r="B1483" t="inlineStr">
        <is>
          <t>PT13030</t>
        </is>
      </c>
      <c r="C1483" t="inlineStr">
        <is>
          <t>Outpatient</t>
        </is>
      </c>
      <c r="D1483" t="inlineStr">
        <is>
          <t>F04</t>
        </is>
      </c>
      <c r="E1483" t="inlineStr">
        <is>
          <t>D400</t>
        </is>
      </c>
      <c r="G1483" s="32" t="n">
        <v>45933.57291666666</v>
      </c>
      <c r="H1483" s="32" t="n">
        <v>45933.59791666667</v>
      </c>
      <c r="I1483" t="inlineStr">
        <is>
          <t>M54.50</t>
        </is>
      </c>
      <c r="J1483" t="inlineStr">
        <is>
          <t>PY05</t>
        </is>
      </c>
      <c r="K1483" s="33" t="n">
        <v>324.87</v>
      </c>
      <c r="L1483" s="34" t="n"/>
    </row>
    <row r="1484">
      <c r="A1484" t="inlineStr">
        <is>
          <t>ENC118972</t>
        </is>
      </c>
      <c r="B1484" t="inlineStr">
        <is>
          <t>PT13111</t>
        </is>
      </c>
      <c r="C1484" t="inlineStr">
        <is>
          <t>Outpatient</t>
        </is>
      </c>
      <c r="D1484" t="inlineStr">
        <is>
          <t>F04</t>
        </is>
      </c>
      <c r="E1484" t="inlineStr">
        <is>
          <t>D420</t>
        </is>
      </c>
      <c r="G1484" s="32" t="n">
        <v>45933.67708333334</v>
      </c>
      <c r="H1484" s="32" t="n">
        <v>45933.70972222222</v>
      </c>
      <c r="I1484" t="inlineStr">
        <is>
          <t>M17.11</t>
        </is>
      </c>
      <c r="J1484" t="inlineStr">
        <is>
          <t>PY03</t>
        </is>
      </c>
      <c r="K1484" s="33" t="n">
        <v>232.1</v>
      </c>
      <c r="L1484" s="34" t="n"/>
    </row>
    <row r="1485">
      <c r="A1485" t="inlineStr">
        <is>
          <t>ENC118977</t>
        </is>
      </c>
      <c r="B1485" t="inlineStr">
        <is>
          <t>PT12494</t>
        </is>
      </c>
      <c r="C1485" t="inlineStr">
        <is>
          <t>Inpatient</t>
        </is>
      </c>
      <c r="D1485" t="inlineStr">
        <is>
          <t>F01</t>
        </is>
      </c>
      <c r="E1485" t="inlineStr">
        <is>
          <t>D160</t>
        </is>
      </c>
      <c r="F1485" t="inlineStr">
        <is>
          <t>Emergency Department</t>
        </is>
      </c>
      <c r="G1485" s="32" t="n">
        <v>45933.8125</v>
      </c>
      <c r="H1485" s="32" t="n">
        <v>45937.57777777778</v>
      </c>
      <c r="I1485" t="inlineStr">
        <is>
          <t>G40.909</t>
        </is>
      </c>
      <c r="J1485" t="inlineStr">
        <is>
          <t>PY03</t>
        </is>
      </c>
      <c r="K1485" s="33" t="n">
        <v>24384.42</v>
      </c>
      <c r="L1485" s="34" t="n"/>
    </row>
    <row r="1486">
      <c r="A1486" t="inlineStr">
        <is>
          <t>ENC118983</t>
        </is>
      </c>
      <c r="B1486" t="inlineStr">
        <is>
          <t>PT11064</t>
        </is>
      </c>
      <c r="C1486" t="inlineStr">
        <is>
          <t>Emergency</t>
        </is>
      </c>
      <c r="D1486" t="inlineStr">
        <is>
          <t>F01</t>
        </is>
      </c>
      <c r="E1486" t="inlineStr">
        <is>
          <t>D100</t>
        </is>
      </c>
      <c r="G1486" s="32" t="n">
        <v>45934.15277777778</v>
      </c>
      <c r="H1486" s="32" t="n">
        <v>45934.32083333333</v>
      </c>
      <c r="I1486" t="inlineStr">
        <is>
          <t>J18.9</t>
        </is>
      </c>
      <c r="J1486" t="inlineStr">
        <is>
          <t>PY04</t>
        </is>
      </c>
      <c r="K1486" s="33" t="n">
        <v>5098.24</v>
      </c>
      <c r="L1486" s="34" t="n"/>
    </row>
    <row r="1487">
      <c r="A1487" t="inlineStr">
        <is>
          <t>ENC118989</t>
        </is>
      </c>
      <c r="B1487" t="inlineStr">
        <is>
          <t>PT10423</t>
        </is>
      </c>
      <c r="C1487" t="inlineStr">
        <is>
          <t>Emergency</t>
        </is>
      </c>
      <c r="D1487" t="inlineStr">
        <is>
          <t>F01</t>
        </is>
      </c>
      <c r="E1487" t="inlineStr">
        <is>
          <t>D100</t>
        </is>
      </c>
      <c r="G1487" s="32" t="n">
        <v>45934.59444444445</v>
      </c>
      <c r="H1487" s="32" t="n">
        <v>45934.74791666667</v>
      </c>
      <c r="I1487" t="inlineStr">
        <is>
          <t>J06.9</t>
        </is>
      </c>
      <c r="J1487" t="inlineStr">
        <is>
          <t>PY02</t>
        </is>
      </c>
      <c r="K1487" s="33" t="n">
        <v>3541.86</v>
      </c>
      <c r="L1487" s="34" t="n"/>
    </row>
    <row r="1488">
      <c r="A1488" t="inlineStr">
        <is>
          <t>ENC118997</t>
        </is>
      </c>
      <c r="B1488" t="inlineStr">
        <is>
          <t>PT11550</t>
        </is>
      </c>
      <c r="C1488" t="inlineStr">
        <is>
          <t>Emergency</t>
        </is>
      </c>
      <c r="D1488" t="inlineStr">
        <is>
          <t>F01</t>
        </is>
      </c>
      <c r="E1488" t="inlineStr">
        <is>
          <t>D100</t>
        </is>
      </c>
      <c r="G1488" s="32" t="n">
        <v>45934.79097222222</v>
      </c>
      <c r="H1488" s="32" t="n">
        <v>45934.88958333333</v>
      </c>
      <c r="I1488" t="inlineStr">
        <is>
          <t>E86.0</t>
        </is>
      </c>
      <c r="J1488" t="inlineStr">
        <is>
          <t>PY07</t>
        </is>
      </c>
      <c r="K1488" s="33" t="n">
        <v>1740.9</v>
      </c>
      <c r="L1488" s="34" t="n"/>
    </row>
    <row r="1489">
      <c r="A1489" t="inlineStr">
        <is>
          <t>ENC118998</t>
        </is>
      </c>
      <c r="B1489" t="inlineStr">
        <is>
          <t>PT13988</t>
        </is>
      </c>
      <c r="C1489" t="inlineStr">
        <is>
          <t>Inpatient</t>
        </is>
      </c>
      <c r="D1489" t="inlineStr">
        <is>
          <t>F03</t>
        </is>
      </c>
      <c r="E1489" t="inlineStr">
        <is>
          <t>D310</t>
        </is>
      </c>
      <c r="F1489" t="inlineStr">
        <is>
          <t>Emergency Department</t>
        </is>
      </c>
      <c r="G1489" s="32" t="n">
        <v>45934.96736111111</v>
      </c>
      <c r="H1489" s="32" t="n">
        <v>45935.56388888889</v>
      </c>
      <c r="I1489" t="inlineStr">
        <is>
          <t>K80.20</t>
        </is>
      </c>
      <c r="J1489" t="inlineStr">
        <is>
          <t>PY02</t>
        </is>
      </c>
      <c r="K1489" s="33" t="n">
        <v>21051.79</v>
      </c>
      <c r="L1489" s="34" t="n"/>
    </row>
    <row r="1490">
      <c r="A1490" t="inlineStr">
        <is>
          <t>ENC119004</t>
        </is>
      </c>
      <c r="B1490" t="inlineStr">
        <is>
          <t>PT11278</t>
        </is>
      </c>
      <c r="C1490" t="inlineStr">
        <is>
          <t>Emergency</t>
        </is>
      </c>
      <c r="D1490" t="inlineStr">
        <is>
          <t>F01</t>
        </is>
      </c>
      <c r="E1490" t="inlineStr">
        <is>
          <t>D100</t>
        </is>
      </c>
      <c r="G1490" s="32" t="n">
        <v>45935.525</v>
      </c>
      <c r="H1490" s="32" t="n">
        <v>45935.60416666666</v>
      </c>
      <c r="I1490" t="inlineStr">
        <is>
          <t>E86.0</t>
        </is>
      </c>
      <c r="J1490" t="inlineStr">
        <is>
          <t>PY02</t>
        </is>
      </c>
      <c r="K1490" s="33" t="n">
        <v>1672.06</v>
      </c>
      <c r="L1490" s="34" t="n"/>
    </row>
    <row r="1491">
      <c r="A1491" t="inlineStr">
        <is>
          <t>ENC119011</t>
        </is>
      </c>
      <c r="B1491" t="inlineStr">
        <is>
          <t>PT10367</t>
        </is>
      </c>
      <c r="C1491" t="inlineStr">
        <is>
          <t>Emergency</t>
        </is>
      </c>
      <c r="D1491" t="inlineStr">
        <is>
          <t>F01</t>
        </is>
      </c>
      <c r="E1491" t="inlineStr">
        <is>
          <t>D100</t>
        </is>
      </c>
      <c r="G1491" s="32" t="n">
        <v>45935.74444444444</v>
      </c>
      <c r="H1491" s="32" t="n">
        <v>45935.87291666667</v>
      </c>
      <c r="I1491" t="inlineStr">
        <is>
          <t>I10</t>
        </is>
      </c>
      <c r="J1491" t="inlineStr">
        <is>
          <t>PY01</t>
        </is>
      </c>
      <c r="K1491" s="33" t="n">
        <v>2867.82</v>
      </c>
      <c r="L1491" s="34" t="n"/>
    </row>
    <row r="1492">
      <c r="A1492" t="inlineStr">
        <is>
          <t>ENC119014</t>
        </is>
      </c>
      <c r="B1492" t="inlineStr">
        <is>
          <t>PT10998</t>
        </is>
      </c>
      <c r="C1492" t="inlineStr">
        <is>
          <t>Observation</t>
        </is>
      </c>
      <c r="D1492" t="inlineStr">
        <is>
          <t>F03</t>
        </is>
      </c>
      <c r="E1492" t="inlineStr">
        <is>
          <t>D310</t>
        </is>
      </c>
      <c r="F1492" t="inlineStr">
        <is>
          <t>Emergency Department</t>
        </is>
      </c>
      <c r="G1492" s="32" t="n">
        <v>45935.87847222222</v>
      </c>
      <c r="H1492" s="32" t="n">
        <v>45937.45555555556</v>
      </c>
      <c r="I1492" t="inlineStr">
        <is>
          <t>N39.0</t>
        </is>
      </c>
      <c r="J1492" t="inlineStr">
        <is>
          <t>PY06</t>
        </is>
      </c>
      <c r="K1492" s="33" t="n">
        <v>6233.59</v>
      </c>
      <c r="L1492" s="34" t="n"/>
    </row>
    <row r="1493">
      <c r="A1493" t="inlineStr">
        <is>
          <t>ENC119023</t>
        </is>
      </c>
      <c r="B1493" t="inlineStr">
        <is>
          <t>PT10002</t>
        </is>
      </c>
      <c r="C1493" t="inlineStr">
        <is>
          <t>Outpatient</t>
        </is>
      </c>
      <c r="D1493" t="inlineStr">
        <is>
          <t>F04</t>
        </is>
      </c>
      <c r="E1493" t="inlineStr">
        <is>
          <t>D430</t>
        </is>
      </c>
      <c r="G1493" s="32" t="n">
        <v>45936.4375</v>
      </c>
      <c r="H1493" s="32" t="n">
        <v>45936.45555555556</v>
      </c>
      <c r="I1493" t="inlineStr">
        <is>
          <t>C50.911</t>
        </is>
      </c>
      <c r="J1493" t="inlineStr">
        <is>
          <t>PY01</t>
        </is>
      </c>
      <c r="K1493" s="33" t="n">
        <v>579.35</v>
      </c>
      <c r="L1493" s="34" t="n"/>
    </row>
    <row r="1494">
      <c r="A1494" t="inlineStr">
        <is>
          <t>ENC119021</t>
        </is>
      </c>
      <c r="B1494" t="inlineStr">
        <is>
          <t>PT10606</t>
        </is>
      </c>
      <c r="C1494" t="inlineStr">
        <is>
          <t>Inpatient</t>
        </is>
      </c>
      <c r="D1494" t="inlineStr">
        <is>
          <t>F03</t>
        </is>
      </c>
      <c r="E1494" t="inlineStr">
        <is>
          <t>D310</t>
        </is>
      </c>
      <c r="F1494" t="inlineStr">
        <is>
          <t>Emergency Department</t>
        </is>
      </c>
      <c r="G1494" s="32" t="n">
        <v>45936.47638888889</v>
      </c>
      <c r="H1494" s="32" t="n">
        <v>45937.52986111111</v>
      </c>
      <c r="I1494" t="inlineStr">
        <is>
          <t>J44.1</t>
        </is>
      </c>
      <c r="J1494" t="inlineStr">
        <is>
          <t>PY01</t>
        </is>
      </c>
      <c r="K1494" s="33" t="n">
        <v>7669.52</v>
      </c>
      <c r="L1494" s="34" t="n"/>
    </row>
    <row r="1495">
      <c r="A1495" t="inlineStr">
        <is>
          <t>ENC119022</t>
        </is>
      </c>
      <c r="B1495" t="inlineStr">
        <is>
          <t>PT10423</t>
        </is>
      </c>
      <c r="C1495" t="inlineStr">
        <is>
          <t>Inpatient</t>
        </is>
      </c>
      <c r="D1495" t="inlineStr">
        <is>
          <t>F01</t>
        </is>
      </c>
      <c r="E1495" t="inlineStr">
        <is>
          <t>D160</t>
        </is>
      </c>
      <c r="F1495" t="inlineStr">
        <is>
          <t>Emergency Department</t>
        </is>
      </c>
      <c r="G1495" s="32" t="n">
        <v>45936.54861111111</v>
      </c>
      <c r="H1495" s="32" t="n">
        <v>45941.50347222222</v>
      </c>
      <c r="I1495" t="inlineStr">
        <is>
          <t>I63.9</t>
        </is>
      </c>
      <c r="J1495" t="inlineStr">
        <is>
          <t>PY02</t>
        </is>
      </c>
      <c r="K1495" s="33" t="n">
        <v>36121.68</v>
      </c>
      <c r="L1495" s="34" t="n"/>
    </row>
    <row r="1496">
      <c r="A1496" t="inlineStr">
        <is>
          <t>ENC119040</t>
        </is>
      </c>
      <c r="B1496" t="inlineStr">
        <is>
          <t>PT12313</t>
        </is>
      </c>
      <c r="C1496" t="inlineStr">
        <is>
          <t>Emergency</t>
        </is>
      </c>
      <c r="D1496" t="inlineStr">
        <is>
          <t>F01</t>
        </is>
      </c>
      <c r="E1496" t="inlineStr">
        <is>
          <t>D100</t>
        </is>
      </c>
      <c r="G1496" s="32" t="n">
        <v>45936.61319444444</v>
      </c>
      <c r="H1496" s="32" t="n">
        <v>45936.80277777778</v>
      </c>
      <c r="I1496" t="inlineStr">
        <is>
          <t>J44.1</t>
        </is>
      </c>
      <c r="J1496" t="inlineStr">
        <is>
          <t>PY01</t>
        </is>
      </c>
      <c r="K1496" s="33" t="n">
        <v>4944.5</v>
      </c>
      <c r="L1496" s="34" t="n"/>
    </row>
    <row r="1497">
      <c r="A1497" t="inlineStr">
        <is>
          <t>ENC119046</t>
        </is>
      </c>
      <c r="B1497" t="inlineStr">
        <is>
          <t>PT12407</t>
        </is>
      </c>
      <c r="C1497" t="inlineStr">
        <is>
          <t>Emergency</t>
        </is>
      </c>
      <c r="D1497" t="inlineStr">
        <is>
          <t>F01</t>
        </is>
      </c>
      <c r="E1497" t="inlineStr">
        <is>
          <t>D100</t>
        </is>
      </c>
      <c r="G1497" s="32" t="n">
        <v>45936.66805555556</v>
      </c>
      <c r="H1497" s="32" t="n">
        <v>45936.83472222222</v>
      </c>
      <c r="I1497" t="inlineStr">
        <is>
          <t>G43.909</t>
        </is>
      </c>
      <c r="J1497" t="inlineStr">
        <is>
          <t>PY05</t>
        </is>
      </c>
      <c r="K1497" s="33" t="n">
        <v>3248.51</v>
      </c>
      <c r="L1497" s="34" t="n"/>
    </row>
    <row r="1498">
      <c r="A1498" t="inlineStr">
        <is>
          <t>ENC119052</t>
        </is>
      </c>
      <c r="B1498" t="inlineStr">
        <is>
          <t>PT10587</t>
        </is>
      </c>
      <c r="C1498" t="inlineStr">
        <is>
          <t>Inpatient</t>
        </is>
      </c>
      <c r="D1498" t="inlineStr">
        <is>
          <t>F01</t>
        </is>
      </c>
      <c r="E1498" t="inlineStr">
        <is>
          <t>D160</t>
        </is>
      </c>
      <c r="F1498" t="inlineStr">
        <is>
          <t>Direct Admit</t>
        </is>
      </c>
      <c r="G1498" s="32" t="n">
        <v>45936.79791666667</v>
      </c>
      <c r="H1498" s="32" t="n">
        <v>45946.56805555556</v>
      </c>
      <c r="I1498" t="inlineStr">
        <is>
          <t>I63.9</t>
        </is>
      </c>
      <c r="J1498" t="inlineStr">
        <is>
          <t>PY04</t>
        </is>
      </c>
      <c r="K1498" s="33" t="n">
        <v>48699.89</v>
      </c>
      <c r="L1498" s="34" t="n"/>
    </row>
    <row r="1499">
      <c r="A1499" t="inlineStr">
        <is>
          <t>ENC119055</t>
        </is>
      </c>
      <c r="B1499" t="inlineStr">
        <is>
          <t>PT10414</t>
        </is>
      </c>
      <c r="C1499" t="inlineStr">
        <is>
          <t>Emergency</t>
        </is>
      </c>
      <c r="D1499" t="inlineStr">
        <is>
          <t>F01</t>
        </is>
      </c>
      <c r="E1499" t="inlineStr">
        <is>
          <t>D100</t>
        </is>
      </c>
      <c r="G1499" s="32" t="n">
        <v>45937.02152777778</v>
      </c>
      <c r="H1499" s="32" t="n">
        <v>45937.12569444445</v>
      </c>
      <c r="I1499" t="inlineStr">
        <is>
          <t>G43.909</t>
        </is>
      </c>
      <c r="J1499" t="inlineStr">
        <is>
          <t>PY05</t>
        </is>
      </c>
      <c r="K1499" s="33" t="n">
        <v>1000.34</v>
      </c>
      <c r="L1499" s="34" t="n"/>
    </row>
    <row r="1500">
      <c r="A1500" t="inlineStr">
        <is>
          <t>ENC119060</t>
        </is>
      </c>
      <c r="B1500" t="inlineStr">
        <is>
          <t>PT12418</t>
        </is>
      </c>
      <c r="C1500" t="inlineStr">
        <is>
          <t>Outpatient</t>
        </is>
      </c>
      <c r="D1500" t="inlineStr">
        <is>
          <t>F04</t>
        </is>
      </c>
      <c r="E1500" t="inlineStr">
        <is>
          <t>D450</t>
        </is>
      </c>
      <c r="G1500" s="32" t="n">
        <v>45937.35416666666</v>
      </c>
      <c r="H1500" s="32" t="n">
        <v>45937.36527777778</v>
      </c>
      <c r="I1500" t="inlineStr">
        <is>
          <t>F32.9</t>
        </is>
      </c>
      <c r="J1500" t="inlineStr">
        <is>
          <t>PY06</t>
        </is>
      </c>
      <c r="K1500" s="33" t="n">
        <v>222.16</v>
      </c>
      <c r="L1500" s="34" t="n"/>
    </row>
    <row r="1501">
      <c r="A1501" t="inlineStr">
        <is>
          <t>ENC119066</t>
        </is>
      </c>
      <c r="B1501" t="inlineStr">
        <is>
          <t>PT10933</t>
        </is>
      </c>
      <c r="C1501" t="inlineStr">
        <is>
          <t>Emergency</t>
        </is>
      </c>
      <c r="D1501" t="inlineStr">
        <is>
          <t>F03</t>
        </is>
      </c>
      <c r="E1501" t="inlineStr">
        <is>
          <t>D300</t>
        </is>
      </c>
      <c r="G1501" s="32" t="n">
        <v>45937.47916666666</v>
      </c>
      <c r="H1501" s="32" t="n">
        <v>45937.59236111111</v>
      </c>
      <c r="I1501" t="inlineStr">
        <is>
          <t>R10.9</t>
        </is>
      </c>
      <c r="J1501" t="inlineStr">
        <is>
          <t>PY05</t>
        </is>
      </c>
      <c r="K1501" s="33" t="n">
        <v>3141.94</v>
      </c>
      <c r="L1501" s="34" t="n"/>
    </row>
    <row r="1502">
      <c r="A1502" t="inlineStr">
        <is>
          <t>ENC119071</t>
        </is>
      </c>
      <c r="B1502" t="inlineStr">
        <is>
          <t>PT13859</t>
        </is>
      </c>
      <c r="C1502" t="inlineStr">
        <is>
          <t>Outpatient</t>
        </is>
      </c>
      <c r="D1502" t="inlineStr">
        <is>
          <t>F04</t>
        </is>
      </c>
      <c r="E1502" t="inlineStr">
        <is>
          <t>D420</t>
        </is>
      </c>
      <c r="G1502" s="32" t="n">
        <v>45937.57291666666</v>
      </c>
      <c r="H1502" s="32" t="n">
        <v>45937.59236111111</v>
      </c>
      <c r="I1502" t="inlineStr">
        <is>
          <t>M16.11</t>
        </is>
      </c>
      <c r="J1502" t="inlineStr">
        <is>
          <t>PY01</t>
        </is>
      </c>
      <c r="K1502" s="33" t="n">
        <v>578.54</v>
      </c>
      <c r="L1502" s="34" t="n"/>
    </row>
    <row r="1503">
      <c r="A1503" t="inlineStr">
        <is>
          <t>ENC119079</t>
        </is>
      </c>
      <c r="B1503" t="inlineStr">
        <is>
          <t>PT10126</t>
        </is>
      </c>
      <c r="C1503" t="inlineStr">
        <is>
          <t>Emergency</t>
        </is>
      </c>
      <c r="D1503" t="inlineStr">
        <is>
          <t>F01</t>
        </is>
      </c>
      <c r="E1503" t="inlineStr">
        <is>
          <t>D100</t>
        </is>
      </c>
      <c r="G1503" s="32" t="n">
        <v>45937.70416666667</v>
      </c>
      <c r="H1503" s="32" t="n">
        <v>45937.87222222222</v>
      </c>
      <c r="I1503" t="inlineStr">
        <is>
          <t>F32.9</t>
        </is>
      </c>
      <c r="J1503" t="inlineStr">
        <is>
          <t>PY03</t>
        </is>
      </c>
      <c r="K1503" s="33" t="n">
        <v>7534.49</v>
      </c>
      <c r="L1503" s="34" t="n"/>
    </row>
    <row r="1504">
      <c r="A1504" t="inlineStr">
        <is>
          <t>ENC119081</t>
        </is>
      </c>
      <c r="B1504" t="inlineStr">
        <is>
          <t>PT13039</t>
        </is>
      </c>
      <c r="C1504" t="inlineStr">
        <is>
          <t>Inpatient</t>
        </is>
      </c>
      <c r="D1504" t="inlineStr">
        <is>
          <t>F01</t>
        </is>
      </c>
      <c r="E1504" t="inlineStr">
        <is>
          <t>D170</t>
        </is>
      </c>
      <c r="F1504" t="inlineStr">
        <is>
          <t>Emergency Department</t>
        </is>
      </c>
      <c r="G1504" s="32" t="n">
        <v>45938.04444444444</v>
      </c>
      <c r="H1504" s="32" t="n">
        <v>45942.38541666666</v>
      </c>
      <c r="I1504" t="inlineStr">
        <is>
          <t>O82</t>
        </is>
      </c>
      <c r="J1504" t="inlineStr">
        <is>
          <t>PY07</t>
        </is>
      </c>
      <c r="K1504" s="33" t="n">
        <v>24779.45</v>
      </c>
      <c r="L1504" s="34" t="n"/>
    </row>
    <row r="1505">
      <c r="A1505" t="inlineStr">
        <is>
          <t>ENC119090</t>
        </is>
      </c>
      <c r="B1505" t="inlineStr">
        <is>
          <t>PT12434</t>
        </is>
      </c>
      <c r="C1505" t="inlineStr">
        <is>
          <t>Outpatient</t>
        </is>
      </c>
      <c r="D1505" t="inlineStr">
        <is>
          <t>F04</t>
        </is>
      </c>
      <c r="E1505" t="inlineStr">
        <is>
          <t>D400</t>
        </is>
      </c>
      <c r="G1505" s="32" t="n">
        <v>45938.36458333334</v>
      </c>
      <c r="H1505" s="32" t="n">
        <v>45938.39861111111</v>
      </c>
      <c r="I1505" t="inlineStr">
        <is>
          <t>G40.909</t>
        </is>
      </c>
      <c r="J1505" t="inlineStr">
        <is>
          <t>PY01</t>
        </is>
      </c>
      <c r="K1505" s="33" t="n">
        <v>355.35</v>
      </c>
      <c r="L1505" s="34" t="n"/>
    </row>
    <row r="1506">
      <c r="A1506" t="inlineStr">
        <is>
          <t>ENC119095</t>
        </is>
      </c>
      <c r="B1506" t="inlineStr">
        <is>
          <t>PT11435</t>
        </is>
      </c>
      <c r="C1506" t="inlineStr">
        <is>
          <t>Emergency</t>
        </is>
      </c>
      <c r="D1506" t="inlineStr">
        <is>
          <t>F01</t>
        </is>
      </c>
      <c r="E1506" t="inlineStr">
        <is>
          <t>D100</t>
        </is>
      </c>
      <c r="G1506" s="32" t="n">
        <v>45938.425</v>
      </c>
      <c r="H1506" s="32" t="n">
        <v>45938.57569444444</v>
      </c>
      <c r="I1506" t="inlineStr">
        <is>
          <t>R07.9</t>
        </is>
      </c>
      <c r="J1506" t="inlineStr">
        <is>
          <t>PY01</t>
        </is>
      </c>
      <c r="K1506" s="33" t="n">
        <v>3348.9</v>
      </c>
      <c r="L1506" s="34" t="n"/>
    </row>
    <row r="1507">
      <c r="A1507" t="inlineStr">
        <is>
          <t>ENC119100</t>
        </is>
      </c>
      <c r="B1507" t="inlineStr">
        <is>
          <t>PT10949</t>
        </is>
      </c>
      <c r="C1507" t="inlineStr">
        <is>
          <t>Outpatient</t>
        </is>
      </c>
      <c r="D1507" t="inlineStr">
        <is>
          <t>F04</t>
        </is>
      </c>
      <c r="E1507" t="inlineStr">
        <is>
          <t>D420</t>
        </is>
      </c>
      <c r="G1507" s="32" t="n">
        <v>45938.5</v>
      </c>
      <c r="H1507" s="32" t="n">
        <v>45938.51666666667</v>
      </c>
      <c r="I1507" t="inlineStr">
        <is>
          <t>M17.11</t>
        </is>
      </c>
      <c r="J1507" t="inlineStr">
        <is>
          <t>PY01</t>
        </is>
      </c>
      <c r="K1507" s="33" t="n">
        <v>384.41</v>
      </c>
      <c r="L1507" s="34" t="n"/>
    </row>
    <row r="1508">
      <c r="A1508" t="inlineStr">
        <is>
          <t>ENC119106</t>
        </is>
      </c>
      <c r="B1508" t="inlineStr">
        <is>
          <t>PT13597</t>
        </is>
      </c>
      <c r="C1508" t="inlineStr">
        <is>
          <t>Outpatient</t>
        </is>
      </c>
      <c r="D1508" t="inlineStr">
        <is>
          <t>F04</t>
        </is>
      </c>
      <c r="E1508" t="inlineStr">
        <is>
          <t>D400</t>
        </is>
      </c>
      <c r="G1508" s="32" t="n">
        <v>45938.59375</v>
      </c>
      <c r="H1508" s="32" t="n">
        <v>45938.60902777778</v>
      </c>
      <c r="I1508" t="inlineStr">
        <is>
          <t>E78.5</t>
        </is>
      </c>
      <c r="J1508" t="inlineStr">
        <is>
          <t>PY04</t>
        </is>
      </c>
      <c r="K1508" s="33" t="n">
        <v>281.36</v>
      </c>
      <c r="L1508" s="34" t="n"/>
    </row>
    <row r="1509">
      <c r="A1509" t="inlineStr">
        <is>
          <t>ENC119111</t>
        </is>
      </c>
      <c r="B1509" t="inlineStr">
        <is>
          <t>PT13203</t>
        </is>
      </c>
      <c r="C1509" t="inlineStr">
        <is>
          <t>Outpatient</t>
        </is>
      </c>
      <c r="D1509" t="inlineStr">
        <is>
          <t>F04</t>
        </is>
      </c>
      <c r="E1509" t="inlineStr">
        <is>
          <t>D430</t>
        </is>
      </c>
      <c r="G1509" s="32" t="n">
        <v>45938.64583333334</v>
      </c>
      <c r="H1509" s="32" t="n">
        <v>45938.67638888889</v>
      </c>
      <c r="I1509" t="inlineStr">
        <is>
          <t>C50.911</t>
        </is>
      </c>
      <c r="J1509" t="inlineStr">
        <is>
          <t>PY03</t>
        </is>
      </c>
      <c r="K1509" s="33" t="n">
        <v>484.32</v>
      </c>
      <c r="L1509" s="34" t="n"/>
    </row>
    <row r="1510">
      <c r="A1510" t="inlineStr">
        <is>
          <t>ENC119109</t>
        </is>
      </c>
      <c r="B1510" t="inlineStr">
        <is>
          <t>PT12557</t>
        </is>
      </c>
      <c r="C1510" t="inlineStr">
        <is>
          <t>Inpatient</t>
        </is>
      </c>
      <c r="D1510" t="inlineStr">
        <is>
          <t>F01</t>
        </is>
      </c>
      <c r="E1510" t="inlineStr">
        <is>
          <t>D110</t>
        </is>
      </c>
      <c r="F1510" t="inlineStr">
        <is>
          <t>Emergency Department</t>
        </is>
      </c>
      <c r="G1510" s="32" t="n">
        <v>45938.75277777778</v>
      </c>
      <c r="H1510" s="32" t="n">
        <v>45941.61597222222</v>
      </c>
      <c r="I1510" t="inlineStr">
        <is>
          <t>J44.1</t>
        </is>
      </c>
      <c r="J1510" t="inlineStr">
        <is>
          <t>PY03</t>
        </is>
      </c>
      <c r="K1510" s="33" t="n">
        <v>17548.01</v>
      </c>
      <c r="L1510" s="34" t="n"/>
    </row>
    <row r="1511">
      <c r="A1511" t="inlineStr">
        <is>
          <t>ENC119120</t>
        </is>
      </c>
      <c r="B1511" t="inlineStr">
        <is>
          <t>PT10148</t>
        </is>
      </c>
      <c r="C1511" t="inlineStr">
        <is>
          <t>Inpatient</t>
        </is>
      </c>
      <c r="D1511" t="inlineStr">
        <is>
          <t>F02</t>
        </is>
      </c>
      <c r="E1511" t="inlineStr">
        <is>
          <t>D230</t>
        </is>
      </c>
      <c r="F1511" t="inlineStr">
        <is>
          <t>Emergency Department</t>
        </is>
      </c>
      <c r="G1511" s="32" t="n">
        <v>45938.97013888889</v>
      </c>
      <c r="H1511" s="32" t="n">
        <v>45946.50972222222</v>
      </c>
      <c r="I1511" t="inlineStr">
        <is>
          <t>A41.9</t>
        </is>
      </c>
      <c r="J1511" t="inlineStr">
        <is>
          <t>PY02</t>
        </is>
      </c>
      <c r="K1511" s="33" t="n">
        <v>54451.32</v>
      </c>
      <c r="L1511" s="34" t="n"/>
    </row>
    <row r="1512">
      <c r="A1512" t="inlineStr">
        <is>
          <t>ENC119127</t>
        </is>
      </c>
      <c r="B1512" t="inlineStr">
        <is>
          <t>PT12365</t>
        </is>
      </c>
      <c r="C1512" t="inlineStr">
        <is>
          <t>Emergency</t>
        </is>
      </c>
      <c r="D1512" t="inlineStr">
        <is>
          <t>F01</t>
        </is>
      </c>
      <c r="E1512" t="inlineStr">
        <is>
          <t>D100</t>
        </is>
      </c>
      <c r="G1512" s="32" t="n">
        <v>45939.275</v>
      </c>
      <c r="H1512" s="32" t="n">
        <v>45939.42986111111</v>
      </c>
      <c r="I1512" t="inlineStr">
        <is>
          <t>F20.9</t>
        </is>
      </c>
      <c r="J1512" t="inlineStr">
        <is>
          <t>PY03</t>
        </is>
      </c>
      <c r="K1512" s="33" t="n">
        <v>5724.05</v>
      </c>
      <c r="L1512" s="34" t="n"/>
    </row>
    <row r="1513">
      <c r="A1513" t="inlineStr">
        <is>
          <t>ENC119133</t>
        </is>
      </c>
      <c r="B1513" t="inlineStr">
        <is>
          <t>PT12758</t>
        </is>
      </c>
      <c r="C1513" t="inlineStr">
        <is>
          <t>Outpatient</t>
        </is>
      </c>
      <c r="D1513" t="inlineStr">
        <is>
          <t>F04</t>
        </is>
      </c>
      <c r="E1513" t="inlineStr">
        <is>
          <t>D410</t>
        </is>
      </c>
      <c r="G1513" s="32" t="n">
        <v>45939.34375</v>
      </c>
      <c r="H1513" s="32" t="n">
        <v>45939.37638888889</v>
      </c>
      <c r="I1513" t="inlineStr">
        <is>
          <t>I50.9</t>
        </is>
      </c>
      <c r="J1513" t="inlineStr">
        <is>
          <t>PY01</t>
        </is>
      </c>
      <c r="K1513" s="33" t="n">
        <v>321.85</v>
      </c>
      <c r="L1513" s="34" t="n"/>
    </row>
    <row r="1514">
      <c r="A1514" t="inlineStr">
        <is>
          <t>ENC119138</t>
        </is>
      </c>
      <c r="B1514" t="inlineStr">
        <is>
          <t>PT10566</t>
        </is>
      </c>
      <c r="C1514" t="inlineStr">
        <is>
          <t>Outpatient</t>
        </is>
      </c>
      <c r="D1514" t="inlineStr">
        <is>
          <t>F04</t>
        </is>
      </c>
      <c r="E1514" t="inlineStr">
        <is>
          <t>D400</t>
        </is>
      </c>
      <c r="G1514" s="32" t="n">
        <v>45939.51041666666</v>
      </c>
      <c r="H1514" s="32" t="n">
        <v>45939.53472222222</v>
      </c>
      <c r="I1514" t="inlineStr">
        <is>
          <t>F41.9</t>
        </is>
      </c>
      <c r="J1514" t="inlineStr">
        <is>
          <t>PY01</t>
        </is>
      </c>
      <c r="K1514" s="33" t="n">
        <v>170.87</v>
      </c>
      <c r="L1514" s="34" t="n"/>
    </row>
    <row r="1515">
      <c r="A1515" t="inlineStr">
        <is>
          <t>ENC119145</t>
        </is>
      </c>
      <c r="B1515" t="inlineStr">
        <is>
          <t>PT11192</t>
        </is>
      </c>
      <c r="C1515" t="inlineStr">
        <is>
          <t>Emergency</t>
        </is>
      </c>
      <c r="D1515" t="inlineStr">
        <is>
          <t>F02</t>
        </is>
      </c>
      <c r="E1515" t="inlineStr">
        <is>
          <t>D200</t>
        </is>
      </c>
      <c r="G1515" s="32" t="n">
        <v>45939.63333333333</v>
      </c>
      <c r="H1515" s="32" t="n">
        <v>45939.80138888889</v>
      </c>
      <c r="I1515" t="inlineStr">
        <is>
          <t>R07.9</t>
        </is>
      </c>
      <c r="J1515" t="inlineStr">
        <is>
          <t>PY03</t>
        </is>
      </c>
      <c r="K1515" s="33" t="n">
        <v>4930.05</v>
      </c>
      <c r="L1515" s="34" t="n"/>
    </row>
    <row r="1516">
      <c r="A1516" t="inlineStr">
        <is>
          <t>ENC119149</t>
        </is>
      </c>
      <c r="B1516" t="inlineStr">
        <is>
          <t>PT10490</t>
        </is>
      </c>
      <c r="C1516" t="inlineStr">
        <is>
          <t>Emergency</t>
        </is>
      </c>
      <c r="D1516" t="inlineStr">
        <is>
          <t>F01</t>
        </is>
      </c>
      <c r="E1516" t="inlineStr">
        <is>
          <t>D100</t>
        </is>
      </c>
      <c r="G1516" s="32" t="n">
        <v>45939.76944444444</v>
      </c>
      <c r="H1516" s="32" t="n">
        <v>45939.92013888889</v>
      </c>
      <c r="I1516" t="inlineStr">
        <is>
          <t>M54.50</t>
        </is>
      </c>
      <c r="J1516" t="inlineStr">
        <is>
          <t>PY07</t>
        </is>
      </c>
      <c r="K1516" s="33" t="n">
        <v>1882.51</v>
      </c>
      <c r="L1516" s="34" t="n"/>
    </row>
    <row r="1517">
      <c r="A1517" t="inlineStr">
        <is>
          <t>ENC119156</t>
        </is>
      </c>
      <c r="B1517" t="inlineStr">
        <is>
          <t>PT10755</t>
        </is>
      </c>
      <c r="C1517" t="inlineStr">
        <is>
          <t>Emergency</t>
        </is>
      </c>
      <c r="D1517" t="inlineStr">
        <is>
          <t>F03</t>
        </is>
      </c>
      <c r="E1517" t="inlineStr">
        <is>
          <t>D300</t>
        </is>
      </c>
      <c r="G1517" s="32" t="n">
        <v>45940.43611111111</v>
      </c>
      <c r="H1517" s="32" t="n">
        <v>45940.5875</v>
      </c>
      <c r="I1517" t="inlineStr">
        <is>
          <t>R10.9</t>
        </is>
      </c>
      <c r="J1517" t="inlineStr">
        <is>
          <t>PY04</t>
        </is>
      </c>
      <c r="K1517" s="33" t="n">
        <v>985.26</v>
      </c>
      <c r="L1517" s="34" t="n"/>
    </row>
    <row r="1518">
      <c r="A1518" t="inlineStr">
        <is>
          <t>ENC119160</t>
        </is>
      </c>
      <c r="B1518" t="inlineStr">
        <is>
          <t>PT11783</t>
        </is>
      </c>
      <c r="C1518" t="inlineStr">
        <is>
          <t>Outpatient</t>
        </is>
      </c>
      <c r="D1518" t="inlineStr">
        <is>
          <t>F04</t>
        </is>
      </c>
      <c r="E1518" t="inlineStr">
        <is>
          <t>D400</t>
        </is>
      </c>
      <c r="G1518" s="32" t="n">
        <v>45940.51041666666</v>
      </c>
      <c r="H1518" s="32" t="n">
        <v>45940.54791666667</v>
      </c>
      <c r="I1518" t="inlineStr">
        <is>
          <t>E78.5</t>
        </is>
      </c>
      <c r="J1518" t="inlineStr">
        <is>
          <t>PY03</t>
        </is>
      </c>
      <c r="K1518" s="33" t="n">
        <v>591.67</v>
      </c>
      <c r="L1518" s="34" t="n"/>
    </row>
    <row r="1519">
      <c r="A1519" t="inlineStr">
        <is>
          <t>ENC119167</t>
        </is>
      </c>
      <c r="B1519" t="inlineStr">
        <is>
          <t>PT12567</t>
        </is>
      </c>
      <c r="C1519" t="inlineStr">
        <is>
          <t>Outpatient</t>
        </is>
      </c>
      <c r="D1519" t="inlineStr">
        <is>
          <t>F04</t>
        </is>
      </c>
      <c r="E1519" t="inlineStr">
        <is>
          <t>D450</t>
        </is>
      </c>
      <c r="G1519" s="32" t="n">
        <v>45940.59375</v>
      </c>
      <c r="H1519" s="32" t="n">
        <v>45940.61180555556</v>
      </c>
      <c r="I1519" t="inlineStr">
        <is>
          <t>Z00.129</t>
        </is>
      </c>
      <c r="J1519" t="inlineStr">
        <is>
          <t>PY05</t>
        </is>
      </c>
      <c r="K1519" s="33" t="n">
        <v>365.33</v>
      </c>
      <c r="L1519" s="34" t="n"/>
    </row>
    <row r="1520">
      <c r="A1520" t="inlineStr">
        <is>
          <t>ENC119176</t>
        </is>
      </c>
      <c r="B1520" t="inlineStr">
        <is>
          <t>PT11263</t>
        </is>
      </c>
      <c r="C1520" t="inlineStr">
        <is>
          <t>Emergency</t>
        </is>
      </c>
      <c r="D1520" t="inlineStr">
        <is>
          <t>F01</t>
        </is>
      </c>
      <c r="E1520" t="inlineStr">
        <is>
          <t>D100</t>
        </is>
      </c>
      <c r="G1520" s="32" t="n">
        <v>45940.76180555556</v>
      </c>
      <c r="H1520" s="32" t="n">
        <v>45940.84652777778</v>
      </c>
      <c r="I1520" t="inlineStr">
        <is>
          <t>F41.9</t>
        </is>
      </c>
      <c r="J1520" t="inlineStr">
        <is>
          <t>PY04</t>
        </is>
      </c>
      <c r="K1520" s="33" t="n">
        <v>1813.75</v>
      </c>
      <c r="L1520" s="34" t="n"/>
    </row>
    <row r="1521">
      <c r="A1521" t="inlineStr">
        <is>
          <t>ENC119178</t>
        </is>
      </c>
      <c r="B1521" t="inlineStr">
        <is>
          <t>PT11462</t>
        </is>
      </c>
      <c r="C1521" t="inlineStr">
        <is>
          <t>Emergency</t>
        </is>
      </c>
      <c r="D1521" t="inlineStr">
        <is>
          <t>F01</t>
        </is>
      </c>
      <c r="E1521" t="inlineStr">
        <is>
          <t>D100</t>
        </is>
      </c>
      <c r="G1521" s="32" t="n">
        <v>45940.86666666667</v>
      </c>
      <c r="H1521" s="32" t="n">
        <v>45941.01597222222</v>
      </c>
      <c r="I1521" t="inlineStr">
        <is>
          <t>R07.9</t>
        </is>
      </c>
      <c r="J1521" t="inlineStr">
        <is>
          <t>PY04</t>
        </is>
      </c>
      <c r="K1521" s="33" t="n">
        <v>3560.06</v>
      </c>
      <c r="L1521" s="34" t="n"/>
    </row>
    <row r="1522">
      <c r="A1522" t="inlineStr">
        <is>
          <t>ENC119183</t>
        </is>
      </c>
      <c r="B1522" t="inlineStr">
        <is>
          <t>PT13836</t>
        </is>
      </c>
      <c r="C1522" t="inlineStr">
        <is>
          <t>Inpatient</t>
        </is>
      </c>
      <c r="D1522" t="inlineStr">
        <is>
          <t>F01</t>
        </is>
      </c>
      <c r="E1522" t="inlineStr">
        <is>
          <t>D170</t>
        </is>
      </c>
      <c r="F1522" t="inlineStr">
        <is>
          <t>Direct Admit</t>
        </is>
      </c>
      <c r="G1522" s="32" t="n">
        <v>45941.05972222222</v>
      </c>
      <c r="H1522" s="32" t="n">
        <v>45943.52916666667</v>
      </c>
      <c r="I1522" t="inlineStr">
        <is>
          <t>O80</t>
        </is>
      </c>
      <c r="J1522" t="inlineStr">
        <is>
          <t>PY04</t>
        </is>
      </c>
      <c r="K1522" s="33" t="n">
        <v>15694.06</v>
      </c>
      <c r="L1522" s="34" t="n"/>
    </row>
    <row r="1523">
      <c r="A1523" t="inlineStr">
        <is>
          <t>ENC119188</t>
        </is>
      </c>
      <c r="B1523" t="inlineStr">
        <is>
          <t>PT12164</t>
        </is>
      </c>
      <c r="C1523" t="inlineStr">
        <is>
          <t>Emergency</t>
        </is>
      </c>
      <c r="D1523" t="inlineStr">
        <is>
          <t>F01</t>
        </is>
      </c>
      <c r="E1523" t="inlineStr">
        <is>
          <t>D100</t>
        </is>
      </c>
      <c r="G1523" s="32" t="n">
        <v>45941.50902777778</v>
      </c>
      <c r="H1523" s="32" t="n">
        <v>45941.62638888889</v>
      </c>
      <c r="I1523" t="inlineStr">
        <is>
          <t>G40.909</t>
        </is>
      </c>
      <c r="J1523" t="inlineStr">
        <is>
          <t>PY02</t>
        </is>
      </c>
      <c r="K1523" s="33" t="n">
        <v>2543.92</v>
      </c>
      <c r="L1523" s="34" t="n"/>
    </row>
    <row r="1524">
      <c r="A1524" t="inlineStr">
        <is>
          <t>ENC119194</t>
        </is>
      </c>
      <c r="B1524" t="inlineStr">
        <is>
          <t>PT12606</t>
        </is>
      </c>
      <c r="C1524" t="inlineStr">
        <is>
          <t>Inpatient</t>
        </is>
      </c>
      <c r="D1524" t="inlineStr">
        <is>
          <t>F01</t>
        </is>
      </c>
      <c r="E1524" t="inlineStr">
        <is>
          <t>D170</t>
        </is>
      </c>
      <c r="F1524" t="inlineStr">
        <is>
          <t>Direct Admit</t>
        </is>
      </c>
      <c r="G1524" s="32" t="n">
        <v>45941.61944444444</v>
      </c>
      <c r="H1524" s="32" t="n">
        <v>45943.60277777778</v>
      </c>
      <c r="I1524" t="inlineStr">
        <is>
          <t>O80</t>
        </is>
      </c>
      <c r="J1524" t="inlineStr">
        <is>
          <t>PY01</t>
        </is>
      </c>
      <c r="K1524" s="33" t="n">
        <v>11378.74</v>
      </c>
      <c r="L1524" s="34" t="n"/>
    </row>
    <row r="1525">
      <c r="A1525" t="inlineStr">
        <is>
          <t>ENC119198</t>
        </is>
      </c>
      <c r="B1525" t="inlineStr">
        <is>
          <t>PT11553</t>
        </is>
      </c>
      <c r="C1525" t="inlineStr">
        <is>
          <t>Observation</t>
        </is>
      </c>
      <c r="D1525" t="inlineStr">
        <is>
          <t>F01</t>
        </is>
      </c>
      <c r="E1525" t="inlineStr">
        <is>
          <t>D195</t>
        </is>
      </c>
      <c r="F1525" t="inlineStr">
        <is>
          <t>Emergency Department</t>
        </is>
      </c>
      <c r="G1525" s="32" t="n">
        <v>45941.9125</v>
      </c>
      <c r="H1525" s="32" t="n">
        <v>45942.74305555555</v>
      </c>
      <c r="I1525" t="inlineStr">
        <is>
          <t>R07.9</t>
        </is>
      </c>
      <c r="J1525" t="inlineStr">
        <is>
          <t>PY05</t>
        </is>
      </c>
      <c r="K1525" s="33" t="n">
        <v>6779.53</v>
      </c>
      <c r="L1525" s="34" t="n"/>
    </row>
    <row r="1526">
      <c r="A1526" t="inlineStr">
        <is>
          <t>ENC119208</t>
        </is>
      </c>
      <c r="B1526" t="inlineStr">
        <is>
          <t>PT12214</t>
        </is>
      </c>
      <c r="C1526" t="inlineStr">
        <is>
          <t>Emergency</t>
        </is>
      </c>
      <c r="D1526" t="inlineStr">
        <is>
          <t>F01</t>
        </is>
      </c>
      <c r="E1526" t="inlineStr">
        <is>
          <t>D100</t>
        </is>
      </c>
      <c r="G1526" s="32" t="n">
        <v>45942.56319444445</v>
      </c>
      <c r="H1526" s="32" t="n">
        <v>45942.78888888889</v>
      </c>
      <c r="I1526" t="inlineStr">
        <is>
          <t>J44.1</t>
        </is>
      </c>
      <c r="J1526" t="inlineStr">
        <is>
          <t>PY06</t>
        </is>
      </c>
      <c r="K1526" s="33" t="n">
        <v>4501.96</v>
      </c>
      <c r="L1526" s="34" t="n"/>
    </row>
    <row r="1527">
      <c r="A1527" t="inlineStr">
        <is>
          <t>ENC119211</t>
        </is>
      </c>
      <c r="B1527" t="inlineStr">
        <is>
          <t>PT13646</t>
        </is>
      </c>
      <c r="C1527" t="inlineStr">
        <is>
          <t>Emergency</t>
        </is>
      </c>
      <c r="D1527" t="inlineStr">
        <is>
          <t>F01</t>
        </is>
      </c>
      <c r="E1527" t="inlineStr">
        <is>
          <t>D100</t>
        </is>
      </c>
      <c r="G1527" s="32" t="n">
        <v>45942.76875</v>
      </c>
      <c r="H1527" s="32" t="n">
        <v>45942.89027777778</v>
      </c>
      <c r="I1527" t="inlineStr">
        <is>
          <t>E11.65</t>
        </is>
      </c>
      <c r="J1527" t="inlineStr">
        <is>
          <t>PY01</t>
        </is>
      </c>
      <c r="K1527" s="33" t="n">
        <v>3780.81</v>
      </c>
      <c r="L1527" s="34" t="n"/>
    </row>
    <row r="1528">
      <c r="A1528" t="inlineStr">
        <is>
          <t>ENC119215</t>
        </is>
      </c>
      <c r="B1528" t="inlineStr">
        <is>
          <t>PT11288</t>
        </is>
      </c>
      <c r="C1528" t="inlineStr">
        <is>
          <t>Inpatient</t>
        </is>
      </c>
      <c r="D1528" t="inlineStr">
        <is>
          <t>F01</t>
        </is>
      </c>
      <c r="E1528" t="inlineStr">
        <is>
          <t>D160</t>
        </is>
      </c>
      <c r="F1528" t="inlineStr">
        <is>
          <t>Emergency Department</t>
        </is>
      </c>
      <c r="G1528" s="32" t="n">
        <v>45943.21597222222</v>
      </c>
      <c r="H1528" s="32" t="n">
        <v>45946.66527777778</v>
      </c>
      <c r="I1528" t="inlineStr">
        <is>
          <t>G40.909</t>
        </is>
      </c>
      <c r="J1528" t="inlineStr">
        <is>
          <t>PY03</t>
        </is>
      </c>
      <c r="K1528" s="33" t="n">
        <v>20400.05</v>
      </c>
      <c r="L1528" s="34" t="n"/>
    </row>
    <row r="1529">
      <c r="A1529" t="inlineStr">
        <is>
          <t>ENC119222</t>
        </is>
      </c>
      <c r="B1529" t="inlineStr">
        <is>
          <t>PT13430</t>
        </is>
      </c>
      <c r="C1529" t="inlineStr">
        <is>
          <t>Outpatient</t>
        </is>
      </c>
      <c r="D1529" t="inlineStr">
        <is>
          <t>F04</t>
        </is>
      </c>
      <c r="E1529" t="inlineStr">
        <is>
          <t>D400</t>
        </is>
      </c>
      <c r="G1529" s="32" t="n">
        <v>45943.38541666666</v>
      </c>
      <c r="H1529" s="32" t="n">
        <v>45943.40625</v>
      </c>
      <c r="I1529" t="inlineStr">
        <is>
          <t>F41.9</t>
        </is>
      </c>
      <c r="J1529" t="inlineStr">
        <is>
          <t>PY07</t>
        </is>
      </c>
      <c r="K1529" s="33" t="n">
        <v>163.28</v>
      </c>
      <c r="L1529" s="34" t="n"/>
    </row>
    <row r="1530">
      <c r="A1530" t="inlineStr">
        <is>
          <t>ENC119227</t>
        </is>
      </c>
      <c r="B1530" t="inlineStr">
        <is>
          <t>PT11383</t>
        </is>
      </c>
      <c r="C1530" t="inlineStr">
        <is>
          <t>Outpatient</t>
        </is>
      </c>
      <c r="D1530" t="inlineStr">
        <is>
          <t>F04</t>
        </is>
      </c>
      <c r="E1530" t="inlineStr">
        <is>
          <t>D420</t>
        </is>
      </c>
      <c r="G1530" s="32" t="n">
        <v>45943.5</v>
      </c>
      <c r="H1530" s="32" t="n">
        <v>45943.51875</v>
      </c>
      <c r="I1530" t="inlineStr">
        <is>
          <t>S93.401A</t>
        </is>
      </c>
      <c r="J1530" t="inlineStr">
        <is>
          <t>PY05</t>
        </is>
      </c>
      <c r="K1530" s="33" t="n">
        <v>308.86</v>
      </c>
      <c r="L1530" s="34" t="n"/>
    </row>
    <row r="1531">
      <c r="A1531" t="inlineStr">
        <is>
          <t>ENC119235</t>
        </is>
      </c>
      <c r="B1531" t="inlineStr">
        <is>
          <t>PT13304</t>
        </is>
      </c>
      <c r="C1531" t="inlineStr">
        <is>
          <t>Outpatient</t>
        </is>
      </c>
      <c r="D1531" t="inlineStr">
        <is>
          <t>F04</t>
        </is>
      </c>
      <c r="E1531" t="inlineStr">
        <is>
          <t>D430</t>
        </is>
      </c>
      <c r="G1531" s="32" t="n">
        <v>45943.61458333334</v>
      </c>
      <c r="H1531" s="32" t="n">
        <v>45943.81597222222</v>
      </c>
      <c r="I1531" t="inlineStr">
        <is>
          <t>Z51.11</t>
        </is>
      </c>
      <c r="J1531" t="inlineStr">
        <is>
          <t>PY05</t>
        </is>
      </c>
      <c r="K1531" s="33" t="n">
        <v>17160.23</v>
      </c>
      <c r="L1531" s="34" t="n"/>
    </row>
    <row r="1532">
      <c r="A1532" t="inlineStr">
        <is>
          <t>ENC119239</t>
        </is>
      </c>
      <c r="B1532" t="inlineStr">
        <is>
          <t>PT10386</t>
        </is>
      </c>
      <c r="C1532" t="inlineStr">
        <is>
          <t>Emergency</t>
        </is>
      </c>
      <c r="D1532" t="inlineStr">
        <is>
          <t>F01</t>
        </is>
      </c>
      <c r="E1532" t="inlineStr">
        <is>
          <t>D100</t>
        </is>
      </c>
      <c r="G1532" s="32" t="n">
        <v>45943.68680555555</v>
      </c>
      <c r="H1532" s="32" t="n">
        <v>45943.7875</v>
      </c>
      <c r="I1532" t="inlineStr">
        <is>
          <t>N39.0</t>
        </is>
      </c>
      <c r="J1532" t="inlineStr">
        <is>
          <t>PY05</t>
        </is>
      </c>
      <c r="K1532" s="33" t="n">
        <v>1305.56</v>
      </c>
      <c r="L1532" s="34" t="n"/>
    </row>
    <row r="1533">
      <c r="A1533" t="inlineStr">
        <is>
          <t>ENC119244</t>
        </is>
      </c>
      <c r="B1533" t="inlineStr">
        <is>
          <t>PT10172</t>
        </is>
      </c>
      <c r="C1533" t="inlineStr">
        <is>
          <t>Emergency</t>
        </is>
      </c>
      <c r="D1533" t="inlineStr">
        <is>
          <t>F01</t>
        </is>
      </c>
      <c r="E1533" t="inlineStr">
        <is>
          <t>D100</t>
        </is>
      </c>
      <c r="G1533" s="32" t="n">
        <v>45943.77916666667</v>
      </c>
      <c r="H1533" s="32" t="n">
        <v>45943.97013888889</v>
      </c>
      <c r="I1533" t="inlineStr">
        <is>
          <t>E11.65</t>
        </is>
      </c>
      <c r="J1533" t="inlineStr">
        <is>
          <t>PY01</t>
        </is>
      </c>
      <c r="K1533" s="33" t="n">
        <v>2978.43</v>
      </c>
      <c r="L1533" s="34" t="n"/>
    </row>
    <row r="1534">
      <c r="A1534" t="inlineStr">
        <is>
          <t>ENC119250</t>
        </is>
      </c>
      <c r="B1534" t="inlineStr">
        <is>
          <t>PT12244</t>
        </is>
      </c>
      <c r="C1534" t="inlineStr">
        <is>
          <t>Observation</t>
        </is>
      </c>
      <c r="D1534" t="inlineStr">
        <is>
          <t>F01</t>
        </is>
      </c>
      <c r="E1534" t="inlineStr">
        <is>
          <t>D195</t>
        </is>
      </c>
      <c r="F1534" t="inlineStr">
        <is>
          <t>Emergency Department</t>
        </is>
      </c>
      <c r="G1534" s="32" t="n">
        <v>45944.03958333333</v>
      </c>
      <c r="H1534" s="32" t="n">
        <v>45945.40416666667</v>
      </c>
      <c r="I1534" t="inlineStr">
        <is>
          <t>R07.9</t>
        </is>
      </c>
      <c r="J1534" t="inlineStr">
        <is>
          <t>PY02</t>
        </is>
      </c>
      <c r="K1534" s="33" t="n">
        <v>8202.200000000001</v>
      </c>
      <c r="L1534" s="34" t="n"/>
    </row>
    <row r="1535">
      <c r="A1535" t="inlineStr">
        <is>
          <t>ENC119255</t>
        </is>
      </c>
      <c r="B1535" t="inlineStr">
        <is>
          <t>PT12650</t>
        </is>
      </c>
      <c r="C1535" t="inlineStr">
        <is>
          <t>Emergency</t>
        </is>
      </c>
      <c r="D1535" t="inlineStr">
        <is>
          <t>F02</t>
        </is>
      </c>
      <c r="E1535" t="inlineStr">
        <is>
          <t>D200</t>
        </is>
      </c>
      <c r="G1535" s="32" t="n">
        <v>45944.37013888889</v>
      </c>
      <c r="H1535" s="32" t="n">
        <v>45944.46597222222</v>
      </c>
      <c r="I1535" t="inlineStr">
        <is>
          <t>R10.9</t>
        </is>
      </c>
      <c r="J1535" t="inlineStr">
        <is>
          <t>PY01</t>
        </is>
      </c>
      <c r="K1535" s="33" t="n">
        <v>3124.89</v>
      </c>
      <c r="L1535" s="34" t="n"/>
    </row>
    <row r="1536">
      <c r="A1536" t="inlineStr">
        <is>
          <t>ENC119262</t>
        </is>
      </c>
      <c r="B1536" t="inlineStr">
        <is>
          <t>PT10899</t>
        </is>
      </c>
      <c r="C1536" t="inlineStr">
        <is>
          <t>Outpatient</t>
        </is>
      </c>
      <c r="D1536" t="inlineStr">
        <is>
          <t>F04</t>
        </is>
      </c>
      <c r="E1536" t="inlineStr">
        <is>
          <t>D400</t>
        </is>
      </c>
      <c r="G1536" s="32" t="n">
        <v>45944.45833333334</v>
      </c>
      <c r="H1536" s="32" t="n">
        <v>45944.47361111111</v>
      </c>
      <c r="I1536" t="inlineStr">
        <is>
          <t>I10</t>
        </is>
      </c>
      <c r="J1536" t="inlineStr">
        <is>
          <t>PY01</t>
        </is>
      </c>
      <c r="K1536" s="33" t="n">
        <v>242.85</v>
      </c>
      <c r="L1536" s="34" t="n"/>
    </row>
    <row r="1537">
      <c r="A1537" t="inlineStr">
        <is>
          <t>ENC119267</t>
        </is>
      </c>
      <c r="B1537" t="inlineStr">
        <is>
          <t>PT11913</t>
        </is>
      </c>
      <c r="C1537" t="inlineStr">
        <is>
          <t>Outpatient</t>
        </is>
      </c>
      <c r="D1537" t="inlineStr">
        <is>
          <t>F04</t>
        </is>
      </c>
      <c r="E1537" t="inlineStr">
        <is>
          <t>D400</t>
        </is>
      </c>
      <c r="G1537" s="32" t="n">
        <v>45944.51041666666</v>
      </c>
      <c r="H1537" s="32" t="n">
        <v>45944.52708333333</v>
      </c>
      <c r="I1537" t="inlineStr">
        <is>
          <t>Z00.00</t>
        </is>
      </c>
      <c r="J1537" t="inlineStr">
        <is>
          <t>PY05</t>
        </is>
      </c>
      <c r="K1537" s="33" t="n">
        <v>275.49</v>
      </c>
      <c r="L1537" s="34" t="n"/>
    </row>
    <row r="1538">
      <c r="A1538" t="inlineStr">
        <is>
          <t>ENC119273</t>
        </is>
      </c>
      <c r="B1538" t="inlineStr">
        <is>
          <t>PT13784</t>
        </is>
      </c>
      <c r="C1538" t="inlineStr">
        <is>
          <t>Outpatient</t>
        </is>
      </c>
      <c r="D1538" t="inlineStr">
        <is>
          <t>F04</t>
        </is>
      </c>
      <c r="E1538" t="inlineStr">
        <is>
          <t>D400</t>
        </is>
      </c>
      <c r="G1538" s="32" t="n">
        <v>45944.55208333334</v>
      </c>
      <c r="H1538" s="32" t="n">
        <v>45944.58611111111</v>
      </c>
      <c r="I1538" t="inlineStr">
        <is>
          <t>I10</t>
        </is>
      </c>
      <c r="J1538" t="inlineStr">
        <is>
          <t>PY01</t>
        </is>
      </c>
      <c r="K1538" s="33" t="n">
        <v>342.05</v>
      </c>
      <c r="L1538" s="34" t="n"/>
    </row>
    <row r="1539">
      <c r="A1539" t="inlineStr">
        <is>
          <t>ENC119278</t>
        </is>
      </c>
      <c r="B1539" t="inlineStr">
        <is>
          <t>PT10544</t>
        </is>
      </c>
      <c r="C1539" t="inlineStr">
        <is>
          <t>Emergency</t>
        </is>
      </c>
      <c r="D1539" t="inlineStr">
        <is>
          <t>F02</t>
        </is>
      </c>
      <c r="E1539" t="inlineStr">
        <is>
          <t>D200</t>
        </is>
      </c>
      <c r="G1539" s="32" t="n">
        <v>45944.66180555556</v>
      </c>
      <c r="H1539" s="32" t="n">
        <v>45944.85</v>
      </c>
      <c r="I1539" t="inlineStr">
        <is>
          <t>N39.0</t>
        </is>
      </c>
      <c r="J1539" t="inlineStr">
        <is>
          <t>PY07</t>
        </is>
      </c>
      <c r="K1539" s="33" t="n">
        <v>2911.9</v>
      </c>
      <c r="L1539" s="34" t="n"/>
    </row>
    <row r="1540">
      <c r="A1540" t="inlineStr">
        <is>
          <t>ENC119284</t>
        </is>
      </c>
      <c r="B1540" t="inlineStr">
        <is>
          <t>PT12209</t>
        </is>
      </c>
      <c r="C1540" t="inlineStr">
        <is>
          <t>Emergency</t>
        </is>
      </c>
      <c r="D1540" t="inlineStr">
        <is>
          <t>F03</t>
        </is>
      </c>
      <c r="E1540" t="inlineStr">
        <is>
          <t>D300</t>
        </is>
      </c>
      <c r="G1540" s="32" t="n">
        <v>45944.81319444445</v>
      </c>
      <c r="H1540" s="32" t="n">
        <v>45944.99097222222</v>
      </c>
      <c r="I1540" t="inlineStr">
        <is>
          <t>E11.65</t>
        </is>
      </c>
      <c r="J1540" t="inlineStr">
        <is>
          <t>PY02</t>
        </is>
      </c>
      <c r="K1540" s="33" t="n">
        <v>3251.7</v>
      </c>
      <c r="L1540" s="34" t="n"/>
    </row>
    <row r="1541">
      <c r="A1541" t="inlineStr">
        <is>
          <t>ENC119287</t>
        </is>
      </c>
      <c r="B1541" t="inlineStr">
        <is>
          <t>PT12070</t>
        </is>
      </c>
      <c r="C1541" t="inlineStr">
        <is>
          <t>Inpatient</t>
        </is>
      </c>
      <c r="D1541" t="inlineStr">
        <is>
          <t>F01</t>
        </is>
      </c>
      <c r="E1541" t="inlineStr">
        <is>
          <t>D110</t>
        </is>
      </c>
      <c r="F1541" t="inlineStr">
        <is>
          <t>Emergency Department</t>
        </is>
      </c>
      <c r="G1541" s="32" t="n">
        <v>45945.02361111111</v>
      </c>
      <c r="H1541" s="32" t="n">
        <v>45947.50902777778</v>
      </c>
      <c r="I1541" t="inlineStr">
        <is>
          <t>K92.2</t>
        </is>
      </c>
      <c r="J1541" t="inlineStr">
        <is>
          <t>PY04</t>
        </is>
      </c>
      <c r="K1541" s="33" t="n">
        <v>11908.97</v>
      </c>
      <c r="L1541" s="34" t="n"/>
    </row>
    <row r="1542">
      <c r="A1542" t="inlineStr">
        <is>
          <t>ENC119294</t>
        </is>
      </c>
      <c r="B1542" t="inlineStr">
        <is>
          <t>PT11219</t>
        </is>
      </c>
      <c r="C1542" t="inlineStr">
        <is>
          <t>Outpatient</t>
        </is>
      </c>
      <c r="D1542" t="inlineStr">
        <is>
          <t>F04</t>
        </is>
      </c>
      <c r="E1542" t="inlineStr">
        <is>
          <t>D440</t>
        </is>
      </c>
      <c r="G1542" s="32" t="n">
        <v>45945.36458333334</v>
      </c>
      <c r="H1542" s="32" t="n">
        <v>45945.39861111111</v>
      </c>
      <c r="I1542" t="inlineStr">
        <is>
          <t>E11.9</t>
        </is>
      </c>
      <c r="J1542" t="inlineStr">
        <is>
          <t>PY05</t>
        </is>
      </c>
      <c r="K1542" s="33" t="n">
        <v>235.65</v>
      </c>
      <c r="L1542" s="34" t="n"/>
    </row>
    <row r="1543">
      <c r="A1543" t="inlineStr">
        <is>
          <t>ENC119302</t>
        </is>
      </c>
      <c r="B1543" t="inlineStr">
        <is>
          <t>PT11446</t>
        </is>
      </c>
      <c r="C1543" t="inlineStr">
        <is>
          <t>Outpatient</t>
        </is>
      </c>
      <c r="D1543" t="inlineStr">
        <is>
          <t>F04</t>
        </is>
      </c>
      <c r="E1543" t="inlineStr">
        <is>
          <t>D400</t>
        </is>
      </c>
      <c r="G1543" s="32" t="n">
        <v>45945.48958333334</v>
      </c>
      <c r="H1543" s="32" t="n">
        <v>45945.51458333333</v>
      </c>
      <c r="I1543" t="inlineStr">
        <is>
          <t>N39.0</t>
        </is>
      </c>
      <c r="J1543" t="inlineStr">
        <is>
          <t>PY03</t>
        </is>
      </c>
      <c r="K1543" s="33" t="n">
        <v>243.3</v>
      </c>
      <c r="L1543" s="34" t="n"/>
    </row>
    <row r="1544">
      <c r="A1544" t="inlineStr">
        <is>
          <t>ENC119306</t>
        </is>
      </c>
      <c r="B1544" t="inlineStr">
        <is>
          <t>PT11254</t>
        </is>
      </c>
      <c r="C1544" t="inlineStr">
        <is>
          <t>Outpatient</t>
        </is>
      </c>
      <c r="D1544" t="inlineStr">
        <is>
          <t>F04</t>
        </is>
      </c>
      <c r="E1544" t="inlineStr">
        <is>
          <t>D430</t>
        </is>
      </c>
      <c r="G1544" s="32" t="n">
        <v>45945.57291666666</v>
      </c>
      <c r="H1544" s="32" t="n">
        <v>45945.59375</v>
      </c>
      <c r="I1544" t="inlineStr">
        <is>
          <t>C34.90</t>
        </is>
      </c>
      <c r="J1544" t="inlineStr">
        <is>
          <t>PY06</t>
        </is>
      </c>
      <c r="K1544" s="33" t="n">
        <v>602.83</v>
      </c>
      <c r="L1544" s="34" t="n"/>
    </row>
    <row r="1545">
      <c r="A1545" t="inlineStr">
        <is>
          <t>ENC119312</t>
        </is>
      </c>
      <c r="B1545" t="inlineStr">
        <is>
          <t>PT10480</t>
        </is>
      </c>
      <c r="C1545" t="inlineStr">
        <is>
          <t>Outpatient</t>
        </is>
      </c>
      <c r="D1545" t="inlineStr">
        <is>
          <t>F04</t>
        </is>
      </c>
      <c r="E1545" t="inlineStr">
        <is>
          <t>D450</t>
        </is>
      </c>
      <c r="G1545" s="32" t="n">
        <v>45945.67708333334</v>
      </c>
      <c r="H1545" s="32" t="n">
        <v>45945.7125</v>
      </c>
      <c r="I1545" t="inlineStr">
        <is>
          <t>H66.90</t>
        </is>
      </c>
      <c r="J1545" t="inlineStr">
        <is>
          <t>PY03</t>
        </is>
      </c>
      <c r="K1545" s="33" t="n">
        <v>377.33</v>
      </c>
      <c r="L1545" s="34" t="n"/>
    </row>
    <row r="1546">
      <c r="A1546" t="inlineStr">
        <is>
          <t>ENC119316</t>
        </is>
      </c>
      <c r="B1546" t="inlineStr">
        <is>
          <t>PT11286</t>
        </is>
      </c>
      <c r="C1546" t="inlineStr">
        <is>
          <t>Emergency</t>
        </is>
      </c>
      <c r="D1546" t="inlineStr">
        <is>
          <t>F01</t>
        </is>
      </c>
      <c r="E1546" t="inlineStr">
        <is>
          <t>D100</t>
        </is>
      </c>
      <c r="G1546" s="32" t="n">
        <v>45945.90833333333</v>
      </c>
      <c r="H1546" s="32" t="n">
        <v>45946.01736111111</v>
      </c>
      <c r="I1546" t="inlineStr">
        <is>
          <t>J06.9</t>
        </is>
      </c>
      <c r="J1546" t="inlineStr">
        <is>
          <t>PY03</t>
        </is>
      </c>
      <c r="K1546" s="33" t="n">
        <v>953.97</v>
      </c>
      <c r="L1546" s="34" t="n"/>
    </row>
    <row r="1547">
      <c r="A1547" t="inlineStr">
        <is>
          <t>ENC119322</t>
        </is>
      </c>
      <c r="B1547" t="inlineStr">
        <is>
          <t>PT12020</t>
        </is>
      </c>
      <c r="C1547" t="inlineStr">
        <is>
          <t>Emergency</t>
        </is>
      </c>
      <c r="D1547" t="inlineStr">
        <is>
          <t>F01</t>
        </is>
      </c>
      <c r="E1547" t="inlineStr">
        <is>
          <t>D100</t>
        </is>
      </c>
      <c r="G1547" s="32" t="n">
        <v>45946.34722222222</v>
      </c>
      <c r="H1547" s="32" t="n">
        <v>45946.46875</v>
      </c>
      <c r="I1547" t="inlineStr">
        <is>
          <t>J21.9</t>
        </is>
      </c>
      <c r="J1547" t="inlineStr">
        <is>
          <t>PY03</t>
        </is>
      </c>
      <c r="K1547" s="33" t="n">
        <v>10505.75</v>
      </c>
      <c r="L1547" s="34" t="n"/>
    </row>
    <row r="1548">
      <c r="A1548" t="inlineStr">
        <is>
          <t>ENC119329</t>
        </is>
      </c>
      <c r="B1548" t="inlineStr">
        <is>
          <t>PT10420</t>
        </is>
      </c>
      <c r="C1548" t="inlineStr">
        <is>
          <t>Emergency</t>
        </is>
      </c>
      <c r="D1548" t="inlineStr">
        <is>
          <t>F01</t>
        </is>
      </c>
      <c r="E1548" t="inlineStr">
        <is>
          <t>D100</t>
        </is>
      </c>
      <c r="G1548" s="32" t="n">
        <v>45946.49722222222</v>
      </c>
      <c r="H1548" s="32" t="n">
        <v>45946.65694444445</v>
      </c>
      <c r="I1548" t="inlineStr">
        <is>
          <t>N39.0</t>
        </is>
      </c>
      <c r="J1548" t="inlineStr">
        <is>
          <t>PY05</t>
        </is>
      </c>
      <c r="K1548" s="33" t="n">
        <v>3268.17</v>
      </c>
      <c r="L1548" s="34" t="n"/>
    </row>
    <row r="1549">
      <c r="A1549" t="inlineStr">
        <is>
          <t>ENC119334</t>
        </is>
      </c>
      <c r="B1549" t="inlineStr">
        <is>
          <t>PT12478</t>
        </is>
      </c>
      <c r="C1549" t="inlineStr">
        <is>
          <t>Outpatient</t>
        </is>
      </c>
      <c r="D1549" t="inlineStr">
        <is>
          <t>F04</t>
        </is>
      </c>
      <c r="E1549" t="inlineStr">
        <is>
          <t>D410</t>
        </is>
      </c>
      <c r="G1549" s="32" t="n">
        <v>45946.55208333334</v>
      </c>
      <c r="H1549" s="32" t="n">
        <v>45946.57430555556</v>
      </c>
      <c r="I1549" t="inlineStr">
        <is>
          <t>I50.9</t>
        </is>
      </c>
      <c r="J1549" t="inlineStr">
        <is>
          <t>PY01</t>
        </is>
      </c>
      <c r="K1549" s="33" t="n">
        <v>385.45</v>
      </c>
      <c r="L1549" s="34" t="n"/>
    </row>
    <row r="1550">
      <c r="A1550" t="inlineStr">
        <is>
          <t>ENC119342</t>
        </is>
      </c>
      <c r="B1550" t="inlineStr">
        <is>
          <t>PT13565</t>
        </is>
      </c>
      <c r="C1550" t="inlineStr">
        <is>
          <t>Emergency</t>
        </is>
      </c>
      <c r="D1550" t="inlineStr">
        <is>
          <t>F01</t>
        </is>
      </c>
      <c r="E1550" t="inlineStr">
        <is>
          <t>D100</t>
        </is>
      </c>
      <c r="G1550" s="32" t="n">
        <v>45946.68055555555</v>
      </c>
      <c r="H1550" s="32" t="n">
        <v>45946.84097222222</v>
      </c>
      <c r="I1550" t="inlineStr">
        <is>
          <t>J06.9</t>
        </is>
      </c>
      <c r="J1550" t="inlineStr">
        <is>
          <t>PY03</t>
        </is>
      </c>
      <c r="K1550" s="33" t="n">
        <v>1840.23</v>
      </c>
      <c r="L1550" s="34" t="n"/>
    </row>
    <row r="1551">
      <c r="A1551" t="inlineStr">
        <is>
          <t>ENC119335</t>
        </is>
      </c>
      <c r="B1551" t="inlineStr">
        <is>
          <t>PT13107</t>
        </is>
      </c>
      <c r="C1551" t="inlineStr">
        <is>
          <t>Inpatient</t>
        </is>
      </c>
      <c r="D1551" t="inlineStr">
        <is>
          <t>F01</t>
        </is>
      </c>
      <c r="E1551" t="inlineStr">
        <is>
          <t>D190</t>
        </is>
      </c>
      <c r="F1551" t="inlineStr">
        <is>
          <t>Emergency Department</t>
        </is>
      </c>
      <c r="G1551" s="32" t="n">
        <v>45946.74375</v>
      </c>
      <c r="H1551" s="32" t="n">
        <v>45960.68680555555</v>
      </c>
      <c r="I1551" t="inlineStr">
        <is>
          <t>F32.9</t>
        </is>
      </c>
      <c r="J1551" t="inlineStr">
        <is>
          <t>PY06</t>
        </is>
      </c>
      <c r="K1551" s="33" t="n">
        <v>40224.78</v>
      </c>
      <c r="L1551" s="34" t="n"/>
    </row>
    <row r="1552">
      <c r="A1552" t="inlineStr">
        <is>
          <t>ENC119350</t>
        </is>
      </c>
      <c r="B1552" t="inlineStr">
        <is>
          <t>PT13414</t>
        </is>
      </c>
      <c r="C1552" t="inlineStr">
        <is>
          <t>Inpatient</t>
        </is>
      </c>
      <c r="D1552" t="inlineStr">
        <is>
          <t>F01</t>
        </is>
      </c>
      <c r="E1552" t="inlineStr">
        <is>
          <t>D111</t>
        </is>
      </c>
      <c r="F1552" t="inlineStr">
        <is>
          <t>Emergency Department</t>
        </is>
      </c>
      <c r="G1552" s="32" t="n">
        <v>45947.04791666667</v>
      </c>
      <c r="H1552" s="32" t="n">
        <v>45950.69791666666</v>
      </c>
      <c r="I1552" t="inlineStr">
        <is>
          <t>K35.80</t>
        </is>
      </c>
      <c r="J1552" t="inlineStr">
        <is>
          <t>PY04</t>
        </is>
      </c>
      <c r="K1552" s="33" t="n">
        <v>32211.37</v>
      </c>
      <c r="L1552" s="34" t="n"/>
    </row>
    <row r="1553">
      <c r="A1553" t="inlineStr">
        <is>
          <t>ENC119355</t>
        </is>
      </c>
      <c r="B1553" t="inlineStr">
        <is>
          <t>PT11215</t>
        </is>
      </c>
      <c r="C1553" t="inlineStr">
        <is>
          <t>Emergency</t>
        </is>
      </c>
      <c r="D1553" t="inlineStr">
        <is>
          <t>F01</t>
        </is>
      </c>
      <c r="E1553" t="inlineStr">
        <is>
          <t>D100</t>
        </is>
      </c>
      <c r="G1553" s="32" t="n">
        <v>45947.30416666667</v>
      </c>
      <c r="H1553" s="32" t="n">
        <v>45947.55902777778</v>
      </c>
      <c r="I1553" t="inlineStr">
        <is>
          <t>A08.4</t>
        </is>
      </c>
      <c r="J1553" t="inlineStr">
        <is>
          <t>PY03</t>
        </is>
      </c>
      <c r="K1553" s="33" t="n">
        <v>2212.84</v>
      </c>
      <c r="L1553" s="34" t="n"/>
    </row>
    <row r="1554">
      <c r="A1554" t="inlineStr">
        <is>
          <t>ENC119362</t>
        </is>
      </c>
      <c r="B1554" t="inlineStr">
        <is>
          <t>PT11371</t>
        </is>
      </c>
      <c r="C1554" t="inlineStr">
        <is>
          <t>Inpatient</t>
        </is>
      </c>
      <c r="D1554" t="inlineStr">
        <is>
          <t>F03</t>
        </is>
      </c>
      <c r="E1554" t="inlineStr">
        <is>
          <t>D320</t>
        </is>
      </c>
      <c r="F1554" t="inlineStr">
        <is>
          <t>Transfer</t>
        </is>
      </c>
      <c r="G1554" s="32" t="n">
        <v>45947.45763888889</v>
      </c>
      <c r="H1554" s="32" t="n">
        <v>45951.68472222222</v>
      </c>
      <c r="I1554" t="inlineStr">
        <is>
          <t>I50.9</t>
        </is>
      </c>
      <c r="J1554" t="inlineStr">
        <is>
          <t>PY01</t>
        </is>
      </c>
      <c r="K1554" s="33" t="n">
        <v>31943.83</v>
      </c>
      <c r="L1554" s="34" t="n"/>
    </row>
    <row r="1555">
      <c r="A1555" t="inlineStr">
        <is>
          <t>ENC119367</t>
        </is>
      </c>
      <c r="B1555" t="inlineStr">
        <is>
          <t>PT12321</t>
        </is>
      </c>
      <c r="C1555" t="inlineStr">
        <is>
          <t>Outpatient</t>
        </is>
      </c>
      <c r="D1555" t="inlineStr">
        <is>
          <t>F04</t>
        </is>
      </c>
      <c r="E1555" t="inlineStr">
        <is>
          <t>D440</t>
        </is>
      </c>
      <c r="G1555" s="32" t="n">
        <v>45947.53125</v>
      </c>
      <c r="H1555" s="32" t="n">
        <v>45947.56458333333</v>
      </c>
      <c r="I1555" t="inlineStr">
        <is>
          <t>E11.9</t>
        </is>
      </c>
      <c r="J1555" t="inlineStr">
        <is>
          <t>PY01</t>
        </is>
      </c>
      <c r="K1555" s="33" t="n">
        <v>269.13</v>
      </c>
      <c r="L1555" s="34" t="n"/>
    </row>
    <row r="1556">
      <c r="A1556" t="inlineStr">
        <is>
          <t>ENC119372</t>
        </is>
      </c>
      <c r="B1556" t="inlineStr">
        <is>
          <t>PT10670</t>
        </is>
      </c>
      <c r="C1556" t="inlineStr">
        <is>
          <t>Outpatient</t>
        </is>
      </c>
      <c r="D1556" t="inlineStr">
        <is>
          <t>F04</t>
        </is>
      </c>
      <c r="E1556" t="inlineStr">
        <is>
          <t>D400</t>
        </is>
      </c>
      <c r="G1556" s="32" t="n">
        <v>45947.57291666666</v>
      </c>
      <c r="H1556" s="32" t="n">
        <v>45947.60416666666</v>
      </c>
      <c r="I1556" t="inlineStr">
        <is>
          <t>I10</t>
        </is>
      </c>
      <c r="J1556" t="inlineStr">
        <is>
          <t>PY06</t>
        </is>
      </c>
      <c r="K1556" s="33" t="n">
        <v>643.84</v>
      </c>
      <c r="L1556" s="34" t="n"/>
    </row>
    <row r="1557">
      <c r="A1557" t="inlineStr">
        <is>
          <t>ENC119375</t>
        </is>
      </c>
      <c r="B1557" t="inlineStr">
        <is>
          <t>PT11101</t>
        </is>
      </c>
      <c r="C1557" t="inlineStr">
        <is>
          <t>Inpatient</t>
        </is>
      </c>
      <c r="D1557" t="inlineStr">
        <is>
          <t>F03</t>
        </is>
      </c>
      <c r="E1557" t="inlineStr">
        <is>
          <t>D310</t>
        </is>
      </c>
      <c r="F1557" t="inlineStr">
        <is>
          <t>Emergency Department</t>
        </is>
      </c>
      <c r="G1557" s="32" t="n">
        <v>45947.66180555556</v>
      </c>
      <c r="H1557" s="32" t="n">
        <v>45951.52638888889</v>
      </c>
      <c r="I1557" t="inlineStr">
        <is>
          <t>U07.1</t>
        </is>
      </c>
      <c r="J1557" t="inlineStr">
        <is>
          <t>PY01</t>
        </is>
      </c>
      <c r="K1557" s="33" t="n">
        <v>27361.76</v>
      </c>
      <c r="L1557" s="34" t="n"/>
    </row>
    <row r="1558">
      <c r="A1558" t="inlineStr">
        <is>
          <t>ENC119383</t>
        </is>
      </c>
      <c r="B1558" t="inlineStr">
        <is>
          <t>PT10521</t>
        </is>
      </c>
      <c r="C1558" t="inlineStr">
        <is>
          <t>Observation</t>
        </is>
      </c>
      <c r="D1558" t="inlineStr">
        <is>
          <t>F01</t>
        </is>
      </c>
      <c r="E1558" t="inlineStr">
        <is>
          <t>D195</t>
        </is>
      </c>
      <c r="F1558" t="inlineStr">
        <is>
          <t>Emergency Department</t>
        </is>
      </c>
      <c r="G1558" s="32" t="n">
        <v>45947.92430555556</v>
      </c>
      <c r="H1558" s="32" t="n">
        <v>45948.79027777778</v>
      </c>
      <c r="I1558" t="inlineStr">
        <is>
          <t>R07.9</t>
        </is>
      </c>
      <c r="J1558" t="inlineStr">
        <is>
          <t>PY05</t>
        </is>
      </c>
      <c r="K1558" s="33" t="n">
        <v>4675.55</v>
      </c>
      <c r="L1558" s="34" t="n"/>
    </row>
    <row r="1559">
      <c r="A1559" t="inlineStr">
        <is>
          <t>ENC119388</t>
        </is>
      </c>
      <c r="B1559" t="inlineStr">
        <is>
          <t>PT11105</t>
        </is>
      </c>
      <c r="C1559" t="inlineStr">
        <is>
          <t>Inpatient</t>
        </is>
      </c>
      <c r="D1559" t="inlineStr">
        <is>
          <t>F02</t>
        </is>
      </c>
      <c r="E1559" t="inlineStr">
        <is>
          <t>D210</t>
        </is>
      </c>
      <c r="F1559" t="inlineStr">
        <is>
          <t>Emergency Department</t>
        </is>
      </c>
      <c r="G1559" s="32" t="n">
        <v>45948.11805555555</v>
      </c>
      <c r="H1559" s="32" t="n">
        <v>45951.54513888889</v>
      </c>
      <c r="I1559" t="inlineStr">
        <is>
          <t>I21.4</t>
        </is>
      </c>
      <c r="J1559" t="inlineStr">
        <is>
          <t>PY02</t>
        </is>
      </c>
      <c r="K1559" s="33" t="n">
        <v>52970.84</v>
      </c>
      <c r="L1559" s="34" t="n"/>
    </row>
    <row r="1560">
      <c r="A1560" t="inlineStr">
        <is>
          <t>ENC119394</t>
        </is>
      </c>
      <c r="B1560" t="inlineStr">
        <is>
          <t>PT12023</t>
        </is>
      </c>
      <c r="C1560" t="inlineStr">
        <is>
          <t>Emergency</t>
        </is>
      </c>
      <c r="D1560" t="inlineStr">
        <is>
          <t>F01</t>
        </is>
      </c>
      <c r="E1560" t="inlineStr">
        <is>
          <t>D100</t>
        </is>
      </c>
      <c r="G1560" s="32" t="n">
        <v>45948.40833333333</v>
      </c>
      <c r="H1560" s="32" t="n">
        <v>45948.52361111111</v>
      </c>
      <c r="I1560" t="inlineStr">
        <is>
          <t>E86.0</t>
        </is>
      </c>
      <c r="J1560" t="inlineStr">
        <is>
          <t>PY01</t>
        </is>
      </c>
      <c r="K1560" s="33" t="n">
        <v>1709.93</v>
      </c>
      <c r="L1560" s="34" t="n"/>
    </row>
    <row r="1561">
      <c r="A1561" t="inlineStr">
        <is>
          <t>ENC119399</t>
        </is>
      </c>
      <c r="B1561" t="inlineStr">
        <is>
          <t>PT10476</t>
        </is>
      </c>
      <c r="C1561" t="inlineStr">
        <is>
          <t>Observation</t>
        </is>
      </c>
      <c r="D1561" t="inlineStr">
        <is>
          <t>F03</t>
        </is>
      </c>
      <c r="E1561" t="inlineStr">
        <is>
          <t>D310</t>
        </is>
      </c>
      <c r="F1561" t="inlineStr">
        <is>
          <t>Emergency Department</t>
        </is>
      </c>
      <c r="G1561" s="32" t="n">
        <v>45948.95208333333</v>
      </c>
      <c r="H1561" s="32" t="n">
        <v>45949.60763888889</v>
      </c>
      <c r="I1561" t="inlineStr">
        <is>
          <t>N39.0</t>
        </is>
      </c>
      <c r="J1561" t="inlineStr">
        <is>
          <t>PY03</t>
        </is>
      </c>
      <c r="K1561" s="33" t="n">
        <v>9673.799999999999</v>
      </c>
      <c r="L1561" s="34" t="n"/>
    </row>
    <row r="1562">
      <c r="A1562" t="inlineStr">
        <is>
          <t>ENC119406</t>
        </is>
      </c>
      <c r="B1562" t="inlineStr">
        <is>
          <t>PT10686</t>
        </is>
      </c>
      <c r="C1562" t="inlineStr">
        <is>
          <t>Inpatient</t>
        </is>
      </c>
      <c r="D1562" t="inlineStr">
        <is>
          <t>F03</t>
        </is>
      </c>
      <c r="E1562" t="inlineStr">
        <is>
          <t>D340</t>
        </is>
      </c>
      <c r="F1562" t="inlineStr">
        <is>
          <t>Direct Admit</t>
        </is>
      </c>
      <c r="G1562" s="32" t="n">
        <v>45949.50902777778</v>
      </c>
      <c r="H1562" s="32" t="n">
        <v>45954.55902777778</v>
      </c>
      <c r="I1562" t="inlineStr">
        <is>
          <t>S72.001A</t>
        </is>
      </c>
      <c r="J1562" t="inlineStr">
        <is>
          <t>PY05</t>
        </is>
      </c>
      <c r="K1562" s="33" t="n">
        <v>53999.92</v>
      </c>
      <c r="L1562" s="34" t="n"/>
    </row>
    <row r="1563">
      <c r="A1563" t="inlineStr">
        <is>
          <t>ENC119413</t>
        </is>
      </c>
      <c r="B1563" t="inlineStr">
        <is>
          <t>PT13297</t>
        </is>
      </c>
      <c r="C1563" t="inlineStr">
        <is>
          <t>Emergency</t>
        </is>
      </c>
      <c r="D1563" t="inlineStr">
        <is>
          <t>F01</t>
        </is>
      </c>
      <c r="E1563" t="inlineStr">
        <is>
          <t>D100</t>
        </is>
      </c>
      <c r="G1563" s="32" t="n">
        <v>45949.87916666667</v>
      </c>
      <c r="H1563" s="32" t="n">
        <v>45949.98055555556</v>
      </c>
      <c r="I1563" t="inlineStr">
        <is>
          <t>J06.9</t>
        </is>
      </c>
      <c r="J1563" t="inlineStr">
        <is>
          <t>PY04</t>
        </is>
      </c>
      <c r="K1563" s="33" t="n">
        <v>1349.39</v>
      </c>
      <c r="L1563" s="34" t="n"/>
    </row>
    <row r="1564">
      <c r="A1564" t="inlineStr">
        <is>
          <t>ENC119416</t>
        </is>
      </c>
      <c r="B1564" t="inlineStr">
        <is>
          <t>PT12615</t>
        </is>
      </c>
      <c r="C1564" t="inlineStr">
        <is>
          <t>Observation</t>
        </is>
      </c>
      <c r="D1564" t="inlineStr">
        <is>
          <t>F03</t>
        </is>
      </c>
      <c r="E1564" t="inlineStr">
        <is>
          <t>D310</t>
        </is>
      </c>
      <c r="F1564" t="inlineStr">
        <is>
          <t>Emergency Department</t>
        </is>
      </c>
      <c r="G1564" s="32" t="n">
        <v>45950.11736111111</v>
      </c>
      <c r="H1564" s="32" t="n">
        <v>45950.99305555555</v>
      </c>
      <c r="I1564" t="inlineStr">
        <is>
          <t>L03.115</t>
        </is>
      </c>
      <c r="J1564" t="inlineStr">
        <is>
          <t>PY03</t>
        </is>
      </c>
      <c r="K1564" s="33" t="n">
        <v>7142.86</v>
      </c>
      <c r="L1564" s="34" t="n"/>
    </row>
    <row r="1565">
      <c r="A1565" t="inlineStr">
        <is>
          <t>ENC119425</t>
        </is>
      </c>
      <c r="B1565" t="inlineStr">
        <is>
          <t>PT13625</t>
        </is>
      </c>
      <c r="C1565" t="inlineStr">
        <is>
          <t>Outpatient</t>
        </is>
      </c>
      <c r="D1565" t="inlineStr">
        <is>
          <t>F04</t>
        </is>
      </c>
      <c r="E1565" t="inlineStr">
        <is>
          <t>D440</t>
        </is>
      </c>
      <c r="G1565" s="32" t="n">
        <v>45950.41666666666</v>
      </c>
      <c r="H1565" s="32" t="n">
        <v>45950.45277777778</v>
      </c>
      <c r="I1565" t="inlineStr">
        <is>
          <t>E11.65</t>
        </is>
      </c>
      <c r="J1565" t="inlineStr">
        <is>
          <t>PY04</t>
        </is>
      </c>
      <c r="K1565" s="33" t="n">
        <v>319.59</v>
      </c>
      <c r="L1565" s="34" t="n"/>
    </row>
    <row r="1566">
      <c r="A1566" t="inlineStr">
        <is>
          <t>ENC119430</t>
        </is>
      </c>
      <c r="B1566" t="inlineStr">
        <is>
          <t>PT13079</t>
        </is>
      </c>
      <c r="C1566" t="inlineStr">
        <is>
          <t>Outpatient</t>
        </is>
      </c>
      <c r="D1566" t="inlineStr">
        <is>
          <t>F04</t>
        </is>
      </c>
      <c r="E1566" t="inlineStr">
        <is>
          <t>D400</t>
        </is>
      </c>
      <c r="G1566" s="32" t="n">
        <v>45950.5</v>
      </c>
      <c r="H1566" s="32" t="n">
        <v>45950.51666666667</v>
      </c>
      <c r="I1566" t="inlineStr">
        <is>
          <t>I10</t>
        </is>
      </c>
      <c r="J1566" t="inlineStr">
        <is>
          <t>PY01</t>
        </is>
      </c>
      <c r="K1566" s="33" t="n">
        <v>352.17</v>
      </c>
      <c r="L1566" s="34" t="n"/>
    </row>
    <row r="1567">
      <c r="A1567" t="inlineStr">
        <is>
          <t>ENC119433</t>
        </is>
      </c>
      <c r="B1567" t="inlineStr">
        <is>
          <t>PT12600</t>
        </is>
      </c>
      <c r="C1567" t="inlineStr">
        <is>
          <t>Inpatient</t>
        </is>
      </c>
      <c r="D1567" t="inlineStr">
        <is>
          <t>F01</t>
        </is>
      </c>
      <c r="E1567" t="inlineStr">
        <is>
          <t>D111</t>
        </is>
      </c>
      <c r="F1567" t="inlineStr">
        <is>
          <t>Direct Admit</t>
        </is>
      </c>
      <c r="G1567" s="32" t="n">
        <v>45950.54861111111</v>
      </c>
      <c r="H1567" s="32" t="n">
        <v>45953.59027777778</v>
      </c>
      <c r="I1567" t="inlineStr">
        <is>
          <t>N17.9</t>
        </is>
      </c>
      <c r="J1567" t="inlineStr">
        <is>
          <t>PY02</t>
        </is>
      </c>
      <c r="K1567" s="33" t="n">
        <v>12170</v>
      </c>
      <c r="L1567" s="34" t="n"/>
    </row>
    <row r="1568">
      <c r="A1568" t="inlineStr">
        <is>
          <t>ENC119435</t>
        </is>
      </c>
      <c r="B1568" t="inlineStr">
        <is>
          <t>PT11987</t>
        </is>
      </c>
      <c r="C1568" t="inlineStr">
        <is>
          <t>Observation</t>
        </is>
      </c>
      <c r="D1568" t="inlineStr">
        <is>
          <t>F01</t>
        </is>
      </c>
      <c r="E1568" t="inlineStr">
        <is>
          <t>D195</t>
        </is>
      </c>
      <c r="F1568" t="inlineStr">
        <is>
          <t>Emergency Department</t>
        </is>
      </c>
      <c r="G1568" s="32" t="n">
        <v>45950.66388888889</v>
      </c>
      <c r="H1568" s="32" t="n">
        <v>45951.40625</v>
      </c>
      <c r="I1568" t="inlineStr">
        <is>
          <t>R07.9</t>
        </is>
      </c>
      <c r="J1568" t="inlineStr">
        <is>
          <t>PY02</t>
        </is>
      </c>
      <c r="K1568" s="33" t="n">
        <v>7197.53</v>
      </c>
      <c r="L1568" s="34" t="n"/>
    </row>
    <row r="1569">
      <c r="A1569" t="inlineStr">
        <is>
          <t>ENC119439</t>
        </is>
      </c>
      <c r="B1569" t="inlineStr">
        <is>
          <t>PT10367</t>
        </is>
      </c>
      <c r="C1569" t="inlineStr">
        <is>
          <t>Observation</t>
        </is>
      </c>
      <c r="D1569" t="inlineStr">
        <is>
          <t>F01</t>
        </is>
      </c>
      <c r="E1569" t="inlineStr">
        <is>
          <t>D195</t>
        </is>
      </c>
      <c r="F1569" t="inlineStr">
        <is>
          <t>Emergency Department</t>
        </is>
      </c>
      <c r="G1569" s="32" t="n">
        <v>45950.76111111111</v>
      </c>
      <c r="H1569" s="32" t="n">
        <v>45952.23125</v>
      </c>
      <c r="I1569" t="inlineStr">
        <is>
          <t>R10.9</t>
        </is>
      </c>
      <c r="J1569" t="inlineStr">
        <is>
          <t>PY01</t>
        </is>
      </c>
      <c r="K1569" s="33" t="n">
        <v>5033</v>
      </c>
      <c r="L1569" s="34" t="n"/>
    </row>
    <row r="1570">
      <c r="A1570" t="inlineStr">
        <is>
          <t>ENC119451</t>
        </is>
      </c>
      <c r="B1570" t="inlineStr">
        <is>
          <t>PT11541</t>
        </is>
      </c>
      <c r="C1570" t="inlineStr">
        <is>
          <t>Observation</t>
        </is>
      </c>
      <c r="D1570" t="inlineStr">
        <is>
          <t>F02</t>
        </is>
      </c>
      <c r="E1570" t="inlineStr">
        <is>
          <t>D210</t>
        </is>
      </c>
      <c r="F1570" t="inlineStr">
        <is>
          <t>Direct Admit</t>
        </is>
      </c>
      <c r="G1570" s="32" t="n">
        <v>45951.00625</v>
      </c>
      <c r="H1570" s="32" t="n">
        <v>45952.16597222222</v>
      </c>
      <c r="I1570" t="inlineStr">
        <is>
          <t>I50.9</t>
        </is>
      </c>
      <c r="J1570" t="inlineStr">
        <is>
          <t>PY01</t>
        </is>
      </c>
      <c r="K1570" s="33" t="n">
        <v>8368.120000000001</v>
      </c>
      <c r="L1570" s="34" t="n"/>
    </row>
    <row r="1571">
      <c r="A1571" t="inlineStr">
        <is>
          <t>ENC119457</t>
        </is>
      </c>
      <c r="B1571" t="inlineStr">
        <is>
          <t>PT12958</t>
        </is>
      </c>
      <c r="C1571" t="inlineStr">
        <is>
          <t>Outpatient</t>
        </is>
      </c>
      <c r="D1571" t="inlineStr">
        <is>
          <t>F04</t>
        </is>
      </c>
      <c r="E1571" t="inlineStr">
        <is>
          <t>D410</t>
        </is>
      </c>
      <c r="G1571" s="32" t="n">
        <v>45951.35416666666</v>
      </c>
      <c r="H1571" s="32" t="n">
        <v>45951.38611111111</v>
      </c>
      <c r="I1571" t="inlineStr">
        <is>
          <t>I48.91</t>
        </is>
      </c>
      <c r="J1571" t="inlineStr">
        <is>
          <t>PY02</t>
        </is>
      </c>
      <c r="K1571" s="33" t="n">
        <v>198.83</v>
      </c>
      <c r="L1571" s="34" t="n"/>
    </row>
    <row r="1572">
      <c r="A1572" t="inlineStr">
        <is>
          <t>ENC119463</t>
        </is>
      </c>
      <c r="B1572" t="inlineStr">
        <is>
          <t>PT12729</t>
        </is>
      </c>
      <c r="C1572" t="inlineStr">
        <is>
          <t>Outpatient</t>
        </is>
      </c>
      <c r="D1572" t="inlineStr">
        <is>
          <t>F04</t>
        </is>
      </c>
      <c r="E1572" t="inlineStr">
        <is>
          <t>D400</t>
        </is>
      </c>
      <c r="G1572" s="32" t="n">
        <v>45951.4375</v>
      </c>
      <c r="H1572" s="32" t="n">
        <v>45951.45138888889</v>
      </c>
      <c r="I1572" t="inlineStr">
        <is>
          <t>J06.9</t>
        </is>
      </c>
      <c r="J1572" t="inlineStr">
        <is>
          <t>PY02</t>
        </is>
      </c>
      <c r="K1572" s="33" t="n">
        <v>230.84</v>
      </c>
      <c r="L1572" s="34" t="n"/>
    </row>
    <row r="1573">
      <c r="A1573" t="inlineStr">
        <is>
          <t>ENC119469</t>
        </is>
      </c>
      <c r="B1573" t="inlineStr">
        <is>
          <t>PT12566</t>
        </is>
      </c>
      <c r="C1573" t="inlineStr">
        <is>
          <t>Outpatient</t>
        </is>
      </c>
      <c r="D1573" t="inlineStr">
        <is>
          <t>F04</t>
        </is>
      </c>
      <c r="E1573" t="inlineStr">
        <is>
          <t>D440</t>
        </is>
      </c>
      <c r="G1573" s="32" t="n">
        <v>45951.51041666666</v>
      </c>
      <c r="H1573" s="32" t="n">
        <v>45951.52916666667</v>
      </c>
      <c r="I1573" t="inlineStr">
        <is>
          <t>E11.65</t>
        </is>
      </c>
      <c r="J1573" t="inlineStr">
        <is>
          <t>PY04</t>
        </is>
      </c>
      <c r="K1573" s="33" t="n">
        <v>273.58</v>
      </c>
      <c r="L1573" s="34" t="n"/>
    </row>
    <row r="1574">
      <c r="A1574" t="inlineStr">
        <is>
          <t>ENC119472</t>
        </is>
      </c>
      <c r="B1574" t="inlineStr">
        <is>
          <t>PT10485</t>
        </is>
      </c>
      <c r="C1574" t="inlineStr">
        <is>
          <t>Outpatient</t>
        </is>
      </c>
      <c r="D1574" t="inlineStr">
        <is>
          <t>F04</t>
        </is>
      </c>
      <c r="E1574" t="inlineStr">
        <is>
          <t>D400</t>
        </is>
      </c>
      <c r="G1574" s="32" t="n">
        <v>45951.58333333334</v>
      </c>
      <c r="H1574" s="32" t="n">
        <v>45951.61875</v>
      </c>
      <c r="I1574" t="inlineStr">
        <is>
          <t>I10</t>
        </is>
      </c>
      <c r="J1574" t="inlineStr">
        <is>
          <t>PY06</t>
        </is>
      </c>
      <c r="K1574" s="33" t="n">
        <v>148.2</v>
      </c>
      <c r="L1574" s="34" t="n"/>
    </row>
    <row r="1575">
      <c r="A1575" t="inlineStr">
        <is>
          <t>ENC119477</t>
        </is>
      </c>
      <c r="B1575" t="inlineStr">
        <is>
          <t>PT13664</t>
        </is>
      </c>
      <c r="C1575" t="inlineStr">
        <is>
          <t>Inpatient</t>
        </is>
      </c>
      <c r="D1575" t="inlineStr">
        <is>
          <t>F01</t>
        </is>
      </c>
      <c r="E1575" t="inlineStr">
        <is>
          <t>D110</t>
        </is>
      </c>
      <c r="F1575" t="inlineStr">
        <is>
          <t>Emergency Department</t>
        </is>
      </c>
      <c r="G1575" s="32" t="n">
        <v>45951.84583333333</v>
      </c>
      <c r="H1575" s="32" t="n">
        <v>45953.49166666667</v>
      </c>
      <c r="I1575" t="inlineStr">
        <is>
          <t>E11.65</t>
        </is>
      </c>
      <c r="J1575" t="inlineStr">
        <is>
          <t>PY02</t>
        </is>
      </c>
      <c r="K1575" s="33" t="n">
        <v>11202.23</v>
      </c>
      <c r="L1575" s="34" t="n"/>
    </row>
    <row r="1576">
      <c r="A1576" t="inlineStr">
        <is>
          <t>ENC119484</t>
        </is>
      </c>
      <c r="B1576" t="inlineStr">
        <is>
          <t>PT10116</t>
        </is>
      </c>
      <c r="C1576" t="inlineStr">
        <is>
          <t>Outpatient</t>
        </is>
      </c>
      <c r="D1576" t="inlineStr">
        <is>
          <t>F04</t>
        </is>
      </c>
      <c r="E1576" t="inlineStr">
        <is>
          <t>D400</t>
        </is>
      </c>
      <c r="G1576" s="32" t="n">
        <v>45952.35416666666</v>
      </c>
      <c r="H1576" s="32" t="n">
        <v>45952.36527777778</v>
      </c>
      <c r="I1576" t="inlineStr">
        <is>
          <t>I10</t>
        </is>
      </c>
      <c r="J1576" t="inlineStr">
        <is>
          <t>PY02</t>
        </is>
      </c>
      <c r="K1576" s="33" t="n">
        <v>429.44</v>
      </c>
      <c r="L1576" s="34" t="n"/>
    </row>
    <row r="1577">
      <c r="A1577" t="inlineStr">
        <is>
          <t>ENC119490</t>
        </is>
      </c>
      <c r="B1577" t="inlineStr">
        <is>
          <t>PT13973</t>
        </is>
      </c>
      <c r="C1577" t="inlineStr">
        <is>
          <t>Outpatient</t>
        </is>
      </c>
      <c r="D1577" t="inlineStr">
        <is>
          <t>F04</t>
        </is>
      </c>
      <c r="E1577" t="inlineStr">
        <is>
          <t>D400</t>
        </is>
      </c>
      <c r="G1577" s="32" t="n">
        <v>45952.44791666666</v>
      </c>
      <c r="H1577" s="32" t="n">
        <v>45952.47569444445</v>
      </c>
      <c r="I1577" t="inlineStr">
        <is>
          <t>F32.9</t>
        </is>
      </c>
      <c r="J1577" t="inlineStr">
        <is>
          <t>PY05</t>
        </is>
      </c>
      <c r="K1577" s="33" t="n">
        <v>256.29</v>
      </c>
      <c r="L1577" s="34" t="n"/>
    </row>
    <row r="1578">
      <c r="A1578" t="inlineStr">
        <is>
          <t>ENC119496</t>
        </is>
      </c>
      <c r="B1578" t="inlineStr">
        <is>
          <t>PT12889</t>
        </is>
      </c>
      <c r="C1578" t="inlineStr">
        <is>
          <t>Outpatient</t>
        </is>
      </c>
      <c r="D1578" t="inlineStr">
        <is>
          <t>F04</t>
        </is>
      </c>
      <c r="E1578" t="inlineStr">
        <is>
          <t>D400</t>
        </is>
      </c>
      <c r="G1578" s="32" t="n">
        <v>45952.51041666666</v>
      </c>
      <c r="H1578" s="32" t="n">
        <v>45952.53611111111</v>
      </c>
      <c r="I1578" t="inlineStr">
        <is>
          <t>G43.909</t>
        </is>
      </c>
      <c r="J1578" t="inlineStr">
        <is>
          <t>PY01</t>
        </is>
      </c>
      <c r="K1578" s="33" t="n">
        <v>321.07</v>
      </c>
      <c r="L1578" s="34" t="n"/>
    </row>
    <row r="1579">
      <c r="A1579" t="inlineStr">
        <is>
          <t>ENC119488</t>
        </is>
      </c>
      <c r="B1579" t="inlineStr">
        <is>
          <t>PT11892</t>
        </is>
      </c>
      <c r="C1579" t="inlineStr">
        <is>
          <t>Inpatient</t>
        </is>
      </c>
      <c r="D1579" t="inlineStr">
        <is>
          <t>F01</t>
        </is>
      </c>
      <c r="E1579" t="inlineStr">
        <is>
          <t>D110</t>
        </is>
      </c>
      <c r="F1579" t="inlineStr">
        <is>
          <t>Emergency Department</t>
        </is>
      </c>
      <c r="G1579" s="32" t="n">
        <v>45952.5375</v>
      </c>
      <c r="H1579" s="32" t="n">
        <v>45959.76041666666</v>
      </c>
      <c r="I1579" t="inlineStr">
        <is>
          <t>A41.9</t>
        </is>
      </c>
      <c r="J1579" t="inlineStr">
        <is>
          <t>PY03</t>
        </is>
      </c>
      <c r="K1579" s="33" t="n">
        <v>78093.03999999999</v>
      </c>
      <c r="L1579" s="34" t="n"/>
    </row>
    <row r="1580">
      <c r="A1580" t="inlineStr">
        <is>
          <t>ENC119508</t>
        </is>
      </c>
      <c r="B1580" t="inlineStr">
        <is>
          <t>PT10254</t>
        </is>
      </c>
      <c r="C1580" t="inlineStr">
        <is>
          <t>Emergency</t>
        </is>
      </c>
      <c r="D1580" t="inlineStr">
        <is>
          <t>F03</t>
        </is>
      </c>
      <c r="E1580" t="inlineStr">
        <is>
          <t>D300</t>
        </is>
      </c>
      <c r="G1580" s="32" t="n">
        <v>45952.63611111111</v>
      </c>
      <c r="H1580" s="32" t="n">
        <v>45952.76736111111</v>
      </c>
      <c r="I1580" t="inlineStr">
        <is>
          <t>R10.9</t>
        </is>
      </c>
      <c r="J1580" t="inlineStr">
        <is>
          <t>PY06</t>
        </is>
      </c>
      <c r="K1580" s="33" t="n">
        <v>3266.96</v>
      </c>
      <c r="L1580" s="34" t="n"/>
    </row>
    <row r="1581">
      <c r="A1581" t="inlineStr">
        <is>
          <t>ENC119513</t>
        </is>
      </c>
      <c r="B1581" t="inlineStr">
        <is>
          <t>PT11076</t>
        </is>
      </c>
      <c r="C1581" t="inlineStr">
        <is>
          <t>Emergency</t>
        </is>
      </c>
      <c r="D1581" t="inlineStr">
        <is>
          <t>F01</t>
        </is>
      </c>
      <c r="E1581" t="inlineStr">
        <is>
          <t>D100</t>
        </is>
      </c>
      <c r="G1581" s="32" t="n">
        <v>45952.83055555556</v>
      </c>
      <c r="H1581" s="32" t="n">
        <v>45952.92291666667</v>
      </c>
      <c r="I1581" t="inlineStr">
        <is>
          <t>J06.9</t>
        </is>
      </c>
      <c r="J1581" t="inlineStr">
        <is>
          <t>PY06</t>
        </is>
      </c>
      <c r="K1581" s="33" t="n">
        <v>2096.74</v>
      </c>
      <c r="L1581" s="34" t="n"/>
    </row>
    <row r="1582">
      <c r="A1582" t="inlineStr">
        <is>
          <t>ENC119516</t>
        </is>
      </c>
      <c r="B1582" t="inlineStr">
        <is>
          <t>PT13516</t>
        </is>
      </c>
      <c r="C1582" t="inlineStr">
        <is>
          <t>Inpatient</t>
        </is>
      </c>
      <c r="D1582" t="inlineStr">
        <is>
          <t>F03</t>
        </is>
      </c>
      <c r="E1582" t="inlineStr">
        <is>
          <t>D310</t>
        </is>
      </c>
      <c r="F1582" t="inlineStr">
        <is>
          <t>Emergency Department</t>
        </is>
      </c>
      <c r="G1582" s="32" t="n">
        <v>45953.07083333333</v>
      </c>
      <c r="H1582" s="32" t="n">
        <v>45955.43472222222</v>
      </c>
      <c r="I1582" t="inlineStr">
        <is>
          <t>K56.609</t>
        </is>
      </c>
      <c r="J1582" t="inlineStr">
        <is>
          <t>PY01</t>
        </is>
      </c>
      <c r="K1582" s="33" t="n">
        <v>12721.05</v>
      </c>
      <c r="L1582" s="34" t="n"/>
    </row>
    <row r="1583">
      <c r="A1583" t="inlineStr">
        <is>
          <t>ENC119524</t>
        </is>
      </c>
      <c r="B1583" t="inlineStr">
        <is>
          <t>PT13323</t>
        </is>
      </c>
      <c r="C1583" t="inlineStr">
        <is>
          <t>Outpatient</t>
        </is>
      </c>
      <c r="D1583" t="inlineStr">
        <is>
          <t>F04</t>
        </is>
      </c>
      <c r="E1583" t="inlineStr">
        <is>
          <t>D400</t>
        </is>
      </c>
      <c r="G1583" s="32" t="n">
        <v>45953.41666666666</v>
      </c>
      <c r="H1583" s="32" t="n">
        <v>45953.44930555556</v>
      </c>
      <c r="I1583" t="inlineStr">
        <is>
          <t>Z00.00</t>
        </is>
      </c>
      <c r="J1583" t="inlineStr">
        <is>
          <t>PY04</t>
        </is>
      </c>
      <c r="K1583" s="33" t="n">
        <v>397.8</v>
      </c>
      <c r="L1583" s="34" t="n"/>
    </row>
    <row r="1584">
      <c r="A1584" t="inlineStr">
        <is>
          <t>ENC119530</t>
        </is>
      </c>
      <c r="B1584" t="inlineStr">
        <is>
          <t>PT13908</t>
        </is>
      </c>
      <c r="C1584" t="inlineStr">
        <is>
          <t>Emergency</t>
        </is>
      </c>
      <c r="D1584" t="inlineStr">
        <is>
          <t>F01</t>
        </is>
      </c>
      <c r="E1584" t="inlineStr">
        <is>
          <t>D100</t>
        </is>
      </c>
      <c r="G1584" s="32" t="n">
        <v>45953.46736111111</v>
      </c>
      <c r="H1584" s="32" t="n">
        <v>45953.53611111111</v>
      </c>
      <c r="I1584" t="inlineStr">
        <is>
          <t>M54.50</t>
        </is>
      </c>
      <c r="J1584" t="inlineStr">
        <is>
          <t>PY06</t>
        </is>
      </c>
      <c r="K1584" s="33" t="n">
        <v>808.33</v>
      </c>
      <c r="L1584" s="34" t="n"/>
    </row>
    <row r="1585">
      <c r="A1585" t="inlineStr">
        <is>
          <t>ENC119534</t>
        </is>
      </c>
      <c r="B1585" t="inlineStr">
        <is>
          <t>PT12864</t>
        </is>
      </c>
      <c r="C1585" t="inlineStr">
        <is>
          <t>Outpatient</t>
        </is>
      </c>
      <c r="D1585" t="inlineStr">
        <is>
          <t>F04</t>
        </is>
      </c>
      <c r="E1585" t="inlineStr">
        <is>
          <t>D410</t>
        </is>
      </c>
      <c r="G1585" s="32" t="n">
        <v>45953.5625</v>
      </c>
      <c r="H1585" s="32" t="n">
        <v>45953.57986111111</v>
      </c>
      <c r="I1585" t="inlineStr">
        <is>
          <t>I48.91</t>
        </is>
      </c>
      <c r="J1585" t="inlineStr">
        <is>
          <t>PY02</t>
        </is>
      </c>
      <c r="K1585" s="33" t="n">
        <v>196.58</v>
      </c>
      <c r="L1585" s="34" t="n"/>
    </row>
    <row r="1586">
      <c r="A1586" t="inlineStr">
        <is>
          <t>ENC119542</t>
        </is>
      </c>
      <c r="B1586" t="inlineStr">
        <is>
          <t>PT10789</t>
        </is>
      </c>
      <c r="C1586" t="inlineStr">
        <is>
          <t>Emergency</t>
        </is>
      </c>
      <c r="D1586" t="inlineStr">
        <is>
          <t>F03</t>
        </is>
      </c>
      <c r="E1586" t="inlineStr">
        <is>
          <t>D300</t>
        </is>
      </c>
      <c r="G1586" s="32" t="n">
        <v>45953.63125</v>
      </c>
      <c r="H1586" s="32" t="n">
        <v>45953.71875</v>
      </c>
      <c r="I1586" t="inlineStr">
        <is>
          <t>M54.50</t>
        </is>
      </c>
      <c r="J1586" t="inlineStr">
        <is>
          <t>PY01</t>
        </is>
      </c>
      <c r="K1586" s="33" t="n">
        <v>684.88</v>
      </c>
      <c r="L1586" s="34" t="n"/>
    </row>
    <row r="1587">
      <c r="A1587" t="inlineStr">
        <is>
          <t>ENC119539</t>
        </is>
      </c>
      <c r="B1587" t="inlineStr">
        <is>
          <t>PT13629</t>
        </is>
      </c>
      <c r="C1587" t="inlineStr">
        <is>
          <t>Inpatient</t>
        </is>
      </c>
      <c r="D1587" t="inlineStr">
        <is>
          <t>F01</t>
        </is>
      </c>
      <c r="E1587" t="inlineStr">
        <is>
          <t>D110</t>
        </is>
      </c>
      <c r="F1587" t="inlineStr">
        <is>
          <t>Emergency Department</t>
        </is>
      </c>
      <c r="G1587" s="32" t="n">
        <v>45953.71805555555</v>
      </c>
      <c r="H1587" s="32" t="n">
        <v>45955.57013888889</v>
      </c>
      <c r="I1587" t="inlineStr">
        <is>
          <t>E86.0</t>
        </is>
      </c>
      <c r="J1587" t="inlineStr">
        <is>
          <t>PY05</t>
        </is>
      </c>
      <c r="K1587" s="33" t="n">
        <v>10890.91</v>
      </c>
      <c r="L1587" s="34" t="n"/>
    </row>
    <row r="1588">
      <c r="A1588" t="inlineStr">
        <is>
          <t>ENC119551</t>
        </is>
      </c>
      <c r="B1588" t="inlineStr">
        <is>
          <t>PT13960</t>
        </is>
      </c>
      <c r="C1588" t="inlineStr">
        <is>
          <t>Emergency</t>
        </is>
      </c>
      <c r="D1588" t="inlineStr">
        <is>
          <t>F01</t>
        </is>
      </c>
      <c r="E1588" t="inlineStr">
        <is>
          <t>D100</t>
        </is>
      </c>
      <c r="G1588" s="32" t="n">
        <v>45953.875</v>
      </c>
      <c r="H1588" s="32" t="n">
        <v>45954.05555555555</v>
      </c>
      <c r="I1588" t="inlineStr">
        <is>
          <t>J45.909</t>
        </is>
      </c>
      <c r="J1588" t="inlineStr">
        <is>
          <t>PY01</t>
        </is>
      </c>
      <c r="K1588" s="33" t="n">
        <v>3674.18</v>
      </c>
      <c r="L1588" s="34" t="n"/>
    </row>
    <row r="1589">
      <c r="A1589" t="inlineStr">
        <is>
          <t>ENC119556</t>
        </is>
      </c>
      <c r="B1589" t="inlineStr">
        <is>
          <t>PT10245</t>
        </is>
      </c>
      <c r="C1589" t="inlineStr">
        <is>
          <t>Outpatient</t>
        </is>
      </c>
      <c r="D1589" t="inlineStr">
        <is>
          <t>F04</t>
        </is>
      </c>
      <c r="E1589" t="inlineStr">
        <is>
          <t>D400</t>
        </is>
      </c>
      <c r="G1589" s="32" t="n">
        <v>45954.33333333334</v>
      </c>
      <c r="H1589" s="32" t="n">
        <v>45954.34652777778</v>
      </c>
      <c r="I1589" t="inlineStr">
        <is>
          <t>I10</t>
        </is>
      </c>
      <c r="J1589" t="inlineStr">
        <is>
          <t>PY05</t>
        </is>
      </c>
      <c r="K1589" s="33" t="n">
        <v>226</v>
      </c>
      <c r="L1589" s="34" t="n"/>
    </row>
    <row r="1590">
      <c r="A1590" t="inlineStr">
        <is>
          <t>ENC119562</t>
        </is>
      </c>
      <c r="B1590" t="inlineStr">
        <is>
          <t>PT12380</t>
        </is>
      </c>
      <c r="C1590" t="inlineStr">
        <is>
          <t>Emergency</t>
        </is>
      </c>
      <c r="D1590" t="inlineStr">
        <is>
          <t>F01</t>
        </is>
      </c>
      <c r="E1590" t="inlineStr">
        <is>
          <t>D100</t>
        </is>
      </c>
      <c r="G1590" s="32" t="n">
        <v>45954.47847222222</v>
      </c>
      <c r="H1590" s="32" t="n">
        <v>45954.56458333333</v>
      </c>
      <c r="I1590" t="inlineStr">
        <is>
          <t>R55</t>
        </is>
      </c>
      <c r="J1590" t="inlineStr">
        <is>
          <t>PY04</t>
        </is>
      </c>
      <c r="K1590" s="33" t="n">
        <v>463.69</v>
      </c>
      <c r="L1590" s="34" t="n"/>
    </row>
    <row r="1591">
      <c r="A1591" t="inlineStr">
        <is>
          <t>ENC119568</t>
        </is>
      </c>
      <c r="B1591" t="inlineStr">
        <is>
          <t>PT11891</t>
        </is>
      </c>
      <c r="C1591" t="inlineStr">
        <is>
          <t>Outpatient</t>
        </is>
      </c>
      <c r="D1591" t="inlineStr">
        <is>
          <t>F04</t>
        </is>
      </c>
      <c r="E1591" t="inlineStr">
        <is>
          <t>D420</t>
        </is>
      </c>
      <c r="G1591" s="32" t="n">
        <v>45954.55208333334</v>
      </c>
      <c r="H1591" s="32" t="n">
        <v>45954.57777777778</v>
      </c>
      <c r="I1591" t="inlineStr">
        <is>
          <t>M17.11</t>
        </is>
      </c>
      <c r="J1591" t="inlineStr">
        <is>
          <t>PY03</t>
        </is>
      </c>
      <c r="K1591" s="33" t="n">
        <v>268.19</v>
      </c>
      <c r="L1591" s="34" t="n"/>
    </row>
    <row r="1592">
      <c r="A1592" t="inlineStr">
        <is>
          <t>ENC119577</t>
        </is>
      </c>
      <c r="B1592" t="inlineStr">
        <is>
          <t>PT13336</t>
        </is>
      </c>
      <c r="C1592" t="inlineStr">
        <is>
          <t>Outpatient</t>
        </is>
      </c>
      <c r="D1592" t="inlineStr">
        <is>
          <t>F04</t>
        </is>
      </c>
      <c r="E1592" t="inlineStr">
        <is>
          <t>D400</t>
        </is>
      </c>
      <c r="G1592" s="32" t="n">
        <v>45954.61458333334</v>
      </c>
      <c r="H1592" s="32" t="n">
        <v>45954.62777777778</v>
      </c>
      <c r="I1592" t="inlineStr">
        <is>
          <t>F41.9</t>
        </is>
      </c>
      <c r="J1592" t="inlineStr">
        <is>
          <t>PY04</t>
        </is>
      </c>
      <c r="K1592" s="33" t="n">
        <v>496.61</v>
      </c>
      <c r="L1592" s="34" t="n"/>
    </row>
    <row r="1593">
      <c r="A1593" t="inlineStr">
        <is>
          <t>ENC119579</t>
        </is>
      </c>
      <c r="B1593" t="inlineStr">
        <is>
          <t>PT10116</t>
        </is>
      </c>
      <c r="C1593" t="inlineStr">
        <is>
          <t>Emergency</t>
        </is>
      </c>
      <c r="D1593" t="inlineStr">
        <is>
          <t>F01</t>
        </is>
      </c>
      <c r="E1593" t="inlineStr">
        <is>
          <t>D100</t>
        </is>
      </c>
      <c r="G1593" s="32" t="n">
        <v>45954.69652777778</v>
      </c>
      <c r="H1593" s="32" t="n">
        <v>45954.76736111111</v>
      </c>
      <c r="I1593" t="inlineStr">
        <is>
          <t>J06.9</t>
        </is>
      </c>
      <c r="J1593" t="inlineStr">
        <is>
          <t>PY02</t>
        </is>
      </c>
      <c r="K1593" s="33" t="n">
        <v>1132.95</v>
      </c>
      <c r="L1593" s="34" t="n"/>
    </row>
    <row r="1594">
      <c r="A1594" t="inlineStr">
        <is>
          <t>ENC119584</t>
        </is>
      </c>
      <c r="B1594" t="inlineStr">
        <is>
          <t>PT11214</t>
        </is>
      </c>
      <c r="C1594" t="inlineStr">
        <is>
          <t>Inpatient</t>
        </is>
      </c>
      <c r="D1594" t="inlineStr">
        <is>
          <t>F01</t>
        </is>
      </c>
      <c r="E1594" t="inlineStr">
        <is>
          <t>D110</t>
        </is>
      </c>
      <c r="F1594" t="inlineStr">
        <is>
          <t>Emergency Department</t>
        </is>
      </c>
      <c r="G1594" s="32" t="n">
        <v>45954.87152777778</v>
      </c>
      <c r="H1594" s="32" t="n">
        <v>45959.72916666666</v>
      </c>
      <c r="I1594" t="inlineStr">
        <is>
          <t>E86.0</t>
        </is>
      </c>
      <c r="J1594" t="inlineStr">
        <is>
          <t>PY05</t>
        </is>
      </c>
      <c r="K1594" s="33" t="n">
        <v>18441.18</v>
      </c>
      <c r="L1594" s="34" t="n"/>
    </row>
    <row r="1595">
      <c r="A1595" t="inlineStr">
        <is>
          <t>ENC119590</t>
        </is>
      </c>
      <c r="B1595" t="inlineStr">
        <is>
          <t>PT11146</t>
        </is>
      </c>
      <c r="C1595" t="inlineStr">
        <is>
          <t>Inpatient</t>
        </is>
      </c>
      <c r="D1595" t="inlineStr">
        <is>
          <t>F02</t>
        </is>
      </c>
      <c r="E1595" t="inlineStr">
        <is>
          <t>D210</t>
        </is>
      </c>
      <c r="F1595" t="inlineStr">
        <is>
          <t>Direct Admit</t>
        </is>
      </c>
      <c r="G1595" s="32" t="n">
        <v>45955.67083333333</v>
      </c>
      <c r="H1595" s="32" t="n">
        <v>45959.60416666666</v>
      </c>
      <c r="I1595" t="inlineStr">
        <is>
          <t>A41.9</t>
        </is>
      </c>
      <c r="J1595" t="inlineStr">
        <is>
          <t>PY04</t>
        </is>
      </c>
      <c r="K1595" s="33" t="n">
        <v>57774.98</v>
      </c>
      <c r="L1595" s="34" t="n"/>
    </row>
    <row r="1596">
      <c r="A1596" t="inlineStr">
        <is>
          <t>ENC119595</t>
        </is>
      </c>
      <c r="B1596" t="inlineStr">
        <is>
          <t>PT10874</t>
        </is>
      </c>
      <c r="C1596" t="inlineStr">
        <is>
          <t>Inpatient</t>
        </is>
      </c>
      <c r="D1596" t="inlineStr">
        <is>
          <t>F01</t>
        </is>
      </c>
      <c r="E1596" t="inlineStr">
        <is>
          <t>D130</t>
        </is>
      </c>
      <c r="F1596" t="inlineStr">
        <is>
          <t>Direct Admit</t>
        </is>
      </c>
      <c r="G1596" s="32" t="n">
        <v>45955.90416666667</v>
      </c>
      <c r="H1596" s="32" t="n">
        <v>45964.53194444445</v>
      </c>
      <c r="I1596" t="inlineStr">
        <is>
          <t>J96.01</t>
        </is>
      </c>
      <c r="J1596" t="inlineStr">
        <is>
          <t>PY01</t>
        </is>
      </c>
      <c r="K1596" s="33" t="n">
        <v>101532.82</v>
      </c>
      <c r="L1596" s="34" t="n"/>
    </row>
    <row r="1597">
      <c r="A1597" t="inlineStr">
        <is>
          <t>ENC119602</t>
        </is>
      </c>
      <c r="B1597" t="inlineStr">
        <is>
          <t>PT10826</t>
        </is>
      </c>
      <c r="C1597" t="inlineStr">
        <is>
          <t>Emergency</t>
        </is>
      </c>
      <c r="D1597" t="inlineStr">
        <is>
          <t>F01</t>
        </is>
      </c>
      <c r="E1597" t="inlineStr">
        <is>
          <t>D100</t>
        </is>
      </c>
      <c r="G1597" s="32" t="n">
        <v>45956.60069444445</v>
      </c>
      <c r="H1597" s="32" t="n">
        <v>45956.86736111111</v>
      </c>
      <c r="I1597" t="inlineStr">
        <is>
          <t>F41.9</t>
        </is>
      </c>
      <c r="J1597" t="inlineStr">
        <is>
          <t>PY01</t>
        </is>
      </c>
      <c r="K1597" s="33" t="n">
        <v>1509.98</v>
      </c>
      <c r="L1597" s="34" t="n"/>
    </row>
    <row r="1598">
      <c r="A1598" t="inlineStr">
        <is>
          <t>ENC119603</t>
        </is>
      </c>
      <c r="B1598" t="inlineStr">
        <is>
          <t>PT12502</t>
        </is>
      </c>
      <c r="C1598" t="inlineStr">
        <is>
          <t>Inpatient</t>
        </is>
      </c>
      <c r="D1598" t="inlineStr">
        <is>
          <t>F01</t>
        </is>
      </c>
      <c r="E1598" t="inlineStr">
        <is>
          <t>D160</t>
        </is>
      </c>
      <c r="F1598" t="inlineStr">
        <is>
          <t>Emergency Department</t>
        </is>
      </c>
      <c r="G1598" s="32" t="n">
        <v>45956.73888888889</v>
      </c>
      <c r="H1598" s="32" t="n">
        <v>45964.70208333333</v>
      </c>
      <c r="I1598" t="inlineStr">
        <is>
          <t>I63.9</t>
        </is>
      </c>
      <c r="J1598" t="inlineStr">
        <is>
          <t>PY01</t>
        </is>
      </c>
      <c r="K1598" s="33" t="n">
        <v>39743.28</v>
      </c>
      <c r="L1598" s="34" t="n"/>
    </row>
    <row r="1599">
      <c r="A1599" t="inlineStr">
        <is>
          <t>ENC119612</t>
        </is>
      </c>
      <c r="B1599" t="inlineStr">
        <is>
          <t>PT12090</t>
        </is>
      </c>
      <c r="C1599" t="inlineStr">
        <is>
          <t>Inpatient</t>
        </is>
      </c>
      <c r="D1599" t="inlineStr">
        <is>
          <t>F01</t>
        </is>
      </c>
      <c r="E1599" t="inlineStr">
        <is>
          <t>D170</t>
        </is>
      </c>
      <c r="F1599" t="inlineStr">
        <is>
          <t>Direct Admit</t>
        </is>
      </c>
      <c r="G1599" s="32" t="n">
        <v>45956.92986111111</v>
      </c>
      <c r="H1599" s="32" t="n">
        <v>45958.56944444445</v>
      </c>
      <c r="I1599" t="inlineStr">
        <is>
          <t>O82</t>
        </is>
      </c>
      <c r="J1599" t="inlineStr">
        <is>
          <t>PY05</t>
        </is>
      </c>
      <c r="K1599" s="33" t="n">
        <v>26633.55</v>
      </c>
      <c r="L1599" s="34" t="n"/>
    </row>
    <row r="1600">
      <c r="A1600" t="inlineStr">
        <is>
          <t>ENC119614</t>
        </is>
      </c>
      <c r="B1600" t="inlineStr">
        <is>
          <t>PT13614</t>
        </is>
      </c>
      <c r="C1600" t="inlineStr">
        <is>
          <t>Inpatient</t>
        </is>
      </c>
      <c r="D1600" t="inlineStr">
        <is>
          <t>F01</t>
        </is>
      </c>
      <c r="E1600" t="inlineStr">
        <is>
          <t>D110</t>
        </is>
      </c>
      <c r="F1600" t="inlineStr">
        <is>
          <t>Emergency Department</t>
        </is>
      </c>
      <c r="G1600" s="32" t="n">
        <v>45957.10763888889</v>
      </c>
      <c r="H1600" s="32" t="n">
        <v>45960.57013888889</v>
      </c>
      <c r="I1600" t="inlineStr">
        <is>
          <t>J45.909</t>
        </is>
      </c>
      <c r="J1600" t="inlineStr">
        <is>
          <t>PY03</t>
        </is>
      </c>
      <c r="K1600" s="33" t="n">
        <v>14720.24</v>
      </c>
      <c r="L1600" s="34" t="n"/>
    </row>
    <row r="1601">
      <c r="A1601" t="inlineStr">
        <is>
          <t>ENC119625</t>
        </is>
      </c>
      <c r="B1601" t="inlineStr">
        <is>
          <t>PT11187</t>
        </is>
      </c>
      <c r="C1601" t="inlineStr">
        <is>
          <t>Emergency</t>
        </is>
      </c>
      <c r="D1601" t="inlineStr">
        <is>
          <t>F01</t>
        </is>
      </c>
      <c r="E1601" t="inlineStr">
        <is>
          <t>D100</t>
        </is>
      </c>
      <c r="G1601" s="32" t="n">
        <v>45957.42569444444</v>
      </c>
      <c r="H1601" s="32" t="n">
        <v>45957.55555555555</v>
      </c>
      <c r="I1601" t="inlineStr">
        <is>
          <t>R10.9</t>
        </is>
      </c>
      <c r="J1601" t="inlineStr">
        <is>
          <t>PY03</t>
        </is>
      </c>
      <c r="K1601" s="33" t="n">
        <v>6325.16</v>
      </c>
      <c r="L1601" s="34" t="n"/>
    </row>
    <row r="1602">
      <c r="A1602" t="inlineStr">
        <is>
          <t>ENC119632</t>
        </is>
      </c>
      <c r="B1602" t="inlineStr">
        <is>
          <t>PT10550</t>
        </is>
      </c>
      <c r="C1602" t="inlineStr">
        <is>
          <t>Emergency</t>
        </is>
      </c>
      <c r="D1602" t="inlineStr">
        <is>
          <t>F03</t>
        </is>
      </c>
      <c r="E1602" t="inlineStr">
        <is>
          <t>D300</t>
        </is>
      </c>
      <c r="G1602" s="32" t="n">
        <v>45957.50347222222</v>
      </c>
      <c r="H1602" s="32" t="n">
        <v>45957.65625</v>
      </c>
      <c r="I1602" t="inlineStr">
        <is>
          <t>E11.65</t>
        </is>
      </c>
      <c r="J1602" t="inlineStr">
        <is>
          <t>PY01</t>
        </is>
      </c>
      <c r="K1602" s="33" t="n">
        <v>2656.1</v>
      </c>
      <c r="L1602" s="34" t="n"/>
    </row>
    <row r="1603">
      <c r="A1603" t="inlineStr">
        <is>
          <t>ENC119626</t>
        </is>
      </c>
      <c r="B1603" t="inlineStr">
        <is>
          <t>PT11258</t>
        </is>
      </c>
      <c r="C1603" t="inlineStr">
        <is>
          <t>Inpatient</t>
        </is>
      </c>
      <c r="D1603" t="inlineStr">
        <is>
          <t>F03</t>
        </is>
      </c>
      <c r="E1603" t="inlineStr">
        <is>
          <t>D330</t>
        </is>
      </c>
      <c r="F1603" t="inlineStr">
        <is>
          <t>Emergency Department</t>
        </is>
      </c>
      <c r="G1603" s="32" t="n">
        <v>45957.54097222222</v>
      </c>
      <c r="H1603" s="32" t="n">
        <v>45960.69305555556</v>
      </c>
      <c r="I1603" t="inlineStr">
        <is>
          <t>K92.2</t>
        </is>
      </c>
      <c r="J1603" t="inlineStr">
        <is>
          <t>PY03</t>
        </is>
      </c>
      <c r="K1603" s="33" t="n">
        <v>39733.82</v>
      </c>
      <c r="L1603" s="34" t="n"/>
    </row>
    <row r="1604">
      <c r="A1604" t="inlineStr">
        <is>
          <t>ENC119641</t>
        </is>
      </c>
      <c r="B1604" t="inlineStr">
        <is>
          <t>PT10062</t>
        </is>
      </c>
      <c r="C1604" t="inlineStr">
        <is>
          <t>Emergency</t>
        </is>
      </c>
      <c r="D1604" t="inlineStr">
        <is>
          <t>F01</t>
        </is>
      </c>
      <c r="E1604" t="inlineStr">
        <is>
          <t>D100</t>
        </is>
      </c>
      <c r="G1604" s="32" t="n">
        <v>45957.75416666667</v>
      </c>
      <c r="H1604" s="32" t="n">
        <v>45957.91666666666</v>
      </c>
      <c r="I1604" t="inlineStr">
        <is>
          <t>L03.115</t>
        </is>
      </c>
      <c r="J1604" t="inlineStr">
        <is>
          <t>PY01</t>
        </is>
      </c>
      <c r="K1604" s="33" t="n">
        <v>2342.77</v>
      </c>
      <c r="L1604" s="34" t="n"/>
    </row>
    <row r="1605">
      <c r="A1605" t="inlineStr">
        <is>
          <t>ENC119645</t>
        </is>
      </c>
      <c r="B1605" t="inlineStr">
        <is>
          <t>PT12670</t>
        </is>
      </c>
      <c r="C1605" t="inlineStr">
        <is>
          <t>Inpatient</t>
        </is>
      </c>
      <c r="D1605" t="inlineStr">
        <is>
          <t>F02</t>
        </is>
      </c>
      <c r="E1605" t="inlineStr">
        <is>
          <t>D210</t>
        </is>
      </c>
      <c r="F1605" t="inlineStr">
        <is>
          <t>Emergency Department</t>
        </is>
      </c>
      <c r="G1605" s="32" t="n">
        <v>45958.04027777778</v>
      </c>
      <c r="H1605" s="32" t="n">
        <v>45965.66597222222</v>
      </c>
      <c r="I1605" t="inlineStr">
        <is>
          <t>N17.9</t>
        </is>
      </c>
      <c r="J1605" t="inlineStr">
        <is>
          <t>PY02</t>
        </is>
      </c>
      <c r="K1605" s="33" t="n">
        <v>32760.58</v>
      </c>
      <c r="L1605" s="34" t="n"/>
    </row>
    <row r="1606">
      <c r="A1606" t="inlineStr">
        <is>
          <t>ENC119653</t>
        </is>
      </c>
      <c r="B1606" t="inlineStr">
        <is>
          <t>PT13789</t>
        </is>
      </c>
      <c r="C1606" t="inlineStr">
        <is>
          <t>Emergency</t>
        </is>
      </c>
      <c r="D1606" t="inlineStr">
        <is>
          <t>F01</t>
        </is>
      </c>
      <c r="E1606" t="inlineStr">
        <is>
          <t>D100</t>
        </is>
      </c>
      <c r="G1606" s="32" t="n">
        <v>45958.41944444444</v>
      </c>
      <c r="H1606" s="32" t="n">
        <v>45958.54236111111</v>
      </c>
      <c r="I1606" t="inlineStr">
        <is>
          <t>N39.0</t>
        </is>
      </c>
      <c r="J1606" t="inlineStr">
        <is>
          <t>PY01</t>
        </is>
      </c>
      <c r="K1606" s="33" t="n">
        <v>7660.46</v>
      </c>
      <c r="L1606" s="34" t="n"/>
    </row>
    <row r="1607">
      <c r="A1607" t="inlineStr">
        <is>
          <t>ENC119658</t>
        </is>
      </c>
      <c r="B1607" t="inlineStr">
        <is>
          <t>PT12341</t>
        </is>
      </c>
      <c r="C1607" t="inlineStr">
        <is>
          <t>Outpatient</t>
        </is>
      </c>
      <c r="D1607" t="inlineStr">
        <is>
          <t>F04</t>
        </is>
      </c>
      <c r="E1607" t="inlineStr">
        <is>
          <t>D440</t>
        </is>
      </c>
      <c r="G1607" s="32" t="n">
        <v>45958.45833333334</v>
      </c>
      <c r="H1607" s="32" t="n">
        <v>45958.47222222222</v>
      </c>
      <c r="I1607" t="inlineStr">
        <is>
          <t>E11.9</t>
        </is>
      </c>
      <c r="J1607" t="inlineStr">
        <is>
          <t>PY07</t>
        </is>
      </c>
      <c r="K1607" s="33" t="n">
        <v>112.71</v>
      </c>
      <c r="L1607" s="34" t="n"/>
    </row>
    <row r="1608">
      <c r="A1608" t="inlineStr">
        <is>
          <t>ENC119665</t>
        </is>
      </c>
      <c r="B1608" t="inlineStr">
        <is>
          <t>PT11541</t>
        </is>
      </c>
      <c r="C1608" t="inlineStr">
        <is>
          <t>Outpatient</t>
        </is>
      </c>
      <c r="D1608" t="inlineStr">
        <is>
          <t>F04</t>
        </is>
      </c>
      <c r="E1608" t="inlineStr">
        <is>
          <t>D400</t>
        </is>
      </c>
      <c r="G1608" s="32" t="n">
        <v>45958.54166666666</v>
      </c>
      <c r="H1608" s="32" t="n">
        <v>45958.57013888889</v>
      </c>
      <c r="I1608" t="inlineStr">
        <is>
          <t>I10</t>
        </is>
      </c>
      <c r="J1608" t="inlineStr">
        <is>
          <t>PY01</t>
        </is>
      </c>
      <c r="K1608" s="33" t="n">
        <v>611.5599999999999</v>
      </c>
      <c r="L1608" s="34" t="n"/>
    </row>
    <row r="1609">
      <c r="A1609" t="inlineStr">
        <is>
          <t>ENC119672</t>
        </is>
      </c>
      <c r="B1609" t="inlineStr">
        <is>
          <t>PT12696</t>
        </is>
      </c>
      <c r="C1609" t="inlineStr">
        <is>
          <t>Outpatient</t>
        </is>
      </c>
      <c r="D1609" t="inlineStr">
        <is>
          <t>F04</t>
        </is>
      </c>
      <c r="E1609" t="inlineStr">
        <is>
          <t>D440</t>
        </is>
      </c>
      <c r="G1609" s="32" t="n">
        <v>45958.59375</v>
      </c>
      <c r="H1609" s="32" t="n">
        <v>45958.61388888889</v>
      </c>
      <c r="I1609" t="inlineStr">
        <is>
          <t>E11.9</t>
        </is>
      </c>
      <c r="J1609" t="inlineStr">
        <is>
          <t>PY01</t>
        </is>
      </c>
      <c r="K1609" s="33" t="n">
        <v>283.19</v>
      </c>
      <c r="L1609" s="34" t="n"/>
    </row>
    <row r="1610">
      <c r="A1610" t="inlineStr">
        <is>
          <t>ENC119666</t>
        </is>
      </c>
      <c r="B1610" t="inlineStr">
        <is>
          <t>PT13478</t>
        </is>
      </c>
      <c r="C1610" t="inlineStr">
        <is>
          <t>Inpatient</t>
        </is>
      </c>
      <c r="D1610" t="inlineStr">
        <is>
          <t>F02</t>
        </is>
      </c>
      <c r="E1610" t="inlineStr">
        <is>
          <t>D210</t>
        </is>
      </c>
      <c r="F1610" t="inlineStr">
        <is>
          <t>Emergency Department</t>
        </is>
      </c>
      <c r="G1610" s="32" t="n">
        <v>45958.66319444445</v>
      </c>
      <c r="H1610" s="32" t="n">
        <v>45960.63263888889</v>
      </c>
      <c r="I1610" t="inlineStr">
        <is>
          <t>N39.0</t>
        </is>
      </c>
      <c r="J1610" t="inlineStr">
        <is>
          <t>PY04</t>
        </is>
      </c>
      <c r="K1610" s="33" t="n">
        <v>21508.85</v>
      </c>
      <c r="L1610" s="34" t="n"/>
    </row>
    <row r="1611">
      <c r="A1611" t="inlineStr">
        <is>
          <t>ENC119682</t>
        </is>
      </c>
      <c r="B1611" t="inlineStr">
        <is>
          <t>PT13315</t>
        </is>
      </c>
      <c r="C1611" t="inlineStr">
        <is>
          <t>Emergency</t>
        </is>
      </c>
      <c r="D1611" t="inlineStr">
        <is>
          <t>F02</t>
        </is>
      </c>
      <c r="E1611" t="inlineStr">
        <is>
          <t>D200</t>
        </is>
      </c>
      <c r="G1611" s="32" t="n">
        <v>45958.74583333333</v>
      </c>
      <c r="H1611" s="32" t="n">
        <v>45958.83402777778</v>
      </c>
      <c r="I1611" t="inlineStr">
        <is>
          <t>G43.909</t>
        </is>
      </c>
      <c r="J1611" t="inlineStr">
        <is>
          <t>PY06</t>
        </is>
      </c>
      <c r="K1611" s="33" t="n">
        <v>1434.76</v>
      </c>
      <c r="L1611" s="34" t="n"/>
    </row>
    <row r="1612">
      <c r="A1612" t="inlineStr">
        <is>
          <t>ENC119687</t>
        </is>
      </c>
      <c r="B1612" t="inlineStr">
        <is>
          <t>PT11105</t>
        </is>
      </c>
      <c r="C1612" t="inlineStr">
        <is>
          <t>Inpatient</t>
        </is>
      </c>
      <c r="D1612" t="inlineStr">
        <is>
          <t>F02</t>
        </is>
      </c>
      <c r="E1612" t="inlineStr">
        <is>
          <t>D210</t>
        </is>
      </c>
      <c r="F1612" t="inlineStr">
        <is>
          <t>Transfer</t>
        </is>
      </c>
      <c r="G1612" s="32" t="n">
        <v>45958.88055555556</v>
      </c>
      <c r="H1612" s="32" t="n">
        <v>45961.57916666667</v>
      </c>
      <c r="I1612" t="inlineStr">
        <is>
          <t>E86.0</t>
        </is>
      </c>
      <c r="J1612" t="inlineStr">
        <is>
          <t>PY02</t>
        </is>
      </c>
      <c r="K1612" s="33" t="n">
        <v>24610.01</v>
      </c>
      <c r="L1612" s="34" t="n"/>
    </row>
    <row r="1613">
      <c r="A1613" t="inlineStr">
        <is>
          <t>ENC119689</t>
        </is>
      </c>
      <c r="B1613" t="inlineStr">
        <is>
          <t>PT13671</t>
        </is>
      </c>
      <c r="C1613" t="inlineStr">
        <is>
          <t>Observation</t>
        </is>
      </c>
      <c r="D1613" t="inlineStr">
        <is>
          <t>F01</t>
        </is>
      </c>
      <c r="E1613" t="inlineStr">
        <is>
          <t>D195</t>
        </is>
      </c>
      <c r="F1613" t="inlineStr">
        <is>
          <t>Emergency Department</t>
        </is>
      </c>
      <c r="G1613" s="32" t="n">
        <v>45959.02569444444</v>
      </c>
      <c r="H1613" s="32" t="n">
        <v>45959.84583333333</v>
      </c>
      <c r="I1613" t="inlineStr">
        <is>
          <t>K80.20</t>
        </is>
      </c>
      <c r="J1613" t="inlineStr">
        <is>
          <t>PY01</t>
        </is>
      </c>
      <c r="K1613" s="33" t="n">
        <v>5616.93</v>
      </c>
      <c r="L1613" s="34" t="n"/>
    </row>
    <row r="1614">
      <c r="A1614" t="inlineStr">
        <is>
          <t>ENC119694</t>
        </is>
      </c>
      <c r="B1614" t="inlineStr">
        <is>
          <t>PT10783</t>
        </is>
      </c>
      <c r="C1614" t="inlineStr">
        <is>
          <t>Inpatient</t>
        </is>
      </c>
      <c r="D1614" t="inlineStr">
        <is>
          <t>F01</t>
        </is>
      </c>
      <c r="E1614" t="inlineStr">
        <is>
          <t>D110</t>
        </is>
      </c>
      <c r="F1614" t="inlineStr">
        <is>
          <t>Emergency Department</t>
        </is>
      </c>
      <c r="G1614" s="32" t="n">
        <v>45959.34305555555</v>
      </c>
      <c r="H1614" s="32" t="n">
        <v>45967.61111111111</v>
      </c>
      <c r="I1614" t="inlineStr">
        <is>
          <t>N17.9</t>
        </is>
      </c>
      <c r="J1614" t="inlineStr">
        <is>
          <t>PY02</t>
        </is>
      </c>
      <c r="K1614" s="33" t="n">
        <v>26274.46</v>
      </c>
      <c r="L1614" s="34" t="n"/>
    </row>
    <row r="1615">
      <c r="A1615" t="inlineStr">
        <is>
          <t>ENC119702</t>
        </is>
      </c>
      <c r="B1615" t="inlineStr">
        <is>
          <t>PT10578</t>
        </is>
      </c>
      <c r="C1615" t="inlineStr">
        <is>
          <t>Outpatient</t>
        </is>
      </c>
      <c r="D1615" t="inlineStr">
        <is>
          <t>F04</t>
        </is>
      </c>
      <c r="E1615" t="inlineStr">
        <is>
          <t>D400</t>
        </is>
      </c>
      <c r="G1615" s="32" t="n">
        <v>45959.46875</v>
      </c>
      <c r="H1615" s="32" t="n">
        <v>45959.49027777778</v>
      </c>
      <c r="I1615" t="inlineStr">
        <is>
          <t>G40.909</t>
        </is>
      </c>
      <c r="J1615" t="inlineStr">
        <is>
          <t>PY01</t>
        </is>
      </c>
      <c r="K1615" s="33" t="n">
        <v>116.03</v>
      </c>
      <c r="L1615" s="34" t="n"/>
    </row>
    <row r="1616">
      <c r="A1616" t="inlineStr">
        <is>
          <t>ENC119703</t>
        </is>
      </c>
      <c r="B1616" t="inlineStr">
        <is>
          <t>PT10025</t>
        </is>
      </c>
      <c r="C1616" t="inlineStr">
        <is>
          <t>Inpatient</t>
        </is>
      </c>
      <c r="D1616" t="inlineStr">
        <is>
          <t>F03</t>
        </is>
      </c>
      <c r="E1616" t="inlineStr">
        <is>
          <t>D310</t>
        </is>
      </c>
      <c r="F1616" t="inlineStr">
        <is>
          <t>Emergency Department</t>
        </is>
      </c>
      <c r="G1616" s="32" t="n">
        <v>45959.61736111111</v>
      </c>
      <c r="H1616" s="32" t="n">
        <v>45962.58472222222</v>
      </c>
      <c r="I1616" t="inlineStr">
        <is>
          <t>N39.0</t>
        </is>
      </c>
      <c r="J1616" t="inlineStr">
        <is>
          <t>PY03</t>
        </is>
      </c>
      <c r="K1616" s="33" t="n">
        <v>13626.09</v>
      </c>
      <c r="L1616" s="34" t="n"/>
    </row>
    <row r="1617">
      <c r="A1617" t="inlineStr">
        <is>
          <t>ENC119713</t>
        </is>
      </c>
      <c r="B1617" t="inlineStr">
        <is>
          <t>PT11179</t>
        </is>
      </c>
      <c r="C1617" t="inlineStr">
        <is>
          <t>Outpatient</t>
        </is>
      </c>
      <c r="D1617" t="inlineStr">
        <is>
          <t>F04</t>
        </is>
      </c>
      <c r="E1617" t="inlineStr">
        <is>
          <t>D400</t>
        </is>
      </c>
      <c r="G1617" s="32" t="n">
        <v>45959.6875</v>
      </c>
      <c r="H1617" s="32" t="n">
        <v>45959.71805555555</v>
      </c>
      <c r="I1617" t="inlineStr">
        <is>
          <t>J45.909</t>
        </is>
      </c>
      <c r="J1617" t="inlineStr">
        <is>
          <t>PY07</t>
        </is>
      </c>
      <c r="K1617" s="33" t="n">
        <v>404.5</v>
      </c>
      <c r="L1617" s="34" t="n"/>
    </row>
    <row r="1618">
      <c r="A1618" t="inlineStr">
        <is>
          <t>ENC119719</t>
        </is>
      </c>
      <c r="B1618" t="inlineStr">
        <is>
          <t>PT13499</t>
        </is>
      </c>
      <c r="C1618" t="inlineStr">
        <is>
          <t>Emergency</t>
        </is>
      </c>
      <c r="D1618" t="inlineStr">
        <is>
          <t>F01</t>
        </is>
      </c>
      <c r="E1618" t="inlineStr">
        <is>
          <t>D100</t>
        </is>
      </c>
      <c r="G1618" s="32" t="n">
        <v>45959.75972222222</v>
      </c>
      <c r="H1618" s="32" t="n">
        <v>45959.85763888889</v>
      </c>
      <c r="I1618" t="inlineStr">
        <is>
          <t>R10.9</t>
        </is>
      </c>
      <c r="J1618" t="inlineStr">
        <is>
          <t>PY01</t>
        </is>
      </c>
      <c r="K1618" s="33" t="n">
        <v>6780.67</v>
      </c>
      <c r="L1618" s="34" t="n"/>
    </row>
    <row r="1619">
      <c r="A1619" t="inlineStr">
        <is>
          <t>ENC119723</t>
        </is>
      </c>
      <c r="B1619" t="inlineStr">
        <is>
          <t>PT10236</t>
        </is>
      </c>
      <c r="C1619" t="inlineStr">
        <is>
          <t>Emergency</t>
        </is>
      </c>
      <c r="D1619" t="inlineStr">
        <is>
          <t>F03</t>
        </is>
      </c>
      <c r="E1619" t="inlineStr">
        <is>
          <t>D300</t>
        </is>
      </c>
      <c r="G1619" s="32" t="n">
        <v>45959.94583333333</v>
      </c>
      <c r="H1619" s="32" t="n">
        <v>45960.03194444445</v>
      </c>
      <c r="I1619" t="inlineStr">
        <is>
          <t>A08.4</t>
        </is>
      </c>
      <c r="J1619" t="inlineStr">
        <is>
          <t>PY04</t>
        </is>
      </c>
      <c r="K1619" s="33" t="n">
        <v>1187.8</v>
      </c>
      <c r="L1619" s="34" t="n"/>
    </row>
    <row r="1620">
      <c r="A1620" t="inlineStr">
        <is>
          <t>ENC119731</t>
        </is>
      </c>
      <c r="B1620" t="inlineStr">
        <is>
          <t>PT10615</t>
        </is>
      </c>
      <c r="C1620" t="inlineStr">
        <is>
          <t>Emergency</t>
        </is>
      </c>
      <c r="D1620" t="inlineStr">
        <is>
          <t>F02</t>
        </is>
      </c>
      <c r="E1620" t="inlineStr">
        <is>
          <t>D200</t>
        </is>
      </c>
      <c r="G1620" s="32" t="n">
        <v>45960.39791666667</v>
      </c>
      <c r="H1620" s="32" t="n">
        <v>45960.55416666667</v>
      </c>
      <c r="I1620" t="inlineStr">
        <is>
          <t>R55</t>
        </is>
      </c>
      <c r="J1620" t="inlineStr">
        <is>
          <t>PY07</t>
        </is>
      </c>
      <c r="K1620" s="33" t="n">
        <v>3082.28</v>
      </c>
      <c r="L1620" s="34" t="n"/>
    </row>
    <row r="1621">
      <c r="A1621" t="inlineStr">
        <is>
          <t>ENC119736</t>
        </is>
      </c>
      <c r="B1621" t="inlineStr">
        <is>
          <t>PT10941</t>
        </is>
      </c>
      <c r="C1621" t="inlineStr">
        <is>
          <t>Emergency</t>
        </is>
      </c>
      <c r="D1621" t="inlineStr">
        <is>
          <t>F01</t>
        </is>
      </c>
      <c r="E1621" t="inlineStr">
        <is>
          <t>D100</t>
        </is>
      </c>
      <c r="G1621" s="32" t="n">
        <v>45960.46875</v>
      </c>
      <c r="H1621" s="32" t="n">
        <v>45960.61041666667</v>
      </c>
      <c r="I1621" t="inlineStr">
        <is>
          <t>N39.0</t>
        </is>
      </c>
      <c r="J1621" t="inlineStr">
        <is>
          <t>PY01</t>
        </is>
      </c>
      <c r="K1621" s="33" t="n">
        <v>4284.49</v>
      </c>
      <c r="L1621" s="34" t="n"/>
    </row>
    <row r="1622">
      <c r="A1622" t="inlineStr">
        <is>
          <t>ENC119729</t>
        </is>
      </c>
      <c r="B1622" t="inlineStr">
        <is>
          <t>PT13616</t>
        </is>
      </c>
      <c r="C1622" t="inlineStr">
        <is>
          <t>Inpatient</t>
        </is>
      </c>
      <c r="D1622" t="inlineStr">
        <is>
          <t>F01</t>
        </is>
      </c>
      <c r="E1622" t="inlineStr">
        <is>
          <t>D111</t>
        </is>
      </c>
      <c r="F1622" t="inlineStr">
        <is>
          <t>Emergency Department</t>
        </is>
      </c>
      <c r="G1622" s="32" t="n">
        <v>45960.53402777778</v>
      </c>
      <c r="H1622" s="32" t="n">
        <v>45963.6625</v>
      </c>
      <c r="I1622" t="inlineStr">
        <is>
          <t>F10.239</t>
        </is>
      </c>
      <c r="J1622" t="inlineStr">
        <is>
          <t>PY03</t>
        </is>
      </c>
      <c r="K1622" s="33" t="n">
        <v>16541.44</v>
      </c>
      <c r="L1622" s="34" t="n"/>
    </row>
    <row r="1623">
      <c r="A1623" t="inlineStr">
        <is>
          <t>ENC119748</t>
        </is>
      </c>
      <c r="B1623" t="inlineStr">
        <is>
          <t>PT11691</t>
        </is>
      </c>
      <c r="C1623" t="inlineStr">
        <is>
          <t>Outpatient</t>
        </is>
      </c>
      <c r="D1623" t="inlineStr">
        <is>
          <t>F04</t>
        </is>
      </c>
      <c r="E1623" t="inlineStr">
        <is>
          <t>D400</t>
        </is>
      </c>
      <c r="G1623" s="32" t="n">
        <v>45960.61458333334</v>
      </c>
      <c r="H1623" s="32" t="n">
        <v>45960.63194444445</v>
      </c>
      <c r="I1623" t="inlineStr">
        <is>
          <t>L03.115</t>
        </is>
      </c>
      <c r="J1623" t="inlineStr">
        <is>
          <t>PY05</t>
        </is>
      </c>
      <c r="K1623" s="33" t="n">
        <v>189.19</v>
      </c>
      <c r="L1623" s="34" t="n"/>
    </row>
    <row r="1624">
      <c r="A1624" t="inlineStr">
        <is>
          <t>ENC119753</t>
        </is>
      </c>
      <c r="B1624" t="inlineStr">
        <is>
          <t>PT13310</t>
        </is>
      </c>
      <c r="C1624" t="inlineStr">
        <is>
          <t>Emergency</t>
        </is>
      </c>
      <c r="D1624" t="inlineStr">
        <is>
          <t>F01</t>
        </is>
      </c>
      <c r="E1624" t="inlineStr">
        <is>
          <t>D100</t>
        </is>
      </c>
      <c r="G1624" s="32" t="n">
        <v>45960.66527777778</v>
      </c>
      <c r="H1624" s="32" t="n">
        <v>45960.89722222222</v>
      </c>
      <c r="I1624" t="inlineStr">
        <is>
          <t>R10.9</t>
        </is>
      </c>
      <c r="J1624" t="inlineStr">
        <is>
          <t>PY04</t>
        </is>
      </c>
      <c r="K1624" s="33" t="n">
        <v>3076.13</v>
      </c>
      <c r="L1624" s="34" t="n"/>
    </row>
    <row r="1625">
      <c r="A1625" t="inlineStr">
        <is>
          <t>ENC119747</t>
        </is>
      </c>
      <c r="B1625" t="inlineStr">
        <is>
          <t>PT10922</t>
        </is>
      </c>
      <c r="C1625" t="inlineStr">
        <is>
          <t>Observation</t>
        </is>
      </c>
      <c r="D1625" t="inlineStr">
        <is>
          <t>F01</t>
        </is>
      </c>
      <c r="E1625" t="inlineStr">
        <is>
          <t>D195</t>
        </is>
      </c>
      <c r="F1625" t="inlineStr">
        <is>
          <t>Emergency Department</t>
        </is>
      </c>
      <c r="G1625" s="32" t="n">
        <v>45960.75277777778</v>
      </c>
      <c r="H1625" s="32" t="n">
        <v>45961.51805555556</v>
      </c>
      <c r="I1625" t="inlineStr">
        <is>
          <t>N39.0</t>
        </is>
      </c>
      <c r="J1625" t="inlineStr">
        <is>
          <t>PY06</t>
        </is>
      </c>
      <c r="K1625" s="33" t="n">
        <v>11392.78</v>
      </c>
      <c r="L1625" s="34" t="n"/>
    </row>
    <row r="1626">
      <c r="A1626" t="inlineStr">
        <is>
          <t>ENC119763</t>
        </is>
      </c>
      <c r="B1626" t="inlineStr">
        <is>
          <t>PT13648</t>
        </is>
      </c>
      <c r="C1626" t="inlineStr">
        <is>
          <t>Inpatient</t>
        </is>
      </c>
      <c r="D1626" t="inlineStr">
        <is>
          <t>F01</t>
        </is>
      </c>
      <c r="E1626" t="inlineStr">
        <is>
          <t>D140</t>
        </is>
      </c>
      <c r="F1626" t="inlineStr">
        <is>
          <t>Elective</t>
        </is>
      </c>
      <c r="G1626" s="32" t="n">
        <v>45961.25625</v>
      </c>
      <c r="H1626" s="32" t="n">
        <v>45963.475</v>
      </c>
      <c r="I1626" t="inlineStr">
        <is>
          <t>M17.11</t>
        </is>
      </c>
      <c r="J1626" t="inlineStr">
        <is>
          <t>PY02</t>
        </is>
      </c>
      <c r="K1626" s="33" t="n">
        <v>52881.07</v>
      </c>
      <c r="L1626" s="34" t="n"/>
    </row>
    <row r="1627">
      <c r="A1627" t="inlineStr">
        <is>
          <t>ENC119769</t>
        </is>
      </c>
      <c r="B1627" t="inlineStr">
        <is>
          <t>PT12043</t>
        </is>
      </c>
      <c r="C1627" t="inlineStr">
        <is>
          <t>Emergency</t>
        </is>
      </c>
      <c r="D1627" t="inlineStr">
        <is>
          <t>F01</t>
        </is>
      </c>
      <c r="E1627" t="inlineStr">
        <is>
          <t>D100</t>
        </is>
      </c>
      <c r="G1627" s="32" t="n">
        <v>45961.4</v>
      </c>
      <c r="H1627" s="32" t="n">
        <v>45961.54930555556</v>
      </c>
      <c r="I1627" t="inlineStr">
        <is>
          <t>R10.9</t>
        </is>
      </c>
      <c r="J1627" t="inlineStr">
        <is>
          <t>PY01</t>
        </is>
      </c>
      <c r="K1627" s="33" t="n">
        <v>2485</v>
      </c>
      <c r="L1627" s="34" t="n"/>
    </row>
    <row r="1628">
      <c r="A1628" t="inlineStr">
        <is>
          <t>ENC119764</t>
        </is>
      </c>
      <c r="B1628" t="inlineStr">
        <is>
          <t>PT12266</t>
        </is>
      </c>
      <c r="C1628" t="inlineStr">
        <is>
          <t>Inpatient</t>
        </is>
      </c>
      <c r="D1628" t="inlineStr">
        <is>
          <t>F02</t>
        </is>
      </c>
      <c r="E1628" t="inlineStr">
        <is>
          <t>D270</t>
        </is>
      </c>
      <c r="F1628" t="inlineStr">
        <is>
          <t>Emergency Department</t>
        </is>
      </c>
      <c r="G1628" s="32" t="n">
        <v>45961.45763888889</v>
      </c>
      <c r="H1628" s="32" t="n">
        <v>45964.72361111111</v>
      </c>
      <c r="I1628" t="inlineStr">
        <is>
          <t>O82</t>
        </is>
      </c>
      <c r="J1628" t="inlineStr">
        <is>
          <t>PY03</t>
        </is>
      </c>
      <c r="K1628" s="33" t="n">
        <v>34649.94</v>
      </c>
      <c r="L1628" s="34" t="n"/>
    </row>
    <row r="1629">
      <c r="A1629" t="inlineStr">
        <is>
          <t>ENC119779</t>
        </is>
      </c>
      <c r="B1629" t="inlineStr">
        <is>
          <t>PT10260</t>
        </is>
      </c>
      <c r="C1629" t="inlineStr">
        <is>
          <t>Outpatient</t>
        </is>
      </c>
      <c r="D1629" t="inlineStr">
        <is>
          <t>F04</t>
        </is>
      </c>
      <c r="E1629" t="inlineStr">
        <is>
          <t>D400</t>
        </is>
      </c>
      <c r="G1629" s="32" t="n">
        <v>45961.51041666666</v>
      </c>
      <c r="H1629" s="32" t="n">
        <v>45961.53402777778</v>
      </c>
      <c r="I1629" t="inlineStr">
        <is>
          <t>Z00.00</t>
        </is>
      </c>
      <c r="J1629" t="inlineStr">
        <is>
          <t>PY06</t>
        </is>
      </c>
      <c r="K1629" s="33" t="n">
        <v>257.29</v>
      </c>
      <c r="L1629" s="34" t="n"/>
    </row>
    <row r="1630">
      <c r="A1630" t="inlineStr">
        <is>
          <t>ENC119787</t>
        </is>
      </c>
      <c r="B1630" t="inlineStr">
        <is>
          <t>PT12060</t>
        </is>
      </c>
      <c r="C1630" t="inlineStr">
        <is>
          <t>Emergency</t>
        </is>
      </c>
      <c r="D1630" t="inlineStr">
        <is>
          <t>F03</t>
        </is>
      </c>
      <c r="E1630" t="inlineStr">
        <is>
          <t>D300</t>
        </is>
      </c>
      <c r="G1630" s="32" t="n">
        <v>45961.60208333333</v>
      </c>
      <c r="H1630" s="32" t="n">
        <v>45961.73541666667</v>
      </c>
      <c r="I1630" t="inlineStr">
        <is>
          <t>A08.4</t>
        </is>
      </c>
      <c r="J1630" t="inlineStr">
        <is>
          <t>PY06</t>
        </is>
      </c>
      <c r="K1630" s="33" t="n">
        <v>1288.83</v>
      </c>
      <c r="L1630" s="34" t="n"/>
    </row>
    <row r="1631">
      <c r="A1631" t="inlineStr">
        <is>
          <t>ENC119794</t>
        </is>
      </c>
      <c r="B1631" t="inlineStr">
        <is>
          <t>PT12683</t>
        </is>
      </c>
      <c r="C1631" t="inlineStr">
        <is>
          <t>Outpatient</t>
        </is>
      </c>
      <c r="D1631" t="inlineStr">
        <is>
          <t>F04</t>
        </is>
      </c>
      <c r="E1631" t="inlineStr">
        <is>
          <t>D420</t>
        </is>
      </c>
      <c r="G1631" s="32" t="n">
        <v>45961.67708333334</v>
      </c>
      <c r="H1631" s="32" t="n">
        <v>45961.71180555555</v>
      </c>
      <c r="I1631" t="inlineStr">
        <is>
          <t>M16.11</t>
        </is>
      </c>
      <c r="J1631" t="inlineStr">
        <is>
          <t>PY01</t>
        </is>
      </c>
      <c r="K1631" s="33" t="n">
        <v>524.09</v>
      </c>
      <c r="L1631" s="34" t="n"/>
    </row>
    <row r="1632">
      <c r="A1632" t="inlineStr">
        <is>
          <t>ENC119799</t>
        </is>
      </c>
      <c r="B1632" t="inlineStr">
        <is>
          <t>PT11701</t>
        </is>
      </c>
      <c r="C1632" t="inlineStr">
        <is>
          <t>Emergency</t>
        </is>
      </c>
      <c r="D1632" t="inlineStr">
        <is>
          <t>F01</t>
        </is>
      </c>
      <c r="E1632" t="inlineStr">
        <is>
          <t>D100</t>
        </is>
      </c>
      <c r="G1632" s="32" t="n">
        <v>45961.78611111111</v>
      </c>
      <c r="H1632" s="32" t="n">
        <v>45961.90416666667</v>
      </c>
      <c r="I1632" t="inlineStr">
        <is>
          <t>J45.909</t>
        </is>
      </c>
      <c r="J1632" t="inlineStr">
        <is>
          <t>PY01</t>
        </is>
      </c>
      <c r="K1632" s="33" t="n">
        <v>2913.35</v>
      </c>
      <c r="L1632" s="34" t="n"/>
    </row>
    <row r="1633">
      <c r="A1633" t="inlineStr">
        <is>
          <t>ENC119801</t>
        </is>
      </c>
      <c r="B1633" t="inlineStr">
        <is>
          <t>PT11261</t>
        </is>
      </c>
      <c r="C1633" t="inlineStr">
        <is>
          <t>Inpatient</t>
        </is>
      </c>
      <c r="D1633" t="inlineStr">
        <is>
          <t>F02</t>
        </is>
      </c>
      <c r="E1633" t="inlineStr">
        <is>
          <t>D230</t>
        </is>
      </c>
      <c r="F1633" t="inlineStr">
        <is>
          <t>Emergency Department</t>
        </is>
      </c>
      <c r="G1633" s="32" t="n">
        <v>45961.90902777778</v>
      </c>
      <c r="H1633" s="32" t="n">
        <v>45967.58402777778</v>
      </c>
      <c r="I1633" t="inlineStr">
        <is>
          <t>K92.2</t>
        </is>
      </c>
      <c r="J1633" t="inlineStr">
        <is>
          <t>PY01</t>
        </is>
      </c>
      <c r="K1633" s="33" t="n">
        <v>47243.36</v>
      </c>
      <c r="L1633" s="34" t="n"/>
    </row>
    <row r="1634">
      <c r="A1634" t="inlineStr">
        <is>
          <t>ENC119806</t>
        </is>
      </c>
      <c r="B1634" t="inlineStr">
        <is>
          <t>PT10005</t>
        </is>
      </c>
      <c r="C1634" t="inlineStr">
        <is>
          <t>Inpatient</t>
        </is>
      </c>
      <c r="D1634" t="inlineStr">
        <is>
          <t>F03</t>
        </is>
      </c>
      <c r="E1634" t="inlineStr">
        <is>
          <t>D310</t>
        </is>
      </c>
      <c r="F1634" t="inlineStr">
        <is>
          <t>Emergency Department</t>
        </is>
      </c>
      <c r="G1634" s="32" t="n">
        <v>45962.29583333333</v>
      </c>
      <c r="H1634" s="32" t="n">
        <v>45964.53611111111</v>
      </c>
      <c r="I1634" t="inlineStr">
        <is>
          <t>K56.609</t>
        </is>
      </c>
      <c r="J1634" t="inlineStr">
        <is>
          <t>PY01</t>
        </is>
      </c>
      <c r="K1634" s="33" t="n">
        <v>21105.03</v>
      </c>
      <c r="L1634" s="34" t="n"/>
    </row>
    <row r="1635">
      <c r="A1635" t="inlineStr">
        <is>
          <t>ENC119814</t>
        </is>
      </c>
      <c r="B1635" t="inlineStr">
        <is>
          <t>PT11930</t>
        </is>
      </c>
      <c r="C1635" t="inlineStr">
        <is>
          <t>Emergency</t>
        </is>
      </c>
      <c r="D1635" t="inlineStr">
        <is>
          <t>F01</t>
        </is>
      </c>
      <c r="E1635" t="inlineStr">
        <is>
          <t>D100</t>
        </is>
      </c>
      <c r="G1635" s="32" t="n">
        <v>45962.58333333334</v>
      </c>
      <c r="H1635" s="32" t="n">
        <v>45962.68125</v>
      </c>
      <c r="I1635" t="inlineStr">
        <is>
          <t>S93.401A</t>
        </is>
      </c>
      <c r="J1635" t="inlineStr">
        <is>
          <t>PY01</t>
        </is>
      </c>
      <c r="K1635" s="33" t="n">
        <v>802.99</v>
      </c>
      <c r="L1635" s="34" t="n"/>
    </row>
    <row r="1636">
      <c r="A1636" t="inlineStr">
        <is>
          <t>ENC119818</t>
        </is>
      </c>
      <c r="B1636" t="inlineStr">
        <is>
          <t>PT12067</t>
        </is>
      </c>
      <c r="C1636" t="inlineStr">
        <is>
          <t>Emergency</t>
        </is>
      </c>
      <c r="D1636" t="inlineStr">
        <is>
          <t>F02</t>
        </is>
      </c>
      <c r="E1636" t="inlineStr">
        <is>
          <t>D200</t>
        </is>
      </c>
      <c r="G1636" s="32" t="n">
        <v>45963.37430555555</v>
      </c>
      <c r="H1636" s="32" t="n">
        <v>45963.55625</v>
      </c>
      <c r="I1636" t="inlineStr">
        <is>
          <t>R07.9</t>
        </is>
      </c>
      <c r="J1636" t="inlineStr">
        <is>
          <t>PY01</t>
        </is>
      </c>
      <c r="K1636" s="33" t="n">
        <v>2355.58</v>
      </c>
      <c r="L1636" s="34" t="n"/>
    </row>
    <row r="1637">
      <c r="A1637" t="inlineStr">
        <is>
          <t>ENC119824</t>
        </is>
      </c>
      <c r="B1637" t="inlineStr">
        <is>
          <t>PT13092</t>
        </is>
      </c>
      <c r="C1637" t="inlineStr">
        <is>
          <t>Inpatient</t>
        </is>
      </c>
      <c r="D1637" t="inlineStr">
        <is>
          <t>F01</t>
        </is>
      </c>
      <c r="E1637" t="inlineStr">
        <is>
          <t>D110</t>
        </is>
      </c>
      <c r="F1637" t="inlineStr">
        <is>
          <t>Emergency Department</t>
        </is>
      </c>
      <c r="G1637" s="32" t="n">
        <v>45963.67361111111</v>
      </c>
      <c r="H1637" s="32" t="n">
        <v>45966.62083333333</v>
      </c>
      <c r="I1637" t="inlineStr">
        <is>
          <t>A41.9</t>
        </is>
      </c>
      <c r="J1637" t="inlineStr">
        <is>
          <t>PY02</t>
        </is>
      </c>
      <c r="K1637" s="33" t="n">
        <v>41999.67</v>
      </c>
      <c r="L1637" s="34" t="n"/>
    </row>
    <row r="1638">
      <c r="A1638" t="inlineStr">
        <is>
          <t>ENC119830</t>
        </is>
      </c>
      <c r="B1638" t="inlineStr">
        <is>
          <t>PT11569</t>
        </is>
      </c>
      <c r="C1638" t="inlineStr">
        <is>
          <t>Emergency</t>
        </is>
      </c>
      <c r="D1638" t="inlineStr">
        <is>
          <t>F01</t>
        </is>
      </c>
      <c r="E1638" t="inlineStr">
        <is>
          <t>D100</t>
        </is>
      </c>
      <c r="G1638" s="32" t="n">
        <v>45964.02083333334</v>
      </c>
      <c r="H1638" s="32" t="n">
        <v>45964.13125</v>
      </c>
      <c r="I1638" t="inlineStr">
        <is>
          <t>E86.0</t>
        </is>
      </c>
      <c r="J1638" t="inlineStr">
        <is>
          <t>PY04</t>
        </is>
      </c>
      <c r="K1638" s="33" t="n">
        <v>3259.6</v>
      </c>
      <c r="L1638" s="34" t="n"/>
    </row>
    <row r="1639">
      <c r="A1639" t="inlineStr">
        <is>
          <t>ENC119833</t>
        </is>
      </c>
      <c r="B1639" t="inlineStr">
        <is>
          <t>PT13995</t>
        </is>
      </c>
      <c r="C1639" t="inlineStr">
        <is>
          <t>Inpatient</t>
        </is>
      </c>
      <c r="D1639" t="inlineStr">
        <is>
          <t>F01</t>
        </is>
      </c>
      <c r="E1639" t="inlineStr">
        <is>
          <t>D111</t>
        </is>
      </c>
      <c r="F1639" t="inlineStr">
        <is>
          <t>Emergency Department</t>
        </is>
      </c>
      <c r="G1639" s="32" t="n">
        <v>45964.29097222222</v>
      </c>
      <c r="H1639" s="32" t="n">
        <v>45966.47361111111</v>
      </c>
      <c r="I1639" t="inlineStr">
        <is>
          <t>N17.9</t>
        </is>
      </c>
      <c r="J1639" t="inlineStr">
        <is>
          <t>PY01</t>
        </is>
      </c>
      <c r="K1639" s="33" t="n">
        <v>15131.96</v>
      </c>
      <c r="L1639" s="34" t="n"/>
    </row>
    <row r="1640">
      <c r="A1640" t="inlineStr">
        <is>
          <t>ENC119841</t>
        </is>
      </c>
      <c r="B1640" t="inlineStr">
        <is>
          <t>PT12304</t>
        </is>
      </c>
      <c r="C1640" t="inlineStr">
        <is>
          <t>Emergency</t>
        </is>
      </c>
      <c r="D1640" t="inlineStr">
        <is>
          <t>F01</t>
        </is>
      </c>
      <c r="E1640" t="inlineStr">
        <is>
          <t>D100</t>
        </is>
      </c>
      <c r="G1640" s="32" t="n">
        <v>45964.39791666667</v>
      </c>
      <c r="H1640" s="32" t="n">
        <v>45964.53055555555</v>
      </c>
      <c r="I1640" t="inlineStr">
        <is>
          <t>M54.50</t>
        </is>
      </c>
      <c r="J1640" t="inlineStr">
        <is>
          <t>PY01</t>
        </is>
      </c>
      <c r="K1640" s="33" t="n">
        <v>953.5700000000001</v>
      </c>
      <c r="L1640" s="34" t="n"/>
    </row>
    <row r="1641">
      <c r="A1641" t="inlineStr">
        <is>
          <t>ENC119847</t>
        </is>
      </c>
      <c r="B1641" t="inlineStr">
        <is>
          <t>PT11016</t>
        </is>
      </c>
      <c r="C1641" t="inlineStr">
        <is>
          <t>Outpatient</t>
        </is>
      </c>
      <c r="D1641" t="inlineStr">
        <is>
          <t>F04</t>
        </is>
      </c>
      <c r="E1641" t="inlineStr">
        <is>
          <t>D400</t>
        </is>
      </c>
      <c r="G1641" s="32" t="n">
        <v>45964.44791666666</v>
      </c>
      <c r="H1641" s="32" t="n">
        <v>45964.45833333334</v>
      </c>
      <c r="I1641" t="inlineStr">
        <is>
          <t>Z00.00</t>
        </is>
      </c>
      <c r="J1641" t="inlineStr">
        <is>
          <t>PY04</t>
        </is>
      </c>
      <c r="K1641" s="33" t="n">
        <v>324.27</v>
      </c>
      <c r="L1641" s="34" t="n"/>
    </row>
    <row r="1642">
      <c r="A1642" t="inlineStr">
        <is>
          <t>ENC119854</t>
        </is>
      </c>
      <c r="B1642" t="inlineStr">
        <is>
          <t>PT10039</t>
        </is>
      </c>
      <c r="C1642" t="inlineStr">
        <is>
          <t>Outpatient</t>
        </is>
      </c>
      <c r="D1642" t="inlineStr">
        <is>
          <t>F04</t>
        </is>
      </c>
      <c r="E1642" t="inlineStr">
        <is>
          <t>D450</t>
        </is>
      </c>
      <c r="G1642" s="32" t="n">
        <v>45964.52083333334</v>
      </c>
      <c r="H1642" s="32" t="n">
        <v>45964.55416666667</v>
      </c>
      <c r="I1642" t="inlineStr">
        <is>
          <t>J06.9</t>
        </is>
      </c>
      <c r="J1642" t="inlineStr">
        <is>
          <t>PY03</t>
        </is>
      </c>
      <c r="K1642" s="33" t="n">
        <v>220.99</v>
      </c>
      <c r="L1642" s="34" t="n"/>
    </row>
    <row r="1643">
      <c r="A1643" t="inlineStr">
        <is>
          <t>ENC119858</t>
        </is>
      </c>
      <c r="B1643" t="inlineStr">
        <is>
          <t>PT10914</t>
        </is>
      </c>
      <c r="C1643" t="inlineStr">
        <is>
          <t>Outpatient</t>
        </is>
      </c>
      <c r="D1643" t="inlineStr">
        <is>
          <t>F04</t>
        </is>
      </c>
      <c r="E1643" t="inlineStr">
        <is>
          <t>D400</t>
        </is>
      </c>
      <c r="G1643" s="32" t="n">
        <v>45964.59375</v>
      </c>
      <c r="H1643" s="32" t="n">
        <v>45964.61111111111</v>
      </c>
      <c r="I1643" t="inlineStr">
        <is>
          <t>J06.9</t>
        </is>
      </c>
      <c r="J1643" t="inlineStr">
        <is>
          <t>PY01</t>
        </is>
      </c>
      <c r="K1643" s="33" t="n">
        <v>425.16</v>
      </c>
      <c r="L1643" s="34" t="n"/>
    </row>
    <row r="1644">
      <c r="A1644" t="inlineStr">
        <is>
          <t>ENC119866</t>
        </is>
      </c>
      <c r="B1644" t="inlineStr">
        <is>
          <t>PT10464</t>
        </is>
      </c>
      <c r="C1644" t="inlineStr">
        <is>
          <t>Outpatient</t>
        </is>
      </c>
      <c r="D1644" t="inlineStr">
        <is>
          <t>F04</t>
        </is>
      </c>
      <c r="E1644" t="inlineStr">
        <is>
          <t>D400</t>
        </is>
      </c>
      <c r="G1644" s="32" t="n">
        <v>45964.6875</v>
      </c>
      <c r="H1644" s="32" t="n">
        <v>45964.71180555555</v>
      </c>
      <c r="I1644" t="inlineStr">
        <is>
          <t>J44.1</t>
        </is>
      </c>
      <c r="J1644" t="inlineStr">
        <is>
          <t>PY05</t>
        </is>
      </c>
      <c r="K1644" s="33" t="n">
        <v>269.51</v>
      </c>
      <c r="L1644" s="34" t="n"/>
    </row>
    <row r="1645">
      <c r="A1645" t="inlineStr">
        <is>
          <t>ENC119862</t>
        </is>
      </c>
      <c r="B1645" t="inlineStr">
        <is>
          <t>PT10285</t>
        </is>
      </c>
      <c r="C1645" t="inlineStr">
        <is>
          <t>Inpatient</t>
        </is>
      </c>
      <c r="D1645" t="inlineStr">
        <is>
          <t>F01</t>
        </is>
      </c>
      <c r="E1645" t="inlineStr">
        <is>
          <t>D111</t>
        </is>
      </c>
      <c r="F1645" t="inlineStr">
        <is>
          <t>Emergency Department</t>
        </is>
      </c>
      <c r="G1645" s="32" t="n">
        <v>45964.81736111111</v>
      </c>
      <c r="H1645" s="32" t="n">
        <v>45973.75555555556</v>
      </c>
      <c r="I1645" t="inlineStr">
        <is>
          <t>N17.9</t>
        </is>
      </c>
      <c r="J1645" t="inlineStr">
        <is>
          <t>PY01</t>
        </is>
      </c>
      <c r="K1645" s="33" t="n">
        <v>22794.03</v>
      </c>
      <c r="L1645" s="34" t="n"/>
    </row>
    <row r="1646">
      <c r="A1646" t="inlineStr">
        <is>
          <t>ENC119874</t>
        </is>
      </c>
      <c r="B1646" t="inlineStr">
        <is>
          <t>PT10495</t>
        </is>
      </c>
      <c r="C1646" t="inlineStr">
        <is>
          <t>Inpatient</t>
        </is>
      </c>
      <c r="D1646" t="inlineStr">
        <is>
          <t>F01</t>
        </is>
      </c>
      <c r="E1646" t="inlineStr">
        <is>
          <t>D111</t>
        </is>
      </c>
      <c r="F1646" t="inlineStr">
        <is>
          <t>Emergency Department</t>
        </is>
      </c>
      <c r="G1646" s="32" t="n">
        <v>45965.16805555556</v>
      </c>
      <c r="H1646" s="32" t="n">
        <v>45971.67222222222</v>
      </c>
      <c r="I1646" t="inlineStr">
        <is>
          <t>J18.9</t>
        </is>
      </c>
      <c r="J1646" t="inlineStr">
        <is>
          <t>PY01</t>
        </is>
      </c>
      <c r="K1646" s="33" t="n">
        <v>33527.87</v>
      </c>
      <c r="L1646" s="34" t="n"/>
    </row>
    <row r="1647">
      <c r="A1647" t="inlineStr">
        <is>
          <t>ENC119879</t>
        </is>
      </c>
      <c r="B1647" t="inlineStr">
        <is>
          <t>PT11594</t>
        </is>
      </c>
      <c r="C1647" t="inlineStr">
        <is>
          <t>Outpatient</t>
        </is>
      </c>
      <c r="D1647" t="inlineStr">
        <is>
          <t>F04</t>
        </is>
      </c>
      <c r="E1647" t="inlineStr">
        <is>
          <t>D400</t>
        </is>
      </c>
      <c r="G1647" s="32" t="n">
        <v>45965.35416666666</v>
      </c>
      <c r="H1647" s="32" t="n">
        <v>45965.37083333333</v>
      </c>
      <c r="I1647" t="inlineStr">
        <is>
          <t>Z23</t>
        </is>
      </c>
      <c r="J1647" t="inlineStr">
        <is>
          <t>PY01</t>
        </is>
      </c>
      <c r="K1647" s="33" t="n">
        <v>116.2</v>
      </c>
      <c r="L1647" s="34" t="n"/>
    </row>
    <row r="1648">
      <c r="A1648" t="inlineStr">
        <is>
          <t>ENC119885</t>
        </is>
      </c>
      <c r="B1648" t="inlineStr">
        <is>
          <t>PT10075</t>
        </is>
      </c>
      <c r="C1648" t="inlineStr">
        <is>
          <t>Outpatient</t>
        </is>
      </c>
      <c r="D1648" t="inlineStr">
        <is>
          <t>F04</t>
        </is>
      </c>
      <c r="E1648" t="inlineStr">
        <is>
          <t>D440</t>
        </is>
      </c>
      <c r="G1648" s="32" t="n">
        <v>45965.44791666666</v>
      </c>
      <c r="H1648" s="32" t="n">
        <v>45965.48125</v>
      </c>
      <c r="I1648" t="inlineStr">
        <is>
          <t>E11.9</t>
        </is>
      </c>
      <c r="J1648" t="inlineStr">
        <is>
          <t>PY02</t>
        </is>
      </c>
      <c r="K1648" s="33" t="n">
        <v>213.75</v>
      </c>
      <c r="L1648" s="34" t="n"/>
    </row>
    <row r="1649">
      <c r="A1649" t="inlineStr">
        <is>
          <t>ENC119891</t>
        </is>
      </c>
      <c r="B1649" t="inlineStr">
        <is>
          <t>PT13189</t>
        </is>
      </c>
      <c r="C1649" t="inlineStr">
        <is>
          <t>Outpatient</t>
        </is>
      </c>
      <c r="D1649" t="inlineStr">
        <is>
          <t>F04</t>
        </is>
      </c>
      <c r="E1649" t="inlineStr">
        <is>
          <t>D440</t>
        </is>
      </c>
      <c r="G1649" s="32" t="n">
        <v>45965.51041666666</v>
      </c>
      <c r="H1649" s="32" t="n">
        <v>45965.54097222222</v>
      </c>
      <c r="I1649" t="inlineStr">
        <is>
          <t>E11.9</t>
        </is>
      </c>
      <c r="J1649" t="inlineStr">
        <is>
          <t>PY01</t>
        </is>
      </c>
      <c r="K1649" s="33" t="n">
        <v>438.71</v>
      </c>
      <c r="L1649" s="34" t="n"/>
    </row>
    <row r="1650">
      <c r="A1650" t="inlineStr">
        <is>
          <t>ENC119897</t>
        </is>
      </c>
      <c r="B1650" t="inlineStr">
        <is>
          <t>PT13960</t>
        </is>
      </c>
      <c r="C1650" t="inlineStr">
        <is>
          <t>Outpatient</t>
        </is>
      </c>
      <c r="D1650" t="inlineStr">
        <is>
          <t>F04</t>
        </is>
      </c>
      <c r="E1650" t="inlineStr">
        <is>
          <t>D400</t>
        </is>
      </c>
      <c r="G1650" s="32" t="n">
        <v>45965.55208333334</v>
      </c>
      <c r="H1650" s="32" t="n">
        <v>45965.56388888889</v>
      </c>
      <c r="I1650" t="inlineStr">
        <is>
          <t>J06.9</t>
        </is>
      </c>
      <c r="J1650" t="inlineStr">
        <is>
          <t>PY01</t>
        </is>
      </c>
      <c r="K1650" s="33" t="n">
        <v>193.93</v>
      </c>
      <c r="L1650" s="34" t="n"/>
    </row>
    <row r="1651">
      <c r="A1651" t="inlineStr">
        <is>
          <t>ENC119904</t>
        </is>
      </c>
      <c r="B1651" t="inlineStr">
        <is>
          <t>PT12390</t>
        </is>
      </c>
      <c r="C1651" t="inlineStr">
        <is>
          <t>Outpatient</t>
        </is>
      </c>
      <c r="D1651" t="inlineStr">
        <is>
          <t>F04</t>
        </is>
      </c>
      <c r="E1651" t="inlineStr">
        <is>
          <t>D440</t>
        </is>
      </c>
      <c r="G1651" s="32" t="n">
        <v>45965.64583333334</v>
      </c>
      <c r="H1651" s="32" t="n">
        <v>45965.65763888889</v>
      </c>
      <c r="I1651" t="inlineStr">
        <is>
          <t>E11.9</t>
        </is>
      </c>
      <c r="J1651" t="inlineStr">
        <is>
          <t>PY06</t>
        </is>
      </c>
      <c r="K1651" s="33" t="n">
        <v>153.9</v>
      </c>
      <c r="L1651" s="34" t="n"/>
    </row>
    <row r="1652">
      <c r="A1652" t="inlineStr">
        <is>
          <t>ENC119908</t>
        </is>
      </c>
      <c r="B1652" t="inlineStr">
        <is>
          <t>PT13811</t>
        </is>
      </c>
      <c r="C1652" t="inlineStr">
        <is>
          <t>Emergency</t>
        </is>
      </c>
      <c r="D1652" t="inlineStr">
        <is>
          <t>F02</t>
        </is>
      </c>
      <c r="E1652" t="inlineStr">
        <is>
          <t>D200</t>
        </is>
      </c>
      <c r="G1652" s="32" t="n">
        <v>45965.74305555555</v>
      </c>
      <c r="H1652" s="32" t="n">
        <v>45965.90486111111</v>
      </c>
      <c r="I1652" t="inlineStr">
        <is>
          <t>J06.9</t>
        </is>
      </c>
      <c r="J1652" t="inlineStr">
        <is>
          <t>PY01</t>
        </is>
      </c>
      <c r="K1652" s="33" t="n">
        <v>2988.48</v>
      </c>
      <c r="L1652" s="34" t="n"/>
    </row>
    <row r="1653">
      <c r="A1653" t="inlineStr">
        <is>
          <t>ENC119913</t>
        </is>
      </c>
      <c r="B1653" t="inlineStr">
        <is>
          <t>PT11295</t>
        </is>
      </c>
      <c r="C1653" t="inlineStr">
        <is>
          <t>Emergency</t>
        </is>
      </c>
      <c r="D1653" t="inlineStr">
        <is>
          <t>F01</t>
        </is>
      </c>
      <c r="E1653" t="inlineStr">
        <is>
          <t>D100</t>
        </is>
      </c>
      <c r="G1653" s="32" t="n">
        <v>45966.09583333333</v>
      </c>
      <c r="H1653" s="32" t="n">
        <v>45966.15486111111</v>
      </c>
      <c r="I1653" t="inlineStr">
        <is>
          <t>G43.909</t>
        </is>
      </c>
      <c r="J1653" t="inlineStr">
        <is>
          <t>PY04</t>
        </is>
      </c>
      <c r="K1653" s="33" t="n">
        <v>757.86</v>
      </c>
      <c r="L1653" s="34" t="n"/>
    </row>
    <row r="1654">
      <c r="A1654" t="inlineStr">
        <is>
          <t>ENC119918</t>
        </is>
      </c>
      <c r="B1654" t="inlineStr">
        <is>
          <t>PT10428</t>
        </is>
      </c>
      <c r="C1654" t="inlineStr">
        <is>
          <t>Outpatient</t>
        </is>
      </c>
      <c r="D1654" t="inlineStr">
        <is>
          <t>F04</t>
        </is>
      </c>
      <c r="E1654" t="inlineStr">
        <is>
          <t>D420</t>
        </is>
      </c>
      <c r="G1654" s="32" t="n">
        <v>45966.34375</v>
      </c>
      <c r="H1654" s="32" t="n">
        <v>45966.37638888889</v>
      </c>
      <c r="I1654" t="inlineStr">
        <is>
          <t>M17.11</t>
        </is>
      </c>
      <c r="J1654" t="inlineStr">
        <is>
          <t>PY01</t>
        </is>
      </c>
      <c r="K1654" s="33" t="n">
        <v>333.5</v>
      </c>
      <c r="L1654" s="34" t="n"/>
    </row>
    <row r="1655">
      <c r="A1655" t="inlineStr">
        <is>
          <t>ENC119925</t>
        </is>
      </c>
      <c r="B1655" t="inlineStr">
        <is>
          <t>PT11241</t>
        </is>
      </c>
      <c r="C1655" t="inlineStr">
        <is>
          <t>Outpatient</t>
        </is>
      </c>
      <c r="D1655" t="inlineStr">
        <is>
          <t>F04</t>
        </is>
      </c>
      <c r="E1655" t="inlineStr">
        <is>
          <t>D450</t>
        </is>
      </c>
      <c r="G1655" s="32" t="n">
        <v>45966.41666666666</v>
      </c>
      <c r="H1655" s="32" t="n">
        <v>45966.42847222222</v>
      </c>
      <c r="I1655" t="inlineStr">
        <is>
          <t>Z00.129</t>
        </is>
      </c>
      <c r="J1655" t="inlineStr">
        <is>
          <t>PY07</t>
        </is>
      </c>
      <c r="K1655" s="33" t="n">
        <v>408.72</v>
      </c>
      <c r="L1655" s="34" t="n"/>
    </row>
    <row r="1656">
      <c r="A1656" t="inlineStr">
        <is>
          <t>ENC119919</t>
        </is>
      </c>
      <c r="B1656" t="inlineStr">
        <is>
          <t>PT11963</t>
        </is>
      </c>
      <c r="C1656" t="inlineStr">
        <is>
          <t>Inpatient</t>
        </is>
      </c>
      <c r="D1656" t="inlineStr">
        <is>
          <t>F01</t>
        </is>
      </c>
      <c r="E1656" t="inlineStr">
        <is>
          <t>D110</t>
        </is>
      </c>
      <c r="F1656" t="inlineStr">
        <is>
          <t>Emergency Department</t>
        </is>
      </c>
      <c r="G1656" s="32" t="n">
        <v>45966.48958333334</v>
      </c>
      <c r="H1656" s="32" t="n">
        <v>45968.7125</v>
      </c>
      <c r="I1656" t="inlineStr">
        <is>
          <t>K92.2</t>
        </is>
      </c>
      <c r="J1656" t="inlineStr">
        <is>
          <t>PY01</t>
        </is>
      </c>
      <c r="K1656" s="33" t="n">
        <v>11746.79</v>
      </c>
      <c r="L1656" s="34" t="n"/>
    </row>
    <row r="1657">
      <c r="A1657" t="inlineStr">
        <is>
          <t>ENC119937</t>
        </is>
      </c>
      <c r="B1657" t="inlineStr">
        <is>
          <t>PT12071</t>
        </is>
      </c>
      <c r="C1657" t="inlineStr">
        <is>
          <t>Outpatient</t>
        </is>
      </c>
      <c r="D1657" t="inlineStr">
        <is>
          <t>F04</t>
        </is>
      </c>
      <c r="E1657" t="inlineStr">
        <is>
          <t>D400</t>
        </is>
      </c>
      <c r="G1657" s="32" t="n">
        <v>45966.54166666666</v>
      </c>
      <c r="H1657" s="32" t="n">
        <v>45966.55972222222</v>
      </c>
      <c r="I1657" t="inlineStr">
        <is>
          <t>Z23</t>
        </is>
      </c>
      <c r="J1657" t="inlineStr">
        <is>
          <t>PY06</t>
        </is>
      </c>
      <c r="K1657" s="33" t="n">
        <v>123.54</v>
      </c>
      <c r="L1657" s="34" t="n"/>
    </row>
    <row r="1658">
      <c r="A1658" t="inlineStr">
        <is>
          <t>ENC119942</t>
        </is>
      </c>
      <c r="B1658" t="inlineStr">
        <is>
          <t>PT11143</t>
        </is>
      </c>
      <c r="C1658" t="inlineStr">
        <is>
          <t>Outpatient</t>
        </is>
      </c>
      <c r="D1658" t="inlineStr">
        <is>
          <t>F04</t>
        </is>
      </c>
      <c r="E1658" t="inlineStr">
        <is>
          <t>D400</t>
        </is>
      </c>
      <c r="G1658" s="32" t="n">
        <v>45966.58333333334</v>
      </c>
      <c r="H1658" s="32" t="n">
        <v>45966.60555555556</v>
      </c>
      <c r="I1658" t="inlineStr">
        <is>
          <t>Z00.00</t>
        </is>
      </c>
      <c r="J1658" t="inlineStr">
        <is>
          <t>PY03</t>
        </is>
      </c>
      <c r="K1658" s="33" t="n">
        <v>520.8099999999999</v>
      </c>
      <c r="L1658" s="34" t="n"/>
    </row>
    <row r="1659">
      <c r="A1659" t="inlineStr">
        <is>
          <t>ENC119947</t>
        </is>
      </c>
      <c r="B1659" t="inlineStr">
        <is>
          <t>PT13963</t>
        </is>
      </c>
      <c r="C1659" t="inlineStr">
        <is>
          <t>Outpatient</t>
        </is>
      </c>
      <c r="D1659" t="inlineStr">
        <is>
          <t>F04</t>
        </is>
      </c>
      <c r="E1659" t="inlineStr">
        <is>
          <t>D430</t>
        </is>
      </c>
      <c r="G1659" s="32" t="n">
        <v>45966.64583333334</v>
      </c>
      <c r="H1659" s="32" t="n">
        <v>45966.65694444445</v>
      </c>
      <c r="I1659" t="inlineStr">
        <is>
          <t>C34.90</t>
        </is>
      </c>
      <c r="J1659" t="inlineStr">
        <is>
          <t>PY06</t>
        </is>
      </c>
      <c r="K1659" s="33" t="n">
        <v>873.35</v>
      </c>
      <c r="L1659" s="34" t="n"/>
    </row>
    <row r="1660">
      <c r="A1660" t="inlineStr">
        <is>
          <t>ENC119952</t>
        </is>
      </c>
      <c r="B1660" t="inlineStr">
        <is>
          <t>PT10601</t>
        </is>
      </c>
      <c r="C1660" t="inlineStr">
        <is>
          <t>Emergency</t>
        </is>
      </c>
      <c r="D1660" t="inlineStr">
        <is>
          <t>F03</t>
        </is>
      </c>
      <c r="E1660" t="inlineStr">
        <is>
          <t>D300</t>
        </is>
      </c>
      <c r="G1660" s="32" t="n">
        <v>45966.72430555556</v>
      </c>
      <c r="H1660" s="32" t="n">
        <v>45966.79652777778</v>
      </c>
      <c r="I1660" t="inlineStr">
        <is>
          <t>J06.9</t>
        </is>
      </c>
      <c r="J1660" t="inlineStr">
        <is>
          <t>PY05</t>
        </is>
      </c>
      <c r="K1660" s="33" t="n">
        <v>1281.04</v>
      </c>
      <c r="L1660" s="34" t="n"/>
    </row>
    <row r="1661">
      <c r="A1661" t="inlineStr">
        <is>
          <t>ENC119957</t>
        </is>
      </c>
      <c r="B1661" t="inlineStr">
        <is>
          <t>PT10331</t>
        </is>
      </c>
      <c r="C1661" t="inlineStr">
        <is>
          <t>Observation</t>
        </is>
      </c>
      <c r="D1661" t="inlineStr">
        <is>
          <t>F01</t>
        </is>
      </c>
      <c r="E1661" t="inlineStr">
        <is>
          <t>D195</t>
        </is>
      </c>
      <c r="F1661" t="inlineStr">
        <is>
          <t>Emergency Department</t>
        </is>
      </c>
      <c r="G1661" s="32" t="n">
        <v>45966.92777777778</v>
      </c>
      <c r="H1661" s="32" t="n">
        <v>45968.09861111111</v>
      </c>
      <c r="I1661" t="inlineStr">
        <is>
          <t>J45.909</t>
        </is>
      </c>
      <c r="J1661" t="inlineStr">
        <is>
          <t>PY01</t>
        </is>
      </c>
      <c r="K1661" s="33" t="n">
        <v>9512.879999999999</v>
      </c>
      <c r="L1661" s="34" t="n"/>
    </row>
    <row r="1662">
      <c r="A1662" t="inlineStr">
        <is>
          <t>ENC119963</t>
        </is>
      </c>
      <c r="B1662" t="inlineStr">
        <is>
          <t>PT10747</t>
        </is>
      </c>
      <c r="C1662" t="inlineStr">
        <is>
          <t>Outpatient</t>
        </is>
      </c>
      <c r="D1662" t="inlineStr">
        <is>
          <t>F04</t>
        </is>
      </c>
      <c r="E1662" t="inlineStr">
        <is>
          <t>D410</t>
        </is>
      </c>
      <c r="G1662" s="32" t="n">
        <v>45967.36458333334</v>
      </c>
      <c r="H1662" s="32" t="n">
        <v>45967.38819444444</v>
      </c>
      <c r="I1662" t="inlineStr">
        <is>
          <t>I48.91</t>
        </is>
      </c>
      <c r="J1662" t="inlineStr">
        <is>
          <t>PY03</t>
        </is>
      </c>
      <c r="K1662" s="33" t="n">
        <v>369.74</v>
      </c>
      <c r="L1662" s="34" t="n"/>
    </row>
    <row r="1663">
      <c r="A1663" t="inlineStr">
        <is>
          <t>ENC119969</t>
        </is>
      </c>
      <c r="B1663" t="inlineStr">
        <is>
          <t>PT12264</t>
        </is>
      </c>
      <c r="C1663" t="inlineStr">
        <is>
          <t>Outpatient</t>
        </is>
      </c>
      <c r="D1663" t="inlineStr">
        <is>
          <t>F04</t>
        </is>
      </c>
      <c r="E1663" t="inlineStr">
        <is>
          <t>D400</t>
        </is>
      </c>
      <c r="G1663" s="32" t="n">
        <v>45967.42708333334</v>
      </c>
      <c r="H1663" s="32" t="n">
        <v>45967.46388888889</v>
      </c>
      <c r="I1663" t="inlineStr">
        <is>
          <t>I10</t>
        </is>
      </c>
      <c r="J1663" t="inlineStr">
        <is>
          <t>PY01</t>
        </is>
      </c>
      <c r="K1663" s="33" t="n">
        <v>275.61</v>
      </c>
      <c r="L1663" s="34" t="n"/>
    </row>
    <row r="1664">
      <c r="A1664" t="inlineStr">
        <is>
          <t>ENC119971</t>
        </is>
      </c>
      <c r="B1664" t="inlineStr">
        <is>
          <t>PT12919</t>
        </is>
      </c>
      <c r="C1664" t="inlineStr">
        <is>
          <t>Inpatient</t>
        </is>
      </c>
      <c r="D1664" t="inlineStr">
        <is>
          <t>F01</t>
        </is>
      </c>
      <c r="E1664" t="inlineStr">
        <is>
          <t>D120</t>
        </is>
      </c>
      <c r="F1664" t="inlineStr">
        <is>
          <t>Emergency Department</t>
        </is>
      </c>
      <c r="G1664" s="32" t="n">
        <v>45967.57777777778</v>
      </c>
      <c r="H1664" s="32" t="n">
        <v>45973.54861111111</v>
      </c>
      <c r="I1664" t="inlineStr">
        <is>
          <t>I50.9</t>
        </is>
      </c>
      <c r="J1664" t="inlineStr">
        <is>
          <t>PY01</t>
        </is>
      </c>
      <c r="K1664" s="33" t="n">
        <v>39606.07</v>
      </c>
      <c r="L1664" s="34" t="n"/>
    </row>
    <row r="1665">
      <c r="A1665" t="inlineStr">
        <is>
          <t>ENC119973</t>
        </is>
      </c>
      <c r="B1665" t="inlineStr">
        <is>
          <t>PT11456</t>
        </is>
      </c>
      <c r="C1665" t="inlineStr">
        <is>
          <t>Inpatient</t>
        </is>
      </c>
      <c r="D1665" t="inlineStr">
        <is>
          <t>F03</t>
        </is>
      </c>
      <c r="E1665" t="inlineStr">
        <is>
          <t>D310</t>
        </is>
      </c>
      <c r="F1665" t="inlineStr">
        <is>
          <t>Emergency Department</t>
        </is>
      </c>
      <c r="G1665" s="32" t="n">
        <v>45967.64444444444</v>
      </c>
      <c r="H1665" s="32" t="n">
        <v>45971.67708333334</v>
      </c>
      <c r="I1665" t="inlineStr">
        <is>
          <t>J44.1</t>
        </is>
      </c>
      <c r="J1665" t="inlineStr">
        <is>
          <t>PY05</t>
        </is>
      </c>
      <c r="K1665" s="33" t="n">
        <v>18362.37</v>
      </c>
      <c r="L1665" s="34" t="n"/>
    </row>
    <row r="1666">
      <c r="A1666" t="inlineStr">
        <is>
          <t>ENC119986</t>
        </is>
      </c>
      <c r="B1666" t="inlineStr">
        <is>
          <t>PT11781</t>
        </is>
      </c>
      <c r="C1666" t="inlineStr">
        <is>
          <t>Emergency</t>
        </is>
      </c>
      <c r="D1666" t="inlineStr">
        <is>
          <t>F01</t>
        </is>
      </c>
      <c r="E1666" t="inlineStr">
        <is>
          <t>D100</t>
        </is>
      </c>
      <c r="G1666" s="32" t="n">
        <v>45967.76805555556</v>
      </c>
      <c r="H1666" s="32" t="n">
        <v>45967.86180555556</v>
      </c>
      <c r="I1666" t="inlineStr">
        <is>
          <t>L03.115</t>
        </is>
      </c>
      <c r="J1666" t="inlineStr">
        <is>
          <t>PY07</t>
        </is>
      </c>
      <c r="K1666" s="33" t="n">
        <v>6801.67</v>
      </c>
      <c r="L1666" s="34" t="n"/>
    </row>
    <row r="1667">
      <c r="A1667" t="inlineStr">
        <is>
          <t>ENC119990</t>
        </is>
      </c>
      <c r="B1667" t="inlineStr">
        <is>
          <t>PT11423</t>
        </is>
      </c>
      <c r="C1667" t="inlineStr">
        <is>
          <t>Observation</t>
        </is>
      </c>
      <c r="D1667" t="inlineStr">
        <is>
          <t>F01</t>
        </is>
      </c>
      <c r="E1667" t="inlineStr">
        <is>
          <t>D195</t>
        </is>
      </c>
      <c r="F1667" t="inlineStr">
        <is>
          <t>Emergency Department</t>
        </is>
      </c>
      <c r="G1667" s="32" t="n">
        <v>45968.05138888889</v>
      </c>
      <c r="H1667" s="32" t="n">
        <v>45968.89791666667</v>
      </c>
      <c r="I1667" t="inlineStr">
        <is>
          <t>R07.9</t>
        </is>
      </c>
      <c r="J1667" t="inlineStr">
        <is>
          <t>PY05</t>
        </is>
      </c>
      <c r="K1667" s="33" t="n">
        <v>6936.52</v>
      </c>
      <c r="L1667" s="34" t="n"/>
    </row>
    <row r="1668">
      <c r="A1668" t="inlineStr">
        <is>
          <t>ENC119995</t>
        </is>
      </c>
      <c r="B1668" t="inlineStr">
        <is>
          <t>PT12531</t>
        </is>
      </c>
      <c r="C1668" t="inlineStr">
        <is>
          <t>Observation</t>
        </is>
      </c>
      <c r="D1668" t="inlineStr">
        <is>
          <t>F01</t>
        </is>
      </c>
      <c r="E1668" t="inlineStr">
        <is>
          <t>D195</t>
        </is>
      </c>
      <c r="F1668" t="inlineStr">
        <is>
          <t>Emergency Department</t>
        </is>
      </c>
      <c r="G1668" s="32" t="n">
        <v>45968.51111111111</v>
      </c>
      <c r="H1668" s="32" t="n">
        <v>45970.05763888889</v>
      </c>
      <c r="I1668" t="inlineStr">
        <is>
          <t>G43.909</t>
        </is>
      </c>
      <c r="J1668" t="inlineStr">
        <is>
          <t>PY04</t>
        </is>
      </c>
      <c r="K1668" s="33" t="n">
        <v>10778.44</v>
      </c>
      <c r="L1668" s="34" t="n"/>
    </row>
    <row r="1669">
      <c r="A1669" t="inlineStr">
        <is>
          <t>ENC120006</t>
        </is>
      </c>
      <c r="B1669" t="inlineStr">
        <is>
          <t>PT11135</t>
        </is>
      </c>
      <c r="C1669" t="inlineStr">
        <is>
          <t>Outpatient</t>
        </is>
      </c>
      <c r="D1669" t="inlineStr">
        <is>
          <t>F04</t>
        </is>
      </c>
      <c r="E1669" t="inlineStr">
        <is>
          <t>D400</t>
        </is>
      </c>
      <c r="G1669" s="32" t="n">
        <v>45968.6875</v>
      </c>
      <c r="H1669" s="32" t="n">
        <v>45968.70486111111</v>
      </c>
      <c r="I1669" t="inlineStr">
        <is>
          <t>E78.5</t>
        </is>
      </c>
      <c r="J1669" t="inlineStr">
        <is>
          <t>PY02</t>
        </is>
      </c>
      <c r="K1669" s="33" t="n">
        <v>633.71</v>
      </c>
      <c r="L1669" s="34" t="n"/>
    </row>
    <row r="1670">
      <c r="A1670" t="inlineStr">
        <is>
          <t>ENC120007</t>
        </is>
      </c>
      <c r="B1670" t="inlineStr">
        <is>
          <t>PT11616</t>
        </is>
      </c>
      <c r="C1670" t="inlineStr">
        <is>
          <t>Inpatient</t>
        </is>
      </c>
      <c r="D1670" t="inlineStr">
        <is>
          <t>F01</t>
        </is>
      </c>
      <c r="E1670" t="inlineStr">
        <is>
          <t>D110</t>
        </is>
      </c>
      <c r="F1670" t="inlineStr">
        <is>
          <t>Emergency Department</t>
        </is>
      </c>
      <c r="G1670" s="32" t="n">
        <v>45968.82291666666</v>
      </c>
      <c r="H1670" s="32" t="n">
        <v>45976.54027777778</v>
      </c>
      <c r="I1670" t="inlineStr">
        <is>
          <t>N17.9</t>
        </is>
      </c>
      <c r="J1670" t="inlineStr">
        <is>
          <t>PY03</t>
        </is>
      </c>
      <c r="K1670" s="33" t="n">
        <v>30149.72</v>
      </c>
      <c r="L1670" s="34" t="n"/>
    </row>
    <row r="1671">
      <c r="A1671" t="inlineStr">
        <is>
          <t>ENC120013</t>
        </is>
      </c>
      <c r="B1671" t="inlineStr">
        <is>
          <t>PT12911</t>
        </is>
      </c>
      <c r="C1671" t="inlineStr">
        <is>
          <t>Inpatient</t>
        </is>
      </c>
      <c r="D1671" t="inlineStr">
        <is>
          <t>F01</t>
        </is>
      </c>
      <c r="E1671" t="inlineStr">
        <is>
          <t>D111</t>
        </is>
      </c>
      <c r="F1671" t="inlineStr">
        <is>
          <t>Emergency Department</t>
        </is>
      </c>
      <c r="G1671" s="32" t="n">
        <v>45969.04027777778</v>
      </c>
      <c r="H1671" s="32" t="n">
        <v>45971.68055555555</v>
      </c>
      <c r="I1671" t="inlineStr">
        <is>
          <t>F10.239</t>
        </is>
      </c>
      <c r="J1671" t="inlineStr">
        <is>
          <t>PY01</t>
        </is>
      </c>
      <c r="K1671" s="33" t="n">
        <v>11617.26</v>
      </c>
      <c r="L1671" s="34" t="n"/>
    </row>
    <row r="1672">
      <c r="A1672" t="inlineStr">
        <is>
          <t>ENC120019</t>
        </is>
      </c>
      <c r="B1672" t="inlineStr">
        <is>
          <t>PT10497</t>
        </is>
      </c>
      <c r="C1672" t="inlineStr">
        <is>
          <t>Emergency</t>
        </is>
      </c>
      <c r="D1672" t="inlineStr">
        <is>
          <t>F02</t>
        </is>
      </c>
      <c r="E1672" t="inlineStr">
        <is>
          <t>D200</t>
        </is>
      </c>
      <c r="G1672" s="32" t="n">
        <v>45969.41319444445</v>
      </c>
      <c r="H1672" s="32" t="n">
        <v>45969.59930555556</v>
      </c>
      <c r="I1672" t="inlineStr">
        <is>
          <t>R10.9</t>
        </is>
      </c>
      <c r="J1672" t="inlineStr">
        <is>
          <t>PY02</t>
        </is>
      </c>
      <c r="K1672" s="33" t="n">
        <v>2307.82</v>
      </c>
      <c r="L1672" s="34" t="n"/>
    </row>
    <row r="1673">
      <c r="A1673" t="inlineStr">
        <is>
          <t>ENC120025</t>
        </is>
      </c>
      <c r="B1673" t="inlineStr">
        <is>
          <t>PT10463</t>
        </is>
      </c>
      <c r="C1673" t="inlineStr">
        <is>
          <t>Emergency</t>
        </is>
      </c>
      <c r="D1673" t="inlineStr">
        <is>
          <t>F01</t>
        </is>
      </c>
      <c r="E1673" t="inlineStr">
        <is>
          <t>D100</t>
        </is>
      </c>
      <c r="G1673" s="32" t="n">
        <v>45969.65902777778</v>
      </c>
      <c r="H1673" s="32" t="n">
        <v>45969.83333333334</v>
      </c>
      <c r="I1673" t="inlineStr">
        <is>
          <t>F32.9</t>
        </is>
      </c>
      <c r="J1673" t="inlineStr">
        <is>
          <t>PY02</t>
        </is>
      </c>
      <c r="K1673" s="33" t="n">
        <v>6592.55</v>
      </c>
      <c r="L1673" s="34" t="n"/>
    </row>
    <row r="1674">
      <c r="A1674" t="inlineStr">
        <is>
          <t>ENC120031</t>
        </is>
      </c>
      <c r="B1674" t="inlineStr">
        <is>
          <t>PT10372</t>
        </is>
      </c>
      <c r="C1674" t="inlineStr">
        <is>
          <t>Emergency</t>
        </is>
      </c>
      <c r="D1674" t="inlineStr">
        <is>
          <t>F01</t>
        </is>
      </c>
      <c r="E1674" t="inlineStr">
        <is>
          <t>D100</t>
        </is>
      </c>
      <c r="G1674" s="32" t="n">
        <v>45969.79722222222</v>
      </c>
      <c r="H1674" s="32" t="n">
        <v>45969.90902777778</v>
      </c>
      <c r="I1674" t="inlineStr">
        <is>
          <t>R07.9</t>
        </is>
      </c>
      <c r="J1674" t="inlineStr">
        <is>
          <t>PY01</t>
        </is>
      </c>
      <c r="K1674" s="33" t="n">
        <v>2294.77</v>
      </c>
      <c r="L1674" s="34" t="n"/>
    </row>
    <row r="1675">
      <c r="A1675" t="inlineStr">
        <is>
          <t>ENC120034</t>
        </is>
      </c>
      <c r="B1675" t="inlineStr">
        <is>
          <t>PT10891</t>
        </is>
      </c>
      <c r="C1675" t="inlineStr">
        <is>
          <t>Inpatient</t>
        </is>
      </c>
      <c r="D1675" t="inlineStr">
        <is>
          <t>F03</t>
        </is>
      </c>
      <c r="E1675" t="inlineStr">
        <is>
          <t>D310</t>
        </is>
      </c>
      <c r="F1675" t="inlineStr">
        <is>
          <t>Emergency Department</t>
        </is>
      </c>
      <c r="G1675" s="32" t="n">
        <v>45970.01527777778</v>
      </c>
      <c r="H1675" s="32" t="n">
        <v>45972.70486111111</v>
      </c>
      <c r="I1675" t="inlineStr">
        <is>
          <t>A41.9</t>
        </is>
      </c>
      <c r="J1675" t="inlineStr">
        <is>
          <t>PY01</t>
        </is>
      </c>
      <c r="K1675" s="33" t="n">
        <v>27643.14</v>
      </c>
      <c r="L1675" s="34" t="n"/>
    </row>
    <row r="1676">
      <c r="A1676" t="inlineStr">
        <is>
          <t>ENC120042</t>
        </is>
      </c>
      <c r="B1676" t="inlineStr">
        <is>
          <t>PT13092</t>
        </is>
      </c>
      <c r="C1676" t="inlineStr">
        <is>
          <t>Inpatient</t>
        </is>
      </c>
      <c r="D1676" t="inlineStr">
        <is>
          <t>F01</t>
        </is>
      </c>
      <c r="E1676" t="inlineStr">
        <is>
          <t>D120</t>
        </is>
      </c>
      <c r="F1676" t="inlineStr">
        <is>
          <t>Direct Admit</t>
        </is>
      </c>
      <c r="G1676" s="32" t="n">
        <v>45970.43125</v>
      </c>
      <c r="H1676" s="32" t="n">
        <v>45973.46180555555</v>
      </c>
      <c r="I1676" t="inlineStr">
        <is>
          <t>I50.9</t>
        </is>
      </c>
      <c r="J1676" t="inlineStr">
        <is>
          <t>PY02</t>
        </is>
      </c>
      <c r="K1676" s="33" t="n">
        <v>26807.81</v>
      </c>
      <c r="L1676" s="34" t="n"/>
    </row>
    <row r="1677">
      <c r="A1677" t="inlineStr">
        <is>
          <t>ENC120046</t>
        </is>
      </c>
      <c r="B1677" t="inlineStr">
        <is>
          <t>PT12564</t>
        </is>
      </c>
      <c r="C1677" t="inlineStr">
        <is>
          <t>Emergency</t>
        </is>
      </c>
      <c r="D1677" t="inlineStr">
        <is>
          <t>F02</t>
        </is>
      </c>
      <c r="E1677" t="inlineStr">
        <is>
          <t>D200</t>
        </is>
      </c>
      <c r="G1677" s="32" t="n">
        <v>45970.55555555555</v>
      </c>
      <c r="H1677" s="32" t="n">
        <v>45970.66388888889</v>
      </c>
      <c r="I1677" t="inlineStr">
        <is>
          <t>J06.9</t>
        </is>
      </c>
      <c r="J1677" t="inlineStr">
        <is>
          <t>PY06</t>
        </is>
      </c>
      <c r="K1677" s="33" t="n">
        <v>652.62</v>
      </c>
      <c r="L1677" s="34" t="n"/>
    </row>
    <row r="1678">
      <c r="A1678" t="inlineStr">
        <is>
          <t>ENC120053</t>
        </is>
      </c>
      <c r="B1678" t="inlineStr">
        <is>
          <t>PT11776</t>
        </is>
      </c>
      <c r="C1678" t="inlineStr">
        <is>
          <t>Inpatient</t>
        </is>
      </c>
      <c r="D1678" t="inlineStr">
        <is>
          <t>F01</t>
        </is>
      </c>
      <c r="E1678" t="inlineStr">
        <is>
          <t>D111</t>
        </is>
      </c>
      <c r="F1678" t="inlineStr">
        <is>
          <t>Direct Admit</t>
        </is>
      </c>
      <c r="G1678" s="32" t="n">
        <v>45970.84861111111</v>
      </c>
      <c r="H1678" s="32" t="n">
        <v>45972.52222222222</v>
      </c>
      <c r="I1678" t="inlineStr">
        <is>
          <t>E11.65</t>
        </is>
      </c>
      <c r="J1678" t="inlineStr">
        <is>
          <t>PY01</t>
        </is>
      </c>
      <c r="K1678" s="33" t="n">
        <v>12837.92</v>
      </c>
      <c r="L1678" s="34" t="n"/>
    </row>
    <row r="1679">
      <c r="A1679" t="inlineStr">
        <is>
          <t>ENC120059</t>
        </is>
      </c>
      <c r="B1679" t="inlineStr">
        <is>
          <t>PT13413</t>
        </is>
      </c>
      <c r="C1679" t="inlineStr">
        <is>
          <t>Inpatient</t>
        </is>
      </c>
      <c r="D1679" t="inlineStr">
        <is>
          <t>F01</t>
        </is>
      </c>
      <c r="E1679" t="inlineStr">
        <is>
          <t>D110</t>
        </is>
      </c>
      <c r="F1679" t="inlineStr">
        <is>
          <t>Direct Admit</t>
        </is>
      </c>
      <c r="G1679" s="32" t="n">
        <v>45971.39722222222</v>
      </c>
      <c r="H1679" s="32" t="n">
        <v>45979.55833333333</v>
      </c>
      <c r="I1679" t="inlineStr">
        <is>
          <t>K56.609</t>
        </is>
      </c>
      <c r="J1679" t="inlineStr">
        <is>
          <t>PY04</t>
        </is>
      </c>
      <c r="K1679" s="33" t="n">
        <v>37418.27</v>
      </c>
      <c r="L1679" s="34" t="n"/>
    </row>
    <row r="1680">
      <c r="A1680" t="inlineStr">
        <is>
          <t>ENC120063</t>
        </is>
      </c>
      <c r="B1680" t="inlineStr">
        <is>
          <t>PT10870</t>
        </is>
      </c>
      <c r="C1680" t="inlineStr">
        <is>
          <t>Outpatient</t>
        </is>
      </c>
      <c r="D1680" t="inlineStr">
        <is>
          <t>F04</t>
        </is>
      </c>
      <c r="E1680" t="inlineStr">
        <is>
          <t>D420</t>
        </is>
      </c>
      <c r="G1680" s="32" t="n">
        <v>45971.48958333334</v>
      </c>
      <c r="H1680" s="32" t="n">
        <v>45971.5</v>
      </c>
      <c r="I1680" t="inlineStr">
        <is>
          <t>M16.11</t>
        </is>
      </c>
      <c r="J1680" t="inlineStr">
        <is>
          <t>PY02</t>
        </is>
      </c>
      <c r="K1680" s="33" t="n">
        <v>201.78</v>
      </c>
      <c r="L1680" s="34" t="n"/>
    </row>
    <row r="1681">
      <c r="A1681" t="inlineStr">
        <is>
          <t>ENC120070</t>
        </is>
      </c>
      <c r="B1681" t="inlineStr">
        <is>
          <t>PT11005</t>
        </is>
      </c>
      <c r="C1681" t="inlineStr">
        <is>
          <t>Outpatient</t>
        </is>
      </c>
      <c r="D1681" t="inlineStr">
        <is>
          <t>F04</t>
        </is>
      </c>
      <c r="E1681" t="inlineStr">
        <is>
          <t>D450</t>
        </is>
      </c>
      <c r="G1681" s="32" t="n">
        <v>45971.53125</v>
      </c>
      <c r="H1681" s="32" t="n">
        <v>45971.54236111111</v>
      </c>
      <c r="I1681" t="inlineStr">
        <is>
          <t>Z00.129</t>
        </is>
      </c>
      <c r="J1681" t="inlineStr">
        <is>
          <t>PY05</t>
        </is>
      </c>
      <c r="K1681" s="33" t="n">
        <v>217.48</v>
      </c>
      <c r="L1681" s="34" t="n"/>
    </row>
    <row r="1682">
      <c r="A1682" t="inlineStr">
        <is>
          <t>ENC120078</t>
        </is>
      </c>
      <c r="B1682" t="inlineStr">
        <is>
          <t>PT10969</t>
        </is>
      </c>
      <c r="C1682" t="inlineStr">
        <is>
          <t>Inpatient</t>
        </is>
      </c>
      <c r="D1682" t="inlineStr">
        <is>
          <t>F01</t>
        </is>
      </c>
      <c r="E1682" t="inlineStr">
        <is>
          <t>D120</t>
        </is>
      </c>
      <c r="F1682" t="inlineStr">
        <is>
          <t>Direct Admit</t>
        </is>
      </c>
      <c r="G1682" s="32" t="n">
        <v>45971.57986111111</v>
      </c>
      <c r="H1682" s="32" t="n">
        <v>45975.67916666667</v>
      </c>
      <c r="I1682" t="inlineStr">
        <is>
          <t>I50.9</t>
        </is>
      </c>
      <c r="J1682" t="inlineStr">
        <is>
          <t>PY03</t>
        </is>
      </c>
      <c r="K1682" s="33" t="n">
        <v>32148.29</v>
      </c>
      <c r="L1682" s="34" t="n"/>
    </row>
    <row r="1683">
      <c r="A1683" t="inlineStr">
        <is>
          <t>ENC120083</t>
        </is>
      </c>
      <c r="B1683" t="inlineStr">
        <is>
          <t>PT10453</t>
        </is>
      </c>
      <c r="C1683" t="inlineStr">
        <is>
          <t>Outpatient</t>
        </is>
      </c>
      <c r="D1683" t="inlineStr">
        <is>
          <t>F04</t>
        </is>
      </c>
      <c r="E1683" t="inlineStr">
        <is>
          <t>D430</t>
        </is>
      </c>
      <c r="G1683" s="32" t="n">
        <v>45971.61458333334</v>
      </c>
      <c r="H1683" s="32" t="n">
        <v>45971.63611111111</v>
      </c>
      <c r="I1683" t="inlineStr">
        <is>
          <t>C34.90</t>
        </is>
      </c>
      <c r="J1683" t="inlineStr">
        <is>
          <t>PY03</t>
        </is>
      </c>
      <c r="K1683" s="33" t="n">
        <v>748.58</v>
      </c>
      <c r="L1683" s="34" t="n"/>
    </row>
    <row r="1684">
      <c r="A1684" t="inlineStr">
        <is>
          <t>ENC120074</t>
        </is>
      </c>
      <c r="B1684" t="inlineStr">
        <is>
          <t>PT10790</t>
        </is>
      </c>
      <c r="C1684" t="inlineStr">
        <is>
          <t>Inpatient</t>
        </is>
      </c>
      <c r="D1684" t="inlineStr">
        <is>
          <t>F01</t>
        </is>
      </c>
      <c r="E1684" t="inlineStr">
        <is>
          <t>D111</t>
        </is>
      </c>
      <c r="F1684" t="inlineStr">
        <is>
          <t>Emergency Department</t>
        </is>
      </c>
      <c r="G1684" s="32" t="n">
        <v>45971.65833333333</v>
      </c>
      <c r="H1684" s="32" t="n">
        <v>45974.68194444444</v>
      </c>
      <c r="I1684" t="inlineStr">
        <is>
          <t>J18.9</t>
        </is>
      </c>
      <c r="J1684" t="inlineStr">
        <is>
          <t>PY03</t>
        </is>
      </c>
      <c r="K1684" s="33" t="n">
        <v>11512.9</v>
      </c>
      <c r="L1684" s="34" t="n"/>
    </row>
    <row r="1685">
      <c r="A1685" t="inlineStr">
        <is>
          <t>ENC120092</t>
        </is>
      </c>
      <c r="B1685" t="inlineStr">
        <is>
          <t>PT13529</t>
        </is>
      </c>
      <c r="C1685" t="inlineStr">
        <is>
          <t>Emergency</t>
        </is>
      </c>
      <c r="D1685" t="inlineStr">
        <is>
          <t>F02</t>
        </is>
      </c>
      <c r="E1685" t="inlineStr">
        <is>
          <t>D200</t>
        </is>
      </c>
      <c r="G1685" s="32" t="n">
        <v>45971.74583333333</v>
      </c>
      <c r="H1685" s="32" t="n">
        <v>45971.92986111111</v>
      </c>
      <c r="I1685" t="inlineStr">
        <is>
          <t>R07.9</t>
        </is>
      </c>
      <c r="J1685" t="inlineStr">
        <is>
          <t>PY01</t>
        </is>
      </c>
      <c r="K1685" s="33" t="n">
        <v>3262.28</v>
      </c>
      <c r="L1685" s="34" t="n"/>
    </row>
    <row r="1686">
      <c r="A1686" t="inlineStr">
        <is>
          <t>ENC120098</t>
        </is>
      </c>
      <c r="B1686" t="inlineStr">
        <is>
          <t>PT12535</t>
        </is>
      </c>
      <c r="C1686" t="inlineStr">
        <is>
          <t>Inpatient</t>
        </is>
      </c>
      <c r="D1686" t="inlineStr">
        <is>
          <t>F01</t>
        </is>
      </c>
      <c r="E1686" t="inlineStr">
        <is>
          <t>D111</t>
        </is>
      </c>
      <c r="F1686" t="inlineStr">
        <is>
          <t>Direct Admit</t>
        </is>
      </c>
      <c r="G1686" s="32" t="n">
        <v>45971.98958333334</v>
      </c>
      <c r="H1686" s="32" t="n">
        <v>45974.51666666667</v>
      </c>
      <c r="I1686" t="inlineStr">
        <is>
          <t>J44.1</t>
        </is>
      </c>
      <c r="J1686" t="inlineStr">
        <is>
          <t>PY06</t>
        </is>
      </c>
      <c r="K1686" s="33" t="n">
        <v>17851.5</v>
      </c>
      <c r="L1686" s="34" t="n"/>
    </row>
    <row r="1687">
      <c r="A1687" t="inlineStr">
        <is>
          <t>ENC120102</t>
        </is>
      </c>
      <c r="B1687" t="inlineStr">
        <is>
          <t>PT13179</t>
        </is>
      </c>
      <c r="C1687" t="inlineStr">
        <is>
          <t>Emergency</t>
        </is>
      </c>
      <c r="D1687" t="inlineStr">
        <is>
          <t>F03</t>
        </is>
      </c>
      <c r="E1687" t="inlineStr">
        <is>
          <t>D300</t>
        </is>
      </c>
      <c r="G1687" s="32" t="n">
        <v>45972.275</v>
      </c>
      <c r="H1687" s="32" t="n">
        <v>45972.36666666667</v>
      </c>
      <c r="I1687" t="inlineStr">
        <is>
          <t>S93.401A</t>
        </is>
      </c>
      <c r="J1687" t="inlineStr">
        <is>
          <t>PY05</t>
        </is>
      </c>
      <c r="K1687" s="33" t="n">
        <v>4343.07</v>
      </c>
      <c r="L1687" s="34" t="n"/>
    </row>
    <row r="1688">
      <c r="A1688" t="inlineStr">
        <is>
          <t>ENC120109</t>
        </is>
      </c>
      <c r="B1688" t="inlineStr">
        <is>
          <t>PT13242</t>
        </is>
      </c>
      <c r="C1688" t="inlineStr">
        <is>
          <t>Emergency</t>
        </is>
      </c>
      <c r="D1688" t="inlineStr">
        <is>
          <t>F01</t>
        </is>
      </c>
      <c r="E1688" t="inlineStr">
        <is>
          <t>D100</t>
        </is>
      </c>
      <c r="G1688" s="32" t="n">
        <v>45972.44722222222</v>
      </c>
      <c r="H1688" s="32" t="n">
        <v>45972.59513888889</v>
      </c>
      <c r="I1688" t="inlineStr">
        <is>
          <t>R55</t>
        </is>
      </c>
      <c r="J1688" t="inlineStr">
        <is>
          <t>PY04</t>
        </is>
      </c>
      <c r="K1688" s="33" t="n">
        <v>4735.52</v>
      </c>
      <c r="L1688" s="34" t="n"/>
    </row>
    <row r="1689">
      <c r="A1689" t="inlineStr">
        <is>
          <t>ENC120114</t>
        </is>
      </c>
      <c r="B1689" t="inlineStr">
        <is>
          <t>PT10452</t>
        </is>
      </c>
      <c r="C1689" t="inlineStr">
        <is>
          <t>Inpatient</t>
        </is>
      </c>
      <c r="D1689" t="inlineStr">
        <is>
          <t>F01</t>
        </is>
      </c>
      <c r="E1689" t="inlineStr">
        <is>
          <t>D110</t>
        </is>
      </c>
      <c r="F1689" t="inlineStr">
        <is>
          <t>Direct Admit</t>
        </is>
      </c>
      <c r="G1689" s="32" t="n">
        <v>45972.47986111111</v>
      </c>
      <c r="H1689" s="32" t="n">
        <v>45981.60694444444</v>
      </c>
      <c r="I1689" t="inlineStr">
        <is>
          <t>A41.9</t>
        </is>
      </c>
      <c r="J1689" t="inlineStr">
        <is>
          <t>PY01</t>
        </is>
      </c>
      <c r="K1689" s="33" t="n">
        <v>118837.48</v>
      </c>
      <c r="L1689" s="34" t="n"/>
    </row>
    <row r="1690">
      <c r="A1690" t="inlineStr">
        <is>
          <t>ENC120120</t>
        </is>
      </c>
      <c r="B1690" t="inlineStr">
        <is>
          <t>PT13487</t>
        </is>
      </c>
      <c r="C1690" t="inlineStr">
        <is>
          <t>Emergency</t>
        </is>
      </c>
      <c r="D1690" t="inlineStr">
        <is>
          <t>F01</t>
        </is>
      </c>
      <c r="E1690" t="inlineStr">
        <is>
          <t>D100</t>
        </is>
      </c>
      <c r="G1690" s="32" t="n">
        <v>45972.52916666667</v>
      </c>
      <c r="H1690" s="32" t="n">
        <v>45972.60972222222</v>
      </c>
      <c r="I1690" t="inlineStr">
        <is>
          <t>H66.90</t>
        </is>
      </c>
      <c r="J1690" t="inlineStr">
        <is>
          <t>PY03</t>
        </is>
      </c>
      <c r="K1690" s="33" t="n">
        <v>2349.66</v>
      </c>
      <c r="L1690" s="34" t="n"/>
    </row>
    <row r="1691">
      <c r="A1691" t="inlineStr">
        <is>
          <t>ENC120108</t>
        </is>
      </c>
      <c r="B1691" t="inlineStr">
        <is>
          <t>PT12206</t>
        </is>
      </c>
      <c r="C1691" t="inlineStr">
        <is>
          <t>Inpatient</t>
        </is>
      </c>
      <c r="D1691" t="inlineStr">
        <is>
          <t>F03</t>
        </is>
      </c>
      <c r="E1691" t="inlineStr">
        <is>
          <t>D330</t>
        </is>
      </c>
      <c r="F1691" t="inlineStr">
        <is>
          <t>Emergency Department</t>
        </is>
      </c>
      <c r="G1691" s="32" t="n">
        <v>45972.57361111111</v>
      </c>
      <c r="H1691" s="32" t="n">
        <v>45980.52986111111</v>
      </c>
      <c r="I1691" t="inlineStr">
        <is>
          <t>A41.9</t>
        </is>
      </c>
      <c r="J1691" t="inlineStr">
        <is>
          <t>PY03</t>
        </is>
      </c>
      <c r="K1691" s="33" t="n">
        <v>109816.98</v>
      </c>
      <c r="L1691" s="34" t="n"/>
    </row>
    <row r="1692">
      <c r="A1692" t="inlineStr">
        <is>
          <t>ENC120121</t>
        </is>
      </c>
      <c r="B1692" t="inlineStr">
        <is>
          <t>PT11722</t>
        </is>
      </c>
      <c r="C1692" t="inlineStr">
        <is>
          <t>Inpatient</t>
        </is>
      </c>
      <c r="D1692" t="inlineStr">
        <is>
          <t>F01</t>
        </is>
      </c>
      <c r="E1692" t="inlineStr">
        <is>
          <t>D110</t>
        </is>
      </c>
      <c r="F1692" t="inlineStr">
        <is>
          <t>Emergency Department</t>
        </is>
      </c>
      <c r="G1692" s="32" t="n">
        <v>45972.67638888889</v>
      </c>
      <c r="H1692" s="32" t="n">
        <v>45974.71458333333</v>
      </c>
      <c r="I1692" t="inlineStr">
        <is>
          <t>J44.1</t>
        </is>
      </c>
      <c r="J1692" t="inlineStr">
        <is>
          <t>PY05</t>
        </is>
      </c>
      <c r="K1692" s="33" t="n">
        <v>14637.14</v>
      </c>
      <c r="L1692" s="34" t="n"/>
    </row>
    <row r="1693">
      <c r="A1693" t="inlineStr">
        <is>
          <t>ENC120136</t>
        </is>
      </c>
      <c r="B1693" t="inlineStr">
        <is>
          <t>PT13293</t>
        </is>
      </c>
      <c r="C1693" t="inlineStr">
        <is>
          <t>Emergency</t>
        </is>
      </c>
      <c r="D1693" t="inlineStr">
        <is>
          <t>F01</t>
        </is>
      </c>
      <c r="E1693" t="inlineStr">
        <is>
          <t>D100</t>
        </is>
      </c>
      <c r="G1693" s="32" t="n">
        <v>45972.82430555556</v>
      </c>
      <c r="H1693" s="32" t="n">
        <v>45972.90694444445</v>
      </c>
      <c r="I1693" t="inlineStr">
        <is>
          <t>J06.9</t>
        </is>
      </c>
      <c r="J1693" t="inlineStr">
        <is>
          <t>PY02</t>
        </is>
      </c>
      <c r="K1693" s="33" t="n">
        <v>913.75</v>
      </c>
      <c r="L1693" s="34" t="n"/>
    </row>
    <row r="1694">
      <c r="A1694" t="inlineStr">
        <is>
          <t>ENC120142</t>
        </is>
      </c>
      <c r="B1694" t="inlineStr">
        <is>
          <t>PT13990</t>
        </is>
      </c>
      <c r="C1694" t="inlineStr">
        <is>
          <t>Inpatient</t>
        </is>
      </c>
      <c r="D1694" t="inlineStr">
        <is>
          <t>F02</t>
        </is>
      </c>
      <c r="E1694" t="inlineStr">
        <is>
          <t>D270</t>
        </is>
      </c>
      <c r="F1694" t="inlineStr">
        <is>
          <t>Direct Admit</t>
        </is>
      </c>
      <c r="G1694" s="32" t="n">
        <v>45973.18819444445</v>
      </c>
      <c r="H1694" s="32" t="n">
        <v>45976.675</v>
      </c>
      <c r="I1694" t="inlineStr">
        <is>
          <t>O80</t>
        </is>
      </c>
      <c r="J1694" t="inlineStr">
        <is>
          <t>PY05</t>
        </is>
      </c>
      <c r="K1694" s="33" t="n">
        <v>22553.9</v>
      </c>
      <c r="L1694" s="34" t="n"/>
    </row>
    <row r="1695">
      <c r="A1695" t="inlineStr">
        <is>
          <t>ENC120148</t>
        </is>
      </c>
      <c r="B1695" t="inlineStr">
        <is>
          <t>PT12711</t>
        </is>
      </c>
      <c r="C1695" t="inlineStr">
        <is>
          <t>Outpatient</t>
        </is>
      </c>
      <c r="D1695" t="inlineStr">
        <is>
          <t>F04</t>
        </is>
      </c>
      <c r="E1695" t="inlineStr">
        <is>
          <t>D450</t>
        </is>
      </c>
      <c r="G1695" s="32" t="n">
        <v>45973.41666666666</v>
      </c>
      <c r="H1695" s="32" t="n">
        <v>45973.44861111111</v>
      </c>
      <c r="I1695" t="inlineStr">
        <is>
          <t>Z00.129</t>
        </is>
      </c>
      <c r="J1695" t="inlineStr">
        <is>
          <t>PY06</t>
        </is>
      </c>
      <c r="K1695" s="33" t="n">
        <v>277.36</v>
      </c>
      <c r="L1695" s="34" t="n"/>
    </row>
    <row r="1696">
      <c r="A1696" t="inlineStr">
        <is>
          <t>ENC120152</t>
        </is>
      </c>
      <c r="B1696" t="inlineStr">
        <is>
          <t>PT10932</t>
        </is>
      </c>
      <c r="C1696" t="inlineStr">
        <is>
          <t>Emergency</t>
        </is>
      </c>
      <c r="D1696" t="inlineStr">
        <is>
          <t>F03</t>
        </is>
      </c>
      <c r="E1696" t="inlineStr">
        <is>
          <t>D300</t>
        </is>
      </c>
      <c r="G1696" s="32" t="n">
        <v>45973.47986111111</v>
      </c>
      <c r="H1696" s="32" t="n">
        <v>45973.61319444444</v>
      </c>
      <c r="I1696" t="inlineStr">
        <is>
          <t>I10</t>
        </is>
      </c>
      <c r="J1696" t="inlineStr">
        <is>
          <t>PY05</t>
        </is>
      </c>
      <c r="K1696" s="33" t="n">
        <v>3759.52</v>
      </c>
      <c r="L1696" s="34" t="n"/>
    </row>
    <row r="1697">
      <c r="A1697" t="inlineStr">
        <is>
          <t>ENC120158</t>
        </is>
      </c>
      <c r="B1697" t="inlineStr">
        <is>
          <t>PT11446</t>
        </is>
      </c>
      <c r="C1697" t="inlineStr">
        <is>
          <t>Emergency</t>
        </is>
      </c>
      <c r="D1697" t="inlineStr">
        <is>
          <t>F01</t>
        </is>
      </c>
      <c r="E1697" t="inlineStr">
        <is>
          <t>D100</t>
        </is>
      </c>
      <c r="G1697" s="32" t="n">
        <v>45973.58402777778</v>
      </c>
      <c r="H1697" s="32" t="n">
        <v>45973.71319444444</v>
      </c>
      <c r="I1697" t="inlineStr">
        <is>
          <t>U07.1</t>
        </is>
      </c>
      <c r="J1697" t="inlineStr">
        <is>
          <t>PY03</t>
        </is>
      </c>
      <c r="K1697" s="33" t="n">
        <v>6103.5</v>
      </c>
      <c r="L1697" s="34" t="n"/>
    </row>
    <row r="1698">
      <c r="A1698" t="inlineStr">
        <is>
          <t>ENC120163</t>
        </is>
      </c>
      <c r="B1698" t="inlineStr">
        <is>
          <t>PT12669</t>
        </is>
      </c>
      <c r="C1698" t="inlineStr">
        <is>
          <t>Emergency</t>
        </is>
      </c>
      <c r="D1698" t="inlineStr">
        <is>
          <t>F02</t>
        </is>
      </c>
      <c r="E1698" t="inlineStr">
        <is>
          <t>D200</t>
        </is>
      </c>
      <c r="G1698" s="32" t="n">
        <v>45973.65347222222</v>
      </c>
      <c r="H1698" s="32" t="n">
        <v>45973.77847222222</v>
      </c>
      <c r="I1698" t="inlineStr">
        <is>
          <t>G43.909</t>
        </is>
      </c>
      <c r="J1698" t="inlineStr">
        <is>
          <t>PY01</t>
        </is>
      </c>
      <c r="K1698" s="33" t="n">
        <v>3387.52</v>
      </c>
      <c r="L1698" s="34" t="n"/>
    </row>
    <row r="1699">
      <c r="A1699" t="inlineStr">
        <is>
          <t>ENC120167</t>
        </is>
      </c>
      <c r="B1699" t="inlineStr">
        <is>
          <t>PT13482</t>
        </is>
      </c>
      <c r="C1699" t="inlineStr">
        <is>
          <t>Inpatient</t>
        </is>
      </c>
      <c r="D1699" t="inlineStr">
        <is>
          <t>F01</t>
        </is>
      </c>
      <c r="E1699" t="inlineStr">
        <is>
          <t>D110</t>
        </is>
      </c>
      <c r="F1699" t="inlineStr">
        <is>
          <t>Emergency Department</t>
        </is>
      </c>
      <c r="G1699" s="32" t="n">
        <v>45973.90347222222</v>
      </c>
      <c r="H1699" s="32" t="n">
        <v>45981.46458333333</v>
      </c>
      <c r="I1699" t="inlineStr">
        <is>
          <t>J18.9</t>
        </is>
      </c>
      <c r="J1699" t="inlineStr">
        <is>
          <t>PY02</t>
        </is>
      </c>
      <c r="K1699" s="33" t="n">
        <v>22569.43</v>
      </c>
      <c r="L1699" s="34" t="n"/>
    </row>
    <row r="1700">
      <c r="A1700" t="inlineStr">
        <is>
          <t>ENC120175</t>
        </is>
      </c>
      <c r="B1700" t="inlineStr">
        <is>
          <t>PT10148</t>
        </is>
      </c>
      <c r="C1700" t="inlineStr">
        <is>
          <t>Inpatient</t>
        </is>
      </c>
      <c r="D1700" t="inlineStr">
        <is>
          <t>F02</t>
        </is>
      </c>
      <c r="E1700" t="inlineStr">
        <is>
          <t>D210</t>
        </is>
      </c>
      <c r="F1700" t="inlineStr">
        <is>
          <t>Transfer</t>
        </is>
      </c>
      <c r="G1700" s="32" t="n">
        <v>45974.34166666667</v>
      </c>
      <c r="H1700" s="32" t="n">
        <v>45984.54722222222</v>
      </c>
      <c r="I1700" t="inlineStr">
        <is>
          <t>J18.9</t>
        </is>
      </c>
      <c r="J1700" t="inlineStr">
        <is>
          <t>PY02</t>
        </is>
      </c>
      <c r="K1700" s="33" t="n">
        <v>43866.5</v>
      </c>
      <c r="L1700" s="34" t="n"/>
    </row>
    <row r="1701">
      <c r="A1701" t="inlineStr">
        <is>
          <t>ENC120184</t>
        </is>
      </c>
      <c r="B1701" t="inlineStr">
        <is>
          <t>PT10204</t>
        </is>
      </c>
      <c r="C1701" t="inlineStr">
        <is>
          <t>Outpatient</t>
        </is>
      </c>
      <c r="D1701" t="inlineStr">
        <is>
          <t>F04</t>
        </is>
      </c>
      <c r="E1701" t="inlineStr">
        <is>
          <t>D440</t>
        </is>
      </c>
      <c r="G1701" s="32" t="n">
        <v>45974.44791666666</v>
      </c>
      <c r="H1701" s="32" t="n">
        <v>45974.46805555555</v>
      </c>
      <c r="I1701" t="inlineStr">
        <is>
          <t>E11.65</t>
        </is>
      </c>
      <c r="J1701" t="inlineStr">
        <is>
          <t>PY04</t>
        </is>
      </c>
      <c r="K1701" s="33" t="n">
        <v>279.79</v>
      </c>
      <c r="L1701" s="34" t="n"/>
    </row>
    <row r="1702">
      <c r="A1702" t="inlineStr">
        <is>
          <t>ENC120177</t>
        </is>
      </c>
      <c r="B1702" t="inlineStr">
        <is>
          <t>PT12765</t>
        </is>
      </c>
      <c r="C1702" t="inlineStr">
        <is>
          <t>Inpatient</t>
        </is>
      </c>
      <c r="D1702" t="inlineStr">
        <is>
          <t>F01</t>
        </is>
      </c>
      <c r="E1702" t="inlineStr">
        <is>
          <t>D120</t>
        </is>
      </c>
      <c r="F1702" t="inlineStr">
        <is>
          <t>Emergency Department</t>
        </is>
      </c>
      <c r="G1702" s="32" t="n">
        <v>45974.50694444445</v>
      </c>
      <c r="H1702" s="32" t="n">
        <v>45980.63125</v>
      </c>
      <c r="I1702" t="inlineStr">
        <is>
          <t>I21.4</t>
        </is>
      </c>
      <c r="J1702" t="inlineStr">
        <is>
          <t>PY03</t>
        </is>
      </c>
      <c r="K1702" s="33" t="n">
        <v>112236.92</v>
      </c>
      <c r="L1702" s="34" t="n"/>
    </row>
    <row r="1703">
      <c r="A1703" t="inlineStr">
        <is>
          <t>ENC120192</t>
        </is>
      </c>
      <c r="B1703" t="inlineStr">
        <is>
          <t>PT10624</t>
        </is>
      </c>
      <c r="C1703" t="inlineStr">
        <is>
          <t>Outpatient</t>
        </is>
      </c>
      <c r="D1703" t="inlineStr">
        <is>
          <t>F04</t>
        </is>
      </c>
      <c r="E1703" t="inlineStr">
        <is>
          <t>D410</t>
        </is>
      </c>
      <c r="G1703" s="32" t="n">
        <v>45974.55208333334</v>
      </c>
      <c r="H1703" s="32" t="n">
        <v>45974.56597222222</v>
      </c>
      <c r="I1703" t="inlineStr">
        <is>
          <t>I50.9</t>
        </is>
      </c>
      <c r="J1703" t="inlineStr">
        <is>
          <t>PY01</t>
        </is>
      </c>
      <c r="K1703" s="33" t="n">
        <v>278.58</v>
      </c>
      <c r="L1703" s="34" t="n"/>
    </row>
    <row r="1704">
      <c r="A1704" t="inlineStr">
        <is>
          <t>ENC120199</t>
        </is>
      </c>
      <c r="B1704" t="inlineStr">
        <is>
          <t>PT12889</t>
        </is>
      </c>
      <c r="C1704" t="inlineStr">
        <is>
          <t>Outpatient</t>
        </is>
      </c>
      <c r="D1704" t="inlineStr">
        <is>
          <t>F04</t>
        </is>
      </c>
      <c r="E1704" t="inlineStr">
        <is>
          <t>D430</t>
        </is>
      </c>
      <c r="G1704" s="32" t="n">
        <v>45974.63541666666</v>
      </c>
      <c r="H1704" s="32" t="n">
        <v>45974.81666666667</v>
      </c>
      <c r="I1704" t="inlineStr">
        <is>
          <t>Z51.11</t>
        </is>
      </c>
      <c r="J1704" t="inlineStr">
        <is>
          <t>PY01</t>
        </is>
      </c>
      <c r="K1704" s="33" t="n">
        <v>14711.28</v>
      </c>
      <c r="L1704" s="34" t="n"/>
    </row>
    <row r="1705">
      <c r="A1705" t="inlineStr">
        <is>
          <t>ENC120205</t>
        </is>
      </c>
      <c r="B1705" t="inlineStr">
        <is>
          <t>PT12305</t>
        </is>
      </c>
      <c r="C1705" t="inlineStr">
        <is>
          <t>Outpatient</t>
        </is>
      </c>
      <c r="D1705" t="inlineStr">
        <is>
          <t>F04</t>
        </is>
      </c>
      <c r="E1705" t="inlineStr">
        <is>
          <t>D400</t>
        </is>
      </c>
      <c r="G1705" s="32" t="n">
        <v>45974.6875</v>
      </c>
      <c r="H1705" s="32" t="n">
        <v>45974.70833333334</v>
      </c>
      <c r="I1705" t="inlineStr">
        <is>
          <t>E78.5</t>
        </is>
      </c>
      <c r="J1705" t="inlineStr">
        <is>
          <t>PY03</t>
        </is>
      </c>
      <c r="K1705" s="33" t="n">
        <v>418.65</v>
      </c>
      <c r="L1705" s="34" t="n"/>
    </row>
    <row r="1706">
      <c r="A1706" t="inlineStr">
        <is>
          <t>ENC120203</t>
        </is>
      </c>
      <c r="B1706" t="inlineStr">
        <is>
          <t>PT12992</t>
        </is>
      </c>
      <c r="C1706" t="inlineStr">
        <is>
          <t>Inpatient</t>
        </is>
      </c>
      <c r="D1706" t="inlineStr">
        <is>
          <t>F01</t>
        </is>
      </c>
      <c r="E1706" t="inlineStr">
        <is>
          <t>D111</t>
        </is>
      </c>
      <c r="F1706" t="inlineStr">
        <is>
          <t>Emergency Department</t>
        </is>
      </c>
      <c r="G1706" s="32" t="n">
        <v>45974.79513888889</v>
      </c>
      <c r="H1706" s="32" t="n">
        <v>45977.62569444445</v>
      </c>
      <c r="I1706" t="inlineStr">
        <is>
          <t>N39.0</t>
        </is>
      </c>
      <c r="J1706" t="inlineStr">
        <is>
          <t>PY03</t>
        </is>
      </c>
      <c r="K1706" s="33" t="n">
        <v>24418.98</v>
      </c>
      <c r="L1706" s="34" t="n"/>
    </row>
    <row r="1707">
      <c r="A1707" t="inlineStr">
        <is>
          <t>ENC120214</t>
        </is>
      </c>
      <c r="B1707" t="inlineStr">
        <is>
          <t>PT12140</t>
        </is>
      </c>
      <c r="C1707" t="inlineStr">
        <is>
          <t>Inpatient</t>
        </is>
      </c>
      <c r="D1707" t="inlineStr">
        <is>
          <t>F01</t>
        </is>
      </c>
      <c r="E1707" t="inlineStr">
        <is>
          <t>D140</t>
        </is>
      </c>
      <c r="F1707" t="inlineStr">
        <is>
          <t>Elective</t>
        </is>
      </c>
      <c r="G1707" s="32" t="n">
        <v>45975.32847222222</v>
      </c>
      <c r="H1707" s="32" t="n">
        <v>45977.50277777778</v>
      </c>
      <c r="I1707" t="inlineStr">
        <is>
          <t>M17.11</t>
        </is>
      </c>
      <c r="J1707" t="inlineStr">
        <is>
          <t>PY04</t>
        </is>
      </c>
      <c r="K1707" s="33" t="n">
        <v>55698.39</v>
      </c>
      <c r="L1707" s="34" t="n"/>
    </row>
    <row r="1708">
      <c r="A1708" t="inlineStr">
        <is>
          <t>ENC120219</t>
        </is>
      </c>
      <c r="B1708" t="inlineStr">
        <is>
          <t>PT10484</t>
        </is>
      </c>
      <c r="C1708" t="inlineStr">
        <is>
          <t>Outpatient</t>
        </is>
      </c>
      <c r="D1708" t="inlineStr">
        <is>
          <t>F04</t>
        </is>
      </c>
      <c r="E1708" t="inlineStr">
        <is>
          <t>D400</t>
        </is>
      </c>
      <c r="G1708" s="32" t="n">
        <v>45975.5</v>
      </c>
      <c r="H1708" s="32" t="n">
        <v>45975.52986111111</v>
      </c>
      <c r="I1708" t="inlineStr">
        <is>
          <t>J06.9</t>
        </is>
      </c>
      <c r="J1708" t="inlineStr">
        <is>
          <t>PY01</t>
        </is>
      </c>
      <c r="K1708" s="33" t="n">
        <v>168.4</v>
      </c>
      <c r="L1708" s="34" t="n"/>
    </row>
    <row r="1709">
      <c r="A1709" t="inlineStr">
        <is>
          <t>ENC120225</t>
        </is>
      </c>
      <c r="B1709" t="inlineStr">
        <is>
          <t>PT10906</t>
        </is>
      </c>
      <c r="C1709" t="inlineStr">
        <is>
          <t>Outpatient</t>
        </is>
      </c>
      <c r="D1709" t="inlineStr">
        <is>
          <t>F04</t>
        </is>
      </c>
      <c r="E1709" t="inlineStr">
        <is>
          <t>D400</t>
        </is>
      </c>
      <c r="G1709" s="32" t="n">
        <v>45975.65625</v>
      </c>
      <c r="H1709" s="32" t="n">
        <v>45975.68263888889</v>
      </c>
      <c r="I1709" t="inlineStr">
        <is>
          <t>I10</t>
        </is>
      </c>
      <c r="J1709" t="inlineStr">
        <is>
          <t>PY04</t>
        </is>
      </c>
      <c r="K1709" s="33" t="n">
        <v>327.17</v>
      </c>
      <c r="L1709" s="34" t="n"/>
    </row>
    <row r="1710">
      <c r="A1710" t="inlineStr">
        <is>
          <t>ENC120230</t>
        </is>
      </c>
      <c r="B1710" t="inlineStr">
        <is>
          <t>PT12643</t>
        </is>
      </c>
      <c r="C1710" t="inlineStr">
        <is>
          <t>Outpatient</t>
        </is>
      </c>
      <c r="D1710" t="inlineStr">
        <is>
          <t>F04</t>
        </is>
      </c>
      <c r="E1710" t="inlineStr">
        <is>
          <t>D430</t>
        </is>
      </c>
      <c r="G1710" s="32" t="n">
        <v>45975.6875</v>
      </c>
      <c r="H1710" s="32" t="n">
        <v>45975.86388888889</v>
      </c>
      <c r="I1710" t="inlineStr">
        <is>
          <t>Z51.11</t>
        </is>
      </c>
      <c r="J1710" t="inlineStr">
        <is>
          <t>PY02</t>
        </is>
      </c>
      <c r="K1710" s="33" t="n">
        <v>13252.41</v>
      </c>
      <c r="L1710" s="34" t="n"/>
    </row>
    <row r="1711">
      <c r="A1711" t="inlineStr">
        <is>
          <t>ENC120233</t>
        </is>
      </c>
      <c r="B1711" t="inlineStr">
        <is>
          <t>PT10915</t>
        </is>
      </c>
      <c r="C1711" t="inlineStr">
        <is>
          <t>Inpatient</t>
        </is>
      </c>
      <c r="D1711" t="inlineStr">
        <is>
          <t>F01</t>
        </is>
      </c>
      <c r="E1711" t="inlineStr">
        <is>
          <t>D120</t>
        </is>
      </c>
      <c r="F1711" t="inlineStr">
        <is>
          <t>Emergency Department</t>
        </is>
      </c>
      <c r="G1711" s="32" t="n">
        <v>45975.95694444444</v>
      </c>
      <c r="H1711" s="32" t="n">
        <v>45984.59583333333</v>
      </c>
      <c r="I1711" t="inlineStr">
        <is>
          <t>I50.9</t>
        </is>
      </c>
      <c r="J1711" t="inlineStr">
        <is>
          <t>PY06</t>
        </is>
      </c>
      <c r="K1711" s="33" t="n">
        <v>38721.18</v>
      </c>
      <c r="L1711" s="34" t="n"/>
    </row>
    <row r="1712">
      <c r="A1712" t="inlineStr">
        <is>
          <t>ENC120241</t>
        </is>
      </c>
      <c r="B1712" t="inlineStr">
        <is>
          <t>PT11605</t>
        </is>
      </c>
      <c r="C1712" t="inlineStr">
        <is>
          <t>Inpatient</t>
        </is>
      </c>
      <c r="D1712" t="inlineStr">
        <is>
          <t>F01</t>
        </is>
      </c>
      <c r="E1712" t="inlineStr">
        <is>
          <t>D190</t>
        </is>
      </c>
      <c r="F1712" t="inlineStr">
        <is>
          <t>Transfer</t>
        </is>
      </c>
      <c r="G1712" s="32" t="n">
        <v>45976.33888888889</v>
      </c>
      <c r="H1712" s="32" t="n">
        <v>45983.68194444444</v>
      </c>
      <c r="I1712" t="inlineStr">
        <is>
          <t>F32.9</t>
        </is>
      </c>
      <c r="J1712" t="inlineStr">
        <is>
          <t>PY04</t>
        </is>
      </c>
      <c r="K1712" s="33" t="n">
        <v>40032.3</v>
      </c>
      <c r="L1712" s="34" t="n"/>
    </row>
    <row r="1713">
      <c r="A1713" t="inlineStr">
        <is>
          <t>ENC120248</t>
        </is>
      </c>
      <c r="B1713" t="inlineStr">
        <is>
          <t>PT13373</t>
        </is>
      </c>
      <c r="C1713" t="inlineStr">
        <is>
          <t>Inpatient</t>
        </is>
      </c>
      <c r="D1713" t="inlineStr">
        <is>
          <t>F02</t>
        </is>
      </c>
      <c r="E1713" t="inlineStr">
        <is>
          <t>D210</t>
        </is>
      </c>
      <c r="F1713" t="inlineStr">
        <is>
          <t>Direct Admit</t>
        </is>
      </c>
      <c r="G1713" s="32" t="n">
        <v>45976.525</v>
      </c>
      <c r="H1713" s="32" t="n">
        <v>45981.70763888889</v>
      </c>
      <c r="I1713" t="inlineStr">
        <is>
          <t>F10.239</t>
        </is>
      </c>
      <c r="J1713" t="inlineStr">
        <is>
          <t>PY05</t>
        </is>
      </c>
      <c r="K1713" s="33" t="n">
        <v>21671.68</v>
      </c>
      <c r="L1713" s="34" t="n"/>
    </row>
    <row r="1714">
      <c r="A1714" t="inlineStr">
        <is>
          <t>ENC120251</t>
        </is>
      </c>
      <c r="B1714" t="inlineStr">
        <is>
          <t>PT12312</t>
        </is>
      </c>
      <c r="C1714" t="inlineStr">
        <is>
          <t>Inpatient</t>
        </is>
      </c>
      <c r="D1714" t="inlineStr">
        <is>
          <t>F01</t>
        </is>
      </c>
      <c r="E1714" t="inlineStr">
        <is>
          <t>D150</t>
        </is>
      </c>
      <c r="F1714" t="inlineStr">
        <is>
          <t>Emergency Department</t>
        </is>
      </c>
      <c r="G1714" s="32" t="n">
        <v>45976.89097222222</v>
      </c>
      <c r="H1714" s="32" t="n">
        <v>45982.44027777778</v>
      </c>
      <c r="I1714" t="inlineStr">
        <is>
          <t>D70.1</t>
        </is>
      </c>
      <c r="J1714" t="inlineStr">
        <is>
          <t>PY01</t>
        </is>
      </c>
      <c r="K1714" s="33" t="n">
        <v>39628.05</v>
      </c>
      <c r="L1714" s="34" t="n"/>
    </row>
    <row r="1715">
      <c r="A1715" t="inlineStr">
        <is>
          <t>ENC120258</t>
        </is>
      </c>
      <c r="B1715" t="inlineStr">
        <is>
          <t>PT12735</t>
        </is>
      </c>
      <c r="C1715" t="inlineStr">
        <is>
          <t>Emergency</t>
        </is>
      </c>
      <c r="D1715" t="inlineStr">
        <is>
          <t>F03</t>
        </is>
      </c>
      <c r="E1715" t="inlineStr">
        <is>
          <t>D300</t>
        </is>
      </c>
      <c r="G1715" s="32" t="n">
        <v>45977.00694444445</v>
      </c>
      <c r="H1715" s="32" t="n">
        <v>45977.14652777778</v>
      </c>
      <c r="I1715" t="inlineStr">
        <is>
          <t>R07.9</t>
        </is>
      </c>
      <c r="J1715" t="inlineStr">
        <is>
          <t>PY03</t>
        </is>
      </c>
      <c r="K1715" s="33" t="n">
        <v>2556.57</v>
      </c>
      <c r="L1715" s="34" t="n"/>
    </row>
    <row r="1716">
      <c r="A1716" t="inlineStr">
        <is>
          <t>ENC120264</t>
        </is>
      </c>
      <c r="B1716" t="inlineStr">
        <is>
          <t>PT10944</t>
        </is>
      </c>
      <c r="C1716" t="inlineStr">
        <is>
          <t>Emergency</t>
        </is>
      </c>
      <c r="D1716" t="inlineStr">
        <is>
          <t>F02</t>
        </is>
      </c>
      <c r="E1716" t="inlineStr">
        <is>
          <t>D200</t>
        </is>
      </c>
      <c r="G1716" s="32" t="n">
        <v>45977.4375</v>
      </c>
      <c r="H1716" s="32" t="n">
        <v>45977.59305555555</v>
      </c>
      <c r="I1716" t="inlineStr">
        <is>
          <t>J06.9</t>
        </is>
      </c>
      <c r="J1716" t="inlineStr">
        <is>
          <t>PY03</t>
        </is>
      </c>
      <c r="K1716" s="33" t="n">
        <v>1704.12</v>
      </c>
      <c r="L1716" s="34" t="n"/>
    </row>
    <row r="1717">
      <c r="A1717" t="inlineStr">
        <is>
          <t>ENC120267</t>
        </is>
      </c>
      <c r="B1717" t="inlineStr">
        <is>
          <t>PT10725</t>
        </is>
      </c>
      <c r="C1717" t="inlineStr">
        <is>
          <t>Observation</t>
        </is>
      </c>
      <c r="D1717" t="inlineStr">
        <is>
          <t>F01</t>
        </is>
      </c>
      <c r="E1717" t="inlineStr">
        <is>
          <t>D195</t>
        </is>
      </c>
      <c r="F1717" t="inlineStr">
        <is>
          <t>Emergency Department</t>
        </is>
      </c>
      <c r="G1717" s="32" t="n">
        <v>45977.68541666667</v>
      </c>
      <c r="H1717" s="32" t="n">
        <v>45978.83819444444</v>
      </c>
      <c r="I1717" t="inlineStr">
        <is>
          <t>E86.0</t>
        </is>
      </c>
      <c r="J1717" t="inlineStr">
        <is>
          <t>PY03</t>
        </is>
      </c>
      <c r="K1717" s="33" t="n">
        <v>7342.5</v>
      </c>
      <c r="L1717" s="34" t="n"/>
    </row>
    <row r="1718">
      <c r="A1718" t="inlineStr">
        <is>
          <t>ENC120271</t>
        </is>
      </c>
      <c r="B1718" t="inlineStr">
        <is>
          <t>PT11870</t>
        </is>
      </c>
      <c r="C1718" t="inlineStr">
        <is>
          <t>Observation</t>
        </is>
      </c>
      <c r="D1718" t="inlineStr">
        <is>
          <t>F01</t>
        </is>
      </c>
      <c r="E1718" t="inlineStr">
        <is>
          <t>D195</t>
        </is>
      </c>
      <c r="F1718" t="inlineStr">
        <is>
          <t>Emergency Department</t>
        </is>
      </c>
      <c r="G1718" s="32" t="n">
        <v>45977.85694444444</v>
      </c>
      <c r="H1718" s="32" t="n">
        <v>45978.79513888889</v>
      </c>
      <c r="I1718" t="inlineStr">
        <is>
          <t>G40.909</t>
        </is>
      </c>
      <c r="J1718" t="inlineStr">
        <is>
          <t>PY05</t>
        </is>
      </c>
      <c r="K1718" s="33" t="n">
        <v>6436.66</v>
      </c>
      <c r="L1718" s="34" t="n"/>
    </row>
    <row r="1719">
      <c r="A1719" t="inlineStr">
        <is>
          <t>ENC120281</t>
        </is>
      </c>
      <c r="B1719" t="inlineStr">
        <is>
          <t>PT12484</t>
        </is>
      </c>
      <c r="C1719" t="inlineStr">
        <is>
          <t>Emergency</t>
        </is>
      </c>
      <c r="D1719" t="inlineStr">
        <is>
          <t>F01</t>
        </is>
      </c>
      <c r="E1719" t="inlineStr">
        <is>
          <t>D100</t>
        </is>
      </c>
      <c r="G1719" s="32" t="n">
        <v>45978.09722222222</v>
      </c>
      <c r="H1719" s="32" t="n">
        <v>45978.21944444445</v>
      </c>
      <c r="I1719" t="inlineStr">
        <is>
          <t>R07.9</t>
        </is>
      </c>
      <c r="J1719" t="inlineStr">
        <is>
          <t>PY01</t>
        </is>
      </c>
      <c r="K1719" s="33" t="n">
        <v>2487.4</v>
      </c>
      <c r="L1719" s="34" t="n"/>
    </row>
    <row r="1720">
      <c r="A1720" t="inlineStr">
        <is>
          <t>ENC120286</t>
        </is>
      </c>
      <c r="B1720" t="inlineStr">
        <is>
          <t>PT12429</t>
        </is>
      </c>
      <c r="C1720" t="inlineStr">
        <is>
          <t>Emergency</t>
        </is>
      </c>
      <c r="D1720" t="inlineStr">
        <is>
          <t>F01</t>
        </is>
      </c>
      <c r="E1720" t="inlineStr">
        <is>
          <t>D100</t>
        </is>
      </c>
      <c r="G1720" s="32" t="n">
        <v>45978.28333333333</v>
      </c>
      <c r="H1720" s="32" t="n">
        <v>45978.37152777778</v>
      </c>
      <c r="I1720" t="inlineStr">
        <is>
          <t>S93.401A</t>
        </is>
      </c>
      <c r="J1720" t="inlineStr">
        <is>
          <t>PY01</t>
        </is>
      </c>
      <c r="K1720" s="33" t="n">
        <v>1614.28</v>
      </c>
      <c r="L1720" s="34" t="n"/>
    </row>
    <row r="1721">
      <c r="A1721" t="inlineStr">
        <is>
          <t>ENC120292</t>
        </is>
      </c>
      <c r="B1721" t="inlineStr">
        <is>
          <t>PT12327</t>
        </is>
      </c>
      <c r="C1721" t="inlineStr">
        <is>
          <t>Outpatient</t>
        </is>
      </c>
      <c r="D1721" t="inlineStr">
        <is>
          <t>F04</t>
        </is>
      </c>
      <c r="E1721" t="inlineStr">
        <is>
          <t>D440</t>
        </is>
      </c>
      <c r="G1721" s="32" t="n">
        <v>45978.38541666666</v>
      </c>
      <c r="H1721" s="32" t="n">
        <v>45978.41319444445</v>
      </c>
      <c r="I1721" t="inlineStr">
        <is>
          <t>E11.65</t>
        </is>
      </c>
      <c r="J1721" t="inlineStr">
        <is>
          <t>PY01</t>
        </is>
      </c>
      <c r="K1721" s="33" t="n">
        <v>318.95</v>
      </c>
      <c r="L1721" s="34" t="n"/>
    </row>
    <row r="1722">
      <c r="A1722" t="inlineStr">
        <is>
          <t>ENC120298</t>
        </is>
      </c>
      <c r="B1722" t="inlineStr">
        <is>
          <t>PT13680</t>
        </is>
      </c>
      <c r="C1722" t="inlineStr">
        <is>
          <t>Outpatient</t>
        </is>
      </c>
      <c r="D1722" t="inlineStr">
        <is>
          <t>F04</t>
        </is>
      </c>
      <c r="E1722" t="inlineStr">
        <is>
          <t>D400</t>
        </is>
      </c>
      <c r="G1722" s="32" t="n">
        <v>45978.42708333334</v>
      </c>
      <c r="H1722" s="32" t="n">
        <v>45978.46458333333</v>
      </c>
      <c r="I1722" t="inlineStr">
        <is>
          <t>Z23</t>
        </is>
      </c>
      <c r="J1722" t="inlineStr">
        <is>
          <t>PY05</t>
        </is>
      </c>
      <c r="K1722" s="33" t="n">
        <v>119.28</v>
      </c>
      <c r="L1722" s="34" t="n"/>
    </row>
    <row r="1723">
      <c r="A1723" t="inlineStr">
        <is>
          <t>ENC120305</t>
        </is>
      </c>
      <c r="B1723" t="inlineStr">
        <is>
          <t>PT13313</t>
        </is>
      </c>
      <c r="C1723" t="inlineStr">
        <is>
          <t>Outpatient</t>
        </is>
      </c>
      <c r="D1723" t="inlineStr">
        <is>
          <t>F04</t>
        </is>
      </c>
      <c r="E1723" t="inlineStr">
        <is>
          <t>D450</t>
        </is>
      </c>
      <c r="G1723" s="32" t="n">
        <v>45978.5</v>
      </c>
      <c r="H1723" s="32" t="n">
        <v>45978.52013888889</v>
      </c>
      <c r="I1723" t="inlineStr">
        <is>
          <t>Z23</t>
        </is>
      </c>
      <c r="J1723" t="inlineStr">
        <is>
          <t>PY04</t>
        </is>
      </c>
      <c r="K1723" s="33" t="n">
        <v>124.68</v>
      </c>
      <c r="L1723" s="34" t="n"/>
    </row>
    <row r="1724">
      <c r="A1724" t="inlineStr">
        <is>
          <t>ENC120310</t>
        </is>
      </c>
      <c r="B1724" t="inlineStr">
        <is>
          <t>PT10757</t>
        </is>
      </c>
      <c r="C1724" t="inlineStr">
        <is>
          <t>Emergency</t>
        </is>
      </c>
      <c r="D1724" t="inlineStr">
        <is>
          <t>F02</t>
        </is>
      </c>
      <c r="E1724" t="inlineStr">
        <is>
          <t>D200</t>
        </is>
      </c>
      <c r="G1724" s="32" t="n">
        <v>45978.58194444444</v>
      </c>
      <c r="H1724" s="32" t="n">
        <v>45978.72291666667</v>
      </c>
      <c r="I1724" t="inlineStr">
        <is>
          <t>R55</t>
        </is>
      </c>
      <c r="J1724" t="inlineStr">
        <is>
          <t>PY04</t>
        </is>
      </c>
      <c r="K1724" s="33" t="n">
        <v>3023.41</v>
      </c>
      <c r="L1724" s="34" t="n"/>
    </row>
    <row r="1725">
      <c r="A1725" t="inlineStr">
        <is>
          <t>ENC120309</t>
        </is>
      </c>
      <c r="B1725" t="inlineStr">
        <is>
          <t>PT13734</t>
        </is>
      </c>
      <c r="C1725" t="inlineStr">
        <is>
          <t>Inpatient</t>
        </is>
      </c>
      <c r="D1725" t="inlineStr">
        <is>
          <t>F01</t>
        </is>
      </c>
      <c r="E1725" t="inlineStr">
        <is>
          <t>D110</t>
        </is>
      </c>
      <c r="F1725" t="inlineStr">
        <is>
          <t>Emergency Department</t>
        </is>
      </c>
      <c r="G1725" s="32" t="n">
        <v>45978.80486111111</v>
      </c>
      <c r="H1725" s="32" t="n">
        <v>45985.63888888889</v>
      </c>
      <c r="I1725" t="inlineStr">
        <is>
          <t>J18.9</t>
        </is>
      </c>
      <c r="J1725" t="inlineStr">
        <is>
          <t>PY01</t>
        </is>
      </c>
      <c r="K1725" s="33" t="n">
        <v>22061.04</v>
      </c>
      <c r="L1725" s="34" t="n"/>
    </row>
    <row r="1726">
      <c r="A1726" t="inlineStr">
        <is>
          <t>ENC120319</t>
        </is>
      </c>
      <c r="B1726" t="inlineStr">
        <is>
          <t>PT12174</t>
        </is>
      </c>
      <c r="C1726" t="inlineStr">
        <is>
          <t>Emergency</t>
        </is>
      </c>
      <c r="D1726" t="inlineStr">
        <is>
          <t>F01</t>
        </is>
      </c>
      <c r="E1726" t="inlineStr">
        <is>
          <t>D100</t>
        </is>
      </c>
      <c r="G1726" s="32" t="n">
        <v>45978.93541666667</v>
      </c>
      <c r="H1726" s="32" t="n">
        <v>45979.03541666667</v>
      </c>
      <c r="I1726" t="inlineStr">
        <is>
          <t>J06.9</t>
        </is>
      </c>
      <c r="J1726" t="inlineStr">
        <is>
          <t>PY03</t>
        </is>
      </c>
      <c r="K1726" s="33" t="n">
        <v>1689.9</v>
      </c>
      <c r="L1726" s="34" t="n"/>
    </row>
    <row r="1727">
      <c r="A1727" t="inlineStr">
        <is>
          <t>ENC120326</t>
        </is>
      </c>
      <c r="B1727" t="inlineStr">
        <is>
          <t>PT13741</t>
        </is>
      </c>
      <c r="C1727" t="inlineStr">
        <is>
          <t>Outpatient</t>
        </is>
      </c>
      <c r="D1727" t="inlineStr">
        <is>
          <t>F04</t>
        </is>
      </c>
      <c r="E1727" t="inlineStr">
        <is>
          <t>D400</t>
        </is>
      </c>
      <c r="G1727" s="32" t="n">
        <v>45979.35416666666</v>
      </c>
      <c r="H1727" s="32" t="n">
        <v>45979.36944444444</v>
      </c>
      <c r="I1727" t="inlineStr">
        <is>
          <t>Z00.00</t>
        </is>
      </c>
      <c r="J1727" t="inlineStr">
        <is>
          <t>PY02</t>
        </is>
      </c>
      <c r="K1727" s="33" t="n">
        <v>399.94</v>
      </c>
      <c r="L1727" s="34" t="n"/>
    </row>
    <row r="1728">
      <c r="A1728" t="inlineStr">
        <is>
          <t>ENC120332</t>
        </is>
      </c>
      <c r="B1728" t="inlineStr">
        <is>
          <t>PT11287</t>
        </is>
      </c>
      <c r="C1728" t="inlineStr">
        <is>
          <t>Outpatient</t>
        </is>
      </c>
      <c r="D1728" t="inlineStr">
        <is>
          <t>F04</t>
        </is>
      </c>
      <c r="E1728" t="inlineStr">
        <is>
          <t>D400</t>
        </is>
      </c>
      <c r="G1728" s="32" t="n">
        <v>45979.41666666666</v>
      </c>
      <c r="H1728" s="32" t="n">
        <v>45979.44930555556</v>
      </c>
      <c r="I1728" t="inlineStr">
        <is>
          <t>M54.50</t>
        </is>
      </c>
      <c r="J1728" t="inlineStr">
        <is>
          <t>PY06</t>
        </is>
      </c>
      <c r="K1728" s="33" t="n">
        <v>356.94</v>
      </c>
      <c r="L1728" s="34" t="n"/>
    </row>
    <row r="1729">
      <c r="A1729" t="inlineStr">
        <is>
          <t>ENC120336</t>
        </is>
      </c>
      <c r="B1729" t="inlineStr">
        <is>
          <t>PT11163</t>
        </is>
      </c>
      <c r="C1729" t="inlineStr">
        <is>
          <t>Outpatient</t>
        </is>
      </c>
      <c r="D1729" t="inlineStr">
        <is>
          <t>F04</t>
        </is>
      </c>
      <c r="E1729" t="inlineStr">
        <is>
          <t>D400</t>
        </is>
      </c>
      <c r="G1729" s="32" t="n">
        <v>45979.47916666666</v>
      </c>
      <c r="H1729" s="32" t="n">
        <v>45979.49652777778</v>
      </c>
      <c r="I1729" t="inlineStr">
        <is>
          <t>Z23</t>
        </is>
      </c>
      <c r="J1729" t="inlineStr">
        <is>
          <t>PY01</t>
        </is>
      </c>
      <c r="K1729" s="33" t="n">
        <v>96.92</v>
      </c>
      <c r="L1729" s="34" t="n"/>
    </row>
    <row r="1730">
      <c r="A1730" t="inlineStr">
        <is>
          <t>ENC120343</t>
        </is>
      </c>
      <c r="B1730" t="inlineStr">
        <is>
          <t>PT10410</t>
        </is>
      </c>
      <c r="C1730" t="inlineStr">
        <is>
          <t>Outpatient</t>
        </is>
      </c>
      <c r="D1730" t="inlineStr">
        <is>
          <t>F04</t>
        </is>
      </c>
      <c r="E1730" t="inlineStr">
        <is>
          <t>D400</t>
        </is>
      </c>
      <c r="G1730" s="32" t="n">
        <v>45979.58333333334</v>
      </c>
      <c r="H1730" s="32" t="n">
        <v>45979.60138888889</v>
      </c>
      <c r="I1730" t="inlineStr">
        <is>
          <t>I10</t>
        </is>
      </c>
      <c r="J1730" t="inlineStr">
        <is>
          <t>PY01</t>
        </is>
      </c>
      <c r="K1730" s="33" t="n">
        <v>805.36</v>
      </c>
      <c r="L1730" s="34" t="n"/>
    </row>
    <row r="1731">
      <c r="A1731" t="inlineStr">
        <is>
          <t>ENC120347</t>
        </is>
      </c>
      <c r="B1731" t="inlineStr">
        <is>
          <t>PT12751</t>
        </is>
      </c>
      <c r="C1731" t="inlineStr">
        <is>
          <t>Emergency</t>
        </is>
      </c>
      <c r="D1731" t="inlineStr">
        <is>
          <t>F01</t>
        </is>
      </c>
      <c r="E1731" t="inlineStr">
        <is>
          <t>D100</t>
        </is>
      </c>
      <c r="G1731" s="32" t="n">
        <v>45979.62638888889</v>
      </c>
      <c r="H1731" s="32" t="n">
        <v>45979.75902777778</v>
      </c>
      <c r="I1731" t="inlineStr">
        <is>
          <t>M54.50</t>
        </is>
      </c>
      <c r="J1731" t="inlineStr">
        <is>
          <t>PY01</t>
        </is>
      </c>
      <c r="K1731" s="33" t="n">
        <v>3719.62</v>
      </c>
      <c r="L1731" s="34" t="n"/>
    </row>
    <row r="1732">
      <c r="A1732" t="inlineStr">
        <is>
          <t>ENC120354</t>
        </is>
      </c>
      <c r="B1732" t="inlineStr">
        <is>
          <t>PT12993</t>
        </is>
      </c>
      <c r="C1732" t="inlineStr">
        <is>
          <t>Outpatient</t>
        </is>
      </c>
      <c r="D1732" t="inlineStr">
        <is>
          <t>F04</t>
        </is>
      </c>
      <c r="E1732" t="inlineStr">
        <is>
          <t>D440</t>
        </is>
      </c>
      <c r="G1732" s="32" t="n">
        <v>45979.66666666666</v>
      </c>
      <c r="H1732" s="32" t="n">
        <v>45979.69097222222</v>
      </c>
      <c r="I1732" t="inlineStr">
        <is>
          <t>E11.9</t>
        </is>
      </c>
      <c r="J1732" t="inlineStr">
        <is>
          <t>PY04</t>
        </is>
      </c>
      <c r="K1732" s="33" t="n">
        <v>305.72</v>
      </c>
      <c r="L1732" s="34" t="n"/>
    </row>
    <row r="1733">
      <c r="A1733" t="inlineStr">
        <is>
          <t>ENC120362</t>
        </is>
      </c>
      <c r="B1733" t="inlineStr">
        <is>
          <t>PT12553</t>
        </is>
      </c>
      <c r="C1733" t="inlineStr">
        <is>
          <t>Emergency</t>
        </is>
      </c>
      <c r="D1733" t="inlineStr">
        <is>
          <t>F01</t>
        </is>
      </c>
      <c r="E1733" t="inlineStr">
        <is>
          <t>D100</t>
        </is>
      </c>
      <c r="G1733" s="32" t="n">
        <v>45979.75694444445</v>
      </c>
      <c r="H1733" s="32" t="n">
        <v>45979.92291666667</v>
      </c>
      <c r="I1733" t="inlineStr">
        <is>
          <t>J44.1</t>
        </is>
      </c>
      <c r="J1733" t="inlineStr">
        <is>
          <t>PY05</t>
        </is>
      </c>
      <c r="K1733" s="33" t="n">
        <v>756.5700000000001</v>
      </c>
      <c r="L1733" s="34" t="n"/>
    </row>
    <row r="1734">
      <c r="A1734" t="inlineStr">
        <is>
          <t>ENC120363</t>
        </is>
      </c>
      <c r="B1734" t="inlineStr">
        <is>
          <t>PT11642</t>
        </is>
      </c>
      <c r="C1734" t="inlineStr">
        <is>
          <t>Inpatient</t>
        </is>
      </c>
      <c r="D1734" t="inlineStr">
        <is>
          <t>F01</t>
        </is>
      </c>
      <c r="E1734" t="inlineStr">
        <is>
          <t>D111</t>
        </is>
      </c>
      <c r="F1734" t="inlineStr">
        <is>
          <t>Emergency Department</t>
        </is>
      </c>
      <c r="G1734" s="32" t="n">
        <v>45979.92083333333</v>
      </c>
      <c r="H1734" s="32" t="n">
        <v>45987.69513888889</v>
      </c>
      <c r="I1734" t="inlineStr">
        <is>
          <t>J96.01</t>
        </is>
      </c>
      <c r="J1734" t="inlineStr">
        <is>
          <t>PY02</t>
        </is>
      </c>
      <c r="K1734" s="33" t="n">
        <v>93121.73</v>
      </c>
      <c r="L1734" s="34" t="n"/>
    </row>
    <row r="1735">
      <c r="A1735" t="inlineStr">
        <is>
          <t>ENC120373</t>
        </is>
      </c>
      <c r="B1735" t="inlineStr">
        <is>
          <t>PT12741</t>
        </is>
      </c>
      <c r="C1735" t="inlineStr">
        <is>
          <t>Outpatient</t>
        </is>
      </c>
      <c r="D1735" t="inlineStr">
        <is>
          <t>F04</t>
        </is>
      </c>
      <c r="E1735" t="inlineStr">
        <is>
          <t>D430</t>
        </is>
      </c>
      <c r="G1735" s="32" t="n">
        <v>45980.375</v>
      </c>
      <c r="H1735" s="32" t="n">
        <v>45980.59652777778</v>
      </c>
      <c r="I1735" t="inlineStr">
        <is>
          <t>Z51.11</t>
        </is>
      </c>
      <c r="J1735" t="inlineStr">
        <is>
          <t>PY05</t>
        </is>
      </c>
      <c r="K1735" s="33" t="n">
        <v>9106.6</v>
      </c>
      <c r="L1735" s="34" t="n"/>
    </row>
    <row r="1736">
      <c r="A1736" t="inlineStr">
        <is>
          <t>ENC120377</t>
        </is>
      </c>
      <c r="B1736" t="inlineStr">
        <is>
          <t>PT12035</t>
        </is>
      </c>
      <c r="C1736" t="inlineStr">
        <is>
          <t>Outpatient</t>
        </is>
      </c>
      <c r="D1736" t="inlineStr">
        <is>
          <t>F04</t>
        </is>
      </c>
      <c r="E1736" t="inlineStr">
        <is>
          <t>D400</t>
        </is>
      </c>
      <c r="G1736" s="32" t="n">
        <v>45980.45833333334</v>
      </c>
      <c r="H1736" s="32" t="n">
        <v>45980.49305555555</v>
      </c>
      <c r="I1736" t="inlineStr">
        <is>
          <t>Z23</t>
        </is>
      </c>
      <c r="J1736" t="inlineStr">
        <is>
          <t>PY02</t>
        </is>
      </c>
      <c r="K1736" s="33" t="n">
        <v>139.91</v>
      </c>
      <c r="L1736" s="34" t="n"/>
    </row>
    <row r="1737">
      <c r="A1737" t="inlineStr">
        <is>
          <t>ENC120382</t>
        </is>
      </c>
      <c r="B1737" t="inlineStr">
        <is>
          <t>PT12361</t>
        </is>
      </c>
      <c r="C1737" t="inlineStr">
        <is>
          <t>Outpatient</t>
        </is>
      </c>
      <c r="D1737" t="inlineStr">
        <is>
          <t>F04</t>
        </is>
      </c>
      <c r="E1737" t="inlineStr">
        <is>
          <t>D400</t>
        </is>
      </c>
      <c r="G1737" s="32" t="n">
        <v>45980.54166666666</v>
      </c>
      <c r="H1737" s="32" t="n">
        <v>45980.55347222222</v>
      </c>
      <c r="I1737" t="inlineStr">
        <is>
          <t>Z23</t>
        </is>
      </c>
      <c r="J1737" t="inlineStr">
        <is>
          <t>PY04</t>
        </is>
      </c>
      <c r="K1737" s="33" t="n">
        <v>134.34</v>
      </c>
      <c r="L1737" s="34" t="n"/>
    </row>
    <row r="1738">
      <c r="A1738" t="inlineStr">
        <is>
          <t>ENC120389</t>
        </is>
      </c>
      <c r="B1738" t="inlineStr">
        <is>
          <t>PT13273</t>
        </is>
      </c>
      <c r="C1738" t="inlineStr">
        <is>
          <t>Emergency</t>
        </is>
      </c>
      <c r="D1738" t="inlineStr">
        <is>
          <t>F01</t>
        </is>
      </c>
      <c r="E1738" t="inlineStr">
        <is>
          <t>D100</t>
        </is>
      </c>
      <c r="G1738" s="32" t="n">
        <v>45980.59375</v>
      </c>
      <c r="H1738" s="32" t="n">
        <v>45980.78263888889</v>
      </c>
      <c r="I1738" t="inlineStr">
        <is>
          <t>F32.9</t>
        </is>
      </c>
      <c r="J1738" t="inlineStr">
        <is>
          <t>PY01</t>
        </is>
      </c>
      <c r="K1738" s="33" t="n">
        <v>2447.64</v>
      </c>
      <c r="L1738" s="34" t="n"/>
    </row>
    <row r="1739">
      <c r="A1739" t="inlineStr">
        <is>
          <t>ENC120386</t>
        </is>
      </c>
      <c r="B1739" t="inlineStr">
        <is>
          <t>PT11408</t>
        </is>
      </c>
      <c r="C1739" t="inlineStr">
        <is>
          <t>Inpatient</t>
        </is>
      </c>
      <c r="D1739" t="inlineStr">
        <is>
          <t>F01</t>
        </is>
      </c>
      <c r="E1739" t="inlineStr">
        <is>
          <t>D180</t>
        </is>
      </c>
      <c r="F1739" t="inlineStr">
        <is>
          <t>Emergency Department</t>
        </is>
      </c>
      <c r="G1739" s="32" t="n">
        <v>45980.67152777778</v>
      </c>
      <c r="H1739" s="32" t="n">
        <v>45982.60902777778</v>
      </c>
      <c r="I1739" t="inlineStr">
        <is>
          <t>J21.9</t>
        </is>
      </c>
      <c r="J1739" t="inlineStr">
        <is>
          <t>PY03</t>
        </is>
      </c>
      <c r="K1739" s="33" t="n">
        <v>9073.719999999999</v>
      </c>
      <c r="L1739" s="34" t="n"/>
    </row>
    <row r="1740">
      <c r="A1740" t="inlineStr">
        <is>
          <t>ENC120399</t>
        </is>
      </c>
      <c r="B1740" t="inlineStr">
        <is>
          <t>PT11186</t>
        </is>
      </c>
      <c r="C1740" t="inlineStr">
        <is>
          <t>Inpatient</t>
        </is>
      </c>
      <c r="D1740" t="inlineStr">
        <is>
          <t>F01</t>
        </is>
      </c>
      <c r="E1740" t="inlineStr">
        <is>
          <t>D111</t>
        </is>
      </c>
      <c r="F1740" t="inlineStr">
        <is>
          <t>Direct Admit</t>
        </is>
      </c>
      <c r="G1740" s="32" t="n">
        <v>45980.87847222222</v>
      </c>
      <c r="H1740" s="32" t="n">
        <v>45989.72847222222</v>
      </c>
      <c r="I1740" t="inlineStr">
        <is>
          <t>L03.115</t>
        </is>
      </c>
      <c r="J1740" t="inlineStr">
        <is>
          <t>PY02</t>
        </is>
      </c>
      <c r="K1740" s="33" t="n">
        <v>33382.82</v>
      </c>
      <c r="L1740" s="34" t="n"/>
    </row>
    <row r="1741">
      <c r="A1741" t="inlineStr">
        <is>
          <t>ENC120404</t>
        </is>
      </c>
      <c r="B1741" t="inlineStr">
        <is>
          <t>PT13629</t>
        </is>
      </c>
      <c r="C1741" t="inlineStr">
        <is>
          <t>Emergency</t>
        </is>
      </c>
      <c r="D1741" t="inlineStr">
        <is>
          <t>F01</t>
        </is>
      </c>
      <c r="E1741" t="inlineStr">
        <is>
          <t>D100</t>
        </is>
      </c>
      <c r="G1741" s="32" t="n">
        <v>45981.13680555556</v>
      </c>
      <c r="H1741" s="32" t="n">
        <v>45981.25833333333</v>
      </c>
      <c r="I1741" t="inlineStr">
        <is>
          <t>J44.1</t>
        </is>
      </c>
      <c r="J1741" t="inlineStr">
        <is>
          <t>PY05</t>
        </is>
      </c>
      <c r="K1741" s="33" t="n">
        <v>3872.24</v>
      </c>
      <c r="L1741" s="34" t="n"/>
    </row>
    <row r="1742">
      <c r="A1742" t="inlineStr">
        <is>
          <t>ENC120410</t>
        </is>
      </c>
      <c r="B1742" t="inlineStr">
        <is>
          <t>PT12313</t>
        </is>
      </c>
      <c r="C1742" t="inlineStr">
        <is>
          <t>Outpatient</t>
        </is>
      </c>
      <c r="D1742" t="inlineStr">
        <is>
          <t>F04</t>
        </is>
      </c>
      <c r="E1742" t="inlineStr">
        <is>
          <t>D400</t>
        </is>
      </c>
      <c r="G1742" s="32" t="n">
        <v>45981.375</v>
      </c>
      <c r="H1742" s="32" t="n">
        <v>45981.38611111111</v>
      </c>
      <c r="I1742" t="inlineStr">
        <is>
          <t>J06.9</t>
        </is>
      </c>
      <c r="J1742" t="inlineStr">
        <is>
          <t>PY01</t>
        </is>
      </c>
      <c r="K1742" s="33" t="n">
        <v>515.62</v>
      </c>
      <c r="L1742" s="34" t="n"/>
    </row>
    <row r="1743">
      <c r="A1743" t="inlineStr">
        <is>
          <t>ENC120415</t>
        </is>
      </c>
      <c r="B1743" t="inlineStr">
        <is>
          <t>PT11082</t>
        </is>
      </c>
      <c r="C1743" t="inlineStr">
        <is>
          <t>Outpatient</t>
        </is>
      </c>
      <c r="D1743" t="inlineStr">
        <is>
          <t>F04</t>
        </is>
      </c>
      <c r="E1743" t="inlineStr">
        <is>
          <t>D400</t>
        </is>
      </c>
      <c r="G1743" s="32" t="n">
        <v>45981.41666666666</v>
      </c>
      <c r="H1743" s="32" t="n">
        <v>45981.43263888889</v>
      </c>
      <c r="I1743" t="inlineStr">
        <is>
          <t>Z23</t>
        </is>
      </c>
      <c r="J1743" t="inlineStr">
        <is>
          <t>PY01</t>
        </is>
      </c>
      <c r="K1743" s="33" t="n">
        <v>125.57</v>
      </c>
      <c r="L1743" s="34" t="n"/>
    </row>
    <row r="1744">
      <c r="A1744" t="inlineStr">
        <is>
          <t>ENC120407</t>
        </is>
      </c>
      <c r="B1744" t="inlineStr">
        <is>
          <t>PT10252</t>
        </is>
      </c>
      <c r="C1744" t="inlineStr">
        <is>
          <t>Inpatient</t>
        </is>
      </c>
      <c r="D1744" t="inlineStr">
        <is>
          <t>F02</t>
        </is>
      </c>
      <c r="E1744" t="inlineStr">
        <is>
          <t>D210</t>
        </is>
      </c>
      <c r="F1744" t="inlineStr">
        <is>
          <t>Emergency Department</t>
        </is>
      </c>
      <c r="G1744" s="32" t="n">
        <v>45981.475</v>
      </c>
      <c r="H1744" s="32" t="n">
        <v>45985.67986111111</v>
      </c>
      <c r="I1744" t="inlineStr">
        <is>
          <t>J18.9</t>
        </is>
      </c>
      <c r="J1744" t="inlineStr">
        <is>
          <t>PY05</t>
        </is>
      </c>
      <c r="K1744" s="33" t="n">
        <v>17451.75</v>
      </c>
      <c r="L1744" s="34" t="n"/>
    </row>
    <row r="1745">
      <c r="A1745" t="inlineStr">
        <is>
          <t>ENC120427</t>
        </is>
      </c>
      <c r="B1745" t="inlineStr">
        <is>
          <t>PT13261</t>
        </is>
      </c>
      <c r="C1745" t="inlineStr">
        <is>
          <t>Outpatient</t>
        </is>
      </c>
      <c r="D1745" t="inlineStr">
        <is>
          <t>F04</t>
        </is>
      </c>
      <c r="E1745" t="inlineStr">
        <is>
          <t>D430</t>
        </is>
      </c>
      <c r="G1745" s="32" t="n">
        <v>45981.53125</v>
      </c>
      <c r="H1745" s="32" t="n">
        <v>45981.55347222222</v>
      </c>
      <c r="I1745" t="inlineStr">
        <is>
          <t>C50.911</t>
        </is>
      </c>
      <c r="J1745" t="inlineStr">
        <is>
          <t>PY02</t>
        </is>
      </c>
      <c r="K1745" s="33" t="n">
        <v>726.1900000000001</v>
      </c>
      <c r="L1745" s="34" t="n"/>
    </row>
    <row r="1746">
      <c r="A1746" t="inlineStr">
        <is>
          <t>ENC120433</t>
        </is>
      </c>
      <c r="B1746" t="inlineStr">
        <is>
          <t>PT10601</t>
        </is>
      </c>
      <c r="C1746" t="inlineStr">
        <is>
          <t>Outpatient</t>
        </is>
      </c>
      <c r="D1746" t="inlineStr">
        <is>
          <t>F04</t>
        </is>
      </c>
      <c r="E1746" t="inlineStr">
        <is>
          <t>D440</t>
        </is>
      </c>
      <c r="G1746" s="32" t="n">
        <v>45981.64583333334</v>
      </c>
      <c r="H1746" s="32" t="n">
        <v>45981.68125</v>
      </c>
      <c r="I1746" t="inlineStr">
        <is>
          <t>E11.9</t>
        </is>
      </c>
      <c r="J1746" t="inlineStr">
        <is>
          <t>PY05</t>
        </is>
      </c>
      <c r="K1746" s="33" t="n">
        <v>404.84</v>
      </c>
      <c r="L1746" s="34" t="n"/>
    </row>
    <row r="1747">
      <c r="A1747" t="inlineStr">
        <is>
          <t>ENC120438</t>
        </is>
      </c>
      <c r="B1747" t="inlineStr">
        <is>
          <t>PT10153</t>
        </is>
      </c>
      <c r="C1747" t="inlineStr">
        <is>
          <t>Inpatient</t>
        </is>
      </c>
      <c r="D1747" t="inlineStr">
        <is>
          <t>F01</t>
        </is>
      </c>
      <c r="E1747" t="inlineStr">
        <is>
          <t>D110</t>
        </is>
      </c>
      <c r="F1747" t="inlineStr">
        <is>
          <t>Direct Admit</t>
        </is>
      </c>
      <c r="G1747" s="32" t="n">
        <v>45981.68472222222</v>
      </c>
      <c r="H1747" s="32" t="n">
        <v>45983.59027777778</v>
      </c>
      <c r="I1747" t="inlineStr">
        <is>
          <t>E11.65</t>
        </is>
      </c>
      <c r="J1747" t="inlineStr">
        <is>
          <t>PY06</t>
        </is>
      </c>
      <c r="K1747" s="33" t="n">
        <v>9099.51</v>
      </c>
      <c r="L1747" s="34" t="n"/>
    </row>
    <row r="1748">
      <c r="A1748" t="inlineStr">
        <is>
          <t>ENC120442</t>
        </is>
      </c>
      <c r="B1748" t="inlineStr">
        <is>
          <t>PT11834</t>
        </is>
      </c>
      <c r="C1748" t="inlineStr">
        <is>
          <t>Inpatient</t>
        </is>
      </c>
      <c r="D1748" t="inlineStr">
        <is>
          <t>F01</t>
        </is>
      </c>
      <c r="E1748" t="inlineStr">
        <is>
          <t>D130</t>
        </is>
      </c>
      <c r="F1748" t="inlineStr">
        <is>
          <t>Emergency Department</t>
        </is>
      </c>
      <c r="G1748" s="32" t="n">
        <v>45982.03055555555</v>
      </c>
      <c r="H1748" s="32" t="n">
        <v>45985.71319444444</v>
      </c>
      <c r="I1748" t="inlineStr">
        <is>
          <t>A41.9</t>
        </is>
      </c>
      <c r="J1748" t="inlineStr">
        <is>
          <t>PY02</t>
        </is>
      </c>
      <c r="K1748" s="33" t="n">
        <v>21383.36</v>
      </c>
      <c r="L1748" s="34" t="n"/>
    </row>
    <row r="1749">
      <c r="A1749" t="inlineStr">
        <is>
          <t>ENC120448</t>
        </is>
      </c>
      <c r="B1749" t="inlineStr">
        <is>
          <t>PT13439</t>
        </is>
      </c>
      <c r="C1749" t="inlineStr">
        <is>
          <t>Outpatient</t>
        </is>
      </c>
      <c r="D1749" t="inlineStr">
        <is>
          <t>F04</t>
        </is>
      </c>
      <c r="E1749" t="inlineStr">
        <is>
          <t>D400</t>
        </is>
      </c>
      <c r="G1749" s="32" t="n">
        <v>45982.35416666666</v>
      </c>
      <c r="H1749" s="32" t="n">
        <v>45982.38680555556</v>
      </c>
      <c r="I1749" t="inlineStr">
        <is>
          <t>E78.5</t>
        </is>
      </c>
      <c r="J1749" t="inlineStr">
        <is>
          <t>PY02</t>
        </is>
      </c>
      <c r="K1749" s="33" t="n">
        <v>311.75</v>
      </c>
      <c r="L1749" s="34" t="n"/>
    </row>
    <row r="1750">
      <c r="A1750" t="inlineStr">
        <is>
          <t>ENC120453</t>
        </is>
      </c>
      <c r="B1750" t="inlineStr">
        <is>
          <t>PT12859</t>
        </is>
      </c>
      <c r="C1750" t="inlineStr">
        <is>
          <t>Inpatient</t>
        </is>
      </c>
      <c r="D1750" t="inlineStr">
        <is>
          <t>F01</t>
        </is>
      </c>
      <c r="E1750" t="inlineStr">
        <is>
          <t>D180</t>
        </is>
      </c>
      <c r="F1750" t="inlineStr">
        <is>
          <t>Direct Admit</t>
        </is>
      </c>
      <c r="G1750" s="32" t="n">
        <v>45982.40902777778</v>
      </c>
      <c r="H1750" s="32" t="n">
        <v>45986.51875</v>
      </c>
      <c r="I1750" t="inlineStr">
        <is>
          <t>J21.9</t>
        </is>
      </c>
      <c r="J1750" t="inlineStr">
        <is>
          <t>PY05</t>
        </is>
      </c>
      <c r="K1750" s="33" t="n">
        <v>20272.96</v>
      </c>
      <c r="L1750" s="34" t="n"/>
    </row>
    <row r="1751">
      <c r="A1751" t="inlineStr">
        <is>
          <t>ENC120459</t>
        </is>
      </c>
      <c r="B1751" t="inlineStr">
        <is>
          <t>PT11896</t>
        </is>
      </c>
      <c r="C1751" t="inlineStr">
        <is>
          <t>Emergency</t>
        </is>
      </c>
      <c r="D1751" t="inlineStr">
        <is>
          <t>F01</t>
        </is>
      </c>
      <c r="E1751" t="inlineStr">
        <is>
          <t>D100</t>
        </is>
      </c>
      <c r="G1751" s="32" t="n">
        <v>45982.51875</v>
      </c>
      <c r="H1751" s="32" t="n">
        <v>45982.65138888889</v>
      </c>
      <c r="I1751" t="inlineStr">
        <is>
          <t>A08.4</t>
        </is>
      </c>
      <c r="J1751" t="inlineStr">
        <is>
          <t>PY03</t>
        </is>
      </c>
      <c r="K1751" s="33" t="n">
        <v>4212.11</v>
      </c>
      <c r="L1751" s="34" t="n"/>
    </row>
    <row r="1752">
      <c r="A1752" t="inlineStr">
        <is>
          <t>ENC120466</t>
        </is>
      </c>
      <c r="B1752" t="inlineStr">
        <is>
          <t>PT13575</t>
        </is>
      </c>
      <c r="C1752" t="inlineStr">
        <is>
          <t>Outpatient</t>
        </is>
      </c>
      <c r="D1752" t="inlineStr">
        <is>
          <t>F04</t>
        </is>
      </c>
      <c r="E1752" t="inlineStr">
        <is>
          <t>D450</t>
        </is>
      </c>
      <c r="G1752" s="32" t="n">
        <v>45982.61458333334</v>
      </c>
      <c r="H1752" s="32" t="n">
        <v>45982.64791666667</v>
      </c>
      <c r="I1752" t="inlineStr">
        <is>
          <t>H66.90</t>
        </is>
      </c>
      <c r="J1752" t="inlineStr">
        <is>
          <t>PY03</t>
        </is>
      </c>
      <c r="K1752" s="33" t="n">
        <v>265.97</v>
      </c>
      <c r="L1752" s="34" t="n"/>
    </row>
    <row r="1753">
      <c r="A1753" t="inlineStr">
        <is>
          <t>ENC120464</t>
        </is>
      </c>
      <c r="B1753" t="inlineStr">
        <is>
          <t>PT13531</t>
        </is>
      </c>
      <c r="C1753" t="inlineStr">
        <is>
          <t>Inpatient</t>
        </is>
      </c>
      <c r="D1753" t="inlineStr">
        <is>
          <t>F01</t>
        </is>
      </c>
      <c r="E1753" t="inlineStr">
        <is>
          <t>D140</t>
        </is>
      </c>
      <c r="F1753" t="inlineStr">
        <is>
          <t>Emergency Department</t>
        </is>
      </c>
      <c r="G1753" s="32" t="n">
        <v>45982.75625</v>
      </c>
      <c r="H1753" s="32" t="n">
        <v>45989.66805555556</v>
      </c>
      <c r="I1753" t="inlineStr">
        <is>
          <t>S72.001A</t>
        </is>
      </c>
      <c r="J1753" t="inlineStr">
        <is>
          <t>PY03</t>
        </is>
      </c>
      <c r="K1753" s="33" t="n">
        <v>65616.82000000001</v>
      </c>
      <c r="L1753" s="34" t="n"/>
    </row>
    <row r="1754">
      <c r="A1754" t="inlineStr">
        <is>
          <t>ENC120478</t>
        </is>
      </c>
      <c r="B1754" t="inlineStr">
        <is>
          <t>PT12670</t>
        </is>
      </c>
      <c r="C1754" t="inlineStr">
        <is>
          <t>Observation</t>
        </is>
      </c>
      <c r="D1754" t="inlineStr">
        <is>
          <t>F02</t>
        </is>
      </c>
      <c r="E1754" t="inlineStr">
        <is>
          <t>D210</t>
        </is>
      </c>
      <c r="F1754" t="inlineStr">
        <is>
          <t>Emergency Department</t>
        </is>
      </c>
      <c r="G1754" s="32" t="n">
        <v>45983.06458333333</v>
      </c>
      <c r="H1754" s="32" t="n">
        <v>45983.65069444444</v>
      </c>
      <c r="I1754" t="inlineStr">
        <is>
          <t>I10</t>
        </is>
      </c>
      <c r="J1754" t="inlineStr">
        <is>
          <t>PY02</t>
        </is>
      </c>
      <c r="K1754" s="33" t="n">
        <v>6751.83</v>
      </c>
      <c r="L1754" s="34" t="n"/>
    </row>
    <row r="1755">
      <c r="A1755" t="inlineStr">
        <is>
          <t>ENC120481</t>
        </is>
      </c>
      <c r="B1755" t="inlineStr">
        <is>
          <t>PT13311</t>
        </is>
      </c>
      <c r="C1755" t="inlineStr">
        <is>
          <t>Observation</t>
        </is>
      </c>
      <c r="D1755" t="inlineStr">
        <is>
          <t>F01</t>
        </is>
      </c>
      <c r="E1755" t="inlineStr">
        <is>
          <t>D195</t>
        </is>
      </c>
      <c r="F1755" t="inlineStr">
        <is>
          <t>Emergency Department</t>
        </is>
      </c>
      <c r="G1755" s="32" t="n">
        <v>45983.32152777778</v>
      </c>
      <c r="H1755" s="32" t="n">
        <v>45984.05069444444</v>
      </c>
      <c r="I1755" t="inlineStr">
        <is>
          <t>G43.909</t>
        </is>
      </c>
      <c r="J1755" t="inlineStr">
        <is>
          <t>PY03</t>
        </is>
      </c>
      <c r="K1755" s="33" t="n">
        <v>6099.12</v>
      </c>
      <c r="L1755" s="34" t="n"/>
    </row>
    <row r="1756">
      <c r="A1756" t="inlineStr">
        <is>
          <t>ENC120488</t>
        </is>
      </c>
      <c r="B1756" t="inlineStr">
        <is>
          <t>PT11486</t>
        </is>
      </c>
      <c r="C1756" t="inlineStr">
        <is>
          <t>Emergency</t>
        </is>
      </c>
      <c r="D1756" t="inlineStr">
        <is>
          <t>F01</t>
        </is>
      </c>
      <c r="E1756" t="inlineStr">
        <is>
          <t>D100</t>
        </is>
      </c>
      <c r="G1756" s="32" t="n">
        <v>45983.79444444444</v>
      </c>
      <c r="H1756" s="32" t="n">
        <v>45983.95138888889</v>
      </c>
      <c r="I1756" t="inlineStr">
        <is>
          <t>R10.9</t>
        </is>
      </c>
      <c r="J1756" t="inlineStr">
        <is>
          <t>PY03</t>
        </is>
      </c>
      <c r="K1756" s="33" t="n">
        <v>3047.86</v>
      </c>
      <c r="L1756" s="34" t="n"/>
    </row>
    <row r="1757">
      <c r="A1757" t="inlineStr">
        <is>
          <t>ENC120490</t>
        </is>
      </c>
      <c r="B1757" t="inlineStr">
        <is>
          <t>PT13755</t>
        </is>
      </c>
      <c r="C1757" t="inlineStr">
        <is>
          <t>Inpatient</t>
        </is>
      </c>
      <c r="D1757" t="inlineStr">
        <is>
          <t>F01</t>
        </is>
      </c>
      <c r="E1757" t="inlineStr">
        <is>
          <t>D111</t>
        </is>
      </c>
      <c r="F1757" t="inlineStr">
        <is>
          <t>Emergency Department</t>
        </is>
      </c>
      <c r="G1757" s="32" t="n">
        <v>45983.94722222222</v>
      </c>
      <c r="H1757" s="32" t="n">
        <v>45989.53611111111</v>
      </c>
      <c r="I1757" t="inlineStr">
        <is>
          <t>N39.0</t>
        </is>
      </c>
      <c r="J1757" t="inlineStr">
        <is>
          <t>PY01</t>
        </is>
      </c>
      <c r="K1757" s="33" t="n">
        <v>48698.94</v>
      </c>
      <c r="L1757" s="34" t="n"/>
    </row>
    <row r="1758">
      <c r="A1758" t="inlineStr">
        <is>
          <t>ENC120495</t>
        </is>
      </c>
      <c r="B1758" t="inlineStr">
        <is>
          <t>PT12935</t>
        </is>
      </c>
      <c r="C1758" t="inlineStr">
        <is>
          <t>Inpatient</t>
        </is>
      </c>
      <c r="D1758" t="inlineStr">
        <is>
          <t>F01</t>
        </is>
      </c>
      <c r="E1758" t="inlineStr">
        <is>
          <t>D120</t>
        </is>
      </c>
      <c r="F1758" t="inlineStr">
        <is>
          <t>Emergency Department</t>
        </is>
      </c>
      <c r="G1758" s="32" t="n">
        <v>45984.60208333333</v>
      </c>
      <c r="H1758" s="32" t="n">
        <v>45990.58055555556</v>
      </c>
      <c r="I1758" t="inlineStr">
        <is>
          <t>I21.4</t>
        </is>
      </c>
      <c r="J1758" t="inlineStr">
        <is>
          <t>PY01</t>
        </is>
      </c>
      <c r="K1758" s="33" t="n">
        <v>79023.57000000001</v>
      </c>
      <c r="L1758" s="34" t="n"/>
    </row>
    <row r="1759">
      <c r="A1759" t="inlineStr">
        <is>
          <t>ENC120504</t>
        </is>
      </c>
      <c r="B1759" t="inlineStr">
        <is>
          <t>PT12764</t>
        </is>
      </c>
      <c r="C1759" t="inlineStr">
        <is>
          <t>Inpatient</t>
        </is>
      </c>
      <c r="D1759" t="inlineStr">
        <is>
          <t>F01</t>
        </is>
      </c>
      <c r="E1759" t="inlineStr">
        <is>
          <t>D111</t>
        </is>
      </c>
      <c r="F1759" t="inlineStr">
        <is>
          <t>Direct Admit</t>
        </is>
      </c>
      <c r="G1759" s="32" t="n">
        <v>45984.66111111111</v>
      </c>
      <c r="H1759" s="32" t="n">
        <v>45987.55763888889</v>
      </c>
      <c r="I1759" t="inlineStr">
        <is>
          <t>J18.9</t>
        </is>
      </c>
      <c r="J1759" t="inlineStr">
        <is>
          <t>PY04</t>
        </is>
      </c>
      <c r="K1759" s="33" t="n">
        <v>11951.44</v>
      </c>
      <c r="L1759" s="34" t="n"/>
    </row>
    <row r="1760">
      <c r="A1760" t="inlineStr">
        <is>
          <t>ENC120511</t>
        </is>
      </c>
      <c r="B1760" t="inlineStr">
        <is>
          <t>PT10605</t>
        </is>
      </c>
      <c r="C1760" t="inlineStr">
        <is>
          <t>Emergency</t>
        </is>
      </c>
      <c r="D1760" t="inlineStr">
        <is>
          <t>F01</t>
        </is>
      </c>
      <c r="E1760" t="inlineStr">
        <is>
          <t>D100</t>
        </is>
      </c>
      <c r="G1760" s="32" t="n">
        <v>45984.88472222222</v>
      </c>
      <c r="H1760" s="32" t="n">
        <v>45985.07777777778</v>
      </c>
      <c r="I1760" t="inlineStr">
        <is>
          <t>U07.1</t>
        </is>
      </c>
      <c r="J1760" t="inlineStr">
        <is>
          <t>PY02</t>
        </is>
      </c>
      <c r="K1760" s="33" t="n">
        <v>2703.86</v>
      </c>
      <c r="L1760" s="34" t="n"/>
    </row>
    <row r="1761">
      <c r="A1761" t="inlineStr">
        <is>
          <t>ENC120516</t>
        </is>
      </c>
      <c r="B1761" t="inlineStr">
        <is>
          <t>PT13586</t>
        </is>
      </c>
      <c r="C1761" t="inlineStr">
        <is>
          <t>Inpatient</t>
        </is>
      </c>
      <c r="D1761" t="inlineStr">
        <is>
          <t>F02</t>
        </is>
      </c>
      <c r="E1761" t="inlineStr">
        <is>
          <t>D210</t>
        </is>
      </c>
      <c r="F1761" t="inlineStr">
        <is>
          <t>Direct Admit</t>
        </is>
      </c>
      <c r="G1761" s="32" t="n">
        <v>45985.06666666667</v>
      </c>
      <c r="H1761" s="32" t="n">
        <v>45988.67708333334</v>
      </c>
      <c r="I1761" t="inlineStr">
        <is>
          <t>J44.1</t>
        </is>
      </c>
      <c r="J1761" t="inlineStr">
        <is>
          <t>PY01</t>
        </is>
      </c>
      <c r="K1761" s="33" t="n">
        <v>23352.05</v>
      </c>
      <c r="L1761" s="34" t="n"/>
    </row>
    <row r="1762">
      <c r="A1762" t="inlineStr">
        <is>
          <t>ENC120521</t>
        </is>
      </c>
      <c r="B1762" t="inlineStr">
        <is>
          <t>PT13172</t>
        </is>
      </c>
      <c r="C1762" t="inlineStr">
        <is>
          <t>Emergency</t>
        </is>
      </c>
      <c r="D1762" t="inlineStr">
        <is>
          <t>F01</t>
        </is>
      </c>
      <c r="E1762" t="inlineStr">
        <is>
          <t>D100</t>
        </is>
      </c>
      <c r="G1762" s="32" t="n">
        <v>45985.30347222222</v>
      </c>
      <c r="H1762" s="32" t="n">
        <v>45985.39305555556</v>
      </c>
      <c r="I1762" t="inlineStr">
        <is>
          <t>M54.50</t>
        </is>
      </c>
      <c r="J1762" t="inlineStr">
        <is>
          <t>PY07</t>
        </is>
      </c>
      <c r="K1762" s="33" t="n">
        <v>2736.8</v>
      </c>
      <c r="L1762" s="34" t="n"/>
    </row>
    <row r="1763">
      <c r="A1763" t="inlineStr">
        <is>
          <t>ENC120527</t>
        </is>
      </c>
      <c r="B1763" t="inlineStr">
        <is>
          <t>PT11220</t>
        </is>
      </c>
      <c r="C1763" t="inlineStr">
        <is>
          <t>Outpatient</t>
        </is>
      </c>
      <c r="D1763" t="inlineStr">
        <is>
          <t>F04</t>
        </is>
      </c>
      <c r="E1763" t="inlineStr">
        <is>
          <t>D410</t>
        </is>
      </c>
      <c r="G1763" s="32" t="n">
        <v>45985.46875</v>
      </c>
      <c r="H1763" s="32" t="n">
        <v>45985.5</v>
      </c>
      <c r="I1763" t="inlineStr">
        <is>
          <t>I50.9</t>
        </is>
      </c>
      <c r="J1763" t="inlineStr">
        <is>
          <t>PY05</t>
        </is>
      </c>
      <c r="K1763" s="33" t="n">
        <v>538.55</v>
      </c>
      <c r="L1763" s="34" t="n"/>
    </row>
    <row r="1764">
      <c r="A1764" t="inlineStr">
        <is>
          <t>ENC120532</t>
        </is>
      </c>
      <c r="B1764" t="inlineStr">
        <is>
          <t>PT11070</t>
        </is>
      </c>
      <c r="C1764" t="inlineStr">
        <is>
          <t>Outpatient</t>
        </is>
      </c>
      <c r="D1764" t="inlineStr">
        <is>
          <t>F04</t>
        </is>
      </c>
      <c r="E1764" t="inlineStr">
        <is>
          <t>D440</t>
        </is>
      </c>
      <c r="G1764" s="32" t="n">
        <v>45985.5</v>
      </c>
      <c r="H1764" s="32" t="n">
        <v>45985.51527777778</v>
      </c>
      <c r="I1764" t="inlineStr">
        <is>
          <t>E11.65</t>
        </is>
      </c>
      <c r="J1764" t="inlineStr">
        <is>
          <t>PY04</t>
        </is>
      </c>
      <c r="K1764" s="33" t="n">
        <v>467.23</v>
      </c>
      <c r="L1764" s="34" t="n"/>
    </row>
    <row r="1765">
      <c r="A1765" t="inlineStr">
        <is>
          <t>ENC120539</t>
        </is>
      </c>
      <c r="B1765" t="inlineStr">
        <is>
          <t>PT10861</t>
        </is>
      </c>
      <c r="C1765" t="inlineStr">
        <is>
          <t>Outpatient</t>
        </is>
      </c>
      <c r="D1765" t="inlineStr">
        <is>
          <t>F04</t>
        </is>
      </c>
      <c r="E1765" t="inlineStr">
        <is>
          <t>D400</t>
        </is>
      </c>
      <c r="G1765" s="32" t="n">
        <v>45985.60416666666</v>
      </c>
      <c r="H1765" s="32" t="n">
        <v>45985.61875</v>
      </c>
      <c r="I1765" t="inlineStr">
        <is>
          <t>E78.5</t>
        </is>
      </c>
      <c r="J1765" t="inlineStr">
        <is>
          <t>PY06</t>
        </is>
      </c>
      <c r="K1765" s="33" t="n">
        <v>213.06</v>
      </c>
      <c r="L1765" s="34" t="n"/>
    </row>
    <row r="1766">
      <c r="A1766" t="inlineStr">
        <is>
          <t>ENC120544</t>
        </is>
      </c>
      <c r="B1766" t="inlineStr">
        <is>
          <t>PT12399</t>
        </is>
      </c>
      <c r="C1766" t="inlineStr">
        <is>
          <t>Outpatient</t>
        </is>
      </c>
      <c r="D1766" t="inlineStr">
        <is>
          <t>F04</t>
        </is>
      </c>
      <c r="E1766" t="inlineStr">
        <is>
          <t>D410</t>
        </is>
      </c>
      <c r="G1766" s="32" t="n">
        <v>45985.66666666666</v>
      </c>
      <c r="H1766" s="32" t="n">
        <v>45985.70277777778</v>
      </c>
      <c r="I1766" t="inlineStr">
        <is>
          <t>I50.9</t>
        </is>
      </c>
      <c r="J1766" t="inlineStr">
        <is>
          <t>PY02</t>
        </is>
      </c>
      <c r="K1766" s="33" t="n">
        <v>235.84</v>
      </c>
      <c r="L1766" s="34" t="n"/>
    </row>
    <row r="1767">
      <c r="A1767" t="inlineStr">
        <is>
          <t>ENC120537</t>
        </is>
      </c>
      <c r="B1767" t="inlineStr">
        <is>
          <t>PT12285</t>
        </is>
      </c>
      <c r="C1767" t="inlineStr">
        <is>
          <t>Observation</t>
        </is>
      </c>
      <c r="D1767" t="inlineStr">
        <is>
          <t>F03</t>
        </is>
      </c>
      <c r="E1767" t="inlineStr">
        <is>
          <t>D310</t>
        </is>
      </c>
      <c r="F1767" t="inlineStr">
        <is>
          <t>Emergency Department</t>
        </is>
      </c>
      <c r="G1767" s="32" t="n">
        <v>45985.70486111111</v>
      </c>
      <c r="H1767" s="32" t="n">
        <v>45986.44236111111</v>
      </c>
      <c r="I1767" t="inlineStr">
        <is>
          <t>E86.0</t>
        </is>
      </c>
      <c r="J1767" t="inlineStr">
        <is>
          <t>PY05</t>
        </is>
      </c>
      <c r="K1767" s="33" t="n">
        <v>6882.14</v>
      </c>
      <c r="L1767" s="34" t="n"/>
    </row>
    <row r="1768">
      <c r="A1768" t="inlineStr">
        <is>
          <t>ENC120554</t>
        </is>
      </c>
      <c r="B1768" t="inlineStr">
        <is>
          <t>PT11141</t>
        </is>
      </c>
      <c r="C1768" t="inlineStr">
        <is>
          <t>Emergency</t>
        </is>
      </c>
      <c r="D1768" t="inlineStr">
        <is>
          <t>F01</t>
        </is>
      </c>
      <c r="E1768" t="inlineStr">
        <is>
          <t>D100</t>
        </is>
      </c>
      <c r="G1768" s="32" t="n">
        <v>45986.00555555556</v>
      </c>
      <c r="H1768" s="32" t="n">
        <v>45986.13611111111</v>
      </c>
      <c r="I1768" t="inlineStr">
        <is>
          <t>J06.9</t>
        </is>
      </c>
      <c r="J1768" t="inlineStr">
        <is>
          <t>PY02</t>
        </is>
      </c>
      <c r="K1768" s="33" t="n">
        <v>1544.04</v>
      </c>
      <c r="L1768" s="34" t="n"/>
    </row>
    <row r="1769">
      <c r="A1769" t="inlineStr">
        <is>
          <t>ENC120561</t>
        </is>
      </c>
      <c r="B1769" t="inlineStr">
        <is>
          <t>PT10476</t>
        </is>
      </c>
      <c r="C1769" t="inlineStr">
        <is>
          <t>Outpatient</t>
        </is>
      </c>
      <c r="D1769" t="inlineStr">
        <is>
          <t>F04</t>
        </is>
      </c>
      <c r="E1769" t="inlineStr">
        <is>
          <t>D440</t>
        </is>
      </c>
      <c r="G1769" s="32" t="n">
        <v>45986.38541666666</v>
      </c>
      <c r="H1769" s="32" t="n">
        <v>45986.41875</v>
      </c>
      <c r="I1769" t="inlineStr">
        <is>
          <t>E11.9</t>
        </is>
      </c>
      <c r="J1769" t="inlineStr">
        <is>
          <t>PY03</t>
        </is>
      </c>
      <c r="K1769" s="33" t="n">
        <v>355.37</v>
      </c>
      <c r="L1769" s="34" t="n"/>
    </row>
    <row r="1770">
      <c r="A1770" t="inlineStr">
        <is>
          <t>ENC120567</t>
        </is>
      </c>
      <c r="B1770" t="inlineStr">
        <is>
          <t>PT10773</t>
        </is>
      </c>
      <c r="C1770" t="inlineStr">
        <is>
          <t>Outpatient</t>
        </is>
      </c>
      <c r="D1770" t="inlineStr">
        <is>
          <t>F04</t>
        </is>
      </c>
      <c r="E1770" t="inlineStr">
        <is>
          <t>D400</t>
        </is>
      </c>
      <c r="G1770" s="32" t="n">
        <v>45986.44791666666</v>
      </c>
      <c r="H1770" s="32" t="n">
        <v>45986.47777777778</v>
      </c>
      <c r="I1770" t="inlineStr">
        <is>
          <t>I10</t>
        </is>
      </c>
      <c r="J1770" t="inlineStr">
        <is>
          <t>PY02</t>
        </is>
      </c>
      <c r="K1770" s="33" t="n">
        <v>167.32</v>
      </c>
      <c r="L1770" s="34" t="n"/>
    </row>
    <row r="1771">
      <c r="A1771" t="inlineStr">
        <is>
          <t>ENC120564</t>
        </is>
      </c>
      <c r="B1771" t="inlineStr">
        <is>
          <t>PT10597</t>
        </is>
      </c>
      <c r="C1771" t="inlineStr">
        <is>
          <t>Inpatient</t>
        </is>
      </c>
      <c r="D1771" t="inlineStr">
        <is>
          <t>F01</t>
        </is>
      </c>
      <c r="E1771" t="inlineStr">
        <is>
          <t>D120</t>
        </is>
      </c>
      <c r="F1771" t="inlineStr">
        <is>
          <t>Emergency Department</t>
        </is>
      </c>
      <c r="G1771" s="32" t="n">
        <v>45986.49861111111</v>
      </c>
      <c r="H1771" s="32" t="n">
        <v>45992.68888888889</v>
      </c>
      <c r="I1771" t="inlineStr">
        <is>
          <t>I50.9</t>
        </is>
      </c>
      <c r="J1771" t="inlineStr">
        <is>
          <t>PY01</t>
        </is>
      </c>
      <c r="K1771" s="33" t="n">
        <v>40737.1</v>
      </c>
      <c r="L1771" s="34" t="n"/>
    </row>
    <row r="1772">
      <c r="A1772" t="inlineStr">
        <is>
          <t>ENC120578</t>
        </is>
      </c>
      <c r="B1772" t="inlineStr">
        <is>
          <t>PT10970</t>
        </is>
      </c>
      <c r="C1772" t="inlineStr">
        <is>
          <t>Outpatient</t>
        </is>
      </c>
      <c r="D1772" t="inlineStr">
        <is>
          <t>F04</t>
        </is>
      </c>
      <c r="E1772" t="inlineStr">
        <is>
          <t>D400</t>
        </is>
      </c>
      <c r="G1772" s="32" t="n">
        <v>45986.5625</v>
      </c>
      <c r="H1772" s="32" t="n">
        <v>45986.59722222222</v>
      </c>
      <c r="I1772" t="inlineStr">
        <is>
          <t>Z00.00</t>
        </is>
      </c>
      <c r="J1772" t="inlineStr">
        <is>
          <t>PY04</t>
        </is>
      </c>
      <c r="K1772" s="33" t="n">
        <v>223.92</v>
      </c>
      <c r="L1772" s="34" t="n"/>
    </row>
    <row r="1773">
      <c r="A1773" t="inlineStr">
        <is>
          <t>ENC120582</t>
        </is>
      </c>
      <c r="B1773" t="inlineStr">
        <is>
          <t>PT12243</t>
        </is>
      </c>
      <c r="C1773" t="inlineStr">
        <is>
          <t>Outpatient</t>
        </is>
      </c>
      <c r="D1773" t="inlineStr">
        <is>
          <t>F04</t>
        </is>
      </c>
      <c r="E1773" t="inlineStr">
        <is>
          <t>D420</t>
        </is>
      </c>
      <c r="G1773" s="32" t="n">
        <v>45986.67708333334</v>
      </c>
      <c r="H1773" s="32" t="n">
        <v>45986.70347222222</v>
      </c>
      <c r="I1773" t="inlineStr">
        <is>
          <t>M17.11</t>
        </is>
      </c>
      <c r="J1773" t="inlineStr">
        <is>
          <t>PY01</t>
        </is>
      </c>
      <c r="K1773" s="33" t="n">
        <v>418.27</v>
      </c>
      <c r="L1773" s="34" t="n"/>
    </row>
    <row r="1774">
      <c r="A1774" t="inlineStr">
        <is>
          <t>ENC120584</t>
        </is>
      </c>
      <c r="B1774" t="inlineStr">
        <is>
          <t>PT10364</t>
        </is>
      </c>
      <c r="C1774" t="inlineStr">
        <is>
          <t>Inpatient</t>
        </is>
      </c>
      <c r="D1774" t="inlineStr">
        <is>
          <t>F01</t>
        </is>
      </c>
      <c r="E1774" t="inlineStr">
        <is>
          <t>D110</t>
        </is>
      </c>
      <c r="F1774" t="inlineStr">
        <is>
          <t>Emergency Department</t>
        </is>
      </c>
      <c r="G1774" s="32" t="n">
        <v>45986.85625</v>
      </c>
      <c r="H1774" s="32" t="n">
        <v>45991.58819444444</v>
      </c>
      <c r="I1774" t="inlineStr">
        <is>
          <t>J44.1</t>
        </is>
      </c>
      <c r="J1774" t="inlineStr">
        <is>
          <t>PY01</t>
        </is>
      </c>
      <c r="K1774" s="33" t="n">
        <v>20355.66</v>
      </c>
      <c r="L1774" s="34" t="n"/>
    </row>
    <row r="1775">
      <c r="A1775" t="inlineStr">
        <is>
          <t>ENC120593</t>
        </is>
      </c>
      <c r="B1775" t="inlineStr">
        <is>
          <t>PT12427</t>
        </is>
      </c>
      <c r="C1775" t="inlineStr">
        <is>
          <t>Outpatient</t>
        </is>
      </c>
      <c r="D1775" t="inlineStr">
        <is>
          <t>F04</t>
        </is>
      </c>
      <c r="E1775" t="inlineStr">
        <is>
          <t>D400</t>
        </is>
      </c>
      <c r="G1775" s="32" t="n">
        <v>45987.39583333334</v>
      </c>
      <c r="H1775" s="32" t="n">
        <v>45987.41944444444</v>
      </c>
      <c r="I1775" t="inlineStr">
        <is>
          <t>J06.9</t>
        </is>
      </c>
      <c r="J1775" t="inlineStr">
        <is>
          <t>PY01</t>
        </is>
      </c>
      <c r="K1775" s="33" t="n">
        <v>208.17</v>
      </c>
      <c r="L1775" s="34" t="n"/>
    </row>
    <row r="1776">
      <c r="A1776" t="inlineStr">
        <is>
          <t>ENC120598</t>
        </is>
      </c>
      <c r="B1776" t="inlineStr">
        <is>
          <t>PT12258</t>
        </is>
      </c>
      <c r="C1776" t="inlineStr">
        <is>
          <t>Outpatient</t>
        </is>
      </c>
      <c r="D1776" t="inlineStr">
        <is>
          <t>F04</t>
        </is>
      </c>
      <c r="E1776" t="inlineStr">
        <is>
          <t>D450</t>
        </is>
      </c>
      <c r="G1776" s="32" t="n">
        <v>45987.5625</v>
      </c>
      <c r="H1776" s="32" t="n">
        <v>45987.57361111111</v>
      </c>
      <c r="I1776" t="inlineStr">
        <is>
          <t>J06.9</t>
        </is>
      </c>
      <c r="J1776" t="inlineStr">
        <is>
          <t>PY05</t>
        </is>
      </c>
      <c r="K1776" s="33" t="n">
        <v>403.35</v>
      </c>
      <c r="L1776" s="34" t="n"/>
    </row>
    <row r="1777">
      <c r="A1777" t="inlineStr">
        <is>
          <t>ENC120606</t>
        </is>
      </c>
      <c r="B1777" t="inlineStr">
        <is>
          <t>PT12888</t>
        </is>
      </c>
      <c r="C1777" t="inlineStr">
        <is>
          <t>Outpatient</t>
        </is>
      </c>
      <c r="D1777" t="inlineStr">
        <is>
          <t>F04</t>
        </is>
      </c>
      <c r="E1777" t="inlineStr">
        <is>
          <t>D410</t>
        </is>
      </c>
      <c r="G1777" s="32" t="n">
        <v>45987.63541666666</v>
      </c>
      <c r="H1777" s="32" t="n">
        <v>45987.65694444445</v>
      </c>
      <c r="I1777" t="inlineStr">
        <is>
          <t>I48.91</t>
        </is>
      </c>
      <c r="J1777" t="inlineStr">
        <is>
          <t>PY05</t>
        </is>
      </c>
      <c r="K1777" s="33" t="n">
        <v>197.85</v>
      </c>
      <c r="L1777" s="34" t="n"/>
    </row>
    <row r="1778">
      <c r="A1778" t="inlineStr">
        <is>
          <t>ENC120607</t>
        </is>
      </c>
      <c r="B1778" t="inlineStr">
        <is>
          <t>PT12441</t>
        </is>
      </c>
      <c r="C1778" t="inlineStr">
        <is>
          <t>Inpatient</t>
        </is>
      </c>
      <c r="D1778" t="inlineStr">
        <is>
          <t>F02</t>
        </is>
      </c>
      <c r="E1778" t="inlineStr">
        <is>
          <t>D210</t>
        </is>
      </c>
      <c r="F1778" t="inlineStr">
        <is>
          <t>Emergency Department</t>
        </is>
      </c>
      <c r="G1778" s="32" t="n">
        <v>45987.79097222222</v>
      </c>
      <c r="H1778" s="32" t="n">
        <v>45992.58888888889</v>
      </c>
      <c r="I1778" t="inlineStr">
        <is>
          <t>J44.1</t>
        </is>
      </c>
      <c r="J1778" t="inlineStr">
        <is>
          <t>PY07</t>
        </is>
      </c>
      <c r="K1778" s="33" t="n">
        <v>21363.21</v>
      </c>
      <c r="L1778" s="34" t="n"/>
    </row>
    <row r="1779">
      <c r="A1779" t="inlineStr">
        <is>
          <t>ENC120616</t>
        </is>
      </c>
      <c r="B1779" t="inlineStr">
        <is>
          <t>PT11121</t>
        </is>
      </c>
      <c r="C1779" t="inlineStr">
        <is>
          <t>Outpatient</t>
        </is>
      </c>
      <c r="D1779" t="inlineStr">
        <is>
          <t>F04</t>
        </is>
      </c>
      <c r="E1779" t="inlineStr">
        <is>
          <t>D400</t>
        </is>
      </c>
      <c r="G1779" s="32" t="n">
        <v>45988.34375</v>
      </c>
      <c r="H1779" s="32" t="n">
        <v>45988.35416666666</v>
      </c>
      <c r="I1779" t="inlineStr">
        <is>
          <t>M54.50</t>
        </is>
      </c>
      <c r="J1779" t="inlineStr">
        <is>
          <t>PY01</t>
        </is>
      </c>
      <c r="K1779" s="33" t="n">
        <v>551.17</v>
      </c>
      <c r="L1779" s="34" t="n"/>
    </row>
    <row r="1780">
      <c r="A1780" t="inlineStr">
        <is>
          <t>ENC120621</t>
        </is>
      </c>
      <c r="B1780" t="inlineStr">
        <is>
          <t>PT11855</t>
        </is>
      </c>
      <c r="C1780" t="inlineStr">
        <is>
          <t>Outpatient</t>
        </is>
      </c>
      <c r="D1780" t="inlineStr">
        <is>
          <t>F04</t>
        </is>
      </c>
      <c r="E1780" t="inlineStr">
        <is>
          <t>D450</t>
        </is>
      </c>
      <c r="G1780" s="32" t="n">
        <v>45988.41666666666</v>
      </c>
      <c r="H1780" s="32" t="n">
        <v>45988.44583333333</v>
      </c>
      <c r="I1780" t="inlineStr">
        <is>
          <t>Z00.129</t>
        </is>
      </c>
      <c r="J1780" t="inlineStr">
        <is>
          <t>PY03</t>
        </is>
      </c>
      <c r="K1780" s="33" t="n">
        <v>284.68</v>
      </c>
      <c r="L1780" s="34" t="n"/>
    </row>
    <row r="1781">
      <c r="A1781" t="inlineStr">
        <is>
          <t>ENC120626</t>
        </is>
      </c>
      <c r="B1781" t="inlineStr">
        <is>
          <t>PT13299</t>
        </is>
      </c>
      <c r="C1781" t="inlineStr">
        <is>
          <t>Outpatient</t>
        </is>
      </c>
      <c r="D1781" t="inlineStr">
        <is>
          <t>F04</t>
        </is>
      </c>
      <c r="E1781" t="inlineStr">
        <is>
          <t>D400</t>
        </is>
      </c>
      <c r="G1781" s="32" t="n">
        <v>45988.54166666666</v>
      </c>
      <c r="H1781" s="32" t="n">
        <v>45988.56736111111</v>
      </c>
      <c r="I1781" t="inlineStr">
        <is>
          <t>M54.50</t>
        </is>
      </c>
      <c r="J1781" t="inlineStr">
        <is>
          <t>PY05</t>
        </is>
      </c>
      <c r="K1781" s="33" t="n">
        <v>461.73</v>
      </c>
      <c r="L1781" s="34" t="n"/>
    </row>
    <row r="1782">
      <c r="A1782" t="inlineStr">
        <is>
          <t>ENC120632</t>
        </is>
      </c>
      <c r="B1782" t="inlineStr">
        <is>
          <t>PT12616</t>
        </is>
      </c>
      <c r="C1782" t="inlineStr">
        <is>
          <t>Outpatient</t>
        </is>
      </c>
      <c r="D1782" t="inlineStr">
        <is>
          <t>F04</t>
        </is>
      </c>
      <c r="E1782" t="inlineStr">
        <is>
          <t>D400</t>
        </is>
      </c>
      <c r="G1782" s="32" t="n">
        <v>45988.60416666666</v>
      </c>
      <c r="H1782" s="32" t="n">
        <v>45988.61875</v>
      </c>
      <c r="I1782" t="inlineStr">
        <is>
          <t>Z23</t>
        </is>
      </c>
      <c r="J1782" t="inlineStr">
        <is>
          <t>PY03</t>
        </is>
      </c>
      <c r="K1782" s="33" t="n">
        <v>128.83</v>
      </c>
      <c r="L1782" s="34" t="n"/>
    </row>
    <row r="1783">
      <c r="A1783" t="inlineStr">
        <is>
          <t>ENC120639</t>
        </is>
      </c>
      <c r="B1783" t="inlineStr">
        <is>
          <t>PT12789</t>
        </is>
      </c>
      <c r="C1783" t="inlineStr">
        <is>
          <t>Inpatient</t>
        </is>
      </c>
      <c r="D1783" t="inlineStr">
        <is>
          <t>F01</t>
        </is>
      </c>
      <c r="E1783" t="inlineStr">
        <is>
          <t>D130</t>
        </is>
      </c>
      <c r="F1783" t="inlineStr">
        <is>
          <t>Direct Admit</t>
        </is>
      </c>
      <c r="G1783" s="32" t="n">
        <v>45988.75208333333</v>
      </c>
      <c r="H1783" s="32" t="n">
        <v>46002.52708333333</v>
      </c>
      <c r="I1783" t="inlineStr">
        <is>
          <t>A41.9</t>
        </is>
      </c>
      <c r="J1783" t="inlineStr">
        <is>
          <t>PY01</t>
        </is>
      </c>
      <c r="K1783" s="33" t="n">
        <v>144338.01</v>
      </c>
      <c r="L1783" s="34" t="n"/>
    </row>
    <row r="1784">
      <c r="A1784" t="inlineStr">
        <is>
          <t>ENC120647</t>
        </is>
      </c>
      <c r="B1784" t="inlineStr">
        <is>
          <t>PT11464</t>
        </is>
      </c>
      <c r="C1784" t="inlineStr">
        <is>
          <t>Emergency</t>
        </is>
      </c>
      <c r="D1784" t="inlineStr">
        <is>
          <t>F01</t>
        </is>
      </c>
      <c r="E1784" t="inlineStr">
        <is>
          <t>D100</t>
        </is>
      </c>
      <c r="G1784" s="32" t="n">
        <v>45988.92777777778</v>
      </c>
      <c r="H1784" s="32" t="n">
        <v>45988.97222222222</v>
      </c>
      <c r="I1784" t="inlineStr">
        <is>
          <t>S93.401A</t>
        </is>
      </c>
      <c r="J1784" t="inlineStr">
        <is>
          <t>PY06</t>
        </is>
      </c>
      <c r="K1784" s="33" t="n">
        <v>647.42</v>
      </c>
      <c r="L1784" s="34" t="n"/>
    </row>
    <row r="1785">
      <c r="A1785" t="inlineStr">
        <is>
          <t>ENC120645</t>
        </is>
      </c>
      <c r="B1785" t="inlineStr">
        <is>
          <t>PT13726</t>
        </is>
      </c>
      <c r="C1785" t="inlineStr">
        <is>
          <t>Inpatient</t>
        </is>
      </c>
      <c r="D1785" t="inlineStr">
        <is>
          <t>F02</t>
        </is>
      </c>
      <c r="E1785" t="inlineStr">
        <is>
          <t>D210</t>
        </is>
      </c>
      <c r="F1785" t="inlineStr">
        <is>
          <t>Emergency Department</t>
        </is>
      </c>
      <c r="G1785" s="32" t="n">
        <v>45989.04930555556</v>
      </c>
      <c r="H1785" s="32" t="n">
        <v>45991.52708333333</v>
      </c>
      <c r="I1785" t="inlineStr">
        <is>
          <t>E11.65</t>
        </is>
      </c>
      <c r="J1785" t="inlineStr">
        <is>
          <t>PY01</t>
        </is>
      </c>
      <c r="K1785" s="33" t="n">
        <v>10678.18</v>
      </c>
      <c r="L1785" s="34" t="n"/>
    </row>
    <row r="1786">
      <c r="A1786" t="inlineStr">
        <is>
          <t>ENC120655</t>
        </is>
      </c>
      <c r="B1786" t="inlineStr">
        <is>
          <t>PT11859</t>
        </is>
      </c>
      <c r="C1786" t="inlineStr">
        <is>
          <t>Outpatient</t>
        </is>
      </c>
      <c r="D1786" t="inlineStr">
        <is>
          <t>F04</t>
        </is>
      </c>
      <c r="E1786" t="inlineStr">
        <is>
          <t>D400</t>
        </is>
      </c>
      <c r="G1786" s="32" t="n">
        <v>45989.34375</v>
      </c>
      <c r="H1786" s="32" t="n">
        <v>45989.37638888889</v>
      </c>
      <c r="I1786" t="inlineStr">
        <is>
          <t>Z00.00</t>
        </is>
      </c>
      <c r="J1786" t="inlineStr">
        <is>
          <t>PY01</t>
        </is>
      </c>
      <c r="K1786" s="33" t="n">
        <v>286.3</v>
      </c>
      <c r="L1786" s="34" t="n"/>
    </row>
    <row r="1787">
      <c r="A1787" t="inlineStr">
        <is>
          <t>ENC120659</t>
        </is>
      </c>
      <c r="B1787" t="inlineStr">
        <is>
          <t>PT11302</t>
        </is>
      </c>
      <c r="C1787" t="inlineStr">
        <is>
          <t>Outpatient</t>
        </is>
      </c>
      <c r="D1787" t="inlineStr">
        <is>
          <t>F04</t>
        </is>
      </c>
      <c r="E1787" t="inlineStr">
        <is>
          <t>D440</t>
        </is>
      </c>
      <c r="G1787" s="32" t="n">
        <v>45989.40625</v>
      </c>
      <c r="H1787" s="32" t="n">
        <v>45989.43402777778</v>
      </c>
      <c r="I1787" t="inlineStr">
        <is>
          <t>E11.65</t>
        </is>
      </c>
      <c r="J1787" t="inlineStr">
        <is>
          <t>PY05</t>
        </is>
      </c>
      <c r="K1787" s="33" t="n">
        <v>258.66</v>
      </c>
      <c r="L1787" s="34" t="n"/>
    </row>
    <row r="1788">
      <c r="A1788" t="inlineStr">
        <is>
          <t>ENC120665</t>
        </is>
      </c>
      <c r="B1788" t="inlineStr">
        <is>
          <t>PT10577</t>
        </is>
      </c>
      <c r="C1788" t="inlineStr">
        <is>
          <t>Outpatient</t>
        </is>
      </c>
      <c r="D1788" t="inlineStr">
        <is>
          <t>F04</t>
        </is>
      </c>
      <c r="E1788" t="inlineStr">
        <is>
          <t>D450</t>
        </is>
      </c>
      <c r="G1788" s="32" t="n">
        <v>45989.46875</v>
      </c>
      <c r="H1788" s="32" t="n">
        <v>45989.48958333334</v>
      </c>
      <c r="I1788" t="inlineStr">
        <is>
          <t>Z23</t>
        </is>
      </c>
      <c r="J1788" t="inlineStr">
        <is>
          <t>PY03</t>
        </is>
      </c>
      <c r="K1788" s="33" t="n">
        <v>144.77</v>
      </c>
      <c r="L1788" s="34" t="n"/>
    </row>
    <row r="1789">
      <c r="A1789" t="inlineStr">
        <is>
          <t>ENC120673</t>
        </is>
      </c>
      <c r="B1789" t="inlineStr">
        <is>
          <t>PT10764</t>
        </is>
      </c>
      <c r="C1789" t="inlineStr">
        <is>
          <t>Emergency</t>
        </is>
      </c>
      <c r="D1789" t="inlineStr">
        <is>
          <t>F01</t>
        </is>
      </c>
      <c r="E1789" t="inlineStr">
        <is>
          <t>D100</t>
        </is>
      </c>
      <c r="G1789" s="32" t="n">
        <v>45989.57569444444</v>
      </c>
      <c r="H1789" s="32" t="n">
        <v>45989.67777777778</v>
      </c>
      <c r="I1789" t="inlineStr">
        <is>
          <t>F32.9</t>
        </is>
      </c>
      <c r="J1789" t="inlineStr">
        <is>
          <t>PY06</t>
        </is>
      </c>
      <c r="K1789" s="33" t="n">
        <v>1425.36</v>
      </c>
      <c r="L1789" s="34" t="n"/>
    </row>
    <row r="1790">
      <c r="A1790" t="inlineStr">
        <is>
          <t>ENC120677</t>
        </is>
      </c>
      <c r="B1790" t="inlineStr">
        <is>
          <t>PT12288</t>
        </is>
      </c>
      <c r="C1790" t="inlineStr">
        <is>
          <t>Outpatient</t>
        </is>
      </c>
      <c r="D1790" t="inlineStr">
        <is>
          <t>F04</t>
        </is>
      </c>
      <c r="E1790" t="inlineStr">
        <is>
          <t>D400</t>
        </is>
      </c>
      <c r="G1790" s="32" t="n">
        <v>45989.63541666666</v>
      </c>
      <c r="H1790" s="32" t="n">
        <v>45989.66458333333</v>
      </c>
      <c r="I1790" t="inlineStr">
        <is>
          <t>I10</t>
        </is>
      </c>
      <c r="J1790" t="inlineStr">
        <is>
          <t>PY06</t>
        </is>
      </c>
      <c r="K1790" s="33" t="n">
        <v>407.32</v>
      </c>
      <c r="L1790" s="34" t="n"/>
    </row>
    <row r="1791">
      <c r="A1791" t="inlineStr">
        <is>
          <t>ENC120683</t>
        </is>
      </c>
      <c r="B1791" t="inlineStr">
        <is>
          <t>PT11952</t>
        </is>
      </c>
      <c r="C1791" t="inlineStr">
        <is>
          <t>Inpatient</t>
        </is>
      </c>
      <c r="D1791" t="inlineStr">
        <is>
          <t>F02</t>
        </is>
      </c>
      <c r="E1791" t="inlineStr">
        <is>
          <t>D210</t>
        </is>
      </c>
      <c r="F1791" t="inlineStr">
        <is>
          <t>Emergency Department</t>
        </is>
      </c>
      <c r="G1791" s="32" t="n">
        <v>45989.76111111111</v>
      </c>
      <c r="H1791" s="32" t="n">
        <v>45997.59027777778</v>
      </c>
      <c r="I1791" t="inlineStr">
        <is>
          <t>K56.609</t>
        </is>
      </c>
      <c r="J1791" t="inlineStr">
        <is>
          <t>PY02</t>
        </is>
      </c>
      <c r="K1791" s="33" t="n">
        <v>39568.78</v>
      </c>
      <c r="L1791" s="34" t="n"/>
    </row>
    <row r="1792">
      <c r="A1792" t="inlineStr">
        <is>
          <t>ENC120681</t>
        </is>
      </c>
      <c r="B1792" t="inlineStr">
        <is>
          <t>PT13548</t>
        </is>
      </c>
      <c r="C1792" t="inlineStr">
        <is>
          <t>Inpatient</t>
        </is>
      </c>
      <c r="D1792" t="inlineStr">
        <is>
          <t>F01</t>
        </is>
      </c>
      <c r="E1792" t="inlineStr">
        <is>
          <t>D110</t>
        </is>
      </c>
      <c r="F1792" t="inlineStr">
        <is>
          <t>Emergency Department</t>
        </is>
      </c>
      <c r="G1792" s="32" t="n">
        <v>45989.86111111111</v>
      </c>
      <c r="H1792" s="32" t="n">
        <v>45997.63680555556</v>
      </c>
      <c r="I1792" t="inlineStr">
        <is>
          <t>J18.9</t>
        </is>
      </c>
      <c r="J1792" t="inlineStr">
        <is>
          <t>PY02</t>
        </is>
      </c>
      <c r="K1792" s="33" t="n">
        <v>42962.4</v>
      </c>
      <c r="L1792" s="34" t="n"/>
    </row>
    <row r="1793">
      <c r="A1793" t="inlineStr">
        <is>
          <t>ENC120693</t>
        </is>
      </c>
      <c r="B1793" t="inlineStr">
        <is>
          <t>PT10863</t>
        </is>
      </c>
      <c r="C1793" t="inlineStr">
        <is>
          <t>Emergency</t>
        </is>
      </c>
      <c r="D1793" t="inlineStr">
        <is>
          <t>F01</t>
        </is>
      </c>
      <c r="E1793" t="inlineStr">
        <is>
          <t>D100</t>
        </is>
      </c>
      <c r="G1793" s="32" t="n">
        <v>45990.36875</v>
      </c>
      <c r="H1793" s="32" t="n">
        <v>45990.44027777778</v>
      </c>
      <c r="I1793" t="inlineStr">
        <is>
          <t>L03.115</t>
        </is>
      </c>
      <c r="J1793" t="inlineStr">
        <is>
          <t>PY04</t>
        </is>
      </c>
      <c r="K1793" s="33" t="n">
        <v>1601.4</v>
      </c>
      <c r="L1793" s="34" t="n"/>
    </row>
    <row r="1794">
      <c r="A1794" t="inlineStr">
        <is>
          <t>ENC120694</t>
        </is>
      </c>
      <c r="B1794" t="inlineStr">
        <is>
          <t>PT10915</t>
        </is>
      </c>
      <c r="C1794" t="inlineStr">
        <is>
          <t>Inpatient</t>
        </is>
      </c>
      <c r="D1794" t="inlineStr">
        <is>
          <t>F01</t>
        </is>
      </c>
      <c r="E1794" t="inlineStr">
        <is>
          <t>D120</t>
        </is>
      </c>
      <c r="F1794" t="inlineStr">
        <is>
          <t>Emergency Department</t>
        </is>
      </c>
      <c r="G1794" s="32" t="n">
        <v>45990.53402777778</v>
      </c>
      <c r="H1794" s="32" t="n">
        <v>45996.72430555556</v>
      </c>
      <c r="I1794" t="inlineStr">
        <is>
          <t>I50.9</t>
        </is>
      </c>
      <c r="J1794" t="inlineStr">
        <is>
          <t>PY06</t>
        </is>
      </c>
      <c r="K1794" s="33" t="n">
        <v>39570.57</v>
      </c>
      <c r="L1794" s="34" t="n"/>
    </row>
    <row r="1795">
      <c r="A1795" t="inlineStr">
        <is>
          <t>ENC120704</t>
        </is>
      </c>
      <c r="B1795" t="inlineStr">
        <is>
          <t>PT12093</t>
        </is>
      </c>
      <c r="C1795" t="inlineStr">
        <is>
          <t>Emergency</t>
        </is>
      </c>
      <c r="D1795" t="inlineStr">
        <is>
          <t>F01</t>
        </is>
      </c>
      <c r="E1795" t="inlineStr">
        <is>
          <t>D100</t>
        </is>
      </c>
      <c r="G1795" s="32" t="n">
        <v>45990.74930555555</v>
      </c>
      <c r="H1795" s="32" t="n">
        <v>45990.90833333333</v>
      </c>
      <c r="I1795" t="inlineStr">
        <is>
          <t>F10.239</t>
        </is>
      </c>
      <c r="J1795" t="inlineStr">
        <is>
          <t>PY04</t>
        </is>
      </c>
      <c r="K1795" s="33" t="n">
        <v>4212.83</v>
      </c>
      <c r="L1795" s="34" t="n"/>
    </row>
    <row r="1796">
      <c r="A1796" t="inlineStr">
        <is>
          <t>ENC120710</t>
        </is>
      </c>
      <c r="B1796" t="inlineStr">
        <is>
          <t>PT11844</t>
        </is>
      </c>
      <c r="C1796" t="inlineStr">
        <is>
          <t>Emergency</t>
        </is>
      </c>
      <c r="D1796" t="inlineStr">
        <is>
          <t>F01</t>
        </is>
      </c>
      <c r="E1796" t="inlineStr">
        <is>
          <t>D100</t>
        </is>
      </c>
      <c r="G1796" s="32" t="n">
        <v>45991.15555555555</v>
      </c>
      <c r="H1796" s="32" t="n">
        <v>45991.25833333333</v>
      </c>
      <c r="I1796" t="inlineStr">
        <is>
          <t>R55</t>
        </is>
      </c>
      <c r="J1796" t="inlineStr">
        <is>
          <t>PY03</t>
        </is>
      </c>
      <c r="K1796" s="33" t="n">
        <v>1428.03</v>
      </c>
      <c r="L1796" s="34" t="n"/>
    </row>
    <row r="1797">
      <c r="A1797" t="inlineStr">
        <is>
          <t>ENC120714</t>
        </is>
      </c>
      <c r="B1797" t="inlineStr">
        <is>
          <t>PT13673</t>
        </is>
      </c>
      <c r="C1797" t="inlineStr">
        <is>
          <t>Inpatient</t>
        </is>
      </c>
      <c r="D1797" t="inlineStr">
        <is>
          <t>F01</t>
        </is>
      </c>
      <c r="E1797" t="inlineStr">
        <is>
          <t>D150</t>
        </is>
      </c>
      <c r="F1797" t="inlineStr">
        <is>
          <t>Emergency Department</t>
        </is>
      </c>
      <c r="G1797" s="32" t="n">
        <v>45991.52222222222</v>
      </c>
      <c r="H1797" s="32" t="n">
        <v>45994.66666666666</v>
      </c>
      <c r="I1797" t="inlineStr">
        <is>
          <t>C34.90</t>
        </is>
      </c>
      <c r="J1797" t="inlineStr">
        <is>
          <t>PY01</t>
        </is>
      </c>
      <c r="K1797" s="33" t="n">
        <v>14365.52</v>
      </c>
      <c r="L1797" s="34" t="n"/>
    </row>
    <row r="1798">
      <c r="A1798" t="inlineStr">
        <is>
          <t>ENC120722</t>
        </is>
      </c>
      <c r="B1798" t="inlineStr">
        <is>
          <t>PT12031</t>
        </is>
      </c>
      <c r="C1798" t="inlineStr">
        <is>
          <t>Emergency</t>
        </is>
      </c>
      <c r="D1798" t="inlineStr">
        <is>
          <t>F01</t>
        </is>
      </c>
      <c r="E1798" t="inlineStr">
        <is>
          <t>D100</t>
        </is>
      </c>
      <c r="G1798" s="32" t="n">
        <v>45991.70416666667</v>
      </c>
      <c r="H1798" s="32" t="n">
        <v>45991.75138888889</v>
      </c>
      <c r="I1798" t="inlineStr">
        <is>
          <t>G43.909</t>
        </is>
      </c>
      <c r="J1798" t="inlineStr">
        <is>
          <t>PY03</t>
        </is>
      </c>
      <c r="K1798" s="33" t="n">
        <v>587.6799999999999</v>
      </c>
      <c r="L1798" s="34" t="n"/>
    </row>
    <row r="1799">
      <c r="A1799" t="inlineStr">
        <is>
          <t>ENC120728</t>
        </is>
      </c>
      <c r="B1799" t="inlineStr">
        <is>
          <t>PT12502</t>
        </is>
      </c>
      <c r="C1799" t="inlineStr">
        <is>
          <t>Inpatient</t>
        </is>
      </c>
      <c r="D1799" t="inlineStr">
        <is>
          <t>F01</t>
        </is>
      </c>
      <c r="E1799" t="inlineStr">
        <is>
          <t>D110</t>
        </is>
      </c>
      <c r="F1799" t="inlineStr">
        <is>
          <t>Direct Admit</t>
        </is>
      </c>
      <c r="G1799" s="32" t="n">
        <v>45991.8</v>
      </c>
      <c r="H1799" s="32" t="n">
        <v>45998.79375</v>
      </c>
      <c r="I1799" t="inlineStr">
        <is>
          <t>N17.9</t>
        </is>
      </c>
      <c r="J1799" t="inlineStr">
        <is>
          <t>PY01</t>
        </is>
      </c>
      <c r="K1799" s="33" t="n">
        <v>19984.78</v>
      </c>
      <c r="L1799" s="34" t="n"/>
    </row>
    <row r="1800">
      <c r="A1800" t="inlineStr">
        <is>
          <t>ENC120732</t>
        </is>
      </c>
      <c r="B1800" t="inlineStr">
        <is>
          <t>PT12857</t>
        </is>
      </c>
      <c r="C1800" t="inlineStr">
        <is>
          <t>Observation</t>
        </is>
      </c>
      <c r="D1800" t="inlineStr">
        <is>
          <t>F01</t>
        </is>
      </c>
      <c r="E1800" t="inlineStr">
        <is>
          <t>D195</t>
        </is>
      </c>
      <c r="F1800" t="inlineStr">
        <is>
          <t>Emergency Department</t>
        </is>
      </c>
      <c r="G1800" s="32" t="n">
        <v>45992.2375</v>
      </c>
      <c r="H1800" s="32" t="n">
        <v>45993.18472222222</v>
      </c>
      <c r="I1800" t="inlineStr">
        <is>
          <t>I50.9</t>
        </is>
      </c>
      <c r="J1800" t="inlineStr">
        <is>
          <t>PY04</t>
        </is>
      </c>
      <c r="K1800" s="33" t="n">
        <v>9250.75</v>
      </c>
      <c r="L1800" s="34" t="n"/>
    </row>
    <row r="1801">
      <c r="A1801" t="inlineStr">
        <is>
          <t>ENC120737</t>
        </is>
      </c>
      <c r="B1801" t="inlineStr">
        <is>
          <t>PT12685</t>
        </is>
      </c>
      <c r="C1801" t="inlineStr">
        <is>
          <t>Outpatient</t>
        </is>
      </c>
      <c r="D1801" t="inlineStr">
        <is>
          <t>F04</t>
        </is>
      </c>
      <c r="E1801" t="inlineStr">
        <is>
          <t>D400</t>
        </is>
      </c>
      <c r="G1801" s="32" t="n">
        <v>45992.35416666666</v>
      </c>
      <c r="H1801" s="32" t="n">
        <v>45992.38888888889</v>
      </c>
      <c r="I1801" t="inlineStr">
        <is>
          <t>E78.5</t>
        </is>
      </c>
      <c r="J1801" t="inlineStr">
        <is>
          <t>PY06</t>
        </is>
      </c>
      <c r="K1801" s="33" t="n">
        <v>396.99</v>
      </c>
      <c r="L1801" s="34" t="n"/>
    </row>
    <row r="1802">
      <c r="A1802" t="inlineStr">
        <is>
          <t>ENC120744</t>
        </is>
      </c>
      <c r="B1802" t="inlineStr">
        <is>
          <t>PT10860</t>
        </is>
      </c>
      <c r="C1802" t="inlineStr">
        <is>
          <t>Outpatient</t>
        </is>
      </c>
      <c r="D1802" t="inlineStr">
        <is>
          <t>F04</t>
        </is>
      </c>
      <c r="E1802" t="inlineStr">
        <is>
          <t>D420</t>
        </is>
      </c>
      <c r="G1802" s="32" t="n">
        <v>45992.42708333334</v>
      </c>
      <c r="H1802" s="32" t="n">
        <v>45992.44305555556</v>
      </c>
      <c r="I1802" t="inlineStr">
        <is>
          <t>M16.11</t>
        </is>
      </c>
      <c r="J1802" t="inlineStr">
        <is>
          <t>PY02</t>
        </is>
      </c>
      <c r="K1802" s="33" t="n">
        <v>253.69</v>
      </c>
      <c r="L1802" s="34" t="n"/>
    </row>
    <row r="1803">
      <c r="A1803" t="inlineStr">
        <is>
          <t>ENC120750</t>
        </is>
      </c>
      <c r="B1803" t="inlineStr">
        <is>
          <t>PT13676</t>
        </is>
      </c>
      <c r="C1803" t="inlineStr">
        <is>
          <t>Emergency</t>
        </is>
      </c>
      <c r="D1803" t="inlineStr">
        <is>
          <t>F01</t>
        </is>
      </c>
      <c r="E1803" t="inlineStr">
        <is>
          <t>D100</t>
        </is>
      </c>
      <c r="G1803" s="32" t="n">
        <v>45992.5</v>
      </c>
      <c r="H1803" s="32" t="n">
        <v>45992.66666666666</v>
      </c>
      <c r="I1803" t="inlineStr">
        <is>
          <t>J21.9</t>
        </is>
      </c>
      <c r="J1803" t="inlineStr">
        <is>
          <t>PY05</t>
        </is>
      </c>
      <c r="K1803" s="33" t="n">
        <v>2152.88</v>
      </c>
      <c r="L1803" s="34" t="n"/>
    </row>
    <row r="1804">
      <c r="A1804" t="inlineStr">
        <is>
          <t>ENC120756</t>
        </is>
      </c>
      <c r="B1804" t="inlineStr">
        <is>
          <t>PT10518</t>
        </is>
      </c>
      <c r="C1804" t="inlineStr">
        <is>
          <t>Outpatient</t>
        </is>
      </c>
      <c r="D1804" t="inlineStr">
        <is>
          <t>F04</t>
        </is>
      </c>
      <c r="E1804" t="inlineStr">
        <is>
          <t>D400</t>
        </is>
      </c>
      <c r="G1804" s="32" t="n">
        <v>45992.55208333334</v>
      </c>
      <c r="H1804" s="32" t="n">
        <v>45992.57361111111</v>
      </c>
      <c r="I1804" t="inlineStr">
        <is>
          <t>Z23</t>
        </is>
      </c>
      <c r="J1804" t="inlineStr">
        <is>
          <t>PY03</t>
        </is>
      </c>
      <c r="K1804" s="33" t="n">
        <v>108.01</v>
      </c>
      <c r="L1804" s="34" t="n"/>
    </row>
    <row r="1805">
      <c r="A1805" t="inlineStr">
        <is>
          <t>ENC120749</t>
        </is>
      </c>
      <c r="B1805" t="inlineStr">
        <is>
          <t>PT10619</t>
        </is>
      </c>
      <c r="C1805" t="inlineStr">
        <is>
          <t>Inpatient</t>
        </is>
      </c>
      <c r="D1805" t="inlineStr">
        <is>
          <t>F01</t>
        </is>
      </c>
      <c r="E1805" t="inlineStr">
        <is>
          <t>D130</t>
        </is>
      </c>
      <c r="F1805" t="inlineStr">
        <is>
          <t>Emergency Department</t>
        </is>
      </c>
      <c r="G1805" s="32" t="n">
        <v>45992.60625</v>
      </c>
      <c r="H1805" s="32" t="n">
        <v>45997.55208333334</v>
      </c>
      <c r="I1805" t="inlineStr">
        <is>
          <t>A41.9</t>
        </is>
      </c>
      <c r="J1805" t="inlineStr">
        <is>
          <t>PY07</t>
        </is>
      </c>
      <c r="K1805" s="33" t="n">
        <v>84591.61</v>
      </c>
      <c r="L1805" s="34" t="n"/>
    </row>
    <row r="1806">
      <c r="A1806" t="inlineStr">
        <is>
          <t>ENC120765</t>
        </is>
      </c>
      <c r="B1806" t="inlineStr">
        <is>
          <t>PT11154</t>
        </is>
      </c>
      <c r="C1806" t="inlineStr">
        <is>
          <t>Emergency</t>
        </is>
      </c>
      <c r="D1806" t="inlineStr">
        <is>
          <t>F01</t>
        </is>
      </c>
      <c r="E1806" t="inlineStr">
        <is>
          <t>D100</t>
        </is>
      </c>
      <c r="G1806" s="32" t="n">
        <v>45992.64097222222</v>
      </c>
      <c r="H1806" s="32" t="n">
        <v>45992.75694444445</v>
      </c>
      <c r="I1806" t="inlineStr">
        <is>
          <t>L03.115</t>
        </is>
      </c>
      <c r="J1806" t="inlineStr">
        <is>
          <t>PY02</t>
        </is>
      </c>
      <c r="K1806" s="33" t="n">
        <v>3879.78</v>
      </c>
      <c r="L1806" s="34" t="n"/>
    </row>
    <row r="1807">
      <c r="A1807" t="inlineStr">
        <is>
          <t>ENC120772</t>
        </is>
      </c>
      <c r="B1807" t="inlineStr">
        <is>
          <t>PT13601</t>
        </is>
      </c>
      <c r="C1807" t="inlineStr">
        <is>
          <t>Emergency</t>
        </is>
      </c>
      <c r="D1807" t="inlineStr">
        <is>
          <t>F03</t>
        </is>
      </c>
      <c r="E1807" t="inlineStr">
        <is>
          <t>D300</t>
        </is>
      </c>
      <c r="G1807" s="32" t="n">
        <v>45992.75555555556</v>
      </c>
      <c r="H1807" s="32" t="n">
        <v>45992.84305555555</v>
      </c>
      <c r="I1807" t="inlineStr">
        <is>
          <t>L03.115</t>
        </is>
      </c>
      <c r="J1807" t="inlineStr">
        <is>
          <t>PY03</t>
        </is>
      </c>
      <c r="K1807" s="33" t="n">
        <v>1022.28</v>
      </c>
      <c r="L1807" s="34" t="n"/>
    </row>
    <row r="1808">
      <c r="A1808" t="inlineStr">
        <is>
          <t>ENC120777</t>
        </is>
      </c>
      <c r="B1808" t="inlineStr">
        <is>
          <t>PT10271</t>
        </is>
      </c>
      <c r="C1808" t="inlineStr">
        <is>
          <t>Emergency</t>
        </is>
      </c>
      <c r="D1808" t="inlineStr">
        <is>
          <t>F01</t>
        </is>
      </c>
      <c r="E1808" t="inlineStr">
        <is>
          <t>D100</t>
        </is>
      </c>
      <c r="G1808" s="32" t="n">
        <v>45992.89097222222</v>
      </c>
      <c r="H1808" s="32" t="n">
        <v>45992.97847222222</v>
      </c>
      <c r="I1808" t="inlineStr">
        <is>
          <t>J06.9</t>
        </is>
      </c>
      <c r="J1808" t="inlineStr">
        <is>
          <t>PY04</t>
        </is>
      </c>
      <c r="K1808" s="33" t="n">
        <v>1931.75</v>
      </c>
      <c r="L1808" s="34" t="n"/>
    </row>
    <row r="1809">
      <c r="A1809" t="inlineStr">
        <is>
          <t>ENC120780</t>
        </is>
      </c>
      <c r="B1809" t="inlineStr">
        <is>
          <t>PT12121</t>
        </is>
      </c>
      <c r="C1809" t="inlineStr">
        <is>
          <t>Inpatient</t>
        </is>
      </c>
      <c r="D1809" t="inlineStr">
        <is>
          <t>F01</t>
        </is>
      </c>
      <c r="E1809" t="inlineStr">
        <is>
          <t>D111</t>
        </is>
      </c>
      <c r="F1809" t="inlineStr">
        <is>
          <t>Emergency Department</t>
        </is>
      </c>
      <c r="G1809" s="32" t="n">
        <v>45993.3</v>
      </c>
      <c r="H1809" s="32" t="n">
        <v>45995.58611111111</v>
      </c>
      <c r="I1809" t="inlineStr">
        <is>
          <t>K35.80</t>
        </is>
      </c>
      <c r="J1809" t="inlineStr">
        <is>
          <t>PY03</t>
        </is>
      </c>
      <c r="K1809" s="33" t="n">
        <v>18447.55</v>
      </c>
      <c r="L1809" s="34" t="n"/>
    </row>
    <row r="1810">
      <c r="A1810" t="inlineStr">
        <is>
          <t>ENC120789</t>
        </is>
      </c>
      <c r="B1810" t="inlineStr">
        <is>
          <t>PT10435</t>
        </is>
      </c>
      <c r="C1810" t="inlineStr">
        <is>
          <t>Outpatient</t>
        </is>
      </c>
      <c r="D1810" t="inlineStr">
        <is>
          <t>F04</t>
        </is>
      </c>
      <c r="E1810" t="inlineStr">
        <is>
          <t>D430</t>
        </is>
      </c>
      <c r="G1810" s="32" t="n">
        <v>45993.39583333334</v>
      </c>
      <c r="H1810" s="32" t="n">
        <v>45993.61319444444</v>
      </c>
      <c r="I1810" t="inlineStr">
        <is>
          <t>Z51.11</t>
        </is>
      </c>
      <c r="J1810" t="inlineStr">
        <is>
          <t>PY05</t>
        </is>
      </c>
      <c r="K1810" s="33" t="n">
        <v>6341.71</v>
      </c>
      <c r="L1810" s="34" t="n"/>
    </row>
    <row r="1811">
      <c r="A1811" t="inlineStr">
        <is>
          <t>ENC120795</t>
        </is>
      </c>
      <c r="B1811" t="inlineStr">
        <is>
          <t>PT12124</t>
        </is>
      </c>
      <c r="C1811" t="inlineStr">
        <is>
          <t>Outpatient</t>
        </is>
      </c>
      <c r="D1811" t="inlineStr">
        <is>
          <t>F04</t>
        </is>
      </c>
      <c r="E1811" t="inlineStr">
        <is>
          <t>D400</t>
        </is>
      </c>
      <c r="G1811" s="32" t="n">
        <v>45993.46875</v>
      </c>
      <c r="H1811" s="32" t="n">
        <v>45993.5</v>
      </c>
      <c r="I1811" t="inlineStr">
        <is>
          <t>J44.1</t>
        </is>
      </c>
      <c r="J1811" t="inlineStr">
        <is>
          <t>PY04</t>
        </is>
      </c>
      <c r="K1811" s="33" t="n">
        <v>306.39</v>
      </c>
      <c r="L1811" s="34" t="n"/>
    </row>
    <row r="1812">
      <c r="A1812" t="inlineStr">
        <is>
          <t>ENC120802</t>
        </is>
      </c>
      <c r="B1812" t="inlineStr">
        <is>
          <t>PT11246</t>
        </is>
      </c>
      <c r="C1812" t="inlineStr">
        <is>
          <t>Outpatient</t>
        </is>
      </c>
      <c r="D1812" t="inlineStr">
        <is>
          <t>F04</t>
        </is>
      </c>
      <c r="E1812" t="inlineStr">
        <is>
          <t>D400</t>
        </is>
      </c>
      <c r="G1812" s="32" t="n">
        <v>45993.52083333334</v>
      </c>
      <c r="H1812" s="32" t="n">
        <v>45993.54097222222</v>
      </c>
      <c r="I1812" t="inlineStr">
        <is>
          <t>G40.909</t>
        </is>
      </c>
      <c r="J1812" t="inlineStr">
        <is>
          <t>PY05</t>
        </is>
      </c>
      <c r="K1812" s="33" t="n">
        <v>454.07</v>
      </c>
      <c r="L1812" s="34" t="n"/>
    </row>
    <row r="1813">
      <c r="A1813" t="inlineStr">
        <is>
          <t>ENC120806</t>
        </is>
      </c>
      <c r="B1813" t="inlineStr">
        <is>
          <t>PT10562</t>
        </is>
      </c>
      <c r="C1813" t="inlineStr">
        <is>
          <t>Emergency</t>
        </is>
      </c>
      <c r="D1813" t="inlineStr">
        <is>
          <t>F01</t>
        </is>
      </c>
      <c r="E1813" t="inlineStr">
        <is>
          <t>D100</t>
        </is>
      </c>
      <c r="G1813" s="32" t="n">
        <v>45993.58888888889</v>
      </c>
      <c r="H1813" s="32" t="n">
        <v>45993.68263888889</v>
      </c>
      <c r="I1813" t="inlineStr">
        <is>
          <t>S93.401A</t>
        </is>
      </c>
      <c r="J1813" t="inlineStr">
        <is>
          <t>PY05</t>
        </is>
      </c>
      <c r="K1813" s="33" t="n">
        <v>619.02</v>
      </c>
      <c r="L1813" s="34" t="n"/>
    </row>
    <row r="1814">
      <c r="A1814" t="inlineStr">
        <is>
          <t>ENC120811</t>
        </is>
      </c>
      <c r="B1814" t="inlineStr">
        <is>
          <t>PT12252</t>
        </is>
      </c>
      <c r="C1814" t="inlineStr">
        <is>
          <t>Outpatient</t>
        </is>
      </c>
      <c r="D1814" t="inlineStr">
        <is>
          <t>F04</t>
        </is>
      </c>
      <c r="E1814" t="inlineStr">
        <is>
          <t>D450</t>
        </is>
      </c>
      <c r="G1814" s="32" t="n">
        <v>45993.63541666666</v>
      </c>
      <c r="H1814" s="32" t="n">
        <v>45993.6625</v>
      </c>
      <c r="I1814" t="inlineStr">
        <is>
          <t>Z00.129</t>
        </is>
      </c>
      <c r="J1814" t="inlineStr">
        <is>
          <t>PY03</t>
        </is>
      </c>
      <c r="K1814" s="33" t="n">
        <v>289.99</v>
      </c>
      <c r="L1814" s="34" t="n"/>
    </row>
    <row r="1815">
      <c r="A1815" t="inlineStr">
        <is>
          <t>ENC120816</t>
        </is>
      </c>
      <c r="B1815" t="inlineStr">
        <is>
          <t>PT13599</t>
        </is>
      </c>
      <c r="C1815" t="inlineStr">
        <is>
          <t>Emergency</t>
        </is>
      </c>
      <c r="D1815" t="inlineStr">
        <is>
          <t>F01</t>
        </is>
      </c>
      <c r="E1815" t="inlineStr">
        <is>
          <t>D100</t>
        </is>
      </c>
      <c r="G1815" s="32" t="n">
        <v>45993.68194444444</v>
      </c>
      <c r="H1815" s="32" t="n">
        <v>45993.84166666667</v>
      </c>
      <c r="I1815" t="inlineStr">
        <is>
          <t>R10.9</t>
        </is>
      </c>
      <c r="J1815" t="inlineStr">
        <is>
          <t>PY01</t>
        </is>
      </c>
      <c r="K1815" s="33" t="n">
        <v>3379.77</v>
      </c>
      <c r="L1815" s="34" t="n"/>
    </row>
    <row r="1816">
      <c r="A1816" t="inlineStr">
        <is>
          <t>ENC120820</t>
        </is>
      </c>
      <c r="B1816" t="inlineStr">
        <is>
          <t>PT10452</t>
        </is>
      </c>
      <c r="C1816" t="inlineStr">
        <is>
          <t>Inpatient</t>
        </is>
      </c>
      <c r="D1816" t="inlineStr">
        <is>
          <t>F01</t>
        </is>
      </c>
      <c r="E1816" t="inlineStr">
        <is>
          <t>D111</t>
        </is>
      </c>
      <c r="F1816" t="inlineStr">
        <is>
          <t>Emergency Department</t>
        </is>
      </c>
      <c r="G1816" s="32" t="n">
        <v>45993.95208333333</v>
      </c>
      <c r="H1816" s="32" t="n">
        <v>45997.55347222222</v>
      </c>
      <c r="I1816" t="inlineStr">
        <is>
          <t>J44.1</t>
        </is>
      </c>
      <c r="J1816" t="inlineStr">
        <is>
          <t>PY01</t>
        </is>
      </c>
      <c r="K1816" s="33" t="n">
        <v>15297.83</v>
      </c>
      <c r="L1816" s="34" t="n"/>
    </row>
    <row r="1817">
      <c r="A1817" t="inlineStr">
        <is>
          <t>ENC120827</t>
        </is>
      </c>
      <c r="B1817" t="inlineStr">
        <is>
          <t>PT12785</t>
        </is>
      </c>
      <c r="C1817" t="inlineStr">
        <is>
          <t>Inpatient</t>
        </is>
      </c>
      <c r="D1817" t="inlineStr">
        <is>
          <t>F01</t>
        </is>
      </c>
      <c r="E1817" t="inlineStr">
        <is>
          <t>D140</t>
        </is>
      </c>
      <c r="F1817" t="inlineStr">
        <is>
          <t>Elective</t>
        </is>
      </c>
      <c r="G1817" s="32" t="n">
        <v>45994.29861111111</v>
      </c>
      <c r="H1817" s="32" t="n">
        <v>45997.6125</v>
      </c>
      <c r="I1817" t="inlineStr">
        <is>
          <t>M16.11</t>
        </is>
      </c>
      <c r="J1817" t="inlineStr">
        <is>
          <t>PY05</t>
        </is>
      </c>
      <c r="K1817" s="33" t="n">
        <v>28038.25</v>
      </c>
      <c r="L1817" s="34" t="n"/>
    </row>
    <row r="1818">
      <c r="A1818" t="inlineStr">
        <is>
          <t>ENC120833</t>
        </is>
      </c>
      <c r="B1818" t="inlineStr">
        <is>
          <t>PT10404</t>
        </is>
      </c>
      <c r="C1818" t="inlineStr">
        <is>
          <t>Inpatient</t>
        </is>
      </c>
      <c r="D1818" t="inlineStr">
        <is>
          <t>F01</t>
        </is>
      </c>
      <c r="E1818" t="inlineStr">
        <is>
          <t>D120</t>
        </is>
      </c>
      <c r="F1818" t="inlineStr">
        <is>
          <t>Direct Admit</t>
        </is>
      </c>
      <c r="G1818" s="32" t="n">
        <v>45994.42222222222</v>
      </c>
      <c r="H1818" s="32" t="n">
        <v>45997.51111111111</v>
      </c>
      <c r="I1818" t="inlineStr">
        <is>
          <t>I21.4</t>
        </is>
      </c>
      <c r="J1818" t="inlineStr">
        <is>
          <t>PY04</t>
        </is>
      </c>
      <c r="K1818" s="33" t="n">
        <v>62660.37</v>
      </c>
      <c r="L1818" s="34" t="n"/>
    </row>
    <row r="1819">
      <c r="A1819" t="inlineStr">
        <is>
          <t>ENC120842</t>
        </is>
      </c>
      <c r="B1819" t="inlineStr">
        <is>
          <t>PT13763</t>
        </is>
      </c>
      <c r="C1819" t="inlineStr">
        <is>
          <t>Inpatient</t>
        </is>
      </c>
      <c r="D1819" t="inlineStr">
        <is>
          <t>F01</t>
        </is>
      </c>
      <c r="E1819" t="inlineStr">
        <is>
          <t>D170</t>
        </is>
      </c>
      <c r="F1819" t="inlineStr">
        <is>
          <t>Direct Admit</t>
        </is>
      </c>
      <c r="G1819" s="32" t="n">
        <v>45994.48472222222</v>
      </c>
      <c r="H1819" s="32" t="n">
        <v>45996.46805555555</v>
      </c>
      <c r="I1819" t="inlineStr">
        <is>
          <t>O80</t>
        </is>
      </c>
      <c r="J1819" t="inlineStr">
        <is>
          <t>PY05</t>
        </is>
      </c>
      <c r="K1819" s="33" t="n">
        <v>11957.61</v>
      </c>
      <c r="L1819" s="34" t="n"/>
    </row>
    <row r="1820">
      <c r="A1820" t="inlineStr">
        <is>
          <t>ENC120847</t>
        </is>
      </c>
      <c r="B1820" t="inlineStr">
        <is>
          <t>PT12669</t>
        </is>
      </c>
      <c r="C1820" t="inlineStr">
        <is>
          <t>Emergency</t>
        </is>
      </c>
      <c r="D1820" t="inlineStr">
        <is>
          <t>F02</t>
        </is>
      </c>
      <c r="E1820" t="inlineStr">
        <is>
          <t>D200</t>
        </is>
      </c>
      <c r="G1820" s="32" t="n">
        <v>45994.55</v>
      </c>
      <c r="H1820" s="32" t="n">
        <v>45994.62777777778</v>
      </c>
      <c r="I1820" t="inlineStr">
        <is>
          <t>J44.1</t>
        </is>
      </c>
      <c r="J1820" t="inlineStr">
        <is>
          <t>PY01</t>
        </is>
      </c>
      <c r="K1820" s="33" t="n">
        <v>1107.65</v>
      </c>
      <c r="L1820" s="34" t="n"/>
    </row>
    <row r="1821">
      <c r="A1821" t="inlineStr">
        <is>
          <t>ENC120838</t>
        </is>
      </c>
      <c r="B1821" t="inlineStr">
        <is>
          <t>PT13672</t>
        </is>
      </c>
      <c r="C1821" t="inlineStr">
        <is>
          <t>Inpatient</t>
        </is>
      </c>
      <c r="D1821" t="inlineStr">
        <is>
          <t>F03</t>
        </is>
      </c>
      <c r="E1821" t="inlineStr">
        <is>
          <t>D310</t>
        </is>
      </c>
      <c r="F1821" t="inlineStr">
        <is>
          <t>Emergency Department</t>
        </is>
      </c>
      <c r="G1821" s="32" t="n">
        <v>45994.61736111111</v>
      </c>
      <c r="H1821" s="32" t="n">
        <v>45997.58680555555</v>
      </c>
      <c r="I1821" t="inlineStr">
        <is>
          <t>J44.1</t>
        </is>
      </c>
      <c r="J1821" t="inlineStr">
        <is>
          <t>PY02</t>
        </is>
      </c>
      <c r="K1821" s="33" t="n">
        <v>13541.03</v>
      </c>
      <c r="L1821" s="34" t="n"/>
    </row>
    <row r="1822">
      <c r="A1822" t="inlineStr">
        <is>
          <t>ENC120856</t>
        </is>
      </c>
      <c r="B1822" t="inlineStr">
        <is>
          <t>PT13183</t>
        </is>
      </c>
      <c r="C1822" t="inlineStr">
        <is>
          <t>Outpatient</t>
        </is>
      </c>
      <c r="D1822" t="inlineStr">
        <is>
          <t>F04</t>
        </is>
      </c>
      <c r="E1822" t="inlineStr">
        <is>
          <t>D450</t>
        </is>
      </c>
      <c r="G1822" s="32" t="n">
        <v>45994.65625</v>
      </c>
      <c r="H1822" s="32" t="n">
        <v>45994.67083333333</v>
      </c>
      <c r="I1822" t="inlineStr">
        <is>
          <t>Z00.129</t>
        </is>
      </c>
      <c r="J1822" t="inlineStr">
        <is>
          <t>PY05</t>
        </is>
      </c>
      <c r="K1822" s="33" t="n">
        <v>225.99</v>
      </c>
      <c r="L1822" s="34" t="n"/>
    </row>
    <row r="1823">
      <c r="A1823" t="inlineStr">
        <is>
          <t>ENC120860</t>
        </is>
      </c>
      <c r="B1823" t="inlineStr">
        <is>
          <t>PT12373</t>
        </is>
      </c>
      <c r="C1823" t="inlineStr">
        <is>
          <t>Emergency</t>
        </is>
      </c>
      <c r="D1823" t="inlineStr">
        <is>
          <t>F02</t>
        </is>
      </c>
      <c r="E1823" t="inlineStr">
        <is>
          <t>D200</t>
        </is>
      </c>
      <c r="G1823" s="32" t="n">
        <v>45994.75486111111</v>
      </c>
      <c r="H1823" s="32" t="n">
        <v>45994.83680555555</v>
      </c>
      <c r="I1823" t="inlineStr">
        <is>
          <t>A08.4</t>
        </is>
      </c>
      <c r="J1823" t="inlineStr">
        <is>
          <t>PY01</t>
        </is>
      </c>
      <c r="K1823" s="33" t="n">
        <v>2772.49</v>
      </c>
      <c r="L1823" s="34" t="n"/>
    </row>
    <row r="1824">
      <c r="A1824" t="inlineStr">
        <is>
          <t>ENC120866</t>
        </is>
      </c>
      <c r="B1824" t="inlineStr">
        <is>
          <t>PT13877</t>
        </is>
      </c>
      <c r="C1824" t="inlineStr">
        <is>
          <t>Emergency</t>
        </is>
      </c>
      <c r="D1824" t="inlineStr">
        <is>
          <t>F01</t>
        </is>
      </c>
      <c r="E1824" t="inlineStr">
        <is>
          <t>D100</t>
        </is>
      </c>
      <c r="G1824" s="32" t="n">
        <v>45995.125</v>
      </c>
      <c r="H1824" s="32" t="n">
        <v>45995.21944444445</v>
      </c>
      <c r="I1824" t="inlineStr">
        <is>
          <t>J18.9</t>
        </is>
      </c>
      <c r="J1824" t="inlineStr">
        <is>
          <t>PY02</t>
        </is>
      </c>
      <c r="K1824" s="33" t="n">
        <v>5475.6</v>
      </c>
      <c r="L1824" s="34" t="n"/>
    </row>
    <row r="1825">
      <c r="A1825" t="inlineStr">
        <is>
          <t>ENC120869</t>
        </is>
      </c>
      <c r="B1825" t="inlineStr">
        <is>
          <t>PT13491</t>
        </is>
      </c>
      <c r="C1825" t="inlineStr">
        <is>
          <t>Inpatient</t>
        </is>
      </c>
      <c r="D1825" t="inlineStr">
        <is>
          <t>F02</t>
        </is>
      </c>
      <c r="E1825" t="inlineStr">
        <is>
          <t>D210</t>
        </is>
      </c>
      <c r="F1825" t="inlineStr">
        <is>
          <t>Emergency Department</t>
        </is>
      </c>
      <c r="G1825" s="32" t="n">
        <v>45995.4</v>
      </c>
      <c r="H1825" s="32" t="n">
        <v>46002.5625</v>
      </c>
      <c r="I1825" t="inlineStr">
        <is>
          <t>J44.1</t>
        </is>
      </c>
      <c r="J1825" t="inlineStr">
        <is>
          <t>PY05</t>
        </is>
      </c>
      <c r="K1825" s="33" t="n">
        <v>33789.9</v>
      </c>
      <c r="L1825" s="34" t="n"/>
    </row>
    <row r="1826">
      <c r="A1826" t="inlineStr">
        <is>
          <t>ENC120877</t>
        </is>
      </c>
      <c r="B1826" t="inlineStr">
        <is>
          <t>PT13223</t>
        </is>
      </c>
      <c r="C1826" t="inlineStr">
        <is>
          <t>Outpatient</t>
        </is>
      </c>
      <c r="D1826" t="inlineStr">
        <is>
          <t>F04</t>
        </is>
      </c>
      <c r="E1826" t="inlineStr">
        <is>
          <t>D400</t>
        </is>
      </c>
      <c r="G1826" s="32" t="n">
        <v>45995.44791666666</v>
      </c>
      <c r="H1826" s="32" t="n">
        <v>45995.46805555555</v>
      </c>
      <c r="I1826" t="inlineStr">
        <is>
          <t>Z23</t>
        </is>
      </c>
      <c r="J1826" t="inlineStr">
        <is>
          <t>PY06</t>
        </is>
      </c>
      <c r="K1826" s="33" t="n">
        <v>96.73</v>
      </c>
      <c r="L1826" s="34" t="n"/>
    </row>
    <row r="1827">
      <c r="A1827" t="inlineStr">
        <is>
          <t>ENC120884</t>
        </is>
      </c>
      <c r="B1827" t="inlineStr">
        <is>
          <t>PT13413</t>
        </is>
      </c>
      <c r="C1827" t="inlineStr">
        <is>
          <t>Outpatient</t>
        </is>
      </c>
      <c r="D1827" t="inlineStr">
        <is>
          <t>F04</t>
        </is>
      </c>
      <c r="E1827" t="inlineStr">
        <is>
          <t>D400</t>
        </is>
      </c>
      <c r="G1827" s="32" t="n">
        <v>45995.51041666666</v>
      </c>
      <c r="H1827" s="32" t="n">
        <v>45995.53819444445</v>
      </c>
      <c r="I1827" t="inlineStr">
        <is>
          <t>G43.909</t>
        </is>
      </c>
      <c r="J1827" t="inlineStr">
        <is>
          <t>PY04</t>
        </is>
      </c>
      <c r="K1827" s="33" t="n">
        <v>249.92</v>
      </c>
      <c r="L1827" s="34" t="n"/>
    </row>
    <row r="1828">
      <c r="A1828" t="inlineStr">
        <is>
          <t>ENC120892</t>
        </is>
      </c>
      <c r="B1828" t="inlineStr">
        <is>
          <t>PT10673</t>
        </is>
      </c>
      <c r="C1828" t="inlineStr">
        <is>
          <t>Outpatient</t>
        </is>
      </c>
      <c r="D1828" t="inlineStr">
        <is>
          <t>F04</t>
        </is>
      </c>
      <c r="E1828" t="inlineStr">
        <is>
          <t>D400</t>
        </is>
      </c>
      <c r="G1828" s="32" t="n">
        <v>45995.5625</v>
      </c>
      <c r="H1828" s="32" t="n">
        <v>45995.59652777778</v>
      </c>
      <c r="I1828" t="inlineStr">
        <is>
          <t>Z00.00</t>
        </is>
      </c>
      <c r="J1828" t="inlineStr">
        <is>
          <t>PY05</t>
        </is>
      </c>
      <c r="K1828" s="33" t="n">
        <v>367.32</v>
      </c>
      <c r="L1828" s="34" t="n"/>
    </row>
    <row r="1829">
      <c r="A1829" t="inlineStr">
        <is>
          <t>ENC120897</t>
        </is>
      </c>
      <c r="B1829" t="inlineStr">
        <is>
          <t>PT12605</t>
        </is>
      </c>
      <c r="C1829" t="inlineStr">
        <is>
          <t>Outpatient</t>
        </is>
      </c>
      <c r="D1829" t="inlineStr">
        <is>
          <t>F04</t>
        </is>
      </c>
      <c r="E1829" t="inlineStr">
        <is>
          <t>D400</t>
        </is>
      </c>
      <c r="G1829" s="32" t="n">
        <v>45995.65625</v>
      </c>
      <c r="H1829" s="32" t="n">
        <v>45995.67916666667</v>
      </c>
      <c r="I1829" t="inlineStr">
        <is>
          <t>F32.9</t>
        </is>
      </c>
      <c r="J1829" t="inlineStr">
        <is>
          <t>PY02</t>
        </is>
      </c>
      <c r="K1829" s="33" t="n">
        <v>327.5</v>
      </c>
      <c r="L1829" s="34" t="n"/>
    </row>
    <row r="1830">
      <c r="A1830" t="inlineStr">
        <is>
          <t>ENC120883</t>
        </is>
      </c>
      <c r="B1830" t="inlineStr">
        <is>
          <t>PT13067</t>
        </is>
      </c>
      <c r="C1830" t="inlineStr">
        <is>
          <t>Inpatient</t>
        </is>
      </c>
      <c r="D1830" t="inlineStr">
        <is>
          <t>F01</t>
        </is>
      </c>
      <c r="E1830" t="inlineStr">
        <is>
          <t>D120</t>
        </is>
      </c>
      <c r="F1830" t="inlineStr">
        <is>
          <t>Emergency Department</t>
        </is>
      </c>
      <c r="G1830" s="32" t="n">
        <v>45995.71180555555</v>
      </c>
      <c r="H1830" s="32" t="n">
        <v>45998.61597222222</v>
      </c>
      <c r="I1830" t="inlineStr">
        <is>
          <t>I48.91</t>
        </is>
      </c>
      <c r="J1830" t="inlineStr">
        <is>
          <t>PY01</t>
        </is>
      </c>
      <c r="K1830" s="33" t="n">
        <v>19388.36</v>
      </c>
      <c r="L1830" s="34" t="n"/>
    </row>
    <row r="1831">
      <c r="A1831" t="inlineStr">
        <is>
          <t>ENC120903</t>
        </is>
      </c>
      <c r="B1831" t="inlineStr">
        <is>
          <t>PT10869</t>
        </is>
      </c>
      <c r="C1831" t="inlineStr">
        <is>
          <t>Inpatient</t>
        </is>
      </c>
      <c r="D1831" t="inlineStr">
        <is>
          <t>F01</t>
        </is>
      </c>
      <c r="E1831" t="inlineStr">
        <is>
          <t>D160</t>
        </is>
      </c>
      <c r="F1831" t="inlineStr">
        <is>
          <t>Emergency Department</t>
        </is>
      </c>
      <c r="G1831" s="32" t="n">
        <v>45995.92708333334</v>
      </c>
      <c r="H1831" s="32" t="n">
        <v>46007.54375</v>
      </c>
      <c r="I1831" t="inlineStr">
        <is>
          <t>I63.9</t>
        </is>
      </c>
      <c r="J1831" t="inlineStr">
        <is>
          <t>PY03</t>
        </is>
      </c>
      <c r="K1831" s="33" t="n">
        <v>76616.11</v>
      </c>
      <c r="L1831" s="34" t="n"/>
    </row>
    <row r="1832">
      <c r="A1832" t="inlineStr">
        <is>
          <t>ENC120910</t>
        </is>
      </c>
      <c r="B1832" t="inlineStr">
        <is>
          <t>PT10912</t>
        </is>
      </c>
      <c r="C1832" t="inlineStr">
        <is>
          <t>Inpatient</t>
        </is>
      </c>
      <c r="D1832" t="inlineStr">
        <is>
          <t>F01</t>
        </is>
      </c>
      <c r="E1832" t="inlineStr">
        <is>
          <t>D110</t>
        </is>
      </c>
      <c r="F1832" t="inlineStr">
        <is>
          <t>Emergency Department</t>
        </is>
      </c>
      <c r="G1832" s="32" t="n">
        <v>45996.28194444445</v>
      </c>
      <c r="H1832" s="32" t="n">
        <v>45998.5375</v>
      </c>
      <c r="I1832" t="inlineStr">
        <is>
          <t>J45.909</t>
        </is>
      </c>
      <c r="J1832" t="inlineStr">
        <is>
          <t>PY04</t>
        </is>
      </c>
      <c r="K1832" s="33" t="n">
        <v>11609.9</v>
      </c>
      <c r="L1832" s="34" t="n"/>
    </row>
    <row r="1833">
      <c r="A1833" t="inlineStr">
        <is>
          <t>ENC120916</t>
        </is>
      </c>
      <c r="B1833" t="inlineStr">
        <is>
          <t>PT13097</t>
        </is>
      </c>
      <c r="C1833" t="inlineStr">
        <is>
          <t>Outpatient</t>
        </is>
      </c>
      <c r="D1833" t="inlineStr">
        <is>
          <t>F04</t>
        </is>
      </c>
      <c r="E1833" t="inlineStr">
        <is>
          <t>D430</t>
        </is>
      </c>
      <c r="G1833" s="32" t="n">
        <v>45996.36458333334</v>
      </c>
      <c r="H1833" s="32" t="n">
        <v>45996.47430555556</v>
      </c>
      <c r="I1833" t="inlineStr">
        <is>
          <t>Z51.11</t>
        </is>
      </c>
      <c r="J1833" t="inlineStr">
        <is>
          <t>PY01</t>
        </is>
      </c>
      <c r="K1833" s="33" t="n">
        <v>10835.17</v>
      </c>
      <c r="L1833" s="34" t="n"/>
    </row>
    <row r="1834">
      <c r="A1834" t="inlineStr">
        <is>
          <t>ENC120921</t>
        </is>
      </c>
      <c r="B1834" t="inlineStr">
        <is>
          <t>PT12444</t>
        </is>
      </c>
      <c r="C1834" t="inlineStr">
        <is>
          <t>Emergency</t>
        </is>
      </c>
      <c r="D1834" t="inlineStr">
        <is>
          <t>F01</t>
        </is>
      </c>
      <c r="E1834" t="inlineStr">
        <is>
          <t>D100</t>
        </is>
      </c>
      <c r="G1834" s="32" t="n">
        <v>45996.42291666667</v>
      </c>
      <c r="H1834" s="32" t="n">
        <v>45996.50486111111</v>
      </c>
      <c r="I1834" t="inlineStr">
        <is>
          <t>M54.50</t>
        </is>
      </c>
      <c r="J1834" t="inlineStr">
        <is>
          <t>PY04</t>
        </is>
      </c>
      <c r="K1834" s="33" t="n">
        <v>1686.25</v>
      </c>
      <c r="L1834" s="34" t="n"/>
    </row>
    <row r="1835">
      <c r="A1835" t="inlineStr">
        <is>
          <t>ENC120928</t>
        </is>
      </c>
      <c r="B1835" t="inlineStr">
        <is>
          <t>PT13639</t>
        </is>
      </c>
      <c r="C1835" t="inlineStr">
        <is>
          <t>Outpatient</t>
        </is>
      </c>
      <c r="D1835" t="inlineStr">
        <is>
          <t>F04</t>
        </is>
      </c>
      <c r="E1835" t="inlineStr">
        <is>
          <t>D450</t>
        </is>
      </c>
      <c r="G1835" s="32" t="n">
        <v>45996.48958333334</v>
      </c>
      <c r="H1835" s="32" t="n">
        <v>45996.52083333334</v>
      </c>
      <c r="I1835" t="inlineStr">
        <is>
          <t>J06.9</t>
        </is>
      </c>
      <c r="J1835" t="inlineStr">
        <is>
          <t>PY06</t>
        </is>
      </c>
      <c r="K1835" s="33" t="n">
        <v>375.37</v>
      </c>
      <c r="L1835" s="34" t="n"/>
    </row>
    <row r="1836">
      <c r="A1836" t="inlineStr">
        <is>
          <t>ENC120934</t>
        </is>
      </c>
      <c r="B1836" t="inlineStr">
        <is>
          <t>PT12718</t>
        </is>
      </c>
      <c r="C1836" t="inlineStr">
        <is>
          <t>Outpatient</t>
        </is>
      </c>
      <c r="D1836" t="inlineStr">
        <is>
          <t>F04</t>
        </is>
      </c>
      <c r="E1836" t="inlineStr">
        <is>
          <t>D430</t>
        </is>
      </c>
      <c r="G1836" s="32" t="n">
        <v>45996.57291666666</v>
      </c>
      <c r="H1836" s="32" t="n">
        <v>45996.75972222222</v>
      </c>
      <c r="I1836" t="inlineStr">
        <is>
          <t>Z51.11</t>
        </is>
      </c>
      <c r="J1836" t="inlineStr">
        <is>
          <t>PY03</t>
        </is>
      </c>
      <c r="K1836" s="33" t="n">
        <v>11047.78</v>
      </c>
      <c r="L1836" s="34" t="n"/>
    </row>
    <row r="1837">
      <c r="A1837" t="inlineStr">
        <is>
          <t>ENC120938</t>
        </is>
      </c>
      <c r="B1837" t="inlineStr">
        <is>
          <t>PT11416</t>
        </is>
      </c>
      <c r="C1837" t="inlineStr">
        <is>
          <t>Outpatient</t>
        </is>
      </c>
      <c r="D1837" t="inlineStr">
        <is>
          <t>F04</t>
        </is>
      </c>
      <c r="E1837" t="inlineStr">
        <is>
          <t>D420</t>
        </is>
      </c>
      <c r="G1837" s="32" t="n">
        <v>45996.61458333334</v>
      </c>
      <c r="H1837" s="32" t="n">
        <v>45996.63541666666</v>
      </c>
      <c r="I1837" t="inlineStr">
        <is>
          <t>M16.11</t>
        </is>
      </c>
      <c r="J1837" t="inlineStr">
        <is>
          <t>PY03</t>
        </is>
      </c>
      <c r="K1837" s="33" t="n">
        <v>223.24</v>
      </c>
      <c r="L1837" s="34" t="n"/>
    </row>
    <row r="1838">
      <c r="A1838" t="inlineStr">
        <is>
          <t>ENC120944</t>
        </is>
      </c>
      <c r="B1838" t="inlineStr">
        <is>
          <t>PT11902</t>
        </is>
      </c>
      <c r="C1838" t="inlineStr">
        <is>
          <t>Outpatient</t>
        </is>
      </c>
      <c r="D1838" t="inlineStr">
        <is>
          <t>F04</t>
        </is>
      </c>
      <c r="E1838" t="inlineStr">
        <is>
          <t>D420</t>
        </is>
      </c>
      <c r="G1838" s="32" t="n">
        <v>45996.66666666666</v>
      </c>
      <c r="H1838" s="32" t="n">
        <v>45996.68611111111</v>
      </c>
      <c r="I1838" t="inlineStr">
        <is>
          <t>M17.11</t>
        </is>
      </c>
      <c r="J1838" t="inlineStr">
        <is>
          <t>PY01</t>
        </is>
      </c>
      <c r="K1838" s="33" t="n">
        <v>399</v>
      </c>
      <c r="L1838" s="34" t="n"/>
    </row>
    <row r="1839">
      <c r="A1839" t="inlineStr">
        <is>
          <t>ENC120949</t>
        </is>
      </c>
      <c r="B1839" t="inlineStr">
        <is>
          <t>PT12834</t>
        </is>
      </c>
      <c r="C1839" t="inlineStr">
        <is>
          <t>Emergency</t>
        </is>
      </c>
      <c r="D1839" t="inlineStr">
        <is>
          <t>F01</t>
        </is>
      </c>
      <c r="E1839" t="inlineStr">
        <is>
          <t>D100</t>
        </is>
      </c>
      <c r="G1839" s="32" t="n">
        <v>45996.70555555556</v>
      </c>
      <c r="H1839" s="32" t="n">
        <v>45996.80694444444</v>
      </c>
      <c r="I1839" t="inlineStr">
        <is>
          <t>J06.9</t>
        </is>
      </c>
      <c r="J1839" t="inlineStr">
        <is>
          <t>PY01</t>
        </is>
      </c>
      <c r="K1839" s="33" t="n">
        <v>1357.52</v>
      </c>
      <c r="L1839" s="34" t="n"/>
    </row>
    <row r="1840">
      <c r="A1840" t="inlineStr">
        <is>
          <t>ENC120956</t>
        </is>
      </c>
      <c r="B1840" t="inlineStr">
        <is>
          <t>PT12304</t>
        </is>
      </c>
      <c r="C1840" t="inlineStr">
        <is>
          <t>Inpatient</t>
        </is>
      </c>
      <c r="D1840" t="inlineStr">
        <is>
          <t>F01</t>
        </is>
      </c>
      <c r="E1840" t="inlineStr">
        <is>
          <t>D120</t>
        </is>
      </c>
      <c r="F1840" t="inlineStr">
        <is>
          <t>Transfer</t>
        </is>
      </c>
      <c r="G1840" s="32" t="n">
        <v>45997.02083333334</v>
      </c>
      <c r="H1840" s="32" t="n">
        <v>45999.67152777778</v>
      </c>
      <c r="I1840" t="inlineStr">
        <is>
          <t>I50.9</t>
        </is>
      </c>
      <c r="J1840" t="inlineStr">
        <is>
          <t>PY01</t>
        </is>
      </c>
      <c r="K1840" s="33" t="n">
        <v>21597.84</v>
      </c>
      <c r="L1840" s="34" t="n"/>
    </row>
    <row r="1841">
      <c r="A1841" t="inlineStr">
        <is>
          <t>ENC120962</t>
        </is>
      </c>
      <c r="B1841" t="inlineStr">
        <is>
          <t>PT11083</t>
        </is>
      </c>
      <c r="C1841" t="inlineStr">
        <is>
          <t>Inpatient</t>
        </is>
      </c>
      <c r="D1841" t="inlineStr">
        <is>
          <t>F01</t>
        </is>
      </c>
      <c r="E1841" t="inlineStr">
        <is>
          <t>D170</t>
        </is>
      </c>
      <c r="F1841" t="inlineStr">
        <is>
          <t>Direct Admit</t>
        </is>
      </c>
      <c r="G1841" s="32" t="n">
        <v>45997.35902777778</v>
      </c>
      <c r="H1841" s="32" t="n">
        <v>45999.66597222222</v>
      </c>
      <c r="I1841" t="inlineStr">
        <is>
          <t>O80</t>
        </is>
      </c>
      <c r="J1841" t="inlineStr">
        <is>
          <t>PY03</t>
        </is>
      </c>
      <c r="K1841" s="33" t="n">
        <v>18454.96</v>
      </c>
      <c r="L1841" s="34" t="n"/>
    </row>
    <row r="1842">
      <c r="A1842" t="inlineStr">
        <is>
          <t>ENC120968</t>
        </is>
      </c>
      <c r="B1842" t="inlineStr">
        <is>
          <t>PT13661</t>
        </is>
      </c>
      <c r="C1842" t="inlineStr">
        <is>
          <t>Emergency</t>
        </is>
      </c>
      <c r="D1842" t="inlineStr">
        <is>
          <t>F01</t>
        </is>
      </c>
      <c r="E1842" t="inlineStr">
        <is>
          <t>D100</t>
        </is>
      </c>
      <c r="G1842" s="32" t="n">
        <v>45997.47777777778</v>
      </c>
      <c r="H1842" s="32" t="n">
        <v>45997.52430555555</v>
      </c>
      <c r="I1842" t="inlineStr">
        <is>
          <t>S93.401A</t>
        </is>
      </c>
      <c r="J1842" t="inlineStr">
        <is>
          <t>PY04</t>
        </is>
      </c>
      <c r="K1842" s="33" t="n">
        <v>1109.8</v>
      </c>
      <c r="L1842" s="34" t="n"/>
    </row>
    <row r="1843">
      <c r="A1843" t="inlineStr">
        <is>
          <t>ENC120971</t>
        </is>
      </c>
      <c r="B1843" t="inlineStr">
        <is>
          <t>PT10399</t>
        </is>
      </c>
      <c r="C1843" t="inlineStr">
        <is>
          <t>Emergency</t>
        </is>
      </c>
      <c r="D1843" t="inlineStr">
        <is>
          <t>F01</t>
        </is>
      </c>
      <c r="E1843" t="inlineStr">
        <is>
          <t>D100</t>
        </is>
      </c>
      <c r="G1843" s="32" t="n">
        <v>45997.67986111111</v>
      </c>
      <c r="H1843" s="32" t="n">
        <v>45997.81597222222</v>
      </c>
      <c r="I1843" t="inlineStr">
        <is>
          <t>U07.1</t>
        </is>
      </c>
      <c r="J1843" t="inlineStr">
        <is>
          <t>PY05</t>
        </is>
      </c>
      <c r="K1843" s="33" t="n">
        <v>1803.1</v>
      </c>
      <c r="L1843" s="34" t="n"/>
    </row>
    <row r="1844">
      <c r="A1844" t="inlineStr">
        <is>
          <t>ENC120978</t>
        </is>
      </c>
      <c r="B1844" t="inlineStr">
        <is>
          <t>PT12368</t>
        </is>
      </c>
      <c r="C1844" t="inlineStr">
        <is>
          <t>Inpatient</t>
        </is>
      </c>
      <c r="D1844" t="inlineStr">
        <is>
          <t>F02</t>
        </is>
      </c>
      <c r="E1844" t="inlineStr">
        <is>
          <t>D210</t>
        </is>
      </c>
      <c r="F1844" t="inlineStr">
        <is>
          <t>Emergency Department</t>
        </is>
      </c>
      <c r="G1844" s="32" t="n">
        <v>45997.94513888889</v>
      </c>
      <c r="H1844" s="32" t="n">
        <v>46006.60208333333</v>
      </c>
      <c r="I1844" t="inlineStr">
        <is>
          <t>K56.609</t>
        </is>
      </c>
      <c r="J1844" t="inlineStr">
        <is>
          <t>PY05</t>
        </is>
      </c>
      <c r="K1844" s="33" t="n">
        <v>55015.83</v>
      </c>
      <c r="L1844" s="34" t="n"/>
    </row>
    <row r="1845">
      <c r="A1845" t="inlineStr">
        <is>
          <t>ENC120985</t>
        </is>
      </c>
      <c r="B1845" t="inlineStr">
        <is>
          <t>PT12525</t>
        </is>
      </c>
      <c r="C1845" t="inlineStr">
        <is>
          <t>Emergency</t>
        </is>
      </c>
      <c r="D1845" t="inlineStr">
        <is>
          <t>F01</t>
        </is>
      </c>
      <c r="E1845" t="inlineStr">
        <is>
          <t>D100</t>
        </is>
      </c>
      <c r="G1845" s="32" t="n">
        <v>45998.45416666667</v>
      </c>
      <c r="H1845" s="32" t="n">
        <v>45998.66319444445</v>
      </c>
      <c r="I1845" t="inlineStr">
        <is>
          <t>U07.1</t>
        </is>
      </c>
      <c r="J1845" t="inlineStr">
        <is>
          <t>PY03</t>
        </is>
      </c>
      <c r="K1845" s="33" t="n">
        <v>3339.15</v>
      </c>
      <c r="L1845" s="34" t="n"/>
    </row>
    <row r="1846">
      <c r="A1846" t="inlineStr">
        <is>
          <t>ENC120989</t>
        </is>
      </c>
      <c r="B1846" t="inlineStr">
        <is>
          <t>PT12485</t>
        </is>
      </c>
      <c r="C1846" t="inlineStr">
        <is>
          <t>Emergency</t>
        </is>
      </c>
      <c r="D1846" t="inlineStr">
        <is>
          <t>F03</t>
        </is>
      </c>
      <c r="E1846" t="inlineStr">
        <is>
          <t>D300</t>
        </is>
      </c>
      <c r="G1846" s="32" t="n">
        <v>45998.61875</v>
      </c>
      <c r="H1846" s="32" t="n">
        <v>45998.70138888889</v>
      </c>
      <c r="I1846" t="inlineStr">
        <is>
          <t>S06.0X0A</t>
        </is>
      </c>
      <c r="J1846" t="inlineStr">
        <is>
          <t>PY01</t>
        </is>
      </c>
      <c r="K1846" s="33" t="n">
        <v>576.3</v>
      </c>
      <c r="L1846" s="34" t="n"/>
    </row>
    <row r="1847">
      <c r="A1847" t="inlineStr">
        <is>
          <t>ENC120994</t>
        </is>
      </c>
      <c r="B1847" t="inlineStr">
        <is>
          <t>PT13670</t>
        </is>
      </c>
      <c r="C1847" t="inlineStr">
        <is>
          <t>Emergency</t>
        </is>
      </c>
      <c r="D1847" t="inlineStr">
        <is>
          <t>F01</t>
        </is>
      </c>
      <c r="E1847" t="inlineStr">
        <is>
          <t>D100</t>
        </is>
      </c>
      <c r="G1847" s="32" t="n">
        <v>45999.08125</v>
      </c>
      <c r="H1847" s="32" t="n">
        <v>45999.23125</v>
      </c>
      <c r="I1847" t="inlineStr">
        <is>
          <t>G43.909</t>
        </is>
      </c>
      <c r="J1847" t="inlineStr">
        <is>
          <t>PY04</t>
        </is>
      </c>
      <c r="K1847" s="33" t="n">
        <v>639.8200000000001</v>
      </c>
      <c r="L1847" s="34" t="n"/>
    </row>
    <row r="1848">
      <c r="A1848" t="inlineStr">
        <is>
          <t>ENC121000</t>
        </is>
      </c>
      <c r="B1848" t="inlineStr">
        <is>
          <t>PT12446</t>
        </is>
      </c>
      <c r="C1848" t="inlineStr">
        <is>
          <t>Outpatient</t>
        </is>
      </c>
      <c r="D1848" t="inlineStr">
        <is>
          <t>F04</t>
        </is>
      </c>
      <c r="E1848" t="inlineStr">
        <is>
          <t>D450</t>
        </is>
      </c>
      <c r="G1848" s="32" t="n">
        <v>45999.33333333334</v>
      </c>
      <c r="H1848" s="32" t="n">
        <v>45999.36527777778</v>
      </c>
      <c r="I1848" t="inlineStr">
        <is>
          <t>Z00.129</t>
        </is>
      </c>
      <c r="J1848" t="inlineStr">
        <is>
          <t>PY03</t>
        </is>
      </c>
      <c r="K1848" s="33" t="n">
        <v>235.41</v>
      </c>
      <c r="L1848" s="34" t="n"/>
    </row>
    <row r="1849">
      <c r="A1849" t="inlineStr">
        <is>
          <t>ENC121006</t>
        </is>
      </c>
      <c r="B1849" t="inlineStr">
        <is>
          <t>PT10414</t>
        </is>
      </c>
      <c r="C1849" t="inlineStr">
        <is>
          <t>Emergency</t>
        </is>
      </c>
      <c r="D1849" t="inlineStr">
        <is>
          <t>F01</t>
        </is>
      </c>
      <c r="E1849" t="inlineStr">
        <is>
          <t>D100</t>
        </is>
      </c>
      <c r="G1849" s="32" t="n">
        <v>45999.40763888889</v>
      </c>
      <c r="H1849" s="32" t="n">
        <v>45999.50763888889</v>
      </c>
      <c r="I1849" t="inlineStr">
        <is>
          <t>J06.9</t>
        </is>
      </c>
      <c r="J1849" t="inlineStr">
        <is>
          <t>PY05</t>
        </is>
      </c>
      <c r="K1849" s="33" t="n">
        <v>914.55</v>
      </c>
      <c r="L1849" s="34" t="n"/>
    </row>
    <row r="1850">
      <c r="A1850" t="inlineStr">
        <is>
          <t>ENC121010</t>
        </is>
      </c>
      <c r="B1850" t="inlineStr">
        <is>
          <t>PT12249</t>
        </is>
      </c>
      <c r="C1850" t="inlineStr">
        <is>
          <t>Outpatient</t>
        </is>
      </c>
      <c r="D1850" t="inlineStr">
        <is>
          <t>F04</t>
        </is>
      </c>
      <c r="E1850" t="inlineStr">
        <is>
          <t>D440</t>
        </is>
      </c>
      <c r="G1850" s="32" t="n">
        <v>45999.44791666666</v>
      </c>
      <c r="H1850" s="32" t="n">
        <v>45999.48125</v>
      </c>
      <c r="I1850" t="inlineStr">
        <is>
          <t>E11.65</t>
        </is>
      </c>
      <c r="J1850" t="inlineStr">
        <is>
          <t>PY04</t>
        </is>
      </c>
      <c r="K1850" s="33" t="n">
        <v>195.67</v>
      </c>
      <c r="L1850" s="34" t="n"/>
    </row>
    <row r="1851">
      <c r="A1851" t="inlineStr">
        <is>
          <t>ENC121018</t>
        </is>
      </c>
      <c r="B1851" t="inlineStr">
        <is>
          <t>PT13109</t>
        </is>
      </c>
      <c r="C1851" t="inlineStr">
        <is>
          <t>Emergency</t>
        </is>
      </c>
      <c r="D1851" t="inlineStr">
        <is>
          <t>F01</t>
        </is>
      </c>
      <c r="E1851" t="inlineStr">
        <is>
          <t>D100</t>
        </is>
      </c>
      <c r="G1851" s="32" t="n">
        <v>45999.53125</v>
      </c>
      <c r="H1851" s="32" t="n">
        <v>45999.68402777778</v>
      </c>
      <c r="I1851" t="inlineStr">
        <is>
          <t>J06.9</t>
        </is>
      </c>
      <c r="J1851" t="inlineStr">
        <is>
          <t>PY07</t>
        </is>
      </c>
      <c r="K1851" s="33" t="n">
        <v>1077.49</v>
      </c>
      <c r="L1851" s="34" t="n"/>
    </row>
    <row r="1852">
      <c r="A1852" t="inlineStr">
        <is>
          <t>ENC121026</t>
        </is>
      </c>
      <c r="B1852" t="inlineStr">
        <is>
          <t>PT11406</t>
        </is>
      </c>
      <c r="C1852" t="inlineStr">
        <is>
          <t>Emergency</t>
        </is>
      </c>
      <c r="D1852" t="inlineStr">
        <is>
          <t>F02</t>
        </is>
      </c>
      <c r="E1852" t="inlineStr">
        <is>
          <t>D200</t>
        </is>
      </c>
      <c r="G1852" s="32" t="n">
        <v>45999.58819444444</v>
      </c>
      <c r="H1852" s="32" t="n">
        <v>45999.78541666667</v>
      </c>
      <c r="I1852" t="inlineStr">
        <is>
          <t>R07.9</t>
        </is>
      </c>
      <c r="J1852" t="inlineStr">
        <is>
          <t>PY02</t>
        </is>
      </c>
      <c r="K1852" s="33" t="n">
        <v>5183.23</v>
      </c>
      <c r="L1852" s="34" t="n"/>
    </row>
    <row r="1853">
      <c r="A1853" t="inlineStr">
        <is>
          <t>ENC121032</t>
        </is>
      </c>
      <c r="B1853" t="inlineStr">
        <is>
          <t>PT13555</t>
        </is>
      </c>
      <c r="C1853" t="inlineStr">
        <is>
          <t>Emergency</t>
        </is>
      </c>
      <c r="D1853" t="inlineStr">
        <is>
          <t>F01</t>
        </is>
      </c>
      <c r="E1853" t="inlineStr">
        <is>
          <t>D100</t>
        </is>
      </c>
      <c r="G1853" s="32" t="n">
        <v>45999.61388888889</v>
      </c>
      <c r="H1853" s="32" t="n">
        <v>45999.82986111111</v>
      </c>
      <c r="I1853" t="inlineStr">
        <is>
          <t>R07.9</t>
        </is>
      </c>
      <c r="J1853" t="inlineStr">
        <is>
          <t>PY01</t>
        </is>
      </c>
      <c r="K1853" s="33" t="n">
        <v>2645.92</v>
      </c>
      <c r="L1853" s="34" t="n"/>
    </row>
    <row r="1854">
      <c r="A1854" t="inlineStr">
        <is>
          <t>ENC121037</t>
        </is>
      </c>
      <c r="B1854" t="inlineStr">
        <is>
          <t>PT12683</t>
        </is>
      </c>
      <c r="C1854" t="inlineStr">
        <is>
          <t>Inpatient</t>
        </is>
      </c>
      <c r="D1854" t="inlineStr">
        <is>
          <t>F01</t>
        </is>
      </c>
      <c r="E1854" t="inlineStr">
        <is>
          <t>D110</t>
        </is>
      </c>
      <c r="F1854" t="inlineStr">
        <is>
          <t>Direct Admit</t>
        </is>
      </c>
      <c r="G1854" s="32" t="n">
        <v>45999.66111111111</v>
      </c>
      <c r="H1854" s="32" t="n">
        <v>46003.47013888889</v>
      </c>
      <c r="I1854" t="inlineStr">
        <is>
          <t>J44.1</t>
        </is>
      </c>
      <c r="J1854" t="inlineStr">
        <is>
          <t>PY01</t>
        </is>
      </c>
      <c r="K1854" s="33" t="n">
        <v>20277.35</v>
      </c>
      <c r="L1854" s="34" t="n"/>
    </row>
    <row r="1855">
      <c r="A1855" t="inlineStr">
        <is>
          <t>ENC121023</t>
        </is>
      </c>
      <c r="B1855" t="inlineStr">
        <is>
          <t>PT13357</t>
        </is>
      </c>
      <c r="C1855" t="inlineStr">
        <is>
          <t>Observation</t>
        </is>
      </c>
      <c r="D1855" t="inlineStr">
        <is>
          <t>F01</t>
        </is>
      </c>
      <c r="E1855" t="inlineStr">
        <is>
          <t>D195</t>
        </is>
      </c>
      <c r="F1855" t="inlineStr">
        <is>
          <t>Emergency Department</t>
        </is>
      </c>
      <c r="G1855" s="32" t="n">
        <v>45999.71736111111</v>
      </c>
      <c r="H1855" s="32" t="n">
        <v>46000.52222222222</v>
      </c>
      <c r="I1855" t="inlineStr">
        <is>
          <t>I21.4</t>
        </is>
      </c>
      <c r="J1855" t="inlineStr">
        <is>
          <t>PY03</t>
        </is>
      </c>
      <c r="K1855" s="33" t="n">
        <v>6302.22</v>
      </c>
      <c r="L1855" s="34" t="n"/>
    </row>
    <row r="1856">
      <c r="A1856" t="inlineStr">
        <is>
          <t>ENC121046</t>
        </is>
      </c>
      <c r="B1856" t="inlineStr">
        <is>
          <t>PT10910</t>
        </is>
      </c>
      <c r="C1856" t="inlineStr">
        <is>
          <t>Emergency</t>
        </is>
      </c>
      <c r="D1856" t="inlineStr">
        <is>
          <t>F02</t>
        </is>
      </c>
      <c r="E1856" t="inlineStr">
        <is>
          <t>D200</t>
        </is>
      </c>
      <c r="G1856" s="32" t="n">
        <v>45999.91944444444</v>
      </c>
      <c r="H1856" s="32" t="n">
        <v>46000.08402777778</v>
      </c>
      <c r="I1856" t="inlineStr">
        <is>
          <t>J18.9</t>
        </is>
      </c>
      <c r="J1856" t="inlineStr">
        <is>
          <t>PY05</t>
        </is>
      </c>
      <c r="K1856" s="33" t="n">
        <v>2527.59</v>
      </c>
      <c r="L1856" s="34" t="n"/>
    </row>
    <row r="1857">
      <c r="A1857" t="inlineStr">
        <is>
          <t>ENC121048</t>
        </is>
      </c>
      <c r="B1857" t="inlineStr">
        <is>
          <t>PT10307</t>
        </is>
      </c>
      <c r="C1857" t="inlineStr">
        <is>
          <t>Inpatient</t>
        </is>
      </c>
      <c r="D1857" t="inlineStr">
        <is>
          <t>F02</t>
        </is>
      </c>
      <c r="E1857" t="inlineStr">
        <is>
          <t>D210</t>
        </is>
      </c>
      <c r="F1857" t="inlineStr">
        <is>
          <t>Emergency Department</t>
        </is>
      </c>
      <c r="G1857" s="32" t="n">
        <v>46000.15763888889</v>
      </c>
      <c r="H1857" s="32" t="n">
        <v>46005.82430555556</v>
      </c>
      <c r="I1857" t="inlineStr">
        <is>
          <t>J18.9</t>
        </is>
      </c>
      <c r="J1857" t="inlineStr">
        <is>
          <t>PY01</t>
        </is>
      </c>
      <c r="K1857" s="33" t="n">
        <v>22325.37</v>
      </c>
      <c r="L1857" s="34" t="n"/>
    </row>
    <row r="1858">
      <c r="A1858" t="inlineStr">
        <is>
          <t>ENC121056</t>
        </is>
      </c>
      <c r="B1858" t="inlineStr">
        <is>
          <t>PT10886</t>
        </is>
      </c>
      <c r="C1858" t="inlineStr">
        <is>
          <t>Emergency</t>
        </is>
      </c>
      <c r="D1858" t="inlineStr">
        <is>
          <t>F03</t>
        </is>
      </c>
      <c r="E1858" t="inlineStr">
        <is>
          <t>D300</t>
        </is>
      </c>
      <c r="G1858" s="32" t="n">
        <v>46000.38263888889</v>
      </c>
      <c r="H1858" s="32" t="n">
        <v>46000.49583333333</v>
      </c>
      <c r="I1858" t="inlineStr">
        <is>
          <t>J18.9</t>
        </is>
      </c>
      <c r="J1858" t="inlineStr">
        <is>
          <t>PY02</t>
        </is>
      </c>
      <c r="K1858" s="33" t="n">
        <v>4401.62</v>
      </c>
      <c r="L1858" s="34" t="n"/>
    </row>
    <row r="1859">
      <c r="A1859" t="inlineStr">
        <is>
          <t>ENC121053</t>
        </is>
      </c>
      <c r="B1859" t="inlineStr">
        <is>
          <t>PT10553</t>
        </is>
      </c>
      <c r="C1859" t="inlineStr">
        <is>
          <t>Inpatient</t>
        </is>
      </c>
      <c r="D1859" t="inlineStr">
        <is>
          <t>F01</t>
        </is>
      </c>
      <c r="E1859" t="inlineStr">
        <is>
          <t>D110</t>
        </is>
      </c>
      <c r="F1859" t="inlineStr">
        <is>
          <t>Emergency Department</t>
        </is>
      </c>
      <c r="G1859" s="32" t="n">
        <v>46000.44305555556</v>
      </c>
      <c r="H1859" s="32" t="n">
        <v>46003.60486111111</v>
      </c>
      <c r="I1859" t="inlineStr">
        <is>
          <t>A41.9</t>
        </is>
      </c>
      <c r="J1859" t="inlineStr">
        <is>
          <t>PY06</t>
        </is>
      </c>
      <c r="K1859" s="33" t="n">
        <v>37617.94</v>
      </c>
      <c r="L1859" s="34" t="n"/>
    </row>
    <row r="1860">
      <c r="A1860" t="inlineStr">
        <is>
          <t>ENC121059</t>
        </is>
      </c>
      <c r="B1860" t="inlineStr">
        <is>
          <t>PT12174</t>
        </is>
      </c>
      <c r="C1860" t="inlineStr">
        <is>
          <t>Observation</t>
        </is>
      </c>
      <c r="D1860" t="inlineStr">
        <is>
          <t>F01</t>
        </is>
      </c>
      <c r="E1860" t="inlineStr">
        <is>
          <t>D195</t>
        </is>
      </c>
      <c r="F1860" t="inlineStr">
        <is>
          <t>Emergency Department</t>
        </is>
      </c>
      <c r="G1860" s="32" t="n">
        <v>46000.46805555555</v>
      </c>
      <c r="H1860" s="32" t="n">
        <v>46002.06180555555</v>
      </c>
      <c r="I1860" t="inlineStr">
        <is>
          <t>F41.9</t>
        </is>
      </c>
      <c r="J1860" t="inlineStr">
        <is>
          <t>PY03</t>
        </is>
      </c>
      <c r="K1860" s="33" t="n">
        <v>8130.97</v>
      </c>
      <c r="L1860" s="34" t="n"/>
    </row>
    <row r="1861">
      <c r="A1861" t="inlineStr">
        <is>
          <t>ENC121075</t>
        </is>
      </c>
      <c r="B1861" t="inlineStr">
        <is>
          <t>PT11855</t>
        </is>
      </c>
      <c r="C1861" t="inlineStr">
        <is>
          <t>Outpatient</t>
        </is>
      </c>
      <c r="D1861" t="inlineStr">
        <is>
          <t>F04</t>
        </is>
      </c>
      <c r="E1861" t="inlineStr">
        <is>
          <t>D450</t>
        </is>
      </c>
      <c r="G1861" s="32" t="n">
        <v>46000.57291666666</v>
      </c>
      <c r="H1861" s="32" t="n">
        <v>46000.58680555555</v>
      </c>
      <c r="I1861" t="inlineStr">
        <is>
          <t>Z00.129</t>
        </is>
      </c>
      <c r="J1861" t="inlineStr">
        <is>
          <t>PY03</t>
        </is>
      </c>
      <c r="K1861" s="33" t="n">
        <v>377.56</v>
      </c>
      <c r="L1861" s="34" t="n"/>
    </row>
    <row r="1862">
      <c r="A1862" t="inlineStr">
        <is>
          <t>ENC121069</t>
        </is>
      </c>
      <c r="B1862" t="inlineStr">
        <is>
          <t>PT11604</t>
        </is>
      </c>
      <c r="C1862" t="inlineStr">
        <is>
          <t>Inpatient</t>
        </is>
      </c>
      <c r="D1862" t="inlineStr">
        <is>
          <t>F01</t>
        </is>
      </c>
      <c r="E1862" t="inlineStr">
        <is>
          <t>D170</t>
        </is>
      </c>
      <c r="F1862" t="inlineStr">
        <is>
          <t>Emergency Department</t>
        </is>
      </c>
      <c r="G1862" s="32" t="n">
        <v>46000.63958333333</v>
      </c>
      <c r="H1862" s="32" t="n">
        <v>46005.67083333333</v>
      </c>
      <c r="I1862" t="inlineStr">
        <is>
          <t>O80</t>
        </is>
      </c>
      <c r="J1862" t="inlineStr">
        <is>
          <t>PY06</t>
        </is>
      </c>
      <c r="K1862" s="33" t="n">
        <v>23921.17</v>
      </c>
      <c r="L1862" s="34" t="n"/>
    </row>
    <row r="1863">
      <c r="A1863" t="inlineStr">
        <is>
          <t>ENC121085</t>
        </is>
      </c>
      <c r="B1863" t="inlineStr">
        <is>
          <t>PT11665</t>
        </is>
      </c>
      <c r="C1863" t="inlineStr">
        <is>
          <t>Emergency</t>
        </is>
      </c>
      <c r="D1863" t="inlineStr">
        <is>
          <t>F01</t>
        </is>
      </c>
      <c r="E1863" t="inlineStr">
        <is>
          <t>D100</t>
        </is>
      </c>
      <c r="G1863" s="32" t="n">
        <v>46000.70208333333</v>
      </c>
      <c r="H1863" s="32" t="n">
        <v>46000.82777777778</v>
      </c>
      <c r="I1863" t="inlineStr">
        <is>
          <t>R10.9</t>
        </is>
      </c>
      <c r="J1863" t="inlineStr">
        <is>
          <t>PY06</t>
        </is>
      </c>
      <c r="K1863" s="33" t="n">
        <v>1751.21</v>
      </c>
      <c r="L1863" s="34" t="n"/>
    </row>
    <row r="1864">
      <c r="A1864" t="inlineStr">
        <is>
          <t>ENC121084</t>
        </is>
      </c>
      <c r="B1864" t="inlineStr">
        <is>
          <t>PT13443</t>
        </is>
      </c>
      <c r="C1864" t="inlineStr">
        <is>
          <t>Inpatient</t>
        </is>
      </c>
      <c r="D1864" t="inlineStr">
        <is>
          <t>F02</t>
        </is>
      </c>
      <c r="E1864" t="inlineStr">
        <is>
          <t>D210</t>
        </is>
      </c>
      <c r="F1864" t="inlineStr">
        <is>
          <t>Emergency Department</t>
        </is>
      </c>
      <c r="G1864" s="32" t="n">
        <v>46000.79513888889</v>
      </c>
      <c r="H1864" s="32" t="n">
        <v>46004.50347222222</v>
      </c>
      <c r="I1864" t="inlineStr">
        <is>
          <t>J18.9</t>
        </is>
      </c>
      <c r="J1864" t="inlineStr">
        <is>
          <t>PY06</t>
        </is>
      </c>
      <c r="K1864" s="33" t="n">
        <v>23632.22</v>
      </c>
      <c r="L1864" s="34" t="n"/>
    </row>
    <row r="1865">
      <c r="A1865" t="inlineStr">
        <is>
          <t>ENC121095</t>
        </is>
      </c>
      <c r="B1865" t="inlineStr">
        <is>
          <t>PT13811</t>
        </is>
      </c>
      <c r="C1865" t="inlineStr">
        <is>
          <t>Inpatient</t>
        </is>
      </c>
      <c r="D1865" t="inlineStr">
        <is>
          <t>F01</t>
        </is>
      </c>
      <c r="E1865" t="inlineStr">
        <is>
          <t>D140</t>
        </is>
      </c>
      <c r="F1865" t="inlineStr">
        <is>
          <t>Elective</t>
        </is>
      </c>
      <c r="G1865" s="32" t="n">
        <v>46001.275</v>
      </c>
      <c r="H1865" s="32" t="n">
        <v>46005.50972222222</v>
      </c>
      <c r="I1865" t="inlineStr">
        <is>
          <t>M17.11</t>
        </is>
      </c>
      <c r="J1865" t="inlineStr">
        <is>
          <t>PY01</t>
        </is>
      </c>
      <c r="K1865" s="33" t="n">
        <v>54862.12</v>
      </c>
      <c r="L1865" s="34" t="n"/>
    </row>
    <row r="1866">
      <c r="A1866" t="inlineStr">
        <is>
          <t>ENC121101</t>
        </is>
      </c>
      <c r="B1866" t="inlineStr">
        <is>
          <t>PT13575</t>
        </is>
      </c>
      <c r="C1866" t="inlineStr">
        <is>
          <t>Inpatient</t>
        </is>
      </c>
      <c r="D1866" t="inlineStr">
        <is>
          <t>F03</t>
        </is>
      </c>
      <c r="E1866" t="inlineStr">
        <is>
          <t>D310</t>
        </is>
      </c>
      <c r="F1866" t="inlineStr">
        <is>
          <t>Direct Admit</t>
        </is>
      </c>
      <c r="G1866" s="32" t="n">
        <v>46001.37708333333</v>
      </c>
      <c r="H1866" s="32" t="n">
        <v>46010.66458333333</v>
      </c>
      <c r="I1866" t="inlineStr">
        <is>
          <t>A41.9</t>
        </is>
      </c>
      <c r="J1866" t="inlineStr">
        <is>
          <t>PY03</t>
        </is>
      </c>
      <c r="K1866" s="33" t="n">
        <v>84630.88</v>
      </c>
      <c r="L1866" s="34" t="n"/>
    </row>
    <row r="1867">
      <c r="A1867" t="inlineStr">
        <is>
          <t>ENC121097</t>
        </is>
      </c>
      <c r="B1867" t="inlineStr">
        <is>
          <t>PT11816</t>
        </is>
      </c>
      <c r="C1867" t="inlineStr">
        <is>
          <t>Inpatient</t>
        </is>
      </c>
      <c r="D1867" t="inlineStr">
        <is>
          <t>F03</t>
        </is>
      </c>
      <c r="E1867" t="inlineStr">
        <is>
          <t>D320</t>
        </is>
      </c>
      <c r="F1867" t="inlineStr">
        <is>
          <t>Emergency Department</t>
        </is>
      </c>
      <c r="G1867" s="32" t="n">
        <v>46001.44791666666</v>
      </c>
      <c r="H1867" s="32" t="n">
        <v>46007.61319444444</v>
      </c>
      <c r="I1867" t="inlineStr">
        <is>
          <t>I50.9</t>
        </is>
      </c>
      <c r="J1867" t="inlineStr">
        <is>
          <t>PY01</t>
        </is>
      </c>
      <c r="K1867" s="33" t="n">
        <v>31927.49</v>
      </c>
      <c r="L1867" s="34" t="n"/>
    </row>
    <row r="1868">
      <c r="A1868" t="inlineStr">
        <is>
          <t>ENC121111</t>
        </is>
      </c>
      <c r="B1868" t="inlineStr">
        <is>
          <t>PT10267</t>
        </is>
      </c>
      <c r="C1868" t="inlineStr">
        <is>
          <t>Emergency</t>
        </is>
      </c>
      <c r="D1868" t="inlineStr">
        <is>
          <t>F01</t>
        </is>
      </c>
      <c r="E1868" t="inlineStr">
        <is>
          <t>D100</t>
        </is>
      </c>
      <c r="G1868" s="32" t="n">
        <v>46001.50972222222</v>
      </c>
      <c r="H1868" s="32" t="n">
        <v>46001.58611111111</v>
      </c>
      <c r="I1868" t="inlineStr">
        <is>
          <t>U07.1</t>
        </is>
      </c>
      <c r="J1868" t="inlineStr">
        <is>
          <t>PY04</t>
        </is>
      </c>
      <c r="K1868" s="33" t="n">
        <v>1628.62</v>
      </c>
      <c r="L1868" s="34" t="n"/>
    </row>
    <row r="1869">
      <c r="A1869" t="inlineStr">
        <is>
          <t>ENC121116</t>
        </is>
      </c>
      <c r="B1869" t="inlineStr">
        <is>
          <t>PT11848</t>
        </is>
      </c>
      <c r="C1869" t="inlineStr">
        <is>
          <t>Outpatient</t>
        </is>
      </c>
      <c r="D1869" t="inlineStr">
        <is>
          <t>F04</t>
        </is>
      </c>
      <c r="E1869" t="inlineStr">
        <is>
          <t>D400</t>
        </is>
      </c>
      <c r="G1869" s="32" t="n">
        <v>46001.60416666666</v>
      </c>
      <c r="H1869" s="32" t="n">
        <v>46001.63541666666</v>
      </c>
      <c r="I1869" t="inlineStr">
        <is>
          <t>I10</t>
        </is>
      </c>
      <c r="J1869" t="inlineStr">
        <is>
          <t>PY02</t>
        </is>
      </c>
      <c r="K1869" s="33" t="n">
        <v>238.94</v>
      </c>
      <c r="L1869" s="34" t="n"/>
    </row>
    <row r="1870">
      <c r="A1870" t="inlineStr">
        <is>
          <t>ENC121123</t>
        </is>
      </c>
      <c r="B1870" t="inlineStr">
        <is>
          <t>PT11069</t>
        </is>
      </c>
      <c r="C1870" t="inlineStr">
        <is>
          <t>Outpatient</t>
        </is>
      </c>
      <c r="D1870" t="inlineStr">
        <is>
          <t>F04</t>
        </is>
      </c>
      <c r="E1870" t="inlineStr">
        <is>
          <t>D400</t>
        </is>
      </c>
      <c r="G1870" s="32" t="n">
        <v>46001.625</v>
      </c>
      <c r="H1870" s="32" t="n">
        <v>46001.65486111111</v>
      </c>
      <c r="I1870" t="inlineStr">
        <is>
          <t>J06.9</t>
        </is>
      </c>
      <c r="J1870" t="inlineStr">
        <is>
          <t>PY05</t>
        </is>
      </c>
      <c r="K1870" s="33" t="n">
        <v>270.77</v>
      </c>
      <c r="L1870" s="34" t="n"/>
    </row>
    <row r="1871">
      <c r="A1871" t="inlineStr">
        <is>
          <t>ENC121129</t>
        </is>
      </c>
      <c r="B1871" t="inlineStr">
        <is>
          <t>PT11722</t>
        </is>
      </c>
      <c r="C1871" t="inlineStr">
        <is>
          <t>Emergency</t>
        </is>
      </c>
      <c r="D1871" t="inlineStr">
        <is>
          <t>F01</t>
        </is>
      </c>
      <c r="E1871" t="inlineStr">
        <is>
          <t>D100</t>
        </is>
      </c>
      <c r="G1871" s="32" t="n">
        <v>46001.66736111111</v>
      </c>
      <c r="H1871" s="32" t="n">
        <v>46001.84513888889</v>
      </c>
      <c r="I1871" t="inlineStr">
        <is>
          <t>R55</t>
        </is>
      </c>
      <c r="J1871" t="inlineStr">
        <is>
          <t>PY05</t>
        </is>
      </c>
      <c r="K1871" s="33" t="n">
        <v>3118.06</v>
      </c>
      <c r="L1871" s="34" t="n"/>
    </row>
    <row r="1872">
      <c r="A1872" t="inlineStr">
        <is>
          <t>ENC121119</t>
        </is>
      </c>
      <c r="B1872" t="inlineStr">
        <is>
          <t>PT10623</t>
        </is>
      </c>
      <c r="C1872" t="inlineStr">
        <is>
          <t>Inpatient</t>
        </is>
      </c>
      <c r="D1872" t="inlineStr">
        <is>
          <t>F01</t>
        </is>
      </c>
      <c r="E1872" t="inlineStr">
        <is>
          <t>D111</t>
        </is>
      </c>
      <c r="F1872" t="inlineStr">
        <is>
          <t>Emergency Department</t>
        </is>
      </c>
      <c r="G1872" s="32" t="n">
        <v>46001.80833333333</v>
      </c>
      <c r="H1872" s="32" t="n">
        <v>46005.60277777778</v>
      </c>
      <c r="I1872" t="inlineStr">
        <is>
          <t>E86.0</t>
        </is>
      </c>
      <c r="J1872" t="inlineStr">
        <is>
          <t>PY04</t>
        </is>
      </c>
      <c r="K1872" s="33" t="n">
        <v>25378.34</v>
      </c>
      <c r="L1872" s="34" t="n"/>
    </row>
    <row r="1873">
      <c r="A1873" t="inlineStr">
        <is>
          <t>ENC121136</t>
        </is>
      </c>
      <c r="B1873" t="inlineStr">
        <is>
          <t>PT12941</t>
        </is>
      </c>
      <c r="C1873" t="inlineStr">
        <is>
          <t>Inpatient</t>
        </is>
      </c>
      <c r="D1873" t="inlineStr">
        <is>
          <t>F02</t>
        </is>
      </c>
      <c r="E1873" t="inlineStr">
        <is>
          <t>D210</t>
        </is>
      </c>
      <c r="F1873" t="inlineStr">
        <is>
          <t>Emergency Department</t>
        </is>
      </c>
      <c r="G1873" s="32" t="n">
        <v>46001.96111111111</v>
      </c>
      <c r="H1873" s="32" t="n">
        <v>46003.56388888889</v>
      </c>
      <c r="I1873" t="inlineStr">
        <is>
          <t>K35.80</t>
        </is>
      </c>
      <c r="J1873" t="inlineStr">
        <is>
          <t>PY03</t>
        </is>
      </c>
      <c r="K1873" s="33" t="n">
        <v>20838.39</v>
      </c>
      <c r="L1873" s="34" t="n"/>
    </row>
    <row r="1874">
      <c r="A1874" t="inlineStr">
        <is>
          <t>ENC121144</t>
        </is>
      </c>
      <c r="B1874" t="inlineStr">
        <is>
          <t>PT12773</t>
        </is>
      </c>
      <c r="C1874" t="inlineStr">
        <is>
          <t>Outpatient</t>
        </is>
      </c>
      <c r="D1874" t="inlineStr">
        <is>
          <t>F04</t>
        </is>
      </c>
      <c r="E1874" t="inlineStr">
        <is>
          <t>D400</t>
        </is>
      </c>
      <c r="G1874" s="32" t="n">
        <v>46002.36458333334</v>
      </c>
      <c r="H1874" s="32" t="n">
        <v>46002.38055555556</v>
      </c>
      <c r="I1874" t="inlineStr">
        <is>
          <t>J45.909</t>
        </is>
      </c>
      <c r="J1874" t="inlineStr">
        <is>
          <t>PY05</t>
        </is>
      </c>
      <c r="K1874" s="33" t="n">
        <v>310.85</v>
      </c>
      <c r="L1874" s="34" t="n"/>
    </row>
    <row r="1875">
      <c r="A1875" t="inlineStr">
        <is>
          <t>ENC121152</t>
        </is>
      </c>
      <c r="B1875" t="inlineStr">
        <is>
          <t>PT10878</t>
        </is>
      </c>
      <c r="C1875" t="inlineStr">
        <is>
          <t>Emergency</t>
        </is>
      </c>
      <c r="D1875" t="inlineStr">
        <is>
          <t>F02</t>
        </is>
      </c>
      <c r="E1875" t="inlineStr">
        <is>
          <t>D200</t>
        </is>
      </c>
      <c r="G1875" s="32" t="n">
        <v>46002.43333333333</v>
      </c>
      <c r="H1875" s="32" t="n">
        <v>46002.55833333333</v>
      </c>
      <c r="I1875" t="inlineStr">
        <is>
          <t>M54.50</t>
        </is>
      </c>
      <c r="J1875" t="inlineStr">
        <is>
          <t>PY01</t>
        </is>
      </c>
      <c r="K1875" s="33" t="n">
        <v>797.38</v>
      </c>
      <c r="L1875" s="34" t="n"/>
    </row>
    <row r="1876">
      <c r="A1876" t="inlineStr">
        <is>
          <t>ENC121157</t>
        </is>
      </c>
      <c r="B1876" t="inlineStr">
        <is>
          <t>PT13020</t>
        </is>
      </c>
      <c r="C1876" t="inlineStr">
        <is>
          <t>Outpatient</t>
        </is>
      </c>
      <c r="D1876" t="inlineStr">
        <is>
          <t>F04</t>
        </is>
      </c>
      <c r="E1876" t="inlineStr">
        <is>
          <t>D450</t>
        </is>
      </c>
      <c r="G1876" s="32" t="n">
        <v>46002.52083333334</v>
      </c>
      <c r="H1876" s="32" t="n">
        <v>46002.54583333333</v>
      </c>
      <c r="I1876" t="inlineStr">
        <is>
          <t>H66.90</t>
        </is>
      </c>
      <c r="J1876" t="inlineStr">
        <is>
          <t>PY03</t>
        </is>
      </c>
      <c r="K1876" s="33" t="n">
        <v>223.46</v>
      </c>
      <c r="L1876" s="34" t="n"/>
    </row>
    <row r="1877">
      <c r="A1877" t="inlineStr">
        <is>
          <t>ENC121162</t>
        </is>
      </c>
      <c r="B1877" t="inlineStr">
        <is>
          <t>PT11934</t>
        </is>
      </c>
      <c r="C1877" t="inlineStr">
        <is>
          <t>Emergency</t>
        </is>
      </c>
      <c r="D1877" t="inlineStr">
        <is>
          <t>F01</t>
        </is>
      </c>
      <c r="E1877" t="inlineStr">
        <is>
          <t>D100</t>
        </is>
      </c>
      <c r="G1877" s="32" t="n">
        <v>46002.55625</v>
      </c>
      <c r="H1877" s="32" t="n">
        <v>46002.63194444445</v>
      </c>
      <c r="I1877" t="inlineStr">
        <is>
          <t>N39.0</t>
        </is>
      </c>
      <c r="J1877" t="inlineStr">
        <is>
          <t>PY07</t>
        </is>
      </c>
      <c r="K1877" s="33" t="n">
        <v>1552.1</v>
      </c>
      <c r="L1877" s="34" t="n"/>
    </row>
    <row r="1878">
      <c r="A1878" t="inlineStr">
        <is>
          <t>ENC121168</t>
        </is>
      </c>
      <c r="B1878" t="inlineStr">
        <is>
          <t>PT11806</t>
        </is>
      </c>
      <c r="C1878" t="inlineStr">
        <is>
          <t>Outpatient</t>
        </is>
      </c>
      <c r="D1878" t="inlineStr">
        <is>
          <t>F04</t>
        </is>
      </c>
      <c r="E1878" t="inlineStr">
        <is>
          <t>D450</t>
        </is>
      </c>
      <c r="G1878" s="32" t="n">
        <v>46002.67708333334</v>
      </c>
      <c r="H1878" s="32" t="n">
        <v>46002.71458333333</v>
      </c>
      <c r="I1878" t="inlineStr">
        <is>
          <t>J06.9</t>
        </is>
      </c>
      <c r="J1878" t="inlineStr">
        <is>
          <t>PY06</t>
        </is>
      </c>
      <c r="K1878" s="33" t="n">
        <v>157.2</v>
      </c>
      <c r="L1878" s="34" t="n"/>
    </row>
    <row r="1879">
      <c r="A1879" t="inlineStr">
        <is>
          <t>ENC121171</t>
        </is>
      </c>
      <c r="B1879" t="inlineStr">
        <is>
          <t>PT13386</t>
        </is>
      </c>
      <c r="C1879" t="inlineStr">
        <is>
          <t>Inpatient</t>
        </is>
      </c>
      <c r="D1879" t="inlineStr">
        <is>
          <t>F01</t>
        </is>
      </c>
      <c r="E1879" t="inlineStr">
        <is>
          <t>D120</t>
        </is>
      </c>
      <c r="F1879" t="inlineStr">
        <is>
          <t>Emergency Department</t>
        </is>
      </c>
      <c r="G1879" s="32" t="n">
        <v>46002.82152777778</v>
      </c>
      <c r="H1879" s="32" t="n">
        <v>46005.65416666667</v>
      </c>
      <c r="I1879" t="inlineStr">
        <is>
          <t>I50.9</t>
        </is>
      </c>
      <c r="J1879" t="inlineStr">
        <is>
          <t>PY01</t>
        </is>
      </c>
      <c r="K1879" s="33" t="n">
        <v>30179.52</v>
      </c>
      <c r="L1879" s="34" t="n"/>
    </row>
    <row r="1880">
      <c r="A1880" t="inlineStr">
        <is>
          <t>ENC121179</t>
        </is>
      </c>
      <c r="B1880" t="inlineStr">
        <is>
          <t>PT12840</t>
        </is>
      </c>
      <c r="C1880" t="inlineStr">
        <is>
          <t>Outpatient</t>
        </is>
      </c>
      <c r="D1880" t="inlineStr">
        <is>
          <t>F04</t>
        </is>
      </c>
      <c r="E1880" t="inlineStr">
        <is>
          <t>D450</t>
        </is>
      </c>
      <c r="G1880" s="32" t="n">
        <v>46003.35416666666</v>
      </c>
      <c r="H1880" s="32" t="n">
        <v>46003.38472222222</v>
      </c>
      <c r="I1880" t="inlineStr">
        <is>
          <t>H66.90</t>
        </is>
      </c>
      <c r="J1880" t="inlineStr">
        <is>
          <t>PY04</t>
        </is>
      </c>
      <c r="K1880" s="33" t="n">
        <v>264.6</v>
      </c>
      <c r="L1880" s="34" t="n"/>
    </row>
    <row r="1881">
      <c r="A1881" t="inlineStr">
        <is>
          <t>ENC121183</t>
        </is>
      </c>
      <c r="B1881" t="inlineStr">
        <is>
          <t>PT10915</t>
        </is>
      </c>
      <c r="C1881" t="inlineStr">
        <is>
          <t>Inpatient</t>
        </is>
      </c>
      <c r="D1881" t="inlineStr">
        <is>
          <t>F01</t>
        </is>
      </c>
      <c r="E1881" t="inlineStr">
        <is>
          <t>D111</t>
        </is>
      </c>
      <c r="F1881" t="inlineStr">
        <is>
          <t>Direct Admit</t>
        </is>
      </c>
      <c r="G1881" s="32" t="n">
        <v>46003.40833333333</v>
      </c>
      <c r="H1881" s="32" t="n">
        <v>46006.62916666667</v>
      </c>
      <c r="I1881" t="inlineStr">
        <is>
          <t>J18.9</t>
        </is>
      </c>
      <c r="J1881" t="inlineStr">
        <is>
          <t>PY06</t>
        </is>
      </c>
      <c r="K1881" s="33" t="n">
        <v>14584.99</v>
      </c>
      <c r="L1881" s="34" t="n"/>
    </row>
    <row r="1882">
      <c r="A1882" t="inlineStr">
        <is>
          <t>ENC121189</t>
        </is>
      </c>
      <c r="B1882" t="inlineStr">
        <is>
          <t>PT11764</t>
        </is>
      </c>
      <c r="C1882" t="inlineStr">
        <is>
          <t>Outpatient</t>
        </is>
      </c>
      <c r="D1882" t="inlineStr">
        <is>
          <t>F04</t>
        </is>
      </c>
      <c r="E1882" t="inlineStr">
        <is>
          <t>D440</t>
        </is>
      </c>
      <c r="G1882" s="32" t="n">
        <v>46003.47916666666</v>
      </c>
      <c r="H1882" s="32" t="n">
        <v>46003.49791666667</v>
      </c>
      <c r="I1882" t="inlineStr">
        <is>
          <t>E11.65</t>
        </is>
      </c>
      <c r="J1882" t="inlineStr">
        <is>
          <t>PY01</t>
        </is>
      </c>
      <c r="K1882" s="33" t="n">
        <v>371.68</v>
      </c>
      <c r="L1882" s="34" t="n"/>
    </row>
    <row r="1883">
      <c r="A1883" t="inlineStr">
        <is>
          <t>ENC121196</t>
        </is>
      </c>
      <c r="B1883" t="inlineStr">
        <is>
          <t>PT11981</t>
        </is>
      </c>
      <c r="C1883" t="inlineStr">
        <is>
          <t>Outpatient</t>
        </is>
      </c>
      <c r="D1883" t="inlineStr">
        <is>
          <t>F04</t>
        </is>
      </c>
      <c r="E1883" t="inlineStr">
        <is>
          <t>D440</t>
        </is>
      </c>
      <c r="G1883" s="32" t="n">
        <v>46003.57291666666</v>
      </c>
      <c r="H1883" s="32" t="n">
        <v>46003.59375</v>
      </c>
      <c r="I1883" t="inlineStr">
        <is>
          <t>E11.9</t>
        </is>
      </c>
      <c r="J1883" t="inlineStr">
        <is>
          <t>PY01</t>
        </is>
      </c>
      <c r="K1883" s="33" t="n">
        <v>376.28</v>
      </c>
      <c r="L1883" s="34" t="n"/>
    </row>
    <row r="1884">
      <c r="A1884" t="inlineStr">
        <is>
          <t>ENC121195</t>
        </is>
      </c>
      <c r="B1884" t="inlineStr">
        <is>
          <t>PT10882</t>
        </is>
      </c>
      <c r="C1884" t="inlineStr">
        <is>
          <t>Inpatient</t>
        </is>
      </c>
      <c r="D1884" t="inlineStr">
        <is>
          <t>F01</t>
        </is>
      </c>
      <c r="E1884" t="inlineStr">
        <is>
          <t>D111</t>
        </is>
      </c>
      <c r="F1884" t="inlineStr">
        <is>
          <t>Emergency Department</t>
        </is>
      </c>
      <c r="G1884" s="32" t="n">
        <v>46003.66111111111</v>
      </c>
      <c r="H1884" s="32" t="n">
        <v>46010.58263888889</v>
      </c>
      <c r="I1884" t="inlineStr">
        <is>
          <t>J18.9</t>
        </is>
      </c>
      <c r="J1884" t="inlineStr">
        <is>
          <t>PY04</t>
        </is>
      </c>
      <c r="K1884" s="33" t="n">
        <v>29653.25</v>
      </c>
      <c r="L1884" s="34" t="n"/>
    </row>
    <row r="1885">
      <c r="A1885" t="inlineStr">
        <is>
          <t>ENC121210</t>
        </is>
      </c>
      <c r="B1885" t="inlineStr">
        <is>
          <t>PT12947</t>
        </is>
      </c>
      <c r="C1885" t="inlineStr">
        <is>
          <t>Inpatient</t>
        </is>
      </c>
      <c r="D1885" t="inlineStr">
        <is>
          <t>F01</t>
        </is>
      </c>
      <c r="E1885" t="inlineStr">
        <is>
          <t>D110</t>
        </is>
      </c>
      <c r="F1885" t="inlineStr">
        <is>
          <t>Direct Admit</t>
        </is>
      </c>
      <c r="G1885" s="32" t="n">
        <v>46003.75555555556</v>
      </c>
      <c r="H1885" s="32" t="n">
        <v>46008.375</v>
      </c>
      <c r="I1885" t="inlineStr">
        <is>
          <t>N17.9</t>
        </is>
      </c>
      <c r="J1885" t="inlineStr">
        <is>
          <t>PY03</t>
        </is>
      </c>
      <c r="K1885" s="33" t="n">
        <v>18630.17</v>
      </c>
      <c r="L1885" s="34" t="n"/>
    </row>
    <row r="1886">
      <c r="A1886" t="inlineStr">
        <is>
          <t>ENC121208</t>
        </is>
      </c>
      <c r="B1886" t="inlineStr">
        <is>
          <t>PT11214</t>
        </is>
      </c>
      <c r="C1886" t="inlineStr">
        <is>
          <t>Inpatient</t>
        </is>
      </c>
      <c r="D1886" t="inlineStr">
        <is>
          <t>F03</t>
        </is>
      </c>
      <c r="E1886" t="inlineStr">
        <is>
          <t>D320</t>
        </is>
      </c>
      <c r="F1886" t="inlineStr">
        <is>
          <t>Emergency Department</t>
        </is>
      </c>
      <c r="G1886" s="32" t="n">
        <v>46003.85902777778</v>
      </c>
      <c r="H1886" s="32" t="n">
        <v>46007.525</v>
      </c>
      <c r="I1886" t="inlineStr">
        <is>
          <t>I21.4</t>
        </is>
      </c>
      <c r="J1886" t="inlineStr">
        <is>
          <t>PY05</t>
        </is>
      </c>
      <c r="K1886" s="33" t="n">
        <v>94173.35000000001</v>
      </c>
      <c r="L1886" s="34" t="n"/>
    </row>
    <row r="1887">
      <c r="A1887" t="inlineStr">
        <is>
          <t>ENC121217</t>
        </is>
      </c>
      <c r="B1887" t="inlineStr">
        <is>
          <t>PT11242</t>
        </is>
      </c>
      <c r="C1887" t="inlineStr">
        <is>
          <t>Emergency</t>
        </is>
      </c>
      <c r="D1887" t="inlineStr">
        <is>
          <t>F01</t>
        </is>
      </c>
      <c r="E1887" t="inlineStr">
        <is>
          <t>D100</t>
        </is>
      </c>
      <c r="G1887" s="32" t="n">
        <v>46004.20277777778</v>
      </c>
      <c r="H1887" s="32" t="n">
        <v>46004.33263888889</v>
      </c>
      <c r="I1887" t="inlineStr">
        <is>
          <t>U07.1</t>
        </is>
      </c>
      <c r="J1887" t="inlineStr">
        <is>
          <t>PY04</t>
        </is>
      </c>
      <c r="K1887" s="33" t="n">
        <v>5145.69</v>
      </c>
      <c r="L1887" s="34" t="n"/>
    </row>
    <row r="1888">
      <c r="A1888" t="inlineStr">
        <is>
          <t>ENC121222</t>
        </is>
      </c>
      <c r="B1888" t="inlineStr">
        <is>
          <t>PT11646</t>
        </is>
      </c>
      <c r="C1888" t="inlineStr">
        <is>
          <t>Emergency</t>
        </is>
      </c>
      <c r="D1888" t="inlineStr">
        <is>
          <t>F02</t>
        </is>
      </c>
      <c r="E1888" t="inlineStr">
        <is>
          <t>D200</t>
        </is>
      </c>
      <c r="G1888" s="32" t="n">
        <v>46004.47361111111</v>
      </c>
      <c r="H1888" s="32" t="n">
        <v>46004.56041666667</v>
      </c>
      <c r="I1888" t="inlineStr">
        <is>
          <t>E86.0</t>
        </is>
      </c>
      <c r="J1888" t="inlineStr">
        <is>
          <t>PY04</t>
        </is>
      </c>
      <c r="K1888" s="33" t="n">
        <v>1318.36</v>
      </c>
      <c r="L1888" s="34" t="n"/>
    </row>
    <row r="1889">
      <c r="A1889" t="inlineStr">
        <is>
          <t>ENC121228</t>
        </is>
      </c>
      <c r="B1889" t="inlineStr">
        <is>
          <t>PT11859</t>
        </is>
      </c>
      <c r="C1889" t="inlineStr">
        <is>
          <t>Emergency</t>
        </is>
      </c>
      <c r="D1889" t="inlineStr">
        <is>
          <t>F01</t>
        </is>
      </c>
      <c r="E1889" t="inlineStr">
        <is>
          <t>D100</t>
        </is>
      </c>
      <c r="G1889" s="32" t="n">
        <v>46004.72430555556</v>
      </c>
      <c r="H1889" s="32" t="n">
        <v>46004.80625</v>
      </c>
      <c r="I1889" t="inlineStr">
        <is>
          <t>J06.9</t>
        </is>
      </c>
      <c r="J1889" t="inlineStr">
        <is>
          <t>PY01</t>
        </is>
      </c>
      <c r="K1889" s="33" t="n">
        <v>821.54</v>
      </c>
      <c r="L1889" s="34" t="n"/>
    </row>
    <row r="1890">
      <c r="A1890" t="inlineStr">
        <is>
          <t>ENC121234</t>
        </is>
      </c>
      <c r="B1890" t="inlineStr">
        <is>
          <t>PT10235</t>
        </is>
      </c>
      <c r="C1890" t="inlineStr">
        <is>
          <t>Emergency</t>
        </is>
      </c>
      <c r="D1890" t="inlineStr">
        <is>
          <t>F01</t>
        </is>
      </c>
      <c r="E1890" t="inlineStr">
        <is>
          <t>D100</t>
        </is>
      </c>
      <c r="G1890" s="32" t="n">
        <v>46004.93402777778</v>
      </c>
      <c r="H1890" s="32" t="n">
        <v>46005.09444444445</v>
      </c>
      <c r="I1890" t="inlineStr">
        <is>
          <t>J18.9</t>
        </is>
      </c>
      <c r="J1890" t="inlineStr">
        <is>
          <t>PY04</t>
        </is>
      </c>
      <c r="K1890" s="33" t="n">
        <v>7588.04</v>
      </c>
      <c r="L1890" s="34" t="n"/>
    </row>
    <row r="1891">
      <c r="A1891" t="inlineStr">
        <is>
          <t>ENC121238</t>
        </is>
      </c>
      <c r="B1891" t="inlineStr">
        <is>
          <t>PT12455</t>
        </is>
      </c>
      <c r="C1891" t="inlineStr">
        <is>
          <t>Inpatient</t>
        </is>
      </c>
      <c r="D1891" t="inlineStr">
        <is>
          <t>F01</t>
        </is>
      </c>
      <c r="E1891" t="inlineStr">
        <is>
          <t>D130</t>
        </is>
      </c>
      <c r="F1891" t="inlineStr">
        <is>
          <t>Emergency Department</t>
        </is>
      </c>
      <c r="G1891" s="32" t="n">
        <v>46005.54236111111</v>
      </c>
      <c r="H1891" s="32" t="n">
        <v>46014.60208333333</v>
      </c>
      <c r="I1891" t="inlineStr">
        <is>
          <t>A41.9</t>
        </is>
      </c>
      <c r="J1891" t="inlineStr">
        <is>
          <t>PY01</t>
        </is>
      </c>
      <c r="K1891" s="33" t="n">
        <v>56817.16</v>
      </c>
      <c r="L1891" s="34" t="n"/>
    </row>
    <row r="1892">
      <c r="A1892" t="inlineStr">
        <is>
          <t>ENC121245</t>
        </is>
      </c>
      <c r="B1892" t="inlineStr">
        <is>
          <t>PT12321</t>
        </is>
      </c>
      <c r="C1892" t="inlineStr">
        <is>
          <t>Inpatient</t>
        </is>
      </c>
      <c r="D1892" t="inlineStr">
        <is>
          <t>F02</t>
        </is>
      </c>
      <c r="E1892" t="inlineStr">
        <is>
          <t>D210</t>
        </is>
      </c>
      <c r="F1892" t="inlineStr">
        <is>
          <t>Direct Admit</t>
        </is>
      </c>
      <c r="G1892" s="32" t="n">
        <v>46005.80555555555</v>
      </c>
      <c r="H1892" s="32" t="n">
        <v>46007.62569444445</v>
      </c>
      <c r="I1892" t="inlineStr">
        <is>
          <t>J18.9</t>
        </is>
      </c>
      <c r="J1892" t="inlineStr">
        <is>
          <t>PY01</t>
        </is>
      </c>
      <c r="K1892" s="33" t="n">
        <v>7206.58</v>
      </c>
      <c r="L1892" s="34" t="n"/>
    </row>
    <row r="1893">
      <c r="A1893" t="inlineStr">
        <is>
          <t>ENC121251</t>
        </is>
      </c>
      <c r="B1893" t="inlineStr">
        <is>
          <t>PT13685</t>
        </is>
      </c>
      <c r="C1893" t="inlineStr">
        <is>
          <t>Emergency</t>
        </is>
      </c>
      <c r="D1893" t="inlineStr">
        <is>
          <t>F01</t>
        </is>
      </c>
      <c r="E1893" t="inlineStr">
        <is>
          <t>D100</t>
        </is>
      </c>
      <c r="G1893" s="32" t="n">
        <v>46006.10694444444</v>
      </c>
      <c r="H1893" s="32" t="n">
        <v>46006.26527777778</v>
      </c>
      <c r="I1893" t="inlineStr">
        <is>
          <t>H66.90</t>
        </is>
      </c>
      <c r="J1893" t="inlineStr">
        <is>
          <t>PY03</t>
        </is>
      </c>
      <c r="K1893" s="33" t="n">
        <v>788.89</v>
      </c>
      <c r="L1893" s="34" t="n"/>
    </row>
    <row r="1894">
      <c r="A1894" t="inlineStr">
        <is>
          <t>ENC121257</t>
        </is>
      </c>
      <c r="B1894" t="inlineStr">
        <is>
          <t>PT10521</t>
        </is>
      </c>
      <c r="C1894" t="inlineStr">
        <is>
          <t>Outpatient</t>
        </is>
      </c>
      <c r="D1894" t="inlineStr">
        <is>
          <t>F04</t>
        </is>
      </c>
      <c r="E1894" t="inlineStr">
        <is>
          <t>D440</t>
        </is>
      </c>
      <c r="G1894" s="32" t="n">
        <v>46006.33333333334</v>
      </c>
      <c r="H1894" s="32" t="n">
        <v>46006.35138888889</v>
      </c>
      <c r="I1894" t="inlineStr">
        <is>
          <t>E11.9</t>
        </is>
      </c>
      <c r="J1894" t="inlineStr">
        <is>
          <t>PY05</t>
        </is>
      </c>
      <c r="K1894" s="33" t="n">
        <v>433.47</v>
      </c>
      <c r="L1894" s="34" t="n"/>
    </row>
    <row r="1895">
      <c r="A1895" t="inlineStr">
        <is>
          <t>ENC121262</t>
        </is>
      </c>
      <c r="B1895" t="inlineStr">
        <is>
          <t>PT13832</t>
        </is>
      </c>
      <c r="C1895" t="inlineStr">
        <is>
          <t>Outpatient</t>
        </is>
      </c>
      <c r="D1895" t="inlineStr">
        <is>
          <t>F04</t>
        </is>
      </c>
      <c r="E1895" t="inlineStr">
        <is>
          <t>D430</t>
        </is>
      </c>
      <c r="G1895" s="32" t="n">
        <v>46006.40625</v>
      </c>
      <c r="H1895" s="32" t="n">
        <v>46006.44375</v>
      </c>
      <c r="I1895" t="inlineStr">
        <is>
          <t>C50.911</t>
        </is>
      </c>
      <c r="J1895" t="inlineStr">
        <is>
          <t>PY01</t>
        </is>
      </c>
      <c r="K1895" s="33" t="n">
        <v>805.12</v>
      </c>
      <c r="L1895" s="34" t="n"/>
    </row>
    <row r="1896">
      <c r="A1896" t="inlineStr">
        <is>
          <t>ENC121270</t>
        </is>
      </c>
      <c r="B1896" t="inlineStr">
        <is>
          <t>PT11983</t>
        </is>
      </c>
      <c r="C1896" t="inlineStr">
        <is>
          <t>Outpatient</t>
        </is>
      </c>
      <c r="D1896" t="inlineStr">
        <is>
          <t>F04</t>
        </is>
      </c>
      <c r="E1896" t="inlineStr">
        <is>
          <t>D400</t>
        </is>
      </c>
      <c r="G1896" s="32" t="n">
        <v>46006.47916666666</v>
      </c>
      <c r="H1896" s="32" t="n">
        <v>46006.49375</v>
      </c>
      <c r="I1896" t="inlineStr">
        <is>
          <t>J45.909</t>
        </is>
      </c>
      <c r="J1896" t="inlineStr">
        <is>
          <t>PY03</t>
        </is>
      </c>
      <c r="K1896" s="33" t="n">
        <v>480.2</v>
      </c>
      <c r="L1896" s="34" t="n"/>
    </row>
    <row r="1897">
      <c r="A1897" t="inlineStr">
        <is>
          <t>ENC121273</t>
        </is>
      </c>
      <c r="B1897" t="inlineStr">
        <is>
          <t>PT11979</t>
        </is>
      </c>
      <c r="C1897" t="inlineStr">
        <is>
          <t>Outpatient</t>
        </is>
      </c>
      <c r="D1897" t="inlineStr">
        <is>
          <t>F04</t>
        </is>
      </c>
      <c r="E1897" t="inlineStr">
        <is>
          <t>D400</t>
        </is>
      </c>
      <c r="G1897" s="32" t="n">
        <v>46006.54166666666</v>
      </c>
      <c r="H1897" s="32" t="n">
        <v>46006.56666666667</v>
      </c>
      <c r="I1897" t="inlineStr">
        <is>
          <t>J44.1</t>
        </is>
      </c>
      <c r="J1897" t="inlineStr">
        <is>
          <t>PY06</t>
        </is>
      </c>
      <c r="K1897" s="33" t="n">
        <v>360.63</v>
      </c>
      <c r="L1897" s="34" t="n"/>
    </row>
    <row r="1898">
      <c r="A1898" t="inlineStr">
        <is>
          <t>ENC121278</t>
        </is>
      </c>
      <c r="B1898" t="inlineStr">
        <is>
          <t>PT10893</t>
        </is>
      </c>
      <c r="C1898" t="inlineStr">
        <is>
          <t>Outpatient</t>
        </is>
      </c>
      <c r="D1898" t="inlineStr">
        <is>
          <t>F04</t>
        </is>
      </c>
      <c r="E1898" t="inlineStr">
        <is>
          <t>D400</t>
        </is>
      </c>
      <c r="G1898" s="32" t="n">
        <v>46006.60416666666</v>
      </c>
      <c r="H1898" s="32" t="n">
        <v>46006.64097222222</v>
      </c>
      <c r="I1898" t="inlineStr">
        <is>
          <t>Z00.00</t>
        </is>
      </c>
      <c r="J1898" t="inlineStr">
        <is>
          <t>PY03</t>
        </is>
      </c>
      <c r="K1898" s="33" t="n">
        <v>309.33</v>
      </c>
      <c r="L1898" s="34" t="n"/>
    </row>
    <row r="1899">
      <c r="A1899" t="inlineStr">
        <is>
          <t>ENC121284</t>
        </is>
      </c>
      <c r="B1899" t="inlineStr">
        <is>
          <t>PT11791</t>
        </is>
      </c>
      <c r="C1899" t="inlineStr">
        <is>
          <t>Outpatient</t>
        </is>
      </c>
      <c r="D1899" t="inlineStr">
        <is>
          <t>F04</t>
        </is>
      </c>
      <c r="E1899" t="inlineStr">
        <is>
          <t>D400</t>
        </is>
      </c>
      <c r="G1899" s="32" t="n">
        <v>46006.65625</v>
      </c>
      <c r="H1899" s="32" t="n">
        <v>46006.68680555555</v>
      </c>
      <c r="I1899" t="inlineStr">
        <is>
          <t>I10</t>
        </is>
      </c>
      <c r="J1899" t="inlineStr">
        <is>
          <t>PY01</t>
        </is>
      </c>
      <c r="K1899" s="33" t="n">
        <v>331.76</v>
      </c>
      <c r="L1899" s="34" t="n"/>
    </row>
    <row r="1900">
      <c r="A1900" t="inlineStr">
        <is>
          <t>ENC121289</t>
        </is>
      </c>
      <c r="B1900" t="inlineStr">
        <is>
          <t>PT12893</t>
        </is>
      </c>
      <c r="C1900" t="inlineStr">
        <is>
          <t>Emergency</t>
        </is>
      </c>
      <c r="D1900" t="inlineStr">
        <is>
          <t>F03</t>
        </is>
      </c>
      <c r="E1900" t="inlineStr">
        <is>
          <t>D300</t>
        </is>
      </c>
      <c r="G1900" s="32" t="n">
        <v>46006.75902777778</v>
      </c>
      <c r="H1900" s="32" t="n">
        <v>46006.91111111111</v>
      </c>
      <c r="I1900" t="inlineStr">
        <is>
          <t>J06.9</t>
        </is>
      </c>
      <c r="J1900" t="inlineStr">
        <is>
          <t>PY04</t>
        </is>
      </c>
      <c r="K1900" s="33" t="n">
        <v>1384.69</v>
      </c>
      <c r="L1900" s="34" t="n"/>
    </row>
    <row r="1901">
      <c r="A1901" t="inlineStr">
        <is>
          <t>ENC121295</t>
        </is>
      </c>
      <c r="B1901" t="inlineStr">
        <is>
          <t>PT11383</t>
        </is>
      </c>
      <c r="C1901" t="inlineStr">
        <is>
          <t>Inpatient</t>
        </is>
      </c>
      <c r="D1901" t="inlineStr">
        <is>
          <t>F01</t>
        </is>
      </c>
      <c r="E1901" t="inlineStr">
        <is>
          <t>D110</t>
        </is>
      </c>
      <c r="F1901" t="inlineStr">
        <is>
          <t>Emergency Department</t>
        </is>
      </c>
      <c r="G1901" s="32" t="n">
        <v>46007.10486111111</v>
      </c>
      <c r="H1901" s="32" t="n">
        <v>46009.68194444444</v>
      </c>
      <c r="I1901" t="inlineStr">
        <is>
          <t>A08.4</t>
        </is>
      </c>
      <c r="J1901" t="inlineStr">
        <is>
          <t>PY05</t>
        </is>
      </c>
      <c r="K1901" s="33" t="n">
        <v>15492.77</v>
      </c>
      <c r="L1901" s="34" t="n"/>
    </row>
    <row r="1902">
      <c r="A1902" t="inlineStr">
        <is>
          <t>ENC121301</t>
        </is>
      </c>
      <c r="B1902" t="inlineStr">
        <is>
          <t>PT11112</t>
        </is>
      </c>
      <c r="C1902" t="inlineStr">
        <is>
          <t>Outpatient</t>
        </is>
      </c>
      <c r="D1902" t="inlineStr">
        <is>
          <t>F04</t>
        </is>
      </c>
      <c r="E1902" t="inlineStr">
        <is>
          <t>D440</t>
        </is>
      </c>
      <c r="G1902" s="32" t="n">
        <v>46007.38541666666</v>
      </c>
      <c r="H1902" s="32" t="n">
        <v>46007.40972222222</v>
      </c>
      <c r="I1902" t="inlineStr">
        <is>
          <t>E11.9</t>
        </is>
      </c>
      <c r="J1902" t="inlineStr">
        <is>
          <t>PY06</t>
        </is>
      </c>
      <c r="K1902" s="33" t="n">
        <v>439.57</v>
      </c>
      <c r="L1902" s="34" t="n"/>
    </row>
    <row r="1903">
      <c r="A1903" t="inlineStr">
        <is>
          <t>ENC121307</t>
        </is>
      </c>
      <c r="B1903" t="inlineStr">
        <is>
          <t>PT10050</t>
        </is>
      </c>
      <c r="C1903" t="inlineStr">
        <is>
          <t>Outpatient</t>
        </is>
      </c>
      <c r="D1903" t="inlineStr">
        <is>
          <t>F04</t>
        </is>
      </c>
      <c r="E1903" t="inlineStr">
        <is>
          <t>D420</t>
        </is>
      </c>
      <c r="G1903" s="32" t="n">
        <v>46007.44791666666</v>
      </c>
      <c r="H1903" s="32" t="n">
        <v>46007.4625</v>
      </c>
      <c r="I1903" t="inlineStr">
        <is>
          <t>M16.11</t>
        </is>
      </c>
      <c r="J1903" t="inlineStr">
        <is>
          <t>PY04</t>
        </is>
      </c>
      <c r="K1903" s="33" t="n">
        <v>387.11</v>
      </c>
      <c r="L1903" s="34" t="n"/>
    </row>
    <row r="1904">
      <c r="A1904" t="inlineStr">
        <is>
          <t>ENC121312</t>
        </is>
      </c>
      <c r="B1904" t="inlineStr">
        <is>
          <t>PT11280</t>
        </is>
      </c>
      <c r="C1904" t="inlineStr">
        <is>
          <t>Outpatient</t>
        </is>
      </c>
      <c r="D1904" t="inlineStr">
        <is>
          <t>F04</t>
        </is>
      </c>
      <c r="E1904" t="inlineStr">
        <is>
          <t>D420</t>
        </is>
      </c>
      <c r="G1904" s="32" t="n">
        <v>46007.46875</v>
      </c>
      <c r="H1904" s="32" t="n">
        <v>46007.50486111111</v>
      </c>
      <c r="I1904" t="inlineStr">
        <is>
          <t>M16.11</t>
        </is>
      </c>
      <c r="J1904" t="inlineStr">
        <is>
          <t>PY02</t>
        </is>
      </c>
      <c r="K1904" s="33" t="n">
        <v>263.69</v>
      </c>
      <c r="L1904" s="34" t="n"/>
    </row>
    <row r="1905">
      <c r="A1905" t="inlineStr">
        <is>
          <t>ENC121318</t>
        </is>
      </c>
      <c r="B1905" t="inlineStr">
        <is>
          <t>PT10829</t>
        </is>
      </c>
      <c r="C1905" t="inlineStr">
        <is>
          <t>Outpatient</t>
        </is>
      </c>
      <c r="D1905" t="inlineStr">
        <is>
          <t>F04</t>
        </is>
      </c>
      <c r="E1905" t="inlineStr">
        <is>
          <t>D400</t>
        </is>
      </c>
      <c r="G1905" s="32" t="n">
        <v>46007.54166666666</v>
      </c>
      <c r="H1905" s="32" t="n">
        <v>46007.55416666667</v>
      </c>
      <c r="I1905" t="inlineStr">
        <is>
          <t>I10</t>
        </is>
      </c>
      <c r="J1905" t="inlineStr">
        <is>
          <t>PY04</t>
        </is>
      </c>
      <c r="K1905" s="33" t="n">
        <v>139.01</v>
      </c>
      <c r="L1905" s="34" t="n"/>
    </row>
    <row r="1906">
      <c r="A1906" t="inlineStr">
        <is>
          <t>ENC121323</t>
        </is>
      </c>
      <c r="B1906" t="inlineStr">
        <is>
          <t>PT10715</t>
        </is>
      </c>
      <c r="C1906" t="inlineStr">
        <is>
          <t>Outpatient</t>
        </is>
      </c>
      <c r="D1906" t="inlineStr">
        <is>
          <t>F04</t>
        </is>
      </c>
      <c r="E1906" t="inlineStr">
        <is>
          <t>D440</t>
        </is>
      </c>
      <c r="G1906" s="32" t="n">
        <v>46007.65625</v>
      </c>
      <c r="H1906" s="32" t="n">
        <v>46007.68263888889</v>
      </c>
      <c r="I1906" t="inlineStr">
        <is>
          <t>E11.9</t>
        </is>
      </c>
      <c r="J1906" t="inlineStr">
        <is>
          <t>PY03</t>
        </is>
      </c>
      <c r="K1906" s="33" t="n">
        <v>215.03</v>
      </c>
      <c r="L1906" s="34" t="n"/>
    </row>
    <row r="1907">
      <c r="A1907" t="inlineStr">
        <is>
          <t>ENC121333</t>
        </is>
      </c>
      <c r="B1907" t="inlineStr">
        <is>
          <t>PT11175</t>
        </is>
      </c>
      <c r="C1907" t="inlineStr">
        <is>
          <t>Emergency</t>
        </is>
      </c>
      <c r="D1907" t="inlineStr">
        <is>
          <t>F01</t>
        </is>
      </c>
      <c r="E1907" t="inlineStr">
        <is>
          <t>D100</t>
        </is>
      </c>
      <c r="G1907" s="32" t="n">
        <v>46007.76527777778</v>
      </c>
      <c r="H1907" s="32" t="n">
        <v>46007.87152777778</v>
      </c>
      <c r="I1907" t="inlineStr">
        <is>
          <t>J06.9</t>
        </is>
      </c>
      <c r="J1907" t="inlineStr">
        <is>
          <t>PY05</t>
        </is>
      </c>
      <c r="K1907" s="33" t="n">
        <v>954.53</v>
      </c>
      <c r="L1907" s="34" t="n"/>
    </row>
    <row r="1908">
      <c r="A1908" t="inlineStr">
        <is>
          <t>ENC121334</t>
        </is>
      </c>
      <c r="B1908" t="inlineStr">
        <is>
          <t>PT12159</t>
        </is>
      </c>
      <c r="C1908" t="inlineStr">
        <is>
          <t>Inpatient</t>
        </is>
      </c>
      <c r="D1908" t="inlineStr">
        <is>
          <t>F03</t>
        </is>
      </c>
      <c r="E1908" t="inlineStr">
        <is>
          <t>D320</t>
        </is>
      </c>
      <c r="F1908" t="inlineStr">
        <is>
          <t>Emergency Department</t>
        </is>
      </c>
      <c r="G1908" s="32" t="n">
        <v>46007.87847222222</v>
      </c>
      <c r="H1908" s="32" t="n">
        <v>46011.63819444444</v>
      </c>
      <c r="I1908" t="inlineStr">
        <is>
          <t>I50.9</t>
        </is>
      </c>
      <c r="J1908" t="inlineStr">
        <is>
          <t>PY05</t>
        </is>
      </c>
      <c r="K1908" s="33" t="n">
        <v>19715.09</v>
      </c>
      <c r="L1908" s="34" t="n"/>
    </row>
    <row r="1909">
      <c r="A1909" t="inlineStr">
        <is>
          <t>ENC121341</t>
        </is>
      </c>
      <c r="B1909" t="inlineStr">
        <is>
          <t>PT13586</t>
        </is>
      </c>
      <c r="C1909" t="inlineStr">
        <is>
          <t>Emergency</t>
        </is>
      </c>
      <c r="D1909" t="inlineStr">
        <is>
          <t>F02</t>
        </is>
      </c>
      <c r="E1909" t="inlineStr">
        <is>
          <t>D200</t>
        </is>
      </c>
      <c r="G1909" s="32" t="n">
        <v>46007.91875</v>
      </c>
      <c r="H1909" s="32" t="n">
        <v>46008.05694444444</v>
      </c>
      <c r="I1909" t="inlineStr">
        <is>
          <t>J18.9</t>
        </is>
      </c>
      <c r="J1909" t="inlineStr">
        <is>
          <t>PY01</t>
        </is>
      </c>
      <c r="K1909" s="33" t="n">
        <v>3034.02</v>
      </c>
      <c r="L1909" s="34" t="n"/>
    </row>
    <row r="1910">
      <c r="A1910" t="inlineStr">
        <is>
          <t>ENC121345</t>
        </is>
      </c>
      <c r="B1910" t="inlineStr">
        <is>
          <t>PT10902</t>
        </is>
      </c>
      <c r="C1910" t="inlineStr">
        <is>
          <t>Outpatient</t>
        </is>
      </c>
      <c r="D1910" t="inlineStr">
        <is>
          <t>F04</t>
        </is>
      </c>
      <c r="E1910" t="inlineStr">
        <is>
          <t>D400</t>
        </is>
      </c>
      <c r="G1910" s="32" t="n">
        <v>46008.34375</v>
      </c>
      <c r="H1910" s="32" t="n">
        <v>46008.35902777778</v>
      </c>
      <c r="I1910" t="inlineStr">
        <is>
          <t>I10</t>
        </is>
      </c>
      <c r="J1910" t="inlineStr">
        <is>
          <t>PY03</t>
        </is>
      </c>
      <c r="K1910" s="33" t="n">
        <v>262.96</v>
      </c>
      <c r="L1910" s="34" t="n"/>
    </row>
    <row r="1911">
      <c r="A1911" t="inlineStr">
        <is>
          <t>ENC121352</t>
        </is>
      </c>
      <c r="B1911" t="inlineStr">
        <is>
          <t>PT10570</t>
        </is>
      </c>
      <c r="C1911" t="inlineStr">
        <is>
          <t>Outpatient</t>
        </is>
      </c>
      <c r="D1911" t="inlineStr">
        <is>
          <t>F04</t>
        </is>
      </c>
      <c r="E1911" t="inlineStr">
        <is>
          <t>D440</t>
        </is>
      </c>
      <c r="G1911" s="32" t="n">
        <v>46008.44791666666</v>
      </c>
      <c r="H1911" s="32" t="n">
        <v>46008.48125</v>
      </c>
      <c r="I1911" t="inlineStr">
        <is>
          <t>E11.9</t>
        </is>
      </c>
      <c r="J1911" t="inlineStr">
        <is>
          <t>PY03</t>
        </is>
      </c>
      <c r="K1911" s="33" t="n">
        <v>235.71</v>
      </c>
      <c r="L1911" s="34" t="n"/>
    </row>
    <row r="1912">
      <c r="A1912" t="inlineStr">
        <is>
          <t>ENC121360</t>
        </is>
      </c>
      <c r="B1912" t="inlineStr">
        <is>
          <t>PT12049</t>
        </is>
      </c>
      <c r="C1912" t="inlineStr">
        <is>
          <t>Outpatient</t>
        </is>
      </c>
      <c r="D1912" t="inlineStr">
        <is>
          <t>F04</t>
        </is>
      </c>
      <c r="E1912" t="inlineStr">
        <is>
          <t>D400</t>
        </is>
      </c>
      <c r="G1912" s="32" t="n">
        <v>46008.5</v>
      </c>
      <c r="H1912" s="32" t="n">
        <v>46008.51875</v>
      </c>
      <c r="I1912" t="inlineStr">
        <is>
          <t>Z00.00</t>
        </is>
      </c>
      <c r="J1912" t="inlineStr">
        <is>
          <t>PY01</t>
        </is>
      </c>
      <c r="K1912" s="33" t="n">
        <v>425.39</v>
      </c>
      <c r="L1912" s="34" t="n"/>
    </row>
    <row r="1913">
      <c r="A1913" t="inlineStr">
        <is>
          <t>ENC121364</t>
        </is>
      </c>
      <c r="B1913" t="inlineStr">
        <is>
          <t>PT12380</t>
        </is>
      </c>
      <c r="C1913" t="inlineStr">
        <is>
          <t>Emergency</t>
        </is>
      </c>
      <c r="D1913" t="inlineStr">
        <is>
          <t>F01</t>
        </is>
      </c>
      <c r="E1913" t="inlineStr">
        <is>
          <t>D100</t>
        </is>
      </c>
      <c r="G1913" s="32" t="n">
        <v>46008.56875</v>
      </c>
      <c r="H1913" s="32" t="n">
        <v>46008.75555555556</v>
      </c>
      <c r="I1913" t="inlineStr">
        <is>
          <t>R07.9</t>
        </is>
      </c>
      <c r="J1913" t="inlineStr">
        <is>
          <t>PY04</t>
        </is>
      </c>
      <c r="K1913" s="33" t="n">
        <v>2697.05</v>
      </c>
      <c r="L1913" s="34" t="n"/>
    </row>
    <row r="1914">
      <c r="A1914" t="inlineStr">
        <is>
          <t>ENC121367</t>
        </is>
      </c>
      <c r="B1914" t="inlineStr">
        <is>
          <t>PT13116</t>
        </is>
      </c>
      <c r="C1914" t="inlineStr">
        <is>
          <t>Outpatient</t>
        </is>
      </c>
      <c r="D1914" t="inlineStr">
        <is>
          <t>F04</t>
        </is>
      </c>
      <c r="E1914" t="inlineStr">
        <is>
          <t>D430</t>
        </is>
      </c>
      <c r="G1914" s="32" t="n">
        <v>46008.625</v>
      </c>
      <c r="H1914" s="32" t="n">
        <v>46008.74722222222</v>
      </c>
      <c r="I1914" t="inlineStr">
        <is>
          <t>Z51.11</t>
        </is>
      </c>
      <c r="J1914" t="inlineStr">
        <is>
          <t>PY01</t>
        </is>
      </c>
      <c r="K1914" s="33" t="n">
        <v>10798.31</v>
      </c>
      <c r="L1914" s="34" t="n"/>
    </row>
    <row r="1915">
      <c r="A1915" t="inlineStr">
        <is>
          <t>ENC121375</t>
        </is>
      </c>
      <c r="B1915" t="inlineStr">
        <is>
          <t>PT11238</t>
        </is>
      </c>
      <c r="C1915" t="inlineStr">
        <is>
          <t>Emergency</t>
        </is>
      </c>
      <c r="D1915" t="inlineStr">
        <is>
          <t>F02</t>
        </is>
      </c>
      <c r="E1915" t="inlineStr">
        <is>
          <t>D200</t>
        </is>
      </c>
      <c r="G1915" s="32" t="n">
        <v>46008.70208333333</v>
      </c>
      <c r="H1915" s="32" t="n">
        <v>46008.80277777778</v>
      </c>
      <c r="I1915" t="inlineStr">
        <is>
          <t>J06.9</t>
        </is>
      </c>
      <c r="J1915" t="inlineStr">
        <is>
          <t>PY06</t>
        </is>
      </c>
      <c r="K1915" s="33" t="n">
        <v>1473.53</v>
      </c>
      <c r="L1915" s="34" t="n"/>
    </row>
    <row r="1916">
      <c r="A1916" t="inlineStr">
        <is>
          <t>ENC121378</t>
        </is>
      </c>
      <c r="B1916" t="inlineStr">
        <is>
          <t>PT13124</t>
        </is>
      </c>
      <c r="C1916" t="inlineStr">
        <is>
          <t>Emergency</t>
        </is>
      </c>
      <c r="D1916" t="inlineStr">
        <is>
          <t>F01</t>
        </is>
      </c>
      <c r="E1916" t="inlineStr">
        <is>
          <t>D100</t>
        </is>
      </c>
      <c r="G1916" s="32" t="n">
        <v>46008.86388888889</v>
      </c>
      <c r="H1916" s="32" t="n">
        <v>46009.00208333333</v>
      </c>
      <c r="I1916" t="inlineStr">
        <is>
          <t>J06.9</t>
        </is>
      </c>
      <c r="J1916" t="inlineStr">
        <is>
          <t>PY03</t>
        </is>
      </c>
      <c r="K1916" s="33" t="n">
        <v>1079.32</v>
      </c>
      <c r="L1916" s="34" t="n"/>
    </row>
    <row r="1917">
      <c r="A1917" t="inlineStr">
        <is>
          <t>ENC121385</t>
        </is>
      </c>
      <c r="B1917" t="inlineStr">
        <is>
          <t>PT12210</t>
        </is>
      </c>
      <c r="C1917" t="inlineStr">
        <is>
          <t>Emergency</t>
        </is>
      </c>
      <c r="D1917" t="inlineStr">
        <is>
          <t>F03</t>
        </is>
      </c>
      <c r="E1917" t="inlineStr">
        <is>
          <t>D300</t>
        </is>
      </c>
      <c r="G1917" s="32" t="n">
        <v>46009.04722222222</v>
      </c>
      <c r="H1917" s="32" t="n">
        <v>46009.18819444445</v>
      </c>
      <c r="I1917" t="inlineStr">
        <is>
          <t>R10.9</t>
        </is>
      </c>
      <c r="J1917" t="inlineStr">
        <is>
          <t>PY05</t>
        </is>
      </c>
      <c r="K1917" s="33" t="n">
        <v>7249.25</v>
      </c>
      <c r="L1917" s="34" t="n"/>
    </row>
    <row r="1918">
      <c r="A1918" t="inlineStr">
        <is>
          <t>ENC121389</t>
        </is>
      </c>
      <c r="B1918" t="inlineStr">
        <is>
          <t>PT12160</t>
        </is>
      </c>
      <c r="C1918" t="inlineStr">
        <is>
          <t>Inpatient</t>
        </is>
      </c>
      <c r="D1918" t="inlineStr">
        <is>
          <t>F01</t>
        </is>
      </c>
      <c r="E1918" t="inlineStr">
        <is>
          <t>D111</t>
        </is>
      </c>
      <c r="F1918" t="inlineStr">
        <is>
          <t>Emergency Department</t>
        </is>
      </c>
      <c r="G1918" s="32" t="n">
        <v>46009.31666666667</v>
      </c>
      <c r="H1918" s="32" t="n">
        <v>46012.82083333333</v>
      </c>
      <c r="I1918" t="inlineStr">
        <is>
          <t>K35.80</t>
        </is>
      </c>
      <c r="J1918" t="inlineStr">
        <is>
          <t>PY03</t>
        </is>
      </c>
      <c r="K1918" s="33" t="n">
        <v>36153.9</v>
      </c>
      <c r="L1918" s="34" t="n"/>
    </row>
    <row r="1919">
      <c r="A1919" t="inlineStr">
        <is>
          <t>ENC121396</t>
        </is>
      </c>
      <c r="B1919" t="inlineStr">
        <is>
          <t>PT10616</t>
        </is>
      </c>
      <c r="C1919" t="inlineStr">
        <is>
          <t>Outpatient</t>
        </is>
      </c>
      <c r="D1919" t="inlineStr">
        <is>
          <t>F04</t>
        </is>
      </c>
      <c r="E1919" t="inlineStr">
        <is>
          <t>D400</t>
        </is>
      </c>
      <c r="G1919" s="32" t="n">
        <v>46009.39583333334</v>
      </c>
      <c r="H1919" s="32" t="n">
        <v>46009.42916666667</v>
      </c>
      <c r="I1919" t="inlineStr">
        <is>
          <t>I10</t>
        </is>
      </c>
      <c r="J1919" t="inlineStr">
        <is>
          <t>PY01</t>
        </is>
      </c>
      <c r="K1919" s="33" t="n">
        <v>141.97</v>
      </c>
      <c r="L1919" s="34" t="n"/>
    </row>
    <row r="1920">
      <c r="A1920" t="inlineStr">
        <is>
          <t>ENC121404</t>
        </is>
      </c>
      <c r="B1920" t="inlineStr">
        <is>
          <t>PT10129</t>
        </is>
      </c>
      <c r="C1920" t="inlineStr">
        <is>
          <t>Emergency</t>
        </is>
      </c>
      <c r="D1920" t="inlineStr">
        <is>
          <t>F02</t>
        </is>
      </c>
      <c r="E1920" t="inlineStr">
        <is>
          <t>D200</t>
        </is>
      </c>
      <c r="G1920" s="32" t="n">
        <v>46009.45208333333</v>
      </c>
      <c r="H1920" s="32" t="n">
        <v>46009.58611111111</v>
      </c>
      <c r="I1920" t="inlineStr">
        <is>
          <t>J44.1</t>
        </is>
      </c>
      <c r="J1920" t="inlineStr">
        <is>
          <t>PY05</t>
        </is>
      </c>
      <c r="K1920" s="33" t="n">
        <v>7202.96</v>
      </c>
      <c r="L1920" s="34" t="n"/>
    </row>
    <row r="1921">
      <c r="A1921" t="inlineStr">
        <is>
          <t>ENC121408</t>
        </is>
      </c>
      <c r="B1921" t="inlineStr">
        <is>
          <t>PT13537</t>
        </is>
      </c>
      <c r="C1921" t="inlineStr">
        <is>
          <t>Emergency</t>
        </is>
      </c>
      <c r="D1921" t="inlineStr">
        <is>
          <t>F02</t>
        </is>
      </c>
      <c r="E1921" t="inlineStr">
        <is>
          <t>D200</t>
        </is>
      </c>
      <c r="G1921" s="32" t="n">
        <v>46009.52847222222</v>
      </c>
      <c r="H1921" s="32" t="n">
        <v>46009.68402777778</v>
      </c>
      <c r="I1921" t="inlineStr">
        <is>
          <t>R55</t>
        </is>
      </c>
      <c r="J1921" t="inlineStr">
        <is>
          <t>PY07</t>
        </is>
      </c>
      <c r="K1921" s="33" t="n">
        <v>3275.56</v>
      </c>
      <c r="L1921" s="34" t="n"/>
    </row>
    <row r="1922">
      <c r="A1922" t="inlineStr">
        <is>
          <t>ENC121413</t>
        </is>
      </c>
      <c r="B1922" t="inlineStr">
        <is>
          <t>PT13808</t>
        </is>
      </c>
      <c r="C1922" t="inlineStr">
        <is>
          <t>Outpatient</t>
        </is>
      </c>
      <c r="D1922" t="inlineStr">
        <is>
          <t>F04</t>
        </is>
      </c>
      <c r="E1922" t="inlineStr">
        <is>
          <t>D400</t>
        </is>
      </c>
      <c r="G1922" s="32" t="n">
        <v>46009.59375</v>
      </c>
      <c r="H1922" s="32" t="n">
        <v>46009.62777777778</v>
      </c>
      <c r="I1922" t="inlineStr">
        <is>
          <t>I10</t>
        </is>
      </c>
      <c r="J1922" t="inlineStr">
        <is>
          <t>PY01</t>
        </is>
      </c>
      <c r="K1922" s="33" t="n">
        <v>235.09</v>
      </c>
      <c r="L1922" s="34" t="n"/>
    </row>
    <row r="1923">
      <c r="A1923" t="inlineStr">
        <is>
          <t>ENC121418</t>
        </is>
      </c>
      <c r="B1923" t="inlineStr">
        <is>
          <t>PT11831</t>
        </is>
      </c>
      <c r="C1923" t="inlineStr">
        <is>
          <t>Outpatient</t>
        </is>
      </c>
      <c r="D1923" t="inlineStr">
        <is>
          <t>F04</t>
        </is>
      </c>
      <c r="E1923" t="inlineStr">
        <is>
          <t>D430</t>
        </is>
      </c>
      <c r="G1923" s="32" t="n">
        <v>46009.625</v>
      </c>
      <c r="H1923" s="32" t="n">
        <v>46009.63611111111</v>
      </c>
      <c r="I1923" t="inlineStr">
        <is>
          <t>C50.911</t>
        </is>
      </c>
      <c r="J1923" t="inlineStr">
        <is>
          <t>PY02</t>
        </is>
      </c>
      <c r="K1923" s="33" t="n">
        <v>433.87</v>
      </c>
      <c r="L1923" s="34" t="n"/>
    </row>
    <row r="1924">
      <c r="A1924" t="inlineStr">
        <is>
          <t>ENC121421</t>
        </is>
      </c>
      <c r="B1924" t="inlineStr">
        <is>
          <t>PT11336</t>
        </is>
      </c>
      <c r="C1924" t="inlineStr">
        <is>
          <t>Inpatient</t>
        </is>
      </c>
      <c r="D1924" t="inlineStr">
        <is>
          <t>F01</t>
        </is>
      </c>
      <c r="E1924" t="inlineStr">
        <is>
          <t>D150</t>
        </is>
      </c>
      <c r="F1924" t="inlineStr">
        <is>
          <t>Emergency Department</t>
        </is>
      </c>
      <c r="G1924" s="32" t="n">
        <v>46009.92986111111</v>
      </c>
      <c r="H1924" s="32" t="n">
        <v>46014.68055555555</v>
      </c>
      <c r="I1924" t="inlineStr">
        <is>
          <t>C34.90</t>
        </is>
      </c>
      <c r="J1924" t="inlineStr">
        <is>
          <t>PY06</t>
        </is>
      </c>
      <c r="K1924" s="33" t="n">
        <v>20163.78</v>
      </c>
      <c r="L1924" s="34" t="n"/>
    </row>
    <row r="1925">
      <c r="A1925" t="inlineStr">
        <is>
          <t>ENC121428</t>
        </is>
      </c>
      <c r="B1925" t="inlineStr">
        <is>
          <t>PT12356</t>
        </is>
      </c>
      <c r="C1925" t="inlineStr">
        <is>
          <t>Emergency</t>
        </is>
      </c>
      <c r="D1925" t="inlineStr">
        <is>
          <t>F01</t>
        </is>
      </c>
      <c r="E1925" t="inlineStr">
        <is>
          <t>D100</t>
        </is>
      </c>
      <c r="G1925" s="32" t="n">
        <v>46010.29375</v>
      </c>
      <c r="H1925" s="32" t="n">
        <v>46010.57291666666</v>
      </c>
      <c r="I1925" t="inlineStr">
        <is>
          <t>F20.9</t>
        </is>
      </c>
      <c r="J1925" t="inlineStr">
        <is>
          <t>PY05</t>
        </is>
      </c>
      <c r="K1925" s="33" t="n">
        <v>2899.95</v>
      </c>
      <c r="L1925" s="34" t="n"/>
    </row>
    <row r="1926">
      <c r="A1926" t="inlineStr">
        <is>
          <t>ENC121434</t>
        </is>
      </c>
      <c r="B1926" t="inlineStr">
        <is>
          <t>PT12829</t>
        </is>
      </c>
      <c r="C1926" t="inlineStr">
        <is>
          <t>Emergency</t>
        </is>
      </c>
      <c r="D1926" t="inlineStr">
        <is>
          <t>F03</t>
        </is>
      </c>
      <c r="E1926" t="inlineStr">
        <is>
          <t>D300</t>
        </is>
      </c>
      <c r="G1926" s="32" t="n">
        <v>46010.43055555555</v>
      </c>
      <c r="H1926" s="32" t="n">
        <v>46010.54791666667</v>
      </c>
      <c r="I1926" t="inlineStr">
        <is>
          <t>I10</t>
        </is>
      </c>
      <c r="J1926" t="inlineStr">
        <is>
          <t>PY07</t>
        </is>
      </c>
      <c r="K1926" s="33" t="n">
        <v>1626.9</v>
      </c>
      <c r="L1926" s="34" t="n"/>
    </row>
    <row r="1927">
      <c r="A1927" t="inlineStr">
        <is>
          <t>ENC121441</t>
        </is>
      </c>
      <c r="B1927" t="inlineStr">
        <is>
          <t>PT12873</t>
        </is>
      </c>
      <c r="C1927" t="inlineStr">
        <is>
          <t>Outpatient</t>
        </is>
      </c>
      <c r="D1927" t="inlineStr">
        <is>
          <t>F04</t>
        </is>
      </c>
      <c r="E1927" t="inlineStr">
        <is>
          <t>D440</t>
        </is>
      </c>
      <c r="G1927" s="32" t="n">
        <v>46010.5625</v>
      </c>
      <c r="H1927" s="32" t="n">
        <v>46010.60069444445</v>
      </c>
      <c r="I1927" t="inlineStr">
        <is>
          <t>E11.9</t>
        </is>
      </c>
      <c r="J1927" t="inlineStr">
        <is>
          <t>PY01</t>
        </is>
      </c>
      <c r="K1927" s="33" t="n">
        <v>234.86</v>
      </c>
      <c r="L1927" s="34" t="n"/>
    </row>
    <row r="1928">
      <c r="A1928" t="inlineStr">
        <is>
          <t>ENC121447</t>
        </is>
      </c>
      <c r="B1928" t="inlineStr">
        <is>
          <t>PT10079</t>
        </is>
      </c>
      <c r="C1928" t="inlineStr">
        <is>
          <t>Emergency</t>
        </is>
      </c>
      <c r="D1928" t="inlineStr">
        <is>
          <t>F02</t>
        </is>
      </c>
      <c r="E1928" t="inlineStr">
        <is>
          <t>D200</t>
        </is>
      </c>
      <c r="G1928" s="32" t="n">
        <v>46010.64097222222</v>
      </c>
      <c r="H1928" s="32" t="n">
        <v>46010.8</v>
      </c>
      <c r="I1928" t="inlineStr">
        <is>
          <t>R07.9</t>
        </is>
      </c>
      <c r="J1928" t="inlineStr">
        <is>
          <t>PY06</t>
        </is>
      </c>
      <c r="K1928" s="33" t="n">
        <v>3768.54</v>
      </c>
      <c r="L1928" s="34" t="n"/>
    </row>
    <row r="1929">
      <c r="A1929" t="inlineStr">
        <is>
          <t>ENC121452</t>
        </is>
      </c>
      <c r="B1929" t="inlineStr">
        <is>
          <t>PT11245</t>
        </is>
      </c>
      <c r="C1929" t="inlineStr">
        <is>
          <t>Outpatient</t>
        </is>
      </c>
      <c r="D1929" t="inlineStr">
        <is>
          <t>F04</t>
        </is>
      </c>
      <c r="E1929" t="inlineStr">
        <is>
          <t>D450</t>
        </is>
      </c>
      <c r="G1929" s="32" t="n">
        <v>46010.6875</v>
      </c>
      <c r="H1929" s="32" t="n">
        <v>46010.69791666666</v>
      </c>
      <c r="I1929" t="inlineStr">
        <is>
          <t>H66.90</t>
        </is>
      </c>
      <c r="J1929" t="inlineStr">
        <is>
          <t>PY03</t>
        </is>
      </c>
      <c r="K1929" s="33" t="n">
        <v>301.38</v>
      </c>
      <c r="L1929" s="34" t="n"/>
    </row>
    <row r="1930">
      <c r="A1930" t="inlineStr">
        <is>
          <t>ENC121444</t>
        </is>
      </c>
      <c r="B1930" t="inlineStr">
        <is>
          <t>PT10575</t>
        </is>
      </c>
      <c r="C1930" t="inlineStr">
        <is>
          <t>Inpatient</t>
        </is>
      </c>
      <c r="D1930" t="inlineStr">
        <is>
          <t>F02</t>
        </is>
      </c>
      <c r="E1930" t="inlineStr">
        <is>
          <t>D210</t>
        </is>
      </c>
      <c r="F1930" t="inlineStr">
        <is>
          <t>Emergency Department</t>
        </is>
      </c>
      <c r="G1930" s="32" t="n">
        <v>46010.73472222222</v>
      </c>
      <c r="H1930" s="32" t="n">
        <v>46011.79513888889</v>
      </c>
      <c r="I1930" t="inlineStr">
        <is>
          <t>N39.0</t>
        </is>
      </c>
      <c r="J1930" t="inlineStr">
        <is>
          <t>PY05</t>
        </is>
      </c>
      <c r="K1930" s="33" t="n">
        <v>13060.66</v>
      </c>
      <c r="L1930" s="34" t="n"/>
    </row>
    <row r="1931">
      <c r="A1931" t="inlineStr">
        <is>
          <t>ENC121459</t>
        </is>
      </c>
      <c r="B1931" t="inlineStr">
        <is>
          <t>PT11002</t>
        </is>
      </c>
      <c r="C1931" t="inlineStr">
        <is>
          <t>Inpatient</t>
        </is>
      </c>
      <c r="D1931" t="inlineStr">
        <is>
          <t>F02</t>
        </is>
      </c>
      <c r="E1931" t="inlineStr">
        <is>
          <t>D210</t>
        </is>
      </c>
      <c r="F1931" t="inlineStr">
        <is>
          <t>Emergency Department</t>
        </is>
      </c>
      <c r="G1931" s="32" t="n">
        <v>46010.87847222222</v>
      </c>
      <c r="H1931" s="32" t="n">
        <v>46013.54583333333</v>
      </c>
      <c r="I1931" t="inlineStr">
        <is>
          <t>J44.1</t>
        </is>
      </c>
      <c r="J1931" t="inlineStr">
        <is>
          <t>PY07</t>
        </is>
      </c>
      <c r="K1931" s="33" t="n">
        <v>24004.7</v>
      </c>
      <c r="L1931" s="34" t="n"/>
    </row>
    <row r="1932">
      <c r="A1932" t="inlineStr">
        <is>
          <t>ENC121467</t>
        </is>
      </c>
      <c r="B1932" t="inlineStr">
        <is>
          <t>PT12904</t>
        </is>
      </c>
      <c r="C1932" t="inlineStr">
        <is>
          <t>Emergency</t>
        </is>
      </c>
      <c r="D1932" t="inlineStr">
        <is>
          <t>F01</t>
        </is>
      </c>
      <c r="E1932" t="inlineStr">
        <is>
          <t>D100</t>
        </is>
      </c>
      <c r="G1932" s="32" t="n">
        <v>46011.04513888889</v>
      </c>
      <c r="H1932" s="32" t="n">
        <v>46011.19166666667</v>
      </c>
      <c r="I1932" t="inlineStr">
        <is>
          <t>G40.909</t>
        </is>
      </c>
      <c r="J1932" t="inlineStr">
        <is>
          <t>PY06</t>
        </is>
      </c>
      <c r="K1932" s="33" t="n">
        <v>3139.14</v>
      </c>
      <c r="L1932" s="34" t="n"/>
    </row>
    <row r="1933">
      <c r="A1933" t="inlineStr">
        <is>
          <t>ENC121471</t>
        </is>
      </c>
      <c r="B1933" t="inlineStr">
        <is>
          <t>PT10721</t>
        </is>
      </c>
      <c r="C1933" t="inlineStr">
        <is>
          <t>Inpatient</t>
        </is>
      </c>
      <c r="D1933" t="inlineStr">
        <is>
          <t>F01</t>
        </is>
      </c>
      <c r="E1933" t="inlineStr">
        <is>
          <t>D160</t>
        </is>
      </c>
      <c r="F1933" t="inlineStr">
        <is>
          <t>Emergency Department</t>
        </is>
      </c>
      <c r="G1933" s="32" t="n">
        <v>46011.5875</v>
      </c>
      <c r="H1933" s="32" t="n">
        <v>46014.64583333334</v>
      </c>
      <c r="I1933" t="inlineStr">
        <is>
          <t>I63.9</t>
        </is>
      </c>
      <c r="J1933" t="inlineStr">
        <is>
          <t>PY01</t>
        </is>
      </c>
      <c r="K1933" s="33" t="n">
        <v>13766.55</v>
      </c>
      <c r="L1933" s="34" t="n"/>
    </row>
    <row r="1934">
      <c r="A1934" t="inlineStr">
        <is>
          <t>ENC121477</t>
        </is>
      </c>
      <c r="B1934" t="inlineStr">
        <is>
          <t>PT12664</t>
        </is>
      </c>
      <c r="C1934" t="inlineStr">
        <is>
          <t>Observation</t>
        </is>
      </c>
      <c r="D1934" t="inlineStr">
        <is>
          <t>F01</t>
        </is>
      </c>
      <c r="E1934" t="inlineStr">
        <is>
          <t>D195</t>
        </is>
      </c>
      <c r="F1934" t="inlineStr">
        <is>
          <t>Emergency Department</t>
        </is>
      </c>
      <c r="G1934" s="32" t="n">
        <v>46011.65902777778</v>
      </c>
      <c r="H1934" s="32" t="n">
        <v>46012.33263888889</v>
      </c>
      <c r="I1934" t="inlineStr">
        <is>
          <t>J21.9</t>
        </is>
      </c>
      <c r="J1934" t="inlineStr">
        <is>
          <t>PY04</t>
        </is>
      </c>
      <c r="K1934" s="33" t="n">
        <v>10239.94</v>
      </c>
      <c r="L1934" s="34" t="n"/>
    </row>
    <row r="1935">
      <c r="A1935" t="inlineStr">
        <is>
          <t>ENC121484</t>
        </is>
      </c>
      <c r="B1935" t="inlineStr">
        <is>
          <t>PT10333</t>
        </is>
      </c>
      <c r="C1935" t="inlineStr">
        <is>
          <t>Emergency</t>
        </is>
      </c>
      <c r="D1935" t="inlineStr">
        <is>
          <t>F01</t>
        </is>
      </c>
      <c r="E1935" t="inlineStr">
        <is>
          <t>D100</t>
        </is>
      </c>
      <c r="G1935" s="32" t="n">
        <v>46011.97152777778</v>
      </c>
      <c r="H1935" s="32" t="n">
        <v>46012.07638888889</v>
      </c>
      <c r="I1935" t="inlineStr">
        <is>
          <t>J06.9</t>
        </is>
      </c>
      <c r="J1935" t="inlineStr">
        <is>
          <t>PY01</t>
        </is>
      </c>
      <c r="K1935" s="33" t="n">
        <v>462.96</v>
      </c>
      <c r="L1935" s="34" t="n"/>
    </row>
    <row r="1936">
      <c r="A1936" t="inlineStr">
        <is>
          <t>ENC121491</t>
        </is>
      </c>
      <c r="B1936" t="inlineStr">
        <is>
          <t>PT12649</t>
        </is>
      </c>
      <c r="C1936" t="inlineStr">
        <is>
          <t>Emergency</t>
        </is>
      </c>
      <c r="D1936" t="inlineStr">
        <is>
          <t>F03</t>
        </is>
      </c>
      <c r="E1936" t="inlineStr">
        <is>
          <t>D300</t>
        </is>
      </c>
      <c r="G1936" s="32" t="n">
        <v>46012.3875</v>
      </c>
      <c r="H1936" s="32" t="n">
        <v>46012.47291666667</v>
      </c>
      <c r="I1936" t="inlineStr">
        <is>
          <t>G43.909</t>
        </is>
      </c>
      <c r="J1936" t="inlineStr">
        <is>
          <t>PY06</t>
        </is>
      </c>
      <c r="K1936" s="33" t="n">
        <v>1343.62</v>
      </c>
      <c r="L1936" s="34" t="n"/>
    </row>
    <row r="1937">
      <c r="A1937" t="inlineStr">
        <is>
          <t>ENC121492</t>
        </is>
      </c>
      <c r="B1937" t="inlineStr">
        <is>
          <t>PT13767</t>
        </is>
      </c>
      <c r="C1937" t="inlineStr">
        <is>
          <t>Inpatient</t>
        </is>
      </c>
      <c r="D1937" t="inlineStr">
        <is>
          <t>F02</t>
        </is>
      </c>
      <c r="E1937" t="inlineStr">
        <is>
          <t>D210</t>
        </is>
      </c>
      <c r="F1937" t="inlineStr">
        <is>
          <t>Emergency Department</t>
        </is>
      </c>
      <c r="G1937" s="32" t="n">
        <v>46012.53819444445</v>
      </c>
      <c r="H1937" s="32" t="n">
        <v>46015.6</v>
      </c>
      <c r="I1937" t="inlineStr">
        <is>
          <t>E11.65</t>
        </is>
      </c>
      <c r="J1937" t="inlineStr">
        <is>
          <t>PY01</t>
        </is>
      </c>
      <c r="K1937" s="33" t="n">
        <v>11729.46</v>
      </c>
      <c r="L1937" s="34" t="n"/>
    </row>
    <row r="1938">
      <c r="A1938" t="inlineStr">
        <is>
          <t>ENC121502</t>
        </is>
      </c>
      <c r="B1938" t="inlineStr">
        <is>
          <t>PT13350</t>
        </is>
      </c>
      <c r="C1938" t="inlineStr">
        <is>
          <t>Emergency</t>
        </is>
      </c>
      <c r="D1938" t="inlineStr">
        <is>
          <t>F01</t>
        </is>
      </c>
      <c r="E1938" t="inlineStr">
        <is>
          <t>D100</t>
        </is>
      </c>
      <c r="G1938" s="32" t="n">
        <v>46012.66458333333</v>
      </c>
      <c r="H1938" s="32" t="n">
        <v>46012.73819444444</v>
      </c>
      <c r="I1938" t="inlineStr">
        <is>
          <t>A08.4</t>
        </is>
      </c>
      <c r="J1938" t="inlineStr">
        <is>
          <t>PY05</t>
        </is>
      </c>
      <c r="K1938" s="33" t="n">
        <v>1556.03</v>
      </c>
      <c r="L1938" s="34" t="n"/>
    </row>
    <row r="1939">
      <c r="A1939" t="inlineStr">
        <is>
          <t>ENC121506</t>
        </is>
      </c>
      <c r="B1939" t="inlineStr">
        <is>
          <t>PT13853</t>
        </is>
      </c>
      <c r="C1939" t="inlineStr">
        <is>
          <t>Emergency</t>
        </is>
      </c>
      <c r="D1939" t="inlineStr">
        <is>
          <t>F01</t>
        </is>
      </c>
      <c r="E1939" t="inlineStr">
        <is>
          <t>D100</t>
        </is>
      </c>
      <c r="G1939" s="32" t="n">
        <v>46012.95069444444</v>
      </c>
      <c r="H1939" s="32" t="n">
        <v>46013.05902777778</v>
      </c>
      <c r="I1939" t="inlineStr">
        <is>
          <t>L03.115</t>
        </is>
      </c>
      <c r="J1939" t="inlineStr">
        <is>
          <t>PY02</t>
        </is>
      </c>
      <c r="K1939" s="33" t="n">
        <v>2473.85</v>
      </c>
      <c r="L1939" s="34" t="n"/>
    </row>
    <row r="1940">
      <c r="A1940" t="inlineStr">
        <is>
          <t>ENC121512</t>
        </is>
      </c>
      <c r="B1940" t="inlineStr">
        <is>
          <t>PT10966</t>
        </is>
      </c>
      <c r="C1940" t="inlineStr">
        <is>
          <t>Outpatient</t>
        </is>
      </c>
      <c r="D1940" t="inlineStr">
        <is>
          <t>F04</t>
        </is>
      </c>
      <c r="E1940" t="inlineStr">
        <is>
          <t>D420</t>
        </is>
      </c>
      <c r="G1940" s="32" t="n">
        <v>46013.36458333334</v>
      </c>
      <c r="H1940" s="32" t="n">
        <v>46013.39930555555</v>
      </c>
      <c r="I1940" t="inlineStr">
        <is>
          <t>M17.11</t>
        </is>
      </c>
      <c r="J1940" t="inlineStr">
        <is>
          <t>PY04</t>
        </is>
      </c>
      <c r="K1940" s="33" t="n">
        <v>250.82</v>
      </c>
      <c r="L1940" s="34" t="n"/>
    </row>
    <row r="1941">
      <c r="A1941" t="inlineStr">
        <is>
          <t>ENC121518</t>
        </is>
      </c>
      <c r="B1941" t="inlineStr">
        <is>
          <t>PT13132</t>
        </is>
      </c>
      <c r="C1941" t="inlineStr">
        <is>
          <t>Outpatient</t>
        </is>
      </c>
      <c r="D1941" t="inlineStr">
        <is>
          <t>F04</t>
        </is>
      </c>
      <c r="E1941" t="inlineStr">
        <is>
          <t>D430</t>
        </is>
      </c>
      <c r="G1941" s="32" t="n">
        <v>46013.40625</v>
      </c>
      <c r="H1941" s="32" t="n">
        <v>46013.62708333333</v>
      </c>
      <c r="I1941" t="inlineStr">
        <is>
          <t>Z51.11</t>
        </is>
      </c>
      <c r="J1941" t="inlineStr">
        <is>
          <t>PY04</t>
        </is>
      </c>
      <c r="K1941" s="33" t="n">
        <v>7258.3</v>
      </c>
      <c r="L1941" s="34" t="n"/>
    </row>
    <row r="1942">
      <c r="A1942" t="inlineStr">
        <is>
          <t>ENC121524</t>
        </is>
      </c>
      <c r="B1942" t="inlineStr">
        <is>
          <t>PT10118</t>
        </is>
      </c>
      <c r="C1942" t="inlineStr">
        <is>
          <t>Outpatient</t>
        </is>
      </c>
      <c r="D1942" t="inlineStr">
        <is>
          <t>F04</t>
        </is>
      </c>
      <c r="E1942" t="inlineStr">
        <is>
          <t>D400</t>
        </is>
      </c>
      <c r="G1942" s="32" t="n">
        <v>46013.46875</v>
      </c>
      <c r="H1942" s="32" t="n">
        <v>46013.50416666667</v>
      </c>
      <c r="I1942" t="inlineStr">
        <is>
          <t>Z00.00</t>
        </is>
      </c>
      <c r="J1942" t="inlineStr">
        <is>
          <t>PY04</t>
        </is>
      </c>
      <c r="K1942" s="33" t="n">
        <v>364.85</v>
      </c>
      <c r="L1942" s="34" t="n"/>
    </row>
    <row r="1943">
      <c r="A1943" t="inlineStr">
        <is>
          <t>ENC121532</t>
        </is>
      </c>
      <c r="B1943" t="inlineStr">
        <is>
          <t>PT12538</t>
        </is>
      </c>
      <c r="C1943" t="inlineStr">
        <is>
          <t>Outpatient</t>
        </is>
      </c>
      <c r="D1943" t="inlineStr">
        <is>
          <t>F04</t>
        </is>
      </c>
      <c r="E1943" t="inlineStr">
        <is>
          <t>D400</t>
        </is>
      </c>
      <c r="G1943" s="32" t="n">
        <v>46013.55208333334</v>
      </c>
      <c r="H1943" s="32" t="n">
        <v>46013.56527777778</v>
      </c>
      <c r="I1943" t="inlineStr">
        <is>
          <t>I10</t>
        </is>
      </c>
      <c r="J1943" t="inlineStr">
        <is>
          <t>PY05</t>
        </is>
      </c>
      <c r="K1943" s="33" t="n">
        <v>309.9</v>
      </c>
      <c r="L1943" s="34" t="n"/>
    </row>
    <row r="1944">
      <c r="A1944" t="inlineStr">
        <is>
          <t>ENC121519</t>
        </is>
      </c>
      <c r="B1944" t="inlineStr">
        <is>
          <t>PT12828</t>
        </is>
      </c>
      <c r="C1944" t="inlineStr">
        <is>
          <t>Inpatient</t>
        </is>
      </c>
      <c r="D1944" t="inlineStr">
        <is>
          <t>F01</t>
        </is>
      </c>
      <c r="E1944" t="inlineStr">
        <is>
          <t>D111</t>
        </is>
      </c>
      <c r="F1944" t="inlineStr">
        <is>
          <t>Emergency Department</t>
        </is>
      </c>
      <c r="G1944" s="32" t="n">
        <v>46013.58541666667</v>
      </c>
      <c r="H1944" s="32" t="n">
        <v>46016.57083333333</v>
      </c>
      <c r="I1944" t="inlineStr">
        <is>
          <t>E86.0</t>
        </is>
      </c>
      <c r="J1944" t="inlineStr">
        <is>
          <t>PY02</t>
        </is>
      </c>
      <c r="K1944" s="33" t="n">
        <v>11846.11</v>
      </c>
      <c r="L1944" s="34" t="n"/>
    </row>
    <row r="1945">
      <c r="A1945" t="inlineStr">
        <is>
          <t>ENC121542</t>
        </is>
      </c>
      <c r="B1945" t="inlineStr">
        <is>
          <t>PT11555</t>
        </is>
      </c>
      <c r="C1945" t="inlineStr">
        <is>
          <t>Outpatient</t>
        </is>
      </c>
      <c r="D1945" t="inlineStr">
        <is>
          <t>F04</t>
        </is>
      </c>
      <c r="E1945" t="inlineStr">
        <is>
          <t>D400</t>
        </is>
      </c>
      <c r="G1945" s="32" t="n">
        <v>46013.625</v>
      </c>
      <c r="H1945" s="32" t="n">
        <v>46013.64375</v>
      </c>
      <c r="I1945" t="inlineStr">
        <is>
          <t>M54.50</t>
        </is>
      </c>
      <c r="J1945" t="inlineStr">
        <is>
          <t>PY08</t>
        </is>
      </c>
      <c r="K1945" s="33" t="n">
        <v>225.71</v>
      </c>
      <c r="L1945" s="34" t="n"/>
    </row>
    <row r="1946">
      <c r="A1946" t="inlineStr">
        <is>
          <t>ENC121526</t>
        </is>
      </c>
      <c r="B1946" t="inlineStr">
        <is>
          <t>PT11720</t>
        </is>
      </c>
      <c r="C1946" t="inlineStr">
        <is>
          <t>Inpatient</t>
        </is>
      </c>
      <c r="D1946" t="inlineStr">
        <is>
          <t>F03</t>
        </is>
      </c>
      <c r="E1946" t="inlineStr">
        <is>
          <t>D340</t>
        </is>
      </c>
      <c r="F1946" t="inlineStr">
        <is>
          <t>Emergency Department</t>
        </is>
      </c>
      <c r="G1946" s="32" t="n">
        <v>46013.64305555556</v>
      </c>
      <c r="H1946" s="32" t="n">
        <v>46018.54722222222</v>
      </c>
      <c r="I1946" t="inlineStr">
        <is>
          <t>S72.001A</t>
        </is>
      </c>
      <c r="J1946" t="inlineStr">
        <is>
          <t>PY05</t>
        </is>
      </c>
      <c r="K1946" s="33" t="n">
        <v>60033.52</v>
      </c>
      <c r="L1946" s="34" t="n"/>
    </row>
    <row r="1947">
      <c r="A1947" t="inlineStr">
        <is>
          <t>ENC121551</t>
        </is>
      </c>
      <c r="B1947" t="inlineStr">
        <is>
          <t>PT13206</t>
        </is>
      </c>
      <c r="C1947" t="inlineStr">
        <is>
          <t>Outpatient</t>
        </is>
      </c>
      <c r="D1947" t="inlineStr">
        <is>
          <t>F04</t>
        </is>
      </c>
      <c r="E1947" t="inlineStr">
        <is>
          <t>D400</t>
        </is>
      </c>
      <c r="G1947" s="32" t="n">
        <v>46013.6875</v>
      </c>
      <c r="H1947" s="32" t="n">
        <v>46013.69791666666</v>
      </c>
      <c r="I1947" t="inlineStr">
        <is>
          <t>Z00.00</t>
        </is>
      </c>
      <c r="J1947" t="inlineStr">
        <is>
          <t>PY03</t>
        </is>
      </c>
      <c r="K1947" s="33" t="n">
        <v>494.15</v>
      </c>
      <c r="L1947" s="34" t="n"/>
    </row>
    <row r="1948">
      <c r="A1948" t="inlineStr">
        <is>
          <t>ENC121558</t>
        </is>
      </c>
      <c r="B1948" t="inlineStr">
        <is>
          <t>PT12420</t>
        </is>
      </c>
      <c r="C1948" t="inlineStr">
        <is>
          <t>Emergency</t>
        </is>
      </c>
      <c r="D1948" t="inlineStr">
        <is>
          <t>F01</t>
        </is>
      </c>
      <c r="E1948" t="inlineStr">
        <is>
          <t>D100</t>
        </is>
      </c>
      <c r="G1948" s="32" t="n">
        <v>46013.82638888889</v>
      </c>
      <c r="H1948" s="32" t="n">
        <v>46013.96458333333</v>
      </c>
      <c r="I1948" t="inlineStr">
        <is>
          <t>E86.0</t>
        </is>
      </c>
      <c r="J1948" t="inlineStr">
        <is>
          <t>PY05</t>
        </is>
      </c>
      <c r="K1948" s="33" t="n">
        <v>5269.13</v>
      </c>
      <c r="L1948" s="34" t="n"/>
    </row>
    <row r="1949">
      <c r="A1949" t="inlineStr">
        <is>
          <t>ENC121562</t>
        </is>
      </c>
      <c r="B1949" t="inlineStr">
        <is>
          <t>PT13522</t>
        </is>
      </c>
      <c r="C1949" t="inlineStr">
        <is>
          <t>Inpatient</t>
        </is>
      </c>
      <c r="D1949" t="inlineStr">
        <is>
          <t>F01</t>
        </is>
      </c>
      <c r="E1949" t="inlineStr">
        <is>
          <t>D170</t>
        </is>
      </c>
      <c r="F1949" t="inlineStr">
        <is>
          <t>Direct Admit</t>
        </is>
      </c>
      <c r="G1949" s="32" t="n">
        <v>46014.27083333334</v>
      </c>
      <c r="H1949" s="32" t="n">
        <v>46014.76944444444</v>
      </c>
      <c r="I1949" t="inlineStr">
        <is>
          <t>O80</t>
        </is>
      </c>
      <c r="J1949" t="inlineStr">
        <is>
          <t>PY05</t>
        </is>
      </c>
      <c r="K1949" s="33" t="n">
        <v>9621.4</v>
      </c>
      <c r="L1949" s="34" t="n"/>
    </row>
    <row r="1950">
      <c r="A1950" t="inlineStr">
        <is>
          <t>ENC121568</t>
        </is>
      </c>
      <c r="B1950" t="inlineStr">
        <is>
          <t>PT10706</t>
        </is>
      </c>
      <c r="C1950" t="inlineStr">
        <is>
          <t>Outpatient</t>
        </is>
      </c>
      <c r="D1950" t="inlineStr">
        <is>
          <t>F04</t>
        </is>
      </c>
      <c r="E1950" t="inlineStr">
        <is>
          <t>D430</t>
        </is>
      </c>
      <c r="G1950" s="32" t="n">
        <v>46014.39583333334</v>
      </c>
      <c r="H1950" s="32" t="n">
        <v>46014.40902777778</v>
      </c>
      <c r="I1950" t="inlineStr">
        <is>
          <t>C34.90</t>
        </is>
      </c>
      <c r="J1950" t="inlineStr">
        <is>
          <t>PY03</t>
        </is>
      </c>
      <c r="K1950" s="33" t="n">
        <v>908.09</v>
      </c>
      <c r="L1950" s="34" t="n"/>
    </row>
    <row r="1951">
      <c r="A1951" t="inlineStr">
        <is>
          <t>ENC121573</t>
        </is>
      </c>
      <c r="B1951" t="inlineStr">
        <is>
          <t>PT12336</t>
        </is>
      </c>
      <c r="C1951" t="inlineStr">
        <is>
          <t>Outpatient</t>
        </is>
      </c>
      <c r="D1951" t="inlineStr">
        <is>
          <t>F04</t>
        </is>
      </c>
      <c r="E1951" t="inlineStr">
        <is>
          <t>D450</t>
        </is>
      </c>
      <c r="G1951" s="32" t="n">
        <v>46014.46875</v>
      </c>
      <c r="H1951" s="32" t="n">
        <v>46014.49166666667</v>
      </c>
      <c r="I1951" t="inlineStr">
        <is>
          <t>H66.90</t>
        </is>
      </c>
      <c r="J1951" t="inlineStr">
        <is>
          <t>PY05</t>
        </is>
      </c>
      <c r="K1951" s="33" t="n">
        <v>434.56</v>
      </c>
      <c r="L1951" s="34" t="n"/>
    </row>
    <row r="1952">
      <c r="A1952" t="inlineStr">
        <is>
          <t>ENC121579</t>
        </is>
      </c>
      <c r="B1952" t="inlineStr">
        <is>
          <t>PT12581</t>
        </is>
      </c>
      <c r="C1952" t="inlineStr">
        <is>
          <t>Emergency</t>
        </is>
      </c>
      <c r="D1952" t="inlineStr">
        <is>
          <t>F01</t>
        </is>
      </c>
      <c r="E1952" t="inlineStr">
        <is>
          <t>D100</t>
        </is>
      </c>
      <c r="G1952" s="32" t="n">
        <v>46014.5125</v>
      </c>
      <c r="H1952" s="32" t="n">
        <v>46014.60833333333</v>
      </c>
      <c r="I1952" t="inlineStr">
        <is>
          <t>N39.0</t>
        </is>
      </c>
      <c r="J1952" t="inlineStr">
        <is>
          <t>PY03</t>
        </is>
      </c>
      <c r="K1952" s="33" t="n">
        <v>1260.04</v>
      </c>
      <c r="L1952" s="34" t="n"/>
    </row>
    <row r="1953">
      <c r="A1953" t="inlineStr">
        <is>
          <t>ENC121588</t>
        </is>
      </c>
      <c r="B1953" t="inlineStr">
        <is>
          <t>PT12274</t>
        </is>
      </c>
      <c r="C1953" t="inlineStr">
        <is>
          <t>Outpatient</t>
        </is>
      </c>
      <c r="D1953" t="inlineStr">
        <is>
          <t>F04</t>
        </is>
      </c>
      <c r="E1953" t="inlineStr">
        <is>
          <t>D400</t>
        </is>
      </c>
      <c r="G1953" s="32" t="n">
        <v>46014.59375</v>
      </c>
      <c r="H1953" s="32" t="n">
        <v>46014.60833333333</v>
      </c>
      <c r="I1953" t="inlineStr">
        <is>
          <t>E78.5</t>
        </is>
      </c>
      <c r="J1953" t="inlineStr">
        <is>
          <t>PY03</t>
        </is>
      </c>
      <c r="K1953" s="33" t="n">
        <v>293.68</v>
      </c>
      <c r="L1953" s="34" t="n"/>
    </row>
    <row r="1954">
      <c r="A1954" t="inlineStr">
        <is>
          <t>ENC121585</t>
        </is>
      </c>
      <c r="B1954" t="inlineStr">
        <is>
          <t>PT13581</t>
        </is>
      </c>
      <c r="C1954" t="inlineStr">
        <is>
          <t>Inpatient</t>
        </is>
      </c>
      <c r="D1954" t="inlineStr">
        <is>
          <t>F01</t>
        </is>
      </c>
      <c r="E1954" t="inlineStr">
        <is>
          <t>D111</t>
        </is>
      </c>
      <c r="F1954" t="inlineStr">
        <is>
          <t>Emergency Department</t>
        </is>
      </c>
      <c r="G1954" s="32" t="n">
        <v>46014.66180555556</v>
      </c>
      <c r="H1954" s="32" t="n">
        <v>46016.51458333333</v>
      </c>
      <c r="I1954" t="inlineStr">
        <is>
          <t>A08.4</t>
        </is>
      </c>
      <c r="J1954" t="inlineStr">
        <is>
          <t>PY01</t>
        </is>
      </c>
      <c r="K1954" s="33" t="n">
        <v>7700.64</v>
      </c>
      <c r="L1954" s="34" t="n"/>
    </row>
    <row r="1955">
      <c r="A1955" t="inlineStr">
        <is>
          <t>ENC121597</t>
        </is>
      </c>
      <c r="B1955" t="inlineStr">
        <is>
          <t>PT13630</t>
        </is>
      </c>
      <c r="C1955" t="inlineStr">
        <is>
          <t>Emergency</t>
        </is>
      </c>
      <c r="D1955" t="inlineStr">
        <is>
          <t>F02</t>
        </is>
      </c>
      <c r="E1955" t="inlineStr">
        <is>
          <t>D200</t>
        </is>
      </c>
      <c r="G1955" s="32" t="n">
        <v>46014.6875</v>
      </c>
      <c r="H1955" s="32" t="n">
        <v>46014.78819444445</v>
      </c>
      <c r="I1955" t="inlineStr">
        <is>
          <t>S93.401A</t>
        </is>
      </c>
      <c r="J1955" t="inlineStr">
        <is>
          <t>PY08</t>
        </is>
      </c>
      <c r="K1955" s="33" t="n">
        <v>780.0599999999999</v>
      </c>
      <c r="L1955" s="34" t="n"/>
    </row>
    <row r="1956">
      <c r="A1956" t="inlineStr">
        <is>
          <t>ENC121598</t>
        </is>
      </c>
      <c r="B1956" t="inlineStr">
        <is>
          <t>PT10471</t>
        </is>
      </c>
      <c r="C1956" t="inlineStr">
        <is>
          <t>Inpatient</t>
        </is>
      </c>
      <c r="D1956" t="inlineStr">
        <is>
          <t>F01</t>
        </is>
      </c>
      <c r="E1956" t="inlineStr">
        <is>
          <t>D160</t>
        </is>
      </c>
      <c r="F1956" t="inlineStr">
        <is>
          <t>Emergency Department</t>
        </is>
      </c>
      <c r="G1956" s="32" t="n">
        <v>46014.81597222222</v>
      </c>
      <c r="H1956" s="32" t="n">
        <v>46016.60555555556</v>
      </c>
      <c r="I1956" t="inlineStr">
        <is>
          <t>I63.9</t>
        </is>
      </c>
      <c r="J1956" t="inlineStr">
        <is>
          <t>PY05</t>
        </is>
      </c>
      <c r="K1956" s="33" t="n">
        <v>12852.23</v>
      </c>
      <c r="L1956" s="34" t="n"/>
    </row>
    <row r="1957">
      <c r="A1957" t="inlineStr">
        <is>
          <t>ENC121610</t>
        </is>
      </c>
      <c r="B1957" t="inlineStr">
        <is>
          <t>PT13209</t>
        </is>
      </c>
      <c r="C1957" t="inlineStr">
        <is>
          <t>Inpatient</t>
        </is>
      </c>
      <c r="D1957" t="inlineStr">
        <is>
          <t>F01</t>
        </is>
      </c>
      <c r="E1957" t="inlineStr">
        <is>
          <t>D180</t>
        </is>
      </c>
      <c r="F1957" t="inlineStr">
        <is>
          <t>Direct Admit</t>
        </is>
      </c>
      <c r="G1957" s="32" t="n">
        <v>46014.97013888889</v>
      </c>
      <c r="H1957" s="32" t="n">
        <v>46017.64652777778</v>
      </c>
      <c r="I1957" t="inlineStr">
        <is>
          <t>J21.9</t>
        </is>
      </c>
      <c r="J1957" t="inlineStr">
        <is>
          <t>PY04</t>
        </is>
      </c>
      <c r="K1957" s="33" t="n">
        <v>15565.78</v>
      </c>
      <c r="L1957" s="34" t="n"/>
    </row>
    <row r="1958">
      <c r="A1958" t="inlineStr">
        <is>
          <t>ENC121615</t>
        </is>
      </c>
      <c r="B1958" t="inlineStr">
        <is>
          <t>PT12033</t>
        </is>
      </c>
      <c r="C1958" t="inlineStr">
        <is>
          <t>Outpatient</t>
        </is>
      </c>
      <c r="D1958" t="inlineStr">
        <is>
          <t>F04</t>
        </is>
      </c>
      <c r="E1958" t="inlineStr">
        <is>
          <t>D430</t>
        </is>
      </c>
      <c r="G1958" s="32" t="n">
        <v>46015.375</v>
      </c>
      <c r="H1958" s="32" t="n">
        <v>46015.50486111111</v>
      </c>
      <c r="I1958" t="inlineStr">
        <is>
          <t>Z51.11</t>
        </is>
      </c>
      <c r="J1958" t="inlineStr">
        <is>
          <t>PY05</t>
        </is>
      </c>
      <c r="K1958" s="33" t="n">
        <v>16668.15</v>
      </c>
      <c r="L1958" s="34" t="n"/>
    </row>
    <row r="1959">
      <c r="A1959" t="inlineStr">
        <is>
          <t>ENC121618</t>
        </is>
      </c>
      <c r="B1959" t="inlineStr">
        <is>
          <t>PT10568</t>
        </is>
      </c>
      <c r="C1959" t="inlineStr">
        <is>
          <t>Outpatient</t>
        </is>
      </c>
      <c r="D1959" t="inlineStr">
        <is>
          <t>F04</t>
        </is>
      </c>
      <c r="E1959" t="inlineStr">
        <is>
          <t>D440</t>
        </is>
      </c>
      <c r="G1959" s="32" t="n">
        <v>46015.42708333334</v>
      </c>
      <c r="H1959" s="32" t="n">
        <v>46015.4375</v>
      </c>
      <c r="I1959" t="inlineStr">
        <is>
          <t>E11.9</t>
        </is>
      </c>
      <c r="J1959" t="inlineStr">
        <is>
          <t>PY02</t>
        </is>
      </c>
      <c r="K1959" s="33" t="n">
        <v>342.97</v>
      </c>
      <c r="L1959" s="34" t="n"/>
    </row>
    <row r="1960">
      <c r="A1960" t="inlineStr">
        <is>
          <t>ENC121624</t>
        </is>
      </c>
      <c r="B1960" t="inlineStr">
        <is>
          <t>PT10317</t>
        </is>
      </c>
      <c r="C1960" t="inlineStr">
        <is>
          <t>Outpatient</t>
        </is>
      </c>
      <c r="D1960" t="inlineStr">
        <is>
          <t>F04</t>
        </is>
      </c>
      <c r="E1960" t="inlineStr">
        <is>
          <t>D400</t>
        </is>
      </c>
      <c r="G1960" s="32" t="n">
        <v>46015.57291666666</v>
      </c>
      <c r="H1960" s="32" t="n">
        <v>46015.6</v>
      </c>
      <c r="I1960" t="inlineStr">
        <is>
          <t>J06.9</t>
        </is>
      </c>
      <c r="J1960" t="inlineStr">
        <is>
          <t>PY05</t>
        </is>
      </c>
      <c r="K1960" s="33" t="n">
        <v>363.33</v>
      </c>
      <c r="L1960" s="34" t="n"/>
    </row>
    <row r="1961">
      <c r="A1961" t="inlineStr">
        <is>
          <t>ENC121620</t>
        </is>
      </c>
      <c r="B1961" t="inlineStr">
        <is>
          <t>PT12893</t>
        </is>
      </c>
      <c r="C1961" t="inlineStr">
        <is>
          <t>Inpatient</t>
        </is>
      </c>
      <c r="D1961" t="inlineStr">
        <is>
          <t>F01</t>
        </is>
      </c>
      <c r="E1961" t="inlineStr">
        <is>
          <t>D150</t>
        </is>
      </c>
      <c r="F1961" t="inlineStr">
        <is>
          <t>Emergency Department</t>
        </is>
      </c>
      <c r="G1961" s="32" t="n">
        <v>46015.6375</v>
      </c>
      <c r="H1961" s="32" t="n">
        <v>46019.50347222222</v>
      </c>
      <c r="I1961" t="inlineStr">
        <is>
          <t>C34.90</t>
        </is>
      </c>
      <c r="J1961" t="inlineStr">
        <is>
          <t>PY04</t>
        </is>
      </c>
      <c r="K1961" s="33" t="n">
        <v>26155.54</v>
      </c>
      <c r="L1961" s="34" t="n"/>
    </row>
    <row r="1962">
      <c r="A1962" t="inlineStr">
        <is>
          <t>ENC121632</t>
        </is>
      </c>
      <c r="B1962" t="inlineStr">
        <is>
          <t>PT13880</t>
        </is>
      </c>
      <c r="C1962" t="inlineStr">
        <is>
          <t>Inpatient</t>
        </is>
      </c>
      <c r="D1962" t="inlineStr">
        <is>
          <t>F01</t>
        </is>
      </c>
      <c r="E1962" t="inlineStr">
        <is>
          <t>D120</t>
        </is>
      </c>
      <c r="F1962" t="inlineStr">
        <is>
          <t>Emergency Department</t>
        </is>
      </c>
      <c r="G1962" s="32" t="n">
        <v>46015.73194444444</v>
      </c>
      <c r="H1962" s="32" t="n">
        <v>46017.60555555556</v>
      </c>
      <c r="I1962" t="inlineStr">
        <is>
          <t>I48.91</t>
        </is>
      </c>
      <c r="J1962" t="inlineStr">
        <is>
          <t>PY02</t>
        </is>
      </c>
      <c r="K1962" s="33" t="n">
        <v>11553.51</v>
      </c>
      <c r="L1962" s="34" t="n"/>
    </row>
    <row r="1963">
      <c r="A1963" t="inlineStr">
        <is>
          <t>ENC121638</t>
        </is>
      </c>
      <c r="B1963" t="inlineStr">
        <is>
          <t>PT10051</t>
        </is>
      </c>
      <c r="C1963" t="inlineStr">
        <is>
          <t>Observation</t>
        </is>
      </c>
      <c r="D1963" t="inlineStr">
        <is>
          <t>F01</t>
        </is>
      </c>
      <c r="E1963" t="inlineStr">
        <is>
          <t>D195</t>
        </is>
      </c>
      <c r="F1963" t="inlineStr">
        <is>
          <t>Emergency Department</t>
        </is>
      </c>
      <c r="G1963" s="32" t="n">
        <v>46015.81805555556</v>
      </c>
      <c r="H1963" s="32" t="n">
        <v>46016.76597222222</v>
      </c>
      <c r="I1963" t="inlineStr">
        <is>
          <t>J45.909</t>
        </is>
      </c>
      <c r="J1963" t="inlineStr">
        <is>
          <t>PY05</t>
        </is>
      </c>
      <c r="K1963" s="33" t="n">
        <v>6011.79</v>
      </c>
      <c r="L1963" s="34" t="n"/>
    </row>
    <row r="1964">
      <c r="A1964" t="inlineStr">
        <is>
          <t>ENC121645</t>
        </is>
      </c>
      <c r="B1964" t="inlineStr">
        <is>
          <t>PT12729</t>
        </is>
      </c>
      <c r="C1964" t="inlineStr">
        <is>
          <t>Inpatient</t>
        </is>
      </c>
      <c r="D1964" t="inlineStr">
        <is>
          <t>F01</t>
        </is>
      </c>
      <c r="E1964" t="inlineStr">
        <is>
          <t>D110</t>
        </is>
      </c>
      <c r="F1964" t="inlineStr">
        <is>
          <t>Emergency Department</t>
        </is>
      </c>
      <c r="G1964" s="32" t="n">
        <v>46016.25208333333</v>
      </c>
      <c r="H1964" s="32" t="n">
        <v>46021.44444444445</v>
      </c>
      <c r="I1964" t="inlineStr">
        <is>
          <t>N39.0</t>
        </is>
      </c>
      <c r="J1964" t="inlineStr">
        <is>
          <t>PY02</t>
        </is>
      </c>
      <c r="K1964" s="33" t="n">
        <v>20418.14</v>
      </c>
      <c r="L1964" s="34" t="n"/>
    </row>
    <row r="1965">
      <c r="A1965" t="inlineStr">
        <is>
          <t>ENC121654</t>
        </is>
      </c>
      <c r="B1965" t="inlineStr">
        <is>
          <t>PT12086</t>
        </is>
      </c>
      <c r="C1965" t="inlineStr">
        <is>
          <t>Outpatient</t>
        </is>
      </c>
      <c r="D1965" t="inlineStr">
        <is>
          <t>F04</t>
        </is>
      </c>
      <c r="E1965" t="inlineStr">
        <is>
          <t>D400</t>
        </is>
      </c>
      <c r="G1965" s="32" t="n">
        <v>46016.39583333334</v>
      </c>
      <c r="H1965" s="32" t="n">
        <v>46016.41041666667</v>
      </c>
      <c r="I1965" t="inlineStr">
        <is>
          <t>L03.115</t>
        </is>
      </c>
      <c r="J1965" t="inlineStr">
        <is>
          <t>PY04</t>
        </is>
      </c>
      <c r="K1965" s="33" t="n">
        <v>171.68</v>
      </c>
      <c r="L1965" s="34" t="n"/>
    </row>
    <row r="1966">
      <c r="A1966" t="inlineStr">
        <is>
          <t>ENC121647</t>
        </is>
      </c>
      <c r="B1966" t="inlineStr">
        <is>
          <t>PT13253</t>
        </is>
      </c>
      <c r="C1966" t="inlineStr">
        <is>
          <t>Inpatient</t>
        </is>
      </c>
      <c r="D1966" t="inlineStr">
        <is>
          <t>F01</t>
        </is>
      </c>
      <c r="E1966" t="inlineStr">
        <is>
          <t>D110</t>
        </is>
      </c>
      <c r="F1966" t="inlineStr">
        <is>
          <t>Emergency Department</t>
        </is>
      </c>
      <c r="G1966" s="32" t="n">
        <v>46016.45069444444</v>
      </c>
      <c r="H1966" s="32" t="n">
        <v>46021.47638888889</v>
      </c>
      <c r="I1966" t="inlineStr">
        <is>
          <t>E87.1</t>
        </is>
      </c>
      <c r="J1966" t="inlineStr">
        <is>
          <t>PY02</t>
        </is>
      </c>
      <c r="K1966" s="33" t="n">
        <v>33309.4</v>
      </c>
      <c r="L1966" s="34" t="n"/>
    </row>
    <row r="1967">
      <c r="A1967" t="inlineStr">
        <is>
          <t>ENC121664</t>
        </is>
      </c>
      <c r="B1967" t="inlineStr">
        <is>
          <t>PT12705</t>
        </is>
      </c>
      <c r="C1967" t="inlineStr">
        <is>
          <t>Outpatient</t>
        </is>
      </c>
      <c r="D1967" t="inlineStr">
        <is>
          <t>F04</t>
        </is>
      </c>
      <c r="E1967" t="inlineStr">
        <is>
          <t>D400</t>
        </is>
      </c>
      <c r="G1967" s="32" t="n">
        <v>46016.5</v>
      </c>
      <c r="H1967" s="32" t="n">
        <v>46016.53333333333</v>
      </c>
      <c r="I1967" t="inlineStr">
        <is>
          <t>M54.50</t>
        </is>
      </c>
      <c r="J1967" t="inlineStr">
        <is>
          <t>PY04</t>
        </is>
      </c>
      <c r="K1967" s="33" t="n">
        <v>350.38</v>
      </c>
      <c r="L1967" s="34" t="n"/>
    </row>
    <row r="1968">
      <c r="A1968" t="inlineStr">
        <is>
          <t>ENC121668</t>
        </is>
      </c>
      <c r="B1968" t="inlineStr">
        <is>
          <t>PT10156</t>
        </is>
      </c>
      <c r="C1968" t="inlineStr">
        <is>
          <t>Outpatient</t>
        </is>
      </c>
      <c r="D1968" t="inlineStr">
        <is>
          <t>F04</t>
        </is>
      </c>
      <c r="E1968" t="inlineStr">
        <is>
          <t>D430</t>
        </is>
      </c>
      <c r="G1968" s="32" t="n">
        <v>46016.57291666666</v>
      </c>
      <c r="H1968" s="32" t="n">
        <v>46016.80138888889</v>
      </c>
      <c r="I1968" t="inlineStr">
        <is>
          <t>Z51.11</t>
        </is>
      </c>
      <c r="J1968" t="inlineStr">
        <is>
          <t>PY03</t>
        </is>
      </c>
      <c r="K1968" s="33" t="n">
        <v>8788.08</v>
      </c>
      <c r="L1968" s="34" t="n"/>
    </row>
    <row r="1969">
      <c r="A1969" t="inlineStr">
        <is>
          <t>ENC121674</t>
        </is>
      </c>
      <c r="B1969" t="inlineStr">
        <is>
          <t>PT11252</t>
        </is>
      </c>
      <c r="C1969" t="inlineStr">
        <is>
          <t>Outpatient</t>
        </is>
      </c>
      <c r="D1969" t="inlineStr">
        <is>
          <t>F04</t>
        </is>
      </c>
      <c r="E1969" t="inlineStr">
        <is>
          <t>D400</t>
        </is>
      </c>
      <c r="G1969" s="32" t="n">
        <v>46016.61458333334</v>
      </c>
      <c r="H1969" s="32" t="n">
        <v>46016.64722222222</v>
      </c>
      <c r="I1969" t="inlineStr">
        <is>
          <t>I10</t>
        </is>
      </c>
      <c r="J1969" t="inlineStr">
        <is>
          <t>PY01</t>
        </is>
      </c>
      <c r="K1969" s="33" t="n">
        <v>257.45</v>
      </c>
      <c r="L1969" s="34" t="n"/>
    </row>
    <row r="1970">
      <c r="A1970" t="inlineStr">
        <is>
          <t>ENC121682</t>
        </is>
      </c>
      <c r="B1970" t="inlineStr">
        <is>
          <t>PT11534</t>
        </is>
      </c>
      <c r="C1970" t="inlineStr">
        <is>
          <t>Outpatient</t>
        </is>
      </c>
      <c r="D1970" t="inlineStr">
        <is>
          <t>F04</t>
        </is>
      </c>
      <c r="E1970" t="inlineStr">
        <is>
          <t>D400</t>
        </is>
      </c>
      <c r="G1970" s="32" t="n">
        <v>46016.66666666666</v>
      </c>
      <c r="H1970" s="32" t="n">
        <v>46016.67847222222</v>
      </c>
      <c r="I1970" t="inlineStr">
        <is>
          <t>I10</t>
        </is>
      </c>
      <c r="J1970" t="inlineStr">
        <is>
          <t>PY04</t>
        </is>
      </c>
      <c r="K1970" s="33" t="n">
        <v>263.14</v>
      </c>
      <c r="L1970" s="34" t="n"/>
    </row>
    <row r="1971">
      <c r="A1971" t="inlineStr">
        <is>
          <t>ENC121688</t>
        </is>
      </c>
      <c r="B1971" t="inlineStr">
        <is>
          <t>PT11166</t>
        </is>
      </c>
      <c r="C1971" t="inlineStr">
        <is>
          <t>Emergency</t>
        </is>
      </c>
      <c r="D1971" t="inlineStr">
        <is>
          <t>F01</t>
        </is>
      </c>
      <c r="E1971" t="inlineStr">
        <is>
          <t>D100</t>
        </is>
      </c>
      <c r="G1971" s="32" t="n">
        <v>46016.71805555555</v>
      </c>
      <c r="H1971" s="32" t="n">
        <v>46016.88888888889</v>
      </c>
      <c r="I1971" t="inlineStr">
        <is>
          <t>N39.0</t>
        </is>
      </c>
      <c r="J1971" t="inlineStr">
        <is>
          <t>PY04</t>
        </is>
      </c>
      <c r="K1971" s="33" t="n">
        <v>3717.96</v>
      </c>
      <c r="L1971" s="34" t="n"/>
    </row>
    <row r="1972">
      <c r="A1972" t="inlineStr">
        <is>
          <t>ENC121691</t>
        </is>
      </c>
      <c r="B1972" t="inlineStr">
        <is>
          <t>PT10566</t>
        </is>
      </c>
      <c r="C1972" t="inlineStr">
        <is>
          <t>Emergency</t>
        </is>
      </c>
      <c r="D1972" t="inlineStr">
        <is>
          <t>F01</t>
        </is>
      </c>
      <c r="E1972" t="inlineStr">
        <is>
          <t>D100</t>
        </is>
      </c>
      <c r="G1972" s="32" t="n">
        <v>46016.92013888889</v>
      </c>
      <c r="H1972" s="32" t="n">
        <v>46017.12430555555</v>
      </c>
      <c r="I1972" t="inlineStr">
        <is>
          <t>E11.65</t>
        </is>
      </c>
      <c r="J1972" t="inlineStr">
        <is>
          <t>PY01</t>
        </is>
      </c>
      <c r="K1972" s="33" t="n">
        <v>5083.43</v>
      </c>
      <c r="L1972" s="34" t="n"/>
    </row>
    <row r="1973">
      <c r="A1973" t="inlineStr">
        <is>
          <t>ENC121696</t>
        </is>
      </c>
      <c r="B1973" t="inlineStr">
        <is>
          <t>PT12666</t>
        </is>
      </c>
      <c r="C1973" t="inlineStr">
        <is>
          <t>Emergency</t>
        </is>
      </c>
      <c r="D1973" t="inlineStr">
        <is>
          <t>F01</t>
        </is>
      </c>
      <c r="E1973" t="inlineStr">
        <is>
          <t>D100</t>
        </is>
      </c>
      <c r="G1973" s="32" t="n">
        <v>46017.33194444444</v>
      </c>
      <c r="H1973" s="32" t="n">
        <v>46017.44097222222</v>
      </c>
      <c r="I1973" t="inlineStr">
        <is>
          <t>A08.4</t>
        </is>
      </c>
      <c r="J1973" t="inlineStr">
        <is>
          <t>PY06</t>
        </is>
      </c>
      <c r="K1973" s="33" t="n">
        <v>828.0599999999999</v>
      </c>
      <c r="L1973" s="34" t="n"/>
    </row>
    <row r="1974">
      <c r="A1974" t="inlineStr">
        <is>
          <t>ENC121699</t>
        </is>
      </c>
      <c r="B1974" t="inlineStr">
        <is>
          <t>PT11271</t>
        </is>
      </c>
      <c r="C1974" t="inlineStr">
        <is>
          <t>Observation</t>
        </is>
      </c>
      <c r="D1974" t="inlineStr">
        <is>
          <t>F02</t>
        </is>
      </c>
      <c r="E1974" t="inlineStr">
        <is>
          <t>D210</t>
        </is>
      </c>
      <c r="F1974" t="inlineStr">
        <is>
          <t>Emergency Department</t>
        </is>
      </c>
      <c r="G1974" s="32" t="n">
        <v>46017.42847222222</v>
      </c>
      <c r="H1974" s="32" t="n">
        <v>46018.51111111111</v>
      </c>
      <c r="I1974" t="inlineStr">
        <is>
          <t>A08.4</t>
        </is>
      </c>
      <c r="J1974" t="inlineStr">
        <is>
          <t>PY03</t>
        </is>
      </c>
      <c r="K1974" s="33" t="n">
        <v>9320.35</v>
      </c>
      <c r="L1974" s="34" t="n"/>
    </row>
    <row r="1975">
      <c r="A1975" t="inlineStr">
        <is>
          <t>ENC121707</t>
        </is>
      </c>
      <c r="B1975" t="inlineStr">
        <is>
          <t>PT12594</t>
        </is>
      </c>
      <c r="C1975" t="inlineStr">
        <is>
          <t>Outpatient</t>
        </is>
      </c>
      <c r="D1975" t="inlineStr">
        <is>
          <t>F04</t>
        </is>
      </c>
      <c r="E1975" t="inlineStr">
        <is>
          <t>D430</t>
        </is>
      </c>
      <c r="G1975" s="32" t="n">
        <v>46017.51041666666</v>
      </c>
      <c r="H1975" s="32" t="n">
        <v>46017.54236111111</v>
      </c>
      <c r="I1975" t="inlineStr">
        <is>
          <t>C50.911</t>
        </is>
      </c>
      <c r="J1975" t="inlineStr">
        <is>
          <t>PY01</t>
        </is>
      </c>
      <c r="K1975" s="33" t="n">
        <v>847.6</v>
      </c>
      <c r="L1975" s="34" t="n"/>
    </row>
    <row r="1976">
      <c r="A1976" t="inlineStr">
        <is>
          <t>ENC121714</t>
        </is>
      </c>
      <c r="B1976" t="inlineStr">
        <is>
          <t>PT11556</t>
        </is>
      </c>
      <c r="C1976" t="inlineStr">
        <is>
          <t>Outpatient</t>
        </is>
      </c>
      <c r="D1976" t="inlineStr">
        <is>
          <t>F04</t>
        </is>
      </c>
      <c r="E1976" t="inlineStr">
        <is>
          <t>D450</t>
        </is>
      </c>
      <c r="G1976" s="32" t="n">
        <v>46017.60416666666</v>
      </c>
      <c r="H1976" s="32" t="n">
        <v>46017.64166666667</v>
      </c>
      <c r="I1976" t="inlineStr">
        <is>
          <t>J45.909</t>
        </is>
      </c>
      <c r="J1976" t="inlineStr">
        <is>
          <t>PY04</t>
        </is>
      </c>
      <c r="K1976" s="33" t="n">
        <v>455.22</v>
      </c>
      <c r="L1976" s="34" t="n"/>
    </row>
    <row r="1977">
      <c r="A1977" t="inlineStr">
        <is>
          <t>ENC121711</t>
        </is>
      </c>
      <c r="B1977" t="inlineStr">
        <is>
          <t>PT11884</t>
        </is>
      </c>
      <c r="C1977" t="inlineStr">
        <is>
          <t>Inpatient</t>
        </is>
      </c>
      <c r="D1977" t="inlineStr">
        <is>
          <t>F01</t>
        </is>
      </c>
      <c r="E1977" t="inlineStr">
        <is>
          <t>D110</t>
        </is>
      </c>
      <c r="F1977" t="inlineStr">
        <is>
          <t>Emergency Department</t>
        </is>
      </c>
      <c r="G1977" s="32" t="n">
        <v>46017.77083333334</v>
      </c>
      <c r="H1977" s="32" t="n">
        <v>46021.58611111111</v>
      </c>
      <c r="I1977" t="inlineStr">
        <is>
          <t>E86.0</t>
        </is>
      </c>
      <c r="J1977" t="inlineStr">
        <is>
          <t>PY02</t>
        </is>
      </c>
      <c r="K1977" s="33" t="n">
        <v>18872.54</v>
      </c>
      <c r="L1977" s="34" t="n"/>
    </row>
    <row r="1978">
      <c r="A1978" t="inlineStr">
        <is>
          <t>ENC121723</t>
        </is>
      </c>
      <c r="B1978" t="inlineStr">
        <is>
          <t>PT13039</t>
        </is>
      </c>
      <c r="C1978" t="inlineStr">
        <is>
          <t>Inpatient</t>
        </is>
      </c>
      <c r="D1978" t="inlineStr">
        <is>
          <t>F01</t>
        </is>
      </c>
      <c r="E1978" t="inlineStr">
        <is>
          <t>D150</t>
        </is>
      </c>
      <c r="F1978" t="inlineStr">
        <is>
          <t>Emergency Department</t>
        </is>
      </c>
      <c r="G1978" s="32" t="n">
        <v>46018.07222222222</v>
      </c>
      <c r="H1978" s="32" t="n">
        <v>46021.68958333333</v>
      </c>
      <c r="I1978" t="inlineStr">
        <is>
          <t>C50.911</t>
        </is>
      </c>
      <c r="J1978" t="inlineStr">
        <is>
          <t>PY07</t>
        </is>
      </c>
      <c r="K1978" s="33" t="n">
        <v>36042.12</v>
      </c>
      <c r="L1978" s="34" t="n"/>
    </row>
    <row r="1979">
      <c r="A1979" t="inlineStr">
        <is>
          <t>ENC121730</t>
        </is>
      </c>
      <c r="B1979" t="inlineStr">
        <is>
          <t>PT11256</t>
        </is>
      </c>
      <c r="C1979" t="inlineStr">
        <is>
          <t>Emergency</t>
        </is>
      </c>
      <c r="D1979" t="inlineStr">
        <is>
          <t>F01</t>
        </is>
      </c>
      <c r="E1979" t="inlineStr">
        <is>
          <t>D100</t>
        </is>
      </c>
      <c r="G1979" s="32" t="n">
        <v>46018.32916666667</v>
      </c>
      <c r="H1979" s="32" t="n">
        <v>46018.50902777778</v>
      </c>
      <c r="I1979" t="inlineStr">
        <is>
          <t>R10.9</t>
        </is>
      </c>
      <c r="J1979" t="inlineStr">
        <is>
          <t>PY04</t>
        </is>
      </c>
      <c r="K1979" s="33" t="n">
        <v>3685.83</v>
      </c>
      <c r="L1979" s="34" t="n"/>
    </row>
    <row r="1980">
      <c r="A1980" t="inlineStr">
        <is>
          <t>ENC121735</t>
        </is>
      </c>
      <c r="B1980" t="inlineStr">
        <is>
          <t>PT10163</t>
        </is>
      </c>
      <c r="C1980" t="inlineStr">
        <is>
          <t>Observation</t>
        </is>
      </c>
      <c r="D1980" t="inlineStr">
        <is>
          <t>F01</t>
        </is>
      </c>
      <c r="E1980" t="inlineStr">
        <is>
          <t>D195</t>
        </is>
      </c>
      <c r="F1980" t="inlineStr">
        <is>
          <t>Emergency Department</t>
        </is>
      </c>
      <c r="G1980" s="32" t="n">
        <v>46018.69652777778</v>
      </c>
      <c r="H1980" s="32" t="n">
        <v>46020.09791666667</v>
      </c>
      <c r="I1980" t="inlineStr">
        <is>
          <t>M54.50</t>
        </is>
      </c>
      <c r="J1980" t="inlineStr">
        <is>
          <t>PY04</t>
        </is>
      </c>
      <c r="K1980" s="33" t="n">
        <v>10186.73</v>
      </c>
      <c r="L1980" s="34" t="n"/>
    </row>
    <row r="1981">
      <c r="A1981" t="inlineStr">
        <is>
          <t>ENC121739</t>
        </is>
      </c>
      <c r="B1981" t="inlineStr">
        <is>
          <t>PT10399</t>
        </is>
      </c>
      <c r="C1981" t="inlineStr">
        <is>
          <t>Inpatient</t>
        </is>
      </c>
      <c r="D1981" t="inlineStr">
        <is>
          <t>F01</t>
        </is>
      </c>
      <c r="E1981" t="inlineStr">
        <is>
          <t>D150</t>
        </is>
      </c>
      <c r="F1981" t="inlineStr">
        <is>
          <t>Emergency Department</t>
        </is>
      </c>
      <c r="G1981" s="32" t="n">
        <v>46019.04722222222</v>
      </c>
      <c r="H1981" s="32" t="n">
        <v>46022.60277777778</v>
      </c>
      <c r="I1981" t="inlineStr">
        <is>
          <t>D70.1</t>
        </is>
      </c>
      <c r="J1981" t="inlineStr">
        <is>
          <t>PY05</t>
        </is>
      </c>
      <c r="K1981" s="33" t="n">
        <v>22566.78</v>
      </c>
      <c r="L1981" s="34" t="n"/>
    </row>
    <row r="1982">
      <c r="A1982" t="inlineStr">
        <is>
          <t>ENC121746</t>
        </is>
      </c>
      <c r="B1982" t="inlineStr">
        <is>
          <t>PT12115</t>
        </is>
      </c>
      <c r="C1982" t="inlineStr">
        <is>
          <t>Emergency</t>
        </is>
      </c>
      <c r="D1982" t="inlineStr">
        <is>
          <t>F01</t>
        </is>
      </c>
      <c r="E1982" t="inlineStr">
        <is>
          <t>D100</t>
        </is>
      </c>
      <c r="G1982" s="32" t="n">
        <v>46019.59097222222</v>
      </c>
      <c r="H1982" s="32" t="n">
        <v>46019.74791666667</v>
      </c>
      <c r="I1982" t="inlineStr">
        <is>
          <t>E86.0</t>
        </is>
      </c>
      <c r="J1982" t="inlineStr">
        <is>
          <t>PY04</t>
        </is>
      </c>
      <c r="K1982" s="33" t="n">
        <v>4041.99</v>
      </c>
      <c r="L1982" s="34" t="n"/>
    </row>
    <row r="1983">
      <c r="A1983" t="inlineStr">
        <is>
          <t>ENC121751</t>
        </is>
      </c>
      <c r="B1983" t="inlineStr">
        <is>
          <t>PT10842</t>
        </is>
      </c>
      <c r="C1983" t="inlineStr">
        <is>
          <t>Observation</t>
        </is>
      </c>
      <c r="D1983" t="inlineStr">
        <is>
          <t>F01</t>
        </is>
      </c>
      <c r="E1983" t="inlineStr">
        <is>
          <t>D195</t>
        </is>
      </c>
      <c r="F1983" t="inlineStr">
        <is>
          <t>Emergency Department</t>
        </is>
      </c>
      <c r="G1983" s="32" t="n">
        <v>46019.93541666667</v>
      </c>
      <c r="H1983" s="32" t="n">
        <v>46020.52708333333</v>
      </c>
      <c r="I1983" t="inlineStr">
        <is>
          <t>R07.9</t>
        </is>
      </c>
      <c r="J1983" t="inlineStr">
        <is>
          <t>PY03</t>
        </is>
      </c>
      <c r="K1983" s="33" t="n">
        <v>4762.9</v>
      </c>
      <c r="L1983" s="34" t="n"/>
    </row>
    <row r="1984">
      <c r="A1984" t="inlineStr">
        <is>
          <t>ENC121758</t>
        </is>
      </c>
      <c r="B1984" t="inlineStr">
        <is>
          <t>PT12099</t>
        </is>
      </c>
      <c r="C1984" t="inlineStr">
        <is>
          <t>Outpatient</t>
        </is>
      </c>
      <c r="D1984" t="inlineStr">
        <is>
          <t>F04</t>
        </is>
      </c>
      <c r="E1984" t="inlineStr">
        <is>
          <t>D440</t>
        </is>
      </c>
      <c r="G1984" s="32" t="n">
        <v>46020.36458333334</v>
      </c>
      <c r="H1984" s="32" t="n">
        <v>46020.39444444444</v>
      </c>
      <c r="I1984" t="inlineStr">
        <is>
          <t>E11.9</t>
        </is>
      </c>
      <c r="J1984" t="inlineStr">
        <is>
          <t>PY01</t>
        </is>
      </c>
      <c r="K1984" s="33" t="n">
        <v>250.9</v>
      </c>
      <c r="L1984" s="34" t="n"/>
    </row>
    <row r="1985">
      <c r="A1985" t="inlineStr">
        <is>
          <t>ENC121764</t>
        </is>
      </c>
      <c r="B1985" t="inlineStr">
        <is>
          <t>PT11507</t>
        </is>
      </c>
      <c r="C1985" t="inlineStr">
        <is>
          <t>Outpatient</t>
        </is>
      </c>
      <c r="D1985" t="inlineStr">
        <is>
          <t>F04</t>
        </is>
      </c>
      <c r="E1985" t="inlineStr">
        <is>
          <t>D400</t>
        </is>
      </c>
      <c r="G1985" s="32" t="n">
        <v>46020.39583333334</v>
      </c>
      <c r="H1985" s="32" t="n">
        <v>46020.43194444444</v>
      </c>
      <c r="I1985" t="inlineStr">
        <is>
          <t>E78.5</t>
        </is>
      </c>
      <c r="J1985" t="inlineStr">
        <is>
          <t>PY04</t>
        </is>
      </c>
      <c r="K1985" s="33" t="n">
        <v>271.12</v>
      </c>
      <c r="L1985" s="34" t="n"/>
    </row>
    <row r="1986">
      <c r="A1986" t="inlineStr">
        <is>
          <t>ENC121769</t>
        </is>
      </c>
      <c r="B1986" t="inlineStr">
        <is>
          <t>PT10919</t>
        </is>
      </c>
      <c r="C1986" t="inlineStr">
        <is>
          <t>Outpatient</t>
        </is>
      </c>
      <c r="D1986" t="inlineStr">
        <is>
          <t>F04</t>
        </is>
      </c>
      <c r="E1986" t="inlineStr">
        <is>
          <t>D400</t>
        </is>
      </c>
      <c r="G1986" s="32" t="n">
        <v>46020.51041666666</v>
      </c>
      <c r="H1986" s="32" t="n">
        <v>46020.53819444445</v>
      </c>
      <c r="I1986" t="inlineStr">
        <is>
          <t>I10</t>
        </is>
      </c>
      <c r="J1986" t="inlineStr">
        <is>
          <t>PY04</t>
        </is>
      </c>
      <c r="K1986" s="33" t="n">
        <v>456.39</v>
      </c>
      <c r="L1986" s="34" t="n"/>
    </row>
    <row r="1987">
      <c r="A1987" t="inlineStr">
        <is>
          <t>ENC121774</t>
        </is>
      </c>
      <c r="B1987" t="inlineStr">
        <is>
          <t>PT12744</t>
        </is>
      </c>
      <c r="C1987" t="inlineStr">
        <is>
          <t>Outpatient</t>
        </is>
      </c>
      <c r="D1987" t="inlineStr">
        <is>
          <t>F04</t>
        </is>
      </c>
      <c r="E1987" t="inlineStr">
        <is>
          <t>D430</t>
        </is>
      </c>
      <c r="G1987" s="32" t="n">
        <v>46020.5625</v>
      </c>
      <c r="H1987" s="32" t="n">
        <v>46020.67361111111</v>
      </c>
      <c r="I1987" t="inlineStr">
        <is>
          <t>Z51.11</t>
        </is>
      </c>
      <c r="J1987" t="inlineStr">
        <is>
          <t>PY03</t>
        </is>
      </c>
      <c r="K1987" s="33" t="n">
        <v>8400.440000000001</v>
      </c>
      <c r="L1987" s="34" t="n"/>
    </row>
    <row r="1988">
      <c r="A1988" t="inlineStr">
        <is>
          <t>ENC121779</t>
        </is>
      </c>
      <c r="B1988" t="inlineStr">
        <is>
          <t>PT11175</t>
        </is>
      </c>
      <c r="C1988" t="inlineStr">
        <is>
          <t>Outpatient</t>
        </is>
      </c>
      <c r="D1988" t="inlineStr">
        <is>
          <t>F04</t>
        </is>
      </c>
      <c r="E1988" t="inlineStr">
        <is>
          <t>D400</t>
        </is>
      </c>
      <c r="G1988" s="32" t="n">
        <v>46020.60416666666</v>
      </c>
      <c r="H1988" s="32" t="n">
        <v>46020.63611111111</v>
      </c>
      <c r="I1988" t="inlineStr">
        <is>
          <t>Z23</t>
        </is>
      </c>
      <c r="J1988" t="inlineStr">
        <is>
          <t>PY05</t>
        </is>
      </c>
      <c r="K1988" s="33" t="n">
        <v>134.44</v>
      </c>
      <c r="L1988" s="34" t="n"/>
    </row>
    <row r="1989">
      <c r="A1989" t="inlineStr">
        <is>
          <t>ENC121785</t>
        </is>
      </c>
      <c r="B1989" t="inlineStr">
        <is>
          <t>PT10723</t>
        </is>
      </c>
      <c r="C1989" t="inlineStr">
        <is>
          <t>Outpatient</t>
        </is>
      </c>
      <c r="D1989" t="inlineStr">
        <is>
          <t>F04</t>
        </is>
      </c>
      <c r="E1989" t="inlineStr">
        <is>
          <t>D430</t>
        </is>
      </c>
      <c r="G1989" s="32" t="n">
        <v>46020.67708333334</v>
      </c>
      <c r="H1989" s="32" t="n">
        <v>46020.88402777778</v>
      </c>
      <c r="I1989" t="inlineStr">
        <is>
          <t>Z51.11</t>
        </is>
      </c>
      <c r="J1989" t="inlineStr">
        <is>
          <t>PY07</t>
        </is>
      </c>
      <c r="K1989" s="33" t="n">
        <v>7763.37</v>
      </c>
      <c r="L1989" s="34" t="n"/>
    </row>
    <row r="1990">
      <c r="A1990" t="inlineStr">
        <is>
          <t>ENC121792</t>
        </is>
      </c>
      <c r="B1990" t="inlineStr">
        <is>
          <t>PT10855</t>
        </is>
      </c>
      <c r="C1990" t="inlineStr">
        <is>
          <t>Emergency</t>
        </is>
      </c>
      <c r="D1990" t="inlineStr">
        <is>
          <t>F03</t>
        </is>
      </c>
      <c r="E1990" t="inlineStr">
        <is>
          <t>D300</t>
        </is>
      </c>
      <c r="G1990" s="32" t="n">
        <v>46020.88541666666</v>
      </c>
      <c r="H1990" s="32" t="n">
        <v>46020.99513888889</v>
      </c>
      <c r="I1990" t="inlineStr">
        <is>
          <t>J06.9</t>
        </is>
      </c>
      <c r="J1990" t="inlineStr">
        <is>
          <t>PY01</t>
        </is>
      </c>
      <c r="K1990" s="33" t="n">
        <v>1202.82</v>
      </c>
      <c r="L1990" s="34" t="n"/>
    </row>
    <row r="1991">
      <c r="A1991" t="inlineStr">
        <is>
          <t>ENC121796</t>
        </is>
      </c>
      <c r="B1991" t="inlineStr">
        <is>
          <t>PT12007</t>
        </is>
      </c>
      <c r="C1991" t="inlineStr">
        <is>
          <t>Outpatient</t>
        </is>
      </c>
      <c r="D1991" t="inlineStr">
        <is>
          <t>F04</t>
        </is>
      </c>
      <c r="E1991" t="inlineStr">
        <is>
          <t>D400</t>
        </is>
      </c>
      <c r="G1991" s="32" t="n">
        <v>46021.33333333334</v>
      </c>
      <c r="H1991" s="32" t="n">
        <v>46021.36805555555</v>
      </c>
      <c r="I1991" t="inlineStr">
        <is>
          <t>E78.5</t>
        </is>
      </c>
      <c r="J1991" t="inlineStr">
        <is>
          <t>PY02</t>
        </is>
      </c>
      <c r="K1991" s="33" t="n">
        <v>360.39</v>
      </c>
      <c r="L1991" s="34" t="n"/>
    </row>
    <row r="1992">
      <c r="A1992" t="inlineStr">
        <is>
          <t>ENC121802</t>
        </is>
      </c>
      <c r="B1992" t="inlineStr">
        <is>
          <t>PT12023</t>
        </is>
      </c>
      <c r="C1992" t="inlineStr">
        <is>
          <t>Outpatient</t>
        </is>
      </c>
      <c r="D1992" t="inlineStr">
        <is>
          <t>F04</t>
        </is>
      </c>
      <c r="E1992" t="inlineStr">
        <is>
          <t>D440</t>
        </is>
      </c>
      <c r="G1992" s="32" t="n">
        <v>46021.39583333334</v>
      </c>
      <c r="H1992" s="32" t="n">
        <v>46021.42361111111</v>
      </c>
      <c r="I1992" t="inlineStr">
        <is>
          <t>E11.65</t>
        </is>
      </c>
      <c r="J1992" t="inlineStr">
        <is>
          <t>PY01</t>
        </is>
      </c>
      <c r="K1992" s="33" t="n">
        <v>564.11</v>
      </c>
      <c r="L1992" s="34" t="n"/>
    </row>
    <row r="1993">
      <c r="A1993" t="inlineStr">
        <is>
          <t>ENC121808</t>
        </is>
      </c>
      <c r="B1993" t="inlineStr">
        <is>
          <t>PT13752</t>
        </is>
      </c>
      <c r="C1993" t="inlineStr">
        <is>
          <t>Outpatient</t>
        </is>
      </c>
      <c r="D1993" t="inlineStr">
        <is>
          <t>F04</t>
        </is>
      </c>
      <c r="E1993" t="inlineStr">
        <is>
          <t>D450</t>
        </is>
      </c>
      <c r="G1993" s="32" t="n">
        <v>46021.42708333334</v>
      </c>
      <c r="H1993" s="32" t="n">
        <v>46021.45486111111</v>
      </c>
      <c r="I1993" t="inlineStr">
        <is>
          <t>H66.90</t>
        </is>
      </c>
      <c r="J1993" t="inlineStr">
        <is>
          <t>PY03</t>
        </is>
      </c>
      <c r="K1993" s="33" t="n">
        <v>313.16</v>
      </c>
      <c r="L1993" s="34" t="n"/>
    </row>
    <row r="1994">
      <c r="A1994" t="inlineStr">
        <is>
          <t>ENC121814</t>
        </is>
      </c>
      <c r="B1994" t="inlineStr">
        <is>
          <t>PT12223</t>
        </is>
      </c>
      <c r="C1994" t="inlineStr">
        <is>
          <t>Emergency</t>
        </is>
      </c>
      <c r="D1994" t="inlineStr">
        <is>
          <t>F01</t>
        </is>
      </c>
      <c r="E1994" t="inlineStr">
        <is>
          <t>D100</t>
        </is>
      </c>
      <c r="G1994" s="32" t="n">
        <v>46021.49305555555</v>
      </c>
      <c r="H1994" s="32" t="n">
        <v>46021.58541666667</v>
      </c>
      <c r="I1994" t="inlineStr">
        <is>
          <t>J06.9</t>
        </is>
      </c>
      <c r="J1994" t="inlineStr">
        <is>
          <t>PY03</t>
        </is>
      </c>
      <c r="K1994" s="33" t="n">
        <v>1285.15</v>
      </c>
      <c r="L1994" s="34" t="n"/>
    </row>
    <row r="1995">
      <c r="A1995" t="inlineStr">
        <is>
          <t>ENC121806</t>
        </is>
      </c>
      <c r="B1995" t="inlineStr">
        <is>
          <t>PT13229</t>
        </is>
      </c>
      <c r="C1995" t="inlineStr">
        <is>
          <t>Observation</t>
        </is>
      </c>
      <c r="D1995" t="inlineStr">
        <is>
          <t>F01</t>
        </is>
      </c>
      <c r="E1995" t="inlineStr">
        <is>
          <t>D195</t>
        </is>
      </c>
      <c r="F1995" t="inlineStr">
        <is>
          <t>Emergency Department</t>
        </is>
      </c>
      <c r="G1995" s="32" t="n">
        <v>46021.62708333333</v>
      </c>
      <c r="H1995" s="32" t="n">
        <v>46022.78125</v>
      </c>
      <c r="I1995" t="inlineStr">
        <is>
          <t>R55</t>
        </is>
      </c>
      <c r="J1995" t="inlineStr">
        <is>
          <t>PY04</t>
        </is>
      </c>
      <c r="K1995" s="33" t="n">
        <v>9434.34</v>
      </c>
      <c r="L1995" s="34" t="n"/>
    </row>
    <row r="1996">
      <c r="A1996" t="inlineStr">
        <is>
          <t>ENC121824</t>
        </is>
      </c>
      <c r="B1996" t="inlineStr">
        <is>
          <t>PT13450</t>
        </is>
      </c>
      <c r="C1996" t="inlineStr">
        <is>
          <t>Outpatient</t>
        </is>
      </c>
      <c r="D1996" t="inlineStr">
        <is>
          <t>F04</t>
        </is>
      </c>
      <c r="E1996" t="inlineStr">
        <is>
          <t>D400</t>
        </is>
      </c>
      <c r="G1996" s="32" t="n">
        <v>46022.33333333334</v>
      </c>
      <c r="H1996" s="32" t="n">
        <v>46022.36319444444</v>
      </c>
      <c r="I1996" t="inlineStr">
        <is>
          <t>J44.1</t>
        </is>
      </c>
      <c r="J1996" t="inlineStr">
        <is>
          <t>PY06</t>
        </is>
      </c>
      <c r="K1996" s="33" t="n">
        <v>220.52</v>
      </c>
      <c r="L1996" s="34" t="n"/>
    </row>
    <row r="1997">
      <c r="A1997" t="inlineStr">
        <is>
          <t>ENC121830</t>
        </is>
      </c>
      <c r="B1997" t="inlineStr">
        <is>
          <t>PT12084</t>
        </is>
      </c>
      <c r="C1997" t="inlineStr">
        <is>
          <t>Emergency</t>
        </is>
      </c>
      <c r="D1997" t="inlineStr">
        <is>
          <t>F01</t>
        </is>
      </c>
      <c r="E1997" t="inlineStr">
        <is>
          <t>D100</t>
        </is>
      </c>
      <c r="G1997" s="32" t="n">
        <v>46022.40208333333</v>
      </c>
      <c r="H1997" s="32" t="n">
        <v>46022.49236111111</v>
      </c>
      <c r="I1997" t="inlineStr">
        <is>
          <t>J18.9</t>
        </is>
      </c>
      <c r="J1997" t="inlineStr">
        <is>
          <t>PY01</t>
        </is>
      </c>
      <c r="K1997" s="33" t="n">
        <v>1233.73</v>
      </c>
      <c r="L1997" s="34" t="n"/>
    </row>
    <row r="1998">
      <c r="A1998" t="inlineStr">
        <is>
          <t>ENC121835</t>
        </is>
      </c>
      <c r="B1998" t="inlineStr">
        <is>
          <t>PT12888</t>
        </is>
      </c>
      <c r="C1998" t="inlineStr">
        <is>
          <t>Emergency</t>
        </is>
      </c>
      <c r="D1998" t="inlineStr">
        <is>
          <t>F01</t>
        </is>
      </c>
      <c r="E1998" t="inlineStr">
        <is>
          <t>D100</t>
        </is>
      </c>
      <c r="G1998" s="32" t="n">
        <v>46022.46041666667</v>
      </c>
      <c r="H1998" s="32" t="n">
        <v>46022.66736111111</v>
      </c>
      <c r="I1998" t="inlineStr">
        <is>
          <t>I10</t>
        </is>
      </c>
      <c r="J1998" t="inlineStr">
        <is>
          <t>PY05</t>
        </is>
      </c>
      <c r="K1998" s="33" t="n">
        <v>4974.22</v>
      </c>
      <c r="L1998" s="34" t="n"/>
    </row>
    <row r="1999">
      <c r="A1999" t="inlineStr">
        <is>
          <t>ENC121841</t>
        </is>
      </c>
      <c r="B1999" t="inlineStr">
        <is>
          <t>PT12717</t>
        </is>
      </c>
      <c r="C1999" t="inlineStr">
        <is>
          <t>Outpatient</t>
        </is>
      </c>
      <c r="D1999" t="inlineStr">
        <is>
          <t>F04</t>
        </is>
      </c>
      <c r="E1999" t="inlineStr">
        <is>
          <t>D400</t>
        </is>
      </c>
      <c r="G1999" s="32" t="n">
        <v>46022.51041666666</v>
      </c>
      <c r="H1999" s="32" t="n">
        <v>46022.54305555556</v>
      </c>
      <c r="I1999" t="inlineStr">
        <is>
          <t>E78.5</t>
        </is>
      </c>
      <c r="J1999" t="inlineStr">
        <is>
          <t>PY05</t>
        </is>
      </c>
      <c r="K1999" s="33" t="n">
        <v>324.24</v>
      </c>
      <c r="L1999" s="34" t="n"/>
    </row>
    <row r="2000">
      <c r="A2000" t="inlineStr">
        <is>
          <t>ENC121846</t>
        </is>
      </c>
      <c r="B2000" t="inlineStr">
        <is>
          <t>PT13211</t>
        </is>
      </c>
      <c r="C2000" t="inlineStr">
        <is>
          <t>Outpatient</t>
        </is>
      </c>
      <c r="D2000" t="inlineStr">
        <is>
          <t>F04</t>
        </is>
      </c>
      <c r="E2000" t="inlineStr">
        <is>
          <t>D410</t>
        </is>
      </c>
      <c r="G2000" s="32" t="n">
        <v>46022.58333333334</v>
      </c>
      <c r="H2000" s="32" t="n">
        <v>46022.60486111111</v>
      </c>
      <c r="I2000" t="inlineStr">
        <is>
          <t>I48.91</t>
        </is>
      </c>
      <c r="J2000" t="inlineStr">
        <is>
          <t>PY01</t>
        </is>
      </c>
      <c r="K2000" s="33" t="n">
        <v>385.86</v>
      </c>
      <c r="L2000" s="34" t="n"/>
    </row>
    <row r="2001">
      <c r="A2001" t="inlineStr">
        <is>
          <t>ENC121852</t>
        </is>
      </c>
      <c r="B2001" t="inlineStr">
        <is>
          <t>PT13353</t>
        </is>
      </c>
      <c r="C2001" t="inlineStr">
        <is>
          <t>Emergency</t>
        </is>
      </c>
      <c r="D2001" t="inlineStr">
        <is>
          <t>F03</t>
        </is>
      </c>
      <c r="E2001" t="inlineStr">
        <is>
          <t>D300</t>
        </is>
      </c>
      <c r="G2001" s="32" t="n">
        <v>46022.65</v>
      </c>
      <c r="H2001" s="32" t="n">
        <v>46022.82916666667</v>
      </c>
      <c r="I2001" t="inlineStr">
        <is>
          <t>J06.9</t>
        </is>
      </c>
      <c r="J2001" t="inlineStr">
        <is>
          <t>PY03</t>
        </is>
      </c>
      <c r="K2001" s="33" t="n">
        <v>3763.89</v>
      </c>
      <c r="L2001" s="3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
  <sheetViews>
    <sheetView tabSelected="0" workbookViewId="0">
      <pane ySplit="1" topLeftCell="A2" activePane="bottomLeft" state="frozen"/>
      <selection pane="bottomLeft" activeCell="A1" sqref="A1"/>
    </sheetView>
  </sheetViews>
  <sheetFormatPr baseColWidth="8" defaultRowHeight="15"/>
  <cols>
    <col width="12" customWidth="1" min="1" max="1"/>
    <col width="32" customWidth="1" min="2" max="2"/>
    <col width="13" customWidth="1" min="3" max="3"/>
    <col width="24" customWidth="1" min="4" max="4"/>
  </cols>
  <sheetData>
    <row r="1">
      <c r="A1" s="35" t="inlineStr">
        <is>
          <t>FacilityID</t>
        </is>
      </c>
      <c r="B1" s="35" t="inlineStr">
        <is>
          <t>FacilityName</t>
        </is>
      </c>
      <c r="C1" s="35" t="inlineStr">
        <is>
          <t>City</t>
        </is>
      </c>
      <c r="D1" s="35" t="inlineStr">
        <is>
          <t>FacilityType</t>
        </is>
      </c>
    </row>
    <row r="2">
      <c r="A2" t="inlineStr">
        <is>
          <t>F01</t>
        </is>
      </c>
      <c r="B2" t="inlineStr">
        <is>
          <t>Bluestone Memorial Hospital</t>
        </is>
      </c>
      <c r="C2" t="inlineStr">
        <is>
          <t>Bluestone</t>
        </is>
      </c>
      <c r="D2" t="inlineStr">
        <is>
          <t>Tertiary Acute Care</t>
        </is>
      </c>
    </row>
    <row r="3">
      <c r="A3" t="inlineStr">
        <is>
          <t>F02</t>
        </is>
      </c>
      <c r="B3" t="inlineStr">
        <is>
          <t>Ashby Falls Community Hospital</t>
        </is>
      </c>
      <c r="C3" t="inlineStr">
        <is>
          <t>Ashby Falls</t>
        </is>
      </c>
      <c r="D3" t="inlineStr">
        <is>
          <t>Community Hospital</t>
        </is>
      </c>
    </row>
    <row r="4">
      <c r="A4" t="inlineStr">
        <is>
          <t>F03</t>
        </is>
      </c>
      <c r="B4" t="inlineStr">
        <is>
          <t>Cedar Ridge Medical Center</t>
        </is>
      </c>
      <c r="C4" t="inlineStr">
        <is>
          <t>Cedar Ridge</t>
        </is>
      </c>
      <c r="D4" t="inlineStr">
        <is>
          <t>Acute Care</t>
        </is>
      </c>
    </row>
    <row r="5">
      <c r="A5" t="inlineStr">
        <is>
          <t>F04</t>
        </is>
      </c>
      <c r="B5" t="inlineStr">
        <is>
          <t>Bluestone Outpatient Pavilion</t>
        </is>
      </c>
      <c r="C5" t="inlineStr">
        <is>
          <t>Bluestone</t>
        </is>
      </c>
      <c r="D5" t="inlineStr">
        <is>
          <t>Ambulatory Care Center</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2E75B6"/>
    <outlinePr summaryBelow="1" summaryRight="1"/>
    <pageSetUpPr fitToPage="1"/>
  </sheetPr>
  <dimension ref="A1:C9"/>
  <sheetViews>
    <sheetView tabSelected="0" workbookViewId="0">
      <selection activeCell="A1" sqref="A1"/>
    </sheetView>
  </sheetViews>
  <sheetFormatPr baseColWidth="8" defaultRowHeight="15"/>
  <cols>
    <col width="46" customWidth="1" min="1" max="1"/>
    <col width="26" customWidth="1" min="2" max="2"/>
    <col width="28" customWidth="1" min="3" max="3"/>
  </cols>
  <sheetData>
    <row r="1">
      <c r="A1" s="27" t="inlineStr">
        <is>
          <t>Output: your macros write their results here</t>
        </is>
      </c>
    </row>
    <row r="2" ht="32" customHeight="1">
      <c r="A2" s="28" t="inlineStr">
        <is>
          <t>Macros write into the blue cells. The Practice and Bonus sheets read them, so keep them where they are and don't type in them by hand.</t>
        </is>
      </c>
    </row>
    <row r="3">
      <c r="A3" s="36" t="inlineStr">
        <is>
          <t>Result</t>
        </is>
      </c>
      <c r="B3" s="36" t="inlineStr">
        <is>
          <t>Value</t>
        </is>
      </c>
      <c r="C3" s="36" t="inlineStr">
        <is>
          <t>Written by (task)</t>
        </is>
      </c>
    </row>
    <row r="4">
      <c r="A4" s="37" t="inlineStr">
        <is>
          <t>Data rows on the facility sheets</t>
        </is>
      </c>
      <c r="B4" s="38" t="n"/>
      <c r="C4" s="39" t="inlineStr">
        <is>
          <t>SortAndReconcile (10)</t>
        </is>
      </c>
    </row>
    <row r="5">
      <c r="A5" s="37" t="inlineStr">
        <is>
          <t>TotalCharges on the facility sheets</t>
        </is>
      </c>
      <c r="B5" s="40" t="n"/>
      <c r="C5" s="39" t="inlineStr">
        <is>
          <t>SortAndReconcile (10)</t>
        </is>
      </c>
    </row>
    <row r="6">
      <c r="A6" s="37" t="inlineStr">
        <is>
          <t>Exported file name</t>
        </is>
      </c>
      <c r="B6" s="41" t="n"/>
      <c r="C6" s="39" t="inlineStr">
        <is>
          <t>ExportFacility (11)</t>
        </is>
      </c>
    </row>
    <row r="7">
      <c r="A7" s="37" t="inlineStr">
        <is>
          <t>TotalCharges read back from the exported file</t>
        </is>
      </c>
      <c r="B7" s="40" t="n"/>
      <c r="C7" s="39" t="inlineStr">
        <is>
          <t>ExportFacility (11)</t>
        </is>
      </c>
    </row>
    <row r="9">
      <c r="A9" s="37" t="inlineStr">
        <is>
          <t>Bonus: packet with the largest total charges</t>
        </is>
      </c>
      <c r="B9" s="42" t="n"/>
      <c r="C9" s="39" t="inlineStr">
        <is>
          <t>BuildMonthlyPackets (bonus)</t>
        </is>
      </c>
    </row>
  </sheetData>
  <mergeCells count="1">
    <mergeCell ref="A2:C2"/>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BF9000"/>
    <outlinePr summaryBelow="1" summaryRight="1"/>
    <pageSetUpPr fitToPage="1"/>
  </sheetPr>
  <dimension ref="A1:E9"/>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5.3 · Bonus: the monthly inpatient packet</t>
        </is>
      </c>
    </row>
    <row r="2" ht="184" customHeight="1">
      <c r="A2" s="14" t="inlineStr">
        <is>
          <t>Finance wants a monthly packet of inpatient encounters, one sheet per month of 2025, each built from the PacketTemplate sheet. Complete BuildMonthlyPackets so that, for each month 1 to 12, it does four things:
1. Deletes any old sheet named for the month in yyyy-mm form (for example 2025-03), copies PacketTemplate to the end of the workbook, and renames the copy to that name.
2. Writes that month's Inpatient encounters (AdmitDateTime in the month) to the packet: all 11 columns A:K, in the same order as Encounters. The template's headers are in row 6, so data starts in A7. Use arrays: read the Encounters data once, before the month loop, collect each month's rows in a second array, and write them with one assignment.
3. Sorts the packet's rows by TotalCharges, largest first.
4. Fills the header block: B2 the first day of the month, B3 the number of encounters, and B4 their total charges.
After the loop, write the name of the packet sheet with the largest total charges to Output!B9 (it's formatted as Text, so Excel keeps 2025-xx as text and doesn't turn it into a date). Turn ScreenUpdating off while the macro runs, and make sure it comes back on even if something fails.</t>
        </is>
      </c>
    </row>
    <row r="3" ht="34" customHeight="1">
      <c r="A3" s="15" t="inlineStr">
        <is>
          <t>There's nothing to type on this sheet: the gray cells fill in when BuildMonthlyPackets has run. The Check column turns green when your answer matches. Stuck? Read the hint, then the lesson guide. Answers: right-click a sheet tab → Unhide… → 'Bonus Key'.</t>
        </is>
      </c>
    </row>
    <row r="4">
      <c r="A4" s="16">
        <f>"Score: "&amp;COUNTIF(E6:E9,"✔*")&amp;" of 4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How many inpatient encounters are in the 2025-03 packet? (The gray cell counts the data rows from row 7 down.)</t>
        </is>
      </c>
      <c r="C6" s="20" t="inlineStr">
        <is>
          <t>Test src(i, 3) = "Inpatient" And src(i, 7) &gt;= monthStart And src(i, 7) &lt; nextMonth</t>
        </is>
      </c>
      <c r="D6" cm="1" s="26">
        <f t="array" ref="D6">IF(ISREF(INDIRECT("'2025-03'!A1")),COUNTA(INDIRECT("'2025-03'!A7:A2000")),"")</f>
        <v/>
      </c>
      <c r="E6" s="22">
        <f>IF(IFERROR(D6="",FALSE),"",IF(IFERROR(AND(ISNUMBER(D6),OR(ABS(D6-'Bonus Key'!$C$5)&lt;=0.0001)),FALSE),"✔ Correct","✘ Not yet"))</f>
        <v/>
      </c>
    </row>
    <row r="7" ht="36" customHeight="1">
      <c r="A7" s="18" t="inlineStr">
        <is>
          <t>B2</t>
        </is>
      </c>
      <c r="B7" s="19" t="inlineStr">
        <is>
          <t>What total charges does the 2025-07 packet show in its header (cell B4)?</t>
        </is>
      </c>
      <c r="C7" s="20" t="inlineStr">
        <is>
          <t>Reset total = 0 at the start of every month</t>
        </is>
      </c>
      <c r="D7" cm="1" s="24">
        <f t="array" ref="D7">IF(ISREF(INDIRECT("'2025-07'!A1")),INDIRECT("'2025-07'!B4"),"")</f>
        <v/>
      </c>
      <c r="E7" s="22">
        <f>IF(IFERROR(D7="",FALSE),"",IF(IFERROR(AND(ISNUMBER(D7),OR(ABS(D7-'Bonus Key'!$C$6)&lt;=0.0051)),FALSE),"✔ Correct","✘ Not yet"))</f>
        <v/>
      </c>
    </row>
    <row r="8" ht="36" customHeight="1">
      <c r="A8" s="18" t="inlineStr">
        <is>
          <t>B3</t>
        </is>
      </c>
      <c r="B8" s="19" t="inlineStr">
        <is>
          <t>What is the top charge in the 2025-11 packet (TotalCharges in K7, after sorting)?</t>
        </is>
      </c>
      <c r="C8" s="20" t="inlineStr">
        <is>
          <t>Row 5 of the template is empty, so CurrentRegion from A6 is just the table</t>
        </is>
      </c>
      <c r="D8" cm="1" s="24">
        <f t="array" ref="D8">IF(ISREF(INDIRECT("'2025-11'!A1")),INDIRECT("'2025-11'!K7"),"")</f>
        <v/>
      </c>
      <c r="E8" s="22">
        <f>IF(IFERROR(D8="",FALSE),"",IF(IFERROR(AND(ISNUMBER(D8),OR(ABS(D8-'Bonus Key'!$C$7)&lt;=0.0051)),FALSE),"✔ Correct","✘ Not yet"))</f>
        <v/>
      </c>
    </row>
    <row r="9" ht="51" customHeight="1">
      <c r="A9" s="18" t="inlineStr">
        <is>
          <t>B4</t>
        </is>
      </c>
      <c r="B9" s="19" t="inlineStr">
        <is>
          <t>Which month's packet has the largest total charges? (The gray cell reads Output!B9.)</t>
        </is>
      </c>
      <c r="C9" s="20" t="inlineStr">
        <is>
          <t>The running-maximum pattern from Lesson 5.2, one level up: once per month, not once per row</t>
        </is>
      </c>
      <c r="D9" cm="1" s="26">
        <f t="array" ref="D9">IF(Output!B9="","",Output!B9)</f>
        <v/>
      </c>
      <c r="E9" s="22">
        <f>IF(IFERROR(D9="",FALSE),"",IF(IFERROR(OR(LOWER(TRIM(D9&amp;""))="2025-11",AND(ISNUMBER(D9),IFERROR(YEAR(D9)=2025,FALSE),IFERROR(MONTH(D9)=11,FALSE))),FALSE),"✔ Correct","✘ Not yet"))</f>
        <v/>
      </c>
    </row>
  </sheetData>
  <mergeCells count="3">
    <mergeCell ref="A2:E2"/>
    <mergeCell ref="A4:C4"/>
    <mergeCell ref="A3:E3"/>
  </mergeCells>
  <conditionalFormatting sqref="E6:E9">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16"/>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3" t="inlineStr">
        <is>
          <t>🔑 Answer Key — Lesson 5.3</t>
        </is>
      </c>
    </row>
    <row r="2" ht="32" customHeight="1">
      <c r="A2" s="28"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81" customHeight="1">
      <c r="A5" s="18" t="inlineStr">
        <is>
          <t>1</t>
        </is>
      </c>
      <c r="B5" s="19" t="inlineStr">
        <is>
          <t>Snippet A: what address does the Immediate window show? Type it as printed (the $ signs are optional).</t>
        </is>
      </c>
      <c r="C5" s="45" t="inlineStr">
        <is>
          <t>$G$5:$G$9</t>
        </is>
      </c>
      <c r="D5" s="46" t="inlineStr">
        <is>
          <t>`Range("C2").Offset(3, 4)` moves 3 rows down and 4 columns right, to **G5**. `Resize(5)` makes the range 5 rows tall from that corner and keeps its width of 1 column: **$G$5:$G$9**.</t>
        </is>
      </c>
      <c r="E5" s="18" t="inlineStr">
        <is>
          <t>—</t>
        </is>
      </c>
      <c r="F5" s="19" t="inlineStr">
        <is>
          <t>Offset never changes a range's size, and Resize never moves its top-left corner, so you can read a chain of them left to right. Leaving out Resize's second argument keeps the column count as it is. .Address returns absolute references ($G$5) unless you ask for .Address(False, False).</t>
        </is>
      </c>
    </row>
    <row r="6" ht="111" customHeight="1">
      <c r="A6" s="18" t="inlineStr">
        <is>
          <t>2</t>
        </is>
      </c>
      <c r="B6" s="19" t="inlineStr">
        <is>
          <t>Snippet B: what address does the Immediate window show?</t>
        </is>
      </c>
      <c r="C6" s="45" t="inlineStr">
        <is>
          <t>A2:L2001</t>
        </is>
      </c>
      <c r="D6" s="46" t="inlineStr">
        <is>
          <t>`Range("E50").CurrentRegion` grows from E50 to the whole block bounded by empty rows and columns: A1:L2001 (the LOSDays header in L1 makes the block 12 columns wide). `Offset(1)` shifts the block down one row, and `Resize(Rows.Count - 1)` trims the row that fell off the bottom: **A2:L2001**.</t>
        </is>
      </c>
      <c r="E6" s="18" t="inlineStr">
        <is>
          <t>—</t>
        </is>
      </c>
      <c r="F6" s="19" t="inlineStr">
        <is>
          <t>This data-body idiom gives you the data without its header, however many rows the export has. It works from any cell inside the block, which is why the snippet starts in E50. CurrentRegion stops at the first completely empty row and column, so a blank row in the middle of an export cuts it short.</t>
        </is>
      </c>
    </row>
    <row r="7" ht="81" customHeight="1">
      <c r="A7" s="18" t="inlineStr">
        <is>
          <t>3</t>
        </is>
      </c>
      <c r="B7" s="19" t="inlineStr">
        <is>
          <t>Snippet C: line 1 prints 2001, the last row of column A. What number does line 2 print (the same idiom on column F, AdmitSource)?</t>
        </is>
      </c>
      <c r="C7" s="45" t="n">
        <v>1995</v>
      </c>
      <c r="D7" s="46" t="inlineStr">
        <is>
          <t>End(xlUp) from the bottom of column F stops at the last cell with something in it: row **1995**. The last 6 encounters are emergency or outpatient visits, which have no AdmitSource.</t>
        </is>
      </c>
      <c r="E7" cm="1" s="47">
        <f t="array" ref="E7">SUMPRODUCT(MAX((Encounters!F2:F2001&lt;&gt;"")*ROW(Encounters!F2:F2001)))</f>
        <v/>
      </c>
      <c r="F7" s="19" t="inlineStr">
        <is>
          <t>The last-row idiom finds the last filled cell in the column you give it. AdmitSource is blank for emergency and outpatient visits, so a loop that stopped at this row would silently skip the last 6 encounters. Always use a column that is filled on every row, such as the ID column.</t>
        </is>
      </c>
    </row>
    <row r="8" ht="81" customHeight="1">
      <c r="A8" s="18" t="inlineStr">
        <is>
          <t>4</t>
        </is>
      </c>
      <c r="B8" s="19" t="inlineStr">
        <is>
          <t>Snippet C: what number does line 3 print?</t>
        </is>
      </c>
      <c r="C8" s="45" t="n">
        <v>2</v>
      </c>
      <c r="D8" s="46" t="inlineStr">
        <is>
          <t>F1 and F2 are both filled and F3 is empty, so End(xlDown) stops at the end of that first block: row **2**.</t>
        </is>
      </c>
      <c r="E8" s="18" t="inlineStr">
        <is>
          <t>—</t>
        </is>
      </c>
      <c r="F8" s="19" t="inlineStr">
        <is>
          <t>Range("F1").End(xlDown) is the top-down version of the idiom, and it fails on the first blank cell. On a column with no gaps it gives the same answer as End(xlUp), which is why it seems to work until the day a blank appears. Start from the bottom and go up with Cells(Rows.Count, col).End(xlUp).</t>
        </is>
      </c>
    </row>
    <row r="9" ht="96" customHeight="1">
      <c r="A9" s="18" t="inlineStr">
        <is>
          <t>5</t>
        </is>
      </c>
      <c r="B9" s="19" t="inlineStr">
        <is>
          <t>Snippet D: running SnippetD_WhichSheet stops with a run-time error. Type the error number.</t>
        </is>
      </c>
      <c r="C9" s="45" t="inlineStr">
        <is>
          <t>1004</t>
        </is>
      </c>
      <c r="D9" s="46" t="inlineStr">
        <is>
          <t>Run-time error **1004**: *Method 'Range' of object '_Worksheet' failed*. The two bare `Cells(...)` belong to the active sheet (Practice), and `ws.Range(...)` can't build an Encounters range from Practice cells.</t>
        </is>
      </c>
      <c r="E9" s="18" t="inlineStr">
        <is>
          <t>—</t>
        </is>
      </c>
      <c r="F9" s="19" t="inlineStr">
        <is>
          <t>In a standard module, Range and Cells with no object in front mean *the active sheet*. Qualify every one: ws.Range(ws.Cells(2, 1), ws.Cells(2, 11)), or use a With block and a leading dot: .Range(.Cells(2, 1), .Cells(2, 11)). The same macro works when Encounters happens to be active, which is what makes this bug hard to spot.</t>
        </is>
      </c>
    </row>
    <row r="10" ht="126" customHeight="1">
      <c r="A10" s="18" t="inlineStr">
        <is>
          <t>6</t>
        </is>
      </c>
      <c r="B10" s="19" t="inlineStr">
        <is>
          <t>Snippet E: running SnippetE_DeleteOld stops with a run-time error. Type the error number.</t>
        </is>
      </c>
      <c r="C10" s="45" t="inlineStr">
        <is>
          <t>9</t>
        </is>
      </c>
      <c r="D10" s="46" t="inlineStr">
        <is>
          <t>Run-time error **9**: *Subscript out of range*. There is no sheet named TypeSummary_2024, so `Worksheets("TypeSummary_2024")` fails before `.Delete` even runs.</t>
        </is>
      </c>
      <c r="E10" s="18" t="inlineStr">
        <is>
          <t>—</t>
        </is>
      </c>
      <c r="F10" s="19" t="inlineStr">
        <is>
          <t>DisplayAlerts = False only silences Excel's *confirmation* prompt. It doesn't make a missing sheet exist. That's why delete-and-recreate macros check first with a function such as SheetExists. The macro also stopped before its DisplayAlerts = True line. Excel resets DisplayAlerts by itself when code finishes, but it doesn't do that for Calculation or EnableEvents, which is why restore lines belong in cleanup code that always runs (guide section 15).</t>
        </is>
      </c>
    </row>
    <row r="11" ht="409" customHeight="1">
      <c r="A11" s="18" t="inlineStr">
        <is>
          <t>7</t>
        </is>
      </c>
      <c r="B11" s="19" t="inlineStr">
        <is>
          <t>Complete SheetExists and BuildTypeSummary in the starter module. BuildTypeSummary deletes any old TypeSummary sheet (with DeleteSheetIfExists, which calls your SheetExists), adds a new sheet named TypeSummary at the end of the workbook, and writes one row per EncounterType (Emergency, Inpatient, Observation, Outpatient) with the columns EncounterType (A), Encounters (B, the count), and TotalCharges (C), headers in row 1. Run it twice: the second run must not stop with an error or ask a question. The gray cell looks up the Inpatient TotalCharges on your sheet.</t>
        </is>
      </c>
      <c r="C11" s="48" t="n">
        <v>16882215.53</v>
      </c>
      <c r="D11" s="46" t="inlineStr">
        <is>
          <t>Function SheetExists(ByVal sheetName As String) As Boolean
    ' True if THIS workbook has a worksheet with that name (ignoring case,
    ' because Excel treats "typesummary" and "TypeSummary" as the same name).
    Dim ws As Worksheet
    For Each ws In ThisWorkbook.Worksheets
        If StrComp(ws.Name, sheetName, vbTextCompare) = 0 Then
            SheetExists = True
            Exit Function
        End If
    Next ws
End Function
Sub BuildTypeSummary()
    Dim wsEnc As Worksheet, wsSum As Worksheet
    Dim rngType As Range, rngCharges As Range
    Dim types As Variant
    Dim lastR As Long, i As Long
    Set wsEnc = ThisWorkbook.Worksheets("Encounters")
    lastR = LastRow(wsEnc, "A")
    Set rngType = wsEnc.Range("C2:C" &amp; lastR)          ' EncounterType
    Set rngCharges = wsEnc.Range("K2:K" &amp; lastR)       ' TotalCharges
    ' Delete-and-recreate: the macro can run again and again
    DeleteSheetIfExists "TypeSummary"
    Set wsSum = ThisWorkbook.Worksheets.Add(After:=ThisWorkbook.Worksheets(ThisWorkbook.Worksheets.Count))
    wsSum.Name = "TypeSummary"
    wsSum.Range("A1:C1").Value = Array("EncounterType", "Encounters", "TotalCharges")
    types = Array("Emergency", "Inpatient", "Observation", "Outpatient")
    For i = 0 To UBound(types)                          ' Array() numbers its items from 0
        With wsSum.Cells(i + 2, 1)                      ' rows 2 to 5, column A
            .Value = types(i)
            .Offset(0, 1).Value = Application.WorksheetFunction.CountIf(rngType, types(i))
            .Offset(0, 2).Value = Application.WorksheetFunction.SumIf(rngType, types(i), rngCharges)
        End With
    Next i
    wsSum.Range("A1:C1").Font.Bold = True
    wsSum.Range("C2:C5").NumberFormat = "#,##0.00"
    wsSum.Columns("A:C").AutoFit
End Sub</t>
        </is>
      </c>
      <c r="E11" cm="1" s="49">
        <f t="array" ref="E11">SUMIFS(Encounters!K2:K2001,Encounters!C2:C2001,"Inpatient")</f>
        <v/>
      </c>
      <c r="F11" s="19" t="inlineStr">
        <is>
          <t>Delete-and-recreate makes a macro safe to rerun: without the delete, the second run stops at wsSum.Name = "TypeSummary" with run-time error 1004 (*That name is already taken*), because sheet names must be unique. Worksheets.Add returns the new sheet, so Set wsSum = … gives you a variable for it and you never need ActiveSheet. SheetExists compares with vbTextCompare because Excel sheet names ignore case. The finished sheet: Emergency 663 encounters / $1,753,021.67, Inpatient 539 encounters / $16,882,215.53, Observation 89 encounters / $702,704.46, Outpatient 709 encounters / $899,052.36. Inpatient stays are 27% of the encounters but 83% of the charges.</t>
        </is>
      </c>
    </row>
    <row r="12" ht="409" customHeight="1">
      <c r="A12" s="18" t="inlineStr">
        <is>
          <t>8</t>
        </is>
      </c>
      <c r="B12" s="19" t="inlineStr">
        <is>
          <t>Complete SplitByFacility: for each FacilityID in the Facilities table (tblFacilities), delete any old sheet with that name, add a new sheet named after the ID (F01, F02, F03, F04), AutoFilter the Encounters block on FacilityID, and copy the visible cells (header included) to A1 of the new sheet. Turn the filter off at the end. The gray cell lists the number of data rows on F01, F02, F03, and F04.</t>
        </is>
      </c>
      <c r="C12" s="45" t="inlineStr">
        <is>
          <t>928 / 175 / 188 / 709</t>
        </is>
      </c>
      <c r="D12" s="46" t="inlineStr">
        <is>
          <t>Sub SplitByFacility()
    Dim wsEnc As Worksheet, wsNew As Worksheet
    Dim lo As ListObject
    Dim idCell As Range, block As Range
    Dim facID As String
    Set wsEnc = ThisWorkbook.Worksheets("Encounters")
    Set lo = ThisWorkbook.Worksheets("Facilities").ListObjects("tblFacilities")
    If wsEnc.AutoFilterMode Then wsEnc.AutoFilterMode = False   ' start with no filter
    Set block = wsEnc.Range("A1").CurrentRegion                 ' header + every data row
    Application.ScreenUpdating = False
    On Error GoTo CleanUp                                       ' always restore settings
    For Each idCell In lo.ListColumns("FacilityID").DataBodyRange
        facID = idCell.Value
        DeleteSheetIfExists facID
        Set wsNew = ThisWorkbook.Worksheets.Add(After:=ThisWorkbook.Worksheets(ThisWorkbook.Worksheets.Count))
        wsNew.Name = facID
        block.AutoFilter Field:=4, Criteria1:=facID               ' column D = FacilityID
        block.SpecialCells(xlCellTypeVisible).Copy Destination:=wsNew.Range("A1")
        wsNew.Range("A1").CurrentRegion.Columns.AutoFit
    Next idCell
CleanUp:
    wsEnc.AutoFilterMode = False                                ' leave the export unfiltered
    Application.ScreenUpdating = True
    If Err.Number &lt;&gt; 0 Then MsgBox "SplitByFacility stopped: " &amp; Err.Description, vbExclamation
End Sub</t>
        </is>
      </c>
      <c r="E12" cm="1" s="47">
        <f t="array" ref="E12">COUNTIF(Encounters!D2:D2001,"F01")&amp;" / "&amp;COUNTIF(Encounters!D2:D2001,"F02")&amp;" / "&amp;COUNTIF(Encounters!D2:D2001,"F03")&amp;" / "&amp;COUNTIF(Encounters!D2:D2001,"F04")</f>
        <v/>
      </c>
      <c r="F12" s="19" t="inlineStr">
        <is>
          <t>AutoFilter hides the rows that don't match, and SpecialCells(xlCellTypeVisible) picks only the rows still showing, so the copy brings the header and that facility's rows and nothing else. Looping over the Table's FacilityID column means a fifth facility would get its own sheet with no code change. The On Error GoTo CleanUp block turns the filter off and ScreenUpdating back on even if something fails. If a count is one too high or too low, check whether your copy included the header row, because the gray cell subtracts 1 for it.</t>
        </is>
      </c>
    </row>
    <row r="13" ht="409" customHeight="1">
      <c r="A13" s="18" t="inlineStr">
        <is>
          <t>9</t>
        </is>
      </c>
      <c r="B13" s="19" t="inlineStr">
        <is>
          <t>Complete SortAndReconcile, part 1: loop through every worksheet and, for each sheet whose name is Like "F0#", sort its block by TotalCharges (column K), largest first, with Range.Sort and a header row. Which EncounterID is now in A2 of sheet F03? (The gray cell reads F03!A2.)</t>
        </is>
      </c>
      <c r="C13" s="45" t="inlineStr">
        <is>
          <t>ENC112749</t>
        </is>
      </c>
      <c r="D13" s="46" t="inlineStr">
        <is>
          <t>Sub SortAndReconcile()
    Dim ws As Worksheet
    Dim lastR As Long, rowTotal As Long, sheetCount As Long
    Dim chargeTotal As Double
    For Each ws In ThisWorkbook.Worksheets
        If ws.Name Like "F0#" Then                  ' F01 to F09 (# = any one digit)
            ' Task 9: largest charge first. One cell is enough to name the sort column.
            ws.Range("A1").CurrentRegion.Sort Key1:=ws.Range("K1"), Order1:=xlDescending, Header:=xlYes
            ' Task 10: add this sheet to the control totals
            lastR = LastRow(ws, "A")
            rowTotal = rowTotal + (lastR - 1)       ' minus the header row
            chargeTotal = chargeTotal + Application.WorksheetFunction.Sum(ws.Range("K2:K" &amp; lastR))
            sheetCount = sheetCount + 1
        End If
    Next ws
    With ThisWorkbook.Worksheets("Output")
        .Range("B4").Value = rowTotal
        .Range("B5").Value = chargeTotal
    End With
    MsgBox sheetCount &amp; " facility sheets: " &amp; rowTotal &amp; " rows, " &amp; _
           Format(chargeTotal, "#,##0.00") &amp; " in charges.", vbInformation, "Reconcile the split"
End Sub</t>
        </is>
      </c>
      <c r="E13" cm="1" s="47">
        <f t="array" ref="E13">INDEX(Encounters!A2:A2001,MATCH(1,(Encounters!D2:D2001="F03")*(Encounters!K2:K2001=MAX(IF(Encounters!D2:D2001="F03",Encounters!K2:K2001))),0))</f>
        <v/>
      </c>
      <c r="F13" s="19" t="inlineStr">
        <is>
          <t>For Each ws In ThisWorkbook.Worksheets visits every worksheet, including the hidden key sheets, so the Like "F0#" test (# means any one digit) picks out the facility sheets. Header:=xlYes keeps row 1 in place as a header. Leave it out and Range.Sort treats row 1 as data, so an ascending sort would bury the header among the rows. ENC112749 is Cedar Ridge's most expensive 2025 encounter in the sample ($167,509.41, inpatient).</t>
        </is>
      </c>
    </row>
    <row r="14" ht="96" customHeight="1">
      <c r="A14" s="18" t="inlineStr">
        <is>
          <t>10</t>
        </is>
      </c>
      <c r="B14" s="19" t="inlineStr">
        <is>
          <t>SortAndReconcile, part 2: in the same loop, add each facility sheet's data rows and TotalCharges to two running totals, then write the row total to Output!B4 and the charge total to Output!B5. What is the total charge on the facility sheets? (The gray cell reads Output!B5.)</t>
        </is>
      </c>
      <c r="C14" s="48" t="n">
        <v>20236994.02</v>
      </c>
      <c r="D14" s="46" t="inlineStr">
        <is>
          <t>The second half of the loop in task 9's macro: `rowTotal = rowTotal + (lastR - 1)` and `chargeTotal = chargeTotal + Application.WorksheetFunction.Sum(ws.Range("K2:K" &amp; lastR))`, then both are written to Output after `Next ws`.</t>
        </is>
      </c>
      <c r="E14" cm="1" s="49">
        <f t="array" ref="E14">SUM(Encounters!K2:K2001)</f>
        <v/>
      </c>
      <c r="F14" s="19" t="inlineStr">
        <is>
          <t>This is a reconciliation: the facility sheets together must hold exactly the 2,000 rows and $20,236,994.02 of the export (compare with =SUM(Encounters!K2:K2001)). If the totals differ, the split lost or duplicated rows, and you know before anyone reads the sheets. The same control-total habit applies to any macro that moves data around.</t>
        </is>
      </c>
    </row>
    <row r="15" ht="409" customHeight="1">
      <c r="A15" s="18" t="inlineStr">
        <is>
          <t>11</t>
        </is>
      </c>
      <c r="B15" s="19" t="inlineStr">
        <is>
          <t>Complete ExportFacility: copy sheet F02 into a new workbook (Worksheet.Copy with no arguments), save it in the same folder as this workbook as F02_encounters_2025.xlsx with SaveAs and FileFormat:=xlOpenXMLWorkbook, and close it. Then reopen the file with Workbooks.Open, add up its TotalCharges column, write the total to Output!B7 (and the file name to Output!B6), and close it without saving. The gray cell reads Output!B7.</t>
        </is>
      </c>
      <c r="C15" s="48" t="n">
        <v>2357196.8</v>
      </c>
      <c r="D15" s="46" t="inlineStr">
        <is>
          <t>Sub ExportFacility()
    Const FAC_ID As String = "F02"
    Dim wbNew As Workbook, wbCheck As Workbook
    Dim filePath As String, savedName As String
    Dim lastR As Long
    Dim total As Double
    If Not SheetExists(FAC_ID) Then
        MsgBox "There's no " &amp; FAC_ID &amp; " sheet. Run SplitByFacility first.", vbExclamation
        Exit Sub
    End If
    If ThisWorkbook.Path = "" Then
        MsgBox "Save this workbook first, so the export has a folder to go in.", vbExclamation
        Exit Sub
    End If
    filePath = ThisWorkbook.Path &amp; Application.PathSeparator &amp; FAC_ID &amp; "_encounters_2025.xlsx"
    ' 1. Copy the sheet into a brand-new workbook and save that as .xlsx
    ThisWorkbook.Worksheets(FAC_ID).Copy            ' no Before/After: Excel makes a new workbook
    Set wbNew = ActiveWorkbook                      ' right after Copy, the new workbook is active
    Application.DisplayAlerts = False               ' replace last run's file without asking
    wbNew.SaveAs Filename:=filePath, FileFormat:=xlOpenXMLWorkbook
    Application.DisplayAlerts = True
    savedName = wbNew.Name                          ' read it BEFORE closing
    wbNew.Close SaveChanges:=False
    ' 2. Reopen the saved file, read it, and close it again
    Set wbCheck = Workbooks.Open(Filename:=filePath, ReadOnly:=True)
    With wbCheck.Worksheets(1)
        lastR = .Cells(.Rows.Count, "A").End(xlUp).Row
        total = Application.WorksheetFunction.Sum(.Range("K2:K" &amp; lastR))
    End With
    wbCheck.Close SaveChanges:=False
    ' 3. Report in THIS workbook, whichever workbook is active now
    With ThisWorkbook.Worksheets("Output")
        .Range("B6").Value = savedName
        .Range("B7").Value = total
    End With
End Sub</t>
        </is>
      </c>
      <c r="E15" cm="1" s="49">
        <f t="array" ref="E15">SUMIFS(Encounters!K2:K2001,Encounters!D2:D2001,"F02")</f>
        <v/>
      </c>
      <c r="F15" s="19" t="inlineStr">
        <is>
          <t>Once a second workbook is open, ActiveWorkbook and ThisWorkbook are different files. ThisWorkbook is always the file that holds the code, so it's the safe way back to Output. FileFormat:=xlOpenXMLWorkbook (51) must match the .xlsx extension, or Excel refuses or saves a file that won't open. DisplayAlerts False lets a second run overwrite the old file. Opening with ReadOnly:=True and closing with SaveChanges:=False guarantees the check never changes the export.</t>
        </is>
      </c>
    </row>
    <row r="16" ht="409" customHeight="1">
      <c r="A16" s="18" t="inlineStr">
        <is>
          <t>12</t>
        </is>
      </c>
      <c r="B16" s="19" t="inlineStr">
        <is>
          <t>Complete FillLOSDays: read AdmitDateTime and DischargeDateTime (Encounters G2:H2001) into a Variant array with one .Value2 read, calculate each row's length of stay in days with Int(discharge) - Int(admit) (the number of midnights, ignoring the times), and write all the results to the yellow LOSDays column (L) with one assignment. The gray cell adds up your column.</t>
        </is>
      </c>
      <c r="C16" s="45" t="n">
        <v>2580</v>
      </c>
      <c r="D16" s="46" t="inlineStr">
        <is>
          <t>Sub FillLOSDays()
    Dim ws As Worksheet
    Dim lastR As Long, i As Long
    Dim stay As Variant          ' will hold an n x 2 array: admit, discharge
    Dim los() As Variant         ' n x 1 array for the results
    Set ws = ThisWorkbook.Worksheets("Encounters")
    lastR = LastRow(ws, "A")
    stay = ws.Range("G2:H" &amp; lastR).Value2          ' ONE read. Value2 gives dates as serial numbers
    ReDim los(1 To UBound(stay, 1), 1 To 1)
    For i = 1 To UBound(stay, 1)
        ' whole days between the two dates = midnights in the hospital
        los(i, 1) = Int(stay(i, 2)) - Int(stay(i, 1))
    Next i
    ws.Range("L2").Resize(UBound(los, 1), 1).Value = los   ' ONE write
End Sub</t>
        </is>
      </c>
      <c r="E16" cm="1" s="47">
        <f t="array" ref="E16">SUMPRODUCT(INT(Encounters!H2:H2001)-INT(Encounters!G2:G2001))</f>
        <v/>
      </c>
      <c r="F16" s="19" t="inlineStr">
        <is>
          <t>Every read or write of a cell crosses from VBA into Excel, and that crossing is the slow part. The array version crosses twice (one read, one write) instead of 6,000 times (4,000 reads and 2,000 writes) for 2,000 rows. A multi-cell range's .Value2 is always a 2-D array numbered from 1, even for one column, so the results array must be 2-D too: los(1 To n, 1 To 1). Value2 hands back dates as serial numbers, so Int strips the time. Inpatient stays account for 2,406 of the 2,580 days. Emergency and observation visits that crossed midnight count 1 or 2.</t>
        </is>
      </c>
    </row>
  </sheetData>
  <mergeCells count="1">
    <mergeCell ref="A2:F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C00000"/>
    <outlinePr summaryBelow="1" summaryRight="1"/>
    <pageSetUpPr fitToPage="1"/>
  </sheetPr>
  <dimension ref="A1:F8"/>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3" t="inlineStr">
        <is>
          <t>🔑 Bonus Key — Lesson 5.3</t>
        </is>
      </c>
    </row>
    <row r="2" ht="32" customHeight="1">
      <c r="A2" s="28"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409" customHeight="1">
      <c r="A5" s="18" t="inlineStr">
        <is>
          <t>B1</t>
        </is>
      </c>
      <c r="B5" s="19" t="inlineStr">
        <is>
          <t>How many inpatient encounters are in the 2025-03 packet? (The gray cell counts the data rows from row 7 down.)</t>
        </is>
      </c>
      <c r="C5" s="45" t="n">
        <v>37</v>
      </c>
      <c r="D5" s="46" t="inlineStr">
        <is>
          <t>Sub BuildMonthlyPackets()
    Const NCOLS As Long = 11                     ' Encounters columns A:K
    Dim wsEnc As Worksheet, wsTpl As Worksheet, wsPk As Worksheet
    Dim src As Variant, buf() As Variant
    Dim lastR As Long, i As Long, j As Long, n As Long, m As Long
    Dim monthStart As Date, nextMonth As Date
    Dim sheetName As String, bestName As String
    Dim total As Double, bestTotal As Double
    Set wsEnc = ThisWorkbook.Worksheets("Encounters")
    Set wsTpl = ThisWorkbook.Worksheets("PacketTemplate")
    lastR = LastRow(wsEnc, "A")
    src = wsEnc.Range("A2").Resize(lastR - 1, NCOLS).Value   ' read the export ONCE
    Application.ScreenUpdating = False
    On Error GoTo CleanUp
    For m = 1 To 12
        monthStart = DateSerial(2025, m, 1)
        nextMonth = DateSerial(2025, m + 1, 1)   ' month 13 rolls over to January 2026
        sheetName = Format(monthStart, "yyyy-mm")
        ' 1. Collect this month's inpatient rows in a buffer as big as the export
        ReDim buf(1 To UBound(src, 1), 1 To NCOLS)
        n = 0
        total = 0
        For i = 1 To UBound(src, 1)
            If src(i, 3) = "Inpatient" And src(i, 7) &gt;= monthStart And src(i, 7) &lt; nextMonth Then
                n = n + 1
                For j = 1 To NCOLS
                    buf(n, j) = src(i, j)
                Next j
                total = total + src(i, 11)
            End If
        Next i
        ' 2. A fresh copy of the template, named for the month
        DeleteSheetIfExists sheetName
        wsTpl.Copy After:=ThisWorkbook.Worksheets(ThisWorkbook.Worksheets.Count)
        Set wsPk = ActiveSheet                   ' a copied sheet is always the active one
        wsPk.Name = sheetName
        ' 3. Header block, data, sort
        wsPk.Range("B2").Value = monthStart
        wsPk.Range("B3").Value = n
        wsPk.Range("B4").Value = total
        If n &gt; 0 Then
            ' A range smaller than the array takes just the top-left n rows of it
            wsPk.Range("A7").Resize(n, NCOLS).Value = buf
            wsPk.Range("A6").CurrentRegion.Sort Key1:=wsPk.Range("K6"), Order1:=xlDescending, Header:=xlYes
        End If
        ' 4. Remember the biggest month so far
        If total &gt; bestTotal Then
            bestTotal = total
            bestName = sheetName
        End If
    Next m
    ThisWorkbook.Worksheets("Output").Range("B9").Value = bestName
CleanUp:
    Application.ScreenUpdating = True
    If Err.Number &lt;&gt; 0 Then
        MsgBox "BuildMonthlyPackets stopped: " &amp; Err.Description, vbExclamation
    Else
        MsgBox "12 packets built. Largest month: " &amp; bestName, vbInformation
    End If
End Sub</t>
        </is>
      </c>
      <c r="E5" cm="1" s="47">
        <f t="array" ref="E5">COUNTIFS(Encounters!C2:C2001,"Inpatient",Encounters!G2:G2001,"&gt;="&amp;DATE(2025,3,1),Encounters!G2:G2001,"&lt;"&amp;DATE(2025,4,1))</f>
        <v/>
      </c>
      <c r="F5" s="19" t="inlineStr">
        <is>
          <t>Comparing against the first day of the next month with &lt; catches every admission on the last day of the month, whatever the time. &lt;= DateSerial(2025, 3, 31) would miss a patient admitted at 3/31 14:20, because that datetime is larger than midnight on 3/31. DateSerial(2025, m + 1, 1) works for December too: month 13 rolls over to January 2026. The ReDim buf(1 To UBound(src, 1), …) buffer is as big as the whole export, and Range("A7").Resize(n, 11).Value = buf writes only its top-left n rows.</t>
        </is>
      </c>
    </row>
    <row r="6" ht="81" customHeight="1">
      <c r="A6" s="18" t="inlineStr">
        <is>
          <t>B2</t>
        </is>
      </c>
      <c r="B6" s="19" t="inlineStr">
        <is>
          <t>What total charges does the 2025-07 packet show in its header (cell B4)?</t>
        </is>
      </c>
      <c r="C6" s="48" t="n">
        <v>1362384.7</v>
      </c>
      <c r="D6" s="46" t="inlineStr">
        <is>
          <t>Add each matching row's TotalCharges (`src(i, 11)`) to `total` inside the collecting loop, then write `wsPk.Range("B4").Value = total` after copying the template.</t>
        </is>
      </c>
      <c r="E6" cm="1" s="49">
        <f t="array" ref="E6">SUMIFS(Encounters!K2:K2001,Encounters!C2:C2001,"Inpatient",Encounters!G2:G2001,"&gt;="&amp;DATE(2025,7,1),Encounters!G2:G2001,"&lt;"&amp;DATE(2025,8,1))</f>
        <v/>
      </c>
      <c r="F6" s="19" t="inlineStr">
        <is>
          <t>If every month after January shows a bigger total than the one before, total wasn't reset inside the month loop, so each packet carries the previous months' charges. The same goes for n. Accumulators that belong to one pass of an outer loop must be reset at the top of that pass.</t>
        </is>
      </c>
    </row>
    <row r="7" ht="111" customHeight="1">
      <c r="A7" s="18" t="inlineStr">
        <is>
          <t>B3</t>
        </is>
      </c>
      <c r="B7" s="19" t="inlineStr">
        <is>
          <t>What is the top charge in the 2025-11 packet (TotalCharges in K7, after sorting)?</t>
        </is>
      </c>
      <c r="C7" s="48" t="n">
        <v>144338.01</v>
      </c>
      <c r="D7" s="46" t="inlineStr">
        <is>
          <t>Sort the block that starts at the header row: `wsPk.Range("A6").CurrentRegion.Sort Key1:=wsPk.Range("K6"), Order1:=xlDescending, Header:=xlYes`.</t>
        </is>
      </c>
      <c r="E7" cm="1" s="49">
        <f t="array" ref="E7">MAX(IF((Encounters!C2:C2001="Inpatient")*(Encounters!G2:G2001&gt;=DATE(2025,11,1))*(Encounters!G2:G2001&lt;DATE(2025,12,1)),Encounters!K2:K2001))</f>
        <v/>
      </c>
      <c r="F7" s="19" t="inlineStr">
        <is>
          <t>The template leaves row 5 empty on purpose. CurrentRegion stops at an empty row, so Range("A6").CurrentRegion is the header plus the data and never includes the labels in A2:B4. Without that empty row, the region would reach up to the title and labels in rows 1–4, and the sort would shuffle them in among the encounters. ENC120639 tops the 2025-11 packet at $144,338.01.</t>
        </is>
      </c>
    </row>
    <row r="8" ht="111" customHeight="1">
      <c r="A8" s="18" t="inlineStr">
        <is>
          <t>B4</t>
        </is>
      </c>
      <c r="B8" s="19" t="inlineStr">
        <is>
          <t>Which month's packet has the largest total charges? (The gray cell reads Output!B9.)</t>
        </is>
      </c>
      <c r="C8" s="45" t="inlineStr">
        <is>
          <t>2025-11</t>
        </is>
      </c>
      <c r="D8" s="46" t="inlineStr">
        <is>
          <t>Track a running maximum in the month loop. After each month, `If total &gt; bestTotal Then` store `total` in `bestTotal` and `sheetName` in `bestName`. After `Next m`, write `bestName` to Output!B9.</t>
        </is>
      </c>
      <c r="E8" s="18" t="inlineStr">
        <is>
          <t>—</t>
        </is>
      </c>
      <c r="F8" s="19" t="inlineStr">
        <is>
          <t>2025-11: $1,925,363.45 from 53 stays. The quietest month was 2025-06 ($868,931.28, 31 stays). Output!B9 is formatted as Text because Excel may read a value like 2025-01 written into a General cell as a date (January 2025). The check accepts either form. In the solution, the On Error GoTo CleanUp line sends any error to the cleanup block, which turns ScreenUpdating back on before reporting the problem.</t>
        </is>
      </c>
    </row>
  </sheetData>
  <mergeCells count="1">
    <mergeCell ref="A2:F2"/>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BF9000"/>
    <outlinePr summaryBelow="1" summaryRight="1"/>
    <pageSetUpPr/>
  </sheetPr>
  <dimension ref="A1:K156"/>
  <sheetViews>
    <sheetView tabSelected="0" workbookViewId="0">
      <pane ySplit="6" topLeftCell="A7" activePane="bottomLeft" state="frozen"/>
      <selection pane="bottomLeft" activeCell="A1" sqref="A1"/>
    </sheetView>
  </sheetViews>
  <sheetFormatPr baseColWidth="8" defaultRowHeight="15"/>
  <cols>
    <col width="20" customWidth="1" min="1" max="1"/>
    <col width="16" customWidth="1" min="2" max="2"/>
    <col width="14" customWidth="1" min="3" max="3"/>
    <col width="13" customWidth="1" min="4" max="4"/>
    <col width="13" customWidth="1" min="5" max="5"/>
    <col width="21" customWidth="1" min="6" max="6"/>
    <col width="17" customWidth="1" min="7" max="7"/>
    <col width="18" customWidth="1" min="8" max="8"/>
    <col width="15" customWidth="1" min="9" max="9"/>
    <col width="13" customWidth="1" min="10" max="10"/>
    <col width="14" customWidth="1" min="11" max="11"/>
  </cols>
  <sheetData>
    <row r="1">
      <c r="A1" s="27" t="inlineStr">
        <is>
          <t>Monthly inpatient packet</t>
        </is>
      </c>
      <c r="D1" s="50" t="inlineStr">
        <is>
          <t>Bluestone Health System · Finance</t>
        </is>
      </c>
    </row>
    <row r="2">
      <c r="A2" s="35" t="inlineStr">
        <is>
          <t>Month</t>
        </is>
      </c>
      <c r="B2" s="51" t="n"/>
    </row>
    <row r="3">
      <c r="A3" s="35" t="inlineStr">
        <is>
          <t>Inpatient encounters</t>
        </is>
      </c>
      <c r="B3" s="52" t="n"/>
    </row>
    <row r="4">
      <c r="A4" s="35" t="inlineStr">
        <is>
          <t>Total charges</t>
        </is>
      </c>
      <c r="B4" s="53" t="n"/>
    </row>
    <row r="6">
      <c r="A6" s="29" t="inlineStr">
        <is>
          <t>EncounterID</t>
        </is>
      </c>
      <c r="B6" s="29" t="inlineStr">
        <is>
          <t>PatientID</t>
        </is>
      </c>
      <c r="C6" s="29" t="inlineStr">
        <is>
          <t>EncounterType</t>
        </is>
      </c>
      <c r="D6" s="29" t="inlineStr">
        <is>
          <t>FacilityID</t>
        </is>
      </c>
      <c r="E6" s="29" t="inlineStr">
        <is>
          <t>DeptID</t>
        </is>
      </c>
      <c r="F6" s="29" t="inlineStr">
        <is>
          <t>AdmitSource</t>
        </is>
      </c>
      <c r="G6" s="29" t="inlineStr">
        <is>
          <t>AdmitDateTime</t>
        </is>
      </c>
      <c r="H6" s="29" t="inlineStr">
        <is>
          <t>DischargeDateTime</t>
        </is>
      </c>
      <c r="I6" s="29" t="inlineStr">
        <is>
          <t>PrimaryDxCode</t>
        </is>
      </c>
      <c r="J6" s="29" t="inlineStr">
        <is>
          <t>PayerID</t>
        </is>
      </c>
      <c r="K6" s="29" t="inlineStr">
        <is>
          <t>TotalCharges</t>
        </is>
      </c>
    </row>
    <row r="7">
      <c r="G7" s="32" t="n"/>
      <c r="H7" s="32" t="n"/>
      <c r="K7" s="33" t="n"/>
    </row>
    <row r="8">
      <c r="G8" s="32" t="n"/>
      <c r="H8" s="32" t="n"/>
      <c r="K8" s="33" t="n"/>
    </row>
    <row r="9">
      <c r="G9" s="32" t="n"/>
      <c r="H9" s="32" t="n"/>
      <c r="K9" s="33" t="n"/>
    </row>
    <row r="10">
      <c r="G10" s="32" t="n"/>
      <c r="H10" s="32" t="n"/>
      <c r="K10" s="33" t="n"/>
    </row>
    <row r="11">
      <c r="G11" s="32" t="n"/>
      <c r="H11" s="32" t="n"/>
      <c r="K11" s="33" t="n"/>
    </row>
    <row r="12">
      <c r="G12" s="32" t="n"/>
      <c r="H12" s="32" t="n"/>
      <c r="K12" s="33" t="n"/>
    </row>
    <row r="13">
      <c r="G13" s="32" t="n"/>
      <c r="H13" s="32" t="n"/>
      <c r="K13" s="33" t="n"/>
    </row>
    <row r="14">
      <c r="G14" s="32" t="n"/>
      <c r="H14" s="32" t="n"/>
      <c r="K14" s="33" t="n"/>
    </row>
    <row r="15">
      <c r="G15" s="32" t="n"/>
      <c r="H15" s="32" t="n"/>
      <c r="K15" s="33" t="n"/>
    </row>
    <row r="16">
      <c r="G16" s="32" t="n"/>
      <c r="H16" s="32" t="n"/>
      <c r="K16" s="33" t="n"/>
    </row>
    <row r="17">
      <c r="G17" s="32" t="n"/>
      <c r="H17" s="32" t="n"/>
      <c r="K17" s="33" t="n"/>
    </row>
    <row r="18">
      <c r="G18" s="32" t="n"/>
      <c r="H18" s="32" t="n"/>
      <c r="K18" s="33" t="n"/>
    </row>
    <row r="19">
      <c r="G19" s="32" t="n"/>
      <c r="H19" s="32" t="n"/>
      <c r="K19" s="33" t="n"/>
    </row>
    <row r="20">
      <c r="G20" s="32" t="n"/>
      <c r="H20" s="32" t="n"/>
      <c r="K20" s="33" t="n"/>
    </row>
    <row r="21">
      <c r="G21" s="32" t="n"/>
      <c r="H21" s="32" t="n"/>
      <c r="K21" s="33" t="n"/>
    </row>
    <row r="22">
      <c r="G22" s="32" t="n"/>
      <c r="H22" s="32" t="n"/>
      <c r="K22" s="33" t="n"/>
    </row>
    <row r="23">
      <c r="G23" s="32" t="n"/>
      <c r="H23" s="32" t="n"/>
      <c r="K23" s="33" t="n"/>
    </row>
    <row r="24">
      <c r="G24" s="32" t="n"/>
      <c r="H24" s="32" t="n"/>
      <c r="K24" s="33" t="n"/>
    </row>
    <row r="25">
      <c r="G25" s="32" t="n"/>
      <c r="H25" s="32" t="n"/>
      <c r="K25" s="33" t="n"/>
    </row>
    <row r="26">
      <c r="G26" s="32" t="n"/>
      <c r="H26" s="32" t="n"/>
      <c r="K26" s="33" t="n"/>
    </row>
    <row r="27">
      <c r="G27" s="32" t="n"/>
      <c r="H27" s="32" t="n"/>
      <c r="K27" s="33" t="n"/>
    </row>
    <row r="28">
      <c r="G28" s="32" t="n"/>
      <c r="H28" s="32" t="n"/>
      <c r="K28" s="33" t="n"/>
    </row>
    <row r="29">
      <c r="G29" s="32" t="n"/>
      <c r="H29" s="32" t="n"/>
      <c r="K29" s="33" t="n"/>
    </row>
    <row r="30">
      <c r="G30" s="32" t="n"/>
      <c r="H30" s="32" t="n"/>
      <c r="K30" s="33" t="n"/>
    </row>
    <row r="31">
      <c r="G31" s="32" t="n"/>
      <c r="H31" s="32" t="n"/>
      <c r="K31" s="33" t="n"/>
    </row>
    <row r="32">
      <c r="G32" s="32" t="n"/>
      <c r="H32" s="32" t="n"/>
      <c r="K32" s="33" t="n"/>
    </row>
    <row r="33">
      <c r="G33" s="32" t="n"/>
      <c r="H33" s="32" t="n"/>
      <c r="K33" s="33" t="n"/>
    </row>
    <row r="34">
      <c r="G34" s="32" t="n"/>
      <c r="H34" s="32" t="n"/>
      <c r="K34" s="33" t="n"/>
    </row>
    <row r="35">
      <c r="G35" s="32" t="n"/>
      <c r="H35" s="32" t="n"/>
      <c r="K35" s="33" t="n"/>
    </row>
    <row r="36">
      <c r="G36" s="32" t="n"/>
      <c r="H36" s="32" t="n"/>
      <c r="K36" s="33" t="n"/>
    </row>
    <row r="37">
      <c r="G37" s="32" t="n"/>
      <c r="H37" s="32" t="n"/>
      <c r="K37" s="33" t="n"/>
    </row>
    <row r="38">
      <c r="G38" s="32" t="n"/>
      <c r="H38" s="32" t="n"/>
      <c r="K38" s="33" t="n"/>
    </row>
    <row r="39">
      <c r="G39" s="32" t="n"/>
      <c r="H39" s="32" t="n"/>
      <c r="K39" s="33" t="n"/>
    </row>
    <row r="40">
      <c r="G40" s="32" t="n"/>
      <c r="H40" s="32" t="n"/>
      <c r="K40" s="33" t="n"/>
    </row>
    <row r="41">
      <c r="G41" s="32" t="n"/>
      <c r="H41" s="32" t="n"/>
      <c r="K41" s="33" t="n"/>
    </row>
    <row r="42">
      <c r="G42" s="32" t="n"/>
      <c r="H42" s="32" t="n"/>
      <c r="K42" s="33" t="n"/>
    </row>
    <row r="43">
      <c r="G43" s="32" t="n"/>
      <c r="H43" s="32" t="n"/>
      <c r="K43" s="33" t="n"/>
    </row>
    <row r="44">
      <c r="G44" s="32" t="n"/>
      <c r="H44" s="32" t="n"/>
      <c r="K44" s="33" t="n"/>
    </row>
    <row r="45">
      <c r="G45" s="32" t="n"/>
      <c r="H45" s="32" t="n"/>
      <c r="K45" s="33" t="n"/>
    </row>
    <row r="46">
      <c r="G46" s="32" t="n"/>
      <c r="H46" s="32" t="n"/>
      <c r="K46" s="33" t="n"/>
    </row>
    <row r="47">
      <c r="G47" s="32" t="n"/>
      <c r="H47" s="32" t="n"/>
      <c r="K47" s="33" t="n"/>
    </row>
    <row r="48">
      <c r="G48" s="32" t="n"/>
      <c r="H48" s="32" t="n"/>
      <c r="K48" s="33" t="n"/>
    </row>
    <row r="49">
      <c r="G49" s="32" t="n"/>
      <c r="H49" s="32" t="n"/>
      <c r="K49" s="33" t="n"/>
    </row>
    <row r="50">
      <c r="G50" s="32" t="n"/>
      <c r="H50" s="32" t="n"/>
      <c r="K50" s="33" t="n"/>
    </row>
    <row r="51">
      <c r="G51" s="32" t="n"/>
      <c r="H51" s="32" t="n"/>
      <c r="K51" s="33" t="n"/>
    </row>
    <row r="52">
      <c r="G52" s="32" t="n"/>
      <c r="H52" s="32" t="n"/>
      <c r="K52" s="33" t="n"/>
    </row>
    <row r="53">
      <c r="G53" s="32" t="n"/>
      <c r="H53" s="32" t="n"/>
      <c r="K53" s="33" t="n"/>
    </row>
    <row r="54">
      <c r="G54" s="32" t="n"/>
      <c r="H54" s="32" t="n"/>
      <c r="K54" s="33" t="n"/>
    </row>
    <row r="55">
      <c r="G55" s="32" t="n"/>
      <c r="H55" s="32" t="n"/>
      <c r="K55" s="33" t="n"/>
    </row>
    <row r="56">
      <c r="G56" s="32" t="n"/>
      <c r="H56" s="32" t="n"/>
      <c r="K56" s="33" t="n"/>
    </row>
    <row r="57">
      <c r="G57" s="32" t="n"/>
      <c r="H57" s="32" t="n"/>
      <c r="K57" s="33" t="n"/>
    </row>
    <row r="58">
      <c r="G58" s="32" t="n"/>
      <c r="H58" s="32" t="n"/>
      <c r="K58" s="33" t="n"/>
    </row>
    <row r="59">
      <c r="G59" s="32" t="n"/>
      <c r="H59" s="32" t="n"/>
      <c r="K59" s="33" t="n"/>
    </row>
    <row r="60">
      <c r="G60" s="32" t="n"/>
      <c r="H60" s="32" t="n"/>
      <c r="K60" s="33" t="n"/>
    </row>
    <row r="61">
      <c r="G61" s="32" t="n"/>
      <c r="H61" s="32" t="n"/>
      <c r="K61" s="33" t="n"/>
    </row>
    <row r="62">
      <c r="G62" s="32" t="n"/>
      <c r="H62" s="32" t="n"/>
      <c r="K62" s="33" t="n"/>
    </row>
    <row r="63">
      <c r="G63" s="32" t="n"/>
      <c r="H63" s="32" t="n"/>
      <c r="K63" s="33" t="n"/>
    </row>
    <row r="64">
      <c r="G64" s="32" t="n"/>
      <c r="H64" s="32" t="n"/>
      <c r="K64" s="33" t="n"/>
    </row>
    <row r="65">
      <c r="G65" s="32" t="n"/>
      <c r="H65" s="32" t="n"/>
      <c r="K65" s="33" t="n"/>
    </row>
    <row r="66">
      <c r="G66" s="32" t="n"/>
      <c r="H66" s="32" t="n"/>
      <c r="K66" s="33" t="n"/>
    </row>
    <row r="67">
      <c r="G67" s="32" t="n"/>
      <c r="H67" s="32" t="n"/>
      <c r="K67" s="33" t="n"/>
    </row>
    <row r="68">
      <c r="G68" s="32" t="n"/>
      <c r="H68" s="32" t="n"/>
      <c r="K68" s="33" t="n"/>
    </row>
    <row r="69">
      <c r="G69" s="32" t="n"/>
      <c r="H69" s="32" t="n"/>
      <c r="K69" s="33" t="n"/>
    </row>
    <row r="70">
      <c r="G70" s="32" t="n"/>
      <c r="H70" s="32" t="n"/>
      <c r="K70" s="33" t="n"/>
    </row>
    <row r="71">
      <c r="G71" s="32" t="n"/>
      <c r="H71" s="32" t="n"/>
      <c r="K71" s="33" t="n"/>
    </row>
    <row r="72">
      <c r="G72" s="32" t="n"/>
      <c r="H72" s="32" t="n"/>
      <c r="K72" s="33" t="n"/>
    </row>
    <row r="73">
      <c r="G73" s="32" t="n"/>
      <c r="H73" s="32" t="n"/>
      <c r="K73" s="33" t="n"/>
    </row>
    <row r="74">
      <c r="G74" s="32" t="n"/>
      <c r="H74" s="32" t="n"/>
      <c r="K74" s="33" t="n"/>
    </row>
    <row r="75">
      <c r="G75" s="32" t="n"/>
      <c r="H75" s="32" t="n"/>
      <c r="K75" s="33" t="n"/>
    </row>
    <row r="76">
      <c r="G76" s="32" t="n"/>
      <c r="H76" s="32" t="n"/>
      <c r="K76" s="33" t="n"/>
    </row>
    <row r="77">
      <c r="G77" s="32" t="n"/>
      <c r="H77" s="32" t="n"/>
      <c r="K77" s="33" t="n"/>
    </row>
    <row r="78">
      <c r="G78" s="32" t="n"/>
      <c r="H78" s="32" t="n"/>
      <c r="K78" s="33" t="n"/>
    </row>
    <row r="79">
      <c r="G79" s="32" t="n"/>
      <c r="H79" s="32" t="n"/>
      <c r="K79" s="33" t="n"/>
    </row>
    <row r="80">
      <c r="G80" s="32" t="n"/>
      <c r="H80" s="32" t="n"/>
      <c r="K80" s="33" t="n"/>
    </row>
    <row r="81">
      <c r="G81" s="32" t="n"/>
      <c r="H81" s="32" t="n"/>
      <c r="K81" s="33" t="n"/>
    </row>
    <row r="82">
      <c r="G82" s="32" t="n"/>
      <c r="H82" s="32" t="n"/>
      <c r="K82" s="33" t="n"/>
    </row>
    <row r="83">
      <c r="G83" s="32" t="n"/>
      <c r="H83" s="32" t="n"/>
      <c r="K83" s="33" t="n"/>
    </row>
    <row r="84">
      <c r="G84" s="32" t="n"/>
      <c r="H84" s="32" t="n"/>
      <c r="K84" s="33" t="n"/>
    </row>
    <row r="85">
      <c r="G85" s="32" t="n"/>
      <c r="H85" s="32" t="n"/>
      <c r="K85" s="33" t="n"/>
    </row>
    <row r="86">
      <c r="G86" s="32" t="n"/>
      <c r="H86" s="32" t="n"/>
      <c r="K86" s="33" t="n"/>
    </row>
    <row r="87">
      <c r="G87" s="32" t="n"/>
      <c r="H87" s="32" t="n"/>
      <c r="K87" s="33" t="n"/>
    </row>
    <row r="88">
      <c r="G88" s="32" t="n"/>
      <c r="H88" s="32" t="n"/>
      <c r="K88" s="33" t="n"/>
    </row>
    <row r="89">
      <c r="G89" s="32" t="n"/>
      <c r="H89" s="32" t="n"/>
      <c r="K89" s="33" t="n"/>
    </row>
    <row r="90">
      <c r="G90" s="32" t="n"/>
      <c r="H90" s="32" t="n"/>
      <c r="K90" s="33" t="n"/>
    </row>
    <row r="91">
      <c r="G91" s="32" t="n"/>
      <c r="H91" s="32" t="n"/>
      <c r="K91" s="33" t="n"/>
    </row>
    <row r="92">
      <c r="G92" s="32" t="n"/>
      <c r="H92" s="32" t="n"/>
      <c r="K92" s="33" t="n"/>
    </row>
    <row r="93">
      <c r="G93" s="32" t="n"/>
      <c r="H93" s="32" t="n"/>
      <c r="K93" s="33" t="n"/>
    </row>
    <row r="94">
      <c r="G94" s="32" t="n"/>
      <c r="H94" s="32" t="n"/>
      <c r="K94" s="33" t="n"/>
    </row>
    <row r="95">
      <c r="G95" s="32" t="n"/>
      <c r="H95" s="32" t="n"/>
      <c r="K95" s="33" t="n"/>
    </row>
    <row r="96">
      <c r="G96" s="32" t="n"/>
      <c r="H96" s="32" t="n"/>
      <c r="K96" s="33" t="n"/>
    </row>
    <row r="97">
      <c r="G97" s="32" t="n"/>
      <c r="H97" s="32" t="n"/>
      <c r="K97" s="33" t="n"/>
    </row>
    <row r="98">
      <c r="G98" s="32" t="n"/>
      <c r="H98" s="32" t="n"/>
      <c r="K98" s="33" t="n"/>
    </row>
    <row r="99">
      <c r="G99" s="32" t="n"/>
      <c r="H99" s="32" t="n"/>
      <c r="K99" s="33" t="n"/>
    </row>
    <row r="100">
      <c r="G100" s="32" t="n"/>
      <c r="H100" s="32" t="n"/>
      <c r="K100" s="33" t="n"/>
    </row>
    <row r="101">
      <c r="G101" s="32" t="n"/>
      <c r="H101" s="32" t="n"/>
      <c r="K101" s="33" t="n"/>
    </row>
    <row r="102">
      <c r="G102" s="32" t="n"/>
      <c r="H102" s="32" t="n"/>
      <c r="K102" s="33" t="n"/>
    </row>
    <row r="103">
      <c r="G103" s="32" t="n"/>
      <c r="H103" s="32" t="n"/>
      <c r="K103" s="33" t="n"/>
    </row>
    <row r="104">
      <c r="G104" s="32" t="n"/>
      <c r="H104" s="32" t="n"/>
      <c r="K104" s="33" t="n"/>
    </row>
    <row r="105">
      <c r="G105" s="32" t="n"/>
      <c r="H105" s="32" t="n"/>
      <c r="K105" s="33" t="n"/>
    </row>
    <row r="106">
      <c r="G106" s="32" t="n"/>
      <c r="H106" s="32" t="n"/>
      <c r="K106" s="33" t="n"/>
    </row>
    <row r="107">
      <c r="G107" s="32" t="n"/>
      <c r="H107" s="32" t="n"/>
      <c r="K107" s="33" t="n"/>
    </row>
    <row r="108">
      <c r="G108" s="32" t="n"/>
      <c r="H108" s="32" t="n"/>
      <c r="K108" s="33" t="n"/>
    </row>
    <row r="109">
      <c r="G109" s="32" t="n"/>
      <c r="H109" s="32" t="n"/>
      <c r="K109" s="33" t="n"/>
    </row>
    <row r="110">
      <c r="G110" s="32" t="n"/>
      <c r="H110" s="32" t="n"/>
      <c r="K110" s="33" t="n"/>
    </row>
    <row r="111">
      <c r="G111" s="32" t="n"/>
      <c r="H111" s="32" t="n"/>
      <c r="K111" s="33" t="n"/>
    </row>
    <row r="112">
      <c r="G112" s="32" t="n"/>
      <c r="H112" s="32" t="n"/>
      <c r="K112" s="33" t="n"/>
    </row>
    <row r="113">
      <c r="G113" s="32" t="n"/>
      <c r="H113" s="32" t="n"/>
      <c r="K113" s="33" t="n"/>
    </row>
    <row r="114">
      <c r="G114" s="32" t="n"/>
      <c r="H114" s="32" t="n"/>
      <c r="K114" s="33" t="n"/>
    </row>
    <row r="115">
      <c r="G115" s="32" t="n"/>
      <c r="H115" s="32" t="n"/>
      <c r="K115" s="33" t="n"/>
    </row>
    <row r="116">
      <c r="G116" s="32" t="n"/>
      <c r="H116" s="32" t="n"/>
      <c r="K116" s="33" t="n"/>
    </row>
    <row r="117">
      <c r="G117" s="32" t="n"/>
      <c r="H117" s="32" t="n"/>
      <c r="K117" s="33" t="n"/>
    </row>
    <row r="118">
      <c r="G118" s="32" t="n"/>
      <c r="H118" s="32" t="n"/>
      <c r="K118" s="33" t="n"/>
    </row>
    <row r="119">
      <c r="G119" s="32" t="n"/>
      <c r="H119" s="32" t="n"/>
      <c r="K119" s="33" t="n"/>
    </row>
    <row r="120">
      <c r="G120" s="32" t="n"/>
      <c r="H120" s="32" t="n"/>
      <c r="K120" s="33" t="n"/>
    </row>
    <row r="121">
      <c r="G121" s="32" t="n"/>
      <c r="H121" s="32" t="n"/>
      <c r="K121" s="33" t="n"/>
    </row>
    <row r="122">
      <c r="G122" s="32" t="n"/>
      <c r="H122" s="32" t="n"/>
      <c r="K122" s="33" t="n"/>
    </row>
    <row r="123">
      <c r="G123" s="32" t="n"/>
      <c r="H123" s="32" t="n"/>
      <c r="K123" s="33" t="n"/>
    </row>
    <row r="124">
      <c r="G124" s="32" t="n"/>
      <c r="H124" s="32" t="n"/>
      <c r="K124" s="33" t="n"/>
    </row>
    <row r="125">
      <c r="G125" s="32" t="n"/>
      <c r="H125" s="32" t="n"/>
      <c r="K125" s="33" t="n"/>
    </row>
    <row r="126">
      <c r="G126" s="32" t="n"/>
      <c r="H126" s="32" t="n"/>
      <c r="K126" s="33" t="n"/>
    </row>
    <row r="127">
      <c r="G127" s="32" t="n"/>
      <c r="H127" s="32" t="n"/>
      <c r="K127" s="33" t="n"/>
    </row>
    <row r="128">
      <c r="G128" s="32" t="n"/>
      <c r="H128" s="32" t="n"/>
      <c r="K128" s="33" t="n"/>
    </row>
    <row r="129">
      <c r="G129" s="32" t="n"/>
      <c r="H129" s="32" t="n"/>
      <c r="K129" s="33" t="n"/>
    </row>
    <row r="130">
      <c r="G130" s="32" t="n"/>
      <c r="H130" s="32" t="n"/>
      <c r="K130" s="33" t="n"/>
    </row>
    <row r="131">
      <c r="G131" s="32" t="n"/>
      <c r="H131" s="32" t="n"/>
      <c r="K131" s="33" t="n"/>
    </row>
    <row r="132">
      <c r="G132" s="32" t="n"/>
      <c r="H132" s="32" t="n"/>
      <c r="K132" s="33" t="n"/>
    </row>
    <row r="133">
      <c r="G133" s="32" t="n"/>
      <c r="H133" s="32" t="n"/>
      <c r="K133" s="33" t="n"/>
    </row>
    <row r="134">
      <c r="G134" s="32" t="n"/>
      <c r="H134" s="32" t="n"/>
      <c r="K134" s="33" t="n"/>
    </row>
    <row r="135">
      <c r="G135" s="32" t="n"/>
      <c r="H135" s="32" t="n"/>
      <c r="K135" s="33" t="n"/>
    </row>
    <row r="136">
      <c r="G136" s="32" t="n"/>
      <c r="H136" s="32" t="n"/>
      <c r="K136" s="33" t="n"/>
    </row>
    <row r="137">
      <c r="G137" s="32" t="n"/>
      <c r="H137" s="32" t="n"/>
      <c r="K137" s="33" t="n"/>
    </row>
    <row r="138">
      <c r="G138" s="32" t="n"/>
      <c r="H138" s="32" t="n"/>
      <c r="K138" s="33" t="n"/>
    </row>
    <row r="139">
      <c r="G139" s="32" t="n"/>
      <c r="H139" s="32" t="n"/>
      <c r="K139" s="33" t="n"/>
    </row>
    <row r="140">
      <c r="G140" s="32" t="n"/>
      <c r="H140" s="32" t="n"/>
      <c r="K140" s="33" t="n"/>
    </row>
    <row r="141">
      <c r="G141" s="32" t="n"/>
      <c r="H141" s="32" t="n"/>
      <c r="K141" s="33" t="n"/>
    </row>
    <row r="142">
      <c r="G142" s="32" t="n"/>
      <c r="H142" s="32" t="n"/>
      <c r="K142" s="33" t="n"/>
    </row>
    <row r="143">
      <c r="G143" s="32" t="n"/>
      <c r="H143" s="32" t="n"/>
      <c r="K143" s="33" t="n"/>
    </row>
    <row r="144">
      <c r="G144" s="32" t="n"/>
      <c r="H144" s="32" t="n"/>
      <c r="K144" s="33" t="n"/>
    </row>
    <row r="145">
      <c r="G145" s="32" t="n"/>
      <c r="H145" s="32" t="n"/>
      <c r="K145" s="33" t="n"/>
    </row>
    <row r="146">
      <c r="G146" s="32" t="n"/>
      <c r="H146" s="32" t="n"/>
      <c r="K146" s="33" t="n"/>
    </row>
    <row r="147">
      <c r="G147" s="32" t="n"/>
      <c r="H147" s="32" t="n"/>
      <c r="K147" s="33" t="n"/>
    </row>
    <row r="148">
      <c r="G148" s="32" t="n"/>
      <c r="H148" s="32" t="n"/>
      <c r="K148" s="33" t="n"/>
    </row>
    <row r="149">
      <c r="G149" s="32" t="n"/>
      <c r="H149" s="32" t="n"/>
      <c r="K149" s="33" t="n"/>
    </row>
    <row r="150">
      <c r="G150" s="32" t="n"/>
      <c r="H150" s="32" t="n"/>
      <c r="K150" s="33" t="n"/>
    </row>
    <row r="151">
      <c r="G151" s="32" t="n"/>
      <c r="H151" s="32" t="n"/>
      <c r="K151" s="33" t="n"/>
    </row>
    <row r="152">
      <c r="G152" s="32" t="n"/>
      <c r="H152" s="32" t="n"/>
      <c r="K152" s="33" t="n"/>
    </row>
    <row r="153">
      <c r="G153" s="32" t="n"/>
      <c r="H153" s="32" t="n"/>
      <c r="K153" s="33" t="n"/>
    </row>
    <row r="154">
      <c r="G154" s="32" t="n"/>
      <c r="H154" s="32" t="n"/>
      <c r="K154" s="33" t="n"/>
    </row>
    <row r="155">
      <c r="G155" s="32" t="n"/>
      <c r="H155" s="32" t="n"/>
      <c r="K155" s="33" t="n"/>
    </row>
    <row r="156">
      <c r="G156" s="32" t="n"/>
      <c r="H156" s="32" t="n"/>
      <c r="K156" s="3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5.3 — VBA: Ranges, Worksheets &amp; Workbooks</dc:title>
  <dcterms:created xsi:type="dcterms:W3CDTF">2026-10-02T16:03:59Z</dcterms:created>
  <dcterms:modified xsi:type="dcterms:W3CDTF">2026-10-02T16:03:59Z</dcterms:modified>
</cp:coreProperties>
</file>
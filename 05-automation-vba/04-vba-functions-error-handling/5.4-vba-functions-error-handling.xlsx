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Patients" sheetId="3" state="visible" r:id="rId3"/>
    <sheet name="Encounters" sheetId="4" state="visible" r:id="rId4"/>
    <sheet name="Claims" sheetId="5" state="visible" r:id="rId5"/>
    <sheet name="Payers" sheetId="6" state="visible" r:id="rId6"/>
    <sheet name="Output" sheetId="7" state="visible" r:id="rId7"/>
    <sheet name="Snippets" sheetId="8" state="visible" r:id="rId8"/>
    <sheet name="Bonus" sheetId="9" state="visible" r:id="rId9"/>
    <sheet name="Answer Key" sheetId="10" state="hidden" r:id="rId10"/>
    <sheet name="Bonus Key" sheetId="11" state="hidden" r:id="rId11"/>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6">
    <numFmt numFmtId="164" formatCode="yyyy-mm-dd"/>
    <numFmt numFmtId="165" formatCode="mm/dd/yyyy"/>
    <numFmt numFmtId="166" formatCode="0.0"/>
    <numFmt numFmtId="167" formatCode="yyyy-mm-dd h:mm:ss"/>
    <numFmt numFmtId="168" formatCode="mm/dd/yyyy hh:mm"/>
    <numFmt numFmtId="169" formatCode="0.0%"/>
  </numFmts>
  <fonts count="18">
    <font>
      <name val="Calibri"/>
      <family val="2"/>
      <color theme="1"/>
      <sz val="11"/>
      <scheme val="minor"/>
    </font>
    <font>
      <b val="1"/>
    </font>
    <font>
      <b val="1"/>
      <color rgb="00000000"/>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
      <b val="1"/>
      <color rgb="001F4E79"/>
      <sz val="14"/>
    </font>
  </fonts>
  <fills count="11">
    <fill>
      <patternFill/>
    </fill>
    <fill>
      <patternFill patternType="gray125"/>
    </fill>
    <fill>
      <patternFill patternType="solid">
        <fgColor rgb="00FFD966"/>
      </patternFill>
    </fill>
    <fill>
      <patternFill patternType="solid">
        <fgColor rgb="00FFF2CC"/>
      </patternFill>
    </fill>
    <fill>
      <patternFill patternType="solid">
        <fgColor rgb="007B2C2C"/>
      </patternFill>
    </fill>
    <fill>
      <patternFill patternType="solid">
        <fgColor rgb="001F4E79"/>
      </patternFill>
    </fill>
    <fill>
      <patternFill patternType="solid">
        <fgColor rgb="00EDEDED"/>
      </patternFill>
    </fill>
    <fill>
      <patternFill patternType="solid">
        <fgColor rgb="00C6EFCE"/>
      </patternFill>
    </fill>
    <fill>
      <patternFill patternType="solid">
        <fgColor rgb="00FFC7CE"/>
      </patternFill>
    </fill>
    <fill>
      <patternFill patternType="solid">
        <fgColor rgb="00E2EFDA"/>
      </patternFill>
    </fill>
    <fill>
      <patternFill patternType="solid">
        <fgColor rgb="00F3F3F3"/>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56">
    <xf numFmtId="0" fontId="0" fillId="0" borderId="0" pivotButton="0" quotePrefix="0" xfId="0"/>
    <xf numFmtId="0" fontId="13" fillId="0" borderId="0" pivotButton="0" quotePrefix="0" xfId="0"/>
    <xf numFmtId="0" fontId="14" fillId="0" borderId="0" pivotButton="0" quotePrefix="0" xfId="0"/>
    <xf numFmtId="0" fontId="4" fillId="0" borderId="0" pivotButton="0" quotePrefix="0" xfId="0"/>
    <xf numFmtId="0" fontId="15" fillId="5" borderId="0" pivotButton="0" quotePrefix="0" xfId="0"/>
    <xf numFmtId="0" fontId="0" fillId="5" borderId="0" pivotButton="0" quotePrefix="0" xfId="0"/>
    <xf numFmtId="0" fontId="16"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2" fillId="0" borderId="0" pivotButton="0" quotePrefix="0" xfId="0"/>
    <xf numFmtId="0" fontId="5" fillId="5"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0" fillId="0" borderId="1" applyAlignment="1" pivotButton="0" quotePrefix="0" xfId="0">
      <alignment vertical="top" wrapText="1"/>
    </xf>
    <xf numFmtId="2" fontId="0" fillId="3" borderId="2" applyAlignment="1" pivotButton="0" quotePrefix="0" xfId="0">
      <alignment horizontal="right" vertical="top"/>
    </xf>
    <xf numFmtId="0" fontId="1" fillId="0" borderId="1" applyAlignment="1" pivotButton="0" quotePrefix="0" xfId="0">
      <alignment vertical="top"/>
    </xf>
    <xf numFmtId="0" fontId="11" fillId="6" borderId="1" applyAlignment="1" pivotButton="0" quotePrefix="0" xfId="0">
      <alignment horizontal="right" vertical="top"/>
    </xf>
    <xf numFmtId="2" fontId="11" fillId="6" borderId="1" applyAlignment="1" pivotButton="0" quotePrefix="0" xfId="0">
      <alignment horizontal="right" vertical="top"/>
    </xf>
    <xf numFmtId="169" fontId="0" fillId="3" borderId="2" applyAlignment="1" pivotButton="0" quotePrefix="0" xfId="0">
      <alignment horizontal="right" vertical="top"/>
    </xf>
    <xf numFmtId="0" fontId="0" fillId="3" borderId="2" applyAlignment="1" pivotButton="0" quotePrefix="0" xfId="0">
      <alignment horizontal="right" vertical="top"/>
    </xf>
    <xf numFmtId="0" fontId="11" fillId="6" borderId="1" applyAlignment="1" pivotButton="0" quotePrefix="0" xfId="0">
      <alignment horizontal="left" vertical="top"/>
    </xf>
    <xf numFmtId="0" fontId="1" fillId="0" borderId="0" pivotButton="0" quotePrefix="0" xfId="0"/>
    <xf numFmtId="0" fontId="2" fillId="2" borderId="0" pivotButton="0" quotePrefix="0" xfId="0"/>
    <xf numFmtId="165" fontId="0" fillId="0" borderId="0" pivotButton="0" quotePrefix="0" xfId="0"/>
    <xf numFmtId="166" fontId="0" fillId="0" borderId="0" pivotButton="0" quotePrefix="0" xfId="0"/>
    <xf numFmtId="166" fontId="0" fillId="3" borderId="0" pivotButton="0" quotePrefix="0" xfId="0"/>
    <xf numFmtId="168" fontId="0" fillId="0" borderId="0" pivotButton="0" quotePrefix="0" xfId="0"/>
    <xf numFmtId="1" fontId="0" fillId="3" borderId="0" pivotButton="0" quotePrefix="0" xfId="0"/>
    <xf numFmtId="4" fontId="0" fillId="0" borderId="0" pivotButton="0" quotePrefix="0" xfId="0"/>
    <xf numFmtId="0" fontId="17" fillId="0" borderId="0" pivotButton="0" quotePrefix="0" xfId="0"/>
    <xf numFmtId="0" fontId="4" fillId="0" borderId="0" applyAlignment="1" pivotButton="0" quotePrefix="0" xfId="0">
      <alignment vertical="top" wrapText="1"/>
    </xf>
    <xf numFmtId="0" fontId="5" fillId="5" borderId="1" applyAlignment="1" pivotButton="0" quotePrefix="0" xfId="0">
      <alignment vertical="top" wrapText="1"/>
    </xf>
    <xf numFmtId="0" fontId="0" fillId="9" borderId="1" applyAlignment="1" pivotButton="0" quotePrefix="0" xfId="0">
      <alignment vertical="top" wrapText="1"/>
    </xf>
    <xf numFmtId="0" fontId="5" fillId="5" borderId="0" pivotButton="0" quotePrefix="0" xfId="0"/>
    <xf numFmtId="0" fontId="6" fillId="10" borderId="0" pivotButton="0" quotePrefix="0" xfId="0"/>
    <xf numFmtId="169" fontId="11" fillId="6" borderId="1" applyAlignment="1" pivotButton="0" quotePrefix="0" xfId="0">
      <alignment horizontal="right" vertical="top"/>
    </xf>
    <xf numFmtId="4" fontId="11" fillId="6" borderId="1" applyAlignment="1" pivotButton="0" quotePrefix="0" xfId="0">
      <alignment horizontal="right" vertical="top"/>
    </xf>
    <xf numFmtId="0" fontId="0" fillId="3" borderId="2" applyAlignment="1" pivotButton="0" quotePrefix="0" xfId="0">
      <alignment horizontal="left" vertical="top"/>
    </xf>
    <xf numFmtId="0" fontId="3" fillId="0" borderId="0" pivotButton="0" quotePrefix="0" xfId="0"/>
    <xf numFmtId="0" fontId="5" fillId="4" borderId="1" pivotButton="0" quotePrefix="0" xfId="0"/>
    <xf numFmtId="2" fontId="1" fillId="0" borderId="1" applyAlignment="1" pivotButton="0" quotePrefix="0" xfId="0">
      <alignment vertical="top" wrapText="1"/>
    </xf>
    <xf numFmtId="0" fontId="6" fillId="0" borderId="1" applyAlignment="1" pivotButton="0" quotePrefix="1" xfId="0">
      <alignment vertical="top" wrapText="1"/>
    </xf>
    <xf numFmtId="2" fontId="0" fillId="0" borderId="1" applyAlignment="1" pivotButton="0" quotePrefix="0" xfId="0">
      <alignment vertical="top"/>
    </xf>
    <xf numFmtId="0" fontId="1" fillId="0" borderId="1" applyAlignment="1" pivotButton="0" quotePrefix="0" xfId="0">
      <alignment vertical="top" wrapText="1"/>
    </xf>
    <xf numFmtId="0" fontId="0" fillId="0" borderId="1" applyAlignment="1" pivotButton="0" quotePrefix="0" xfId="0">
      <alignment vertical="top"/>
    </xf>
    <xf numFmtId="169" fontId="1" fillId="0" borderId="1" applyAlignment="1" pivotButton="0" quotePrefix="0" xfId="0">
      <alignment vertical="top" wrapText="1"/>
    </xf>
    <xf numFmtId="169" fontId="0" fillId="0" borderId="1" applyAlignment="1" pivotButton="0" quotePrefix="0" xfId="0">
      <alignment vertical="top"/>
    </xf>
    <xf numFmtId="4" fontId="1" fillId="0" borderId="1" applyAlignment="1" pivotButton="0" quotePrefix="0" xfId="0">
      <alignment vertical="top" wrapText="1"/>
    </xf>
    <xf numFmtId="4" fontId="0" fillId="0" borderId="1" applyAlignment="1" pivotButton="0" quotePrefix="0" xfId="0">
      <alignment vertical="top"/>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 Id="rIdXlcMeta" Type="http://schemas.openxmlformats.org/officeDocument/2006/relationships/sheetMetadata" Target="metadata.xml"/></Relationships>
</file>

<file path=xl/tables/table1.xml><?xml version="1.0" encoding="utf-8"?>
<table xmlns="http://schemas.openxmlformats.org/spreadsheetml/2006/main" id="1" name="tblPatients" displayName="tblPatients" ref="A1:H592" headerRowCount="1">
  <autoFilter ref="A1:H592"/>
  <tableColumns count="8">
    <tableColumn id="1" name="PatientID"/>
    <tableColumn id="2" name="FirstName"/>
    <tableColumn id="3" name="LastName"/>
    <tableColumn id="4" name="Sex"/>
    <tableColumn id="5" name="DOB"/>
    <tableColumn id="6" name="HeightIn"/>
    <tableColumn id="7" name="WeightLb"/>
    <tableColumn id="8" name="BMI"/>
  </tableColumns>
  <tableStyleInfo name="TableStyleMedium2" showRowStripes="1"/>
</table>
</file>

<file path=xl/tables/table2.xml><?xml version="1.0" encoding="utf-8"?>
<table xmlns="http://schemas.openxmlformats.org/spreadsheetml/2006/main" id="2" name="tblEncounters" displayName="tblEncounters" ref="A1:H506" headerRowCount="1">
  <autoFilter ref="A1:H506"/>
  <tableColumns count="8">
    <tableColumn id="1" name="EncounterID"/>
    <tableColumn id="2" name="PatientID"/>
    <tableColumn id="3" name="EncounterType"/>
    <tableColumn id="4" name="DOB"/>
    <tableColumn id="5" name="AdmitDateTime"/>
    <tableColumn id="6" name="DischargeDateTime"/>
    <tableColumn id="7" name="AgeAtAdmit"/>
    <tableColumn id="8" name="LOSDays"/>
  </tableColumns>
  <tableStyleInfo name="TableStyleMedium2" showRowStripes="1"/>
</table>
</file>

<file path=xl/tables/table3.xml><?xml version="1.0" encoding="utf-8"?>
<table xmlns="http://schemas.openxmlformats.org/spreadsheetml/2006/main" id="3" name="tblClaims" displayName="tblClaims" ref="A1:I1094" headerRowCount="1">
  <autoFilter ref="A1:I1094"/>
  <tableColumns count="9">
    <tableColumn id="1" name="ClaimID"/>
    <tableColumn id="2" name="PatientID"/>
    <tableColumn id="3" name="PayerID"/>
    <tableColumn id="4" name="ServiceDate"/>
    <tableColumn id="5" name="BilledAmount"/>
    <tableColumn id="6" name="AllowedAmount"/>
    <tableColumn id="7" name="PaidAmount"/>
    <tableColumn id="8" name="ClaimStatus"/>
    <tableColumn id="9" name="DenialReason"/>
  </tableColumns>
  <tableStyleInfo name="TableStyleMedium2" showRowStripes="1"/>
</table>
</file>

<file path=xl/tables/table4.xml><?xml version="1.0" encoding="utf-8"?>
<table xmlns="http://schemas.openxmlformats.org/spreadsheetml/2006/main" id="4" name="tblPayers" displayName="tblPayers" ref="A1:C9" headerRowCount="1">
  <autoFilter ref="A1:C9"/>
  <tableColumns count="3">
    <tableColumn id="1" name="PayerID"/>
    <tableColumn id="2" name="PayerName"/>
    <tableColumn id="3" name="PayerTyp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tabColor rgb="001F4E79"/>
    <outlinePr summaryBelow="1" summaryRight="1"/>
    <pageSetUpPr fitToPage="1"/>
  </sheetPr>
  <dimension ref="B2:C35"/>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5.4</t>
        </is>
      </c>
    </row>
    <row r="3">
      <c r="B3" s="2" t="inlineStr">
        <is>
          <t>VBA: Custom Functions, Dictionaries &amp; Error Handling</t>
        </is>
      </c>
    </row>
    <row r="4">
      <c r="B4" s="3" t="inlineStr">
        <is>
          <t>Expert  ·  about 65 minutes  ·  Bluestone Health System (fictional)</t>
        </is>
      </c>
    </row>
    <row r="6">
      <c r="B6" s="4" t="inlineStr">
        <is>
          <t>What you'll learn</t>
        </is>
      </c>
      <c r="C6" s="5" t="n"/>
    </row>
    <row r="7" ht="18" customHeight="1">
      <c r="B7" s="6" t="inlineStr">
        <is>
          <t>•</t>
        </is>
      </c>
      <c r="C7" s="7" t="inlineStr">
        <is>
          <t>Write user-defined functions (UDFs) you can call from cells</t>
        </is>
      </c>
    </row>
    <row r="8" ht="18" customHeight="1">
      <c r="B8" s="6" t="inlineStr">
        <is>
          <t>•</t>
        </is>
      </c>
      <c r="C8" s="7" t="inlineStr">
        <is>
          <t>Pass arguments ByVal/ByRef, use Optional arguments, and return errors with CVErr</t>
        </is>
      </c>
    </row>
    <row r="9" ht="18" customHeight="1">
      <c r="B9" s="6" t="inlineStr">
        <is>
          <t>•</t>
        </is>
      </c>
      <c r="C9" s="7" t="inlineStr">
        <is>
          <t>Count and group with Collections and Scripting.Dictionary</t>
        </is>
      </c>
    </row>
    <row r="10" ht="18" customHeight="1">
      <c r="B10" s="6" t="inlineStr">
        <is>
          <t>•</t>
        </is>
      </c>
      <c r="C10" s="7" t="inlineStr">
        <is>
          <t>Handle errors gracefully with On Error, the Err object, and cleanup code</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https://github.com/lmansf/learn-excel/tree/main/05-automation-vba/04-vba-functions-error-handling</t>
        </is>
      </c>
    </row>
    <row r="14" ht="18" customHeight="1">
      <c r="B14" s="8" t="inlineStr">
        <is>
          <t>2. Practice</t>
        </is>
      </c>
      <c r="C14" s="7" t="inlineStr">
        <is>
          <t>Go to the 'Practice' sheet. Type a formula or value into each yellow cell.</t>
        </is>
      </c>
    </row>
    <row r="15" ht="33" customHeight="1">
      <c r="B15" s="8" t="inlineStr">
        <is>
          <t>3. Check yourself</t>
        </is>
      </c>
      <c r="C15" s="7" t="inlineStr">
        <is>
          <t>The Check column shows ✔ Correct (green) or ✘ Not yet (red). Tasks marked 'See key' are checked by comparing with the answer key.</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33" customHeight="1">
      <c r="B18" s="8" t="inlineStr">
        <is>
          <t>Note</t>
        </is>
      </c>
      <c r="C18" s="7" t="inlineStr">
        <is>
          <t>Macros can't be saved in an .xlsx file. Before you write any code, choose File → Save As and pick 'Excel Macro-Enabled Workbook (*.xlsm)'.</t>
        </is>
      </c>
    </row>
    <row r="19" ht="63" customHeight="1">
      <c r="B19" s="8" t="inlineStr">
        <is>
          <t>Note</t>
        </is>
      </c>
      <c r="C19" s="7" t="inlineStr">
        <is>
          <t>Download the four .bas files in the lesson's starter/ folder (on GitHub, open each file and click Download raw file). Open the Visual Basic Editor with Alt + F11 (Mac: Option + F11), then choose File → Import File… for each one. HealthUDFs.bas is for tasks 1–6, ClaimDictionaries.bas for tasks 8–10, Snippets.bas for tasks 7 and 11–13, and PayerSummary.bas for the bonus.</t>
        </is>
      </c>
    </row>
    <row r="20" ht="33" customHeight="1">
      <c r="B20" s="8" t="inlineStr">
        <is>
          <t>Note</t>
        </is>
      </c>
      <c r="C20" s="7" t="inlineStr">
        <is>
          <t>Scripting.Dictionary works only in Excel for Windows. On a Mac, use the Collection techniques from the guide. The solutions/ folder has Mac versions of every macro.</t>
        </is>
      </c>
    </row>
    <row r="21" ht="33" customHeight="1">
      <c r="B21" s="8" t="inlineStr">
        <is>
          <t>Note</t>
        </is>
      </c>
      <c r="C21" s="7" t="inlineStr">
        <is>
          <t>The Output sheet is where your macros write their results. The Snippets sheet shows the code for the predict-the-output tasks. The bonus macro creates a PayerSummary sheet.</t>
        </is>
      </c>
    </row>
    <row r="23">
      <c r="B23" s="4" t="inlineStr">
        <is>
          <t>Color legend</t>
        </is>
      </c>
      <c r="C23" s="5" t="n"/>
    </row>
    <row r="24" ht="18" customHeight="1">
      <c r="B24" s="9" t="inlineStr">
        <is>
          <t>Yellow cell</t>
        </is>
      </c>
      <c r="C24" s="7" t="inlineStr">
        <is>
          <t>Your answer goes here.</t>
        </is>
      </c>
    </row>
    <row r="25" ht="18" customHeight="1">
      <c r="B25" s="10" t="inlineStr">
        <is>
          <t>Gray cell</t>
        </is>
      </c>
      <c r="C25" s="7" t="inlineStr">
        <is>
          <t>Pre-filled summary formula — it reads the work you did on another sheet.</t>
        </is>
      </c>
    </row>
    <row r="26" ht="18" customHeight="1">
      <c r="B26" s="11" t="inlineStr">
        <is>
          <t>✔ Correct</t>
        </is>
      </c>
      <c r="C26" s="7" t="inlineStr">
        <is>
          <t>Your answer matches the key.</t>
        </is>
      </c>
    </row>
    <row r="27" ht="18" customHeight="1">
      <c r="B27" s="12" t="inlineStr">
        <is>
          <t>✘ Not yet</t>
        </is>
      </c>
      <c r="C27" s="7" t="inlineStr">
        <is>
          <t>Not matching yet — check the hint and try again.</t>
        </is>
      </c>
    </row>
    <row r="29">
      <c r="B29" s="4" t="inlineStr">
        <is>
          <t>Sheets in this workbook</t>
        </is>
      </c>
      <c r="C29" s="5" t="n"/>
    </row>
    <row r="30" ht="18" customHeight="1">
      <c r="B30" s="8" t="inlineStr">
        <is>
          <t>Patients</t>
        </is>
      </c>
      <c r="C30" s="7" t="inlineStr">
        <is>
          <t>Data: 591 rows — Excel Table 'tblPatients'</t>
        </is>
      </c>
    </row>
    <row r="31" ht="18" customHeight="1">
      <c r="B31" s="8" t="inlineStr">
        <is>
          <t>Encounters</t>
        </is>
      </c>
      <c r="C31" s="7" t="inlineStr">
        <is>
          <t>Data: 505 rows — Excel Table 'tblEncounters'</t>
        </is>
      </c>
    </row>
    <row r="32" ht="18" customHeight="1">
      <c r="B32" s="8" t="inlineStr">
        <is>
          <t>Claims</t>
        </is>
      </c>
      <c r="C32" s="7" t="inlineStr">
        <is>
          <t>Data: 1,093 rows — Excel Table 'tblClaims'</t>
        </is>
      </c>
    </row>
    <row r="33" ht="18" customHeight="1">
      <c r="B33" s="8" t="inlineStr">
        <is>
          <t>Payers</t>
        </is>
      </c>
      <c r="C33" s="7" t="inlineStr">
        <is>
          <t>Data: 8 rows — Excel Table 'tblPayers'</t>
        </is>
      </c>
    </row>
    <row r="34" ht="48" customHeight="1">
      <c r="B34" s="8" t="inlineStr">
        <is>
          <t>About the data</t>
        </is>
      </c>
      <c r="C34" s="7" t="inlineStr">
        <is>
          <t>Cedar Ridge Medical Center, 2025: adult patients with height and weight, inpatient and observation stays, every claim with its payer and status, and the 8 payers. A few rows contain deliberate data-entry errors for your code to catch.</t>
        </is>
      </c>
    </row>
    <row r="35" ht="18" customHeight="1">
      <c r="B35" s="8" t="inlineStr">
        <is>
          <t>Disclaimer</t>
        </is>
      </c>
      <c r="C35"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5.4 · Practice</t>
        </is>
      </c>
    </row>
    <row r="2" ht="49" customHeight="1">
      <c r="A2" s="14" t="inlineStr">
        <is>
          <t>Save the workbook as .xlsm and import the starter modules first (see the Start Here sheet). In tasks 1–6 you write user-defined functions and use them in cells: tasks 1 and 6 in the yellow cell, and tasks 2–5 in yellow columns on the data sheets, which the gray cells summarize. Tasks 7 and 11–13 ask you to predict what a snippet on the Snippets sheet does. In tasks 8–10 you run macros, and the gray cells read what they wrote to the Output sheet.</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81" customHeight="1">
      <c r="A6" s="18" t="inlineStr">
        <is>
          <t>1</t>
        </is>
      </c>
      <c r="B6" s="19" t="inlineStr">
        <is>
          <t>Write BMI(weightLb, heightIn) in a standard module (start from starter/HealthUDFs.bas). BMI = 703 × weight in pounds ÷ (height in inches)². It must return #VALUE! for a blank or text input and #NUM! for a zero or negative one. In the yellow cell, call it for the first patient on the Patients sheet (row 2, PT10002). Keep full precision. The check accepts 2 decimal places.</t>
        </is>
      </c>
      <c r="C6" s="20" t="inlineStr">
        <is>
          <t>Assign the result to the function's own name. Return errors with CVErr</t>
        </is>
      </c>
      <c r="D6" s="21" t="n"/>
      <c r="E6" s="22">
        <f>IF(IFERROR(D6="",FALSE),"",IF(IFERROR(AND(ISNUMBER(D6),OR(ABS(D6-'Answer Key'!$C$5)&lt;=0.0051)),FALSE),"✔ Correct","✘ Not yet"))</f>
        <v/>
      </c>
    </row>
    <row r="7" ht="66" customHeight="1">
      <c r="A7" s="18" t="inlineStr">
        <is>
          <t>2</t>
        </is>
      </c>
      <c r="B7" s="19" t="inlineStr">
        <is>
          <t>Fill the yellow BMI column on the Patients sheet with your BMI function for every patient. Don't round inside the function: the column's number format already shows 1 decimal place. The gray cell counts the patients whose unrounded BMI is 30 or more (the usual adult obesity threshold).</t>
        </is>
      </c>
      <c r="C7" s="20" t="inlineStr">
        <is>
          <t>Type it once in the first BMI cell. The Table fills the rest</t>
        </is>
      </c>
      <c r="D7" cm="1" s="23">
        <f t="array" ref="D7">IF(COUNT('Patients'!$H$2:$H$592)=0,"",COUNTIF('Patients'!$H$2:$H$592,"&gt;=30"))</f>
        <v/>
      </c>
      <c r="E7" s="22">
        <f>IF(IFERROR(D7="",FALSE),"",IF(IFERROR(AND(ISNUMBER(D7),OR(ABS(D7-'Answer Key'!$C$6)&lt;=0.0001)),FALSE),"✔ Correct","✘ Not yet"))</f>
        <v/>
      </c>
    </row>
    <row r="8" ht="81" customHeight="1">
      <c r="A8" s="18" t="inlineStr">
        <is>
          <t>3</t>
        </is>
      </c>
      <c r="B8" s="19" t="inlineStr">
        <is>
          <t>Write AGEAT(dob, [asOf]): a person's age in completed years on the asOf date, or on today's date when asOf is left out (use IsMissing). Then fill the yellow AgeAtAdmit column on the Encounters sheet with each patient's age on the admission date. The gray cell averages your column, and the check compares that average to 2 decimal places.</t>
        </is>
      </c>
      <c r="C8" s="20" t="inlineStr">
        <is>
          <t>Optional asOf As Variant + IsMissing. Then check whether this year's birthday has happened</t>
        </is>
      </c>
      <c r="D8" cm="1" s="24">
        <f t="array" ref="D8">IF(COUNT('Encounters'!$G$2:$G$506)=0,"",AVERAGE('Encounters'!$G$2:$G$506))</f>
        <v/>
      </c>
      <c r="E8" s="22">
        <f>IF(IFERROR(D8="",FALSE),"",IF(IFERROR(AND(ISNUMBER(D8),OR(ABS(D8-'Answer Key'!$C$7)&lt;=0.0051)),FALSE),"✔ Correct","✘ Not yet"))</f>
        <v/>
      </c>
    </row>
    <row r="9" ht="81" customHeight="1">
      <c r="A9" s="18" t="inlineStr">
        <is>
          <t>4</t>
        </is>
      </c>
      <c r="B9" s="19" t="inlineStr">
        <is>
          <t>Write LOSDAYS(admitDateTime, dischargeDateTime): the number of midnights between admission and discharge, or #VALUE! when an input isn't a date or the discharge date-time is earlier than the admission date-time. Fill the yellow LOSDays column on the Encounters sheet. The gray cell adds up your column and skips error cells. What is the total?</t>
        </is>
      </c>
      <c r="C9" s="20" t="inlineStr">
        <is>
          <t>CVErr(xlErrValue) for bad rows. DateDiff("d", …) counts midnights</t>
        </is>
      </c>
      <c r="D9" cm="1" s="23">
        <f t="array" ref="D9">IF(COUNT('Encounters'!$H$2:$H$506)+SUMPRODUCT(--ISERROR('Encounters'!$H$2:$H$506))=0,"",_xlfn.AGGREGATE(9,6,'Encounters'!$H$2:$H$506))</f>
        <v/>
      </c>
      <c r="E9" s="22">
        <f>IF(IFERROR(D9="",FALSE),"",IF(IFERROR(AND(ISNUMBER(D9),OR(ABS(D9-'Answer Key'!$C$8)&lt;=0.0001)),FALSE),"✔ Correct","✘ Not yet"))</f>
        <v/>
      </c>
    </row>
    <row r="10" ht="51" customHeight="1">
      <c r="A10" s="18" t="inlineStr">
        <is>
          <t>5</t>
        </is>
      </c>
      <c r="B10" s="19" t="inlineStr">
        <is>
          <t>How many rows does your LOSDays column flag with #VALUE!? The gray cell counts them. (Each one is a data-entry error to send back to Health Information Management.)</t>
        </is>
      </c>
      <c r="C10" s="20" t="inlineStr">
        <is>
          <t>Filter the LOSDays column to see the error rows</t>
        </is>
      </c>
      <c r="D10" cm="1" s="23">
        <f t="array" ref="D10">IF(COUNT('Encounters'!$H$2:$H$506)+SUMPRODUCT(--ISERROR('Encounters'!$H$2:$H$506))=0,"",COUNTIF('Encounters'!$H$2:$H$506,"#VALUE!"))</f>
        <v/>
      </c>
      <c r="E10" s="22">
        <f>IF(IFERROR(D10="",FALSE),"",IF(IFERROR(AND(ISNUMBER(D10),OR(ABS(D10-'Answer Key'!$C$9)&lt;=0.0001)),FALSE),"✔ Correct","✘ Not yet"))</f>
        <v/>
      </c>
    </row>
    <row r="11" ht="96" customHeight="1">
      <c r="A11" s="18" t="inlineStr">
        <is>
          <t>6</t>
        </is>
      </c>
      <c r="B11" s="19" t="inlineStr">
        <is>
          <t>Write DENIALRATE(statusRange, [statusToCount]): the share of non-blank cells in statusRange whose text equals statusToCount (ignoring case). statusToCount is Optional and defaults to "Denied". Return #DIV/0! if the range has no non-blank cells. In the yellow cell, call DENIALRATE on the ClaimStatus column of the Claims sheet and leave out the second argument. The cell is already formatted as a percentage.</t>
        </is>
      </c>
      <c r="C11" s="20" t="inlineStr">
        <is>
          <t>Optional statusToCount As String = "Denied", then For Each cell In statusRange.Cells</t>
        </is>
      </c>
      <c r="D11" s="25" t="n"/>
      <c r="E11" s="22">
        <f>IF(IFERROR(D11="",FALSE),"",IF(IFERROR(AND(ISNUMBER(D11),OR(ABS(D11-'Answer Key'!$C$10)&lt;=0.00051,ABS(D11-'Answer Key'!$C$10*100)&lt;=0.051000000000000004)),FALSE),"✔ Correct","✘ Not yet"))</f>
        <v/>
      </c>
    </row>
    <row r="12" ht="51" customHeight="1">
      <c r="A12" s="18" t="inlineStr">
        <is>
          <t>7</t>
        </is>
      </c>
      <c r="B12" s="19" t="inlineStr">
        <is>
          <t>Snippet A on the Snippets sheet passes a $100 charge to AddFeeByVal and AddFeeByRef. What number does Debug.Print charge show? Predict first, then run it to check.</t>
        </is>
      </c>
      <c r="C12" s="20" t="inlineStr">
        <is>
          <t>ByRef shares the caller's variable. What do parentheses around an argument do?</t>
        </is>
      </c>
      <c r="D12" s="26" t="n"/>
      <c r="E12" s="22">
        <f>IF(IFERROR(D12="",FALSE),"",IF(IFERROR(AND(ISNUMBER(D12),OR(ABS(D12-'Answer Key'!$C$11)&lt;=0.0001)),FALSE),"✔ Correct","✘ Not yet"))</f>
        <v/>
      </c>
    </row>
    <row r="13" ht="66" customHeight="1">
      <c r="A13" s="18" t="inlineStr">
        <is>
          <t>8</t>
        </is>
      </c>
      <c r="B13" s="19" t="inlineStr">
        <is>
          <t>Complete CountDenialReasons in starter/ClaimDictionaries.bas: add every non-blank DenialReason on the Claims sheet to a Collection, using the reason itself as the key, so each reason is kept once. The macro writes the Collection's Count to Output!B4, and the gray cell reads it.</t>
        </is>
      </c>
      <c r="C13" s="20" t="inlineStr">
        <is>
          <t>col.Add Item:=reason, Key:=reason raises an error for a key it already has</t>
        </is>
      </c>
      <c r="D13" cm="1" s="23">
        <f t="array" ref="D13">IF(Output!B4="","",Output!B4)</f>
        <v/>
      </c>
      <c r="E13" s="22">
        <f>IF(IFERROR(D13="",FALSE),"",IF(IFERROR(AND(ISNUMBER(D13),OR(ABS(D13-'Answer Key'!$C$12)&lt;=0.0001)),FALSE),"✔ Correct","✘ Not yet"))</f>
        <v/>
      </c>
    </row>
    <row r="14" ht="51" customHeight="1">
      <c r="A14" s="18" t="inlineStr">
        <is>
          <t>9</t>
        </is>
      </c>
      <c r="B14" s="19" t="inlineStr">
        <is>
          <t>Complete CountDistinctPatients: add every PatientID on the Claims sheet to a Scripting.Dictionary (Mac: a Collection) once, then write the number of keys to Output!B5. How many different patients had a claim?</t>
        </is>
      </c>
      <c r="C14" s="20" t="inlineStr">
        <is>
          <t>CreateObject("Scripting.Dictionary"), then .Exists and .Add</t>
        </is>
      </c>
      <c r="D14" cm="1" s="23">
        <f t="array" ref="D14">IF(Output!B5="","",Output!B5)</f>
        <v/>
      </c>
      <c r="E14" s="22">
        <f>IF(IFERROR(D14="",FALSE),"",IF(IFERROR(AND(ISNUMBER(D14),OR(ABS(D14-'Answer Key'!$C$13)&lt;=0.0001)),FALSE),"✔ Correct","✘ Not yet"))</f>
        <v/>
      </c>
    </row>
    <row r="15" ht="81" customHeight="1">
      <c r="A15" s="18" t="inlineStr">
        <is>
          <t>10</t>
        </is>
      </c>
      <c r="B15" s="19" t="inlineStr">
        <is>
          <t>Complete TopDeniedPayer: build one dictionary that maps PayerID → PayerName (from the Payers sheet) and another that counts the claims with ClaimStatus "Denied" for each PayerID (Mac: a Collection for the names, and SlotFor plus an array for the counts). Write the PayerName with the most denied claims to Output!B6 and its count to Output!B7. The gray cell reads B6.</t>
        </is>
      </c>
      <c r="C15" s="20" t="inlineStr">
        <is>
          <t>d(key) = d(key) + 1 counts. Then loop over .Keys to find the largest</t>
        </is>
      </c>
      <c r="D15" cm="1" s="27">
        <f t="array" ref="D15">IF(Output!B6="","",Output!B6)</f>
        <v/>
      </c>
      <c r="E15" s="22">
        <f>IF(IFERROR(D15="",FALSE),"",IF(IFERROR(OR(LOWER(TRIM(D15&amp;""))=LOWER(TRIM('Answer Key'!$C$14&amp;"")),LOWER(TRIM(D15&amp;""))="py02"),FALSE),"✔ Correct","✘ Not yet"))</f>
        <v/>
      </c>
    </row>
    <row r="16" ht="51" customHeight="1">
      <c r="A16" s="18" t="inlineStr">
        <is>
          <t>11</t>
        </is>
      </c>
      <c r="B16" s="19" t="inlineStr">
        <is>
          <t>Snippet B reads five blood-glucose readings typed as text and adds them up, with an error handler that skips bad entries. What total does the last line print? Predict first, then run it to check.</t>
        </is>
      </c>
      <c r="C16" s="20" t="inlineStr">
        <is>
          <t>Resume Next continues after the line that failed</t>
        </is>
      </c>
      <c r="D16" s="26" t="n"/>
      <c r="E16" s="22">
        <f>IF(IFERROR(D16="",FALSE),"",IF(IFERROR(AND(ISNUMBER(D16),OR(ABS(D16-'Answer Key'!$C$15)&lt;=0.0001)),FALSE),"✔ Correct","✘ Not yet"))</f>
        <v/>
      </c>
    </row>
    <row r="17" ht="36" customHeight="1">
      <c r="A17" s="18" t="inlineStr">
        <is>
          <t>12</t>
        </is>
      </c>
      <c r="B17" s="19" t="inlineStr">
        <is>
          <t>Snippet C reads the same five values with On Error Resume Next instead of a handler. What total does it print? Predict first, then run it to check.</t>
        </is>
      </c>
      <c r="C17" s="20" t="inlineStr">
        <is>
          <t>When an assignment fails, what's left in the variable?</t>
        </is>
      </c>
      <c r="D17" s="26" t="n"/>
      <c r="E17" s="22">
        <f>IF(IFERROR(D17="",FALSE),"",IF(IFERROR(AND(ISNUMBER(D17),OR(ABS(D17-'Answer Key'!$C$16)&lt;=0.0001)),FALSE),"✔ Correct","✘ Not yet"))</f>
        <v/>
      </c>
    </row>
    <row r="18" ht="66" customHeight="1">
      <c r="A18" s="18" t="inlineStr">
        <is>
          <t>13</t>
        </is>
      </c>
      <c r="B18" s="19" t="inlineStr">
        <is>
          <t>Snippet D looks up a payer ID that doesn't exist (PY09), first with Application.Match and then with Application.WorksheetFunction.Match. The first prints a message. The second stops the macro with a run-time error. Type the error number. Predict first, then run it to check.</t>
        </is>
      </c>
      <c r="C18" s="20" t="inlineStr">
        <is>
          <t>The 'application-defined or object-defined' error number</t>
        </is>
      </c>
      <c r="D18" s="26" t="n"/>
      <c r="E18" s="22">
        <f>IF(IFERROR(D18="",FALSE),"",IF(IFERROR(AND(ISNUMBER(D18),OR(ABS(D18-'Answer Key'!$C$17)&lt;=0.0001)),FALSE),"✔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H592"/>
  <sheetViews>
    <sheetView tabSelected="0" workbookViewId="0">
      <pane ySplit="1" topLeftCell="A2" activePane="bottomLeft" state="frozen"/>
      <selection pane="bottomLeft" activeCell="A1" sqref="A1"/>
    </sheetView>
  </sheetViews>
  <sheetFormatPr baseColWidth="8" defaultRowHeight="15"/>
  <cols>
    <col width="11" customWidth="1" min="1" max="1"/>
    <col width="13" customWidth="1" min="2" max="2"/>
    <col width="12" customWidth="1" min="3" max="3"/>
    <col width="9" customWidth="1" min="4" max="4"/>
    <col width="12" customWidth="1" min="5" max="5"/>
    <col width="10" customWidth="1" min="6" max="6"/>
    <col width="10" customWidth="1" min="7" max="7"/>
    <col width="10" customWidth="1" min="8" max="8"/>
  </cols>
  <sheetData>
    <row r="1">
      <c r="A1" s="28" t="inlineStr">
        <is>
          <t>PatientID</t>
        </is>
      </c>
      <c r="B1" s="28" t="inlineStr">
        <is>
          <t>FirstName</t>
        </is>
      </c>
      <c r="C1" s="28" t="inlineStr">
        <is>
          <t>LastName</t>
        </is>
      </c>
      <c r="D1" s="28" t="inlineStr">
        <is>
          <t>Sex</t>
        </is>
      </c>
      <c r="E1" s="28" t="inlineStr">
        <is>
          <t>DOB</t>
        </is>
      </c>
      <c r="F1" s="28" t="inlineStr">
        <is>
          <t>HeightIn</t>
        </is>
      </c>
      <c r="G1" s="28" t="inlineStr">
        <is>
          <t>WeightLb</t>
        </is>
      </c>
      <c r="H1" s="29" t="inlineStr">
        <is>
          <t>BMI</t>
        </is>
      </c>
    </row>
    <row r="2">
      <c r="A2" t="inlineStr">
        <is>
          <t>PT10002</t>
        </is>
      </c>
      <c r="B2" t="inlineStr">
        <is>
          <t>Brenda</t>
        </is>
      </c>
      <c r="C2" t="inlineStr">
        <is>
          <t>Peterson</t>
        </is>
      </c>
      <c r="D2" t="inlineStr">
        <is>
          <t>F</t>
        </is>
      </c>
      <c r="E2" s="30" t="n">
        <v>15760</v>
      </c>
      <c r="F2" s="31" t="n">
        <v>61.8</v>
      </c>
      <c r="G2" s="31" t="n">
        <v>180.4</v>
      </c>
      <c r="H2" s="32" t="n"/>
    </row>
    <row r="3">
      <c r="A3" t="inlineStr">
        <is>
          <t>PT10005</t>
        </is>
      </c>
      <c r="B3" t="inlineStr">
        <is>
          <t>Albert</t>
        </is>
      </c>
      <c r="C3" t="inlineStr">
        <is>
          <t>Romero</t>
        </is>
      </c>
      <c r="D3" t="inlineStr">
        <is>
          <t>M</t>
        </is>
      </c>
      <c r="E3" s="30" t="n">
        <v>10553</v>
      </c>
      <c r="F3" s="31" t="n">
        <v>70.40000000000001</v>
      </c>
      <c r="G3" s="31" t="n">
        <v>197.9</v>
      </c>
      <c r="H3" s="32" t="n"/>
    </row>
    <row r="4">
      <c r="A4" t="inlineStr">
        <is>
          <t>PT10009</t>
        </is>
      </c>
      <c r="B4" t="inlineStr">
        <is>
          <t>Wei</t>
        </is>
      </c>
      <c r="C4" t="inlineStr">
        <is>
          <t>Miller</t>
        </is>
      </c>
      <c r="D4" t="inlineStr">
        <is>
          <t>M</t>
        </is>
      </c>
      <c r="E4" s="30" t="n">
        <v>28636</v>
      </c>
      <c r="F4" s="31" t="n">
        <v>71.90000000000001</v>
      </c>
      <c r="G4" s="31" t="n">
        <v>228.9</v>
      </c>
      <c r="H4" s="32" t="n"/>
    </row>
    <row r="5">
      <c r="A5" t="inlineStr">
        <is>
          <t>PT10010</t>
        </is>
      </c>
      <c r="B5" t="inlineStr">
        <is>
          <t>Gloria</t>
        </is>
      </c>
      <c r="C5" t="inlineStr">
        <is>
          <t>Hill</t>
        </is>
      </c>
      <c r="D5" t="inlineStr">
        <is>
          <t>F</t>
        </is>
      </c>
      <c r="E5" s="30" t="n">
        <v>36352</v>
      </c>
      <c r="F5" s="31" t="n">
        <v>61.4</v>
      </c>
      <c r="G5" s="31" t="n">
        <v>197.4</v>
      </c>
      <c r="H5" s="32" t="n"/>
    </row>
    <row r="6">
      <c r="A6" t="inlineStr">
        <is>
          <t>PT10011</t>
        </is>
      </c>
      <c r="B6" t="inlineStr">
        <is>
          <t>Russell</t>
        </is>
      </c>
      <c r="C6" t="inlineStr">
        <is>
          <t>Sullivan</t>
        </is>
      </c>
      <c r="D6" t="inlineStr">
        <is>
          <t>M</t>
        </is>
      </c>
      <c r="E6" s="30" t="n">
        <v>17141</v>
      </c>
      <c r="F6" s="31" t="n">
        <v>73.59999999999999</v>
      </c>
      <c r="G6" s="31" t="n">
        <v>227.5</v>
      </c>
      <c r="H6" s="32" t="n"/>
    </row>
    <row r="7">
      <c r="A7" t="inlineStr">
        <is>
          <t>PT10013</t>
        </is>
      </c>
      <c r="B7" t="inlineStr">
        <is>
          <t>Brian</t>
        </is>
      </c>
      <c r="C7" t="inlineStr">
        <is>
          <t>Andrews</t>
        </is>
      </c>
      <c r="D7" t="inlineStr">
        <is>
          <t>M</t>
        </is>
      </c>
      <c r="E7" s="30" t="n">
        <v>18491</v>
      </c>
      <c r="F7" s="31" t="n">
        <v>70.7</v>
      </c>
      <c r="G7" s="31" t="n">
        <v>195.9</v>
      </c>
      <c r="H7" s="32" t="n"/>
    </row>
    <row r="8">
      <c r="A8" t="inlineStr">
        <is>
          <t>PT10016</t>
        </is>
      </c>
      <c r="B8" t="inlineStr">
        <is>
          <t>Danielle</t>
        </is>
      </c>
      <c r="C8" t="inlineStr">
        <is>
          <t>Kennedy</t>
        </is>
      </c>
      <c r="D8" t="inlineStr">
        <is>
          <t>F</t>
        </is>
      </c>
      <c r="E8" s="30" t="n">
        <v>37473</v>
      </c>
      <c r="F8" s="31" t="n">
        <v>63.1</v>
      </c>
      <c r="G8" s="31" t="n">
        <v>118.5</v>
      </c>
      <c r="H8" s="32" t="n"/>
    </row>
    <row r="9">
      <c r="A9" t="inlineStr">
        <is>
          <t>PT10025</t>
        </is>
      </c>
      <c r="B9" t="inlineStr">
        <is>
          <t>Ana</t>
        </is>
      </c>
      <c r="C9" t="inlineStr">
        <is>
          <t>Cox</t>
        </is>
      </c>
      <c r="D9" t="inlineStr">
        <is>
          <t>F</t>
        </is>
      </c>
      <c r="E9" s="30" t="n">
        <v>24896</v>
      </c>
      <c r="F9" s="31" t="n">
        <v>67.40000000000001</v>
      </c>
      <c r="G9" s="31" t="n">
        <v>204.9</v>
      </c>
      <c r="H9" s="32" t="n"/>
    </row>
    <row r="10">
      <c r="A10" t="inlineStr">
        <is>
          <t>PT10031</t>
        </is>
      </c>
      <c r="B10" t="inlineStr">
        <is>
          <t>Ana</t>
        </is>
      </c>
      <c r="C10" t="inlineStr">
        <is>
          <t>Petrov</t>
        </is>
      </c>
      <c r="D10" t="inlineStr">
        <is>
          <t>F</t>
        </is>
      </c>
      <c r="E10" s="30" t="n">
        <v>17581</v>
      </c>
      <c r="F10" s="31" t="n">
        <v>63.6</v>
      </c>
      <c r="G10" s="31" t="n">
        <v>167.8</v>
      </c>
      <c r="H10" s="32" t="n"/>
    </row>
    <row r="11">
      <c r="A11" t="inlineStr">
        <is>
          <t>PT10032</t>
        </is>
      </c>
      <c r="B11" t="inlineStr">
        <is>
          <t>Amber</t>
        </is>
      </c>
      <c r="C11" t="inlineStr">
        <is>
          <t>White</t>
        </is>
      </c>
      <c r="D11" t="inlineStr">
        <is>
          <t>F</t>
        </is>
      </c>
      <c r="E11" s="30" t="n">
        <v>35240</v>
      </c>
      <c r="F11" s="31" t="n">
        <v>66.40000000000001</v>
      </c>
      <c r="G11" s="31" t="n">
        <v>211.6</v>
      </c>
      <c r="H11" s="32" t="n"/>
    </row>
    <row r="12">
      <c r="A12" t="inlineStr">
        <is>
          <t>PT10034</t>
        </is>
      </c>
      <c r="B12" t="inlineStr">
        <is>
          <t>Ruth</t>
        </is>
      </c>
      <c r="C12" t="inlineStr">
        <is>
          <t>Stephens</t>
        </is>
      </c>
      <c r="D12" t="inlineStr">
        <is>
          <t>F</t>
        </is>
      </c>
      <c r="E12" s="30" t="n">
        <v>15426</v>
      </c>
      <c r="F12" s="31" t="n">
        <v>62.1</v>
      </c>
      <c r="G12" s="31" t="n">
        <v>120.4</v>
      </c>
      <c r="H12" s="32" t="n"/>
    </row>
    <row r="13">
      <c r="A13" t="inlineStr">
        <is>
          <t>PT10037</t>
        </is>
      </c>
      <c r="B13" t="inlineStr">
        <is>
          <t>Joseph</t>
        </is>
      </c>
      <c r="C13" t="inlineStr">
        <is>
          <t>Hayes</t>
        </is>
      </c>
      <c r="D13" t="inlineStr">
        <is>
          <t>M</t>
        </is>
      </c>
      <c r="E13" s="30" t="n">
        <v>11310</v>
      </c>
      <c r="F13" s="31" t="n">
        <v>67.09999999999999</v>
      </c>
      <c r="G13" s="31" t="n">
        <v>213.7</v>
      </c>
      <c r="H13" s="32" t="n"/>
    </row>
    <row r="14">
      <c r="A14" t="inlineStr">
        <is>
          <t>PT10043</t>
        </is>
      </c>
      <c r="B14" t="inlineStr">
        <is>
          <t>Lawrence</t>
        </is>
      </c>
      <c r="C14" t="inlineStr">
        <is>
          <t>Ramos</t>
        </is>
      </c>
      <c r="D14" t="inlineStr">
        <is>
          <t>M</t>
        </is>
      </c>
      <c r="E14" s="30" t="n">
        <v>26151</v>
      </c>
      <c r="F14" s="31" t="n">
        <v>70.59999999999999</v>
      </c>
      <c r="G14" s="31" t="n">
        <v>232</v>
      </c>
      <c r="H14" s="32" t="n"/>
    </row>
    <row r="15">
      <c r="A15" t="inlineStr">
        <is>
          <t>PT10044</t>
        </is>
      </c>
      <c r="B15" t="inlineStr">
        <is>
          <t>Melissa</t>
        </is>
      </c>
      <c r="C15" t="inlineStr">
        <is>
          <t>Davis</t>
        </is>
      </c>
      <c r="D15" t="inlineStr">
        <is>
          <t>F</t>
        </is>
      </c>
      <c r="E15" s="30" t="n">
        <v>25129</v>
      </c>
      <c r="F15" s="31" t="n">
        <v>65.3</v>
      </c>
      <c r="G15" s="31" t="n">
        <v>177.5</v>
      </c>
      <c r="H15" s="32" t="n"/>
    </row>
    <row r="16">
      <c r="A16" t="inlineStr">
        <is>
          <t>PT10050</t>
        </is>
      </c>
      <c r="B16" t="inlineStr">
        <is>
          <t>Patrick</t>
        </is>
      </c>
      <c r="C16" t="inlineStr">
        <is>
          <t>Kim</t>
        </is>
      </c>
      <c r="D16" t="inlineStr">
        <is>
          <t>M</t>
        </is>
      </c>
      <c r="E16" s="30" t="n">
        <v>16878</v>
      </c>
      <c r="F16" s="31" t="n">
        <v>72.3</v>
      </c>
      <c r="G16" s="31" t="n">
        <v>177.1</v>
      </c>
      <c r="H16" s="32" t="n"/>
    </row>
    <row r="17">
      <c r="A17" t="inlineStr">
        <is>
          <t>PT10052</t>
        </is>
      </c>
      <c r="B17" t="inlineStr">
        <is>
          <t>Angela</t>
        </is>
      </c>
      <c r="C17" t="inlineStr">
        <is>
          <t>Nakamura</t>
        </is>
      </c>
      <c r="D17" t="inlineStr">
        <is>
          <t>F</t>
        </is>
      </c>
      <c r="E17" s="30" t="n">
        <v>24842</v>
      </c>
      <c r="F17" s="31" t="n">
        <v>69.09999999999999</v>
      </c>
      <c r="G17" s="31" t="n">
        <v>186.2</v>
      </c>
      <c r="H17" s="32" t="n"/>
    </row>
    <row r="18">
      <c r="A18" t="inlineStr">
        <is>
          <t>PT10062</t>
        </is>
      </c>
      <c r="B18" t="inlineStr">
        <is>
          <t>Linh</t>
        </is>
      </c>
      <c r="C18" t="inlineStr">
        <is>
          <t>Meyer</t>
        </is>
      </c>
      <c r="D18" t="inlineStr">
        <is>
          <t>F</t>
        </is>
      </c>
      <c r="E18" s="30" t="n">
        <v>16581</v>
      </c>
      <c r="F18" s="31" t="n">
        <v>59.9</v>
      </c>
      <c r="G18" s="31" t="n">
        <v>143.2</v>
      </c>
      <c r="H18" s="32" t="n"/>
    </row>
    <row r="19">
      <c r="A19" t="inlineStr">
        <is>
          <t>PT10063</t>
        </is>
      </c>
      <c r="B19" t="inlineStr">
        <is>
          <t>Andrea</t>
        </is>
      </c>
      <c r="C19" t="inlineStr">
        <is>
          <t>Hawkins</t>
        </is>
      </c>
      <c r="D19" t="inlineStr">
        <is>
          <t>F</t>
        </is>
      </c>
      <c r="E19" s="30" t="n">
        <v>21717</v>
      </c>
      <c r="F19" s="31" t="n">
        <v>59.4</v>
      </c>
      <c r="G19" s="31" t="n">
        <v>87.40000000000001</v>
      </c>
      <c r="H19" s="32" t="n"/>
    </row>
    <row r="20">
      <c r="A20" t="inlineStr">
        <is>
          <t>PT10067</t>
        </is>
      </c>
      <c r="B20" t="inlineStr">
        <is>
          <t>Janice</t>
        </is>
      </c>
      <c r="C20" t="inlineStr">
        <is>
          <t>Elliott</t>
        </is>
      </c>
      <c r="D20" t="inlineStr">
        <is>
          <t>F</t>
        </is>
      </c>
      <c r="E20" s="30" t="n">
        <v>18187</v>
      </c>
      <c r="F20" s="31" t="n">
        <v>68.40000000000001</v>
      </c>
      <c r="G20" s="31" t="n">
        <v>156.3</v>
      </c>
      <c r="H20" s="32" t="n"/>
    </row>
    <row r="21">
      <c r="A21" t="inlineStr">
        <is>
          <t>PT10074</t>
        </is>
      </c>
      <c r="B21" t="inlineStr">
        <is>
          <t>Joseph</t>
        </is>
      </c>
      <c r="C21" t="inlineStr">
        <is>
          <t>Aguilar</t>
        </is>
      </c>
      <c r="D21" t="inlineStr">
        <is>
          <t>M</t>
        </is>
      </c>
      <c r="E21" s="30" t="n">
        <v>22130</v>
      </c>
      <c r="F21" s="31" t="n">
        <v>70.90000000000001</v>
      </c>
      <c r="G21" s="31" t="n">
        <v>266.7</v>
      </c>
      <c r="H21" s="32" t="n"/>
    </row>
    <row r="22">
      <c r="A22" t="inlineStr">
        <is>
          <t>PT10076</t>
        </is>
      </c>
      <c r="B22" t="inlineStr">
        <is>
          <t>Terry</t>
        </is>
      </c>
      <c r="C22" t="inlineStr">
        <is>
          <t>Gonzalez</t>
        </is>
      </c>
      <c r="D22" t="inlineStr">
        <is>
          <t>M</t>
        </is>
      </c>
      <c r="E22" s="30" t="n">
        <v>19152</v>
      </c>
      <c r="F22" s="31" t="n">
        <v>70.40000000000001</v>
      </c>
      <c r="G22" s="31" t="n">
        <v>232.6</v>
      </c>
      <c r="H22" s="32" t="n"/>
    </row>
    <row r="23">
      <c r="A23" t="inlineStr">
        <is>
          <t>PT10083</t>
        </is>
      </c>
      <c r="B23" t="inlineStr">
        <is>
          <t>Virginia</t>
        </is>
      </c>
      <c r="C23" t="inlineStr">
        <is>
          <t>Pierce</t>
        </is>
      </c>
      <c r="D23" t="inlineStr">
        <is>
          <t>F</t>
        </is>
      </c>
      <c r="E23" s="30" t="n">
        <v>27619</v>
      </c>
      <c r="F23" s="31" t="n">
        <v>61.5</v>
      </c>
      <c r="G23" s="31" t="n">
        <v>156.4</v>
      </c>
      <c r="H23" s="32" t="n"/>
    </row>
    <row r="24">
      <c r="A24" t="inlineStr">
        <is>
          <t>PT10101</t>
        </is>
      </c>
      <c r="B24" t="inlineStr">
        <is>
          <t>Mateo</t>
        </is>
      </c>
      <c r="C24" t="inlineStr">
        <is>
          <t>Aguilar</t>
        </is>
      </c>
      <c r="D24" t="inlineStr">
        <is>
          <t>M</t>
        </is>
      </c>
      <c r="E24" s="30" t="n">
        <v>18101</v>
      </c>
      <c r="F24" s="31" t="n">
        <v>59</v>
      </c>
      <c r="G24" s="31" t="n">
        <v>143</v>
      </c>
      <c r="H24" s="32" t="n"/>
    </row>
    <row r="25">
      <c r="A25" t="inlineStr">
        <is>
          <t>PT10104</t>
        </is>
      </c>
      <c r="B25" t="inlineStr">
        <is>
          <t>Samuel</t>
        </is>
      </c>
      <c r="C25" t="inlineStr">
        <is>
          <t>Pierce</t>
        </is>
      </c>
      <c r="D25" t="inlineStr">
        <is>
          <t>M</t>
        </is>
      </c>
      <c r="E25" s="30" t="n">
        <v>31972</v>
      </c>
      <c r="F25" s="31" t="n">
        <v>71.5</v>
      </c>
      <c r="G25" s="31" t="n">
        <v>233.4</v>
      </c>
      <c r="H25" s="32" t="n"/>
    </row>
    <row r="26">
      <c r="A26" t="inlineStr">
        <is>
          <t>PT10118</t>
        </is>
      </c>
      <c r="B26" t="inlineStr">
        <is>
          <t>Eric</t>
        </is>
      </c>
      <c r="C26" t="inlineStr">
        <is>
          <t>Peterson</t>
        </is>
      </c>
      <c r="D26" t="inlineStr">
        <is>
          <t>M</t>
        </is>
      </c>
      <c r="E26" s="30" t="n">
        <v>17544</v>
      </c>
      <c r="F26" s="31" t="n">
        <v>67.90000000000001</v>
      </c>
      <c r="G26" s="31" t="n">
        <v>136.3</v>
      </c>
      <c r="H26" s="32" t="n"/>
    </row>
    <row r="27">
      <c r="A27" t="inlineStr">
        <is>
          <t>PT10120</t>
        </is>
      </c>
      <c r="B27" t="inlineStr">
        <is>
          <t>Joseph</t>
        </is>
      </c>
      <c r="C27" t="inlineStr">
        <is>
          <t>Contreras</t>
        </is>
      </c>
      <c r="D27" t="inlineStr">
        <is>
          <t>M</t>
        </is>
      </c>
      <c r="E27" s="30" t="n">
        <v>23388</v>
      </c>
      <c r="F27" s="31" t="n">
        <v>67.90000000000001</v>
      </c>
      <c r="G27" s="31" t="n">
        <v>149.6</v>
      </c>
      <c r="H27" s="32" t="n"/>
    </row>
    <row r="28">
      <c r="A28" t="inlineStr">
        <is>
          <t>PT10171</t>
        </is>
      </c>
      <c r="B28" t="inlineStr">
        <is>
          <t>Justin</t>
        </is>
      </c>
      <c r="C28" t="inlineStr">
        <is>
          <t>Rivera</t>
        </is>
      </c>
      <c r="D28" t="inlineStr">
        <is>
          <t>M</t>
        </is>
      </c>
      <c r="E28" s="30" t="n">
        <v>18053</v>
      </c>
      <c r="F28" s="31" t="n">
        <v>69.8</v>
      </c>
      <c r="G28" s="31" t="n">
        <v>181.6</v>
      </c>
      <c r="H28" s="32" t="n"/>
    </row>
    <row r="29">
      <c r="A29" t="inlineStr">
        <is>
          <t>PT10177</t>
        </is>
      </c>
      <c r="B29" t="inlineStr">
        <is>
          <t>Mark</t>
        </is>
      </c>
      <c r="C29" t="inlineStr">
        <is>
          <t>Rivera</t>
        </is>
      </c>
      <c r="D29" t="inlineStr">
        <is>
          <t>M</t>
        </is>
      </c>
      <c r="E29" s="30" t="n">
        <v>21269</v>
      </c>
      <c r="F29" s="31" t="n">
        <v>71.90000000000001</v>
      </c>
      <c r="G29" s="31" t="n">
        <v>140.7</v>
      </c>
      <c r="H29" s="32" t="n"/>
    </row>
    <row r="30">
      <c r="A30" t="inlineStr">
        <is>
          <t>PT10180</t>
        </is>
      </c>
      <c r="B30" t="inlineStr">
        <is>
          <t>Andrew</t>
        </is>
      </c>
      <c r="C30" t="inlineStr">
        <is>
          <t>Torres</t>
        </is>
      </c>
      <c r="D30" t="inlineStr">
        <is>
          <t>M</t>
        </is>
      </c>
      <c r="E30" s="30" t="n">
        <v>11302</v>
      </c>
      <c r="F30" s="31" t="n">
        <v>65.90000000000001</v>
      </c>
      <c r="G30" s="31" t="n">
        <v>226.4</v>
      </c>
      <c r="H30" s="32" t="n"/>
    </row>
    <row r="31">
      <c r="A31" t="inlineStr">
        <is>
          <t>PT10181</t>
        </is>
      </c>
      <c r="B31" t="inlineStr">
        <is>
          <t>Julie</t>
        </is>
      </c>
      <c r="C31" t="inlineStr">
        <is>
          <t>Morales</t>
        </is>
      </c>
      <c r="D31" t="inlineStr">
        <is>
          <t>F</t>
        </is>
      </c>
      <c r="E31" s="30" t="n">
        <v>34464</v>
      </c>
      <c r="F31" s="31" t="n">
        <v>66</v>
      </c>
      <c r="G31" s="31" t="n">
        <v>227.6</v>
      </c>
      <c r="H31" s="32" t="n"/>
    </row>
    <row r="32">
      <c r="A32" t="inlineStr">
        <is>
          <t>PT10187</t>
        </is>
      </c>
      <c r="B32" t="inlineStr">
        <is>
          <t>John</t>
        </is>
      </c>
      <c r="C32" t="inlineStr">
        <is>
          <t>Bailey</t>
        </is>
      </c>
      <c r="D32" t="inlineStr">
        <is>
          <t>M</t>
        </is>
      </c>
      <c r="E32" s="30" t="n">
        <v>18581</v>
      </c>
      <c r="F32" s="31" t="n">
        <v>71.2</v>
      </c>
      <c r="G32" s="31" t="n">
        <v>218.3</v>
      </c>
      <c r="H32" s="32" t="n"/>
    </row>
    <row r="33">
      <c r="A33" t="inlineStr">
        <is>
          <t>PT10194</t>
        </is>
      </c>
      <c r="B33" t="inlineStr">
        <is>
          <t>Nancy</t>
        </is>
      </c>
      <c r="C33" t="inlineStr">
        <is>
          <t>Clark</t>
        </is>
      </c>
      <c r="D33" t="inlineStr">
        <is>
          <t>F</t>
        </is>
      </c>
      <c r="E33" s="30" t="n">
        <v>33558</v>
      </c>
      <c r="F33" s="31" t="n">
        <v>68.40000000000001</v>
      </c>
      <c r="G33" s="31" t="n">
        <v>221.1</v>
      </c>
      <c r="H33" s="32" t="n"/>
    </row>
    <row r="34">
      <c r="A34" t="inlineStr">
        <is>
          <t>PT10198</t>
        </is>
      </c>
      <c r="B34" t="inlineStr">
        <is>
          <t>Judy</t>
        </is>
      </c>
      <c r="C34" t="inlineStr">
        <is>
          <t>Kelley</t>
        </is>
      </c>
      <c r="D34" t="inlineStr">
        <is>
          <t>F</t>
        </is>
      </c>
      <c r="E34" s="30" t="n">
        <v>28318</v>
      </c>
      <c r="F34" s="31" t="n">
        <v>60.4</v>
      </c>
      <c r="G34" s="31" t="n">
        <v>203.3</v>
      </c>
      <c r="H34" s="32" t="n"/>
    </row>
    <row r="35">
      <c r="A35" t="inlineStr">
        <is>
          <t>PT10205</t>
        </is>
      </c>
      <c r="B35" t="inlineStr">
        <is>
          <t>Christina</t>
        </is>
      </c>
      <c r="C35" t="inlineStr">
        <is>
          <t>Duncan</t>
        </is>
      </c>
      <c r="D35" t="inlineStr">
        <is>
          <t>F</t>
        </is>
      </c>
      <c r="E35" s="30" t="n">
        <v>20907</v>
      </c>
      <c r="F35" s="31" t="n">
        <v>64.2</v>
      </c>
      <c r="G35" s="31" t="n">
        <v>154.4</v>
      </c>
      <c r="H35" s="32" t="n"/>
    </row>
    <row r="36">
      <c r="A36" t="inlineStr">
        <is>
          <t>PT10219</t>
        </is>
      </c>
      <c r="B36" t="inlineStr">
        <is>
          <t>Fatima</t>
        </is>
      </c>
      <c r="C36" t="inlineStr">
        <is>
          <t>Ward</t>
        </is>
      </c>
      <c r="D36" t="inlineStr">
        <is>
          <t>F</t>
        </is>
      </c>
      <c r="E36" s="30" t="n">
        <v>23735</v>
      </c>
      <c r="F36" s="31" t="n">
        <v>65.2</v>
      </c>
      <c r="G36" s="31" t="n">
        <v>165.4</v>
      </c>
      <c r="H36" s="32" t="n"/>
    </row>
    <row r="37">
      <c r="A37" t="inlineStr">
        <is>
          <t>PT10230</t>
        </is>
      </c>
      <c r="B37" t="inlineStr">
        <is>
          <t>Nathan</t>
        </is>
      </c>
      <c r="C37" t="inlineStr">
        <is>
          <t>Moore</t>
        </is>
      </c>
      <c r="D37" t="inlineStr">
        <is>
          <t>M</t>
        </is>
      </c>
      <c r="E37" s="30" t="n">
        <v>21994</v>
      </c>
      <c r="F37" s="31" t="n">
        <v>69.2</v>
      </c>
      <c r="G37" s="31" t="n">
        <v>228.8</v>
      </c>
      <c r="H37" s="32" t="n"/>
    </row>
    <row r="38">
      <c r="A38" t="inlineStr">
        <is>
          <t>PT10236</t>
        </is>
      </c>
      <c r="B38" t="inlineStr">
        <is>
          <t>Natalie</t>
        </is>
      </c>
      <c r="C38" t="inlineStr">
        <is>
          <t>Ortiz</t>
        </is>
      </c>
      <c r="D38" t="inlineStr">
        <is>
          <t>F</t>
        </is>
      </c>
      <c r="E38" s="30" t="n">
        <v>39092</v>
      </c>
      <c r="F38" s="31" t="n">
        <v>65.2</v>
      </c>
      <c r="G38" s="31" t="n">
        <v>116.4</v>
      </c>
      <c r="H38" s="32" t="n"/>
    </row>
    <row r="39">
      <c r="A39" t="inlineStr">
        <is>
          <t>PT10252</t>
        </is>
      </c>
      <c r="B39" t="inlineStr">
        <is>
          <t>Margaret</t>
        </is>
      </c>
      <c r="C39" t="inlineStr">
        <is>
          <t>Howard</t>
        </is>
      </c>
      <c r="D39" t="inlineStr">
        <is>
          <t>F</t>
        </is>
      </c>
      <c r="E39" s="30" t="n">
        <v>27534</v>
      </c>
      <c r="F39" s="31" t="n">
        <v>63.7</v>
      </c>
      <c r="G39" s="31" t="n">
        <v>184</v>
      </c>
      <c r="H39" s="32" t="n"/>
    </row>
    <row r="40">
      <c r="A40" t="inlineStr">
        <is>
          <t>PT10253</t>
        </is>
      </c>
      <c r="B40" t="inlineStr">
        <is>
          <t>Harold</t>
        </is>
      </c>
      <c r="C40" t="inlineStr">
        <is>
          <t>Woods</t>
        </is>
      </c>
      <c r="D40" t="inlineStr">
        <is>
          <t>M</t>
        </is>
      </c>
      <c r="E40" s="30" t="n">
        <v>22062</v>
      </c>
      <c r="F40" s="31" t="n">
        <v>71.59999999999999</v>
      </c>
      <c r="G40" s="31" t="n">
        <v>221.2</v>
      </c>
      <c r="H40" s="32" t="n"/>
    </row>
    <row r="41">
      <c r="A41" t="inlineStr">
        <is>
          <t>PT10254</t>
        </is>
      </c>
      <c r="B41" t="inlineStr">
        <is>
          <t>Deborah</t>
        </is>
      </c>
      <c r="C41" t="inlineStr">
        <is>
          <t>Hall</t>
        </is>
      </c>
      <c r="D41" t="inlineStr">
        <is>
          <t>F</t>
        </is>
      </c>
      <c r="E41" s="30" t="n">
        <v>36021</v>
      </c>
      <c r="F41" s="31" t="n">
        <v>64.90000000000001</v>
      </c>
      <c r="G41" s="31" t="n">
        <v>156.2</v>
      </c>
      <c r="H41" s="32" t="n"/>
    </row>
    <row r="42">
      <c r="A42" t="inlineStr">
        <is>
          <t>PT10258</t>
        </is>
      </c>
      <c r="B42" t="inlineStr">
        <is>
          <t>Dylan</t>
        </is>
      </c>
      <c r="C42" t="inlineStr">
        <is>
          <t>Brooks</t>
        </is>
      </c>
      <c r="D42" t="inlineStr">
        <is>
          <t>M</t>
        </is>
      </c>
      <c r="E42" s="30" t="n">
        <v>21098</v>
      </c>
      <c r="F42" s="31" t="n">
        <v>64.09999999999999</v>
      </c>
      <c r="G42" s="31" t="n">
        <v>207.7</v>
      </c>
      <c r="H42" s="32" t="n"/>
    </row>
    <row r="43">
      <c r="A43" t="inlineStr">
        <is>
          <t>PT10266</t>
        </is>
      </c>
      <c r="B43" t="inlineStr">
        <is>
          <t>Brenda</t>
        </is>
      </c>
      <c r="C43" t="inlineStr">
        <is>
          <t>Cooper</t>
        </is>
      </c>
      <c r="D43" t="inlineStr">
        <is>
          <t>F</t>
        </is>
      </c>
      <c r="E43" s="30" t="n">
        <v>34540</v>
      </c>
      <c r="F43" s="31" t="n">
        <v>68.09999999999999</v>
      </c>
      <c r="G43" s="31" t="n">
        <v>249</v>
      </c>
      <c r="H43" s="32" t="n"/>
    </row>
    <row r="44">
      <c r="A44" t="inlineStr">
        <is>
          <t>PT10299</t>
        </is>
      </c>
      <c r="B44" t="inlineStr">
        <is>
          <t>Leila</t>
        </is>
      </c>
      <c r="C44" t="inlineStr">
        <is>
          <t>Simpson</t>
        </is>
      </c>
      <c r="D44" t="inlineStr">
        <is>
          <t>F</t>
        </is>
      </c>
      <c r="E44" s="30" t="n">
        <v>24290</v>
      </c>
      <c r="F44" s="31" t="n">
        <v>62.4</v>
      </c>
      <c r="G44" s="31" t="n">
        <v>195.1</v>
      </c>
      <c r="H44" s="32" t="n"/>
    </row>
    <row r="45">
      <c r="A45" t="inlineStr">
        <is>
          <t>PT10306</t>
        </is>
      </c>
      <c r="B45" t="inlineStr">
        <is>
          <t>Alice</t>
        </is>
      </c>
      <c r="C45" t="inlineStr">
        <is>
          <t>Long</t>
        </is>
      </c>
      <c r="D45" t="inlineStr">
        <is>
          <t>F</t>
        </is>
      </c>
      <c r="E45" s="30" t="n">
        <v>21345</v>
      </c>
      <c r="F45" s="31" t="n">
        <v>60.9</v>
      </c>
      <c r="G45" s="31" t="n">
        <v>177.8</v>
      </c>
      <c r="H45" s="32" t="n"/>
    </row>
    <row r="46">
      <c r="A46" t="inlineStr">
        <is>
          <t>PT10315</t>
        </is>
      </c>
      <c r="B46" t="inlineStr">
        <is>
          <t>Amber</t>
        </is>
      </c>
      <c r="C46" t="inlineStr">
        <is>
          <t>Andrews</t>
        </is>
      </c>
      <c r="D46" t="inlineStr">
        <is>
          <t>F</t>
        </is>
      </c>
      <c r="E46" s="30" t="n">
        <v>17271</v>
      </c>
      <c r="F46" s="31" t="n">
        <v>65.90000000000001</v>
      </c>
      <c r="G46" s="31" t="n">
        <v>217.4</v>
      </c>
      <c r="H46" s="32" t="n"/>
    </row>
    <row r="47">
      <c r="A47" t="inlineStr">
        <is>
          <t>PT10319</t>
        </is>
      </c>
      <c r="B47" t="inlineStr">
        <is>
          <t>Karen</t>
        </is>
      </c>
      <c r="C47" t="inlineStr">
        <is>
          <t>Chavez</t>
        </is>
      </c>
      <c r="D47" t="inlineStr">
        <is>
          <t>F</t>
        </is>
      </c>
      <c r="E47" s="30" t="n">
        <v>12347</v>
      </c>
      <c r="F47" s="31" t="n">
        <v>65.5</v>
      </c>
      <c r="G47" s="31" t="n">
        <v>228.1</v>
      </c>
      <c r="H47" s="32" t="n"/>
    </row>
    <row r="48">
      <c r="A48" t="inlineStr">
        <is>
          <t>PT10328</t>
        </is>
      </c>
      <c r="B48" t="inlineStr">
        <is>
          <t>Helen</t>
        </is>
      </c>
      <c r="C48" t="inlineStr">
        <is>
          <t>Elliott</t>
        </is>
      </c>
      <c r="D48" t="inlineStr">
        <is>
          <t>F</t>
        </is>
      </c>
      <c r="E48" s="30" t="n">
        <v>26727</v>
      </c>
      <c r="F48" s="31" t="n">
        <v>62.8</v>
      </c>
      <c r="G48" s="31" t="n">
        <v>135.1</v>
      </c>
      <c r="H48" s="32" t="n"/>
    </row>
    <row r="49">
      <c r="A49" t="inlineStr">
        <is>
          <t>PT10332</t>
        </is>
      </c>
      <c r="B49" t="inlineStr">
        <is>
          <t>Christian</t>
        </is>
      </c>
      <c r="C49" t="inlineStr">
        <is>
          <t>Hughes</t>
        </is>
      </c>
      <c r="D49" t="inlineStr">
        <is>
          <t>M</t>
        </is>
      </c>
      <c r="E49" s="30" t="n">
        <v>19016</v>
      </c>
      <c r="F49" s="31" t="n">
        <v>73.7</v>
      </c>
      <c r="G49" s="31" t="n">
        <v>151.8</v>
      </c>
      <c r="H49" s="32" t="n"/>
    </row>
    <row r="50">
      <c r="A50" t="inlineStr">
        <is>
          <t>PT10337</t>
        </is>
      </c>
      <c r="B50" t="inlineStr">
        <is>
          <t>Kyle</t>
        </is>
      </c>
      <c r="C50" t="inlineStr">
        <is>
          <t>Castro</t>
        </is>
      </c>
      <c r="D50" t="inlineStr">
        <is>
          <t>M</t>
        </is>
      </c>
      <c r="E50" s="30" t="n">
        <v>12823</v>
      </c>
      <c r="F50" s="31" t="n">
        <v>70.7</v>
      </c>
      <c r="G50" s="31" t="n">
        <v>218.5</v>
      </c>
      <c r="H50" s="32" t="n"/>
    </row>
    <row r="51">
      <c r="A51" t="inlineStr">
        <is>
          <t>PT10369</t>
        </is>
      </c>
      <c r="B51" t="inlineStr">
        <is>
          <t>Victoria</t>
        </is>
      </c>
      <c r="C51" t="inlineStr">
        <is>
          <t>Hunt</t>
        </is>
      </c>
      <c r="D51" t="inlineStr">
        <is>
          <t>F</t>
        </is>
      </c>
      <c r="E51" s="30" t="n">
        <v>17694</v>
      </c>
      <c r="F51" s="31" t="n">
        <v>57.5</v>
      </c>
      <c r="G51" s="31" t="n">
        <v>140.6</v>
      </c>
      <c r="H51" s="32" t="n"/>
    </row>
    <row r="52">
      <c r="A52" t="inlineStr">
        <is>
          <t>PT10381</t>
        </is>
      </c>
      <c r="B52" t="inlineStr">
        <is>
          <t>Natalie</t>
        </is>
      </c>
      <c r="C52" t="inlineStr">
        <is>
          <t>Flores</t>
        </is>
      </c>
      <c r="D52" t="inlineStr">
        <is>
          <t>F</t>
        </is>
      </c>
      <c r="E52" s="30" t="n">
        <v>20010</v>
      </c>
      <c r="F52" s="31" t="n">
        <v>65.3</v>
      </c>
      <c r="G52" s="31" t="n">
        <v>209.9</v>
      </c>
      <c r="H52" s="32" t="n"/>
    </row>
    <row r="53">
      <c r="A53" t="inlineStr">
        <is>
          <t>PT10384</t>
        </is>
      </c>
      <c r="B53" t="inlineStr">
        <is>
          <t>Janice</t>
        </is>
      </c>
      <c r="C53" t="inlineStr">
        <is>
          <t>Bryant</t>
        </is>
      </c>
      <c r="D53" t="inlineStr">
        <is>
          <t>F</t>
        </is>
      </c>
      <c r="E53" s="30" t="n">
        <v>17860</v>
      </c>
      <c r="F53" s="31" t="n">
        <v>64.40000000000001</v>
      </c>
      <c r="G53" s="31" t="n">
        <v>212.9</v>
      </c>
      <c r="H53" s="32" t="n"/>
    </row>
    <row r="54">
      <c r="A54" t="inlineStr">
        <is>
          <t>PT10387</t>
        </is>
      </c>
      <c r="B54" t="inlineStr">
        <is>
          <t>Doris</t>
        </is>
      </c>
      <c r="C54" t="inlineStr">
        <is>
          <t>Black</t>
        </is>
      </c>
      <c r="D54" t="inlineStr">
        <is>
          <t>F</t>
        </is>
      </c>
      <c r="E54" s="30" t="n">
        <v>12469</v>
      </c>
      <c r="F54" s="31" t="n">
        <v>62.9</v>
      </c>
      <c r="G54" s="31" t="n">
        <v>165</v>
      </c>
      <c r="H54" s="32" t="n"/>
    </row>
    <row r="55">
      <c r="A55" t="inlineStr">
        <is>
          <t>PT10398</t>
        </is>
      </c>
      <c r="B55" t="inlineStr">
        <is>
          <t>Katherine</t>
        </is>
      </c>
      <c r="C55" t="inlineStr">
        <is>
          <t>Gonzales</t>
        </is>
      </c>
      <c r="D55" t="inlineStr">
        <is>
          <t>F</t>
        </is>
      </c>
      <c r="E55" s="30" t="n">
        <v>18558</v>
      </c>
      <c r="F55" s="31" t="n">
        <v>63.5</v>
      </c>
      <c r="G55" s="31" t="n">
        <v>188.8</v>
      </c>
      <c r="H55" s="32" t="n"/>
    </row>
    <row r="56">
      <c r="A56" t="inlineStr">
        <is>
          <t>PT10409</t>
        </is>
      </c>
      <c r="B56" t="inlineStr">
        <is>
          <t>Grace</t>
        </is>
      </c>
      <c r="C56" t="inlineStr">
        <is>
          <t>Bryant</t>
        </is>
      </c>
      <c r="D56" t="inlineStr">
        <is>
          <t>F</t>
        </is>
      </c>
      <c r="E56" s="30" t="n">
        <v>16174</v>
      </c>
      <c r="F56" s="31" t="n">
        <v>66.5</v>
      </c>
      <c r="G56" s="31" t="n">
        <v>255.9</v>
      </c>
      <c r="H56" s="32" t="n"/>
    </row>
    <row r="57">
      <c r="A57" t="inlineStr">
        <is>
          <t>PT10411</t>
        </is>
      </c>
      <c r="B57" t="inlineStr">
        <is>
          <t>Heather</t>
        </is>
      </c>
      <c r="C57" t="inlineStr">
        <is>
          <t>Perkins</t>
        </is>
      </c>
      <c r="D57" t="inlineStr">
        <is>
          <t>F</t>
        </is>
      </c>
      <c r="E57" s="30" t="n">
        <v>17571</v>
      </c>
      <c r="F57" s="31" t="n">
        <v>64</v>
      </c>
      <c r="G57" s="31" t="n">
        <v>128.1</v>
      </c>
      <c r="H57" s="32" t="n"/>
    </row>
    <row r="58">
      <c r="A58" t="inlineStr">
        <is>
          <t>PT10422</t>
        </is>
      </c>
      <c r="B58" t="inlineStr">
        <is>
          <t>Kenneth</t>
        </is>
      </c>
      <c r="C58" t="inlineStr">
        <is>
          <t>Daniels</t>
        </is>
      </c>
      <c r="D58" t="inlineStr">
        <is>
          <t>M</t>
        </is>
      </c>
      <c r="E58" s="30" t="n">
        <v>17086</v>
      </c>
      <c r="F58" s="31" t="n">
        <v>69.3</v>
      </c>
      <c r="G58" s="31" t="n">
        <v>289.8</v>
      </c>
      <c r="H58" s="32" t="n"/>
    </row>
    <row r="59">
      <c r="A59" t="inlineStr">
        <is>
          <t>PT10438</t>
        </is>
      </c>
      <c r="B59" t="inlineStr">
        <is>
          <t>Douglas</t>
        </is>
      </c>
      <c r="C59" t="inlineStr">
        <is>
          <t>Freeman</t>
        </is>
      </c>
      <c r="D59" t="inlineStr">
        <is>
          <t>M</t>
        </is>
      </c>
      <c r="E59" s="30" t="n">
        <v>37565</v>
      </c>
      <c r="F59" s="31" t="n">
        <v>71.40000000000001</v>
      </c>
      <c r="G59" s="31" t="n">
        <v>166.1</v>
      </c>
      <c r="H59" s="32" t="n"/>
    </row>
    <row r="60">
      <c r="A60" t="inlineStr">
        <is>
          <t>PT10455</t>
        </is>
      </c>
      <c r="B60" t="inlineStr">
        <is>
          <t>Teresa</t>
        </is>
      </c>
      <c r="C60" t="inlineStr">
        <is>
          <t>Reynolds</t>
        </is>
      </c>
      <c r="D60" t="inlineStr">
        <is>
          <t>F</t>
        </is>
      </c>
      <c r="E60" s="30" t="n">
        <v>26167</v>
      </c>
      <c r="F60" s="31" t="n">
        <v>62.6</v>
      </c>
      <c r="G60" s="31" t="n">
        <v>157.4</v>
      </c>
      <c r="H60" s="32" t="n"/>
    </row>
    <row r="61">
      <c r="A61" t="inlineStr">
        <is>
          <t>PT10460</t>
        </is>
      </c>
      <c r="B61" t="inlineStr">
        <is>
          <t>Evelyn</t>
        </is>
      </c>
      <c r="C61" t="inlineStr">
        <is>
          <t>Hart</t>
        </is>
      </c>
      <c r="D61" t="inlineStr">
        <is>
          <t>F</t>
        </is>
      </c>
      <c r="E61" s="30" t="n">
        <v>23831</v>
      </c>
      <c r="F61" s="31" t="n">
        <v>65.40000000000001</v>
      </c>
      <c r="G61" s="31" t="n">
        <v>164.8</v>
      </c>
      <c r="H61" s="32" t="n"/>
    </row>
    <row r="62">
      <c r="A62" t="inlineStr">
        <is>
          <t>PT10461</t>
        </is>
      </c>
      <c r="B62" t="inlineStr">
        <is>
          <t>Brian</t>
        </is>
      </c>
      <c r="C62" t="inlineStr">
        <is>
          <t>Parker</t>
        </is>
      </c>
      <c r="D62" t="inlineStr">
        <is>
          <t>M</t>
        </is>
      </c>
      <c r="E62" s="30" t="n">
        <v>21997</v>
      </c>
      <c r="F62" s="31" t="n">
        <v>68.40000000000001</v>
      </c>
      <c r="G62" s="31" t="n">
        <v>191.4</v>
      </c>
      <c r="H62" s="32" t="n"/>
    </row>
    <row r="63">
      <c r="A63" t="inlineStr">
        <is>
          <t>PT10463</t>
        </is>
      </c>
      <c r="B63" t="inlineStr">
        <is>
          <t>Donna</t>
        </is>
      </c>
      <c r="C63" t="inlineStr">
        <is>
          <t>Owens</t>
        </is>
      </c>
      <c r="D63" t="inlineStr">
        <is>
          <t>F</t>
        </is>
      </c>
      <c r="E63" s="30" t="n">
        <v>15000</v>
      </c>
      <c r="F63" s="31" t="n">
        <v>67.59999999999999</v>
      </c>
      <c r="G63" s="31" t="n">
        <v>226.2</v>
      </c>
      <c r="H63" s="32" t="n"/>
    </row>
    <row r="64">
      <c r="A64" t="inlineStr">
        <is>
          <t>PT10471</t>
        </is>
      </c>
      <c r="B64" t="inlineStr">
        <is>
          <t>Terry</t>
        </is>
      </c>
      <c r="C64" t="inlineStr">
        <is>
          <t>Berry</t>
        </is>
      </c>
      <c r="D64" t="inlineStr">
        <is>
          <t>M</t>
        </is>
      </c>
      <c r="E64" s="30" t="n">
        <v>22457</v>
      </c>
      <c r="F64" s="31" t="n">
        <v>67.59999999999999</v>
      </c>
      <c r="G64" s="31" t="n">
        <v>168.5</v>
      </c>
      <c r="H64" s="32" t="n"/>
    </row>
    <row r="65">
      <c r="A65" t="inlineStr">
        <is>
          <t>PT10473</t>
        </is>
      </c>
      <c r="B65" t="inlineStr">
        <is>
          <t>Heather</t>
        </is>
      </c>
      <c r="C65" t="inlineStr">
        <is>
          <t>Crawford</t>
        </is>
      </c>
      <c r="D65" t="inlineStr">
        <is>
          <t>F</t>
        </is>
      </c>
      <c r="E65" s="30" t="n">
        <v>19893</v>
      </c>
      <c r="F65" s="31" t="n">
        <v>64.7</v>
      </c>
      <c r="G65" s="31" t="n">
        <v>137.3</v>
      </c>
      <c r="H65" s="32" t="n"/>
    </row>
    <row r="66">
      <c r="A66" t="inlineStr">
        <is>
          <t>PT10475</t>
        </is>
      </c>
      <c r="B66" t="inlineStr">
        <is>
          <t>Christian</t>
        </is>
      </c>
      <c r="C66" t="inlineStr">
        <is>
          <t>Henderson</t>
        </is>
      </c>
      <c r="D66" t="inlineStr">
        <is>
          <t>M</t>
        </is>
      </c>
      <c r="E66" s="30" t="n">
        <v>23858</v>
      </c>
      <c r="F66" s="31" t="n">
        <v>69.2</v>
      </c>
      <c r="G66" s="31" t="n">
        <v>177</v>
      </c>
      <c r="H66" s="32" t="n"/>
    </row>
    <row r="67">
      <c r="A67" t="inlineStr">
        <is>
          <t>PT10476</t>
        </is>
      </c>
      <c r="B67" t="inlineStr">
        <is>
          <t>Barbara</t>
        </is>
      </c>
      <c r="C67" t="inlineStr">
        <is>
          <t>Kelley</t>
        </is>
      </c>
      <c r="D67" t="inlineStr">
        <is>
          <t>F</t>
        </is>
      </c>
      <c r="E67" s="30" t="n">
        <v>26861</v>
      </c>
      <c r="F67" s="31" t="n">
        <v>65</v>
      </c>
      <c r="G67" s="31" t="n">
        <v>170.6</v>
      </c>
      <c r="H67" s="32" t="n"/>
    </row>
    <row r="68">
      <c r="A68" t="inlineStr">
        <is>
          <t>PT10495</t>
        </is>
      </c>
      <c r="B68" t="inlineStr">
        <is>
          <t>Henry</t>
        </is>
      </c>
      <c r="C68" t="inlineStr">
        <is>
          <t>Bennett</t>
        </is>
      </c>
      <c r="D68" t="inlineStr">
        <is>
          <t>M</t>
        </is>
      </c>
      <c r="E68" s="30" t="n">
        <v>9853</v>
      </c>
      <c r="F68" s="31" t="n">
        <v>66.5</v>
      </c>
      <c r="G68" s="31" t="n">
        <v>232.5</v>
      </c>
      <c r="H68" s="32" t="n"/>
    </row>
    <row r="69">
      <c r="A69" t="inlineStr">
        <is>
          <t>PT10498</t>
        </is>
      </c>
      <c r="B69" t="inlineStr">
        <is>
          <t>Jeffrey</t>
        </is>
      </c>
      <c r="C69" t="inlineStr">
        <is>
          <t>Gomez</t>
        </is>
      </c>
      <c r="D69" t="inlineStr">
        <is>
          <t>M</t>
        </is>
      </c>
      <c r="E69" s="30" t="n">
        <v>34107</v>
      </c>
      <c r="F69" s="31" t="n">
        <v>67.59999999999999</v>
      </c>
      <c r="G69" s="31" t="n">
        <v>147.2</v>
      </c>
      <c r="H69" s="32" t="n"/>
    </row>
    <row r="70">
      <c r="A70" t="inlineStr">
        <is>
          <t>PT10506</t>
        </is>
      </c>
      <c r="B70" t="inlineStr">
        <is>
          <t>Larry</t>
        </is>
      </c>
      <c r="C70" t="inlineStr">
        <is>
          <t>Roberts</t>
        </is>
      </c>
      <c r="D70" t="inlineStr">
        <is>
          <t>M</t>
        </is>
      </c>
      <c r="E70" s="30" t="n">
        <v>39432</v>
      </c>
      <c r="F70" s="31" t="n">
        <v>67.5</v>
      </c>
      <c r="G70" s="31" t="n">
        <v>164.4</v>
      </c>
      <c r="H70" s="32" t="n"/>
    </row>
    <row r="71">
      <c r="A71" t="inlineStr">
        <is>
          <t>PT10510</t>
        </is>
      </c>
      <c r="B71" t="inlineStr">
        <is>
          <t>Wei</t>
        </is>
      </c>
      <c r="C71" t="inlineStr">
        <is>
          <t>Spencer</t>
        </is>
      </c>
      <c r="D71" t="inlineStr">
        <is>
          <t>M</t>
        </is>
      </c>
      <c r="E71" s="30" t="n">
        <v>29264</v>
      </c>
      <c r="F71" s="31" t="n">
        <v>73.3</v>
      </c>
      <c r="G71" s="31" t="n">
        <v>255</v>
      </c>
      <c r="H71" s="32" t="n"/>
    </row>
    <row r="72">
      <c r="A72" t="inlineStr">
        <is>
          <t>PT10513</t>
        </is>
      </c>
      <c r="B72" t="inlineStr">
        <is>
          <t>Ryan</t>
        </is>
      </c>
      <c r="C72" t="inlineStr">
        <is>
          <t>Cooper</t>
        </is>
      </c>
      <c r="D72" t="inlineStr">
        <is>
          <t>M</t>
        </is>
      </c>
      <c r="E72" s="30" t="n">
        <v>26471</v>
      </c>
      <c r="F72" s="31" t="n">
        <v>67.59999999999999</v>
      </c>
      <c r="G72" s="31" t="n">
        <v>125.7</v>
      </c>
      <c r="H72" s="32" t="n"/>
    </row>
    <row r="73">
      <c r="A73" t="inlineStr">
        <is>
          <t>PT10519</t>
        </is>
      </c>
      <c r="B73" t="inlineStr">
        <is>
          <t>Linh</t>
        </is>
      </c>
      <c r="C73" t="inlineStr">
        <is>
          <t>Riley</t>
        </is>
      </c>
      <c r="D73" t="inlineStr">
        <is>
          <t>F</t>
        </is>
      </c>
      <c r="E73" s="30" t="n">
        <v>19271</v>
      </c>
      <c r="F73" s="31" t="n">
        <v>69.7</v>
      </c>
      <c r="G73" s="31" t="n">
        <v>195.3</v>
      </c>
      <c r="H73" s="32" t="n"/>
    </row>
    <row r="74">
      <c r="A74" t="inlineStr">
        <is>
          <t>PT10523</t>
        </is>
      </c>
      <c r="B74" t="inlineStr">
        <is>
          <t>Doris</t>
        </is>
      </c>
      <c r="C74" t="inlineStr">
        <is>
          <t>Abbott</t>
        </is>
      </c>
      <c r="D74" t="inlineStr">
        <is>
          <t>F</t>
        </is>
      </c>
      <c r="E74" s="30" t="n">
        <v>20568</v>
      </c>
      <c r="F74" s="31" t="n">
        <v>64.7</v>
      </c>
      <c r="G74" s="31" t="n">
        <v>175.3</v>
      </c>
      <c r="H74" s="32" t="n"/>
    </row>
    <row r="75">
      <c r="A75" t="inlineStr">
        <is>
          <t>PT10532</t>
        </is>
      </c>
      <c r="B75" t="inlineStr">
        <is>
          <t>Nancy</t>
        </is>
      </c>
      <c r="C75" t="inlineStr">
        <is>
          <t>Pierce</t>
        </is>
      </c>
      <c r="D75" t="inlineStr">
        <is>
          <t>F</t>
        </is>
      </c>
      <c r="E75" s="30" t="n">
        <v>37739</v>
      </c>
      <c r="F75" s="31" t="n">
        <v>66.59999999999999</v>
      </c>
      <c r="G75" s="31" t="n">
        <v>240.4</v>
      </c>
      <c r="H75" s="32" t="n"/>
    </row>
    <row r="76">
      <c r="A76" t="inlineStr">
        <is>
          <t>PT10537</t>
        </is>
      </c>
      <c r="B76" t="inlineStr">
        <is>
          <t>Omar</t>
        </is>
      </c>
      <c r="C76" t="inlineStr">
        <is>
          <t>Gray</t>
        </is>
      </c>
      <c r="D76" t="inlineStr">
        <is>
          <t>M</t>
        </is>
      </c>
      <c r="E76" s="30" t="n">
        <v>37028</v>
      </c>
      <c r="F76" s="31" t="n">
        <v>74.40000000000001</v>
      </c>
      <c r="G76" s="31" t="n">
        <v>237.1</v>
      </c>
      <c r="H76" s="32" t="n"/>
    </row>
    <row r="77">
      <c r="A77" t="inlineStr">
        <is>
          <t>PT10547</t>
        </is>
      </c>
      <c r="B77" t="inlineStr">
        <is>
          <t>Lauren</t>
        </is>
      </c>
      <c r="C77" t="inlineStr">
        <is>
          <t>Knight</t>
        </is>
      </c>
      <c r="D77" t="inlineStr">
        <is>
          <t>F</t>
        </is>
      </c>
      <c r="E77" s="30" t="n">
        <v>33208</v>
      </c>
      <c r="F77" s="31" t="n">
        <v>60.7</v>
      </c>
      <c r="G77" s="31" t="n">
        <v>158.9</v>
      </c>
      <c r="H77" s="32" t="n"/>
    </row>
    <row r="78">
      <c r="A78" t="inlineStr">
        <is>
          <t>PT10550</t>
        </is>
      </c>
      <c r="B78" t="inlineStr">
        <is>
          <t>Paul</t>
        </is>
      </c>
      <c r="C78" t="inlineStr">
        <is>
          <t>Soto</t>
        </is>
      </c>
      <c r="D78" t="inlineStr">
        <is>
          <t>M</t>
        </is>
      </c>
      <c r="E78" s="30" t="n">
        <v>19135</v>
      </c>
      <c r="F78" s="31" t="n">
        <v>66</v>
      </c>
      <c r="G78" s="31" t="n">
        <v>133.5</v>
      </c>
      <c r="H78" s="32" t="n"/>
    </row>
    <row r="79">
      <c r="A79" t="inlineStr">
        <is>
          <t>PT10568</t>
        </is>
      </c>
      <c r="B79" t="inlineStr">
        <is>
          <t>Michael</t>
        </is>
      </c>
      <c r="C79" t="inlineStr">
        <is>
          <t>Shaw</t>
        </is>
      </c>
      <c r="D79" t="inlineStr">
        <is>
          <t>M</t>
        </is>
      </c>
      <c r="E79" s="30" t="n">
        <v>19491</v>
      </c>
      <c r="F79" s="31" t="n">
        <v>76.90000000000001</v>
      </c>
      <c r="G79" s="31" t="n">
        <v>243.6</v>
      </c>
      <c r="H79" s="32" t="n"/>
    </row>
    <row r="80">
      <c r="A80" t="inlineStr">
        <is>
          <t>PT10589</t>
        </is>
      </c>
      <c r="B80" t="inlineStr">
        <is>
          <t>Philip</t>
        </is>
      </c>
      <c r="C80" t="inlineStr">
        <is>
          <t>Contreras</t>
        </is>
      </c>
      <c r="D80" t="inlineStr">
        <is>
          <t>M</t>
        </is>
      </c>
      <c r="E80" s="30" t="n">
        <v>23831</v>
      </c>
      <c r="F80" s="31" t="n">
        <v>64.40000000000001</v>
      </c>
      <c r="G80" s="31" t="n">
        <v>122.2</v>
      </c>
      <c r="H80" s="32" t="n"/>
    </row>
    <row r="81">
      <c r="A81" t="inlineStr">
        <is>
          <t>PT10591</t>
        </is>
      </c>
      <c r="B81" t="inlineStr">
        <is>
          <t>Jacob</t>
        </is>
      </c>
      <c r="C81" t="inlineStr">
        <is>
          <t>Gordon</t>
        </is>
      </c>
      <c r="D81" t="inlineStr">
        <is>
          <t>M</t>
        </is>
      </c>
      <c r="E81" s="30" t="n">
        <v>18106</v>
      </c>
      <c r="F81" s="31" t="n">
        <v>68.7</v>
      </c>
      <c r="G81" s="31" t="n">
        <v>213</v>
      </c>
      <c r="H81" s="32" t="n"/>
    </row>
    <row r="82">
      <c r="A82" t="inlineStr">
        <is>
          <t>PT10601</t>
        </is>
      </c>
      <c r="B82" t="inlineStr">
        <is>
          <t>Grace</t>
        </is>
      </c>
      <c r="C82" t="inlineStr">
        <is>
          <t>Holmes</t>
        </is>
      </c>
      <c r="D82" t="inlineStr">
        <is>
          <t>F</t>
        </is>
      </c>
      <c r="E82" s="30" t="n">
        <v>28365</v>
      </c>
      <c r="F82" s="31" t="n">
        <v>64</v>
      </c>
      <c r="G82" s="31" t="n">
        <v>177.8</v>
      </c>
      <c r="H82" s="32" t="n"/>
    </row>
    <row r="83">
      <c r="A83" t="inlineStr">
        <is>
          <t>PT10606</t>
        </is>
      </c>
      <c r="B83" t="inlineStr">
        <is>
          <t>Ruth</t>
        </is>
      </c>
      <c r="C83" t="inlineStr">
        <is>
          <t>Alvarez</t>
        </is>
      </c>
      <c r="D83" t="inlineStr">
        <is>
          <t>F</t>
        </is>
      </c>
      <c r="E83" s="30" t="n">
        <v>20640</v>
      </c>
      <c r="F83" s="31" t="n">
        <v>63.4</v>
      </c>
      <c r="G83" s="31" t="n">
        <v>135.7</v>
      </c>
      <c r="H83" s="32" t="n"/>
    </row>
    <row r="84">
      <c r="A84" t="inlineStr">
        <is>
          <t>PT10607</t>
        </is>
      </c>
      <c r="B84" t="inlineStr">
        <is>
          <t>Janice</t>
        </is>
      </c>
      <c r="C84" t="inlineStr">
        <is>
          <t>Ortiz</t>
        </is>
      </c>
      <c r="D84" t="inlineStr">
        <is>
          <t>F</t>
        </is>
      </c>
      <c r="E84" s="30" t="n">
        <v>20725</v>
      </c>
      <c r="F84" s="31" t="n">
        <v>66.3</v>
      </c>
      <c r="G84" s="31" t="n">
        <v>199.4</v>
      </c>
      <c r="H84" s="32" t="n"/>
    </row>
    <row r="85">
      <c r="A85" t="inlineStr">
        <is>
          <t>PT10610</t>
        </is>
      </c>
      <c r="B85" t="inlineStr">
        <is>
          <t>Sandra</t>
        </is>
      </c>
      <c r="C85" t="inlineStr">
        <is>
          <t>Hall</t>
        </is>
      </c>
      <c r="D85" t="inlineStr">
        <is>
          <t>F</t>
        </is>
      </c>
      <c r="E85" s="30" t="n">
        <v>32644</v>
      </c>
      <c r="F85" s="31" t="n">
        <v>62.9</v>
      </c>
      <c r="G85" s="31" t="n">
        <v>150</v>
      </c>
      <c r="H85" s="32" t="n"/>
    </row>
    <row r="86">
      <c r="A86" t="inlineStr">
        <is>
          <t>PT10611</t>
        </is>
      </c>
      <c r="B86" t="inlineStr">
        <is>
          <t>Beverly</t>
        </is>
      </c>
      <c r="C86" t="inlineStr">
        <is>
          <t>Evans</t>
        </is>
      </c>
      <c r="D86" t="inlineStr">
        <is>
          <t>F</t>
        </is>
      </c>
      <c r="E86" s="30" t="n">
        <v>29792</v>
      </c>
      <c r="F86" s="31" t="n">
        <v>66</v>
      </c>
      <c r="G86" s="31" t="n">
        <v>168.5</v>
      </c>
      <c r="H86" s="32" t="n"/>
    </row>
    <row r="87">
      <c r="A87" t="inlineStr">
        <is>
          <t>PT10612</t>
        </is>
      </c>
      <c r="B87" t="inlineStr">
        <is>
          <t>Elizabeth</t>
        </is>
      </c>
      <c r="C87" t="inlineStr">
        <is>
          <t>Armstrong</t>
        </is>
      </c>
      <c r="D87" t="inlineStr">
        <is>
          <t>F</t>
        </is>
      </c>
      <c r="E87" s="30" t="n">
        <v>20690</v>
      </c>
      <c r="F87" s="31" t="n">
        <v>61.6</v>
      </c>
      <c r="G87" s="31" t="n">
        <v>205.5</v>
      </c>
      <c r="H87" s="32" t="n"/>
    </row>
    <row r="88">
      <c r="A88" t="inlineStr">
        <is>
          <t>PT10618</t>
        </is>
      </c>
      <c r="B88" t="inlineStr">
        <is>
          <t>Robert</t>
        </is>
      </c>
      <c r="C88" t="inlineStr">
        <is>
          <t>Kowalski</t>
        </is>
      </c>
      <c r="D88" t="inlineStr">
        <is>
          <t>M</t>
        </is>
      </c>
      <c r="E88" s="30" t="n">
        <v>17745</v>
      </c>
      <c r="F88" s="31" t="n">
        <v>70.90000000000001</v>
      </c>
      <c r="G88" s="31" t="n">
        <v>267.3</v>
      </c>
      <c r="H88" s="32" t="n"/>
    </row>
    <row r="89">
      <c r="A89" t="inlineStr">
        <is>
          <t>PT10622</t>
        </is>
      </c>
      <c r="B89" t="inlineStr">
        <is>
          <t>Virginia</t>
        </is>
      </c>
      <c r="C89" t="inlineStr">
        <is>
          <t>Marshall</t>
        </is>
      </c>
      <c r="D89" t="inlineStr">
        <is>
          <t>F</t>
        </is>
      </c>
      <c r="E89" s="30" t="n">
        <v>37251</v>
      </c>
      <c r="F89" s="31" t="n">
        <v>59.9</v>
      </c>
      <c r="G89" s="31" t="n">
        <v>105.1</v>
      </c>
      <c r="H89" s="32" t="n"/>
    </row>
    <row r="90">
      <c r="A90" t="inlineStr">
        <is>
          <t>PT10628</t>
        </is>
      </c>
      <c r="B90" t="inlineStr">
        <is>
          <t>Victoria</t>
        </is>
      </c>
      <c r="C90" t="inlineStr">
        <is>
          <t>Patel</t>
        </is>
      </c>
      <c r="D90" t="inlineStr">
        <is>
          <t>F</t>
        </is>
      </c>
      <c r="E90" s="30" t="n">
        <v>16808</v>
      </c>
      <c r="F90" s="31" t="n">
        <v>63</v>
      </c>
      <c r="G90" s="31" t="n">
        <v>230.1</v>
      </c>
      <c r="H90" s="32" t="n"/>
    </row>
    <row r="91">
      <c r="A91" t="inlineStr">
        <is>
          <t>PT10629</t>
        </is>
      </c>
      <c r="B91" t="inlineStr">
        <is>
          <t>Gloria</t>
        </is>
      </c>
      <c r="C91" t="inlineStr">
        <is>
          <t>Mitchell</t>
        </is>
      </c>
      <c r="D91" t="inlineStr">
        <is>
          <t>F</t>
        </is>
      </c>
      <c r="E91" s="30" t="n">
        <v>38950</v>
      </c>
      <c r="F91" s="31" t="n">
        <v>64.8</v>
      </c>
      <c r="G91" s="31" t="n">
        <v>158.1</v>
      </c>
      <c r="H91" s="32" t="n"/>
    </row>
    <row r="92">
      <c r="A92" t="inlineStr">
        <is>
          <t>PT10644</t>
        </is>
      </c>
      <c r="B92" t="inlineStr">
        <is>
          <t>Edward</t>
        </is>
      </c>
      <c r="C92" t="inlineStr">
        <is>
          <t>Pierce</t>
        </is>
      </c>
      <c r="D92" t="inlineStr">
        <is>
          <t>M</t>
        </is>
      </c>
      <c r="E92" s="30" t="n">
        <v>14544</v>
      </c>
      <c r="F92" s="31" t="n">
        <v>62.9</v>
      </c>
      <c r="G92" s="31" t="n">
        <v>178.9</v>
      </c>
      <c r="H92" s="32" t="n"/>
    </row>
    <row r="93">
      <c r="A93" t="inlineStr">
        <is>
          <t>PT10650</t>
        </is>
      </c>
      <c r="B93" t="inlineStr">
        <is>
          <t>Samuel</t>
        </is>
      </c>
      <c r="C93" t="inlineStr">
        <is>
          <t>Duncan</t>
        </is>
      </c>
      <c r="D93" t="inlineStr">
        <is>
          <t>M</t>
        </is>
      </c>
      <c r="E93" s="30" t="n">
        <v>18145</v>
      </c>
      <c r="F93" s="31" t="n">
        <v>73.3</v>
      </c>
      <c r="G93" s="31" t="n">
        <v>212.7</v>
      </c>
      <c r="H93" s="32" t="n"/>
    </row>
    <row r="94">
      <c r="A94" t="inlineStr">
        <is>
          <t>PT10658</t>
        </is>
      </c>
      <c r="B94" t="inlineStr">
        <is>
          <t>Jason</t>
        </is>
      </c>
      <c r="C94" t="inlineStr">
        <is>
          <t>Lawrence</t>
        </is>
      </c>
      <c r="D94" t="inlineStr">
        <is>
          <t>M</t>
        </is>
      </c>
      <c r="E94" s="30" t="n">
        <v>28580</v>
      </c>
      <c r="F94" s="31" t="n">
        <v>69.09999999999999</v>
      </c>
      <c r="G94" s="31" t="n">
        <v>263</v>
      </c>
      <c r="H94" s="32" t="n"/>
    </row>
    <row r="95">
      <c r="A95" t="inlineStr">
        <is>
          <t>PT10659</t>
        </is>
      </c>
      <c r="B95" t="inlineStr">
        <is>
          <t>Sandra</t>
        </is>
      </c>
      <c r="C95" t="inlineStr">
        <is>
          <t>Guzman</t>
        </is>
      </c>
      <c r="D95" t="inlineStr">
        <is>
          <t>F</t>
        </is>
      </c>
      <c r="E95" s="30" t="n">
        <v>30953</v>
      </c>
      <c r="F95" s="31" t="n">
        <v>65.2</v>
      </c>
      <c r="G95" s="31" t="n">
        <v>167.6</v>
      </c>
      <c r="H95" s="32" t="n"/>
    </row>
    <row r="96">
      <c r="A96" t="inlineStr">
        <is>
          <t>PT10660</t>
        </is>
      </c>
      <c r="B96" t="inlineStr">
        <is>
          <t>Sandra</t>
        </is>
      </c>
      <c r="C96" t="inlineStr">
        <is>
          <t>Mills</t>
        </is>
      </c>
      <c r="D96" t="inlineStr">
        <is>
          <t>F</t>
        </is>
      </c>
      <c r="E96" s="30" t="n">
        <v>31876</v>
      </c>
      <c r="F96" s="31" t="n">
        <v>66.59999999999999</v>
      </c>
      <c r="G96" s="31" t="n">
        <v>173.4</v>
      </c>
      <c r="H96" s="32" t="n"/>
    </row>
    <row r="97">
      <c r="A97" t="inlineStr">
        <is>
          <t>PT10662</t>
        </is>
      </c>
      <c r="B97" t="inlineStr">
        <is>
          <t>Cheryl</t>
        </is>
      </c>
      <c r="C97" t="inlineStr">
        <is>
          <t>Hoffman</t>
        </is>
      </c>
      <c r="D97" t="inlineStr">
        <is>
          <t>F</t>
        </is>
      </c>
      <c r="E97" s="30" t="n">
        <v>13880</v>
      </c>
      <c r="F97" s="31" t="n">
        <v>64.7</v>
      </c>
      <c r="G97" s="31" t="n">
        <v>170.5</v>
      </c>
      <c r="H97" s="32" t="n"/>
    </row>
    <row r="98">
      <c r="A98" t="inlineStr">
        <is>
          <t>PT10663</t>
        </is>
      </c>
      <c r="B98" t="inlineStr">
        <is>
          <t>Eugene</t>
        </is>
      </c>
      <c r="C98" t="inlineStr">
        <is>
          <t>Alvarez</t>
        </is>
      </c>
      <c r="D98" t="inlineStr">
        <is>
          <t>M</t>
        </is>
      </c>
      <c r="E98" s="30" t="n">
        <v>18040</v>
      </c>
      <c r="F98" s="31" t="n">
        <v>71.5</v>
      </c>
      <c r="G98" s="31" t="n">
        <v>217</v>
      </c>
      <c r="H98" s="32" t="n"/>
    </row>
    <row r="99">
      <c r="A99" t="inlineStr">
        <is>
          <t>PT10667</t>
        </is>
      </c>
      <c r="B99" t="inlineStr">
        <is>
          <t>Pamela</t>
        </is>
      </c>
      <c r="C99" t="inlineStr">
        <is>
          <t>Murphy</t>
        </is>
      </c>
      <c r="D99" t="inlineStr">
        <is>
          <t>F</t>
        </is>
      </c>
      <c r="E99" s="30" t="n">
        <v>26068</v>
      </c>
      <c r="F99" s="31" t="n">
        <v>62.1</v>
      </c>
      <c r="G99" s="31" t="n">
        <v>193.8</v>
      </c>
      <c r="H99" s="32" t="n"/>
    </row>
    <row r="100">
      <c r="A100" t="inlineStr">
        <is>
          <t>PT10668</t>
        </is>
      </c>
      <c r="B100" t="inlineStr">
        <is>
          <t>Lisa</t>
        </is>
      </c>
      <c r="C100" t="inlineStr">
        <is>
          <t>Munoz</t>
        </is>
      </c>
      <c r="D100" t="inlineStr">
        <is>
          <t>F</t>
        </is>
      </c>
      <c r="E100" s="30" t="n">
        <v>18878</v>
      </c>
      <c r="F100" s="31" t="n">
        <v>66.09999999999999</v>
      </c>
      <c r="G100" s="31" t="n">
        <v>102.5</v>
      </c>
      <c r="H100" s="32" t="n"/>
    </row>
    <row r="101">
      <c r="A101" t="inlineStr">
        <is>
          <t>PT10672</t>
        </is>
      </c>
      <c r="B101" t="inlineStr">
        <is>
          <t>Richard</t>
        </is>
      </c>
      <c r="C101" t="inlineStr">
        <is>
          <t>Grant</t>
        </is>
      </c>
      <c r="D101" t="inlineStr">
        <is>
          <t>M</t>
        </is>
      </c>
      <c r="E101" s="30" t="n">
        <v>34517</v>
      </c>
      <c r="F101" s="31" t="n">
        <v>72.09999999999999</v>
      </c>
      <c r="G101" s="31" t="n">
        <v>294.2</v>
      </c>
      <c r="H101" s="32" t="n"/>
    </row>
    <row r="102">
      <c r="A102" t="inlineStr">
        <is>
          <t>PT10673</t>
        </is>
      </c>
      <c r="B102" t="inlineStr">
        <is>
          <t>Barbara</t>
        </is>
      </c>
      <c r="C102" t="inlineStr">
        <is>
          <t>Gomez</t>
        </is>
      </c>
      <c r="D102" t="inlineStr">
        <is>
          <t>F</t>
        </is>
      </c>
      <c r="E102" s="30" t="n">
        <v>22584</v>
      </c>
      <c r="F102" s="31" t="n">
        <v>62.2</v>
      </c>
      <c r="G102" s="31" t="n">
        <v>158.1</v>
      </c>
      <c r="H102" s="32" t="n"/>
    </row>
    <row r="103">
      <c r="A103" t="inlineStr">
        <is>
          <t>PT10676</t>
        </is>
      </c>
      <c r="B103" t="inlineStr">
        <is>
          <t>Sophia</t>
        </is>
      </c>
      <c r="C103" t="inlineStr">
        <is>
          <t>Peterson</t>
        </is>
      </c>
      <c r="D103" t="inlineStr">
        <is>
          <t>F</t>
        </is>
      </c>
      <c r="E103" s="30" t="n">
        <v>20178</v>
      </c>
      <c r="F103" s="31" t="n">
        <v>60.3</v>
      </c>
      <c r="G103" s="31" t="n">
        <v>101.4</v>
      </c>
      <c r="H103" s="32" t="n"/>
    </row>
    <row r="104">
      <c r="A104" t="inlineStr">
        <is>
          <t>PT10681</t>
        </is>
      </c>
      <c r="B104" t="inlineStr">
        <is>
          <t>Gregory</t>
        </is>
      </c>
      <c r="C104" t="inlineStr">
        <is>
          <t>O'Brien</t>
        </is>
      </c>
      <c r="D104" t="inlineStr">
        <is>
          <t>M</t>
        </is>
      </c>
      <c r="E104" s="30" t="n">
        <v>10128</v>
      </c>
      <c r="F104" s="31" t="n">
        <v>69.40000000000001</v>
      </c>
      <c r="G104" s="31" t="n">
        <v>208.9</v>
      </c>
      <c r="H104" s="32" t="n"/>
    </row>
    <row r="105">
      <c r="A105" t="inlineStr">
        <is>
          <t>PT10686</t>
        </is>
      </c>
      <c r="B105" t="inlineStr">
        <is>
          <t>Jacob</t>
        </is>
      </c>
      <c r="C105" t="inlineStr">
        <is>
          <t>Ramirez</t>
        </is>
      </c>
      <c r="D105" t="inlineStr">
        <is>
          <t>M</t>
        </is>
      </c>
      <c r="E105" s="30" t="n">
        <v>25006</v>
      </c>
      <c r="F105" s="31" t="n">
        <v>69</v>
      </c>
      <c r="G105" s="31" t="n">
        <v>259.4</v>
      </c>
      <c r="H105" s="32" t="n"/>
    </row>
    <row r="106">
      <c r="A106" t="inlineStr">
        <is>
          <t>PT10695</t>
        </is>
      </c>
      <c r="B106" t="inlineStr">
        <is>
          <t>Nicholas</t>
        </is>
      </c>
      <c r="C106" t="inlineStr">
        <is>
          <t>Foster</t>
        </is>
      </c>
      <c r="D106" t="inlineStr">
        <is>
          <t>M</t>
        </is>
      </c>
      <c r="E106" s="30" t="n">
        <v>31812</v>
      </c>
      <c r="F106" s="31" t="n">
        <v>67.09999999999999</v>
      </c>
      <c r="G106" s="31" t="n">
        <v>250.1</v>
      </c>
      <c r="H106" s="32" t="n"/>
    </row>
    <row r="107">
      <c r="A107" t="inlineStr">
        <is>
          <t>PT10698</t>
        </is>
      </c>
      <c r="B107" t="inlineStr">
        <is>
          <t>Carlos</t>
        </is>
      </c>
      <c r="C107" t="inlineStr">
        <is>
          <t>Vargas</t>
        </is>
      </c>
      <c r="D107" t="inlineStr">
        <is>
          <t>M</t>
        </is>
      </c>
      <c r="E107" s="30" t="n">
        <v>37367</v>
      </c>
      <c r="F107" s="31" t="n">
        <v>66.3</v>
      </c>
      <c r="G107" s="31" t="n">
        <v>211.5</v>
      </c>
      <c r="H107" s="32" t="n"/>
    </row>
    <row r="108">
      <c r="A108" t="inlineStr">
        <is>
          <t>PT10701</t>
        </is>
      </c>
      <c r="B108" t="inlineStr">
        <is>
          <t>Abigail</t>
        </is>
      </c>
      <c r="C108" t="inlineStr">
        <is>
          <t>Aguilar</t>
        </is>
      </c>
      <c r="D108" t="inlineStr">
        <is>
          <t>F</t>
        </is>
      </c>
      <c r="E108" s="30" t="n">
        <v>35834</v>
      </c>
      <c r="F108" s="31" t="n">
        <v>63.8</v>
      </c>
      <c r="G108" s="31" t="n">
        <v>181.8</v>
      </c>
      <c r="H108" s="32" t="n"/>
    </row>
    <row r="109">
      <c r="A109" t="inlineStr">
        <is>
          <t>PT10703</t>
        </is>
      </c>
      <c r="B109" t="inlineStr">
        <is>
          <t>Eric</t>
        </is>
      </c>
      <c r="C109" t="inlineStr">
        <is>
          <t>Watson</t>
        </is>
      </c>
      <c r="D109" t="inlineStr">
        <is>
          <t>M</t>
        </is>
      </c>
      <c r="E109" s="30" t="n">
        <v>18534</v>
      </c>
      <c r="F109" s="31" t="n">
        <v>71.8</v>
      </c>
      <c r="G109" s="31" t="n">
        <v>186.2</v>
      </c>
      <c r="H109" s="32" t="n"/>
    </row>
    <row r="110">
      <c r="A110" t="inlineStr">
        <is>
          <t>PT10715</t>
        </is>
      </c>
      <c r="B110" t="inlineStr">
        <is>
          <t>Julie</t>
        </is>
      </c>
      <c r="C110" t="inlineStr">
        <is>
          <t>Wagner</t>
        </is>
      </c>
      <c r="D110" t="inlineStr">
        <is>
          <t>F</t>
        </is>
      </c>
      <c r="E110" s="30" t="n">
        <v>24490</v>
      </c>
      <c r="F110" s="31" t="n">
        <v>65.40000000000001</v>
      </c>
      <c r="G110" s="31" t="n">
        <v>177.2</v>
      </c>
      <c r="H110" s="32" t="n"/>
    </row>
    <row r="111">
      <c r="A111" t="inlineStr">
        <is>
          <t>PT10718</t>
        </is>
      </c>
      <c r="B111" t="inlineStr">
        <is>
          <t>Bradley</t>
        </is>
      </c>
      <c r="C111" t="inlineStr">
        <is>
          <t>Delgado</t>
        </is>
      </c>
      <c r="D111" t="inlineStr">
        <is>
          <t>M</t>
        </is>
      </c>
      <c r="E111" s="30" t="n">
        <v>20988</v>
      </c>
      <c r="F111" s="31" t="n">
        <v>72.09999999999999</v>
      </c>
      <c r="G111" s="31" t="n">
        <v>208.4</v>
      </c>
      <c r="H111" s="32" t="n"/>
    </row>
    <row r="112">
      <c r="A112" t="inlineStr">
        <is>
          <t>PT10719</t>
        </is>
      </c>
      <c r="B112" t="inlineStr">
        <is>
          <t>Grace</t>
        </is>
      </c>
      <c r="C112" t="inlineStr">
        <is>
          <t>Ellis</t>
        </is>
      </c>
      <c r="D112" t="inlineStr">
        <is>
          <t>F</t>
        </is>
      </c>
      <c r="E112" s="30" t="n">
        <v>26868</v>
      </c>
      <c r="F112" s="31" t="n">
        <v>65.8</v>
      </c>
      <c r="G112" s="31" t="n">
        <v>201.4</v>
      </c>
      <c r="H112" s="32" t="n"/>
    </row>
    <row r="113">
      <c r="A113" t="inlineStr">
        <is>
          <t>PT10721</t>
        </is>
      </c>
      <c r="B113" t="inlineStr">
        <is>
          <t>Janet</t>
        </is>
      </c>
      <c r="C113" t="inlineStr">
        <is>
          <t>Wright</t>
        </is>
      </c>
      <c r="D113" t="inlineStr">
        <is>
          <t>F</t>
        </is>
      </c>
      <c r="E113" s="30" t="n">
        <v>20486</v>
      </c>
      <c r="F113" s="31" t="n">
        <v>61.7</v>
      </c>
      <c r="G113" s="31" t="n">
        <v>173.9</v>
      </c>
      <c r="H113" s="32" t="n"/>
    </row>
    <row r="114">
      <c r="A114" t="inlineStr">
        <is>
          <t>PT10736</t>
        </is>
      </c>
      <c r="B114" t="inlineStr">
        <is>
          <t>Jean</t>
        </is>
      </c>
      <c r="C114" t="inlineStr">
        <is>
          <t>Fernandez</t>
        </is>
      </c>
      <c r="D114" t="inlineStr">
        <is>
          <t>F</t>
        </is>
      </c>
      <c r="E114" s="30" t="n">
        <v>25786</v>
      </c>
      <c r="F114" s="31" t="n">
        <v>61.7</v>
      </c>
      <c r="G114" s="31" t="n">
        <v>186.6</v>
      </c>
      <c r="H114" s="32" t="n"/>
    </row>
    <row r="115">
      <c r="A115" t="inlineStr">
        <is>
          <t>PT10739</t>
        </is>
      </c>
      <c r="B115" t="inlineStr">
        <is>
          <t>Nicole</t>
        </is>
      </c>
      <c r="C115" t="inlineStr">
        <is>
          <t>Mason</t>
        </is>
      </c>
      <c r="D115" t="inlineStr">
        <is>
          <t>F</t>
        </is>
      </c>
      <c r="E115" s="30" t="n">
        <v>28168</v>
      </c>
      <c r="F115" s="31" t="n">
        <v>69.09999999999999</v>
      </c>
      <c r="G115" s="31" t="n">
        <v>241.3</v>
      </c>
      <c r="H115" s="32" t="n"/>
    </row>
    <row r="116">
      <c r="A116" t="inlineStr">
        <is>
          <t>PT10749</t>
        </is>
      </c>
      <c r="B116" t="inlineStr">
        <is>
          <t>Larry</t>
        </is>
      </c>
      <c r="C116" t="inlineStr">
        <is>
          <t>Santos</t>
        </is>
      </c>
      <c r="D116" t="inlineStr">
        <is>
          <t>M</t>
        </is>
      </c>
      <c r="E116" s="30" t="n">
        <v>21047</v>
      </c>
      <c r="F116" s="31" t="n">
        <v>71.2</v>
      </c>
      <c r="G116" s="31" t="n">
        <v>329.8</v>
      </c>
      <c r="H116" s="32" t="n"/>
    </row>
    <row r="117">
      <c r="A117" t="inlineStr">
        <is>
          <t>PT10750</t>
        </is>
      </c>
      <c r="B117" t="inlineStr">
        <is>
          <t>Kyle</t>
        </is>
      </c>
      <c r="C117" t="inlineStr">
        <is>
          <t>Boyd</t>
        </is>
      </c>
      <c r="D117" t="inlineStr">
        <is>
          <t>M</t>
        </is>
      </c>
      <c r="E117" s="30" t="n">
        <v>16118</v>
      </c>
      <c r="F117" s="31" t="n">
        <v>65.09999999999999</v>
      </c>
      <c r="G117" s="31" t="n">
        <v>212.4</v>
      </c>
      <c r="H117" s="32" t="n"/>
    </row>
    <row r="118">
      <c r="A118" t="inlineStr">
        <is>
          <t>PT10755</t>
        </is>
      </c>
      <c r="B118" t="inlineStr">
        <is>
          <t>Alan</t>
        </is>
      </c>
      <c r="C118" t="inlineStr">
        <is>
          <t>Reynolds</t>
        </is>
      </c>
      <c r="D118" t="inlineStr">
        <is>
          <t>M</t>
        </is>
      </c>
      <c r="E118" s="30" t="n">
        <v>24928</v>
      </c>
      <c r="F118" s="31" t="n">
        <v>68.5</v>
      </c>
      <c r="G118" s="31" t="n">
        <v>169.5</v>
      </c>
      <c r="H118" s="32" t="n"/>
    </row>
    <row r="119">
      <c r="A119" t="inlineStr">
        <is>
          <t>PT10756</t>
        </is>
      </c>
      <c r="B119" t="inlineStr">
        <is>
          <t>David</t>
        </is>
      </c>
      <c r="C119" t="inlineStr">
        <is>
          <t>Mason</t>
        </is>
      </c>
      <c r="D119" t="inlineStr">
        <is>
          <t>M</t>
        </is>
      </c>
      <c r="E119" s="30" t="n">
        <v>23223</v>
      </c>
      <c r="F119" s="31" t="n">
        <v>67.8</v>
      </c>
      <c r="G119" s="31" t="n">
        <v>107.9</v>
      </c>
      <c r="H119" s="32" t="n"/>
    </row>
    <row r="120">
      <c r="A120" t="inlineStr">
        <is>
          <t>PT10774</t>
        </is>
      </c>
      <c r="B120" t="inlineStr">
        <is>
          <t>Sara</t>
        </is>
      </c>
      <c r="C120" t="inlineStr">
        <is>
          <t>Simmons</t>
        </is>
      </c>
      <c r="D120" t="inlineStr">
        <is>
          <t>F</t>
        </is>
      </c>
      <c r="E120" s="30" t="n">
        <v>21185</v>
      </c>
      <c r="F120" s="31" t="n">
        <v>63.3</v>
      </c>
      <c r="G120" s="31" t="n">
        <v>121.8</v>
      </c>
      <c r="H120" s="32" t="n"/>
    </row>
    <row r="121">
      <c r="A121" t="inlineStr">
        <is>
          <t>PT10786</t>
        </is>
      </c>
      <c r="B121" t="inlineStr">
        <is>
          <t>Justin</t>
        </is>
      </c>
      <c r="C121" t="inlineStr">
        <is>
          <t>Jackson</t>
        </is>
      </c>
      <c r="D121" t="inlineStr">
        <is>
          <t>M</t>
        </is>
      </c>
      <c r="E121" s="30" t="n">
        <v>27062</v>
      </c>
      <c r="F121" s="31" t="n">
        <v>68.7</v>
      </c>
      <c r="G121" s="31" t="n">
        <v>226.5</v>
      </c>
      <c r="H121" s="32" t="n"/>
    </row>
    <row r="122">
      <c r="A122" t="inlineStr">
        <is>
          <t>PT10788</t>
        </is>
      </c>
      <c r="B122" t="inlineStr">
        <is>
          <t>John</t>
        </is>
      </c>
      <c r="C122" t="inlineStr">
        <is>
          <t>Dixon</t>
        </is>
      </c>
      <c r="D122" t="inlineStr">
        <is>
          <t>M</t>
        </is>
      </c>
      <c r="E122" s="30" t="n">
        <v>26616</v>
      </c>
      <c r="F122" s="31" t="n">
        <v>71.09999999999999</v>
      </c>
      <c r="G122" s="31" t="n">
        <v>205.5</v>
      </c>
      <c r="H122" s="32" t="n"/>
    </row>
    <row r="123">
      <c r="A123" t="inlineStr">
        <is>
          <t>PT10789</t>
        </is>
      </c>
      <c r="B123" t="inlineStr">
        <is>
          <t>Pamela</t>
        </is>
      </c>
      <c r="C123" t="inlineStr">
        <is>
          <t>Bailey</t>
        </is>
      </c>
      <c r="D123" t="inlineStr">
        <is>
          <t>F</t>
        </is>
      </c>
      <c r="E123" s="30" t="n">
        <v>18126</v>
      </c>
      <c r="F123" s="31" t="n">
        <v>59.4</v>
      </c>
      <c r="G123" s="31" t="n">
        <v>131.6</v>
      </c>
      <c r="H123" s="32" t="n"/>
    </row>
    <row r="124">
      <c r="A124" t="inlineStr">
        <is>
          <t>PT10798</t>
        </is>
      </c>
      <c r="B124" t="inlineStr">
        <is>
          <t>Linda</t>
        </is>
      </c>
      <c r="C124" t="inlineStr">
        <is>
          <t>Watson</t>
        </is>
      </c>
      <c r="D124" t="inlineStr">
        <is>
          <t>F</t>
        </is>
      </c>
      <c r="E124" s="30" t="n">
        <v>29331</v>
      </c>
      <c r="F124" s="31" t="n">
        <v>67.3</v>
      </c>
      <c r="G124" s="31" t="n">
        <v>234.2</v>
      </c>
      <c r="H124" s="32" t="n"/>
    </row>
    <row r="125">
      <c r="A125" t="inlineStr">
        <is>
          <t>PT10801</t>
        </is>
      </c>
      <c r="B125" t="inlineStr">
        <is>
          <t>Eric</t>
        </is>
      </c>
      <c r="C125" t="inlineStr">
        <is>
          <t>Richards</t>
        </is>
      </c>
      <c r="D125" t="inlineStr">
        <is>
          <t>M</t>
        </is>
      </c>
      <c r="E125" s="30" t="n">
        <v>27479</v>
      </c>
      <c r="F125" s="31" t="n">
        <v>69.8</v>
      </c>
      <c r="G125" s="31" t="n">
        <v>180.2</v>
      </c>
      <c r="H125" s="32" t="n"/>
    </row>
    <row r="126">
      <c r="A126" t="inlineStr">
        <is>
          <t>PT10804</t>
        </is>
      </c>
      <c r="B126" t="inlineStr">
        <is>
          <t>Diego</t>
        </is>
      </c>
      <c r="C126" t="inlineStr">
        <is>
          <t>Jenkins</t>
        </is>
      </c>
      <c r="D126" t="inlineStr">
        <is>
          <t>M</t>
        </is>
      </c>
      <c r="E126" s="30" t="n">
        <v>25450</v>
      </c>
      <c r="F126" s="31" t="n">
        <v>67.59999999999999</v>
      </c>
      <c r="G126" s="31" t="n">
        <v>198.7</v>
      </c>
      <c r="H126" s="32" t="n"/>
    </row>
    <row r="127">
      <c r="A127" t="inlineStr">
        <is>
          <t>PT10805</t>
        </is>
      </c>
      <c r="B127" t="inlineStr">
        <is>
          <t>Kyle</t>
        </is>
      </c>
      <c r="C127" t="inlineStr">
        <is>
          <t>Palmer</t>
        </is>
      </c>
      <c r="D127" t="inlineStr">
        <is>
          <t>M</t>
        </is>
      </c>
      <c r="E127" s="30" t="n">
        <v>17070</v>
      </c>
      <c r="F127" s="31" t="n">
        <v>70.2</v>
      </c>
      <c r="G127" s="31" t="n">
        <v>185.4</v>
      </c>
      <c r="H127" s="32" t="n"/>
    </row>
    <row r="128">
      <c r="A128" t="inlineStr">
        <is>
          <t>PT10814</t>
        </is>
      </c>
      <c r="B128" t="inlineStr">
        <is>
          <t>Judith</t>
        </is>
      </c>
      <c r="C128" t="inlineStr">
        <is>
          <t>Edwards</t>
        </is>
      </c>
      <c r="D128" t="inlineStr">
        <is>
          <t>F</t>
        </is>
      </c>
      <c r="E128" s="30" t="n">
        <v>29184</v>
      </c>
      <c r="F128" s="31" t="n">
        <v>67.40000000000001</v>
      </c>
      <c r="G128" s="31" t="n">
        <v>203.2</v>
      </c>
      <c r="H128" s="32" t="n"/>
    </row>
    <row r="129">
      <c r="A129" t="inlineStr">
        <is>
          <t>PT10815</t>
        </is>
      </c>
      <c r="B129" t="inlineStr">
        <is>
          <t>Pamela</t>
        </is>
      </c>
      <c r="C129" t="inlineStr">
        <is>
          <t>Allen</t>
        </is>
      </c>
      <c r="D129" t="inlineStr">
        <is>
          <t>F</t>
        </is>
      </c>
      <c r="E129" s="30" t="n">
        <v>12224</v>
      </c>
      <c r="F129" s="31" t="n">
        <v>62.9</v>
      </c>
      <c r="G129" s="31" t="n">
        <v>165</v>
      </c>
      <c r="H129" s="32" t="n"/>
    </row>
    <row r="130">
      <c r="A130" t="inlineStr">
        <is>
          <t>PT10819</t>
        </is>
      </c>
      <c r="B130" t="inlineStr">
        <is>
          <t>Kyle</t>
        </is>
      </c>
      <c r="C130" t="inlineStr">
        <is>
          <t>Parker</t>
        </is>
      </c>
      <c r="D130" t="inlineStr">
        <is>
          <t>M</t>
        </is>
      </c>
      <c r="E130" s="30" t="n">
        <v>33881</v>
      </c>
      <c r="F130" s="31" t="n">
        <v>68.59999999999999</v>
      </c>
      <c r="G130" s="31" t="n">
        <v>162.6</v>
      </c>
      <c r="H130" s="32" t="n"/>
    </row>
    <row r="131">
      <c r="A131" t="inlineStr">
        <is>
          <t>PT10840</t>
        </is>
      </c>
      <c r="B131" t="inlineStr">
        <is>
          <t>Isabella</t>
        </is>
      </c>
      <c r="C131" t="inlineStr">
        <is>
          <t>Fox</t>
        </is>
      </c>
      <c r="D131" t="inlineStr">
        <is>
          <t>F</t>
        </is>
      </c>
      <c r="E131" s="30" t="n">
        <v>22126</v>
      </c>
      <c r="F131" s="31" t="n">
        <v>63.1</v>
      </c>
      <c r="G131" s="31" t="n">
        <v>202.8</v>
      </c>
      <c r="H131" s="32" t="n"/>
    </row>
    <row r="132">
      <c r="A132" t="inlineStr">
        <is>
          <t>PT10855</t>
        </is>
      </c>
      <c r="B132" t="inlineStr">
        <is>
          <t>Amanda</t>
        </is>
      </c>
      <c r="C132" t="inlineStr">
        <is>
          <t>Flores</t>
        </is>
      </c>
      <c r="D132" t="inlineStr">
        <is>
          <t>F</t>
        </is>
      </c>
      <c r="E132" s="30" t="n">
        <v>20312</v>
      </c>
      <c r="F132" s="31" t="n">
        <v>65.2</v>
      </c>
      <c r="G132" s="31" t="n">
        <v>221.1</v>
      </c>
      <c r="H132" s="32" t="n"/>
    </row>
    <row r="133">
      <c r="A133" t="inlineStr">
        <is>
          <t>PT10864</t>
        </is>
      </c>
      <c r="B133" t="inlineStr">
        <is>
          <t>Nicole</t>
        </is>
      </c>
      <c r="C133" t="inlineStr">
        <is>
          <t>Hughes</t>
        </is>
      </c>
      <c r="D133" t="inlineStr">
        <is>
          <t>F</t>
        </is>
      </c>
      <c r="E133" s="30" t="n">
        <v>36674</v>
      </c>
      <c r="F133" s="31" t="n">
        <v>63.1</v>
      </c>
      <c r="G133" s="31" t="n">
        <v>177.6</v>
      </c>
      <c r="H133" s="32" t="n"/>
    </row>
    <row r="134">
      <c r="A134" t="inlineStr">
        <is>
          <t>PT10865</t>
        </is>
      </c>
      <c r="B134" t="inlineStr">
        <is>
          <t>Grace</t>
        </is>
      </c>
      <c r="C134" t="inlineStr">
        <is>
          <t>Hawkins</t>
        </is>
      </c>
      <c r="D134" t="inlineStr">
        <is>
          <t>F</t>
        </is>
      </c>
      <c r="E134" s="30" t="n">
        <v>10588</v>
      </c>
      <c r="F134" s="31" t="n">
        <v>60.1</v>
      </c>
      <c r="G134" s="31" t="n">
        <v>104.2</v>
      </c>
      <c r="H134" s="32" t="n"/>
    </row>
    <row r="135">
      <c r="A135" t="inlineStr">
        <is>
          <t>PT10866</t>
        </is>
      </c>
      <c r="B135" t="inlineStr">
        <is>
          <t>Scott</t>
        </is>
      </c>
      <c r="C135" t="inlineStr">
        <is>
          <t>Ramirez</t>
        </is>
      </c>
      <c r="D135" t="inlineStr">
        <is>
          <t>M</t>
        </is>
      </c>
      <c r="E135" s="30" t="n">
        <v>37391</v>
      </c>
      <c r="F135" s="31" t="n">
        <v>72.09999999999999</v>
      </c>
      <c r="G135" s="31" t="n">
        <v>252.3</v>
      </c>
      <c r="H135" s="32" t="n"/>
    </row>
    <row r="136">
      <c r="A136" t="inlineStr">
        <is>
          <t>PT10881</t>
        </is>
      </c>
      <c r="B136" t="inlineStr">
        <is>
          <t>Liam</t>
        </is>
      </c>
      <c r="C136" t="inlineStr">
        <is>
          <t>Martinez</t>
        </is>
      </c>
      <c r="D136" t="inlineStr">
        <is>
          <t>M</t>
        </is>
      </c>
      <c r="E136" s="30" t="n">
        <v>22747</v>
      </c>
      <c r="F136" s="31" t="n">
        <v>62.9</v>
      </c>
      <c r="G136" s="31" t="n">
        <v>185.5</v>
      </c>
      <c r="H136" s="32" t="n"/>
    </row>
    <row r="137">
      <c r="A137" t="inlineStr">
        <is>
          <t>PT10884</t>
        </is>
      </c>
      <c r="B137" t="inlineStr">
        <is>
          <t>Sean</t>
        </is>
      </c>
      <c r="C137" t="inlineStr">
        <is>
          <t>Allen</t>
        </is>
      </c>
      <c r="D137" t="inlineStr">
        <is>
          <t>M</t>
        </is>
      </c>
      <c r="E137" s="30" t="n">
        <v>17567</v>
      </c>
      <c r="F137" s="31" t="n">
        <v>68</v>
      </c>
      <c r="G137" s="31" t="n">
        <v>130.3</v>
      </c>
      <c r="H137" s="32" t="n"/>
    </row>
    <row r="138">
      <c r="A138" t="inlineStr">
        <is>
          <t>PT10886</t>
        </is>
      </c>
      <c r="B138" t="inlineStr">
        <is>
          <t>Victoria</t>
        </is>
      </c>
      <c r="C138" t="inlineStr">
        <is>
          <t>Armstrong</t>
        </is>
      </c>
      <c r="D138" t="inlineStr">
        <is>
          <t>F</t>
        </is>
      </c>
      <c r="E138" s="30" t="n">
        <v>20390</v>
      </c>
      <c r="F138" s="31" t="n">
        <v>62</v>
      </c>
      <c r="G138" s="31" t="n">
        <v>146.4</v>
      </c>
      <c r="H138" s="32" t="n"/>
    </row>
    <row r="139">
      <c r="A139" t="inlineStr">
        <is>
          <t>PT10891</t>
        </is>
      </c>
      <c r="B139" t="inlineStr">
        <is>
          <t>Lauren</t>
        </is>
      </c>
      <c r="C139" t="inlineStr">
        <is>
          <t>Ellis</t>
        </is>
      </c>
      <c r="D139" t="inlineStr">
        <is>
          <t>F</t>
        </is>
      </c>
      <c r="E139" s="30" t="n">
        <v>20986</v>
      </c>
      <c r="F139" s="31" t="n">
        <v>66.59999999999999</v>
      </c>
      <c r="G139" s="31" t="n">
        <v>220.2</v>
      </c>
      <c r="H139" s="32" t="n"/>
    </row>
    <row r="140">
      <c r="A140" t="inlineStr">
        <is>
          <t>PT10893</t>
        </is>
      </c>
      <c r="B140" t="inlineStr">
        <is>
          <t>Judy</t>
        </is>
      </c>
      <c r="C140" t="inlineStr">
        <is>
          <t>Morales</t>
        </is>
      </c>
      <c r="D140" t="inlineStr">
        <is>
          <t>F</t>
        </is>
      </c>
      <c r="E140" s="30" t="n">
        <v>23884</v>
      </c>
      <c r="F140" s="31" t="n">
        <v>63.9</v>
      </c>
      <c r="G140" s="31" t="n">
        <v>208.6</v>
      </c>
      <c r="H140" s="32" t="n"/>
    </row>
    <row r="141">
      <c r="A141" t="inlineStr">
        <is>
          <t>PT10906</t>
        </is>
      </c>
      <c r="B141" t="inlineStr">
        <is>
          <t>Natalie</t>
        </is>
      </c>
      <c r="C141" t="inlineStr">
        <is>
          <t>Tucker</t>
        </is>
      </c>
      <c r="D141" t="inlineStr">
        <is>
          <t>F</t>
        </is>
      </c>
      <c r="E141" s="30" t="n">
        <v>20233</v>
      </c>
      <c r="F141" s="31" t="n">
        <v>61</v>
      </c>
      <c r="G141" s="31" t="n">
        <v>177.7</v>
      </c>
      <c r="H141" s="32" t="n"/>
    </row>
    <row r="142">
      <c r="A142" t="inlineStr">
        <is>
          <t>PT10932</t>
        </is>
      </c>
      <c r="B142" t="inlineStr">
        <is>
          <t>Logan</t>
        </is>
      </c>
      <c r="C142" t="inlineStr">
        <is>
          <t>Washington</t>
        </is>
      </c>
      <c r="D142" t="inlineStr">
        <is>
          <t>M</t>
        </is>
      </c>
      <c r="E142" s="30" t="n">
        <v>30217</v>
      </c>
      <c r="F142" s="31" t="n">
        <v>70.5</v>
      </c>
      <c r="G142" s="31" t="n">
        <v>144.9</v>
      </c>
      <c r="H142" s="32" t="n"/>
    </row>
    <row r="143">
      <c r="A143" t="inlineStr">
        <is>
          <t>PT10933</t>
        </is>
      </c>
      <c r="B143" t="inlineStr">
        <is>
          <t>Brittany</t>
        </is>
      </c>
      <c r="C143" t="inlineStr">
        <is>
          <t>Baker</t>
        </is>
      </c>
      <c r="D143" t="inlineStr">
        <is>
          <t>F</t>
        </is>
      </c>
      <c r="E143" s="30" t="n">
        <v>37884</v>
      </c>
      <c r="F143" s="31" t="n">
        <v>63.8</v>
      </c>
      <c r="G143" s="31" t="n">
        <v>157.8</v>
      </c>
      <c r="H143" s="32" t="n"/>
    </row>
    <row r="144">
      <c r="A144" t="inlineStr">
        <is>
          <t>PT10943</t>
        </is>
      </c>
      <c r="B144" t="inlineStr">
        <is>
          <t>Jesse</t>
        </is>
      </c>
      <c r="C144" t="inlineStr">
        <is>
          <t>Gomez</t>
        </is>
      </c>
      <c r="D144" t="inlineStr">
        <is>
          <t>M</t>
        </is>
      </c>
      <c r="E144" s="30" t="n">
        <v>20325</v>
      </c>
      <c r="F144" s="31" t="n">
        <v>65.3</v>
      </c>
      <c r="G144" s="31" t="n">
        <v>168.9</v>
      </c>
      <c r="H144" s="32" t="n"/>
    </row>
    <row r="145">
      <c r="A145" t="inlineStr">
        <is>
          <t>PT10947</t>
        </is>
      </c>
      <c r="B145" t="inlineStr">
        <is>
          <t>Leila</t>
        </is>
      </c>
      <c r="C145" t="inlineStr">
        <is>
          <t>Jones</t>
        </is>
      </c>
      <c r="D145" t="inlineStr">
        <is>
          <t>F</t>
        </is>
      </c>
      <c r="E145" s="30" t="n">
        <v>18468</v>
      </c>
      <c r="F145" s="31" t="n">
        <v>61.6</v>
      </c>
      <c r="G145" s="31" t="n">
        <v>131.7</v>
      </c>
      <c r="H145" s="32" t="n"/>
    </row>
    <row r="146">
      <c r="A146" t="inlineStr">
        <is>
          <t>PT10949</t>
        </is>
      </c>
      <c r="B146" t="inlineStr">
        <is>
          <t>Jesse</t>
        </is>
      </c>
      <c r="C146" t="inlineStr">
        <is>
          <t>Andrews</t>
        </is>
      </c>
      <c r="D146" t="inlineStr">
        <is>
          <t>M</t>
        </is>
      </c>
      <c r="E146" s="30" t="n">
        <v>21962</v>
      </c>
      <c r="F146" s="31" t="n">
        <v>73.7</v>
      </c>
      <c r="G146" s="31" t="n">
        <v>212</v>
      </c>
      <c r="H146" s="32" t="n"/>
    </row>
    <row r="147">
      <c r="A147" t="inlineStr">
        <is>
          <t>PT10956</t>
        </is>
      </c>
      <c r="B147" t="inlineStr">
        <is>
          <t>Lawrence</t>
        </is>
      </c>
      <c r="C147" t="inlineStr">
        <is>
          <t>Ortiz</t>
        </is>
      </c>
      <c r="D147" t="inlineStr">
        <is>
          <t>M</t>
        </is>
      </c>
      <c r="E147" s="30" t="n">
        <v>24507</v>
      </c>
      <c r="F147" s="31" t="n">
        <v>70.8</v>
      </c>
      <c r="G147" s="31" t="n">
        <v>212.7</v>
      </c>
      <c r="H147" s="32" t="n"/>
    </row>
    <row r="148">
      <c r="A148" t="inlineStr">
        <is>
          <t>PT10966</t>
        </is>
      </c>
      <c r="B148" t="inlineStr">
        <is>
          <t>George</t>
        </is>
      </c>
      <c r="C148" t="inlineStr">
        <is>
          <t>Gomez</t>
        </is>
      </c>
      <c r="D148" t="inlineStr">
        <is>
          <t>M</t>
        </is>
      </c>
      <c r="E148" s="30" t="n">
        <v>23761</v>
      </c>
      <c r="F148" s="31" t="n">
        <v>64.5</v>
      </c>
      <c r="G148" s="31" t="n">
        <v>97.5</v>
      </c>
      <c r="H148" s="32" t="n"/>
    </row>
    <row r="149">
      <c r="A149" t="inlineStr">
        <is>
          <t>PT10968</t>
        </is>
      </c>
      <c r="B149" t="inlineStr">
        <is>
          <t>Patricia</t>
        </is>
      </c>
      <c r="C149" t="inlineStr">
        <is>
          <t>Novak</t>
        </is>
      </c>
      <c r="D149" t="inlineStr">
        <is>
          <t>F</t>
        </is>
      </c>
      <c r="E149" s="30" t="n">
        <v>17711</v>
      </c>
      <c r="F149" s="31" t="n">
        <v>64.3</v>
      </c>
      <c r="G149" s="31" t="n">
        <v>112.6</v>
      </c>
      <c r="H149" s="32" t="n"/>
    </row>
    <row r="150">
      <c r="A150" t="inlineStr">
        <is>
          <t>PT10969</t>
        </is>
      </c>
      <c r="B150" t="inlineStr">
        <is>
          <t>Theresa</t>
        </is>
      </c>
      <c r="C150" t="inlineStr">
        <is>
          <t>Delgado</t>
        </is>
      </c>
      <c r="D150" t="inlineStr">
        <is>
          <t>F</t>
        </is>
      </c>
      <c r="E150" s="30" t="n">
        <v>24887</v>
      </c>
      <c r="F150" s="31" t="n">
        <v>62.9</v>
      </c>
      <c r="G150" s="31" t="n">
        <v>196.4</v>
      </c>
      <c r="H150" s="32" t="n"/>
    </row>
    <row r="151">
      <c r="A151" t="inlineStr">
        <is>
          <t>PT10971</t>
        </is>
      </c>
      <c r="B151" t="inlineStr">
        <is>
          <t>Arthur</t>
        </is>
      </c>
      <c r="C151" t="inlineStr">
        <is>
          <t>Sullivan</t>
        </is>
      </c>
      <c r="D151" t="inlineStr">
        <is>
          <t>M</t>
        </is>
      </c>
      <c r="E151" s="30" t="n">
        <v>28763</v>
      </c>
      <c r="F151" s="31" t="n">
        <v>69.2</v>
      </c>
      <c r="G151" s="31" t="n">
        <v>194.9</v>
      </c>
      <c r="H151" s="32" t="n"/>
    </row>
    <row r="152">
      <c r="A152" t="inlineStr">
        <is>
          <t>PT10976</t>
        </is>
      </c>
      <c r="B152" t="inlineStr">
        <is>
          <t>Ivan</t>
        </is>
      </c>
      <c r="C152" t="inlineStr">
        <is>
          <t>Hunter</t>
        </is>
      </c>
      <c r="D152" t="inlineStr">
        <is>
          <t>M</t>
        </is>
      </c>
      <c r="E152" s="30" t="n">
        <v>35412</v>
      </c>
      <c r="F152" s="31" t="n">
        <v>65.90000000000001</v>
      </c>
      <c r="G152" s="31" t="n">
        <v>156.4</v>
      </c>
      <c r="H152" s="32" t="n"/>
    </row>
    <row r="153">
      <c r="A153" t="inlineStr">
        <is>
          <t>PT10978</t>
        </is>
      </c>
      <c r="B153" t="inlineStr">
        <is>
          <t>Russell</t>
        </is>
      </c>
      <c r="C153" t="inlineStr">
        <is>
          <t>Hunter</t>
        </is>
      </c>
      <c r="D153" t="inlineStr">
        <is>
          <t>M</t>
        </is>
      </c>
      <c r="E153" s="30" t="n">
        <v>22915</v>
      </c>
      <c r="F153" s="31" t="n">
        <v>67.5</v>
      </c>
      <c r="G153" s="31" t="n">
        <v>163.1</v>
      </c>
      <c r="H153" s="32" t="n"/>
    </row>
    <row r="154">
      <c r="A154" t="inlineStr">
        <is>
          <t>PT10979</t>
        </is>
      </c>
      <c r="B154" t="inlineStr">
        <is>
          <t>Evelyn</t>
        </is>
      </c>
      <c r="C154" t="inlineStr">
        <is>
          <t>Hill</t>
        </is>
      </c>
      <c r="D154" t="inlineStr">
        <is>
          <t>F</t>
        </is>
      </c>
      <c r="E154" s="30" t="n">
        <v>31099</v>
      </c>
      <c r="F154" s="31" t="n">
        <v>65.2</v>
      </c>
      <c r="G154" s="31" t="n">
        <v>137</v>
      </c>
      <c r="H154" s="32" t="n"/>
    </row>
    <row r="155">
      <c r="A155" t="inlineStr">
        <is>
          <t>PT10981</t>
        </is>
      </c>
      <c r="B155" t="inlineStr">
        <is>
          <t>Benjamin</t>
        </is>
      </c>
      <c r="C155" t="inlineStr">
        <is>
          <t>Miller</t>
        </is>
      </c>
      <c r="D155" t="inlineStr">
        <is>
          <t>M</t>
        </is>
      </c>
      <c r="E155" s="30" t="n">
        <v>15098</v>
      </c>
      <c r="F155" s="31" t="n">
        <v>70.8</v>
      </c>
      <c r="G155" s="31" t="n">
        <v>171.5</v>
      </c>
      <c r="H155" s="32" t="n"/>
    </row>
    <row r="156">
      <c r="A156" t="inlineStr">
        <is>
          <t>PT10986</t>
        </is>
      </c>
      <c r="B156" t="inlineStr">
        <is>
          <t>Minh</t>
        </is>
      </c>
      <c r="C156" t="inlineStr">
        <is>
          <t>Hicks</t>
        </is>
      </c>
      <c r="D156" t="inlineStr">
        <is>
          <t>M</t>
        </is>
      </c>
      <c r="E156" s="30" t="n">
        <v>24231</v>
      </c>
      <c r="F156" s="31" t="n">
        <v>70</v>
      </c>
      <c r="G156" s="31" t="n">
        <v>251</v>
      </c>
      <c r="H156" s="32" t="n"/>
    </row>
    <row r="157">
      <c r="A157" t="inlineStr">
        <is>
          <t>PT10992</t>
        </is>
      </c>
      <c r="B157" t="inlineStr">
        <is>
          <t>Brandon</t>
        </is>
      </c>
      <c r="C157" t="inlineStr">
        <is>
          <t>Santos</t>
        </is>
      </c>
      <c r="D157" t="inlineStr">
        <is>
          <t>M</t>
        </is>
      </c>
      <c r="E157" s="30" t="n">
        <v>32179</v>
      </c>
      <c r="F157" s="31" t="n">
        <v>65.59999999999999</v>
      </c>
      <c r="G157" s="31" t="n">
        <v>171.2</v>
      </c>
      <c r="H157" s="32" t="n"/>
    </row>
    <row r="158">
      <c r="A158" t="inlineStr">
        <is>
          <t>PT10998</t>
        </is>
      </c>
      <c r="B158" t="inlineStr">
        <is>
          <t>Melissa</t>
        </is>
      </c>
      <c r="C158" t="inlineStr">
        <is>
          <t>Parker</t>
        </is>
      </c>
      <c r="D158" t="inlineStr">
        <is>
          <t>F</t>
        </is>
      </c>
      <c r="E158" s="30" t="n">
        <v>39342</v>
      </c>
      <c r="F158" s="31" t="n">
        <v>69.40000000000001</v>
      </c>
      <c r="G158" s="31" t="n">
        <v>159.4</v>
      </c>
      <c r="H158" s="32" t="n"/>
    </row>
    <row r="159">
      <c r="A159" t="inlineStr">
        <is>
          <t>PT11034</t>
        </is>
      </c>
      <c r="B159" t="inlineStr">
        <is>
          <t>Patricia</t>
        </is>
      </c>
      <c r="C159" t="inlineStr">
        <is>
          <t>Torres</t>
        </is>
      </c>
      <c r="D159" t="inlineStr">
        <is>
          <t>F</t>
        </is>
      </c>
      <c r="E159" s="30" t="n">
        <v>20982</v>
      </c>
      <c r="F159" s="31" t="n">
        <v>65.09999999999999</v>
      </c>
      <c r="G159" s="31" t="n">
        <v>173.3</v>
      </c>
      <c r="H159" s="32" t="n"/>
    </row>
    <row r="160">
      <c r="A160" t="inlineStr">
        <is>
          <t>PT11058</t>
        </is>
      </c>
      <c r="B160" t="inlineStr">
        <is>
          <t>Diego</t>
        </is>
      </c>
      <c r="C160" t="inlineStr">
        <is>
          <t>Long</t>
        </is>
      </c>
      <c r="D160" t="inlineStr">
        <is>
          <t>M</t>
        </is>
      </c>
      <c r="E160" s="30" t="n">
        <v>18378</v>
      </c>
      <c r="F160" s="31" t="n">
        <v>66.8</v>
      </c>
      <c r="G160" s="31" t="n">
        <v>190.7</v>
      </c>
      <c r="H160" s="32" t="n"/>
    </row>
    <row r="161">
      <c r="A161" t="inlineStr">
        <is>
          <t>PT11068</t>
        </is>
      </c>
      <c r="B161" t="inlineStr">
        <is>
          <t>Thomas</t>
        </is>
      </c>
      <c r="C161" t="inlineStr">
        <is>
          <t>Alexander</t>
        </is>
      </c>
      <c r="D161" t="inlineStr">
        <is>
          <t>M</t>
        </is>
      </c>
      <c r="E161" s="30" t="n">
        <v>28372</v>
      </c>
      <c r="F161" s="31" t="n">
        <v>67.8</v>
      </c>
      <c r="G161" s="31" t="n">
        <v>130.2</v>
      </c>
      <c r="H161" s="32" t="n"/>
    </row>
    <row r="162">
      <c r="A162" t="inlineStr">
        <is>
          <t>PT11101</t>
        </is>
      </c>
      <c r="B162" t="inlineStr">
        <is>
          <t>Lawrence</t>
        </is>
      </c>
      <c r="C162" t="inlineStr">
        <is>
          <t>West</t>
        </is>
      </c>
      <c r="D162" t="inlineStr">
        <is>
          <t>M</t>
        </is>
      </c>
      <c r="E162" s="30" t="n">
        <v>19202</v>
      </c>
      <c r="F162" s="31" t="n">
        <v>73.8</v>
      </c>
      <c r="G162" s="31" t="n">
        <v>220.9</v>
      </c>
      <c r="H162" s="32" t="n"/>
    </row>
    <row r="163">
      <c r="A163" t="inlineStr">
        <is>
          <t>PT11104</t>
        </is>
      </c>
      <c r="B163" t="inlineStr">
        <is>
          <t>Elizabeth</t>
        </is>
      </c>
      <c r="C163" t="inlineStr">
        <is>
          <t>Anderson</t>
        </is>
      </c>
      <c r="D163" t="inlineStr">
        <is>
          <t>F</t>
        </is>
      </c>
      <c r="E163" s="30" t="n">
        <v>21583</v>
      </c>
      <c r="F163" s="31" t="n">
        <v>59</v>
      </c>
      <c r="G163" s="31" t="n">
        <v>141.6</v>
      </c>
      <c r="H163" s="32" t="n"/>
    </row>
    <row r="164">
      <c r="A164" t="inlineStr">
        <is>
          <t>PT11110</t>
        </is>
      </c>
      <c r="B164" t="inlineStr">
        <is>
          <t>Ivan</t>
        </is>
      </c>
      <c r="C164" t="inlineStr">
        <is>
          <t>Cole</t>
        </is>
      </c>
      <c r="D164" t="inlineStr">
        <is>
          <t>M</t>
        </is>
      </c>
      <c r="E164" s="30" t="n">
        <v>29063</v>
      </c>
      <c r="F164" s="31" t="n">
        <v>69.7</v>
      </c>
      <c r="G164" s="31" t="n">
        <v>154.5</v>
      </c>
      <c r="H164" s="32" t="n"/>
    </row>
    <row r="165">
      <c r="A165" t="inlineStr">
        <is>
          <t>PT11114</t>
        </is>
      </c>
      <c r="B165" t="inlineStr">
        <is>
          <t>Sandra</t>
        </is>
      </c>
      <c r="C165" t="inlineStr">
        <is>
          <t>Fox</t>
        </is>
      </c>
      <c r="D165" t="inlineStr">
        <is>
          <t>F</t>
        </is>
      </c>
      <c r="E165" s="30" t="n">
        <v>27199</v>
      </c>
      <c r="F165" s="31" t="n">
        <v>65.8</v>
      </c>
      <c r="G165" s="31" t="n">
        <v>164.2</v>
      </c>
      <c r="H165" s="32" t="n"/>
    </row>
    <row r="166">
      <c r="A166" t="inlineStr">
        <is>
          <t>PT11115</t>
        </is>
      </c>
      <c r="B166" t="inlineStr">
        <is>
          <t>Kenneth</t>
        </is>
      </c>
      <c r="C166" t="inlineStr">
        <is>
          <t>Daniels</t>
        </is>
      </c>
      <c r="D166" t="inlineStr">
        <is>
          <t>M</t>
        </is>
      </c>
      <c r="E166" s="30" t="n">
        <v>18064</v>
      </c>
      <c r="F166" s="31" t="n">
        <v>72.3</v>
      </c>
      <c r="G166" s="31" t="n">
        <v>205.6</v>
      </c>
      <c r="H166" s="32" t="n"/>
    </row>
    <row r="167">
      <c r="A167" t="inlineStr">
        <is>
          <t>PT11122</t>
        </is>
      </c>
      <c r="B167" t="inlineStr">
        <is>
          <t>Wayne</t>
        </is>
      </c>
      <c r="C167" t="inlineStr">
        <is>
          <t>Ramos</t>
        </is>
      </c>
      <c r="D167" t="inlineStr">
        <is>
          <t>M</t>
        </is>
      </c>
      <c r="E167" s="30" t="n">
        <v>30043</v>
      </c>
      <c r="F167" s="31" t="n">
        <v>71.40000000000001</v>
      </c>
      <c r="G167" s="31" t="n">
        <v>119.5</v>
      </c>
      <c r="H167" s="32" t="n"/>
    </row>
    <row r="168">
      <c r="A168" t="inlineStr">
        <is>
          <t>PT11124</t>
        </is>
      </c>
      <c r="B168" t="inlineStr">
        <is>
          <t>Sean</t>
        </is>
      </c>
      <c r="C168" t="inlineStr">
        <is>
          <t>Wallace</t>
        </is>
      </c>
      <c r="D168" t="inlineStr">
        <is>
          <t>M</t>
        </is>
      </c>
      <c r="E168" s="30" t="n">
        <v>24524</v>
      </c>
      <c r="F168" s="31" t="n">
        <v>67.40000000000001</v>
      </c>
      <c r="G168" s="31" t="n">
        <v>166.5</v>
      </c>
      <c r="H168" s="32" t="n"/>
    </row>
    <row r="169">
      <c r="A169" t="inlineStr">
        <is>
          <t>PT11126</t>
        </is>
      </c>
      <c r="B169" t="inlineStr">
        <is>
          <t>Victoria</t>
        </is>
      </c>
      <c r="C169" t="inlineStr">
        <is>
          <t>Martinez</t>
        </is>
      </c>
      <c r="D169" t="inlineStr">
        <is>
          <t>F</t>
        </is>
      </c>
      <c r="E169" s="30" t="n">
        <v>26907</v>
      </c>
      <c r="F169" s="31" t="n">
        <v>67.90000000000001</v>
      </c>
      <c r="G169" s="31" t="n">
        <v>192.7</v>
      </c>
      <c r="H169" s="32" t="n"/>
    </row>
    <row r="170">
      <c r="A170" t="inlineStr">
        <is>
          <t>PT11128</t>
        </is>
      </c>
      <c r="B170" t="inlineStr">
        <is>
          <t>Nancy</t>
        </is>
      </c>
      <c r="C170" t="inlineStr">
        <is>
          <t>Pierce</t>
        </is>
      </c>
      <c r="D170" t="inlineStr">
        <is>
          <t>F</t>
        </is>
      </c>
      <c r="E170" s="30" t="n">
        <v>39363</v>
      </c>
      <c r="F170" s="31" t="n">
        <v>62.9</v>
      </c>
      <c r="G170" s="31" t="n">
        <v>177</v>
      </c>
      <c r="H170" s="32" t="n"/>
    </row>
    <row r="171">
      <c r="A171" t="inlineStr">
        <is>
          <t>PT11136</t>
        </is>
      </c>
      <c r="B171" t="inlineStr">
        <is>
          <t>Kyle</t>
        </is>
      </c>
      <c r="C171" t="inlineStr">
        <is>
          <t>Spencer</t>
        </is>
      </c>
      <c r="D171" t="inlineStr">
        <is>
          <t>M</t>
        </is>
      </c>
      <c r="E171" s="30" t="n">
        <v>16750</v>
      </c>
      <c r="F171" s="31" t="n">
        <v>67.90000000000001</v>
      </c>
      <c r="G171" s="31" t="n">
        <v>181.3</v>
      </c>
      <c r="H171" s="32" t="n"/>
    </row>
    <row r="172">
      <c r="A172" t="inlineStr">
        <is>
          <t>PT11138</t>
        </is>
      </c>
      <c r="B172" t="inlineStr">
        <is>
          <t>Natalie</t>
        </is>
      </c>
      <c r="C172" t="inlineStr">
        <is>
          <t>Fernandez</t>
        </is>
      </c>
      <c r="D172" t="inlineStr">
        <is>
          <t>F</t>
        </is>
      </c>
      <c r="E172" s="30" t="n">
        <v>22399</v>
      </c>
      <c r="F172" s="31" t="n">
        <v>65.8</v>
      </c>
      <c r="G172" s="31" t="n">
        <v>162.2</v>
      </c>
      <c r="H172" s="32" t="n"/>
    </row>
    <row r="173">
      <c r="A173" t="inlineStr">
        <is>
          <t>PT11139</t>
        </is>
      </c>
      <c r="B173" t="inlineStr">
        <is>
          <t>Bobby</t>
        </is>
      </c>
      <c r="C173" t="inlineStr">
        <is>
          <t>Castillo</t>
        </is>
      </c>
      <c r="D173" t="inlineStr">
        <is>
          <t>M</t>
        </is>
      </c>
      <c r="E173" s="30" t="n">
        <v>26802</v>
      </c>
      <c r="F173" s="31" t="n">
        <v>73.5</v>
      </c>
      <c r="G173" s="31" t="n">
        <v>251.1</v>
      </c>
      <c r="H173" s="32" t="n"/>
    </row>
    <row r="174">
      <c r="A174" t="inlineStr">
        <is>
          <t>PT11141</t>
        </is>
      </c>
      <c r="B174" t="inlineStr">
        <is>
          <t>Victoria</t>
        </is>
      </c>
      <c r="C174" t="inlineStr">
        <is>
          <t>Mitchell</t>
        </is>
      </c>
      <c r="D174" t="inlineStr">
        <is>
          <t>F</t>
        </is>
      </c>
      <c r="E174" s="30" t="n">
        <v>16927</v>
      </c>
      <c r="F174" s="31" t="n">
        <v>65.2</v>
      </c>
      <c r="G174" s="31" t="n">
        <v>158.1</v>
      </c>
      <c r="H174" s="32" t="n"/>
    </row>
    <row r="175">
      <c r="A175" t="inlineStr">
        <is>
          <t>PT11143</t>
        </is>
      </c>
      <c r="B175" t="inlineStr">
        <is>
          <t>Patrick</t>
        </is>
      </c>
      <c r="C175" t="inlineStr">
        <is>
          <t>Robinson</t>
        </is>
      </c>
      <c r="D175" t="inlineStr">
        <is>
          <t>M</t>
        </is>
      </c>
      <c r="E175" s="30" t="n">
        <v>24264</v>
      </c>
      <c r="F175" s="31" t="n">
        <v>66.59999999999999</v>
      </c>
      <c r="G175" s="31" t="n">
        <v>245.2</v>
      </c>
      <c r="H175" s="32" t="n"/>
    </row>
    <row r="176">
      <c r="A176" t="inlineStr">
        <is>
          <t>PT11149</t>
        </is>
      </c>
      <c r="B176" t="inlineStr">
        <is>
          <t>Kenneth</t>
        </is>
      </c>
      <c r="C176" t="inlineStr">
        <is>
          <t>Sanchez</t>
        </is>
      </c>
      <c r="D176" t="inlineStr">
        <is>
          <t>M</t>
        </is>
      </c>
      <c r="E176" s="30" t="n">
        <v>28373</v>
      </c>
      <c r="F176" s="31" t="n">
        <v>68.3</v>
      </c>
      <c r="G176" s="31" t="n">
        <v>176.6</v>
      </c>
      <c r="H176" s="32" t="n"/>
    </row>
    <row r="177">
      <c r="A177" t="inlineStr">
        <is>
          <t>PT11152</t>
        </is>
      </c>
      <c r="B177" t="inlineStr">
        <is>
          <t>Jordan</t>
        </is>
      </c>
      <c r="C177" t="inlineStr">
        <is>
          <t>Hart</t>
        </is>
      </c>
      <c r="D177" t="inlineStr">
        <is>
          <t>M</t>
        </is>
      </c>
      <c r="E177" s="30" t="n">
        <v>25460</v>
      </c>
      <c r="F177" s="31" t="n">
        <v>65.7</v>
      </c>
      <c r="G177" s="31" t="n">
        <v>202.8</v>
      </c>
      <c r="H177" s="32" t="n"/>
    </row>
    <row r="178">
      <c r="A178" t="inlineStr">
        <is>
          <t>PT11168</t>
        </is>
      </c>
      <c r="B178" t="inlineStr">
        <is>
          <t>Christian</t>
        </is>
      </c>
      <c r="C178" t="inlineStr">
        <is>
          <t>Morgan</t>
        </is>
      </c>
      <c r="D178" t="inlineStr">
        <is>
          <t>M</t>
        </is>
      </c>
      <c r="E178" s="30" t="n">
        <v>23125</v>
      </c>
      <c r="F178" s="31" t="n">
        <v>71.90000000000001</v>
      </c>
      <c r="G178" s="31" t="n">
        <v>212.4</v>
      </c>
      <c r="H178" s="32" t="n"/>
    </row>
    <row r="179">
      <c r="A179" t="inlineStr">
        <is>
          <t>PT11180</t>
        </is>
      </c>
      <c r="B179" t="inlineStr">
        <is>
          <t>Wayne</t>
        </is>
      </c>
      <c r="C179" t="inlineStr">
        <is>
          <t>Davis</t>
        </is>
      </c>
      <c r="D179" t="inlineStr">
        <is>
          <t>M</t>
        </is>
      </c>
      <c r="E179" s="30" t="n">
        <v>35818</v>
      </c>
      <c r="F179" s="31" t="n">
        <v>65.90000000000001</v>
      </c>
      <c r="G179" s="31" t="n">
        <v>166.7</v>
      </c>
      <c r="H179" s="32" t="n"/>
    </row>
    <row r="180">
      <c r="A180" t="inlineStr">
        <is>
          <t>PT11188</t>
        </is>
      </c>
      <c r="B180" t="inlineStr">
        <is>
          <t>Gabriel</t>
        </is>
      </c>
      <c r="C180" t="inlineStr">
        <is>
          <t>Harris</t>
        </is>
      </c>
      <c r="D180" t="inlineStr">
        <is>
          <t>M</t>
        </is>
      </c>
      <c r="E180" s="30" t="n">
        <v>18010</v>
      </c>
      <c r="F180" s="31" t="n">
        <v>66.5</v>
      </c>
      <c r="G180" s="31" t="n">
        <v>201.2</v>
      </c>
      <c r="H180" s="32" t="n"/>
    </row>
    <row r="181">
      <c r="A181" t="inlineStr">
        <is>
          <t>PT11190</t>
        </is>
      </c>
      <c r="B181" t="inlineStr">
        <is>
          <t>Larry</t>
        </is>
      </c>
      <c r="C181" t="inlineStr">
        <is>
          <t>Kim</t>
        </is>
      </c>
      <c r="D181" t="inlineStr">
        <is>
          <t>M</t>
        </is>
      </c>
      <c r="E181" s="30" t="n">
        <v>30106</v>
      </c>
      <c r="F181" s="31" t="n">
        <v>65.09999999999999</v>
      </c>
      <c r="G181" s="31" t="n">
        <v>226.3</v>
      </c>
      <c r="H181" s="32" t="n"/>
    </row>
    <row r="182">
      <c r="A182" t="inlineStr">
        <is>
          <t>PT11194</t>
        </is>
      </c>
      <c r="B182" t="inlineStr">
        <is>
          <t>Sandra</t>
        </is>
      </c>
      <c r="C182" t="inlineStr">
        <is>
          <t>Kelly</t>
        </is>
      </c>
      <c r="D182" t="inlineStr">
        <is>
          <t>F</t>
        </is>
      </c>
      <c r="E182" s="30" t="n">
        <v>11719</v>
      </c>
      <c r="F182" s="31" t="n">
        <v>67.90000000000001</v>
      </c>
      <c r="G182" s="31" t="n">
        <v>210.5</v>
      </c>
      <c r="H182" s="32" t="n"/>
    </row>
    <row r="183">
      <c r="A183" t="inlineStr">
        <is>
          <t>PT11200</t>
        </is>
      </c>
      <c r="B183" t="inlineStr">
        <is>
          <t>Carolyn</t>
        </is>
      </c>
      <c r="C183" t="inlineStr">
        <is>
          <t>Graham</t>
        </is>
      </c>
      <c r="D183" t="inlineStr">
        <is>
          <t>F</t>
        </is>
      </c>
      <c r="E183" s="30" t="n">
        <v>28745</v>
      </c>
      <c r="F183" s="31" t="n">
        <v>63</v>
      </c>
      <c r="G183" s="31" t="n">
        <v>200.5</v>
      </c>
      <c r="H183" s="32" t="n"/>
    </row>
    <row r="184">
      <c r="A184" t="inlineStr">
        <is>
          <t>PT11204</t>
        </is>
      </c>
      <c r="B184" t="inlineStr">
        <is>
          <t>Aaron</t>
        </is>
      </c>
      <c r="C184" t="inlineStr">
        <is>
          <t>Ryan</t>
        </is>
      </c>
      <c r="D184" t="inlineStr">
        <is>
          <t>M</t>
        </is>
      </c>
      <c r="E184" s="30" t="n">
        <v>17845</v>
      </c>
      <c r="F184" s="31" t="n">
        <v>70.09999999999999</v>
      </c>
      <c r="G184" s="31" t="n">
        <v>126.5</v>
      </c>
      <c r="H184" s="32" t="n"/>
    </row>
    <row r="185">
      <c r="A185" t="inlineStr">
        <is>
          <t>PT11210</t>
        </is>
      </c>
      <c r="B185" t="inlineStr">
        <is>
          <t>Keith</t>
        </is>
      </c>
      <c r="C185" t="inlineStr">
        <is>
          <t>Graham</t>
        </is>
      </c>
      <c r="D185" t="inlineStr">
        <is>
          <t>M</t>
        </is>
      </c>
      <c r="E185" s="30" t="n">
        <v>37232</v>
      </c>
      <c r="F185" s="31" t="n">
        <v>70.7</v>
      </c>
      <c r="G185" s="31" t="n">
        <v>198.2</v>
      </c>
      <c r="H185" s="32" t="n"/>
    </row>
    <row r="186">
      <c r="A186" t="inlineStr">
        <is>
          <t>PT11214</t>
        </is>
      </c>
      <c r="B186" t="inlineStr">
        <is>
          <t>Robert</t>
        </is>
      </c>
      <c r="C186" t="inlineStr">
        <is>
          <t>Cooper</t>
        </is>
      </c>
      <c r="D186" t="inlineStr">
        <is>
          <t>M</t>
        </is>
      </c>
      <c r="E186" s="30" t="n">
        <v>29707</v>
      </c>
      <c r="F186" s="31" t="n">
        <v>69.59999999999999</v>
      </c>
      <c r="G186" s="31" t="n">
        <v>188</v>
      </c>
      <c r="H186" s="32" t="n"/>
    </row>
    <row r="187">
      <c r="A187" t="inlineStr">
        <is>
          <t>PT11224</t>
        </is>
      </c>
      <c r="B187" t="inlineStr">
        <is>
          <t>Kenneth</t>
        </is>
      </c>
      <c r="C187" t="inlineStr">
        <is>
          <t>Ramirez</t>
        </is>
      </c>
      <c r="D187" t="inlineStr">
        <is>
          <t>M</t>
        </is>
      </c>
      <c r="E187" s="30" t="n">
        <v>17476</v>
      </c>
      <c r="F187" s="31" t="n">
        <v>71.2</v>
      </c>
      <c r="G187" s="31" t="n">
        <v>119.1</v>
      </c>
      <c r="H187" s="32" t="n"/>
    </row>
    <row r="188">
      <c r="A188" t="inlineStr">
        <is>
          <t>PT11226</t>
        </is>
      </c>
      <c r="B188" t="inlineStr">
        <is>
          <t>Kelly</t>
        </is>
      </c>
      <c r="C188" t="inlineStr">
        <is>
          <t>Edwards</t>
        </is>
      </c>
      <c r="D188" t="inlineStr">
        <is>
          <t>F</t>
        </is>
      </c>
      <c r="E188" s="30" t="n">
        <v>29069</v>
      </c>
      <c r="F188" s="31" t="n">
        <v>64.09999999999999</v>
      </c>
      <c r="G188" s="31" t="n">
        <v>196.6</v>
      </c>
      <c r="H188" s="32" t="n"/>
    </row>
    <row r="189">
      <c r="A189" t="inlineStr">
        <is>
          <t>PT11231</t>
        </is>
      </c>
      <c r="B189" t="inlineStr">
        <is>
          <t>Stephen</t>
        </is>
      </c>
      <c r="C189" t="inlineStr">
        <is>
          <t>Butler</t>
        </is>
      </c>
      <c r="D189" t="inlineStr">
        <is>
          <t>M</t>
        </is>
      </c>
      <c r="E189" s="30" t="n">
        <v>33030</v>
      </c>
      <c r="F189" s="31" t="n">
        <v>65.3</v>
      </c>
      <c r="G189" s="31" t="n">
        <v>175.5</v>
      </c>
      <c r="H189" s="32" t="n"/>
    </row>
    <row r="190">
      <c r="A190" t="inlineStr">
        <is>
          <t>PT11240</t>
        </is>
      </c>
      <c r="B190" t="inlineStr">
        <is>
          <t>Jessica</t>
        </is>
      </c>
      <c r="C190" t="inlineStr">
        <is>
          <t>Holmes</t>
        </is>
      </c>
      <c r="D190" t="inlineStr">
        <is>
          <t>F</t>
        </is>
      </c>
      <c r="E190" s="30" t="n">
        <v>29676</v>
      </c>
      <c r="F190" s="31" t="n">
        <v>62.9</v>
      </c>
      <c r="G190" s="31" t="n">
        <v>143.5</v>
      </c>
      <c r="H190" s="32" t="n"/>
    </row>
    <row r="191">
      <c r="A191" t="inlineStr">
        <is>
          <t>PT11242</t>
        </is>
      </c>
      <c r="B191" t="inlineStr">
        <is>
          <t>Raymond</t>
        </is>
      </c>
      <c r="C191" t="inlineStr">
        <is>
          <t>Vazquez</t>
        </is>
      </c>
      <c r="D191" t="inlineStr">
        <is>
          <t>M</t>
        </is>
      </c>
      <c r="E191" s="30" t="n">
        <v>28844</v>
      </c>
      <c r="F191" s="31" t="n">
        <v>67.09999999999999</v>
      </c>
      <c r="G191" s="31" t="n">
        <v>177.3</v>
      </c>
      <c r="H191" s="32" t="n"/>
    </row>
    <row r="192">
      <c r="A192" t="inlineStr">
        <is>
          <t>PT11243</t>
        </is>
      </c>
      <c r="B192" t="inlineStr">
        <is>
          <t>Harper</t>
        </is>
      </c>
      <c r="C192" t="inlineStr">
        <is>
          <t>Munoz</t>
        </is>
      </c>
      <c r="D192" t="inlineStr">
        <is>
          <t>F</t>
        </is>
      </c>
      <c r="E192" s="30" t="n">
        <v>36913</v>
      </c>
      <c r="F192" s="31" t="n">
        <v>66.3</v>
      </c>
      <c r="G192" s="31" t="n">
        <v>240.5</v>
      </c>
      <c r="H192" s="32" t="n"/>
    </row>
    <row r="193">
      <c r="A193" t="inlineStr">
        <is>
          <t>PT11246</t>
        </is>
      </c>
      <c r="B193" t="inlineStr">
        <is>
          <t>Willie</t>
        </is>
      </c>
      <c r="C193" t="inlineStr">
        <is>
          <t>Petrov</t>
        </is>
      </c>
      <c r="D193" t="inlineStr">
        <is>
          <t>M</t>
        </is>
      </c>
      <c r="E193" s="30" t="n">
        <v>38197</v>
      </c>
      <c r="F193" s="31" t="n">
        <v>66.7</v>
      </c>
      <c r="G193" s="31" t="n">
        <v>155.2</v>
      </c>
      <c r="H193" s="32" t="n"/>
    </row>
    <row r="194">
      <c r="A194" t="inlineStr">
        <is>
          <t>PT11252</t>
        </is>
      </c>
      <c r="B194" t="inlineStr">
        <is>
          <t>Aaliyah</t>
        </is>
      </c>
      <c r="C194" t="inlineStr">
        <is>
          <t>West</t>
        </is>
      </c>
      <c r="D194" t="inlineStr">
        <is>
          <t>F</t>
        </is>
      </c>
      <c r="E194" s="30" t="n">
        <v>16195</v>
      </c>
      <c r="F194" s="31" t="n">
        <v>67.3</v>
      </c>
      <c r="G194" s="31" t="n">
        <v>194.5</v>
      </c>
      <c r="H194" s="32" t="n"/>
    </row>
    <row r="195">
      <c r="A195" t="inlineStr">
        <is>
          <t>PT11253</t>
        </is>
      </c>
      <c r="B195" t="inlineStr">
        <is>
          <t>Jesse</t>
        </is>
      </c>
      <c r="C195" t="inlineStr">
        <is>
          <t>Cruz</t>
        </is>
      </c>
      <c r="D195" t="inlineStr">
        <is>
          <t>M</t>
        </is>
      </c>
      <c r="E195" s="30" t="n">
        <v>20496</v>
      </c>
      <c r="F195" s="31" t="n">
        <v>73.2</v>
      </c>
      <c r="G195" s="31" t="n">
        <v>344.4</v>
      </c>
      <c r="H195" s="32" t="n"/>
    </row>
    <row r="196">
      <c r="A196" t="inlineStr">
        <is>
          <t>PT11254</t>
        </is>
      </c>
      <c r="B196" t="inlineStr">
        <is>
          <t>Wei</t>
        </is>
      </c>
      <c r="C196" t="inlineStr">
        <is>
          <t>Rose</t>
        </is>
      </c>
      <c r="D196" t="inlineStr">
        <is>
          <t>M</t>
        </is>
      </c>
      <c r="E196" s="30" t="n">
        <v>28285</v>
      </c>
      <c r="F196" s="31" t="n">
        <v>68</v>
      </c>
      <c r="G196" s="31" t="n">
        <v>268.9</v>
      </c>
      <c r="H196" s="32" t="n"/>
    </row>
    <row r="197">
      <c r="A197" t="inlineStr">
        <is>
          <t>PT11258</t>
        </is>
      </c>
      <c r="B197" t="inlineStr">
        <is>
          <t>Rachel</t>
        </is>
      </c>
      <c r="C197" t="inlineStr">
        <is>
          <t>Martinez</t>
        </is>
      </c>
      <c r="D197" t="inlineStr">
        <is>
          <t>F</t>
        </is>
      </c>
      <c r="E197" s="30" t="n">
        <v>25174</v>
      </c>
      <c r="F197" s="31" t="n">
        <v>61.9</v>
      </c>
      <c r="G197" s="31" t="n">
        <v>132.4</v>
      </c>
      <c r="H197" s="32" t="n"/>
    </row>
    <row r="198">
      <c r="A198" t="inlineStr">
        <is>
          <t>PT11260</t>
        </is>
      </c>
      <c r="B198" t="inlineStr">
        <is>
          <t>Jacob</t>
        </is>
      </c>
      <c r="C198" t="inlineStr">
        <is>
          <t>Gonzalez</t>
        </is>
      </c>
      <c r="D198" t="inlineStr">
        <is>
          <t>M</t>
        </is>
      </c>
      <c r="E198" s="30" t="n">
        <v>29108</v>
      </c>
      <c r="F198" s="31" t="n">
        <v>65.40000000000001</v>
      </c>
      <c r="G198" s="31" t="n">
        <v>205.7</v>
      </c>
      <c r="H198" s="32" t="n"/>
    </row>
    <row r="199">
      <c r="A199" t="inlineStr">
        <is>
          <t>PT11265</t>
        </is>
      </c>
      <c r="B199" t="inlineStr">
        <is>
          <t>Tyler</t>
        </is>
      </c>
      <c r="C199" t="inlineStr">
        <is>
          <t>Davis</t>
        </is>
      </c>
      <c r="D199" t="inlineStr">
        <is>
          <t>M</t>
        </is>
      </c>
      <c r="E199" s="30" t="n">
        <v>22943</v>
      </c>
      <c r="F199" s="31" t="n">
        <v>69</v>
      </c>
      <c r="G199" s="31" t="n">
        <v>198.7</v>
      </c>
      <c r="H199" s="32" t="n"/>
    </row>
    <row r="200">
      <c r="A200" t="inlineStr">
        <is>
          <t>PT11274</t>
        </is>
      </c>
      <c r="B200" t="inlineStr">
        <is>
          <t>Debra</t>
        </is>
      </c>
      <c r="C200" t="inlineStr">
        <is>
          <t>Long</t>
        </is>
      </c>
      <c r="D200" t="inlineStr">
        <is>
          <t>F</t>
        </is>
      </c>
      <c r="E200" s="30" t="n">
        <v>13055</v>
      </c>
      <c r="F200" s="31" t="n">
        <v>61.5</v>
      </c>
      <c r="G200" s="31" t="n">
        <v>194.7</v>
      </c>
      <c r="H200" s="32" t="n"/>
    </row>
    <row r="201">
      <c r="A201" t="inlineStr">
        <is>
          <t>PT11289</t>
        </is>
      </c>
      <c r="B201" t="inlineStr">
        <is>
          <t>Nicole</t>
        </is>
      </c>
      <c r="C201" t="inlineStr">
        <is>
          <t>Carroll</t>
        </is>
      </c>
      <c r="D201" t="inlineStr">
        <is>
          <t>F</t>
        </is>
      </c>
      <c r="E201" s="30" t="n">
        <v>26658</v>
      </c>
      <c r="F201" s="31" t="n">
        <v>62.9</v>
      </c>
      <c r="G201" s="31" t="n">
        <v>171.6</v>
      </c>
      <c r="H201" s="32" t="n"/>
    </row>
    <row r="202">
      <c r="A202" t="inlineStr">
        <is>
          <t>PT11301</t>
        </is>
      </c>
      <c r="B202" t="inlineStr">
        <is>
          <t>Ahmed</t>
        </is>
      </c>
      <c r="C202" t="inlineStr">
        <is>
          <t>Hughes</t>
        </is>
      </c>
      <c r="D202" t="inlineStr">
        <is>
          <t>M</t>
        </is>
      </c>
      <c r="E202" s="30" t="n">
        <v>20008</v>
      </c>
      <c r="F202" s="31" t="n">
        <v>66.59999999999999</v>
      </c>
      <c r="G202" s="31" t="n">
        <v>154.7</v>
      </c>
      <c r="H202" s="32" t="n"/>
    </row>
    <row r="203">
      <c r="A203" t="inlineStr">
        <is>
          <t>PT11303</t>
        </is>
      </c>
      <c r="B203" t="inlineStr">
        <is>
          <t>Joe</t>
        </is>
      </c>
      <c r="C203" t="inlineStr">
        <is>
          <t>Hill</t>
        </is>
      </c>
      <c r="D203" t="inlineStr">
        <is>
          <t>M</t>
        </is>
      </c>
      <c r="E203" s="30" t="n">
        <v>23618</v>
      </c>
      <c r="F203" s="31" t="n">
        <v>71.59999999999999</v>
      </c>
      <c r="G203" s="31" t="n">
        <v>149.8</v>
      </c>
      <c r="H203" s="32" t="n"/>
    </row>
    <row r="204">
      <c r="A204" t="inlineStr">
        <is>
          <t>PT11308</t>
        </is>
      </c>
      <c r="B204" t="inlineStr">
        <is>
          <t>Diana</t>
        </is>
      </c>
      <c r="C204" t="inlineStr">
        <is>
          <t>Warren</t>
        </is>
      </c>
      <c r="D204" t="inlineStr">
        <is>
          <t>F</t>
        </is>
      </c>
      <c r="E204" s="30" t="n">
        <v>30964</v>
      </c>
      <c r="F204" s="31" t="n">
        <v>60.1</v>
      </c>
      <c r="G204" s="31" t="n">
        <v>123.8</v>
      </c>
      <c r="H204" s="32" t="n"/>
    </row>
    <row r="205">
      <c r="A205" t="inlineStr">
        <is>
          <t>PT11310</t>
        </is>
      </c>
      <c r="B205" t="inlineStr">
        <is>
          <t>Albert</t>
        </is>
      </c>
      <c r="C205" t="inlineStr">
        <is>
          <t>Hernandez</t>
        </is>
      </c>
      <c r="D205" t="inlineStr">
        <is>
          <t>M</t>
        </is>
      </c>
      <c r="E205" s="30" t="n">
        <v>20582</v>
      </c>
      <c r="F205" s="31" t="n">
        <v>66.3</v>
      </c>
      <c r="G205" s="31" t="n">
        <v>229.5</v>
      </c>
      <c r="H205" s="32" t="n"/>
    </row>
    <row r="206">
      <c r="A206" t="inlineStr">
        <is>
          <t>PT11312</t>
        </is>
      </c>
      <c r="B206" t="inlineStr">
        <is>
          <t>Margaret</t>
        </is>
      </c>
      <c r="C206" t="inlineStr">
        <is>
          <t>Miller</t>
        </is>
      </c>
      <c r="D206" t="inlineStr">
        <is>
          <t>F</t>
        </is>
      </c>
      <c r="E206" s="30" t="n">
        <v>37319</v>
      </c>
      <c r="F206" s="31" t="n">
        <v>59.9</v>
      </c>
      <c r="G206" s="31" t="n">
        <v>98.2</v>
      </c>
      <c r="H206" s="32" t="n"/>
    </row>
    <row r="207">
      <c r="A207" t="inlineStr">
        <is>
          <t>PT11315</t>
        </is>
      </c>
      <c r="B207" t="inlineStr">
        <is>
          <t>Evelyn</t>
        </is>
      </c>
      <c r="C207" t="inlineStr">
        <is>
          <t>Lee</t>
        </is>
      </c>
      <c r="D207" t="inlineStr">
        <is>
          <t>F</t>
        </is>
      </c>
      <c r="E207" s="30" t="n">
        <v>30722</v>
      </c>
      <c r="F207" s="31" t="n">
        <v>61.1</v>
      </c>
      <c r="G207" s="31" t="n">
        <v>161.5</v>
      </c>
      <c r="H207" s="32" t="n"/>
    </row>
    <row r="208">
      <c r="A208" t="inlineStr">
        <is>
          <t>PT11327</t>
        </is>
      </c>
      <c r="B208" t="inlineStr">
        <is>
          <t>Kayla</t>
        </is>
      </c>
      <c r="C208" t="inlineStr">
        <is>
          <t>Washington</t>
        </is>
      </c>
      <c r="D208" t="inlineStr">
        <is>
          <t>F</t>
        </is>
      </c>
      <c r="E208" s="30" t="n">
        <v>21911</v>
      </c>
      <c r="F208" s="31" t="n">
        <v>62.8</v>
      </c>
      <c r="G208" s="31" t="n">
        <v>165.9</v>
      </c>
      <c r="H208" s="32" t="n"/>
    </row>
    <row r="209">
      <c r="A209" t="inlineStr">
        <is>
          <t>PT11348</t>
        </is>
      </c>
      <c r="B209" t="inlineStr">
        <is>
          <t>Anthony</t>
        </is>
      </c>
      <c r="C209" t="inlineStr">
        <is>
          <t>Miller</t>
        </is>
      </c>
      <c r="D209" t="inlineStr">
        <is>
          <t>M</t>
        </is>
      </c>
      <c r="E209" s="30" t="n">
        <v>35601</v>
      </c>
      <c r="F209" s="31" t="n">
        <v>69.90000000000001</v>
      </c>
      <c r="G209" s="31" t="n">
        <v>253.7</v>
      </c>
      <c r="H209" s="32" t="n"/>
    </row>
    <row r="210">
      <c r="A210" t="inlineStr">
        <is>
          <t>PT11367</t>
        </is>
      </c>
      <c r="B210" t="inlineStr">
        <is>
          <t>Cheryl</t>
        </is>
      </c>
      <c r="C210" t="inlineStr">
        <is>
          <t>Perez</t>
        </is>
      </c>
      <c r="D210" t="inlineStr">
        <is>
          <t>F</t>
        </is>
      </c>
      <c r="E210" s="30" t="n">
        <v>38555</v>
      </c>
      <c r="F210" s="31" t="n">
        <v>66</v>
      </c>
      <c r="G210" s="31" t="n">
        <v>225</v>
      </c>
      <c r="H210" s="32" t="n"/>
    </row>
    <row r="211">
      <c r="A211" t="inlineStr">
        <is>
          <t>PT11371</t>
        </is>
      </c>
      <c r="B211" t="inlineStr">
        <is>
          <t>George</t>
        </is>
      </c>
      <c r="C211" t="inlineStr">
        <is>
          <t>Ortiz</t>
        </is>
      </c>
      <c r="D211" t="inlineStr">
        <is>
          <t>M</t>
        </is>
      </c>
      <c r="E211" s="30" t="n">
        <v>19214</v>
      </c>
      <c r="F211" s="31" t="n">
        <v>67.5</v>
      </c>
      <c r="G211" s="31" t="n">
        <v>161.4</v>
      </c>
      <c r="H211" s="32" t="n"/>
    </row>
    <row r="212">
      <c r="A212" t="inlineStr">
        <is>
          <t>PT11372</t>
        </is>
      </c>
      <c r="B212" t="inlineStr">
        <is>
          <t>Walter</t>
        </is>
      </c>
      <c r="C212" t="inlineStr">
        <is>
          <t>Wells</t>
        </is>
      </c>
      <c r="D212" t="inlineStr">
        <is>
          <t>M</t>
        </is>
      </c>
      <c r="E212" s="30" t="n">
        <v>17866</v>
      </c>
      <c r="F212" s="31" t="n">
        <v>71.3</v>
      </c>
      <c r="G212" s="31" t="n">
        <v>128.6</v>
      </c>
      <c r="H212" s="32" t="n"/>
    </row>
    <row r="213">
      <c r="A213" t="inlineStr">
        <is>
          <t>PT11373</t>
        </is>
      </c>
      <c r="B213" t="inlineStr">
        <is>
          <t>Billy</t>
        </is>
      </c>
      <c r="C213" t="inlineStr">
        <is>
          <t>Reyes</t>
        </is>
      </c>
      <c r="D213" t="inlineStr">
        <is>
          <t>M</t>
        </is>
      </c>
      <c r="E213" s="30" t="n">
        <v>12741</v>
      </c>
      <c r="F213" s="31" t="n">
        <v>64.2</v>
      </c>
      <c r="G213" s="31" t="n">
        <v>285.9</v>
      </c>
      <c r="H213" s="32" t="n"/>
    </row>
    <row r="214">
      <c r="A214" t="inlineStr">
        <is>
          <t>PT11381</t>
        </is>
      </c>
      <c r="B214" t="inlineStr">
        <is>
          <t>Judy</t>
        </is>
      </c>
      <c r="C214" t="inlineStr">
        <is>
          <t>Howard</t>
        </is>
      </c>
      <c r="D214" t="inlineStr">
        <is>
          <t>F</t>
        </is>
      </c>
      <c r="E214" s="30" t="n">
        <v>28507</v>
      </c>
      <c r="F214" s="31" t="n">
        <v>65.7</v>
      </c>
      <c r="G214" s="31" t="n">
        <v>183.9</v>
      </c>
      <c r="H214" s="32" t="n"/>
    </row>
    <row r="215">
      <c r="A215" t="inlineStr">
        <is>
          <t>PT11386</t>
        </is>
      </c>
      <c r="B215" t="inlineStr">
        <is>
          <t>Justin</t>
        </is>
      </c>
      <c r="C215" t="inlineStr">
        <is>
          <t>Lewis</t>
        </is>
      </c>
      <c r="D215" t="inlineStr">
        <is>
          <t>M</t>
        </is>
      </c>
      <c r="E215" s="30" t="n">
        <v>27695</v>
      </c>
      <c r="F215" s="31" t="n">
        <v>69</v>
      </c>
      <c r="G215" s="31" t="n">
        <v>139.6</v>
      </c>
      <c r="H215" s="32" t="n"/>
    </row>
    <row r="216">
      <c r="A216" t="inlineStr">
        <is>
          <t>PT11391</t>
        </is>
      </c>
      <c r="B216" t="inlineStr">
        <is>
          <t>Mia</t>
        </is>
      </c>
      <c r="C216" t="inlineStr">
        <is>
          <t>Lewis</t>
        </is>
      </c>
      <c r="D216" t="inlineStr">
        <is>
          <t>F</t>
        </is>
      </c>
      <c r="E216" s="30" t="n">
        <v>37389</v>
      </c>
      <c r="F216" s="31" t="n">
        <v>59</v>
      </c>
      <c r="G216" s="31" t="n">
        <v>166.6</v>
      </c>
      <c r="H216" s="32" t="n"/>
    </row>
    <row r="217">
      <c r="A217" t="inlineStr">
        <is>
          <t>PT11394</t>
        </is>
      </c>
      <c r="B217" t="inlineStr">
        <is>
          <t>Deborah</t>
        </is>
      </c>
      <c r="C217" t="inlineStr">
        <is>
          <t>Osei</t>
        </is>
      </c>
      <c r="D217" t="inlineStr">
        <is>
          <t>F</t>
        </is>
      </c>
      <c r="E217" s="30" t="n">
        <v>21019</v>
      </c>
      <c r="F217" s="31" t="n">
        <v>64.2</v>
      </c>
      <c r="G217" s="31" t="n">
        <v>245.3</v>
      </c>
      <c r="H217" s="32" t="n"/>
    </row>
    <row r="218">
      <c r="A218" t="inlineStr">
        <is>
          <t>PT11401</t>
        </is>
      </c>
      <c r="B218" t="inlineStr">
        <is>
          <t>Marilyn</t>
        </is>
      </c>
      <c r="C218" t="inlineStr">
        <is>
          <t>Myers</t>
        </is>
      </c>
      <c r="D218" t="inlineStr">
        <is>
          <t>F</t>
        </is>
      </c>
      <c r="E218" s="30" t="n">
        <v>25991</v>
      </c>
      <c r="F218" s="31" t="n">
        <v>62.3</v>
      </c>
      <c r="G218" s="31" t="n">
        <v>193.2</v>
      </c>
      <c r="H218" s="32" t="n"/>
    </row>
    <row r="219">
      <c r="A219" t="inlineStr">
        <is>
          <t>PT11403</t>
        </is>
      </c>
      <c r="B219" t="inlineStr">
        <is>
          <t>Jean</t>
        </is>
      </c>
      <c r="C219" t="inlineStr">
        <is>
          <t>Simmons</t>
        </is>
      </c>
      <c r="D219" t="inlineStr">
        <is>
          <t>F</t>
        </is>
      </c>
      <c r="E219" s="30" t="n">
        <v>24283</v>
      </c>
      <c r="F219" s="31" t="n">
        <v>62.4</v>
      </c>
      <c r="G219" s="31" t="n">
        <v>91.40000000000001</v>
      </c>
      <c r="H219" s="32" t="n"/>
    </row>
    <row r="220">
      <c r="A220" t="inlineStr">
        <is>
          <t>PT11409</t>
        </is>
      </c>
      <c r="B220" t="inlineStr">
        <is>
          <t>Karen</t>
        </is>
      </c>
      <c r="C220" t="inlineStr">
        <is>
          <t>Andrews</t>
        </is>
      </c>
      <c r="D220" t="inlineStr">
        <is>
          <t>F</t>
        </is>
      </c>
      <c r="E220" s="30" t="n">
        <v>37138</v>
      </c>
      <c r="F220" s="31" t="n">
        <v>65.3</v>
      </c>
      <c r="G220" s="31" t="n">
        <v>133.7</v>
      </c>
      <c r="H220" s="32" t="n"/>
    </row>
    <row r="221">
      <c r="A221" t="inlineStr">
        <is>
          <t>PT11412</t>
        </is>
      </c>
      <c r="B221" t="inlineStr">
        <is>
          <t>Kimberly</t>
        </is>
      </c>
      <c r="C221" t="inlineStr">
        <is>
          <t>Bryant</t>
        </is>
      </c>
      <c r="D221" t="inlineStr">
        <is>
          <t>F</t>
        </is>
      </c>
      <c r="E221" s="30" t="n">
        <v>17012</v>
      </c>
      <c r="F221" s="31" t="n">
        <v>65.40000000000001</v>
      </c>
      <c r="G221" s="31" t="n">
        <v>152.5</v>
      </c>
      <c r="H221" s="32" t="n"/>
    </row>
    <row r="222">
      <c r="A222" t="inlineStr">
        <is>
          <t>PT11417</t>
        </is>
      </c>
      <c r="B222" t="inlineStr">
        <is>
          <t>Eric</t>
        </is>
      </c>
      <c r="C222" t="inlineStr">
        <is>
          <t>Gutierrez</t>
        </is>
      </c>
      <c r="D222" t="inlineStr">
        <is>
          <t>M</t>
        </is>
      </c>
      <c r="E222" s="30" t="n">
        <v>35499</v>
      </c>
      <c r="F222" s="31" t="n">
        <v>67.8</v>
      </c>
      <c r="G222" s="31" t="n">
        <v>171.8</v>
      </c>
      <c r="H222" s="32" t="n"/>
    </row>
    <row r="223">
      <c r="A223" t="inlineStr">
        <is>
          <t>PT11420</t>
        </is>
      </c>
      <c r="B223" t="inlineStr">
        <is>
          <t>Douglas</t>
        </is>
      </c>
      <c r="C223" t="inlineStr">
        <is>
          <t>Boyd</t>
        </is>
      </c>
      <c r="D223" t="inlineStr">
        <is>
          <t>M</t>
        </is>
      </c>
      <c r="E223" s="30" t="n">
        <v>10276</v>
      </c>
      <c r="F223" s="31" t="n">
        <v>66.59999999999999</v>
      </c>
      <c r="G223" s="31" t="n">
        <v>178.4</v>
      </c>
      <c r="H223" s="32" t="n"/>
    </row>
    <row r="224">
      <c r="A224" t="inlineStr">
        <is>
          <t>PT11421</t>
        </is>
      </c>
      <c r="B224" t="inlineStr">
        <is>
          <t>Sara</t>
        </is>
      </c>
      <c r="C224" t="inlineStr">
        <is>
          <t>Bailey</t>
        </is>
      </c>
      <c r="D224" t="inlineStr">
        <is>
          <t>F</t>
        </is>
      </c>
      <c r="E224" s="30" t="n">
        <v>30383</v>
      </c>
      <c r="F224" s="31" t="n">
        <v>65.09999999999999</v>
      </c>
      <c r="G224" s="31" t="n">
        <v>190.4</v>
      </c>
      <c r="H224" s="32" t="n"/>
    </row>
    <row r="225">
      <c r="A225" t="inlineStr">
        <is>
          <t>PT11427</t>
        </is>
      </c>
      <c r="B225" t="inlineStr">
        <is>
          <t>Judith</t>
        </is>
      </c>
      <c r="C225" t="inlineStr">
        <is>
          <t>Ryan</t>
        </is>
      </c>
      <c r="D225" t="inlineStr">
        <is>
          <t>F</t>
        </is>
      </c>
      <c r="E225" s="30" t="n">
        <v>20131</v>
      </c>
      <c r="F225" s="31" t="n">
        <v>66.59999999999999</v>
      </c>
      <c r="G225" s="31" t="n">
        <v>201.1</v>
      </c>
      <c r="H225" s="32" t="n"/>
    </row>
    <row r="226">
      <c r="A226" t="inlineStr">
        <is>
          <t>PT11433</t>
        </is>
      </c>
      <c r="B226" t="inlineStr">
        <is>
          <t>Carl</t>
        </is>
      </c>
      <c r="C226" t="inlineStr">
        <is>
          <t>Hernandez</t>
        </is>
      </c>
      <c r="D226" t="inlineStr">
        <is>
          <t>M</t>
        </is>
      </c>
      <c r="E226" s="30" t="n">
        <v>13170</v>
      </c>
      <c r="F226" s="31" t="n">
        <v>68.09999999999999</v>
      </c>
      <c r="G226" s="31" t="n">
        <v>237.2</v>
      </c>
      <c r="H226" s="32" t="n"/>
    </row>
    <row r="227">
      <c r="A227" t="inlineStr">
        <is>
          <t>PT11437</t>
        </is>
      </c>
      <c r="B227" t="inlineStr">
        <is>
          <t>Pamela</t>
        </is>
      </c>
      <c r="C227" t="inlineStr">
        <is>
          <t>Salazar</t>
        </is>
      </c>
      <c r="D227" t="inlineStr">
        <is>
          <t>F</t>
        </is>
      </c>
      <c r="E227" s="30" t="n">
        <v>21047</v>
      </c>
      <c r="F227" s="31" t="n">
        <v>62.9</v>
      </c>
      <c r="G227" s="31" t="n">
        <v>186</v>
      </c>
      <c r="H227" s="32" t="n"/>
    </row>
    <row r="228">
      <c r="A228" t="inlineStr">
        <is>
          <t>PT11443</t>
        </is>
      </c>
      <c r="B228" t="inlineStr">
        <is>
          <t>Ethan</t>
        </is>
      </c>
      <c r="C228" t="inlineStr">
        <is>
          <t>Ray</t>
        </is>
      </c>
      <c r="D228" t="inlineStr">
        <is>
          <t>M</t>
        </is>
      </c>
      <c r="E228" s="30" t="n">
        <v>26444</v>
      </c>
      <c r="F228" s="31" t="n">
        <v>64.7</v>
      </c>
      <c r="G228" s="31" t="n">
        <v>124.4</v>
      </c>
      <c r="H228" s="32" t="n"/>
    </row>
    <row r="229">
      <c r="A229" t="inlineStr">
        <is>
          <t>PT11446</t>
        </is>
      </c>
      <c r="B229" t="inlineStr">
        <is>
          <t>Rebecca</t>
        </is>
      </c>
      <c r="C229" t="inlineStr">
        <is>
          <t>Vasquez</t>
        </is>
      </c>
      <c r="D229" t="inlineStr">
        <is>
          <t>F</t>
        </is>
      </c>
      <c r="E229" s="30" t="n">
        <v>30788</v>
      </c>
      <c r="F229" s="31" t="n">
        <v>63.8</v>
      </c>
      <c r="G229" s="31" t="n">
        <v>155</v>
      </c>
      <c r="H229" s="32" t="n"/>
    </row>
    <row r="230">
      <c r="A230" t="inlineStr">
        <is>
          <t>PT11447</t>
        </is>
      </c>
      <c r="B230" t="inlineStr">
        <is>
          <t>Virginia</t>
        </is>
      </c>
      <c r="C230" t="inlineStr">
        <is>
          <t>Hamilton</t>
        </is>
      </c>
      <c r="D230" t="inlineStr">
        <is>
          <t>F</t>
        </is>
      </c>
      <c r="E230" s="30" t="n">
        <v>38285</v>
      </c>
      <c r="F230" s="31" t="n">
        <v>64.3</v>
      </c>
      <c r="G230" s="31" t="n">
        <v>136.4</v>
      </c>
      <c r="H230" s="32" t="n"/>
    </row>
    <row r="231">
      <c r="A231" t="inlineStr">
        <is>
          <t>PT11448</t>
        </is>
      </c>
      <c r="B231" t="inlineStr">
        <is>
          <t>Sandra</t>
        </is>
      </c>
      <c r="C231" t="inlineStr">
        <is>
          <t>Jenkins</t>
        </is>
      </c>
      <c r="D231" t="inlineStr">
        <is>
          <t>F</t>
        </is>
      </c>
      <c r="E231" s="30" t="n">
        <v>32777</v>
      </c>
      <c r="F231" s="31" t="n">
        <v>63.1</v>
      </c>
      <c r="G231" s="31" t="n">
        <v>153.4</v>
      </c>
      <c r="H231" s="32" t="n"/>
    </row>
    <row r="232">
      <c r="A232" t="inlineStr">
        <is>
          <t>PT11452</t>
        </is>
      </c>
      <c r="B232" t="inlineStr">
        <is>
          <t>Betty</t>
        </is>
      </c>
      <c r="C232" t="inlineStr">
        <is>
          <t>Chen</t>
        </is>
      </c>
      <c r="D232" t="inlineStr">
        <is>
          <t>F</t>
        </is>
      </c>
      <c r="E232" s="30" t="n">
        <v>32377</v>
      </c>
      <c r="F232" s="31" t="n">
        <v>64.2</v>
      </c>
      <c r="G232" s="31" t="n">
        <v>182.3</v>
      </c>
      <c r="H232" s="32" t="n"/>
    </row>
    <row r="233">
      <c r="A233" t="inlineStr">
        <is>
          <t>PT11456</t>
        </is>
      </c>
      <c r="B233" t="inlineStr">
        <is>
          <t>Bobby</t>
        </is>
      </c>
      <c r="C233" t="inlineStr">
        <is>
          <t>Osei</t>
        </is>
      </c>
      <c r="D233" t="inlineStr">
        <is>
          <t>M</t>
        </is>
      </c>
      <c r="E233" s="30" t="n">
        <v>29005</v>
      </c>
      <c r="F233" s="31" t="n">
        <v>69.8</v>
      </c>
      <c r="G233" s="31" t="n">
        <v>258.6</v>
      </c>
      <c r="H233" s="32" t="n"/>
    </row>
    <row r="234">
      <c r="A234" t="inlineStr">
        <is>
          <t>PT11473</t>
        </is>
      </c>
      <c r="B234" t="inlineStr">
        <is>
          <t>Randy</t>
        </is>
      </c>
      <c r="C234" t="inlineStr">
        <is>
          <t>Vazquez</t>
        </is>
      </c>
      <c r="D234" t="inlineStr">
        <is>
          <t>M</t>
        </is>
      </c>
      <c r="E234" s="30" t="n">
        <v>33596</v>
      </c>
      <c r="F234" s="31" t="n">
        <v>72.3</v>
      </c>
      <c r="G234" s="31" t="n">
        <v>244.8</v>
      </c>
      <c r="H234" s="32" t="n"/>
    </row>
    <row r="235">
      <c r="A235" t="inlineStr">
        <is>
          <t>PT11492</t>
        </is>
      </c>
      <c r="B235" t="inlineStr">
        <is>
          <t>Emily</t>
        </is>
      </c>
      <c r="C235" t="inlineStr">
        <is>
          <t>Lindqvist</t>
        </is>
      </c>
      <c r="D235" t="inlineStr">
        <is>
          <t>F</t>
        </is>
      </c>
      <c r="E235" s="30" t="n">
        <v>16786</v>
      </c>
      <c r="F235" s="31" t="n">
        <v>64.3</v>
      </c>
      <c r="G235" s="31" t="n">
        <v>129.4</v>
      </c>
      <c r="H235" s="32" t="n"/>
    </row>
    <row r="236">
      <c r="A236" t="inlineStr">
        <is>
          <t>PT11496</t>
        </is>
      </c>
      <c r="B236" t="inlineStr">
        <is>
          <t>Minh</t>
        </is>
      </c>
      <c r="C236" t="inlineStr">
        <is>
          <t>Olson</t>
        </is>
      </c>
      <c r="D236" t="inlineStr">
        <is>
          <t>M</t>
        </is>
      </c>
      <c r="E236" s="30" t="n">
        <v>19096</v>
      </c>
      <c r="F236" s="31" t="n">
        <v>71.7</v>
      </c>
      <c r="G236" s="31" t="n">
        <v>284.8</v>
      </c>
      <c r="H236" s="32" t="n"/>
    </row>
    <row r="237">
      <c r="A237" t="inlineStr">
        <is>
          <t>PT11504</t>
        </is>
      </c>
      <c r="B237" t="inlineStr">
        <is>
          <t>Sharon</t>
        </is>
      </c>
      <c r="C237" t="inlineStr">
        <is>
          <t>Olson</t>
        </is>
      </c>
      <c r="D237" t="inlineStr">
        <is>
          <t>F</t>
        </is>
      </c>
      <c r="E237" s="30" t="n">
        <v>17220</v>
      </c>
      <c r="F237" s="31" t="n">
        <v>64.2</v>
      </c>
      <c r="G237" s="31" t="n">
        <v>158.7</v>
      </c>
      <c r="H237" s="32" t="n"/>
    </row>
    <row r="238">
      <c r="A238" t="inlineStr">
        <is>
          <t>PT11518</t>
        </is>
      </c>
      <c r="B238" t="inlineStr">
        <is>
          <t>Gary</t>
        </is>
      </c>
      <c r="C238" t="inlineStr">
        <is>
          <t>Robinson</t>
        </is>
      </c>
      <c r="D238" t="inlineStr">
        <is>
          <t>M</t>
        </is>
      </c>
      <c r="E238" s="30" t="n">
        <v>27051</v>
      </c>
      <c r="F238" s="31" t="n">
        <v>73.3</v>
      </c>
      <c r="G238" s="31" t="n">
        <v>324.7</v>
      </c>
      <c r="H238" s="32" t="n"/>
    </row>
    <row r="239">
      <c r="A239" t="inlineStr">
        <is>
          <t>PT11523</t>
        </is>
      </c>
      <c r="B239" t="inlineStr">
        <is>
          <t>Mia</t>
        </is>
      </c>
      <c r="C239" t="inlineStr">
        <is>
          <t>Lopez</t>
        </is>
      </c>
      <c r="D239" t="inlineStr">
        <is>
          <t>F</t>
        </is>
      </c>
      <c r="E239" s="30" t="n">
        <v>23442</v>
      </c>
      <c r="F239" s="31" t="n">
        <v>63</v>
      </c>
      <c r="G239" s="31" t="n">
        <v>148.4</v>
      </c>
      <c r="H239" s="32" t="n"/>
    </row>
    <row r="240">
      <c r="A240" t="inlineStr">
        <is>
          <t>PT11524</t>
        </is>
      </c>
      <c r="B240" t="inlineStr">
        <is>
          <t>Laura</t>
        </is>
      </c>
      <c r="C240" t="inlineStr">
        <is>
          <t>Sandoval</t>
        </is>
      </c>
      <c r="D240" t="inlineStr">
        <is>
          <t>F</t>
        </is>
      </c>
      <c r="E240" s="30" t="n">
        <v>27870</v>
      </c>
      <c r="F240" s="31" t="n">
        <v>64.7</v>
      </c>
      <c r="G240" s="31" t="n">
        <v>234.8</v>
      </c>
      <c r="H240" s="32" t="n"/>
    </row>
    <row r="241">
      <c r="A241" t="inlineStr">
        <is>
          <t>PT11529</t>
        </is>
      </c>
      <c r="B241" t="inlineStr">
        <is>
          <t>Jacob</t>
        </is>
      </c>
      <c r="C241" t="inlineStr">
        <is>
          <t>Sullivan</t>
        </is>
      </c>
      <c r="D241" t="inlineStr">
        <is>
          <t>M</t>
        </is>
      </c>
      <c r="E241" s="30" t="n">
        <v>17660</v>
      </c>
      <c r="F241" s="31" t="n">
        <v>71.90000000000001</v>
      </c>
      <c r="G241" s="31" t="n">
        <v>203.4</v>
      </c>
      <c r="H241" s="32" t="n"/>
    </row>
    <row r="242">
      <c r="A242" t="inlineStr">
        <is>
          <t>PT11534</t>
        </is>
      </c>
      <c r="B242" t="inlineStr">
        <is>
          <t>Keith</t>
        </is>
      </c>
      <c r="C242" t="inlineStr">
        <is>
          <t>Holmes</t>
        </is>
      </c>
      <c r="D242" t="inlineStr">
        <is>
          <t>M</t>
        </is>
      </c>
      <c r="E242" s="30" t="n">
        <v>25348</v>
      </c>
      <c r="F242" s="31" t="n">
        <v>63.3</v>
      </c>
      <c r="G242" s="31" t="n">
        <v>163.5</v>
      </c>
      <c r="H242" s="32" t="n"/>
    </row>
    <row r="243">
      <c r="A243" t="inlineStr">
        <is>
          <t>PT11535</t>
        </is>
      </c>
      <c r="B243" t="inlineStr">
        <is>
          <t>Patrick</t>
        </is>
      </c>
      <c r="C243" t="inlineStr">
        <is>
          <t>Hughes</t>
        </is>
      </c>
      <c r="D243" t="inlineStr">
        <is>
          <t>M</t>
        </is>
      </c>
      <c r="E243" s="30" t="n">
        <v>29678</v>
      </c>
      <c r="F243" s="31" t="n">
        <v>67.2</v>
      </c>
      <c r="G243" s="31" t="n">
        <v>205.3</v>
      </c>
      <c r="H243" s="32" t="n"/>
    </row>
    <row r="244">
      <c r="A244" t="inlineStr">
        <is>
          <t>PT11536</t>
        </is>
      </c>
      <c r="B244" t="inlineStr">
        <is>
          <t>Jonathan</t>
        </is>
      </c>
      <c r="C244" t="inlineStr">
        <is>
          <t>Haddad</t>
        </is>
      </c>
      <c r="D244" t="inlineStr">
        <is>
          <t>M</t>
        </is>
      </c>
      <c r="E244" s="30" t="n">
        <v>37346</v>
      </c>
      <c r="F244" s="31" t="n">
        <v>66.59999999999999</v>
      </c>
      <c r="G244" s="31" t="n">
        <v>188</v>
      </c>
      <c r="H244" s="32" t="n"/>
    </row>
    <row r="245">
      <c r="A245" t="inlineStr">
        <is>
          <t>PT11538</t>
        </is>
      </c>
      <c r="B245" t="inlineStr">
        <is>
          <t>Roger</t>
        </is>
      </c>
      <c r="C245" t="inlineStr">
        <is>
          <t>Murray</t>
        </is>
      </c>
      <c r="D245" t="inlineStr">
        <is>
          <t>M</t>
        </is>
      </c>
      <c r="E245" s="30" t="n">
        <v>29819</v>
      </c>
      <c r="F245" s="31" t="n">
        <v>65.3</v>
      </c>
      <c r="G245" s="31" t="n">
        <v>189.4</v>
      </c>
      <c r="H245" s="32" t="n"/>
    </row>
    <row r="246">
      <c r="A246" t="inlineStr">
        <is>
          <t>PT11542</t>
        </is>
      </c>
      <c r="B246" t="inlineStr">
        <is>
          <t>Christine</t>
        </is>
      </c>
      <c r="C246" t="inlineStr">
        <is>
          <t>Rose</t>
        </is>
      </c>
      <c r="D246" t="inlineStr">
        <is>
          <t>F</t>
        </is>
      </c>
      <c r="E246" s="30" t="n">
        <v>12274</v>
      </c>
      <c r="F246" s="31" t="n">
        <v>61.7</v>
      </c>
      <c r="G246" s="31" t="n">
        <v>171.9</v>
      </c>
      <c r="H246" s="32" t="n"/>
    </row>
    <row r="247">
      <c r="A247" t="inlineStr">
        <is>
          <t>PT11545</t>
        </is>
      </c>
      <c r="B247" t="inlineStr">
        <is>
          <t>Donna</t>
        </is>
      </c>
      <c r="C247" t="inlineStr">
        <is>
          <t>Watson</t>
        </is>
      </c>
      <c r="D247" t="inlineStr">
        <is>
          <t>F</t>
        </is>
      </c>
      <c r="E247" s="30" t="n">
        <v>9771</v>
      </c>
      <c r="F247" s="31" t="n">
        <v>62</v>
      </c>
      <c r="G247" s="31" t="n">
        <v>146.6</v>
      </c>
      <c r="H247" s="32" t="n"/>
    </row>
    <row r="248">
      <c r="A248" t="inlineStr">
        <is>
          <t>PT11548</t>
        </is>
      </c>
      <c r="B248" t="inlineStr">
        <is>
          <t>Rosa</t>
        </is>
      </c>
      <c r="C248" t="inlineStr">
        <is>
          <t>Kowalski</t>
        </is>
      </c>
      <c r="D248" t="inlineStr">
        <is>
          <t>F</t>
        </is>
      </c>
      <c r="E248" s="30" t="n">
        <v>33837</v>
      </c>
      <c r="F248" s="31" t="n">
        <v>62.9</v>
      </c>
      <c r="G248" s="31" t="n">
        <v>104.4</v>
      </c>
      <c r="H248" s="32" t="n"/>
    </row>
    <row r="249">
      <c r="A249" t="inlineStr">
        <is>
          <t>PT11581</t>
        </is>
      </c>
      <c r="B249" t="inlineStr">
        <is>
          <t>Arthur</t>
        </is>
      </c>
      <c r="C249" t="inlineStr">
        <is>
          <t>Coleman</t>
        </is>
      </c>
      <c r="D249" t="inlineStr">
        <is>
          <t>M</t>
        </is>
      </c>
      <c r="E249" s="30" t="n">
        <v>17400</v>
      </c>
      <c r="F249" s="31" t="n">
        <v>70.8</v>
      </c>
      <c r="G249" s="31" t="n">
        <v>272.4</v>
      </c>
      <c r="H249" s="32" t="n"/>
    </row>
    <row r="250">
      <c r="A250" t="inlineStr">
        <is>
          <t>PT11582</t>
        </is>
      </c>
      <c r="B250" t="inlineStr">
        <is>
          <t>Eric</t>
        </is>
      </c>
      <c r="C250" t="inlineStr">
        <is>
          <t>Peters</t>
        </is>
      </c>
      <c r="D250" t="inlineStr">
        <is>
          <t>M</t>
        </is>
      </c>
      <c r="E250" s="30" t="n">
        <v>14352</v>
      </c>
      <c r="F250" s="31" t="n">
        <v>68.8</v>
      </c>
      <c r="G250" s="31" t="n">
        <v>211.7</v>
      </c>
      <c r="H250" s="32" t="n"/>
    </row>
    <row r="251">
      <c r="A251" t="inlineStr">
        <is>
          <t>PT11591</t>
        </is>
      </c>
      <c r="B251" t="inlineStr">
        <is>
          <t>Randy</t>
        </is>
      </c>
      <c r="C251" t="inlineStr">
        <is>
          <t>Stewart</t>
        </is>
      </c>
      <c r="D251" t="inlineStr">
        <is>
          <t>M</t>
        </is>
      </c>
      <c r="E251" s="30" t="n">
        <v>38942</v>
      </c>
      <c r="F251" s="31" t="n">
        <v>69.40000000000001</v>
      </c>
      <c r="G251" s="31" t="n">
        <v>211</v>
      </c>
      <c r="H251" s="32" t="n"/>
    </row>
    <row r="252">
      <c r="A252" t="inlineStr">
        <is>
          <t>PT11603</t>
        </is>
      </c>
      <c r="B252" t="inlineStr">
        <is>
          <t>Mei</t>
        </is>
      </c>
      <c r="C252" t="inlineStr">
        <is>
          <t>Myers</t>
        </is>
      </c>
      <c r="D252" t="inlineStr">
        <is>
          <t>F</t>
        </is>
      </c>
      <c r="E252" s="30" t="n">
        <v>12740</v>
      </c>
      <c r="F252" s="31" t="n">
        <v>64.5</v>
      </c>
      <c r="G252" s="31" t="n">
        <v>176.2</v>
      </c>
      <c r="H252" s="32" t="n"/>
    </row>
    <row r="253">
      <c r="A253" t="inlineStr">
        <is>
          <t>PT11605</t>
        </is>
      </c>
      <c r="B253" t="inlineStr">
        <is>
          <t>Elijah</t>
        </is>
      </c>
      <c r="C253" t="inlineStr">
        <is>
          <t>Lewis</t>
        </is>
      </c>
      <c r="D253" t="inlineStr">
        <is>
          <t>M</t>
        </is>
      </c>
      <c r="E253" s="30" t="n">
        <v>31526</v>
      </c>
      <c r="F253" s="31" t="n">
        <v>69.09999999999999</v>
      </c>
      <c r="G253" s="31" t="n">
        <v>225.2</v>
      </c>
      <c r="H253" s="32" t="n"/>
    </row>
    <row r="254">
      <c r="A254" t="inlineStr">
        <is>
          <t>PT11611</t>
        </is>
      </c>
      <c r="B254" t="inlineStr">
        <is>
          <t>Nancy</t>
        </is>
      </c>
      <c r="C254" t="inlineStr">
        <is>
          <t>Flores</t>
        </is>
      </c>
      <c r="D254" t="inlineStr">
        <is>
          <t>F</t>
        </is>
      </c>
      <c r="E254" s="30" t="n">
        <v>38910</v>
      </c>
      <c r="F254" s="31" t="n">
        <v>64.3</v>
      </c>
      <c r="G254" s="31" t="n">
        <v>174.8</v>
      </c>
      <c r="H254" s="32" t="n"/>
    </row>
    <row r="255">
      <c r="A255" t="inlineStr">
        <is>
          <t>PT11624</t>
        </is>
      </c>
      <c r="B255" t="inlineStr">
        <is>
          <t>Martha</t>
        </is>
      </c>
      <c r="C255" t="inlineStr">
        <is>
          <t>Woods</t>
        </is>
      </c>
      <c r="D255" t="inlineStr">
        <is>
          <t>F</t>
        </is>
      </c>
      <c r="E255" s="30" t="n">
        <v>25398</v>
      </c>
      <c r="F255" s="31" t="n">
        <v>64.7</v>
      </c>
      <c r="G255" s="31" t="n">
        <v>127.7</v>
      </c>
      <c r="H255" s="32" t="n"/>
    </row>
    <row r="256">
      <c r="A256" t="inlineStr">
        <is>
          <t>PT11625</t>
        </is>
      </c>
      <c r="B256" t="inlineStr">
        <is>
          <t>Samantha</t>
        </is>
      </c>
      <c r="C256" t="inlineStr">
        <is>
          <t>Soto</t>
        </is>
      </c>
      <c r="D256" t="inlineStr">
        <is>
          <t>F</t>
        </is>
      </c>
      <c r="E256" s="30" t="n">
        <v>35189</v>
      </c>
      <c r="F256" s="31" t="n">
        <v>60.9</v>
      </c>
      <c r="G256" s="31" t="n">
        <v>202.7</v>
      </c>
      <c r="H256" s="32" t="n"/>
    </row>
    <row r="257">
      <c r="A257" t="inlineStr">
        <is>
          <t>PT11635</t>
        </is>
      </c>
      <c r="B257" t="inlineStr">
        <is>
          <t>Walter</t>
        </is>
      </c>
      <c r="C257" t="inlineStr">
        <is>
          <t>Gibson</t>
        </is>
      </c>
      <c r="D257" t="inlineStr">
        <is>
          <t>M</t>
        </is>
      </c>
      <c r="E257" s="30" t="n">
        <v>34911</v>
      </c>
      <c r="F257" s="31" t="n">
        <v>67.40000000000001</v>
      </c>
      <c r="G257" s="31" t="n">
        <v>228.2</v>
      </c>
      <c r="H257" s="32" t="n"/>
    </row>
    <row r="258">
      <c r="A258" t="inlineStr">
        <is>
          <t>PT11641</t>
        </is>
      </c>
      <c r="B258" t="inlineStr">
        <is>
          <t>Natalie</t>
        </is>
      </c>
      <c r="C258" t="inlineStr">
        <is>
          <t>Sandoval</t>
        </is>
      </c>
      <c r="D258" t="inlineStr">
        <is>
          <t>F</t>
        </is>
      </c>
      <c r="E258" s="30" t="n">
        <v>23909</v>
      </c>
      <c r="F258" s="31" t="n">
        <v>68.2</v>
      </c>
      <c r="G258" s="31" t="n">
        <v>126.1</v>
      </c>
      <c r="H258" s="32" t="n"/>
    </row>
    <row r="259">
      <c r="A259" t="inlineStr">
        <is>
          <t>PT11655</t>
        </is>
      </c>
      <c r="B259" t="inlineStr">
        <is>
          <t>Victoria</t>
        </is>
      </c>
      <c r="C259" t="inlineStr">
        <is>
          <t>Allen</t>
        </is>
      </c>
      <c r="D259" t="inlineStr">
        <is>
          <t>F</t>
        </is>
      </c>
      <c r="E259" s="30" t="n">
        <v>23446</v>
      </c>
      <c r="F259" s="31" t="n">
        <v>64.2</v>
      </c>
      <c r="G259" s="31" t="n">
        <v>247.6</v>
      </c>
      <c r="H259" s="32" t="n"/>
    </row>
    <row r="260">
      <c r="A260" t="inlineStr">
        <is>
          <t>PT11659</t>
        </is>
      </c>
      <c r="B260" t="inlineStr">
        <is>
          <t>Ann</t>
        </is>
      </c>
      <c r="C260" t="inlineStr">
        <is>
          <t>King</t>
        </is>
      </c>
      <c r="D260" t="inlineStr">
        <is>
          <t>F</t>
        </is>
      </c>
      <c r="E260" s="30" t="n">
        <v>24173</v>
      </c>
      <c r="F260" s="31" t="n">
        <v>64.7</v>
      </c>
      <c r="G260" s="31" t="n">
        <v>143.1</v>
      </c>
      <c r="H260" s="32" t="n"/>
    </row>
    <row r="261">
      <c r="A261" t="inlineStr">
        <is>
          <t>PT11663</t>
        </is>
      </c>
      <c r="B261" t="inlineStr">
        <is>
          <t>Stephanie</t>
        </is>
      </c>
      <c r="C261" t="inlineStr">
        <is>
          <t>Nguyen</t>
        </is>
      </c>
      <c r="D261" t="inlineStr">
        <is>
          <t>F</t>
        </is>
      </c>
      <c r="E261" s="30" t="n">
        <v>28502</v>
      </c>
      <c r="F261" s="31" t="n">
        <v>61.6</v>
      </c>
      <c r="G261" s="31" t="n">
        <v>193.6</v>
      </c>
      <c r="H261" s="32" t="n"/>
    </row>
    <row r="262">
      <c r="A262" t="inlineStr">
        <is>
          <t>PT11666</t>
        </is>
      </c>
      <c r="B262" t="inlineStr">
        <is>
          <t>Angela</t>
        </is>
      </c>
      <c r="C262" t="inlineStr">
        <is>
          <t>Miller</t>
        </is>
      </c>
      <c r="D262" t="inlineStr">
        <is>
          <t>F</t>
        </is>
      </c>
      <c r="E262" s="30" t="n">
        <v>18360</v>
      </c>
      <c r="F262" s="31" t="n">
        <v>68.90000000000001</v>
      </c>
      <c r="G262" s="31" t="n">
        <v>311.7</v>
      </c>
      <c r="H262" s="32" t="n"/>
    </row>
    <row r="263">
      <c r="A263" t="inlineStr">
        <is>
          <t>PT11673</t>
        </is>
      </c>
      <c r="B263" t="inlineStr">
        <is>
          <t>Scott</t>
        </is>
      </c>
      <c r="C263" t="inlineStr">
        <is>
          <t>Meyer</t>
        </is>
      </c>
      <c r="D263" t="inlineStr">
        <is>
          <t>M</t>
        </is>
      </c>
      <c r="E263" s="30" t="n">
        <v>14309</v>
      </c>
      <c r="F263" s="31" t="n">
        <v>66.40000000000001</v>
      </c>
      <c r="G263" s="31" t="n">
        <v>266.3</v>
      </c>
      <c r="H263" s="32" t="n"/>
    </row>
    <row r="264">
      <c r="A264" t="inlineStr">
        <is>
          <t>PT11688</t>
        </is>
      </c>
      <c r="B264" t="inlineStr">
        <is>
          <t>Christopher</t>
        </is>
      </c>
      <c r="C264" t="inlineStr">
        <is>
          <t>Hansen</t>
        </is>
      </c>
      <c r="D264" t="inlineStr">
        <is>
          <t>M</t>
        </is>
      </c>
      <c r="E264" s="30" t="n">
        <v>18589</v>
      </c>
      <c r="F264" s="31" t="n">
        <v>68.8</v>
      </c>
      <c r="G264" s="31" t="n">
        <v>254.3</v>
      </c>
      <c r="H264" s="32" t="n"/>
    </row>
    <row r="265">
      <c r="A265" t="inlineStr">
        <is>
          <t>PT11707</t>
        </is>
      </c>
      <c r="B265" t="inlineStr">
        <is>
          <t>Lawrence</t>
        </is>
      </c>
      <c r="C265" t="inlineStr">
        <is>
          <t>Santos</t>
        </is>
      </c>
      <c r="D265" t="inlineStr">
        <is>
          <t>M</t>
        </is>
      </c>
      <c r="E265" s="30" t="n">
        <v>35437</v>
      </c>
      <c r="F265" s="31" t="n">
        <v>64.5</v>
      </c>
      <c r="G265" s="31" t="n">
        <v>137.7</v>
      </c>
      <c r="H265" s="32" t="n"/>
    </row>
    <row r="266">
      <c r="A266" t="inlineStr">
        <is>
          <t>PT11712</t>
        </is>
      </c>
      <c r="B266" t="inlineStr">
        <is>
          <t>Jean</t>
        </is>
      </c>
      <c r="C266" t="inlineStr">
        <is>
          <t>Smith</t>
        </is>
      </c>
      <c r="D266" t="inlineStr">
        <is>
          <t>F</t>
        </is>
      </c>
      <c r="E266" s="30" t="n">
        <v>18535</v>
      </c>
      <c r="F266" s="31" t="n">
        <v>65.2</v>
      </c>
      <c r="G266" s="31" t="n">
        <v>145.9</v>
      </c>
      <c r="H266" s="32" t="n"/>
    </row>
    <row r="267">
      <c r="A267" t="inlineStr">
        <is>
          <t>PT11716</t>
        </is>
      </c>
      <c r="B267" t="inlineStr">
        <is>
          <t>Priya</t>
        </is>
      </c>
      <c r="C267" t="inlineStr">
        <is>
          <t>Butler</t>
        </is>
      </c>
      <c r="D267" t="inlineStr">
        <is>
          <t>F</t>
        </is>
      </c>
      <c r="E267" s="30" t="n">
        <v>18785</v>
      </c>
      <c r="F267" s="31" t="n">
        <v>62.5</v>
      </c>
      <c r="G267" s="31" t="n">
        <v>194.7</v>
      </c>
      <c r="H267" s="32" t="n"/>
    </row>
    <row r="268">
      <c r="A268" t="inlineStr">
        <is>
          <t>PT11717</t>
        </is>
      </c>
      <c r="B268" t="inlineStr">
        <is>
          <t>Janice</t>
        </is>
      </c>
      <c r="C268" t="inlineStr">
        <is>
          <t>Cunningham</t>
        </is>
      </c>
      <c r="D268" t="inlineStr">
        <is>
          <t>F</t>
        </is>
      </c>
      <c r="E268" s="30" t="n">
        <v>30883</v>
      </c>
      <c r="F268" s="31" t="n">
        <v>66.40000000000001</v>
      </c>
      <c r="G268" s="31" t="n">
        <v>203.7</v>
      </c>
      <c r="H268" s="32" t="n"/>
    </row>
    <row r="269">
      <c r="A269" t="inlineStr">
        <is>
          <t>PT11719</t>
        </is>
      </c>
      <c r="B269" t="inlineStr">
        <is>
          <t>Ralph</t>
        </is>
      </c>
      <c r="C269" t="inlineStr">
        <is>
          <t>Peters</t>
        </is>
      </c>
      <c r="D269" t="inlineStr">
        <is>
          <t>M</t>
        </is>
      </c>
      <c r="E269" s="30" t="n">
        <v>12894</v>
      </c>
      <c r="F269" s="31" t="n">
        <v>73.40000000000001</v>
      </c>
      <c r="G269" s="31" t="n">
        <v>183.1</v>
      </c>
      <c r="H269" s="32" t="n"/>
    </row>
    <row r="270">
      <c r="A270" t="inlineStr">
        <is>
          <t>PT11720</t>
        </is>
      </c>
      <c r="B270" t="inlineStr">
        <is>
          <t>Philip</t>
        </is>
      </c>
      <c r="C270" t="inlineStr">
        <is>
          <t>Evans</t>
        </is>
      </c>
      <c r="D270" t="inlineStr">
        <is>
          <t>M</t>
        </is>
      </c>
      <c r="E270" s="30" t="n">
        <v>22399</v>
      </c>
      <c r="F270" s="31" t="n">
        <v>62.8</v>
      </c>
      <c r="G270" s="31" t="n">
        <v>162.2</v>
      </c>
      <c r="H270" s="32" t="n"/>
    </row>
    <row r="271">
      <c r="A271" t="inlineStr">
        <is>
          <t>PT11726</t>
        </is>
      </c>
      <c r="B271" t="inlineStr">
        <is>
          <t>Logan</t>
        </is>
      </c>
      <c r="C271" t="inlineStr">
        <is>
          <t>Henderson</t>
        </is>
      </c>
      <c r="D271" t="inlineStr">
        <is>
          <t>M</t>
        </is>
      </c>
      <c r="E271" s="30" t="n">
        <v>21536</v>
      </c>
      <c r="F271" s="31" t="n">
        <v>69.59999999999999</v>
      </c>
      <c r="G271" s="31" t="n">
        <v>139.5</v>
      </c>
      <c r="H271" s="32" t="n"/>
    </row>
    <row r="272">
      <c r="A272" t="inlineStr">
        <is>
          <t>PT11727</t>
        </is>
      </c>
      <c r="B272" t="inlineStr">
        <is>
          <t>Scott</t>
        </is>
      </c>
      <c r="C272" t="inlineStr">
        <is>
          <t>Olson</t>
        </is>
      </c>
      <c r="D272" t="inlineStr">
        <is>
          <t>M</t>
        </is>
      </c>
      <c r="E272" s="30" t="n">
        <v>26166</v>
      </c>
      <c r="F272" s="31" t="n">
        <v>70.90000000000001</v>
      </c>
      <c r="G272" s="31" t="n">
        <v>192.5</v>
      </c>
      <c r="H272" s="32" t="n"/>
    </row>
    <row r="273">
      <c r="A273" t="inlineStr">
        <is>
          <t>PT11730</t>
        </is>
      </c>
      <c r="B273" t="inlineStr">
        <is>
          <t>Richard</t>
        </is>
      </c>
      <c r="C273" t="inlineStr">
        <is>
          <t>Rodriguez</t>
        </is>
      </c>
      <c r="D273" t="inlineStr">
        <is>
          <t>M</t>
        </is>
      </c>
      <c r="E273" s="30" t="n">
        <v>33192</v>
      </c>
      <c r="F273" s="31" t="n">
        <v>71</v>
      </c>
      <c r="G273" s="31" t="n">
        <v>187.1</v>
      </c>
      <c r="H273" s="32" t="n"/>
    </row>
    <row r="274">
      <c r="A274" t="inlineStr">
        <is>
          <t>PT11751</t>
        </is>
      </c>
      <c r="B274" t="inlineStr">
        <is>
          <t>George</t>
        </is>
      </c>
      <c r="C274" t="inlineStr">
        <is>
          <t>Shaw</t>
        </is>
      </c>
      <c r="D274" t="inlineStr">
        <is>
          <t>M</t>
        </is>
      </c>
      <c r="E274" s="30" t="n">
        <v>21458</v>
      </c>
      <c r="F274" s="31" t="n">
        <v>69.59999999999999</v>
      </c>
      <c r="G274" s="31" t="n">
        <v>292.7</v>
      </c>
      <c r="H274" s="32" t="n"/>
    </row>
    <row r="275">
      <c r="A275" t="inlineStr">
        <is>
          <t>PT11752</t>
        </is>
      </c>
      <c r="B275" t="inlineStr">
        <is>
          <t>Douglas</t>
        </is>
      </c>
      <c r="C275" t="inlineStr">
        <is>
          <t>Soto</t>
        </is>
      </c>
      <c r="D275" t="inlineStr">
        <is>
          <t>M</t>
        </is>
      </c>
      <c r="E275" s="30" t="n">
        <v>30479</v>
      </c>
      <c r="F275" s="31" t="n">
        <v>67.2</v>
      </c>
      <c r="G275" s="31" t="n">
        <v>241.9</v>
      </c>
      <c r="H275" s="32" t="n"/>
    </row>
    <row r="276">
      <c r="A276" t="inlineStr">
        <is>
          <t>PT11753</t>
        </is>
      </c>
      <c r="B276" t="inlineStr">
        <is>
          <t>Pamela</t>
        </is>
      </c>
      <c r="C276" t="inlineStr">
        <is>
          <t>Hall</t>
        </is>
      </c>
      <c r="D276" t="inlineStr">
        <is>
          <t>F</t>
        </is>
      </c>
      <c r="E276" s="30" t="n">
        <v>26380</v>
      </c>
      <c r="F276" s="31" t="n">
        <v>58.1</v>
      </c>
      <c r="G276" s="31" t="n">
        <v>107</v>
      </c>
      <c r="H276" s="32" t="n"/>
    </row>
    <row r="277">
      <c r="A277" t="inlineStr">
        <is>
          <t>PT11755</t>
        </is>
      </c>
      <c r="B277" t="inlineStr">
        <is>
          <t>Kimberly</t>
        </is>
      </c>
      <c r="C277" t="inlineStr">
        <is>
          <t>Hudson</t>
        </is>
      </c>
      <c r="D277" t="inlineStr">
        <is>
          <t>F</t>
        </is>
      </c>
      <c r="E277" s="30" t="n">
        <v>27501</v>
      </c>
      <c r="F277" s="31" t="n">
        <v>66.5</v>
      </c>
      <c r="G277" s="31" t="n">
        <v>191.5</v>
      </c>
      <c r="H277" s="32" t="n"/>
    </row>
    <row r="278">
      <c r="A278" t="inlineStr">
        <is>
          <t>PT11756</t>
        </is>
      </c>
      <c r="B278" t="inlineStr">
        <is>
          <t>Nicole</t>
        </is>
      </c>
      <c r="C278" t="inlineStr">
        <is>
          <t>Yilmaz</t>
        </is>
      </c>
      <c r="D278" t="inlineStr">
        <is>
          <t>F</t>
        </is>
      </c>
      <c r="E278" s="30" t="n">
        <v>26608</v>
      </c>
      <c r="F278" s="31" t="n">
        <v>64.59999999999999</v>
      </c>
      <c r="G278" s="31" t="n">
        <v>199.8</v>
      </c>
      <c r="H278" s="32" t="n"/>
    </row>
    <row r="279">
      <c r="A279" t="inlineStr">
        <is>
          <t>PT11774</t>
        </is>
      </c>
      <c r="B279" t="inlineStr">
        <is>
          <t>Marie</t>
        </is>
      </c>
      <c r="C279" t="inlineStr">
        <is>
          <t>White</t>
        </is>
      </c>
      <c r="D279" t="inlineStr">
        <is>
          <t>F</t>
        </is>
      </c>
      <c r="E279" s="30" t="n">
        <v>30318</v>
      </c>
      <c r="F279" s="31" t="n">
        <v>64.8</v>
      </c>
      <c r="G279" s="31" t="n">
        <v>213.3</v>
      </c>
      <c r="H279" s="32" t="n"/>
    </row>
    <row r="280">
      <c r="A280" t="inlineStr">
        <is>
          <t>PT11780</t>
        </is>
      </c>
      <c r="B280" t="inlineStr">
        <is>
          <t>Jean</t>
        </is>
      </c>
      <c r="C280" t="inlineStr">
        <is>
          <t>Clark</t>
        </is>
      </c>
      <c r="D280" t="inlineStr">
        <is>
          <t>F</t>
        </is>
      </c>
      <c r="E280" s="30" t="n">
        <v>31179</v>
      </c>
      <c r="F280" s="31" t="n">
        <v>60</v>
      </c>
      <c r="G280" s="31" t="n">
        <v>143.4</v>
      </c>
      <c r="H280" s="32" t="n"/>
    </row>
    <row r="281">
      <c r="A281" t="inlineStr">
        <is>
          <t>PT11783</t>
        </is>
      </c>
      <c r="B281" t="inlineStr">
        <is>
          <t>Carol</t>
        </is>
      </c>
      <c r="C281" t="inlineStr">
        <is>
          <t>Gibson</t>
        </is>
      </c>
      <c r="D281" t="inlineStr">
        <is>
          <t>F</t>
        </is>
      </c>
      <c r="E281" s="30" t="n">
        <v>23652</v>
      </c>
      <c r="F281" s="31" t="n">
        <v>61.4</v>
      </c>
      <c r="G281" s="31" t="n">
        <v>124.3</v>
      </c>
      <c r="H281" s="32" t="n"/>
    </row>
    <row r="282">
      <c r="A282" t="inlineStr">
        <is>
          <t>PT11798</t>
        </is>
      </c>
      <c r="B282" t="inlineStr">
        <is>
          <t>Gregory</t>
        </is>
      </c>
      <c r="C282" t="inlineStr">
        <is>
          <t>Santos</t>
        </is>
      </c>
      <c r="D282" t="inlineStr">
        <is>
          <t>M</t>
        </is>
      </c>
      <c r="E282" s="30" t="n">
        <v>19350</v>
      </c>
      <c r="F282" s="31" t="n">
        <v>67.8</v>
      </c>
      <c r="G282" s="31" t="n">
        <v>177.9</v>
      </c>
      <c r="H282" s="32" t="n"/>
    </row>
    <row r="283">
      <c r="A283" t="inlineStr">
        <is>
          <t>PT11805</t>
        </is>
      </c>
      <c r="B283" t="inlineStr">
        <is>
          <t>Aaron</t>
        </is>
      </c>
      <c r="C283" t="inlineStr">
        <is>
          <t>Pena</t>
        </is>
      </c>
      <c r="D283" t="inlineStr">
        <is>
          <t>M</t>
        </is>
      </c>
      <c r="E283" s="30" t="n">
        <v>22289</v>
      </c>
      <c r="F283" s="31" t="n">
        <v>67</v>
      </c>
      <c r="G283" s="31" t="n">
        <v>199.6</v>
      </c>
      <c r="H283" s="32" t="n"/>
    </row>
    <row r="284">
      <c r="A284" t="inlineStr">
        <is>
          <t>PT11810</t>
        </is>
      </c>
      <c r="B284" t="inlineStr">
        <is>
          <t>Marie</t>
        </is>
      </c>
      <c r="C284" t="inlineStr">
        <is>
          <t>Rogers</t>
        </is>
      </c>
      <c r="D284" t="inlineStr">
        <is>
          <t>F</t>
        </is>
      </c>
      <c r="E284" s="30" t="n">
        <v>22652</v>
      </c>
      <c r="F284" s="31" t="n">
        <v>62.2</v>
      </c>
      <c r="G284" s="31" t="n">
        <v>191.8</v>
      </c>
      <c r="H284" s="32" t="n"/>
    </row>
    <row r="285">
      <c r="A285" t="inlineStr">
        <is>
          <t>PT11816</t>
        </is>
      </c>
      <c r="B285" t="inlineStr">
        <is>
          <t>Diana</t>
        </is>
      </c>
      <c r="C285" t="inlineStr">
        <is>
          <t>Mendoza</t>
        </is>
      </c>
      <c r="D285" t="inlineStr">
        <is>
          <t>F</t>
        </is>
      </c>
      <c r="E285" s="30" t="n">
        <v>10954</v>
      </c>
      <c r="F285" s="31" t="n">
        <v>61.8</v>
      </c>
      <c r="G285" s="31" t="n">
        <v>158.1</v>
      </c>
      <c r="H285" s="32" t="n"/>
    </row>
    <row r="286">
      <c r="A286" t="inlineStr">
        <is>
          <t>PT11832</t>
        </is>
      </c>
      <c r="B286" t="inlineStr">
        <is>
          <t>Billy</t>
        </is>
      </c>
      <c r="C286" t="inlineStr">
        <is>
          <t>Peters</t>
        </is>
      </c>
      <c r="D286" t="inlineStr">
        <is>
          <t>M</t>
        </is>
      </c>
      <c r="E286" s="30" t="n">
        <v>24186</v>
      </c>
      <c r="F286" s="31" t="n">
        <v>68</v>
      </c>
      <c r="G286" s="31" t="n">
        <v>204.5</v>
      </c>
      <c r="H286" s="32" t="n"/>
    </row>
    <row r="287">
      <c r="A287" t="inlineStr">
        <is>
          <t>PT11835</t>
        </is>
      </c>
      <c r="B287" t="inlineStr">
        <is>
          <t>Roger</t>
        </is>
      </c>
      <c r="C287" t="inlineStr">
        <is>
          <t>Walker</t>
        </is>
      </c>
      <c r="D287" t="inlineStr">
        <is>
          <t>M</t>
        </is>
      </c>
      <c r="E287" s="30" t="n">
        <v>29067</v>
      </c>
      <c r="F287" s="31" t="n">
        <v>71</v>
      </c>
      <c r="G287" s="31" t="n">
        <v>153.6</v>
      </c>
      <c r="H287" s="32" t="n"/>
    </row>
    <row r="288">
      <c r="A288" t="inlineStr">
        <is>
          <t>PT11837</t>
        </is>
      </c>
      <c r="B288" t="inlineStr">
        <is>
          <t>Megan</t>
        </is>
      </c>
      <c r="C288" t="inlineStr">
        <is>
          <t>Gutierrez</t>
        </is>
      </c>
      <c r="D288" t="inlineStr">
        <is>
          <t>F</t>
        </is>
      </c>
      <c r="E288" s="30" t="n">
        <v>25710</v>
      </c>
      <c r="F288" s="31" t="n">
        <v>64</v>
      </c>
      <c r="G288" s="31" t="n">
        <v>161</v>
      </c>
      <c r="H288" s="32" t="n"/>
    </row>
    <row r="289">
      <c r="A289" t="inlineStr">
        <is>
          <t>PT11838</t>
        </is>
      </c>
      <c r="B289" t="inlineStr">
        <is>
          <t>Keith</t>
        </is>
      </c>
      <c r="C289" t="inlineStr">
        <is>
          <t>Gomez</t>
        </is>
      </c>
      <c r="D289" t="inlineStr">
        <is>
          <t>M</t>
        </is>
      </c>
      <c r="E289" s="30" t="n">
        <v>31473</v>
      </c>
      <c r="F289" s="31" t="n">
        <v>69.40000000000001</v>
      </c>
      <c r="G289" s="31" t="n">
        <v>123.6</v>
      </c>
      <c r="H289" s="32" t="n"/>
    </row>
    <row r="290">
      <c r="A290" t="inlineStr">
        <is>
          <t>PT11842</t>
        </is>
      </c>
      <c r="B290" t="inlineStr">
        <is>
          <t>Charles</t>
        </is>
      </c>
      <c r="C290" t="inlineStr">
        <is>
          <t>Warren</t>
        </is>
      </c>
      <c r="D290" t="inlineStr">
        <is>
          <t>M</t>
        </is>
      </c>
      <c r="E290" s="30" t="n">
        <v>23714</v>
      </c>
      <c r="F290" s="31" t="n">
        <v>74.3</v>
      </c>
      <c r="G290" s="31" t="n">
        <v>254.4</v>
      </c>
      <c r="H290" s="32" t="n"/>
    </row>
    <row r="291">
      <c r="A291" t="inlineStr">
        <is>
          <t>PT11860</t>
        </is>
      </c>
      <c r="B291" t="inlineStr">
        <is>
          <t>Evelyn</t>
        </is>
      </c>
      <c r="C291" t="inlineStr">
        <is>
          <t>Peters</t>
        </is>
      </c>
      <c r="D291" t="inlineStr">
        <is>
          <t>F</t>
        </is>
      </c>
      <c r="E291" s="30" t="n">
        <v>23340</v>
      </c>
      <c r="F291" s="31" t="n">
        <v>66</v>
      </c>
      <c r="G291" s="31" t="n">
        <v>201</v>
      </c>
      <c r="H291" s="32" t="n"/>
    </row>
    <row r="292">
      <c r="A292" t="inlineStr">
        <is>
          <t>PT11862</t>
        </is>
      </c>
      <c r="B292" t="inlineStr">
        <is>
          <t>Henry</t>
        </is>
      </c>
      <c r="C292" t="inlineStr">
        <is>
          <t>Adams</t>
        </is>
      </c>
      <c r="D292" t="inlineStr">
        <is>
          <t>M</t>
        </is>
      </c>
      <c r="E292" s="30" t="n">
        <v>15638</v>
      </c>
      <c r="F292" s="31" t="n">
        <v>70.8</v>
      </c>
      <c r="G292" s="31" t="n">
        <v>224.4</v>
      </c>
      <c r="H292" s="32" t="n"/>
    </row>
    <row r="293">
      <c r="A293" t="inlineStr">
        <is>
          <t>PT11878</t>
        </is>
      </c>
      <c r="B293" t="inlineStr">
        <is>
          <t>Juan</t>
        </is>
      </c>
      <c r="C293" t="inlineStr">
        <is>
          <t>Davis</t>
        </is>
      </c>
      <c r="D293" t="inlineStr">
        <is>
          <t>M</t>
        </is>
      </c>
      <c r="E293" s="30" t="n">
        <v>19993</v>
      </c>
      <c r="F293" s="31" t="n">
        <v>67.7</v>
      </c>
      <c r="G293" s="31" t="n">
        <v>178.7</v>
      </c>
      <c r="H293" s="32" t="n"/>
    </row>
    <row r="294">
      <c r="A294" t="inlineStr">
        <is>
          <t>PT11889</t>
        </is>
      </c>
      <c r="B294" t="inlineStr">
        <is>
          <t>Sean</t>
        </is>
      </c>
      <c r="C294" t="inlineStr">
        <is>
          <t>Brown</t>
        </is>
      </c>
      <c r="D294" t="inlineStr">
        <is>
          <t>M</t>
        </is>
      </c>
      <c r="E294" s="30" t="n">
        <v>23094</v>
      </c>
      <c r="F294" s="31" t="n">
        <v>70.7</v>
      </c>
      <c r="G294" s="31" t="n">
        <v>251.4</v>
      </c>
      <c r="H294" s="32" t="n"/>
    </row>
    <row r="295">
      <c r="A295" t="inlineStr">
        <is>
          <t>PT11893</t>
        </is>
      </c>
      <c r="B295" t="inlineStr">
        <is>
          <t>Wei</t>
        </is>
      </c>
      <c r="C295" t="inlineStr">
        <is>
          <t>Robinson</t>
        </is>
      </c>
      <c r="D295" t="inlineStr">
        <is>
          <t>M</t>
        </is>
      </c>
      <c r="E295" s="30" t="n">
        <v>36685</v>
      </c>
      <c r="F295" s="31" t="n">
        <v>73.59999999999999</v>
      </c>
      <c r="G295" s="31" t="n">
        <v>196.2</v>
      </c>
      <c r="H295" s="32" t="n"/>
    </row>
    <row r="296">
      <c r="A296" t="inlineStr">
        <is>
          <t>PT11902</t>
        </is>
      </c>
      <c r="B296" t="inlineStr">
        <is>
          <t>Russell</t>
        </is>
      </c>
      <c r="C296" t="inlineStr">
        <is>
          <t>Russell</t>
        </is>
      </c>
      <c r="D296" t="inlineStr">
        <is>
          <t>M</t>
        </is>
      </c>
      <c r="E296" s="30" t="n">
        <v>16874</v>
      </c>
      <c r="F296" s="31" t="n">
        <v>67.09999999999999</v>
      </c>
      <c r="G296" s="31" t="n">
        <v>120.6</v>
      </c>
      <c r="H296" s="32" t="n"/>
    </row>
    <row r="297">
      <c r="A297" t="inlineStr">
        <is>
          <t>PT11903</t>
        </is>
      </c>
      <c r="B297" t="inlineStr">
        <is>
          <t>Diane</t>
        </is>
      </c>
      <c r="C297" t="inlineStr">
        <is>
          <t>Yilmaz</t>
        </is>
      </c>
      <c r="D297" t="inlineStr">
        <is>
          <t>F</t>
        </is>
      </c>
      <c r="E297" s="30" t="n">
        <v>25677</v>
      </c>
      <c r="F297" s="31" t="n">
        <v>65</v>
      </c>
      <c r="G297" s="31" t="n">
        <v>163.2</v>
      </c>
      <c r="H297" s="32" t="n"/>
    </row>
    <row r="298">
      <c r="A298" t="inlineStr">
        <is>
          <t>PT11910</t>
        </is>
      </c>
      <c r="B298" t="inlineStr">
        <is>
          <t>Carlos</t>
        </is>
      </c>
      <c r="C298" t="inlineStr">
        <is>
          <t>Daniels</t>
        </is>
      </c>
      <c r="D298" t="inlineStr">
        <is>
          <t>M</t>
        </is>
      </c>
      <c r="E298" s="30" t="n">
        <v>19729</v>
      </c>
      <c r="F298" s="31" t="n">
        <v>67.5</v>
      </c>
      <c r="G298" s="31" t="n">
        <v>173.8</v>
      </c>
      <c r="H298" s="32" t="n"/>
    </row>
    <row r="299">
      <c r="A299" t="inlineStr">
        <is>
          <t>PT11920</t>
        </is>
      </c>
      <c r="B299" t="inlineStr">
        <is>
          <t>Dennis</t>
        </is>
      </c>
      <c r="C299" t="inlineStr">
        <is>
          <t>Petrov</t>
        </is>
      </c>
      <c r="D299" t="inlineStr">
        <is>
          <t>M</t>
        </is>
      </c>
      <c r="E299" s="30" t="n">
        <v>25889</v>
      </c>
      <c r="F299" s="31" t="n">
        <v>65.8</v>
      </c>
      <c r="G299" s="31" t="n">
        <v>109</v>
      </c>
      <c r="H299" s="32" t="n"/>
    </row>
    <row r="300">
      <c r="A300" t="inlineStr">
        <is>
          <t>PT11926</t>
        </is>
      </c>
      <c r="B300" t="inlineStr">
        <is>
          <t>Ana</t>
        </is>
      </c>
      <c r="C300" t="inlineStr">
        <is>
          <t>Payne</t>
        </is>
      </c>
      <c r="D300" t="inlineStr">
        <is>
          <t>F</t>
        </is>
      </c>
      <c r="E300" s="30" t="n">
        <v>17544</v>
      </c>
      <c r="F300" s="31" t="n">
        <v>66.90000000000001</v>
      </c>
      <c r="G300" s="31" t="n">
        <v>105.1</v>
      </c>
      <c r="H300" s="32" t="n"/>
    </row>
    <row r="301">
      <c r="A301" t="inlineStr">
        <is>
          <t>PT11933</t>
        </is>
      </c>
      <c r="B301" t="inlineStr">
        <is>
          <t>Alice</t>
        </is>
      </c>
      <c r="C301" t="inlineStr">
        <is>
          <t>Gordon</t>
        </is>
      </c>
      <c r="D301" t="inlineStr">
        <is>
          <t>F</t>
        </is>
      </c>
      <c r="E301" s="30" t="n">
        <v>27465</v>
      </c>
      <c r="F301" s="31" t="n">
        <v>64.7</v>
      </c>
      <c r="G301" s="31" t="n">
        <v>197.6</v>
      </c>
      <c r="H301" s="32" t="n"/>
    </row>
    <row r="302">
      <c r="A302" t="inlineStr">
        <is>
          <t>PT11937</t>
        </is>
      </c>
      <c r="B302" t="inlineStr">
        <is>
          <t>Roy</t>
        </is>
      </c>
      <c r="C302" t="inlineStr">
        <is>
          <t>Mills</t>
        </is>
      </c>
      <c r="D302" t="inlineStr">
        <is>
          <t>M</t>
        </is>
      </c>
      <c r="E302" s="30" t="n">
        <v>38005</v>
      </c>
      <c r="F302" s="31" t="n">
        <v>72.40000000000001</v>
      </c>
      <c r="G302" s="31" t="n">
        <v>132.9</v>
      </c>
      <c r="H302" s="32" t="n"/>
    </row>
    <row r="303">
      <c r="A303" t="inlineStr">
        <is>
          <t>PT11941</t>
        </is>
      </c>
      <c r="B303" t="inlineStr">
        <is>
          <t>Sandra</t>
        </is>
      </c>
      <c r="C303" t="inlineStr">
        <is>
          <t>Richards</t>
        </is>
      </c>
      <c r="D303" t="inlineStr">
        <is>
          <t>F</t>
        </is>
      </c>
      <c r="E303" s="30" t="n">
        <v>17209</v>
      </c>
      <c r="F303" s="31" t="n">
        <v>65.3</v>
      </c>
      <c r="G303" s="31" t="n">
        <v>174.4</v>
      </c>
      <c r="H303" s="32" t="n"/>
    </row>
    <row r="304">
      <c r="A304" t="inlineStr">
        <is>
          <t>PT11946</t>
        </is>
      </c>
      <c r="B304" t="inlineStr">
        <is>
          <t>Megan</t>
        </is>
      </c>
      <c r="C304" t="inlineStr">
        <is>
          <t>Nichols</t>
        </is>
      </c>
      <c r="D304" t="inlineStr">
        <is>
          <t>F</t>
        </is>
      </c>
      <c r="E304" s="30" t="n">
        <v>23152</v>
      </c>
      <c r="F304" s="31" t="n">
        <v>64</v>
      </c>
      <c r="G304" s="31" t="n">
        <v>161.4</v>
      </c>
      <c r="H304" s="32" t="n"/>
    </row>
    <row r="305">
      <c r="A305" t="inlineStr">
        <is>
          <t>PT11968</t>
        </is>
      </c>
      <c r="B305" t="inlineStr">
        <is>
          <t>Lisa</t>
        </is>
      </c>
      <c r="C305" t="inlineStr">
        <is>
          <t>Black</t>
        </is>
      </c>
      <c r="D305" t="inlineStr">
        <is>
          <t>F</t>
        </is>
      </c>
      <c r="E305" s="30" t="n">
        <v>37115</v>
      </c>
      <c r="F305" s="31" t="n">
        <v>64.7</v>
      </c>
      <c r="G305" s="31" t="n">
        <v>142.4</v>
      </c>
      <c r="H305" s="32" t="n"/>
    </row>
    <row r="306">
      <c r="A306" t="inlineStr">
        <is>
          <t>PT11977</t>
        </is>
      </c>
      <c r="B306" t="inlineStr">
        <is>
          <t>Jean</t>
        </is>
      </c>
      <c r="C306" t="inlineStr">
        <is>
          <t>Cook</t>
        </is>
      </c>
      <c r="D306" t="inlineStr">
        <is>
          <t>F</t>
        </is>
      </c>
      <c r="E306" s="30" t="n">
        <v>29727</v>
      </c>
      <c r="F306" s="31" t="n">
        <v>61</v>
      </c>
      <c r="G306" s="31" t="n">
        <v>135.9</v>
      </c>
      <c r="H306" s="32" t="n"/>
    </row>
    <row r="307">
      <c r="A307" t="inlineStr">
        <is>
          <t>PT12007</t>
        </is>
      </c>
      <c r="B307" t="inlineStr">
        <is>
          <t>Pamela</t>
        </is>
      </c>
      <c r="C307" t="inlineStr">
        <is>
          <t>Meyer</t>
        </is>
      </c>
      <c r="D307" t="inlineStr">
        <is>
          <t>F</t>
        </is>
      </c>
      <c r="E307" s="30" t="n">
        <v>20950</v>
      </c>
      <c r="F307" s="31" t="n">
        <v>63.2</v>
      </c>
      <c r="G307" s="31" t="n">
        <v>93.8</v>
      </c>
      <c r="H307" s="32" t="n"/>
    </row>
    <row r="308">
      <c r="A308" t="inlineStr">
        <is>
          <t>PT12011</t>
        </is>
      </c>
      <c r="B308" t="inlineStr">
        <is>
          <t>Jennifer</t>
        </is>
      </c>
      <c r="C308" t="inlineStr">
        <is>
          <t>Stephens</t>
        </is>
      </c>
      <c r="D308" t="inlineStr">
        <is>
          <t>F</t>
        </is>
      </c>
      <c r="E308" s="30" t="n">
        <v>30619</v>
      </c>
      <c r="F308" s="31" t="n">
        <v>70.3</v>
      </c>
      <c r="G308" s="31" t="n">
        <v>142.7</v>
      </c>
      <c r="H308" s="32" t="n"/>
    </row>
    <row r="309">
      <c r="A309" t="inlineStr">
        <is>
          <t>PT12013</t>
        </is>
      </c>
      <c r="B309" t="inlineStr">
        <is>
          <t>Charlotte</t>
        </is>
      </c>
      <c r="C309" t="inlineStr">
        <is>
          <t>Johnston</t>
        </is>
      </c>
      <c r="D309" t="inlineStr">
        <is>
          <t>F</t>
        </is>
      </c>
      <c r="E309" s="30" t="n">
        <v>20005</v>
      </c>
      <c r="F309" s="31" t="n">
        <v>64.7</v>
      </c>
      <c r="G309" s="31" t="n">
        <v>130.1</v>
      </c>
      <c r="H309" s="32" t="n"/>
    </row>
    <row r="310">
      <c r="A310" t="inlineStr">
        <is>
          <t>PT12019</t>
        </is>
      </c>
      <c r="B310" t="inlineStr">
        <is>
          <t>Virginia</t>
        </is>
      </c>
      <c r="C310" t="inlineStr">
        <is>
          <t>Holmes</t>
        </is>
      </c>
      <c r="D310" t="inlineStr">
        <is>
          <t>F</t>
        </is>
      </c>
      <c r="E310" s="30" t="n">
        <v>9761</v>
      </c>
      <c r="F310" s="31" t="n">
        <v>64.40000000000001</v>
      </c>
      <c r="G310" s="31" t="n">
        <v>147.4</v>
      </c>
      <c r="H310" s="32" t="n"/>
    </row>
    <row r="311">
      <c r="A311" t="inlineStr">
        <is>
          <t>PT12024</t>
        </is>
      </c>
      <c r="B311" t="inlineStr">
        <is>
          <t>Timothy</t>
        </is>
      </c>
      <c r="C311" t="inlineStr">
        <is>
          <t>Gray</t>
        </is>
      </c>
      <c r="D311" t="inlineStr">
        <is>
          <t>M</t>
        </is>
      </c>
      <c r="E311" s="30" t="n">
        <v>16914</v>
      </c>
      <c r="F311" s="31" t="n">
        <v>64.09999999999999</v>
      </c>
      <c r="G311" s="31" t="n">
        <v>209.6</v>
      </c>
      <c r="H311" s="32" t="n"/>
    </row>
    <row r="312">
      <c r="A312" t="inlineStr">
        <is>
          <t>PT12026</t>
        </is>
      </c>
      <c r="B312" t="inlineStr">
        <is>
          <t>Doris</t>
        </is>
      </c>
      <c r="C312" t="inlineStr">
        <is>
          <t>Gutierrez</t>
        </is>
      </c>
      <c r="D312" t="inlineStr">
        <is>
          <t>F</t>
        </is>
      </c>
      <c r="E312" s="30" t="n">
        <v>19105</v>
      </c>
      <c r="F312" s="31" t="n">
        <v>63.1</v>
      </c>
      <c r="G312" s="31" t="n">
        <v>110.5</v>
      </c>
      <c r="H312" s="32" t="n"/>
    </row>
    <row r="313">
      <c r="A313" t="inlineStr">
        <is>
          <t>PT12041</t>
        </is>
      </c>
      <c r="B313" t="inlineStr">
        <is>
          <t>Thomas</t>
        </is>
      </c>
      <c r="C313" t="inlineStr">
        <is>
          <t>Gutierrez</t>
        </is>
      </c>
      <c r="D313" t="inlineStr">
        <is>
          <t>M</t>
        </is>
      </c>
      <c r="E313" s="30" t="n">
        <v>36204</v>
      </c>
      <c r="F313" s="31" t="n">
        <v>70.40000000000001</v>
      </c>
      <c r="G313" s="31" t="n">
        <v>242</v>
      </c>
      <c r="H313" s="32" t="n"/>
    </row>
    <row r="314">
      <c r="A314" t="inlineStr">
        <is>
          <t>PT12049</t>
        </is>
      </c>
      <c r="B314" t="inlineStr">
        <is>
          <t>Grace</t>
        </is>
      </c>
      <c r="C314" t="inlineStr">
        <is>
          <t>Porter</t>
        </is>
      </c>
      <c r="D314" t="inlineStr">
        <is>
          <t>F</t>
        </is>
      </c>
      <c r="E314" s="30" t="n">
        <v>19907</v>
      </c>
      <c r="F314" s="31" t="n">
        <v>62.4</v>
      </c>
      <c r="G314" s="31" t="n">
        <v>174.5</v>
      </c>
      <c r="H314" s="32" t="n"/>
    </row>
    <row r="315">
      <c r="A315" t="inlineStr">
        <is>
          <t>PT12054</t>
        </is>
      </c>
      <c r="B315" t="inlineStr">
        <is>
          <t>Betty</t>
        </is>
      </c>
      <c r="C315" t="inlineStr">
        <is>
          <t>Richards</t>
        </is>
      </c>
      <c r="D315" t="inlineStr">
        <is>
          <t>F</t>
        </is>
      </c>
      <c r="E315" s="30" t="n">
        <v>36579</v>
      </c>
      <c r="F315" s="31" t="n">
        <v>65.7</v>
      </c>
      <c r="G315" s="31" t="n">
        <v>161.6</v>
      </c>
      <c r="H315" s="32" t="n"/>
    </row>
    <row r="316">
      <c r="A316" t="inlineStr">
        <is>
          <t>PT12058</t>
        </is>
      </c>
      <c r="B316" t="inlineStr">
        <is>
          <t>Kevin</t>
        </is>
      </c>
      <c r="C316" t="inlineStr">
        <is>
          <t>Hansen</t>
        </is>
      </c>
      <c r="D316" t="inlineStr">
        <is>
          <t>M</t>
        </is>
      </c>
      <c r="E316" s="30" t="n">
        <v>13360</v>
      </c>
      <c r="F316" s="31" t="n">
        <v>71.09999999999999</v>
      </c>
      <c r="G316" s="31" t="n">
        <v>150.9</v>
      </c>
      <c r="H316" s="32" t="n"/>
    </row>
    <row r="317">
      <c r="A317" t="inlineStr">
        <is>
          <t>PT12059</t>
        </is>
      </c>
      <c r="B317" t="inlineStr">
        <is>
          <t>Jerry</t>
        </is>
      </c>
      <c r="C317" t="inlineStr">
        <is>
          <t>Pierce</t>
        </is>
      </c>
      <c r="D317" t="inlineStr">
        <is>
          <t>M</t>
        </is>
      </c>
      <c r="E317" s="30" t="n">
        <v>20539</v>
      </c>
      <c r="F317" s="31" t="n">
        <v>71</v>
      </c>
      <c r="G317" s="31" t="n">
        <v>238</v>
      </c>
      <c r="H317" s="32" t="n"/>
    </row>
    <row r="318">
      <c r="A318" t="inlineStr">
        <is>
          <t>PT12060</t>
        </is>
      </c>
      <c r="B318" t="inlineStr">
        <is>
          <t>Martha</t>
        </is>
      </c>
      <c r="C318" t="inlineStr">
        <is>
          <t>Long</t>
        </is>
      </c>
      <c r="D318" t="inlineStr">
        <is>
          <t>F</t>
        </is>
      </c>
      <c r="E318" s="30" t="n">
        <v>22563</v>
      </c>
      <c r="F318" s="31" t="n">
        <v>61.6</v>
      </c>
      <c r="G318" s="31" t="n">
        <v>206</v>
      </c>
      <c r="H318" s="32" t="n"/>
    </row>
    <row r="319">
      <c r="A319" t="inlineStr">
        <is>
          <t>PT12070</t>
        </is>
      </c>
      <c r="B319" t="inlineStr">
        <is>
          <t>Matthew</t>
        </is>
      </c>
      <c r="C319" t="inlineStr">
        <is>
          <t>Rodriguez</t>
        </is>
      </c>
      <c r="D319" t="inlineStr">
        <is>
          <t>M</t>
        </is>
      </c>
      <c r="E319" s="30" t="n">
        <v>29257</v>
      </c>
      <c r="F319" s="31" t="n">
        <v>67.7</v>
      </c>
      <c r="G319" s="31" t="n">
        <v>201.1</v>
      </c>
      <c r="H319" s="32" t="n"/>
    </row>
    <row r="320">
      <c r="A320" t="inlineStr">
        <is>
          <t>PT12076</t>
        </is>
      </c>
      <c r="B320" t="inlineStr">
        <is>
          <t>Christopher</t>
        </is>
      </c>
      <c r="C320" t="inlineStr">
        <is>
          <t>Abbott</t>
        </is>
      </c>
      <c r="D320" t="inlineStr">
        <is>
          <t>M</t>
        </is>
      </c>
      <c r="E320" s="30" t="n">
        <v>27648</v>
      </c>
      <c r="F320" s="31" t="n">
        <v>68.3</v>
      </c>
      <c r="G320" s="31" t="n">
        <v>157.9</v>
      </c>
      <c r="H320" s="32" t="n"/>
    </row>
    <row r="321">
      <c r="A321" t="inlineStr">
        <is>
          <t>PT12081</t>
        </is>
      </c>
      <c r="B321" t="inlineStr">
        <is>
          <t>Grace</t>
        </is>
      </c>
      <c r="C321" t="inlineStr">
        <is>
          <t>Turner</t>
        </is>
      </c>
      <c r="D321" t="inlineStr">
        <is>
          <t>F</t>
        </is>
      </c>
      <c r="E321" s="30" t="n">
        <v>19183</v>
      </c>
      <c r="F321" s="31" t="n">
        <v>66.7</v>
      </c>
      <c r="G321" s="31" t="n">
        <v>230.6</v>
      </c>
      <c r="H321" s="32" t="n"/>
    </row>
    <row r="322">
      <c r="A322" t="inlineStr">
        <is>
          <t>PT12101</t>
        </is>
      </c>
      <c r="B322" t="inlineStr">
        <is>
          <t>Walter</t>
        </is>
      </c>
      <c r="C322" t="inlineStr">
        <is>
          <t>Reynolds</t>
        </is>
      </c>
      <c r="D322" t="inlineStr">
        <is>
          <t>M</t>
        </is>
      </c>
      <c r="E322" s="30" t="n">
        <v>33692</v>
      </c>
      <c r="F322" s="31" t="n">
        <v>73</v>
      </c>
      <c r="G322" s="31" t="n">
        <v>162.1</v>
      </c>
      <c r="H322" s="32" t="n"/>
    </row>
    <row r="323">
      <c r="A323" t="inlineStr">
        <is>
          <t>PT12105</t>
        </is>
      </c>
      <c r="B323" t="inlineStr">
        <is>
          <t>Carol</t>
        </is>
      </c>
      <c r="C323" t="inlineStr">
        <is>
          <t>Rogers</t>
        </is>
      </c>
      <c r="D323" t="inlineStr">
        <is>
          <t>F</t>
        </is>
      </c>
      <c r="E323" s="30" t="n">
        <v>16831</v>
      </c>
      <c r="F323" s="31" t="n">
        <v>65.7</v>
      </c>
      <c r="G323" s="31" t="n">
        <v>197.4</v>
      </c>
      <c r="H323" s="32" t="n"/>
    </row>
    <row r="324">
      <c r="A324" t="inlineStr">
        <is>
          <t>PT12121</t>
        </is>
      </c>
      <c r="B324" t="inlineStr">
        <is>
          <t>Mason</t>
        </is>
      </c>
      <c r="C324" t="inlineStr">
        <is>
          <t>Chen</t>
        </is>
      </c>
      <c r="D324" t="inlineStr">
        <is>
          <t>M</t>
        </is>
      </c>
      <c r="E324" s="30" t="n">
        <v>32114</v>
      </c>
      <c r="F324" s="31" t="n">
        <v>68.8</v>
      </c>
      <c r="G324" s="31" t="n">
        <v>145.2</v>
      </c>
      <c r="H324" s="32" t="n"/>
    </row>
    <row r="325">
      <c r="A325" t="inlineStr">
        <is>
          <t>PT12124</t>
        </is>
      </c>
      <c r="B325" t="inlineStr">
        <is>
          <t>Kayla</t>
        </is>
      </c>
      <c r="C325" t="inlineStr">
        <is>
          <t>Richardson</t>
        </is>
      </c>
      <c r="D325" t="inlineStr">
        <is>
          <t>F</t>
        </is>
      </c>
      <c r="E325" s="30" t="n">
        <v>27302</v>
      </c>
      <c r="F325" s="31" t="n">
        <v>66.40000000000001</v>
      </c>
      <c r="G325" s="31" t="n">
        <v>228.5</v>
      </c>
      <c r="H325" s="32" t="n"/>
    </row>
    <row r="326">
      <c r="A326" t="inlineStr">
        <is>
          <t>PT12133</t>
        </is>
      </c>
      <c r="B326" t="inlineStr">
        <is>
          <t>Eugene</t>
        </is>
      </c>
      <c r="C326" t="inlineStr">
        <is>
          <t>Hamilton</t>
        </is>
      </c>
      <c r="D326" t="inlineStr">
        <is>
          <t>M</t>
        </is>
      </c>
      <c r="E326" s="30" t="n">
        <v>20223</v>
      </c>
      <c r="F326" s="31" t="n">
        <v>69</v>
      </c>
      <c r="G326" s="31" t="n">
        <v>222</v>
      </c>
      <c r="H326" s="32" t="n"/>
    </row>
    <row r="327">
      <c r="A327" t="inlineStr">
        <is>
          <t>PT12138</t>
        </is>
      </c>
      <c r="B327" t="inlineStr">
        <is>
          <t>Brian</t>
        </is>
      </c>
      <c r="C327" t="inlineStr">
        <is>
          <t>Rivera</t>
        </is>
      </c>
      <c r="D327" t="inlineStr">
        <is>
          <t>M</t>
        </is>
      </c>
      <c r="E327" s="30" t="n">
        <v>20491</v>
      </c>
      <c r="F327" s="31" t="n">
        <v>68</v>
      </c>
      <c r="G327" s="31" t="n">
        <v>151.4</v>
      </c>
      <c r="H327" s="32" t="n"/>
    </row>
    <row r="328">
      <c r="A328" t="inlineStr">
        <is>
          <t>PT12139</t>
        </is>
      </c>
      <c r="B328" t="inlineStr">
        <is>
          <t>Diana</t>
        </is>
      </c>
      <c r="C328" t="inlineStr">
        <is>
          <t>Patterson</t>
        </is>
      </c>
      <c r="D328" t="inlineStr">
        <is>
          <t>F</t>
        </is>
      </c>
      <c r="E328" s="30" t="n">
        <v>17753</v>
      </c>
      <c r="F328" s="31" t="n">
        <v>64.2</v>
      </c>
      <c r="G328" s="31" t="n">
        <v>200.8</v>
      </c>
      <c r="H328" s="32" t="n"/>
    </row>
    <row r="329">
      <c r="A329" t="inlineStr">
        <is>
          <t>PT12141</t>
        </is>
      </c>
      <c r="B329" t="inlineStr">
        <is>
          <t>Donna</t>
        </is>
      </c>
      <c r="C329" t="inlineStr">
        <is>
          <t>Abbott</t>
        </is>
      </c>
      <c r="D329" t="inlineStr">
        <is>
          <t>F</t>
        </is>
      </c>
      <c r="E329" s="30" t="n">
        <v>36595</v>
      </c>
      <c r="F329" s="31" t="n">
        <v>65.8</v>
      </c>
      <c r="G329" s="31" t="n">
        <v>220.4</v>
      </c>
      <c r="H329" s="32" t="n"/>
    </row>
    <row r="330">
      <c r="A330" t="inlineStr">
        <is>
          <t>PT12149</t>
        </is>
      </c>
      <c r="B330" t="inlineStr">
        <is>
          <t>Teresa</t>
        </is>
      </c>
      <c r="C330" t="inlineStr">
        <is>
          <t>Green</t>
        </is>
      </c>
      <c r="D330" t="inlineStr">
        <is>
          <t>F</t>
        </is>
      </c>
      <c r="E330" s="30" t="n">
        <v>21745</v>
      </c>
      <c r="F330" s="31" t="n">
        <v>63.8</v>
      </c>
      <c r="G330" s="31" t="n">
        <v>178.2</v>
      </c>
      <c r="H330" s="32" t="n"/>
    </row>
    <row r="331">
      <c r="A331" t="inlineStr">
        <is>
          <t>PT12159</t>
        </is>
      </c>
      <c r="B331" t="inlineStr">
        <is>
          <t>Andrea</t>
        </is>
      </c>
      <c r="C331" t="inlineStr">
        <is>
          <t>Hawkins</t>
        </is>
      </c>
      <c r="D331" t="inlineStr">
        <is>
          <t>F</t>
        </is>
      </c>
      <c r="E331" s="30" t="n">
        <v>22738</v>
      </c>
      <c r="F331" s="31" t="n">
        <v>66.90000000000001</v>
      </c>
      <c r="G331" s="31" t="n">
        <v>169.7</v>
      </c>
      <c r="H331" s="32" t="n"/>
    </row>
    <row r="332">
      <c r="A332" t="inlineStr">
        <is>
          <t>PT12161</t>
        </is>
      </c>
      <c r="B332" t="inlineStr">
        <is>
          <t>Kenneth</t>
        </is>
      </c>
      <c r="C332" t="inlineStr">
        <is>
          <t>Sanchez</t>
        </is>
      </c>
      <c r="D332" t="inlineStr">
        <is>
          <t>M</t>
        </is>
      </c>
      <c r="E332" s="30" t="n">
        <v>26313</v>
      </c>
      <c r="F332" s="31" t="n">
        <v>68.8</v>
      </c>
      <c r="G332" s="31" t="n">
        <v>254.9</v>
      </c>
      <c r="H332" s="32" t="n"/>
    </row>
    <row r="333">
      <c r="A333" t="inlineStr">
        <is>
          <t>PT12162</t>
        </is>
      </c>
      <c r="B333" t="inlineStr">
        <is>
          <t>Nicholas</t>
        </is>
      </c>
      <c r="C333" t="inlineStr">
        <is>
          <t>Hayes</t>
        </is>
      </c>
      <c r="D333" t="inlineStr">
        <is>
          <t>M</t>
        </is>
      </c>
      <c r="E333" s="30" t="n">
        <v>32606</v>
      </c>
      <c r="F333" s="31" t="n">
        <v>70.8</v>
      </c>
      <c r="G333" s="31" t="n">
        <v>171.2</v>
      </c>
      <c r="H333" s="32" t="n"/>
    </row>
    <row r="334">
      <c r="A334" t="inlineStr">
        <is>
          <t>PT12165</t>
        </is>
      </c>
      <c r="B334" t="inlineStr">
        <is>
          <t>Kevin</t>
        </is>
      </c>
      <c r="C334" t="inlineStr">
        <is>
          <t>Medina</t>
        </is>
      </c>
      <c r="D334" t="inlineStr">
        <is>
          <t>M</t>
        </is>
      </c>
      <c r="E334" s="30" t="n">
        <v>24267</v>
      </c>
      <c r="F334" s="31" t="n">
        <v>68.8</v>
      </c>
      <c r="G334" s="31" t="n">
        <v>222.5</v>
      </c>
      <c r="H334" s="32" t="n"/>
    </row>
    <row r="335">
      <c r="A335" t="inlineStr">
        <is>
          <t>PT12166</t>
        </is>
      </c>
      <c r="B335" t="inlineStr">
        <is>
          <t>Carolyn</t>
        </is>
      </c>
      <c r="C335" t="inlineStr">
        <is>
          <t>White</t>
        </is>
      </c>
      <c r="D335" t="inlineStr">
        <is>
          <t>F</t>
        </is>
      </c>
      <c r="E335" s="30" t="n">
        <v>20819</v>
      </c>
      <c r="F335" s="31" t="n">
        <v>67.3</v>
      </c>
      <c r="G335" s="31" t="n">
        <v>147</v>
      </c>
      <c r="H335" s="32" t="n"/>
    </row>
    <row r="336">
      <c r="A336" t="inlineStr">
        <is>
          <t>PT12168</t>
        </is>
      </c>
      <c r="B336" t="inlineStr">
        <is>
          <t>Sarah</t>
        </is>
      </c>
      <c r="C336" t="inlineStr">
        <is>
          <t>Medina</t>
        </is>
      </c>
      <c r="D336" t="inlineStr">
        <is>
          <t>F</t>
        </is>
      </c>
      <c r="E336" s="30" t="n">
        <v>22346</v>
      </c>
      <c r="F336" s="31" t="n">
        <v>72</v>
      </c>
      <c r="G336" s="31" t="n">
        <v>213.3</v>
      </c>
      <c r="H336" s="32" t="n"/>
    </row>
    <row r="337">
      <c r="A337" t="inlineStr">
        <is>
          <t>PT12187</t>
        </is>
      </c>
      <c r="B337" t="inlineStr">
        <is>
          <t>Beverly</t>
        </is>
      </c>
      <c r="C337" t="inlineStr">
        <is>
          <t>Williams</t>
        </is>
      </c>
      <c r="D337" t="inlineStr">
        <is>
          <t>F</t>
        </is>
      </c>
      <c r="E337" s="30" t="n">
        <v>19759</v>
      </c>
      <c r="F337" s="31" t="n">
        <v>60.8</v>
      </c>
      <c r="G337" s="31" t="n">
        <v>180.9</v>
      </c>
      <c r="H337" s="32" t="n"/>
    </row>
    <row r="338">
      <c r="A338" t="inlineStr">
        <is>
          <t>PT12193</t>
        </is>
      </c>
      <c r="B338" t="inlineStr">
        <is>
          <t>Charlotte</t>
        </is>
      </c>
      <c r="C338" t="inlineStr">
        <is>
          <t>Hamilton</t>
        </is>
      </c>
      <c r="D338" t="inlineStr">
        <is>
          <t>F</t>
        </is>
      </c>
      <c r="E338" s="30" t="n">
        <v>17112</v>
      </c>
      <c r="F338" s="31" t="n">
        <v>65.5</v>
      </c>
      <c r="G338" s="31" t="n">
        <v>177</v>
      </c>
      <c r="H338" s="32" t="n"/>
    </row>
    <row r="339">
      <c r="A339" t="inlineStr">
        <is>
          <t>PT12194</t>
        </is>
      </c>
      <c r="B339" t="inlineStr">
        <is>
          <t>Carlos</t>
        </is>
      </c>
      <c r="C339" t="inlineStr">
        <is>
          <t>Simpson</t>
        </is>
      </c>
      <c r="D339" t="inlineStr">
        <is>
          <t>M</t>
        </is>
      </c>
      <c r="E339" s="30" t="n">
        <v>13522</v>
      </c>
      <c r="F339" s="31" t="n">
        <v>68</v>
      </c>
      <c r="G339" s="31" t="n">
        <v>198.5</v>
      </c>
      <c r="H339" s="32" t="n"/>
    </row>
    <row r="340">
      <c r="A340" t="inlineStr">
        <is>
          <t>PT12201</t>
        </is>
      </c>
      <c r="B340" t="inlineStr">
        <is>
          <t>Judy</t>
        </is>
      </c>
      <c r="C340" t="inlineStr">
        <is>
          <t>Peters</t>
        </is>
      </c>
      <c r="D340" t="inlineStr">
        <is>
          <t>F</t>
        </is>
      </c>
      <c r="E340" s="30" t="n">
        <v>38832</v>
      </c>
      <c r="F340" s="31" t="n">
        <v>69.5</v>
      </c>
      <c r="G340" s="31" t="n">
        <v>185.7</v>
      </c>
      <c r="H340" s="32" t="n"/>
    </row>
    <row r="341">
      <c r="A341" t="inlineStr">
        <is>
          <t>PT12203</t>
        </is>
      </c>
      <c r="B341" t="inlineStr">
        <is>
          <t>Priya</t>
        </is>
      </c>
      <c r="C341" t="inlineStr">
        <is>
          <t>Williams</t>
        </is>
      </c>
      <c r="D341" t="inlineStr">
        <is>
          <t>F</t>
        </is>
      </c>
      <c r="E341" s="30" t="n">
        <v>12995</v>
      </c>
      <c r="F341" s="31" t="n">
        <v>66.3</v>
      </c>
      <c r="G341" s="31" t="n">
        <v>281.6</v>
      </c>
      <c r="H341" s="32" t="n"/>
    </row>
    <row r="342">
      <c r="A342" t="inlineStr">
        <is>
          <t>PT12206</t>
        </is>
      </c>
      <c r="B342" t="inlineStr">
        <is>
          <t>Kimberly</t>
        </is>
      </c>
      <c r="C342" t="inlineStr">
        <is>
          <t>Silva</t>
        </is>
      </c>
      <c r="D342" t="inlineStr">
        <is>
          <t>F</t>
        </is>
      </c>
      <c r="E342" s="30" t="n">
        <v>27466</v>
      </c>
      <c r="F342" s="31" t="n">
        <v>65.3</v>
      </c>
      <c r="G342" s="31" t="n">
        <v>100.1</v>
      </c>
      <c r="H342" s="32" t="n"/>
    </row>
    <row r="343">
      <c r="A343" t="inlineStr">
        <is>
          <t>PT12209</t>
        </is>
      </c>
      <c r="B343" t="inlineStr">
        <is>
          <t>Charles</t>
        </is>
      </c>
      <c r="C343" t="inlineStr">
        <is>
          <t>Guzman</t>
        </is>
      </c>
      <c r="D343" t="inlineStr">
        <is>
          <t>M</t>
        </is>
      </c>
      <c r="E343" s="30" t="n">
        <v>19964</v>
      </c>
      <c r="F343" s="31" t="n">
        <v>67.7</v>
      </c>
      <c r="G343" s="31" t="n">
        <v>135.9</v>
      </c>
      <c r="H343" s="32" t="n"/>
    </row>
    <row r="344">
      <c r="A344" t="inlineStr">
        <is>
          <t>PT12210</t>
        </is>
      </c>
      <c r="B344" t="inlineStr">
        <is>
          <t>Olivia</t>
        </is>
      </c>
      <c r="C344" t="inlineStr">
        <is>
          <t>Russell</t>
        </is>
      </c>
      <c r="D344" t="inlineStr">
        <is>
          <t>F</t>
        </is>
      </c>
      <c r="E344" s="30" t="n">
        <v>23493</v>
      </c>
      <c r="F344" s="31" t="n">
        <v>61.2</v>
      </c>
      <c r="G344" s="31" t="n">
        <v>122.8</v>
      </c>
      <c r="H344" s="32" t="n"/>
    </row>
    <row r="345">
      <c r="A345" t="inlineStr">
        <is>
          <t>PT12216</t>
        </is>
      </c>
      <c r="B345" t="inlineStr">
        <is>
          <t>Ruth</t>
        </is>
      </c>
      <c r="C345" t="inlineStr">
        <is>
          <t>King</t>
        </is>
      </c>
      <c r="D345" t="inlineStr">
        <is>
          <t>F</t>
        </is>
      </c>
      <c r="E345" s="30" t="n">
        <v>25105</v>
      </c>
      <c r="F345" s="31" t="n">
        <v>62.4</v>
      </c>
      <c r="G345" s="31" t="n">
        <v>162.1</v>
      </c>
      <c r="H345" s="32" t="n"/>
    </row>
    <row r="346">
      <c r="A346" t="inlineStr">
        <is>
          <t>PT12221</t>
        </is>
      </c>
      <c r="B346" t="inlineStr">
        <is>
          <t>Christina</t>
        </is>
      </c>
      <c r="C346" t="inlineStr">
        <is>
          <t>Washington</t>
        </is>
      </c>
      <c r="D346" t="inlineStr">
        <is>
          <t>F</t>
        </is>
      </c>
      <c r="E346" s="30" t="n">
        <v>25050</v>
      </c>
      <c r="F346" s="31" t="n">
        <v>60.2</v>
      </c>
      <c r="G346" s="31" t="n">
        <v>206.7</v>
      </c>
      <c r="H346" s="32" t="n"/>
    </row>
    <row r="347">
      <c r="A347" t="inlineStr">
        <is>
          <t>PT12229</t>
        </is>
      </c>
      <c r="B347" t="inlineStr">
        <is>
          <t>Amy</t>
        </is>
      </c>
      <c r="C347" t="inlineStr">
        <is>
          <t>Haddad</t>
        </is>
      </c>
      <c r="D347" t="inlineStr">
        <is>
          <t>F</t>
        </is>
      </c>
      <c r="E347" s="30" t="n">
        <v>25990</v>
      </c>
      <c r="F347" s="31" t="n">
        <v>60.7</v>
      </c>
      <c r="G347" s="31" t="n">
        <v>127</v>
      </c>
      <c r="H347" s="32" t="n"/>
    </row>
    <row r="348">
      <c r="A348" t="inlineStr">
        <is>
          <t>PT12242</t>
        </is>
      </c>
      <c r="B348" t="inlineStr">
        <is>
          <t>Alexander</t>
        </is>
      </c>
      <c r="C348" t="inlineStr">
        <is>
          <t>Williams</t>
        </is>
      </c>
      <c r="D348" t="inlineStr">
        <is>
          <t>M</t>
        </is>
      </c>
      <c r="E348" s="30" t="n">
        <v>12361</v>
      </c>
      <c r="F348" s="31" t="n">
        <v>70.90000000000001</v>
      </c>
      <c r="G348" s="31" t="n">
        <v>253.5</v>
      </c>
      <c r="H348" s="32" t="n"/>
    </row>
    <row r="349">
      <c r="A349" t="inlineStr">
        <is>
          <t>PT12247</t>
        </is>
      </c>
      <c r="B349" t="inlineStr">
        <is>
          <t>Jeffrey</t>
        </is>
      </c>
      <c r="C349" t="inlineStr">
        <is>
          <t>Wagner</t>
        </is>
      </c>
      <c r="D349" t="inlineStr">
        <is>
          <t>M</t>
        </is>
      </c>
      <c r="E349" s="30" t="n">
        <v>24685</v>
      </c>
      <c r="F349" s="31" t="n">
        <v>66.40000000000001</v>
      </c>
      <c r="G349" s="31" t="n">
        <v>117.4</v>
      </c>
      <c r="H349" s="32" t="n"/>
    </row>
    <row r="350">
      <c r="A350" t="inlineStr">
        <is>
          <t>PT12254</t>
        </is>
      </c>
      <c r="B350" t="inlineStr">
        <is>
          <t>Amber</t>
        </is>
      </c>
      <c r="C350" t="inlineStr">
        <is>
          <t>Cole</t>
        </is>
      </c>
      <c r="D350" t="inlineStr">
        <is>
          <t>F</t>
        </is>
      </c>
      <c r="E350" s="30" t="n">
        <v>26385</v>
      </c>
      <c r="F350" s="31" t="n">
        <v>67.8</v>
      </c>
      <c r="G350" s="31" t="n">
        <v>262.2</v>
      </c>
      <c r="H350" s="32" t="n"/>
    </row>
    <row r="351">
      <c r="A351" t="inlineStr">
        <is>
          <t>PT12264</t>
        </is>
      </c>
      <c r="B351" t="inlineStr">
        <is>
          <t>William</t>
        </is>
      </c>
      <c r="C351" t="inlineStr">
        <is>
          <t>Hayes</t>
        </is>
      </c>
      <c r="D351" t="inlineStr">
        <is>
          <t>M</t>
        </is>
      </c>
      <c r="E351" s="30" t="n">
        <v>17775</v>
      </c>
      <c r="F351" s="31" t="n">
        <v>67.5</v>
      </c>
      <c r="G351" s="31" t="n">
        <v>173.7</v>
      </c>
      <c r="H351" s="32" t="n"/>
    </row>
    <row r="352">
      <c r="A352" t="inlineStr">
        <is>
          <t>PT12267</t>
        </is>
      </c>
      <c r="B352" t="inlineStr">
        <is>
          <t>Cynthia</t>
        </is>
      </c>
      <c r="C352" t="inlineStr">
        <is>
          <t>Jenkins</t>
        </is>
      </c>
      <c r="D352" t="inlineStr">
        <is>
          <t>F</t>
        </is>
      </c>
      <c r="E352" s="30" t="n">
        <v>23808</v>
      </c>
      <c r="F352" s="31" t="n">
        <v>62.9</v>
      </c>
      <c r="G352" s="31" t="n">
        <v>109.5</v>
      </c>
      <c r="H352" s="32" t="n"/>
    </row>
    <row r="353">
      <c r="A353" t="inlineStr">
        <is>
          <t>PT12274</t>
        </is>
      </c>
      <c r="B353" t="inlineStr">
        <is>
          <t>Kathryn</t>
        </is>
      </c>
      <c r="C353" t="inlineStr">
        <is>
          <t>Knight</t>
        </is>
      </c>
      <c r="D353" t="inlineStr">
        <is>
          <t>F</t>
        </is>
      </c>
      <c r="E353" s="30" t="n">
        <v>29065</v>
      </c>
      <c r="F353" s="31" t="n">
        <v>64.8</v>
      </c>
      <c r="G353" s="31" t="n">
        <v>204.3</v>
      </c>
      <c r="H353" s="32" t="n"/>
    </row>
    <row r="354">
      <c r="A354" t="inlineStr">
        <is>
          <t>PT12277</t>
        </is>
      </c>
      <c r="B354" t="inlineStr">
        <is>
          <t>Susan</t>
        </is>
      </c>
      <c r="C354" t="inlineStr">
        <is>
          <t>Soto</t>
        </is>
      </c>
      <c r="D354" t="inlineStr">
        <is>
          <t>F</t>
        </is>
      </c>
      <c r="E354" s="30" t="n">
        <v>21042</v>
      </c>
      <c r="F354" s="31" t="n">
        <v>60.4</v>
      </c>
      <c r="G354" s="31" t="n">
        <v>116</v>
      </c>
      <c r="H354" s="32" t="n"/>
    </row>
    <row r="355">
      <c r="A355" t="inlineStr">
        <is>
          <t>PT12279</t>
        </is>
      </c>
      <c r="B355" t="inlineStr">
        <is>
          <t>Isabella</t>
        </is>
      </c>
      <c r="C355" t="inlineStr">
        <is>
          <t>Reynolds</t>
        </is>
      </c>
      <c r="D355" t="inlineStr">
        <is>
          <t>F</t>
        </is>
      </c>
      <c r="E355" s="30" t="n">
        <v>17514</v>
      </c>
      <c r="F355" s="31" t="n">
        <v>65.40000000000001</v>
      </c>
      <c r="G355" s="31" t="n">
        <v>201.7</v>
      </c>
      <c r="H355" s="32" t="n"/>
    </row>
    <row r="356">
      <c r="A356" t="inlineStr">
        <is>
          <t>PT12288</t>
        </is>
      </c>
      <c r="B356" t="inlineStr">
        <is>
          <t>Steven</t>
        </is>
      </c>
      <c r="C356" t="inlineStr">
        <is>
          <t>Alvarez</t>
        </is>
      </c>
      <c r="D356" t="inlineStr">
        <is>
          <t>M</t>
        </is>
      </c>
      <c r="E356" s="30" t="n">
        <v>29269</v>
      </c>
      <c r="F356" s="31" t="n">
        <v>67.59999999999999</v>
      </c>
      <c r="G356" s="31" t="n">
        <v>153.2</v>
      </c>
      <c r="H356" s="32" t="n"/>
    </row>
    <row r="357">
      <c r="A357" t="inlineStr">
        <is>
          <t>PT12295</t>
        </is>
      </c>
      <c r="B357" t="inlineStr">
        <is>
          <t>Ahmed</t>
        </is>
      </c>
      <c r="C357" t="inlineStr">
        <is>
          <t>Schmidt</t>
        </is>
      </c>
      <c r="D357" t="inlineStr">
        <is>
          <t>M</t>
        </is>
      </c>
      <c r="E357" s="30" t="n">
        <v>22233</v>
      </c>
      <c r="F357" s="31" t="n">
        <v>68.7</v>
      </c>
      <c r="G357" s="31" t="n">
        <v>186.3</v>
      </c>
      <c r="H357" s="32" t="n"/>
    </row>
    <row r="358">
      <c r="A358" t="inlineStr">
        <is>
          <t>PT12299</t>
        </is>
      </c>
      <c r="B358" t="inlineStr">
        <is>
          <t>Sarah</t>
        </is>
      </c>
      <c r="C358" t="inlineStr">
        <is>
          <t>Contreras</t>
        </is>
      </c>
      <c r="D358" t="inlineStr">
        <is>
          <t>F</t>
        </is>
      </c>
      <c r="E358" s="30" t="n">
        <v>17689</v>
      </c>
      <c r="F358" s="31" t="n">
        <v>56.6</v>
      </c>
      <c r="G358" s="31" t="n">
        <v>93.3</v>
      </c>
      <c r="H358" s="32" t="n"/>
    </row>
    <row r="359">
      <c r="A359" t="inlineStr">
        <is>
          <t>PT12307</t>
        </is>
      </c>
      <c r="B359" t="inlineStr">
        <is>
          <t>Stephanie</t>
        </is>
      </c>
      <c r="C359" t="inlineStr">
        <is>
          <t>Perez</t>
        </is>
      </c>
      <c r="D359" t="inlineStr">
        <is>
          <t>F</t>
        </is>
      </c>
      <c r="E359" s="30" t="n">
        <v>35113</v>
      </c>
      <c r="F359" s="31" t="n">
        <v>60.8</v>
      </c>
      <c r="G359" s="31" t="n">
        <v>139.1</v>
      </c>
      <c r="H359" s="32" t="n"/>
    </row>
    <row r="360">
      <c r="A360" t="inlineStr">
        <is>
          <t>PT12311</t>
        </is>
      </c>
      <c r="B360" t="inlineStr">
        <is>
          <t>Ronald</t>
        </is>
      </c>
      <c r="C360" t="inlineStr">
        <is>
          <t>Wagner</t>
        </is>
      </c>
      <c r="D360" t="inlineStr">
        <is>
          <t>M</t>
        </is>
      </c>
      <c r="E360" s="30" t="n">
        <v>24506</v>
      </c>
      <c r="F360" s="31" t="n">
        <v>70.09999999999999</v>
      </c>
      <c r="G360" s="31" t="n">
        <v>205.2</v>
      </c>
      <c r="H360" s="32" t="n"/>
    </row>
    <row r="361">
      <c r="A361" t="inlineStr">
        <is>
          <t>PT12314</t>
        </is>
      </c>
      <c r="B361" t="inlineStr">
        <is>
          <t>Nancy</t>
        </is>
      </c>
      <c r="C361" t="inlineStr">
        <is>
          <t>Richardson</t>
        </is>
      </c>
      <c r="D361" t="inlineStr">
        <is>
          <t>F</t>
        </is>
      </c>
      <c r="E361" s="30" t="n">
        <v>37186</v>
      </c>
      <c r="F361" s="31" t="n">
        <v>64.5</v>
      </c>
      <c r="G361" s="31" t="n">
        <v>210.2</v>
      </c>
      <c r="H361" s="32" t="n"/>
    </row>
    <row r="362">
      <c r="A362" t="inlineStr">
        <is>
          <t>PT12316</t>
        </is>
      </c>
      <c r="B362" t="inlineStr">
        <is>
          <t>Benjamin</t>
        </is>
      </c>
      <c r="C362" t="inlineStr">
        <is>
          <t>Martin</t>
        </is>
      </c>
      <c r="D362" t="inlineStr">
        <is>
          <t>M</t>
        </is>
      </c>
      <c r="E362" s="30" t="n">
        <v>21134</v>
      </c>
      <c r="F362" s="31" t="n">
        <v>66.5</v>
      </c>
      <c r="G362" s="31" t="n">
        <v>164.1</v>
      </c>
      <c r="H362" s="32" t="n"/>
    </row>
    <row r="363">
      <c r="A363" t="inlineStr">
        <is>
          <t>PT12325</t>
        </is>
      </c>
      <c r="B363" t="inlineStr">
        <is>
          <t>Jose</t>
        </is>
      </c>
      <c r="C363" t="inlineStr">
        <is>
          <t>Simmons</t>
        </is>
      </c>
      <c r="D363" t="inlineStr">
        <is>
          <t>M</t>
        </is>
      </c>
      <c r="E363" s="30" t="n">
        <v>17919</v>
      </c>
      <c r="F363" s="31" t="n">
        <v>66.40000000000001</v>
      </c>
      <c r="G363" s="31" t="n">
        <v>156.2</v>
      </c>
      <c r="H363" s="32" t="n"/>
    </row>
    <row r="364">
      <c r="A364" t="inlineStr">
        <is>
          <t>PT12328</t>
        </is>
      </c>
      <c r="B364" t="inlineStr">
        <is>
          <t>Ralph</t>
        </is>
      </c>
      <c r="C364" t="inlineStr">
        <is>
          <t>Stephens</t>
        </is>
      </c>
      <c r="D364" t="inlineStr">
        <is>
          <t>M</t>
        </is>
      </c>
      <c r="E364" s="30" t="n">
        <v>33251</v>
      </c>
      <c r="F364" s="31" t="n">
        <v>73.40000000000001</v>
      </c>
      <c r="G364" s="31" t="n">
        <v>208.1</v>
      </c>
      <c r="H364" s="32" t="n"/>
    </row>
    <row r="365">
      <c r="A365" t="inlineStr">
        <is>
          <t>PT12346</t>
        </is>
      </c>
      <c r="B365" t="inlineStr">
        <is>
          <t>Lori</t>
        </is>
      </c>
      <c r="C365" t="inlineStr">
        <is>
          <t>Howard</t>
        </is>
      </c>
      <c r="D365" t="inlineStr">
        <is>
          <t>F</t>
        </is>
      </c>
      <c r="E365" s="30" t="n">
        <v>25778</v>
      </c>
      <c r="F365" s="31" t="n">
        <v>59.8</v>
      </c>
      <c r="G365" s="31" t="n">
        <v>119.7</v>
      </c>
      <c r="H365" s="32" t="n"/>
    </row>
    <row r="366">
      <c r="A366" t="inlineStr">
        <is>
          <t>PT12355</t>
        </is>
      </c>
      <c r="B366" t="inlineStr">
        <is>
          <t>Cynthia</t>
        </is>
      </c>
      <c r="C366" t="inlineStr">
        <is>
          <t>Webb</t>
        </is>
      </c>
      <c r="D366" t="inlineStr">
        <is>
          <t>F</t>
        </is>
      </c>
      <c r="E366" s="30" t="n">
        <v>11560</v>
      </c>
      <c r="F366" s="31" t="n">
        <v>66.40000000000001</v>
      </c>
      <c r="G366" s="31" t="n">
        <v>203.1</v>
      </c>
      <c r="H366" s="32" t="n"/>
    </row>
    <row r="367">
      <c r="A367" t="inlineStr">
        <is>
          <t>PT12362</t>
        </is>
      </c>
      <c r="B367" t="inlineStr">
        <is>
          <t>Frances</t>
        </is>
      </c>
      <c r="C367" t="inlineStr">
        <is>
          <t>Ramirez</t>
        </is>
      </c>
      <c r="D367" t="inlineStr">
        <is>
          <t>F</t>
        </is>
      </c>
      <c r="E367" s="30" t="n">
        <v>25068</v>
      </c>
      <c r="F367" s="31" t="n">
        <v>65.40000000000001</v>
      </c>
      <c r="G367" s="31" t="n">
        <v>246.1</v>
      </c>
      <c r="H367" s="32" t="n"/>
    </row>
    <row r="368">
      <c r="A368" t="inlineStr">
        <is>
          <t>PT12369</t>
        </is>
      </c>
      <c r="B368" t="inlineStr">
        <is>
          <t>Bradley</t>
        </is>
      </c>
      <c r="C368" t="inlineStr">
        <is>
          <t>Coleman</t>
        </is>
      </c>
      <c r="D368" t="inlineStr">
        <is>
          <t>M</t>
        </is>
      </c>
      <c r="E368" s="30" t="n">
        <v>29730</v>
      </c>
      <c r="F368" s="31" t="n">
        <v>67.7</v>
      </c>
      <c r="G368" s="31" t="n">
        <v>185.8</v>
      </c>
      <c r="H368" s="32" t="n"/>
    </row>
    <row r="369">
      <c r="A369" t="inlineStr">
        <is>
          <t>PT12381</t>
        </is>
      </c>
      <c r="B369" t="inlineStr">
        <is>
          <t>Roger</t>
        </is>
      </c>
      <c r="C369" t="inlineStr">
        <is>
          <t>Pierce</t>
        </is>
      </c>
      <c r="D369" t="inlineStr">
        <is>
          <t>M</t>
        </is>
      </c>
      <c r="E369" s="30" t="n">
        <v>29599</v>
      </c>
      <c r="F369" s="31" t="n">
        <v>74.3</v>
      </c>
      <c r="G369" s="31" t="n">
        <v>291</v>
      </c>
      <c r="H369" s="32" t="n"/>
    </row>
    <row r="370">
      <c r="A370" t="inlineStr">
        <is>
          <t>PT12387</t>
        </is>
      </c>
      <c r="B370" t="inlineStr">
        <is>
          <t>Thomas</t>
        </is>
      </c>
      <c r="C370" t="inlineStr">
        <is>
          <t>Morales</t>
        </is>
      </c>
      <c r="D370" t="inlineStr">
        <is>
          <t>M</t>
        </is>
      </c>
      <c r="E370" s="30" t="n">
        <v>27924</v>
      </c>
      <c r="F370" s="31" t="n">
        <v>70.2</v>
      </c>
      <c r="G370" s="31" t="n">
        <v>336.3</v>
      </c>
      <c r="H370" s="32" t="n"/>
    </row>
    <row r="371">
      <c r="A371" t="inlineStr">
        <is>
          <t>PT12399</t>
        </is>
      </c>
      <c r="B371" t="inlineStr">
        <is>
          <t>Alan</t>
        </is>
      </c>
      <c r="C371" t="inlineStr">
        <is>
          <t>Bell</t>
        </is>
      </c>
      <c r="D371" t="inlineStr">
        <is>
          <t>M</t>
        </is>
      </c>
      <c r="E371" s="30" t="n">
        <v>21180</v>
      </c>
      <c r="F371" s="31" t="n">
        <v>64.59999999999999</v>
      </c>
      <c r="G371" s="31" t="n">
        <v>121.9</v>
      </c>
      <c r="H371" s="32" t="n"/>
    </row>
    <row r="372">
      <c r="A372" t="inlineStr">
        <is>
          <t>PT12401</t>
        </is>
      </c>
      <c r="B372" t="inlineStr">
        <is>
          <t>Judith</t>
        </is>
      </c>
      <c r="C372" t="inlineStr">
        <is>
          <t>Sanchez</t>
        </is>
      </c>
      <c r="D372" t="inlineStr">
        <is>
          <t>F</t>
        </is>
      </c>
      <c r="E372" s="30" t="n">
        <v>17830</v>
      </c>
      <c r="F372" s="31" t="n">
        <v>68.40000000000001</v>
      </c>
      <c r="G372" s="31" t="n">
        <v>261.8</v>
      </c>
      <c r="H372" s="32" t="n"/>
    </row>
    <row r="373">
      <c r="A373" t="inlineStr">
        <is>
          <t>PT12409</t>
        </is>
      </c>
      <c r="B373" t="inlineStr">
        <is>
          <t>Julia</t>
        </is>
      </c>
      <c r="C373" t="inlineStr">
        <is>
          <t>Rodriguez</t>
        </is>
      </c>
      <c r="D373" t="inlineStr">
        <is>
          <t>F</t>
        </is>
      </c>
      <c r="E373" s="30" t="n">
        <v>37547</v>
      </c>
      <c r="F373" s="31" t="n">
        <v>63.4</v>
      </c>
      <c r="G373" s="31" t="n">
        <v>151.4</v>
      </c>
      <c r="H373" s="32" t="n"/>
    </row>
    <row r="374">
      <c r="A374" t="inlineStr">
        <is>
          <t>PT12410</t>
        </is>
      </c>
      <c r="B374" t="inlineStr">
        <is>
          <t>Jesse</t>
        </is>
      </c>
      <c r="C374" t="inlineStr">
        <is>
          <t>Sanders</t>
        </is>
      </c>
      <c r="D374" t="inlineStr">
        <is>
          <t>M</t>
        </is>
      </c>
      <c r="E374" s="30" t="n">
        <v>23659</v>
      </c>
      <c r="F374" s="31" t="n">
        <v>70.90000000000001</v>
      </c>
      <c r="G374" s="31" t="n">
        <v>244.9</v>
      </c>
      <c r="H374" s="32" t="n"/>
    </row>
    <row r="375">
      <c r="A375" t="inlineStr">
        <is>
          <t>PT12420</t>
        </is>
      </c>
      <c r="B375" t="inlineStr">
        <is>
          <t>Karen</t>
        </is>
      </c>
      <c r="C375" t="inlineStr">
        <is>
          <t>Contreras</t>
        </is>
      </c>
      <c r="D375" t="inlineStr">
        <is>
          <t>F</t>
        </is>
      </c>
      <c r="E375" s="30" t="n">
        <v>26405</v>
      </c>
      <c r="F375" s="31" t="n">
        <v>64.5</v>
      </c>
      <c r="G375" s="31" t="n">
        <v>201.5</v>
      </c>
      <c r="H375" s="32" t="n"/>
    </row>
    <row r="376">
      <c r="A376" t="inlineStr">
        <is>
          <t>PT12421</t>
        </is>
      </c>
      <c r="B376" t="inlineStr">
        <is>
          <t>Theresa</t>
        </is>
      </c>
      <c r="C376" t="inlineStr">
        <is>
          <t>Simpson</t>
        </is>
      </c>
      <c r="D376" t="inlineStr">
        <is>
          <t>F</t>
        </is>
      </c>
      <c r="E376" s="30" t="n">
        <v>28366</v>
      </c>
      <c r="F376" s="31" t="n">
        <v>64.90000000000001</v>
      </c>
      <c r="G376" s="31" t="n">
        <v>156.7</v>
      </c>
      <c r="H376" s="32" t="n"/>
    </row>
    <row r="377">
      <c r="A377" t="inlineStr">
        <is>
          <t>PT12426</t>
        </is>
      </c>
      <c r="B377" t="inlineStr">
        <is>
          <t>Maria</t>
        </is>
      </c>
      <c r="C377" t="inlineStr">
        <is>
          <t>O'Brien</t>
        </is>
      </c>
      <c r="D377" t="inlineStr">
        <is>
          <t>F</t>
        </is>
      </c>
      <c r="E377" s="30" t="n">
        <v>21025</v>
      </c>
      <c r="F377" s="31" t="n">
        <v>65.7</v>
      </c>
      <c r="G377" s="31" t="n">
        <v>193.8</v>
      </c>
      <c r="H377" s="32" t="n"/>
    </row>
    <row r="378">
      <c r="A378" t="inlineStr">
        <is>
          <t>PT12444</t>
        </is>
      </c>
      <c r="B378" t="inlineStr">
        <is>
          <t>Susan</t>
        </is>
      </c>
      <c r="C378" t="inlineStr">
        <is>
          <t>Alvarez</t>
        </is>
      </c>
      <c r="D378" t="inlineStr">
        <is>
          <t>F</t>
        </is>
      </c>
      <c r="E378" s="30" t="n">
        <v>29956</v>
      </c>
      <c r="F378" s="31" t="n">
        <v>57.8</v>
      </c>
      <c r="G378" s="31" t="n">
        <v>105.4</v>
      </c>
      <c r="H378" s="32" t="n"/>
    </row>
    <row r="379">
      <c r="A379" t="inlineStr">
        <is>
          <t>PT12449</t>
        </is>
      </c>
      <c r="B379" t="inlineStr">
        <is>
          <t>Donald</t>
        </is>
      </c>
      <c r="C379" t="inlineStr">
        <is>
          <t>Gutierrez</t>
        </is>
      </c>
      <c r="D379" t="inlineStr">
        <is>
          <t>M</t>
        </is>
      </c>
      <c r="E379" s="30" t="n">
        <v>25699</v>
      </c>
      <c r="F379" s="31" t="n">
        <v>62.5</v>
      </c>
      <c r="G379" s="31" t="n">
        <v>199.7</v>
      </c>
      <c r="H379" s="32" t="n"/>
    </row>
    <row r="380">
      <c r="A380" t="inlineStr">
        <is>
          <t>PT12453</t>
        </is>
      </c>
      <c r="B380" t="inlineStr">
        <is>
          <t>Gabriel</t>
        </is>
      </c>
      <c r="C380" t="inlineStr">
        <is>
          <t>Wells</t>
        </is>
      </c>
      <c r="D380" t="inlineStr">
        <is>
          <t>M</t>
        </is>
      </c>
      <c r="E380" s="30" t="n">
        <v>31945</v>
      </c>
      <c r="F380" s="31" t="n">
        <v>64.8</v>
      </c>
      <c r="G380" s="31" t="n">
        <v>141.1</v>
      </c>
      <c r="H380" s="32" t="n"/>
    </row>
    <row r="381">
      <c r="A381" t="inlineStr">
        <is>
          <t>PT12454</t>
        </is>
      </c>
      <c r="B381" t="inlineStr">
        <is>
          <t>Carlos</t>
        </is>
      </c>
      <c r="C381" t="inlineStr">
        <is>
          <t>Boyd</t>
        </is>
      </c>
      <c r="D381" t="inlineStr">
        <is>
          <t>M</t>
        </is>
      </c>
      <c r="E381" s="30" t="n">
        <v>20810</v>
      </c>
      <c r="F381" s="31" t="n">
        <v>73.3</v>
      </c>
      <c r="G381" s="31" t="n">
        <v>148.1</v>
      </c>
      <c r="H381" s="32" t="n"/>
    </row>
    <row r="382">
      <c r="A382" t="inlineStr">
        <is>
          <t>PT12456</t>
        </is>
      </c>
      <c r="B382" t="inlineStr">
        <is>
          <t>Wei</t>
        </is>
      </c>
      <c r="C382" t="inlineStr">
        <is>
          <t>Salazar</t>
        </is>
      </c>
      <c r="D382" t="inlineStr">
        <is>
          <t>M</t>
        </is>
      </c>
      <c r="E382" s="30" t="n">
        <v>32450</v>
      </c>
      <c r="F382" s="31" t="n">
        <v>69.40000000000001</v>
      </c>
      <c r="G382" s="31" t="n">
        <v>205.5</v>
      </c>
      <c r="H382" s="32" t="n"/>
    </row>
    <row r="383">
      <c r="A383" t="inlineStr">
        <is>
          <t>PT12458</t>
        </is>
      </c>
      <c r="B383" t="inlineStr">
        <is>
          <t>Charles</t>
        </is>
      </c>
      <c r="C383" t="inlineStr">
        <is>
          <t>Carroll</t>
        </is>
      </c>
      <c r="D383" t="inlineStr">
        <is>
          <t>M</t>
        </is>
      </c>
      <c r="E383" s="30" t="n">
        <v>27313</v>
      </c>
      <c r="F383" s="31" t="n">
        <v>66</v>
      </c>
      <c r="G383" s="31" t="n">
        <v>245.4</v>
      </c>
      <c r="H383" s="32" t="n"/>
    </row>
    <row r="384">
      <c r="A384" t="inlineStr">
        <is>
          <t>PT12461</t>
        </is>
      </c>
      <c r="B384" t="inlineStr">
        <is>
          <t>Bobby</t>
        </is>
      </c>
      <c r="C384" t="inlineStr">
        <is>
          <t>Hoffman</t>
        </is>
      </c>
      <c r="D384" t="inlineStr">
        <is>
          <t>M</t>
        </is>
      </c>
      <c r="E384" s="30" t="n">
        <v>17819</v>
      </c>
      <c r="F384" s="31" t="n">
        <v>73.3</v>
      </c>
      <c r="G384" s="31" t="n">
        <v>207.3</v>
      </c>
      <c r="H384" s="32" t="n"/>
    </row>
    <row r="385">
      <c r="A385" t="inlineStr">
        <is>
          <t>PT12464</t>
        </is>
      </c>
      <c r="B385" t="inlineStr">
        <is>
          <t>Willie</t>
        </is>
      </c>
      <c r="C385" t="inlineStr">
        <is>
          <t>Hicks</t>
        </is>
      </c>
      <c r="D385" t="inlineStr">
        <is>
          <t>M</t>
        </is>
      </c>
      <c r="E385" s="30" t="n">
        <v>29234</v>
      </c>
      <c r="F385" s="31" t="n">
        <v>64.90000000000001</v>
      </c>
      <c r="G385" s="31" t="n">
        <v>134.3</v>
      </c>
      <c r="H385" s="32" t="n"/>
    </row>
    <row r="386">
      <c r="A386" t="inlineStr">
        <is>
          <t>PT12469</t>
        </is>
      </c>
      <c r="B386" t="inlineStr">
        <is>
          <t>Evelyn</t>
        </is>
      </c>
      <c r="C386" t="inlineStr">
        <is>
          <t>Fernandez</t>
        </is>
      </c>
      <c r="D386" t="inlineStr">
        <is>
          <t>F</t>
        </is>
      </c>
      <c r="E386" s="30" t="n">
        <v>21607</v>
      </c>
      <c r="F386" s="31" t="n">
        <v>64.2</v>
      </c>
      <c r="G386" s="31" t="n">
        <v>153.3</v>
      </c>
      <c r="H386" s="32" t="n"/>
    </row>
    <row r="387">
      <c r="A387" t="inlineStr">
        <is>
          <t>PT12478</t>
        </is>
      </c>
      <c r="B387" t="inlineStr">
        <is>
          <t>Abigail</t>
        </is>
      </c>
      <c r="C387" t="inlineStr">
        <is>
          <t>Butler</t>
        </is>
      </c>
      <c r="D387" t="inlineStr">
        <is>
          <t>F</t>
        </is>
      </c>
      <c r="E387" s="30" t="n">
        <v>16284</v>
      </c>
      <c r="F387" s="31" t="n">
        <v>63.4</v>
      </c>
      <c r="G387" s="31" t="n">
        <v>114.8</v>
      </c>
      <c r="H387" s="32" t="n"/>
    </row>
    <row r="388">
      <c r="A388" t="inlineStr">
        <is>
          <t>PT12483</t>
        </is>
      </c>
      <c r="B388" t="inlineStr">
        <is>
          <t>Samuel</t>
        </is>
      </c>
      <c r="C388" t="inlineStr">
        <is>
          <t>Holmes</t>
        </is>
      </c>
      <c r="D388" t="inlineStr">
        <is>
          <t>M</t>
        </is>
      </c>
      <c r="E388" s="30" t="n">
        <v>29572</v>
      </c>
      <c r="F388" s="31" t="n">
        <v>70.40000000000001</v>
      </c>
      <c r="G388" s="31" t="n">
        <v>208.3</v>
      </c>
      <c r="H388" s="32" t="n"/>
    </row>
    <row r="389">
      <c r="A389" t="inlineStr">
        <is>
          <t>PT12484</t>
        </is>
      </c>
      <c r="B389" t="inlineStr">
        <is>
          <t>Bradley</t>
        </is>
      </c>
      <c r="C389" t="inlineStr">
        <is>
          <t>Bennett</t>
        </is>
      </c>
      <c r="D389" t="inlineStr">
        <is>
          <t>M</t>
        </is>
      </c>
      <c r="E389" s="30" t="n">
        <v>21140</v>
      </c>
      <c r="F389" s="31" t="n">
        <v>72.5</v>
      </c>
      <c r="G389" s="31" t="n">
        <v>232.4</v>
      </c>
      <c r="H389" s="32" t="n"/>
    </row>
    <row r="390">
      <c r="A390" t="inlineStr">
        <is>
          <t>PT12485</t>
        </is>
      </c>
      <c r="B390" t="inlineStr">
        <is>
          <t>Sharon</t>
        </is>
      </c>
      <c r="C390" t="inlineStr">
        <is>
          <t>Yilmaz</t>
        </is>
      </c>
      <c r="D390" t="inlineStr">
        <is>
          <t>F</t>
        </is>
      </c>
      <c r="E390" s="30" t="n">
        <v>30424</v>
      </c>
      <c r="F390" s="31" t="n">
        <v>65.8</v>
      </c>
      <c r="G390" s="31" t="n">
        <v>170.5</v>
      </c>
      <c r="H390" s="32" t="n"/>
    </row>
    <row r="391">
      <c r="A391" t="inlineStr">
        <is>
          <t>PT12494</t>
        </is>
      </c>
      <c r="B391" t="inlineStr">
        <is>
          <t>Arthur</t>
        </is>
      </c>
      <c r="C391" t="inlineStr">
        <is>
          <t>Hernandez</t>
        </is>
      </c>
      <c r="D391" t="inlineStr">
        <is>
          <t>M</t>
        </is>
      </c>
      <c r="E391" s="30" t="n">
        <v>18195</v>
      </c>
      <c r="F391" s="31" t="n">
        <v>68.5</v>
      </c>
      <c r="G391" s="31" t="n">
        <v>196.3</v>
      </c>
      <c r="H391" s="32" t="n"/>
    </row>
    <row r="392">
      <c r="A392" t="inlineStr">
        <is>
          <t>PT12498</t>
        </is>
      </c>
      <c r="B392" t="inlineStr">
        <is>
          <t>Ronald</t>
        </is>
      </c>
      <c r="C392" t="inlineStr">
        <is>
          <t>Price</t>
        </is>
      </c>
      <c r="D392" t="inlineStr">
        <is>
          <t>M</t>
        </is>
      </c>
      <c r="E392" s="30" t="n">
        <v>27046</v>
      </c>
      <c r="F392" s="31" t="n">
        <v>69.8</v>
      </c>
      <c r="G392" s="31" t="n">
        <v>224.8</v>
      </c>
      <c r="H392" s="32" t="n"/>
    </row>
    <row r="393">
      <c r="A393" t="inlineStr">
        <is>
          <t>PT12506</t>
        </is>
      </c>
      <c r="B393" t="inlineStr">
        <is>
          <t>Jack</t>
        </is>
      </c>
      <c r="C393" t="inlineStr">
        <is>
          <t>Mendez</t>
        </is>
      </c>
      <c r="D393" t="inlineStr">
        <is>
          <t>M</t>
        </is>
      </c>
      <c r="E393" s="30" t="n">
        <v>24603</v>
      </c>
      <c r="F393" s="31" t="n">
        <v>72.40000000000001</v>
      </c>
      <c r="G393" s="31" t="n">
        <v>208.3</v>
      </c>
      <c r="H393" s="32" t="n"/>
    </row>
    <row r="394">
      <c r="A394" t="inlineStr">
        <is>
          <t>PT12508</t>
        </is>
      </c>
      <c r="B394" t="inlineStr">
        <is>
          <t>Hannah</t>
        </is>
      </c>
      <c r="C394" t="inlineStr">
        <is>
          <t>Gonzalez</t>
        </is>
      </c>
      <c r="D394" t="inlineStr">
        <is>
          <t>F</t>
        </is>
      </c>
      <c r="E394" s="30" t="n">
        <v>26713</v>
      </c>
      <c r="F394" s="31" t="n">
        <v>69.8</v>
      </c>
      <c r="G394" s="31" t="n">
        <v>158.5</v>
      </c>
      <c r="H394" s="32" t="n"/>
    </row>
    <row r="395">
      <c r="A395" t="inlineStr">
        <is>
          <t>PT12509</t>
        </is>
      </c>
      <c r="B395" t="inlineStr">
        <is>
          <t>Maria</t>
        </is>
      </c>
      <c r="C395" t="inlineStr">
        <is>
          <t>Castro</t>
        </is>
      </c>
      <c r="D395" t="inlineStr">
        <is>
          <t>F</t>
        </is>
      </c>
      <c r="E395" s="30" t="n">
        <v>28867</v>
      </c>
      <c r="F395" s="31" t="n">
        <v>62.6</v>
      </c>
      <c r="G395" s="31" t="n">
        <v>104.4</v>
      </c>
      <c r="H395" s="32" t="n"/>
    </row>
    <row r="396">
      <c r="A396" t="inlineStr">
        <is>
          <t>PT12513</t>
        </is>
      </c>
      <c r="B396" t="inlineStr">
        <is>
          <t>Alan</t>
        </is>
      </c>
      <c r="C396" t="inlineStr">
        <is>
          <t>Holmes</t>
        </is>
      </c>
      <c r="D396" t="inlineStr">
        <is>
          <t>M</t>
        </is>
      </c>
      <c r="E396" s="30" t="n">
        <v>18990</v>
      </c>
      <c r="F396" s="31" t="n">
        <v>67.90000000000001</v>
      </c>
      <c r="G396" s="31" t="n">
        <v>211.9</v>
      </c>
      <c r="H396" s="32" t="n"/>
    </row>
    <row r="397">
      <c r="A397" t="inlineStr">
        <is>
          <t>PT12518</t>
        </is>
      </c>
      <c r="B397" t="inlineStr">
        <is>
          <t>Bryan</t>
        </is>
      </c>
      <c r="C397" t="inlineStr">
        <is>
          <t>West</t>
        </is>
      </c>
      <c r="D397" t="inlineStr">
        <is>
          <t>M</t>
        </is>
      </c>
      <c r="E397" s="30" t="n">
        <v>11125</v>
      </c>
      <c r="F397" s="31" t="n">
        <v>72.8</v>
      </c>
      <c r="G397" s="31" t="n">
        <v>188.9</v>
      </c>
      <c r="H397" s="32" t="n"/>
    </row>
    <row r="398">
      <c r="A398" t="inlineStr">
        <is>
          <t>PT12519</t>
        </is>
      </c>
      <c r="B398" t="inlineStr">
        <is>
          <t>Benjamin</t>
        </is>
      </c>
      <c r="C398" t="inlineStr">
        <is>
          <t>Mills</t>
        </is>
      </c>
      <c r="D398" t="inlineStr">
        <is>
          <t>M</t>
        </is>
      </c>
      <c r="E398" s="30" t="n">
        <v>23747</v>
      </c>
      <c r="F398" s="31" t="n">
        <v>67.59999999999999</v>
      </c>
      <c r="G398" s="31" t="n">
        <v>182.8</v>
      </c>
      <c r="H398" s="32" t="n"/>
    </row>
    <row r="399">
      <c r="A399" t="inlineStr">
        <is>
          <t>PT12535</t>
        </is>
      </c>
      <c r="B399" t="inlineStr">
        <is>
          <t>Bobby</t>
        </is>
      </c>
      <c r="C399" t="inlineStr">
        <is>
          <t>King</t>
        </is>
      </c>
      <c r="D399" t="inlineStr">
        <is>
          <t>M</t>
        </is>
      </c>
      <c r="E399" s="30" t="n">
        <v>26151</v>
      </c>
      <c r="F399" s="31" t="n">
        <v>69.8</v>
      </c>
      <c r="G399" s="31" t="n">
        <v>213.6</v>
      </c>
      <c r="H399" s="32" t="n"/>
    </row>
    <row r="400">
      <c r="A400" t="inlineStr">
        <is>
          <t>PT12537</t>
        </is>
      </c>
      <c r="B400" t="inlineStr">
        <is>
          <t>Benjamin</t>
        </is>
      </c>
      <c r="C400" t="inlineStr">
        <is>
          <t>Rogers</t>
        </is>
      </c>
      <c r="D400" t="inlineStr">
        <is>
          <t>M</t>
        </is>
      </c>
      <c r="E400" s="30" t="n">
        <v>17807</v>
      </c>
      <c r="F400" s="31" t="n">
        <v>75.7</v>
      </c>
      <c r="G400" s="31" t="n">
        <v>235.3</v>
      </c>
      <c r="H400" s="32" t="n"/>
    </row>
    <row r="401">
      <c r="A401" t="inlineStr">
        <is>
          <t>PT12542</t>
        </is>
      </c>
      <c r="B401" t="inlineStr">
        <is>
          <t>Janice</t>
        </is>
      </c>
      <c r="C401" t="inlineStr">
        <is>
          <t>Soto</t>
        </is>
      </c>
      <c r="D401" t="inlineStr">
        <is>
          <t>F</t>
        </is>
      </c>
      <c r="E401" s="30" t="n">
        <v>19469</v>
      </c>
      <c r="F401" s="31" t="n">
        <v>63.3</v>
      </c>
      <c r="G401" s="31" t="n">
        <v>145.2</v>
      </c>
      <c r="H401" s="32" t="n"/>
    </row>
    <row r="402">
      <c r="A402" t="inlineStr">
        <is>
          <t>PT12544</t>
        </is>
      </c>
      <c r="B402" t="inlineStr">
        <is>
          <t>Olivia</t>
        </is>
      </c>
      <c r="C402" t="inlineStr">
        <is>
          <t>Gomez</t>
        </is>
      </c>
      <c r="D402" t="inlineStr">
        <is>
          <t>F</t>
        </is>
      </c>
      <c r="E402" s="30" t="n">
        <v>28176</v>
      </c>
      <c r="F402" s="31" t="n">
        <v>66</v>
      </c>
      <c r="G402" s="31" t="n">
        <v>217.5</v>
      </c>
      <c r="H402" s="32" t="n"/>
    </row>
    <row r="403">
      <c r="A403" t="inlineStr">
        <is>
          <t>PT12554</t>
        </is>
      </c>
      <c r="B403" t="inlineStr">
        <is>
          <t>Diane</t>
        </is>
      </c>
      <c r="C403" t="inlineStr">
        <is>
          <t>McDonald</t>
        </is>
      </c>
      <c r="D403" t="inlineStr">
        <is>
          <t>F</t>
        </is>
      </c>
      <c r="E403" s="30" t="n">
        <v>20811</v>
      </c>
      <c r="F403" s="31" t="n">
        <v>66.59999999999999</v>
      </c>
      <c r="G403" s="31" t="n">
        <v>188.9</v>
      </c>
      <c r="H403" s="32" t="n"/>
    </row>
    <row r="404">
      <c r="A404" t="inlineStr">
        <is>
          <t>PT12557</t>
        </is>
      </c>
      <c r="B404" t="inlineStr">
        <is>
          <t>Gary</t>
        </is>
      </c>
      <c r="C404" t="inlineStr">
        <is>
          <t>Soto</t>
        </is>
      </c>
      <c r="D404" t="inlineStr">
        <is>
          <t>M</t>
        </is>
      </c>
      <c r="E404" s="30" t="n">
        <v>26433</v>
      </c>
      <c r="F404" s="31" t="n">
        <v>68.40000000000001</v>
      </c>
      <c r="G404" s="31" t="n">
        <v>218.1</v>
      </c>
      <c r="H404" s="32" t="n"/>
    </row>
    <row r="405">
      <c r="A405" t="inlineStr">
        <is>
          <t>PT12563</t>
        </is>
      </c>
      <c r="B405" t="inlineStr">
        <is>
          <t>Jerry</t>
        </is>
      </c>
      <c r="C405" t="inlineStr">
        <is>
          <t>Carroll</t>
        </is>
      </c>
      <c r="D405" t="inlineStr">
        <is>
          <t>M</t>
        </is>
      </c>
      <c r="E405" s="30" t="n">
        <v>31372</v>
      </c>
      <c r="F405" s="31" t="n">
        <v>69.59999999999999</v>
      </c>
      <c r="G405" s="31" t="n">
        <v>176.6</v>
      </c>
      <c r="H405" s="32" t="n"/>
    </row>
    <row r="406">
      <c r="A406" t="inlineStr">
        <is>
          <t>PT12575</t>
        </is>
      </c>
      <c r="B406" t="inlineStr">
        <is>
          <t>Barbara</t>
        </is>
      </c>
      <c r="C406" t="inlineStr">
        <is>
          <t>Reyes</t>
        </is>
      </c>
      <c r="D406" t="inlineStr">
        <is>
          <t>F</t>
        </is>
      </c>
      <c r="E406" s="30" t="n">
        <v>37114</v>
      </c>
      <c r="F406" s="31" t="n">
        <v>64.5</v>
      </c>
      <c r="G406" s="31" t="n">
        <v>127.5</v>
      </c>
      <c r="H406" s="32" t="n"/>
    </row>
    <row r="407">
      <c r="A407" t="inlineStr">
        <is>
          <t>PT12580</t>
        </is>
      </c>
      <c r="B407" t="inlineStr">
        <is>
          <t>Hannah</t>
        </is>
      </c>
      <c r="C407" t="inlineStr">
        <is>
          <t>Gonzalez</t>
        </is>
      </c>
      <c r="D407" t="inlineStr">
        <is>
          <t>F</t>
        </is>
      </c>
      <c r="E407" s="30" t="n">
        <v>26573</v>
      </c>
      <c r="F407" s="31" t="n">
        <v>66.59999999999999</v>
      </c>
      <c r="G407" s="31" t="n">
        <v>136.3</v>
      </c>
      <c r="H407" s="32" t="n"/>
    </row>
    <row r="408">
      <c r="A408" t="inlineStr">
        <is>
          <t>PT12586</t>
        </is>
      </c>
      <c r="B408" t="inlineStr">
        <is>
          <t>George</t>
        </is>
      </c>
      <c r="C408" t="inlineStr">
        <is>
          <t>Wells</t>
        </is>
      </c>
      <c r="D408" t="inlineStr">
        <is>
          <t>M</t>
        </is>
      </c>
      <c r="E408" s="30" t="n">
        <v>36063</v>
      </c>
      <c r="F408" s="31" t="n">
        <v>72.3</v>
      </c>
      <c r="G408" s="31" t="n">
        <v>198.4</v>
      </c>
      <c r="H408" s="32" t="n"/>
    </row>
    <row r="409">
      <c r="A409" t="inlineStr">
        <is>
          <t>PT12588</t>
        </is>
      </c>
      <c r="B409" t="inlineStr">
        <is>
          <t>Joseph</t>
        </is>
      </c>
      <c r="C409" t="inlineStr">
        <is>
          <t>Stone</t>
        </is>
      </c>
      <c r="D409" t="inlineStr">
        <is>
          <t>M</t>
        </is>
      </c>
      <c r="E409" s="30" t="n">
        <v>34546</v>
      </c>
      <c r="F409" s="31" t="n">
        <v>73.2</v>
      </c>
      <c r="G409" s="31" t="n">
        <v>260.7</v>
      </c>
      <c r="H409" s="32" t="n"/>
    </row>
    <row r="410">
      <c r="A410" t="inlineStr">
        <is>
          <t>PT12595</t>
        </is>
      </c>
      <c r="B410" t="inlineStr">
        <is>
          <t>Amina</t>
        </is>
      </c>
      <c r="C410" t="inlineStr">
        <is>
          <t>Marshall</t>
        </is>
      </c>
      <c r="D410" t="inlineStr">
        <is>
          <t>F</t>
        </is>
      </c>
      <c r="E410" s="30" t="n">
        <v>17728</v>
      </c>
      <c r="F410" s="31" t="n">
        <v>65.40000000000001</v>
      </c>
      <c r="G410" s="31" t="n">
        <v>131.3</v>
      </c>
      <c r="H410" s="32" t="n"/>
    </row>
    <row r="411">
      <c r="A411" t="inlineStr">
        <is>
          <t>PT12609</t>
        </is>
      </c>
      <c r="B411" t="inlineStr">
        <is>
          <t>Karen</t>
        </is>
      </c>
      <c r="C411" t="inlineStr">
        <is>
          <t>Morales</t>
        </is>
      </c>
      <c r="D411" t="inlineStr">
        <is>
          <t>F</t>
        </is>
      </c>
      <c r="E411" s="30" t="n">
        <v>20247</v>
      </c>
      <c r="F411" s="31" t="n">
        <v>63.1</v>
      </c>
      <c r="G411" s="31" t="n">
        <v>162</v>
      </c>
      <c r="H411" s="32" t="n"/>
    </row>
    <row r="412">
      <c r="A412" t="inlineStr">
        <is>
          <t>PT12615</t>
        </is>
      </c>
      <c r="B412" t="inlineStr">
        <is>
          <t>Adam</t>
        </is>
      </c>
      <c r="C412" t="inlineStr">
        <is>
          <t>Ferguson</t>
        </is>
      </c>
      <c r="D412" t="inlineStr">
        <is>
          <t>M</t>
        </is>
      </c>
      <c r="E412" s="30" t="n">
        <v>35346</v>
      </c>
      <c r="F412" s="31" t="n">
        <v>71.7</v>
      </c>
      <c r="G412" s="31" t="n">
        <v>224.2</v>
      </c>
      <c r="H412" s="32" t="n"/>
    </row>
    <row r="413">
      <c r="A413" t="inlineStr">
        <is>
          <t>PT12621</t>
        </is>
      </c>
      <c r="B413" t="inlineStr">
        <is>
          <t>Mei</t>
        </is>
      </c>
      <c r="C413" t="inlineStr">
        <is>
          <t>Munoz</t>
        </is>
      </c>
      <c r="D413" t="inlineStr">
        <is>
          <t>F</t>
        </is>
      </c>
      <c r="E413" s="30" t="n">
        <v>29592</v>
      </c>
      <c r="F413" s="31" t="n">
        <v>65.8</v>
      </c>
      <c r="G413" s="31" t="n">
        <v>180.9</v>
      </c>
      <c r="H413" s="32" t="n"/>
    </row>
    <row r="414">
      <c r="A414" t="inlineStr">
        <is>
          <t>PT12629</t>
        </is>
      </c>
      <c r="B414" t="inlineStr">
        <is>
          <t>Andrew</t>
        </is>
      </c>
      <c r="C414" t="inlineStr">
        <is>
          <t>Alexander</t>
        </is>
      </c>
      <c r="D414" t="inlineStr">
        <is>
          <t>M</t>
        </is>
      </c>
      <c r="E414" s="30" t="n">
        <v>23462</v>
      </c>
      <c r="F414" s="31" t="n">
        <v>69.59999999999999</v>
      </c>
      <c r="G414" s="31" t="n">
        <v>222.6</v>
      </c>
      <c r="H414" s="32" t="n"/>
    </row>
    <row r="415">
      <c r="A415" t="inlineStr">
        <is>
          <t>PT12633</t>
        </is>
      </c>
      <c r="B415" t="inlineStr">
        <is>
          <t>Maria</t>
        </is>
      </c>
      <c r="C415" t="inlineStr">
        <is>
          <t>Ray</t>
        </is>
      </c>
      <c r="D415" t="inlineStr">
        <is>
          <t>F</t>
        </is>
      </c>
      <c r="E415" s="30" t="n">
        <v>30560</v>
      </c>
      <c r="F415" s="31" t="n">
        <v>65</v>
      </c>
      <c r="G415" s="31" t="n">
        <v>246.2</v>
      </c>
      <c r="H415" s="32" t="n"/>
    </row>
    <row r="416">
      <c r="A416" t="inlineStr">
        <is>
          <t>PT12635</t>
        </is>
      </c>
      <c r="B416" t="inlineStr">
        <is>
          <t>Brian</t>
        </is>
      </c>
      <c r="C416" t="inlineStr">
        <is>
          <t>Robinson</t>
        </is>
      </c>
      <c r="D416" t="inlineStr">
        <is>
          <t>M</t>
        </is>
      </c>
      <c r="E416" s="30" t="n">
        <v>38846</v>
      </c>
      <c r="F416" s="31" t="n">
        <v>70.40000000000001</v>
      </c>
      <c r="G416" s="31" t="n">
        <v>265</v>
      </c>
      <c r="H416" s="32" t="n"/>
    </row>
    <row r="417">
      <c r="A417" t="inlineStr">
        <is>
          <t>PT12636</t>
        </is>
      </c>
      <c r="B417" t="inlineStr">
        <is>
          <t>Mary</t>
        </is>
      </c>
      <c r="C417" t="inlineStr">
        <is>
          <t>Reynolds</t>
        </is>
      </c>
      <c r="D417" t="inlineStr">
        <is>
          <t>F</t>
        </is>
      </c>
      <c r="E417" s="30" t="n">
        <v>20340</v>
      </c>
      <c r="F417" s="31" t="n">
        <v>64.5</v>
      </c>
      <c r="G417" s="31" t="n">
        <v>220.2</v>
      </c>
      <c r="H417" s="32" t="n"/>
    </row>
    <row r="418">
      <c r="A418" t="inlineStr">
        <is>
          <t>PT12641</t>
        </is>
      </c>
      <c r="B418" t="inlineStr">
        <is>
          <t>Cynthia</t>
        </is>
      </c>
      <c r="C418" t="inlineStr">
        <is>
          <t>Ramirez</t>
        </is>
      </c>
      <c r="D418" t="inlineStr">
        <is>
          <t>F</t>
        </is>
      </c>
      <c r="E418" s="30" t="n">
        <v>27792</v>
      </c>
      <c r="F418" s="31" t="n">
        <v>65.09999999999999</v>
      </c>
      <c r="G418" s="31" t="n">
        <v>175.2</v>
      </c>
      <c r="H418" s="32" t="n"/>
    </row>
    <row r="419">
      <c r="A419" t="inlineStr">
        <is>
          <t>PT12649</t>
        </is>
      </c>
      <c r="B419" t="inlineStr">
        <is>
          <t>Betty</t>
        </is>
      </c>
      <c r="C419" t="inlineStr">
        <is>
          <t>Ryan</t>
        </is>
      </c>
      <c r="D419" t="inlineStr">
        <is>
          <t>F</t>
        </is>
      </c>
      <c r="E419" s="30" t="n">
        <v>32013</v>
      </c>
      <c r="F419" s="31" t="n">
        <v>63.9</v>
      </c>
      <c r="G419" s="31" t="n">
        <v>134.9</v>
      </c>
      <c r="H419" s="32" t="n"/>
    </row>
    <row r="420">
      <c r="A420" t="inlineStr">
        <is>
          <t>PT12677</t>
        </is>
      </c>
      <c r="B420" t="inlineStr">
        <is>
          <t>Logan</t>
        </is>
      </c>
      <c r="C420" t="inlineStr">
        <is>
          <t>Scott</t>
        </is>
      </c>
      <c r="D420" t="inlineStr">
        <is>
          <t>M</t>
        </is>
      </c>
      <c r="E420" s="30" t="n">
        <v>13856</v>
      </c>
      <c r="F420" s="31" t="n">
        <v>68.5</v>
      </c>
      <c r="G420" s="31" t="n">
        <v>172.5</v>
      </c>
      <c r="H420" s="32" t="n"/>
    </row>
    <row r="421">
      <c r="A421" t="inlineStr">
        <is>
          <t>PT12687</t>
        </is>
      </c>
      <c r="B421" t="inlineStr">
        <is>
          <t>Lisa</t>
        </is>
      </c>
      <c r="C421" t="inlineStr">
        <is>
          <t>Kelly</t>
        </is>
      </c>
      <c r="D421" t="inlineStr">
        <is>
          <t>F</t>
        </is>
      </c>
      <c r="E421" s="30" t="n">
        <v>20513</v>
      </c>
      <c r="F421" s="31" t="n">
        <v>64.5</v>
      </c>
      <c r="G421" s="31" t="n">
        <v>126.6</v>
      </c>
      <c r="H421" s="32" t="n"/>
    </row>
    <row r="422">
      <c r="A422" t="inlineStr">
        <is>
          <t>PT12691</t>
        </is>
      </c>
      <c r="B422" t="inlineStr">
        <is>
          <t>Emma</t>
        </is>
      </c>
      <c r="C422" t="inlineStr">
        <is>
          <t>Vazquez</t>
        </is>
      </c>
      <c r="D422" t="inlineStr">
        <is>
          <t>F</t>
        </is>
      </c>
      <c r="E422" s="30" t="n">
        <v>24345</v>
      </c>
      <c r="F422" s="31" t="n">
        <v>63.6</v>
      </c>
      <c r="G422" s="31" t="n">
        <v>202.3</v>
      </c>
      <c r="H422" s="32" t="n"/>
    </row>
    <row r="423">
      <c r="A423" t="inlineStr">
        <is>
          <t>PT12695</t>
        </is>
      </c>
      <c r="B423" t="inlineStr">
        <is>
          <t>Linda</t>
        </is>
      </c>
      <c r="C423" t="inlineStr">
        <is>
          <t>Wilson</t>
        </is>
      </c>
      <c r="D423" t="inlineStr">
        <is>
          <t>F</t>
        </is>
      </c>
      <c r="E423" s="30" t="n">
        <v>23663</v>
      </c>
      <c r="F423" s="31" t="n">
        <v>62.3</v>
      </c>
      <c r="G423" s="31" t="n">
        <v>94.7</v>
      </c>
      <c r="H423" s="32" t="n"/>
    </row>
    <row r="424">
      <c r="A424" t="inlineStr">
        <is>
          <t>PT12703</t>
        </is>
      </c>
      <c r="B424" t="inlineStr">
        <is>
          <t>Cynthia</t>
        </is>
      </c>
      <c r="C424" t="inlineStr">
        <is>
          <t>Carpenter</t>
        </is>
      </c>
      <c r="D424" t="inlineStr">
        <is>
          <t>F</t>
        </is>
      </c>
      <c r="E424" s="30" t="n">
        <v>14876</v>
      </c>
      <c r="F424" s="31" t="n">
        <v>65.3</v>
      </c>
      <c r="G424" s="31" t="n">
        <v>139.2</v>
      </c>
      <c r="H424" s="32" t="n"/>
    </row>
    <row r="425">
      <c r="A425" t="inlineStr">
        <is>
          <t>PT12725</t>
        </is>
      </c>
      <c r="B425" t="inlineStr">
        <is>
          <t>Donna</t>
        </is>
      </c>
      <c r="C425" t="inlineStr">
        <is>
          <t>Patterson</t>
        </is>
      </c>
      <c r="D425" t="inlineStr">
        <is>
          <t>F</t>
        </is>
      </c>
      <c r="E425" s="30" t="n">
        <v>18880</v>
      </c>
      <c r="F425" s="31" t="n">
        <v>62.9</v>
      </c>
      <c r="G425" s="31" t="n">
        <v>150</v>
      </c>
      <c r="H425" s="32" t="n"/>
    </row>
    <row r="426">
      <c r="A426" t="inlineStr">
        <is>
          <t>PT12732</t>
        </is>
      </c>
      <c r="B426" t="inlineStr">
        <is>
          <t>Ahmed</t>
        </is>
      </c>
      <c r="C426" t="inlineStr">
        <is>
          <t>Mendez</t>
        </is>
      </c>
      <c r="D426" t="inlineStr">
        <is>
          <t>M</t>
        </is>
      </c>
      <c r="E426" s="30" t="n">
        <v>20957</v>
      </c>
      <c r="F426" s="31" t="n">
        <v>69.2</v>
      </c>
      <c r="G426" s="31" t="n">
        <v>189.7</v>
      </c>
      <c r="H426" s="32" t="n"/>
    </row>
    <row r="427">
      <c r="A427" t="inlineStr">
        <is>
          <t>PT12735</t>
        </is>
      </c>
      <c r="B427" t="inlineStr">
        <is>
          <t>Lori</t>
        </is>
      </c>
      <c r="C427" t="inlineStr">
        <is>
          <t>Snyder</t>
        </is>
      </c>
      <c r="D427" t="inlineStr">
        <is>
          <t>F</t>
        </is>
      </c>
      <c r="E427" s="30" t="n">
        <v>24505</v>
      </c>
      <c r="F427" s="31" t="n">
        <v>65</v>
      </c>
      <c r="G427" s="31" t="n">
        <v>143.2</v>
      </c>
      <c r="H427" s="32" t="n"/>
    </row>
    <row r="428">
      <c r="A428" t="inlineStr">
        <is>
          <t>PT12740</t>
        </is>
      </c>
      <c r="B428" t="inlineStr">
        <is>
          <t>Deborah</t>
        </is>
      </c>
      <c r="C428" t="inlineStr">
        <is>
          <t>Long</t>
        </is>
      </c>
      <c r="D428" t="inlineStr">
        <is>
          <t>F</t>
        </is>
      </c>
      <c r="E428" s="30" t="n">
        <v>27991</v>
      </c>
      <c r="F428" s="31" t="n">
        <v>58.7</v>
      </c>
      <c r="G428" s="31" t="n">
        <v>81</v>
      </c>
      <c r="H428" s="32" t="n"/>
    </row>
    <row r="429">
      <c r="A429" t="inlineStr">
        <is>
          <t>PT12748</t>
        </is>
      </c>
      <c r="B429" t="inlineStr">
        <is>
          <t>Amy</t>
        </is>
      </c>
      <c r="C429" t="inlineStr">
        <is>
          <t>Barnes</t>
        </is>
      </c>
      <c r="D429" t="inlineStr">
        <is>
          <t>F</t>
        </is>
      </c>
      <c r="E429" s="30" t="n">
        <v>36154</v>
      </c>
      <c r="F429" s="31" t="n">
        <v>62.6</v>
      </c>
      <c r="G429" s="31" t="n">
        <v>177</v>
      </c>
      <c r="H429" s="32" t="n"/>
    </row>
    <row r="430">
      <c r="A430" t="inlineStr">
        <is>
          <t>PT12749</t>
        </is>
      </c>
      <c r="B430" t="inlineStr">
        <is>
          <t>Emily</t>
        </is>
      </c>
      <c r="C430" t="inlineStr">
        <is>
          <t>Black</t>
        </is>
      </c>
      <c r="D430" t="inlineStr">
        <is>
          <t>F</t>
        </is>
      </c>
      <c r="E430" s="30" t="n">
        <v>19142</v>
      </c>
      <c r="F430" s="31" t="n">
        <v>62.3</v>
      </c>
      <c r="G430" s="31" t="n">
        <v>146.7</v>
      </c>
      <c r="H430" s="32" t="n"/>
    </row>
    <row r="431">
      <c r="A431" t="inlineStr">
        <is>
          <t>PT12770</t>
        </is>
      </c>
      <c r="B431" t="inlineStr">
        <is>
          <t>Heather</t>
        </is>
      </c>
      <c r="C431" t="inlineStr">
        <is>
          <t>Weaver</t>
        </is>
      </c>
      <c r="D431" t="inlineStr">
        <is>
          <t>F</t>
        </is>
      </c>
      <c r="E431" s="30" t="n">
        <v>38157</v>
      </c>
      <c r="F431" s="31" t="n">
        <v>61.5</v>
      </c>
      <c r="G431" s="31" t="n">
        <v>165.6</v>
      </c>
      <c r="H431" s="32" t="n"/>
    </row>
    <row r="432">
      <c r="A432" t="inlineStr">
        <is>
          <t>PT12774</t>
        </is>
      </c>
      <c r="B432" t="inlineStr">
        <is>
          <t>Ronald</t>
        </is>
      </c>
      <c r="C432" t="inlineStr">
        <is>
          <t>Wells</t>
        </is>
      </c>
      <c r="D432" t="inlineStr">
        <is>
          <t>M</t>
        </is>
      </c>
      <c r="E432" s="30" t="n">
        <v>27350</v>
      </c>
      <c r="F432" s="31" t="n">
        <v>70.7</v>
      </c>
      <c r="G432" s="31" t="n">
        <v>141.1</v>
      </c>
      <c r="H432" s="32" t="n"/>
    </row>
    <row r="433">
      <c r="A433" t="inlineStr">
        <is>
          <t>PT12787</t>
        </is>
      </c>
      <c r="B433" t="inlineStr">
        <is>
          <t>Joan</t>
        </is>
      </c>
      <c r="C433" t="inlineStr">
        <is>
          <t>Price</t>
        </is>
      </c>
      <c r="D433" t="inlineStr">
        <is>
          <t>F</t>
        </is>
      </c>
      <c r="E433" s="30" t="n">
        <v>28870</v>
      </c>
      <c r="F433" s="31" t="n">
        <v>62.9</v>
      </c>
      <c r="G433" s="31" t="n">
        <v>217.1</v>
      </c>
      <c r="H433" s="32" t="n"/>
    </row>
    <row r="434">
      <c r="A434" t="inlineStr">
        <is>
          <t>PT12802</t>
        </is>
      </c>
      <c r="B434" t="inlineStr">
        <is>
          <t>Diana</t>
        </is>
      </c>
      <c r="C434" t="inlineStr">
        <is>
          <t>Murphy</t>
        </is>
      </c>
      <c r="D434" t="inlineStr">
        <is>
          <t>F</t>
        </is>
      </c>
      <c r="E434" s="30" t="n">
        <v>31969</v>
      </c>
      <c r="F434" s="31" t="n">
        <v>62.7</v>
      </c>
      <c r="G434" s="31" t="n">
        <v>170.6</v>
      </c>
      <c r="H434" s="32" t="n"/>
    </row>
    <row r="435">
      <c r="A435" t="inlineStr">
        <is>
          <t>PT12818</t>
        </is>
      </c>
      <c r="B435" t="inlineStr">
        <is>
          <t>Edward</t>
        </is>
      </c>
      <c r="C435" t="inlineStr">
        <is>
          <t>Spencer</t>
        </is>
      </c>
      <c r="D435" t="inlineStr">
        <is>
          <t>M</t>
        </is>
      </c>
      <c r="E435" s="30" t="n">
        <v>18832</v>
      </c>
      <c r="F435" s="31" t="n">
        <v>67.09999999999999</v>
      </c>
      <c r="G435" s="31" t="n">
        <v>123.4</v>
      </c>
      <c r="H435" s="32" t="n"/>
    </row>
    <row r="436">
      <c r="A436" t="inlineStr">
        <is>
          <t>PT12822</t>
        </is>
      </c>
      <c r="B436" t="inlineStr">
        <is>
          <t>Albert</t>
        </is>
      </c>
      <c r="C436" t="inlineStr">
        <is>
          <t>Gutierrez</t>
        </is>
      </c>
      <c r="D436" t="inlineStr">
        <is>
          <t>M</t>
        </is>
      </c>
      <c r="E436" s="30" t="n">
        <v>35458</v>
      </c>
      <c r="F436" s="31" t="n">
        <v>68.8</v>
      </c>
      <c r="G436" s="31" t="n">
        <v>237.3</v>
      </c>
      <c r="H436" s="32" t="n"/>
    </row>
    <row r="437">
      <c r="A437" t="inlineStr">
        <is>
          <t>PT12824</t>
        </is>
      </c>
      <c r="B437" t="inlineStr">
        <is>
          <t>Carol</t>
        </is>
      </c>
      <c r="C437" t="inlineStr">
        <is>
          <t>Willis</t>
        </is>
      </c>
      <c r="D437" t="inlineStr">
        <is>
          <t>F</t>
        </is>
      </c>
      <c r="E437" s="30" t="n">
        <v>9635</v>
      </c>
      <c r="F437" s="31" t="n">
        <v>67.8</v>
      </c>
      <c r="G437" s="31" t="n">
        <v>160.9</v>
      </c>
      <c r="H437" s="32" t="n"/>
    </row>
    <row r="438">
      <c r="A438" t="inlineStr">
        <is>
          <t>PT12826</t>
        </is>
      </c>
      <c r="B438" t="inlineStr">
        <is>
          <t>Amber</t>
        </is>
      </c>
      <c r="C438" t="inlineStr">
        <is>
          <t>Chen</t>
        </is>
      </c>
      <c r="D438" t="inlineStr">
        <is>
          <t>F</t>
        </is>
      </c>
      <c r="E438" s="30" t="n">
        <v>18930</v>
      </c>
      <c r="F438" s="31" t="n">
        <v>63</v>
      </c>
      <c r="G438" s="31" t="n">
        <v>175.3</v>
      </c>
      <c r="H438" s="32" t="n"/>
    </row>
    <row r="439">
      <c r="A439" t="inlineStr">
        <is>
          <t>PT12829</t>
        </is>
      </c>
      <c r="B439" t="inlineStr">
        <is>
          <t>Amber</t>
        </is>
      </c>
      <c r="C439" t="inlineStr">
        <is>
          <t>Castillo</t>
        </is>
      </c>
      <c r="D439" t="inlineStr">
        <is>
          <t>F</t>
        </is>
      </c>
      <c r="E439" s="30" t="n">
        <v>25533</v>
      </c>
      <c r="F439" s="31" t="n">
        <v>62</v>
      </c>
      <c r="G439" s="31" t="n">
        <v>136.9</v>
      </c>
      <c r="H439" s="32" t="n"/>
    </row>
    <row r="440">
      <c r="A440" t="inlineStr">
        <is>
          <t>PT12851</t>
        </is>
      </c>
      <c r="B440" t="inlineStr">
        <is>
          <t>Robert</t>
        </is>
      </c>
      <c r="C440" t="inlineStr">
        <is>
          <t>Lopez</t>
        </is>
      </c>
      <c r="D440" t="inlineStr">
        <is>
          <t>M</t>
        </is>
      </c>
      <c r="E440" s="30" t="n">
        <v>13649</v>
      </c>
      <c r="F440" s="31" t="n">
        <v>69</v>
      </c>
      <c r="G440" s="31" t="n">
        <v>191.4</v>
      </c>
      <c r="H440" s="32" t="n"/>
    </row>
    <row r="441">
      <c r="A441" t="inlineStr">
        <is>
          <t>PT12858</t>
        </is>
      </c>
      <c r="B441" t="inlineStr">
        <is>
          <t>Linda</t>
        </is>
      </c>
      <c r="C441" t="inlineStr">
        <is>
          <t>Carpenter</t>
        </is>
      </c>
      <c r="D441" t="inlineStr">
        <is>
          <t>F</t>
        </is>
      </c>
      <c r="E441" s="30" t="n">
        <v>28281</v>
      </c>
      <c r="F441" s="31" t="n">
        <v>65.40000000000001</v>
      </c>
      <c r="G441" s="31" t="n">
        <v>160.2</v>
      </c>
      <c r="H441" s="32" t="n"/>
    </row>
    <row r="442">
      <c r="A442" t="inlineStr">
        <is>
          <t>PT12860</t>
        </is>
      </c>
      <c r="B442" t="inlineStr">
        <is>
          <t>Thomas</t>
        </is>
      </c>
      <c r="C442" t="inlineStr">
        <is>
          <t>Kelley</t>
        </is>
      </c>
      <c r="D442" t="inlineStr">
        <is>
          <t>M</t>
        </is>
      </c>
      <c r="E442" s="30" t="n">
        <v>23160</v>
      </c>
      <c r="F442" s="31" t="n">
        <v>70.2</v>
      </c>
      <c r="G442" s="31" t="n">
        <v>243</v>
      </c>
      <c r="H442" s="32" t="n"/>
    </row>
    <row r="443">
      <c r="A443" t="inlineStr">
        <is>
          <t>PT12867</t>
        </is>
      </c>
      <c r="B443" t="inlineStr">
        <is>
          <t>Henry</t>
        </is>
      </c>
      <c r="C443" t="inlineStr">
        <is>
          <t>Medina</t>
        </is>
      </c>
      <c r="D443" t="inlineStr">
        <is>
          <t>M</t>
        </is>
      </c>
      <c r="E443" s="30" t="n">
        <v>18937</v>
      </c>
      <c r="F443" s="31" t="n">
        <v>73.7</v>
      </c>
      <c r="G443" s="31" t="n">
        <v>267.3</v>
      </c>
      <c r="H443" s="32" t="n"/>
    </row>
    <row r="444">
      <c r="A444" t="inlineStr">
        <is>
          <t>PT12870</t>
        </is>
      </c>
      <c r="B444" t="inlineStr">
        <is>
          <t>Megan</t>
        </is>
      </c>
      <c r="C444" t="inlineStr">
        <is>
          <t>Hall</t>
        </is>
      </c>
      <c r="D444" t="inlineStr">
        <is>
          <t>F</t>
        </is>
      </c>
      <c r="E444" s="30" t="n">
        <v>12299</v>
      </c>
      <c r="F444" s="31" t="n">
        <v>61.9</v>
      </c>
      <c r="G444" s="31" t="n">
        <v>194.4</v>
      </c>
      <c r="H444" s="32" t="n"/>
    </row>
    <row r="445">
      <c r="A445" t="inlineStr">
        <is>
          <t>PT12872</t>
        </is>
      </c>
      <c r="B445" t="inlineStr">
        <is>
          <t>Samuel</t>
        </is>
      </c>
      <c r="C445" t="inlineStr">
        <is>
          <t>Peterson</t>
        </is>
      </c>
      <c r="D445" t="inlineStr">
        <is>
          <t>M</t>
        </is>
      </c>
      <c r="E445" s="30" t="n">
        <v>22825</v>
      </c>
      <c r="F445" s="31" t="n">
        <v>66.8</v>
      </c>
      <c r="G445" s="31" t="n">
        <v>254.1</v>
      </c>
      <c r="H445" s="32" t="n"/>
    </row>
    <row r="446">
      <c r="A446" t="inlineStr">
        <is>
          <t>PT12890</t>
        </is>
      </c>
      <c r="B446" t="inlineStr">
        <is>
          <t>Hannah</t>
        </is>
      </c>
      <c r="C446" t="inlineStr">
        <is>
          <t>Rodriguez</t>
        </is>
      </c>
      <c r="D446" t="inlineStr">
        <is>
          <t>F</t>
        </is>
      </c>
      <c r="E446" s="30" t="n">
        <v>11958</v>
      </c>
      <c r="F446" s="31" t="n">
        <v>60.8</v>
      </c>
      <c r="G446" s="31" t="n">
        <v>132.3</v>
      </c>
      <c r="H446" s="32" t="n"/>
    </row>
    <row r="447">
      <c r="A447" t="inlineStr">
        <is>
          <t>PT12891</t>
        </is>
      </c>
      <c r="B447" t="inlineStr">
        <is>
          <t>David</t>
        </is>
      </c>
      <c r="C447" t="inlineStr">
        <is>
          <t>Miller</t>
        </is>
      </c>
      <c r="D447" t="inlineStr">
        <is>
          <t>M</t>
        </is>
      </c>
      <c r="E447" s="30" t="n">
        <v>21670</v>
      </c>
      <c r="F447" s="31" t="n">
        <v>74.3</v>
      </c>
      <c r="G447" s="31" t="n">
        <v>206.7</v>
      </c>
      <c r="H447" s="32" t="n"/>
    </row>
    <row r="448">
      <c r="A448" t="inlineStr">
        <is>
          <t>PT12893</t>
        </is>
      </c>
      <c r="B448" t="inlineStr">
        <is>
          <t>Deborah</t>
        </is>
      </c>
      <c r="C448" t="inlineStr">
        <is>
          <t>Murphy</t>
        </is>
      </c>
      <c r="D448" t="inlineStr">
        <is>
          <t>F</t>
        </is>
      </c>
      <c r="E448" s="30" t="n">
        <v>27834</v>
      </c>
      <c r="F448" s="31" t="n">
        <v>66.09999999999999</v>
      </c>
      <c r="G448" s="31" t="n">
        <v>135.2</v>
      </c>
      <c r="H448" s="32" t="n"/>
    </row>
    <row r="449">
      <c r="A449" t="inlineStr">
        <is>
          <t>PT12896</t>
        </is>
      </c>
      <c r="B449" t="inlineStr">
        <is>
          <t>Natalie</t>
        </is>
      </c>
      <c r="C449" t="inlineStr">
        <is>
          <t>Rogers</t>
        </is>
      </c>
      <c r="D449" t="inlineStr">
        <is>
          <t>F</t>
        </is>
      </c>
      <c r="E449" s="30" t="n">
        <v>20925</v>
      </c>
      <c r="F449" s="31" t="n">
        <v>65.90000000000001</v>
      </c>
      <c r="G449" s="31" t="n">
        <v>220.2</v>
      </c>
      <c r="H449" s="32" t="n"/>
    </row>
    <row r="450">
      <c r="A450" t="inlineStr">
        <is>
          <t>PT12905</t>
        </is>
      </c>
      <c r="B450" t="inlineStr">
        <is>
          <t>Samantha</t>
        </is>
      </c>
      <c r="C450" t="inlineStr">
        <is>
          <t>Gray</t>
        </is>
      </c>
      <c r="D450" t="inlineStr">
        <is>
          <t>F</t>
        </is>
      </c>
      <c r="E450" s="30" t="n">
        <v>11130</v>
      </c>
      <c r="F450" s="31" t="n">
        <v>62.3</v>
      </c>
      <c r="G450" s="31" t="n">
        <v>147.7</v>
      </c>
      <c r="H450" s="32" t="n"/>
    </row>
    <row r="451">
      <c r="A451" t="inlineStr">
        <is>
          <t>PT12910</t>
        </is>
      </c>
      <c r="B451" t="inlineStr">
        <is>
          <t>Bryan</t>
        </is>
      </c>
      <c r="C451" t="inlineStr">
        <is>
          <t>Cox</t>
        </is>
      </c>
      <c r="D451" t="inlineStr">
        <is>
          <t>M</t>
        </is>
      </c>
      <c r="E451" s="30" t="n">
        <v>25691</v>
      </c>
      <c r="F451" s="31" t="n">
        <v>71.40000000000001</v>
      </c>
      <c r="G451" s="31" t="n">
        <v>163.3</v>
      </c>
      <c r="H451" s="32" t="n"/>
    </row>
    <row r="452">
      <c r="A452" t="inlineStr">
        <is>
          <t>PT12917</t>
        </is>
      </c>
      <c r="B452" t="inlineStr">
        <is>
          <t>Sara</t>
        </is>
      </c>
      <c r="C452" t="inlineStr">
        <is>
          <t>Bryant</t>
        </is>
      </c>
      <c r="D452" t="inlineStr">
        <is>
          <t>F</t>
        </is>
      </c>
      <c r="E452" s="30" t="n">
        <v>15921</v>
      </c>
      <c r="F452" s="31" t="n">
        <v>64</v>
      </c>
      <c r="G452" s="31" t="n">
        <v>201.4</v>
      </c>
      <c r="H452" s="32" t="n"/>
    </row>
    <row r="453">
      <c r="A453" t="inlineStr">
        <is>
          <t>PT12922</t>
        </is>
      </c>
      <c r="B453" t="inlineStr">
        <is>
          <t>Thomas</t>
        </is>
      </c>
      <c r="C453" t="inlineStr">
        <is>
          <t>Lewis</t>
        </is>
      </c>
      <c r="D453" t="inlineStr">
        <is>
          <t>M</t>
        </is>
      </c>
      <c r="E453" s="30" t="n">
        <v>17216</v>
      </c>
      <c r="F453" s="31" t="n">
        <v>66</v>
      </c>
      <c r="G453" s="31" t="n">
        <v>208.2</v>
      </c>
      <c r="H453" s="32" t="n"/>
    </row>
    <row r="454">
      <c r="A454" t="inlineStr">
        <is>
          <t>PT12929</t>
        </is>
      </c>
      <c r="B454" t="inlineStr">
        <is>
          <t>Brandon</t>
        </is>
      </c>
      <c r="C454" t="inlineStr">
        <is>
          <t>Jimenez</t>
        </is>
      </c>
      <c r="D454" t="inlineStr">
        <is>
          <t>M</t>
        </is>
      </c>
      <c r="E454" s="30" t="n">
        <v>25702</v>
      </c>
      <c r="F454" s="31" t="n">
        <v>70.2</v>
      </c>
      <c r="G454" s="31" t="n">
        <v>199.1</v>
      </c>
      <c r="H454" s="32" t="n"/>
    </row>
    <row r="455">
      <c r="A455" t="inlineStr">
        <is>
          <t>PT12933</t>
        </is>
      </c>
      <c r="B455" t="inlineStr">
        <is>
          <t>Randy</t>
        </is>
      </c>
      <c r="C455" t="inlineStr">
        <is>
          <t>Kelly</t>
        </is>
      </c>
      <c r="D455" t="inlineStr">
        <is>
          <t>M</t>
        </is>
      </c>
      <c r="E455" s="30" t="n">
        <v>18351</v>
      </c>
      <c r="F455" s="31" t="n">
        <v>72</v>
      </c>
      <c r="G455" s="31" t="n">
        <v>162.3</v>
      </c>
      <c r="H455" s="32" t="n"/>
    </row>
    <row r="456">
      <c r="A456" t="inlineStr">
        <is>
          <t>PT12938</t>
        </is>
      </c>
      <c r="B456" t="inlineStr">
        <is>
          <t>Gregory</t>
        </is>
      </c>
      <c r="C456" t="inlineStr">
        <is>
          <t>Washington</t>
        </is>
      </c>
      <c r="D456" t="inlineStr">
        <is>
          <t>M</t>
        </is>
      </c>
      <c r="E456" s="30" t="n">
        <v>18903</v>
      </c>
      <c r="F456" s="31" t="n">
        <v>67.40000000000001</v>
      </c>
      <c r="G456" s="31" t="n">
        <v>231.6</v>
      </c>
      <c r="H456" s="32" t="n"/>
    </row>
    <row r="457">
      <c r="A457" t="inlineStr">
        <is>
          <t>PT12945</t>
        </is>
      </c>
      <c r="B457" t="inlineStr">
        <is>
          <t>Virginia</t>
        </is>
      </c>
      <c r="C457" t="inlineStr">
        <is>
          <t>Delgado</t>
        </is>
      </c>
      <c r="D457" t="inlineStr">
        <is>
          <t>F</t>
        </is>
      </c>
      <c r="E457" s="30" t="n">
        <v>11450</v>
      </c>
      <c r="F457" s="31" t="n">
        <v>61</v>
      </c>
      <c r="G457" s="31" t="n">
        <v>203.9</v>
      </c>
      <c r="H457" s="32" t="n"/>
    </row>
    <row r="458">
      <c r="A458" t="inlineStr">
        <is>
          <t>PT12952</t>
        </is>
      </c>
      <c r="B458" t="inlineStr">
        <is>
          <t>Omar</t>
        </is>
      </c>
      <c r="C458" t="inlineStr">
        <is>
          <t>Taylor</t>
        </is>
      </c>
      <c r="D458" t="inlineStr">
        <is>
          <t>M</t>
        </is>
      </c>
      <c r="E458" s="30" t="n">
        <v>38390</v>
      </c>
      <c r="F458" s="31" t="n">
        <v>70.3</v>
      </c>
      <c r="G458" s="31" t="n">
        <v>205.1</v>
      </c>
      <c r="H458" s="32" t="n"/>
    </row>
    <row r="459">
      <c r="A459" t="inlineStr">
        <is>
          <t>PT12955</t>
        </is>
      </c>
      <c r="B459" t="inlineStr">
        <is>
          <t>Raymond</t>
        </is>
      </c>
      <c r="C459" t="inlineStr">
        <is>
          <t>Porter</t>
        </is>
      </c>
      <c r="D459" t="inlineStr">
        <is>
          <t>M</t>
        </is>
      </c>
      <c r="E459" s="30" t="n">
        <v>17334</v>
      </c>
      <c r="F459" s="31" t="n">
        <v>72</v>
      </c>
      <c r="G459" s="31" t="n">
        <v>152.1</v>
      </c>
      <c r="H459" s="32" t="n"/>
    </row>
    <row r="460">
      <c r="A460" t="inlineStr">
        <is>
          <t>PT12963</t>
        </is>
      </c>
      <c r="B460" t="inlineStr">
        <is>
          <t>Doris</t>
        </is>
      </c>
      <c r="C460" t="inlineStr">
        <is>
          <t>Perez</t>
        </is>
      </c>
      <c r="D460" t="inlineStr">
        <is>
          <t>F</t>
        </is>
      </c>
      <c r="E460" s="30" t="n">
        <v>12453</v>
      </c>
      <c r="F460" s="31" t="n">
        <v>64.90000000000001</v>
      </c>
      <c r="G460" s="31" t="n">
        <v>160.9</v>
      </c>
      <c r="H460" s="32" t="n"/>
    </row>
    <row r="461">
      <c r="A461" t="inlineStr">
        <is>
          <t>PT12976</t>
        </is>
      </c>
      <c r="B461" t="inlineStr">
        <is>
          <t>Larry</t>
        </is>
      </c>
      <c r="C461" t="inlineStr">
        <is>
          <t>Garza</t>
        </is>
      </c>
      <c r="D461" t="inlineStr">
        <is>
          <t>M</t>
        </is>
      </c>
      <c r="E461" s="30" t="n">
        <v>16808</v>
      </c>
      <c r="F461" s="31" t="n">
        <v>70</v>
      </c>
      <c r="G461" s="31" t="n">
        <v>162.5</v>
      </c>
      <c r="H461" s="32" t="n"/>
    </row>
    <row r="462">
      <c r="A462" t="inlineStr">
        <is>
          <t>PT12979</t>
        </is>
      </c>
      <c r="B462" t="inlineStr">
        <is>
          <t>Mateo</t>
        </is>
      </c>
      <c r="C462" t="inlineStr">
        <is>
          <t>Moreno</t>
        </is>
      </c>
      <c r="D462" t="inlineStr">
        <is>
          <t>M</t>
        </is>
      </c>
      <c r="E462" s="30" t="n">
        <v>27896</v>
      </c>
      <c r="F462" s="31" t="n">
        <v>64.09999999999999</v>
      </c>
      <c r="G462" s="31" t="n">
        <v>171.5</v>
      </c>
      <c r="H462" s="32" t="n"/>
    </row>
    <row r="463">
      <c r="A463" t="inlineStr">
        <is>
          <t>PT12982</t>
        </is>
      </c>
      <c r="B463" t="inlineStr">
        <is>
          <t>Angela</t>
        </is>
      </c>
      <c r="C463" t="inlineStr">
        <is>
          <t>Diaz</t>
        </is>
      </c>
      <c r="D463" t="inlineStr">
        <is>
          <t>F</t>
        </is>
      </c>
      <c r="E463" s="30" t="n">
        <v>18773</v>
      </c>
      <c r="F463" s="31" t="n">
        <v>65.59999999999999</v>
      </c>
      <c r="G463" s="31" t="n">
        <v>215.1</v>
      </c>
      <c r="H463" s="32" t="n"/>
    </row>
    <row r="464">
      <c r="A464" t="inlineStr">
        <is>
          <t>PT12983</t>
        </is>
      </c>
      <c r="B464" t="inlineStr">
        <is>
          <t>Nicholas</t>
        </is>
      </c>
      <c r="C464" t="inlineStr">
        <is>
          <t>Meyer</t>
        </is>
      </c>
      <c r="D464" t="inlineStr">
        <is>
          <t>M</t>
        </is>
      </c>
      <c r="E464" s="30" t="n">
        <v>18595</v>
      </c>
      <c r="F464" s="31" t="n">
        <v>68.09999999999999</v>
      </c>
      <c r="G464" s="31" t="n">
        <v>169.7</v>
      </c>
      <c r="H464" s="32" t="n"/>
    </row>
    <row r="465">
      <c r="A465" t="inlineStr">
        <is>
          <t>PT12984</t>
        </is>
      </c>
      <c r="B465" t="inlineStr">
        <is>
          <t>Liam</t>
        </is>
      </c>
      <c r="C465" t="inlineStr">
        <is>
          <t>Nguyen</t>
        </is>
      </c>
      <c r="D465" t="inlineStr">
        <is>
          <t>M</t>
        </is>
      </c>
      <c r="E465" s="30" t="n">
        <v>36931</v>
      </c>
      <c r="F465" s="31" t="n">
        <v>70.8</v>
      </c>
      <c r="G465" s="31" t="n">
        <v>240</v>
      </c>
      <c r="H465" s="32" t="n"/>
    </row>
    <row r="466">
      <c r="A466" t="inlineStr">
        <is>
          <t>PT12989</t>
        </is>
      </c>
      <c r="B466" t="inlineStr">
        <is>
          <t>Linda</t>
        </is>
      </c>
      <c r="C466" t="inlineStr">
        <is>
          <t>Arnold</t>
        </is>
      </c>
      <c r="D466" t="inlineStr">
        <is>
          <t>F</t>
        </is>
      </c>
      <c r="E466" s="30" t="n">
        <v>28521</v>
      </c>
      <c r="F466" s="31" t="n">
        <v>61.5</v>
      </c>
      <c r="G466" s="31" t="n">
        <v>184.9</v>
      </c>
      <c r="H466" s="32" t="n"/>
    </row>
    <row r="467">
      <c r="A467" t="inlineStr">
        <is>
          <t>PT12992</t>
        </is>
      </c>
      <c r="B467" t="inlineStr">
        <is>
          <t>Jerry</t>
        </is>
      </c>
      <c r="C467" t="inlineStr">
        <is>
          <t>Harrison</t>
        </is>
      </c>
      <c r="D467" t="inlineStr">
        <is>
          <t>M</t>
        </is>
      </c>
      <c r="E467" s="30" t="n">
        <v>25972</v>
      </c>
      <c r="F467" s="31" t="n">
        <v>68.7</v>
      </c>
      <c r="G467" s="31" t="n">
        <v>265.4</v>
      </c>
      <c r="H467" s="32" t="n"/>
    </row>
    <row r="468">
      <c r="A468" t="inlineStr">
        <is>
          <t>PT12998</t>
        </is>
      </c>
      <c r="B468" t="inlineStr">
        <is>
          <t>Joshua</t>
        </is>
      </c>
      <c r="C468" t="inlineStr">
        <is>
          <t>Griffin</t>
        </is>
      </c>
      <c r="D468" t="inlineStr">
        <is>
          <t>M</t>
        </is>
      </c>
      <c r="E468" s="30" t="n">
        <v>24708</v>
      </c>
      <c r="F468" s="31" t="n">
        <v>71.5</v>
      </c>
      <c r="G468" s="31" t="n">
        <v>237.9</v>
      </c>
      <c r="H468" s="32" t="n"/>
    </row>
    <row r="469">
      <c r="A469" t="inlineStr">
        <is>
          <t>PT13002</t>
        </is>
      </c>
      <c r="B469" t="inlineStr">
        <is>
          <t>Judy</t>
        </is>
      </c>
      <c r="C469" t="inlineStr">
        <is>
          <t>Ward</t>
        </is>
      </c>
      <c r="D469" t="inlineStr">
        <is>
          <t>F</t>
        </is>
      </c>
      <c r="E469" s="30" t="n">
        <v>29687</v>
      </c>
      <c r="F469" s="31" t="n">
        <v>65.8</v>
      </c>
      <c r="G469" s="31" t="n">
        <v>169.7</v>
      </c>
      <c r="H469" s="32" t="n"/>
    </row>
    <row r="470">
      <c r="A470" t="inlineStr">
        <is>
          <t>PT13008</t>
        </is>
      </c>
      <c r="B470" t="inlineStr">
        <is>
          <t>Jason</t>
        </is>
      </c>
      <c r="C470" t="inlineStr">
        <is>
          <t>Torres</t>
        </is>
      </c>
      <c r="D470" t="inlineStr">
        <is>
          <t>M</t>
        </is>
      </c>
      <c r="E470" s="30" t="n">
        <v>24244</v>
      </c>
      <c r="F470" s="31" t="n">
        <v>67.59999999999999</v>
      </c>
      <c r="G470" s="31" t="n">
        <v>131.9</v>
      </c>
      <c r="H470" s="32" t="n"/>
    </row>
    <row r="471">
      <c r="A471" t="inlineStr">
        <is>
          <t>PT13009</t>
        </is>
      </c>
      <c r="B471" t="inlineStr">
        <is>
          <t>Steven</t>
        </is>
      </c>
      <c r="C471" t="inlineStr">
        <is>
          <t>Arnold</t>
        </is>
      </c>
      <c r="D471" t="inlineStr">
        <is>
          <t>M</t>
        </is>
      </c>
      <c r="E471" s="30" t="n">
        <v>25103</v>
      </c>
      <c r="F471" s="31" t="n">
        <v>71.2</v>
      </c>
      <c r="G471" s="31" t="n">
        <v>206.3</v>
      </c>
      <c r="H471" s="32" t="n"/>
    </row>
    <row r="472">
      <c r="A472" t="inlineStr">
        <is>
          <t>PT13012</t>
        </is>
      </c>
      <c r="B472" t="inlineStr">
        <is>
          <t>Katherine</t>
        </is>
      </c>
      <c r="C472" t="inlineStr">
        <is>
          <t>Grant</t>
        </is>
      </c>
      <c r="D472" t="inlineStr">
        <is>
          <t>F</t>
        </is>
      </c>
      <c r="E472" s="30" t="n">
        <v>38049</v>
      </c>
      <c r="F472" s="31" t="n">
        <v>61.8</v>
      </c>
      <c r="G472" s="31" t="n">
        <v>89.59999999999999</v>
      </c>
      <c r="H472" s="32" t="n"/>
    </row>
    <row r="473">
      <c r="A473" t="inlineStr">
        <is>
          <t>PT13031</t>
        </is>
      </c>
      <c r="B473" t="inlineStr">
        <is>
          <t>Samantha</t>
        </is>
      </c>
      <c r="C473" t="inlineStr">
        <is>
          <t>Mendoza</t>
        </is>
      </c>
      <c r="D473" t="inlineStr">
        <is>
          <t>F</t>
        </is>
      </c>
      <c r="E473" s="30" t="n">
        <v>35100</v>
      </c>
      <c r="F473" s="31" t="n">
        <v>65.59999999999999</v>
      </c>
      <c r="G473" s="31" t="n">
        <v>167.7</v>
      </c>
      <c r="H473" s="32" t="n"/>
    </row>
    <row r="474">
      <c r="A474" t="inlineStr">
        <is>
          <t>PT13035</t>
        </is>
      </c>
      <c r="B474" t="inlineStr">
        <is>
          <t>Camila</t>
        </is>
      </c>
      <c r="C474" t="inlineStr">
        <is>
          <t>Graham</t>
        </is>
      </c>
      <c r="D474" t="inlineStr">
        <is>
          <t>F</t>
        </is>
      </c>
      <c r="E474" s="30" t="n">
        <v>28690</v>
      </c>
      <c r="F474" s="31" t="n">
        <v>64.59999999999999</v>
      </c>
      <c r="G474" s="31" t="n">
        <v>149.9</v>
      </c>
      <c r="H474" s="32" t="n"/>
    </row>
    <row r="475">
      <c r="A475" t="inlineStr">
        <is>
          <t>PT13042</t>
        </is>
      </c>
      <c r="B475" t="inlineStr">
        <is>
          <t>Abigail</t>
        </is>
      </c>
      <c r="C475" t="inlineStr">
        <is>
          <t>Castro</t>
        </is>
      </c>
      <c r="D475" t="inlineStr">
        <is>
          <t>F</t>
        </is>
      </c>
      <c r="E475" s="30" t="n">
        <v>33264</v>
      </c>
      <c r="F475" s="31" t="n">
        <v>65.5</v>
      </c>
      <c r="G475" s="31" t="n">
        <v>141.2</v>
      </c>
      <c r="H475" s="32" t="n"/>
    </row>
    <row r="476">
      <c r="A476" t="inlineStr">
        <is>
          <t>PT13090</t>
        </is>
      </c>
      <c r="B476" t="inlineStr">
        <is>
          <t>Peter</t>
        </is>
      </c>
      <c r="C476" t="inlineStr">
        <is>
          <t>Ray</t>
        </is>
      </c>
      <c r="D476" t="inlineStr">
        <is>
          <t>M</t>
        </is>
      </c>
      <c r="E476" s="30" t="n">
        <v>17875</v>
      </c>
      <c r="F476" s="31" t="n">
        <v>65</v>
      </c>
      <c r="G476" s="31" t="n">
        <v>168.5</v>
      </c>
      <c r="H476" s="32" t="n"/>
    </row>
    <row r="477">
      <c r="A477" t="inlineStr">
        <is>
          <t>PT13107</t>
        </is>
      </c>
      <c r="B477" t="inlineStr">
        <is>
          <t>Mateo</t>
        </is>
      </c>
      <c r="C477" t="inlineStr">
        <is>
          <t>Phillips</t>
        </is>
      </c>
      <c r="D477" t="inlineStr">
        <is>
          <t>M</t>
        </is>
      </c>
      <c r="E477" s="30" t="n">
        <v>36188</v>
      </c>
      <c r="F477" s="31" t="n">
        <v>67.8</v>
      </c>
      <c r="G477" s="31" t="n">
        <v>201.7</v>
      </c>
      <c r="H477" s="32" t="n"/>
    </row>
    <row r="478">
      <c r="A478" t="inlineStr">
        <is>
          <t>PT13110</t>
        </is>
      </c>
      <c r="B478" t="inlineStr">
        <is>
          <t>Linda</t>
        </is>
      </c>
      <c r="C478" t="inlineStr">
        <is>
          <t>Nelson</t>
        </is>
      </c>
      <c r="D478" t="inlineStr">
        <is>
          <t>F</t>
        </is>
      </c>
      <c r="E478" s="30" t="n">
        <v>20800</v>
      </c>
      <c r="F478" s="31" t="n">
        <v>64.2</v>
      </c>
      <c r="G478" s="31" t="n">
        <v>183.6</v>
      </c>
      <c r="H478" s="32" t="n"/>
    </row>
    <row r="479">
      <c r="A479" t="inlineStr">
        <is>
          <t>PT13116</t>
        </is>
      </c>
      <c r="B479" t="inlineStr">
        <is>
          <t>Frank</t>
        </is>
      </c>
      <c r="C479" t="inlineStr">
        <is>
          <t>Hill</t>
        </is>
      </c>
      <c r="D479" t="inlineStr">
        <is>
          <t>M</t>
        </is>
      </c>
      <c r="E479" s="30" t="n">
        <v>19234</v>
      </c>
      <c r="F479" s="31" t="n">
        <v>73.90000000000001</v>
      </c>
      <c r="G479" s="31" t="n">
        <v>185.4</v>
      </c>
      <c r="H479" s="32" t="n"/>
    </row>
    <row r="480">
      <c r="A480" t="inlineStr">
        <is>
          <t>PT13126</t>
        </is>
      </c>
      <c r="B480" t="inlineStr">
        <is>
          <t>Mark</t>
        </is>
      </c>
      <c r="C480" t="inlineStr">
        <is>
          <t>Perez</t>
        </is>
      </c>
      <c r="D480" t="inlineStr">
        <is>
          <t>M</t>
        </is>
      </c>
      <c r="E480" s="30" t="n">
        <v>28970</v>
      </c>
      <c r="F480" s="31" t="n">
        <v>68.2</v>
      </c>
      <c r="G480" s="31" t="n">
        <v>185.8</v>
      </c>
      <c r="H480" s="32" t="n"/>
    </row>
    <row r="481">
      <c r="A481" t="inlineStr">
        <is>
          <t>PT13134</t>
        </is>
      </c>
      <c r="B481" t="inlineStr">
        <is>
          <t>Rosa</t>
        </is>
      </c>
      <c r="C481" t="inlineStr">
        <is>
          <t>Baker</t>
        </is>
      </c>
      <c r="D481" t="inlineStr">
        <is>
          <t>F</t>
        </is>
      </c>
      <c r="E481" s="30" t="n">
        <v>25370</v>
      </c>
      <c r="F481" s="31" t="n">
        <v>65.3</v>
      </c>
      <c r="G481" s="31" t="n">
        <v>207.1</v>
      </c>
      <c r="H481" s="32" t="n"/>
    </row>
    <row r="482">
      <c r="A482" t="inlineStr">
        <is>
          <t>PT13135</t>
        </is>
      </c>
      <c r="B482" t="inlineStr">
        <is>
          <t>Mason</t>
        </is>
      </c>
      <c r="C482" t="inlineStr">
        <is>
          <t>Garza</t>
        </is>
      </c>
      <c r="D482" t="inlineStr">
        <is>
          <t>M</t>
        </is>
      </c>
      <c r="E482" s="30" t="n">
        <v>37215</v>
      </c>
      <c r="F482" s="31" t="n">
        <v>70.3</v>
      </c>
      <c r="G482" s="31" t="n">
        <v>253.4</v>
      </c>
      <c r="H482" s="32" t="n"/>
    </row>
    <row r="483">
      <c r="A483" t="inlineStr">
        <is>
          <t>PT13136</t>
        </is>
      </c>
      <c r="B483" t="inlineStr">
        <is>
          <t>Betty</t>
        </is>
      </c>
      <c r="C483" t="inlineStr">
        <is>
          <t>Hill</t>
        </is>
      </c>
      <c r="D483" t="inlineStr">
        <is>
          <t>F</t>
        </is>
      </c>
      <c r="E483" s="30" t="n">
        <v>20671</v>
      </c>
      <c r="F483" s="31" t="n">
        <v>63.1</v>
      </c>
      <c r="G483" s="31" t="n">
        <v>144.6</v>
      </c>
      <c r="H483" s="32" t="n"/>
    </row>
    <row r="484">
      <c r="A484" t="inlineStr">
        <is>
          <t>PT13144</t>
        </is>
      </c>
      <c r="B484" t="inlineStr">
        <is>
          <t>Jesse</t>
        </is>
      </c>
      <c r="C484" t="inlineStr">
        <is>
          <t>Delgado</t>
        </is>
      </c>
      <c r="D484" t="inlineStr">
        <is>
          <t>M</t>
        </is>
      </c>
      <c r="E484" s="30" t="n">
        <v>38162</v>
      </c>
      <c r="F484" s="31" t="n">
        <v>70.59999999999999</v>
      </c>
      <c r="G484" s="31" t="n">
        <v>226.7</v>
      </c>
      <c r="H484" s="32" t="n"/>
    </row>
    <row r="485">
      <c r="A485" t="inlineStr">
        <is>
          <t>PT13148</t>
        </is>
      </c>
      <c r="B485" t="inlineStr">
        <is>
          <t>Madison</t>
        </is>
      </c>
      <c r="C485" t="inlineStr">
        <is>
          <t>Medina</t>
        </is>
      </c>
      <c r="D485" t="inlineStr">
        <is>
          <t>F</t>
        </is>
      </c>
      <c r="E485" s="30" t="n">
        <v>32941</v>
      </c>
      <c r="F485" s="31" t="n">
        <v>67.40000000000001</v>
      </c>
      <c r="G485" s="31" t="n">
        <v>148.3</v>
      </c>
      <c r="H485" s="32" t="n"/>
    </row>
    <row r="486">
      <c r="A486" t="inlineStr">
        <is>
          <t>PT13149</t>
        </is>
      </c>
      <c r="B486" t="inlineStr">
        <is>
          <t>Amina</t>
        </is>
      </c>
      <c r="C486" t="inlineStr">
        <is>
          <t>Armstrong</t>
        </is>
      </c>
      <c r="D486" t="inlineStr">
        <is>
          <t>F</t>
        </is>
      </c>
      <c r="E486" s="30" t="n">
        <v>17606</v>
      </c>
      <c r="F486" s="31" t="n">
        <v>68.3</v>
      </c>
      <c r="G486" s="31" t="n">
        <v>112.2</v>
      </c>
      <c r="H486" s="32" t="n"/>
    </row>
    <row r="487">
      <c r="A487" t="inlineStr">
        <is>
          <t>PT13158</t>
        </is>
      </c>
      <c r="B487" t="inlineStr">
        <is>
          <t>Ralph</t>
        </is>
      </c>
      <c r="C487" t="inlineStr">
        <is>
          <t>Berry</t>
        </is>
      </c>
      <c r="D487" t="inlineStr">
        <is>
          <t>M</t>
        </is>
      </c>
      <c r="E487" s="30" t="n">
        <v>28459</v>
      </c>
      <c r="F487" s="31" t="n">
        <v>72</v>
      </c>
      <c r="G487" s="31" t="n">
        <v>180.7</v>
      </c>
      <c r="H487" s="32" t="n"/>
    </row>
    <row r="488">
      <c r="A488" t="inlineStr">
        <is>
          <t>PT13168</t>
        </is>
      </c>
      <c r="B488" t="inlineStr">
        <is>
          <t>Emily</t>
        </is>
      </c>
      <c r="C488" t="inlineStr">
        <is>
          <t>Gomez</t>
        </is>
      </c>
      <c r="D488" t="inlineStr">
        <is>
          <t>F</t>
        </is>
      </c>
      <c r="E488" s="30" t="n">
        <v>12763</v>
      </c>
      <c r="F488" s="31" t="n">
        <v>61.3</v>
      </c>
      <c r="G488" s="31" t="n">
        <v>153.6</v>
      </c>
      <c r="H488" s="32" t="n"/>
    </row>
    <row r="489">
      <c r="A489" t="inlineStr">
        <is>
          <t>PT13177</t>
        </is>
      </c>
      <c r="B489" t="inlineStr">
        <is>
          <t>Roger</t>
        </is>
      </c>
      <c r="C489" t="inlineStr">
        <is>
          <t>Riley</t>
        </is>
      </c>
      <c r="D489" t="inlineStr">
        <is>
          <t>M</t>
        </is>
      </c>
      <c r="E489" s="30" t="n">
        <v>21188</v>
      </c>
      <c r="F489" s="31" t="n">
        <v>72.3</v>
      </c>
      <c r="G489" s="31" t="n">
        <v>242.8</v>
      </c>
      <c r="H489" s="32" t="n"/>
    </row>
    <row r="490">
      <c r="A490" t="inlineStr">
        <is>
          <t>PT13179</t>
        </is>
      </c>
      <c r="B490" t="inlineStr">
        <is>
          <t>Christian</t>
        </is>
      </c>
      <c r="C490" t="inlineStr">
        <is>
          <t>Palmer</t>
        </is>
      </c>
      <c r="D490" t="inlineStr">
        <is>
          <t>M</t>
        </is>
      </c>
      <c r="E490" s="30" t="n">
        <v>29862</v>
      </c>
      <c r="F490" s="31" t="n">
        <v>68.2</v>
      </c>
      <c r="G490" s="31" t="n">
        <v>140</v>
      </c>
      <c r="H490" s="32" t="n"/>
    </row>
    <row r="491">
      <c r="A491" t="inlineStr">
        <is>
          <t>PT13181</t>
        </is>
      </c>
      <c r="B491" t="inlineStr">
        <is>
          <t>Deborah</t>
        </is>
      </c>
      <c r="C491" t="inlineStr">
        <is>
          <t>Webb</t>
        </is>
      </c>
      <c r="D491" t="inlineStr">
        <is>
          <t>F</t>
        </is>
      </c>
      <c r="E491" s="30" t="n">
        <v>14469</v>
      </c>
      <c r="F491" s="31" t="n">
        <v>67.5</v>
      </c>
      <c r="G491" s="31" t="n">
        <v>136.6</v>
      </c>
      <c r="H491" s="32" t="n"/>
    </row>
    <row r="492">
      <c r="A492" t="inlineStr">
        <is>
          <t>PT13215</t>
        </is>
      </c>
      <c r="B492" t="inlineStr">
        <is>
          <t>Rosa</t>
        </is>
      </c>
      <c r="C492" t="inlineStr">
        <is>
          <t>Richardson</t>
        </is>
      </c>
      <c r="D492" t="inlineStr">
        <is>
          <t>F</t>
        </is>
      </c>
      <c r="E492" s="30" t="n">
        <v>21450</v>
      </c>
      <c r="F492" s="31" t="n">
        <v>62.2</v>
      </c>
      <c r="G492" s="31" t="n">
        <v>156.3</v>
      </c>
      <c r="H492" s="32" t="n"/>
    </row>
    <row r="493">
      <c r="A493" t="inlineStr">
        <is>
          <t>PT13217</t>
        </is>
      </c>
      <c r="B493" t="inlineStr">
        <is>
          <t>David</t>
        </is>
      </c>
      <c r="C493" t="inlineStr">
        <is>
          <t>Morris</t>
        </is>
      </c>
      <c r="D493" t="inlineStr">
        <is>
          <t>M</t>
        </is>
      </c>
      <c r="E493" s="30" t="n">
        <v>28318</v>
      </c>
      <c r="F493" s="31" t="n">
        <v>69.2</v>
      </c>
      <c r="G493" s="31" t="n">
        <v>217.3</v>
      </c>
      <c r="H493" s="32" t="n"/>
    </row>
    <row r="494">
      <c r="A494" t="inlineStr">
        <is>
          <t>PT13218</t>
        </is>
      </c>
      <c r="B494" t="inlineStr">
        <is>
          <t>Amber</t>
        </is>
      </c>
      <c r="C494" t="inlineStr">
        <is>
          <t>Stewart</t>
        </is>
      </c>
      <c r="D494" t="inlineStr">
        <is>
          <t>F</t>
        </is>
      </c>
      <c r="E494" s="30" t="n">
        <v>36082</v>
      </c>
      <c r="F494" s="31" t="n">
        <v>63.7</v>
      </c>
      <c r="G494" s="31" t="n">
        <v>245.9</v>
      </c>
      <c r="H494" s="32" t="n"/>
    </row>
    <row r="495">
      <c r="A495" t="inlineStr">
        <is>
          <t>PT13234</t>
        </is>
      </c>
      <c r="B495" t="inlineStr">
        <is>
          <t>Mason</t>
        </is>
      </c>
      <c r="C495" t="inlineStr">
        <is>
          <t>Berry</t>
        </is>
      </c>
      <c r="D495" t="inlineStr">
        <is>
          <t>M</t>
        </is>
      </c>
      <c r="E495" s="30" t="n">
        <v>17593</v>
      </c>
      <c r="F495" s="31" t="n">
        <v>69</v>
      </c>
      <c r="G495" s="31" t="n">
        <v>213.2</v>
      </c>
      <c r="H495" s="32" t="n"/>
    </row>
    <row r="496">
      <c r="A496" t="inlineStr">
        <is>
          <t>PT13237</t>
        </is>
      </c>
      <c r="B496" t="inlineStr">
        <is>
          <t>Diana</t>
        </is>
      </c>
      <c r="C496" t="inlineStr">
        <is>
          <t>Lindqvist</t>
        </is>
      </c>
      <c r="D496" t="inlineStr">
        <is>
          <t>F</t>
        </is>
      </c>
      <c r="E496" s="30" t="n">
        <v>15007</v>
      </c>
      <c r="F496" s="31" t="n">
        <v>67.09999999999999</v>
      </c>
      <c r="G496" s="31" t="n">
        <v>215.6</v>
      </c>
      <c r="H496" s="32" t="n"/>
    </row>
    <row r="497">
      <c r="A497" t="inlineStr">
        <is>
          <t>PT13245</t>
        </is>
      </c>
      <c r="B497" t="inlineStr">
        <is>
          <t>Brittany</t>
        </is>
      </c>
      <c r="C497" t="inlineStr">
        <is>
          <t>Lopez</t>
        </is>
      </c>
      <c r="D497" t="inlineStr">
        <is>
          <t>F</t>
        </is>
      </c>
      <c r="E497" s="30" t="n">
        <v>12474</v>
      </c>
      <c r="F497" s="31" t="n">
        <v>65.40000000000001</v>
      </c>
      <c r="G497" s="31" t="n">
        <v>204.9</v>
      </c>
      <c r="H497" s="32" t="n"/>
    </row>
    <row r="498">
      <c r="A498" t="inlineStr">
        <is>
          <t>PT13249</t>
        </is>
      </c>
      <c r="B498" t="inlineStr">
        <is>
          <t>Madison</t>
        </is>
      </c>
      <c r="C498" t="inlineStr">
        <is>
          <t>Tucker</t>
        </is>
      </c>
      <c r="D498" t="inlineStr">
        <is>
          <t>F</t>
        </is>
      </c>
      <c r="E498" s="30" t="n">
        <v>19913</v>
      </c>
      <c r="F498" s="31" t="n">
        <v>65.90000000000001</v>
      </c>
      <c r="G498" s="31" t="n">
        <v>101.9</v>
      </c>
      <c r="H498" s="32" t="n"/>
    </row>
    <row r="499">
      <c r="A499" t="inlineStr">
        <is>
          <t>PT13259</t>
        </is>
      </c>
      <c r="B499" t="inlineStr">
        <is>
          <t>Michelle</t>
        </is>
      </c>
      <c r="C499" t="inlineStr">
        <is>
          <t>Brooks</t>
        </is>
      </c>
      <c r="D499" t="inlineStr">
        <is>
          <t>F</t>
        </is>
      </c>
      <c r="E499" s="30" t="n">
        <v>37370</v>
      </c>
      <c r="F499" s="31" t="n">
        <v>62.1</v>
      </c>
      <c r="G499" s="31" t="n">
        <v>145.8</v>
      </c>
      <c r="H499" s="32" t="n"/>
    </row>
    <row r="500">
      <c r="A500" t="inlineStr">
        <is>
          <t>PT13261</t>
        </is>
      </c>
      <c r="B500" t="inlineStr">
        <is>
          <t>Betty</t>
        </is>
      </c>
      <c r="C500" t="inlineStr">
        <is>
          <t>Matthews</t>
        </is>
      </c>
      <c r="D500" t="inlineStr">
        <is>
          <t>F</t>
        </is>
      </c>
      <c r="E500" s="30" t="n">
        <v>21628</v>
      </c>
      <c r="F500" s="31" t="n">
        <v>64.90000000000001</v>
      </c>
      <c r="G500" s="31" t="n">
        <v>167.4</v>
      </c>
      <c r="H500" s="32" t="n"/>
    </row>
    <row r="501">
      <c r="A501" t="inlineStr">
        <is>
          <t>PT13268</t>
        </is>
      </c>
      <c r="B501" t="inlineStr">
        <is>
          <t>Brandon</t>
        </is>
      </c>
      <c r="C501" t="inlineStr">
        <is>
          <t>Rodriguez</t>
        </is>
      </c>
      <c r="D501" t="inlineStr">
        <is>
          <t>M</t>
        </is>
      </c>
      <c r="E501" s="30" t="n">
        <v>26396</v>
      </c>
      <c r="F501" s="31" t="n">
        <v>69.3</v>
      </c>
      <c r="G501" s="31" t="n">
        <v>139</v>
      </c>
      <c r="H501" s="32" t="n"/>
    </row>
    <row r="502">
      <c r="A502" t="inlineStr">
        <is>
          <t>PT13269</t>
        </is>
      </c>
      <c r="B502" t="inlineStr">
        <is>
          <t>Lauren</t>
        </is>
      </c>
      <c r="C502" t="inlineStr">
        <is>
          <t>Crawford</t>
        </is>
      </c>
      <c r="D502" t="inlineStr">
        <is>
          <t>F</t>
        </is>
      </c>
      <c r="E502" s="30" t="n">
        <v>25650</v>
      </c>
      <c r="F502" s="31" t="n">
        <v>66.3</v>
      </c>
      <c r="G502" s="31" t="n">
        <v>178.2</v>
      </c>
      <c r="H502" s="32" t="n"/>
    </row>
    <row r="503">
      <c r="A503" t="inlineStr">
        <is>
          <t>PT13277</t>
        </is>
      </c>
      <c r="B503" t="inlineStr">
        <is>
          <t>Patrick</t>
        </is>
      </c>
      <c r="C503" t="inlineStr">
        <is>
          <t>Kowalski</t>
        </is>
      </c>
      <c r="D503" t="inlineStr">
        <is>
          <t>M</t>
        </is>
      </c>
      <c r="E503" s="30" t="n">
        <v>28397</v>
      </c>
      <c r="F503" s="31" t="n">
        <v>74.5</v>
      </c>
      <c r="G503" s="31" t="n">
        <v>297.2</v>
      </c>
      <c r="H503" s="32" t="n"/>
    </row>
    <row r="504">
      <c r="A504" t="inlineStr">
        <is>
          <t>PT13280</t>
        </is>
      </c>
      <c r="B504" t="inlineStr">
        <is>
          <t>George</t>
        </is>
      </c>
      <c r="C504" t="inlineStr">
        <is>
          <t>Torres</t>
        </is>
      </c>
      <c r="D504" t="inlineStr">
        <is>
          <t>M</t>
        </is>
      </c>
      <c r="E504" s="30" t="n">
        <v>33939</v>
      </c>
      <c r="F504" s="31" t="n">
        <v>68.3</v>
      </c>
      <c r="G504" s="31" t="n">
        <v>224.8</v>
      </c>
      <c r="H504" s="32" t="n"/>
    </row>
    <row r="505">
      <c r="A505" t="inlineStr">
        <is>
          <t>PT13304</t>
        </is>
      </c>
      <c r="B505" t="inlineStr">
        <is>
          <t>Elijah</t>
        </is>
      </c>
      <c r="C505" t="inlineStr">
        <is>
          <t>Gordon</t>
        </is>
      </c>
      <c r="D505" t="inlineStr">
        <is>
          <t>M</t>
        </is>
      </c>
      <c r="E505" s="30" t="n">
        <v>29903</v>
      </c>
      <c r="F505" s="31" t="n">
        <v>71.2</v>
      </c>
      <c r="G505" s="31" t="n">
        <v>258</v>
      </c>
      <c r="H505" s="32" t="n"/>
    </row>
    <row r="506">
      <c r="A506" t="inlineStr">
        <is>
          <t>PT13305</t>
        </is>
      </c>
      <c r="B506" t="inlineStr">
        <is>
          <t>Gregory</t>
        </is>
      </c>
      <c r="C506" t="inlineStr">
        <is>
          <t>Gray</t>
        </is>
      </c>
      <c r="D506" t="inlineStr">
        <is>
          <t>M</t>
        </is>
      </c>
      <c r="E506" s="30" t="n">
        <v>34579</v>
      </c>
      <c r="F506" s="31" t="n">
        <v>73.90000000000001</v>
      </c>
      <c r="G506" s="31" t="n">
        <v>360.6</v>
      </c>
      <c r="H506" s="32" t="n"/>
    </row>
    <row r="507">
      <c r="A507" t="inlineStr">
        <is>
          <t>PT13306</t>
        </is>
      </c>
      <c r="B507" t="inlineStr">
        <is>
          <t>Noah</t>
        </is>
      </c>
      <c r="C507" t="inlineStr">
        <is>
          <t>Kowalski</t>
        </is>
      </c>
      <c r="D507" t="inlineStr">
        <is>
          <t>M</t>
        </is>
      </c>
      <c r="E507" s="30" t="n">
        <v>24741</v>
      </c>
      <c r="F507" s="31" t="n">
        <v>71.90000000000001</v>
      </c>
      <c r="G507" s="31" t="n">
        <v>206</v>
      </c>
      <c r="H507" s="32" t="n"/>
    </row>
    <row r="508">
      <c r="A508" t="inlineStr">
        <is>
          <t>PT13309</t>
        </is>
      </c>
      <c r="B508" t="inlineStr">
        <is>
          <t>Mary</t>
        </is>
      </c>
      <c r="C508" t="inlineStr">
        <is>
          <t>Allen</t>
        </is>
      </c>
      <c r="D508" t="inlineStr">
        <is>
          <t>F</t>
        </is>
      </c>
      <c r="E508" s="30" t="n">
        <v>15383</v>
      </c>
      <c r="F508" s="31" t="n">
        <v>67.8</v>
      </c>
      <c r="G508" s="31" t="n">
        <v>171.7</v>
      </c>
      <c r="H508" s="32" t="n"/>
    </row>
    <row r="509">
      <c r="A509" t="inlineStr">
        <is>
          <t>PT13310</t>
        </is>
      </c>
      <c r="B509" t="inlineStr">
        <is>
          <t>Natalie</t>
        </is>
      </c>
      <c r="C509" t="inlineStr">
        <is>
          <t>Sandoval</t>
        </is>
      </c>
      <c r="D509" t="inlineStr">
        <is>
          <t>F</t>
        </is>
      </c>
      <c r="E509" s="30" t="n">
        <v>17897</v>
      </c>
      <c r="F509" s="31" t="n">
        <v>60.3</v>
      </c>
      <c r="G509" s="31" t="n">
        <v>181.1</v>
      </c>
      <c r="H509" s="32" t="n"/>
    </row>
    <row r="510">
      <c r="A510" t="inlineStr">
        <is>
          <t>PT13311</t>
        </is>
      </c>
      <c r="B510" t="inlineStr">
        <is>
          <t>Austin</t>
        </is>
      </c>
      <c r="C510" t="inlineStr">
        <is>
          <t>Dunn</t>
        </is>
      </c>
      <c r="D510" t="inlineStr">
        <is>
          <t>M</t>
        </is>
      </c>
      <c r="E510" s="30" t="n">
        <v>23647</v>
      </c>
      <c r="F510" s="31" t="n">
        <v>62.7</v>
      </c>
      <c r="G510" s="31" t="n">
        <v>98.09999999999999</v>
      </c>
      <c r="H510" s="32" t="n"/>
    </row>
    <row r="511">
      <c r="A511" t="inlineStr">
        <is>
          <t>PT13323</t>
        </is>
      </c>
      <c r="B511" t="inlineStr">
        <is>
          <t>Natalie</t>
        </is>
      </c>
      <c r="C511" t="inlineStr">
        <is>
          <t>Crawford</t>
        </is>
      </c>
      <c r="D511" t="inlineStr">
        <is>
          <t>F</t>
        </is>
      </c>
      <c r="E511" s="30" t="n">
        <v>26684</v>
      </c>
      <c r="F511" s="31" t="n">
        <v>63.1</v>
      </c>
      <c r="G511" s="31" t="n">
        <v>213.8</v>
      </c>
      <c r="H511" s="32" t="n"/>
    </row>
    <row r="512">
      <c r="A512" t="inlineStr">
        <is>
          <t>PT13324</t>
        </is>
      </c>
      <c r="B512" t="inlineStr">
        <is>
          <t>Walter</t>
        </is>
      </c>
      <c r="C512" t="inlineStr">
        <is>
          <t>Ellis</t>
        </is>
      </c>
      <c r="D512" t="inlineStr">
        <is>
          <t>M</t>
        </is>
      </c>
      <c r="E512" s="30" t="n">
        <v>29200</v>
      </c>
      <c r="F512" s="31" t="n">
        <v>69.5</v>
      </c>
      <c r="G512" s="31" t="n">
        <v>236.8</v>
      </c>
      <c r="H512" s="32" t="n"/>
    </row>
    <row r="513">
      <c r="A513" t="inlineStr">
        <is>
          <t>PT13330</t>
        </is>
      </c>
      <c r="B513" t="inlineStr">
        <is>
          <t>Deborah</t>
        </is>
      </c>
      <c r="C513" t="inlineStr">
        <is>
          <t>Gonzalez</t>
        </is>
      </c>
      <c r="D513" t="inlineStr">
        <is>
          <t>F</t>
        </is>
      </c>
      <c r="E513" s="30" t="n">
        <v>21923</v>
      </c>
      <c r="F513" s="31" t="n">
        <v>65.5</v>
      </c>
      <c r="G513" s="31" t="n">
        <v>193.2</v>
      </c>
      <c r="H513" s="32" t="n"/>
    </row>
    <row r="514">
      <c r="A514" t="inlineStr">
        <is>
          <t>PT13346</t>
        </is>
      </c>
      <c r="B514" t="inlineStr">
        <is>
          <t>John</t>
        </is>
      </c>
      <c r="C514" t="inlineStr">
        <is>
          <t>Mills</t>
        </is>
      </c>
      <c r="D514" t="inlineStr">
        <is>
          <t>M</t>
        </is>
      </c>
      <c r="E514" s="30" t="n">
        <v>26418</v>
      </c>
      <c r="F514" s="31" t="n">
        <v>68</v>
      </c>
      <c r="G514" s="31" t="n">
        <v>188.6</v>
      </c>
      <c r="H514" s="32" t="n"/>
    </row>
    <row r="515">
      <c r="A515" t="inlineStr">
        <is>
          <t>PT13353</t>
        </is>
      </c>
      <c r="B515" t="inlineStr">
        <is>
          <t>Adam</t>
        </is>
      </c>
      <c r="C515" t="inlineStr">
        <is>
          <t>Brooks</t>
        </is>
      </c>
      <c r="D515" t="inlineStr">
        <is>
          <t>M</t>
        </is>
      </c>
      <c r="E515" s="30" t="n">
        <v>30159</v>
      </c>
      <c r="F515" s="31" t="n">
        <v>62.3</v>
      </c>
      <c r="G515" s="31" t="n">
        <v>186.5</v>
      </c>
      <c r="H515" s="32" t="n"/>
    </row>
    <row r="516">
      <c r="A516" t="inlineStr">
        <is>
          <t>PT13363</t>
        </is>
      </c>
      <c r="B516" t="inlineStr">
        <is>
          <t>Elizabeth</t>
        </is>
      </c>
      <c r="C516" t="inlineStr">
        <is>
          <t>Hall</t>
        </is>
      </c>
      <c r="D516" t="inlineStr">
        <is>
          <t>F</t>
        </is>
      </c>
      <c r="E516" s="30" t="n">
        <v>11244</v>
      </c>
      <c r="F516" s="31" t="n">
        <v>63.3</v>
      </c>
      <c r="G516" s="31" t="n">
        <v>198.7</v>
      </c>
      <c r="H516" s="32" t="n"/>
    </row>
    <row r="517">
      <c r="A517" t="inlineStr">
        <is>
          <t>PT13365</t>
        </is>
      </c>
      <c r="B517" t="inlineStr">
        <is>
          <t>Hassan</t>
        </is>
      </c>
      <c r="C517" t="inlineStr">
        <is>
          <t>Graham</t>
        </is>
      </c>
      <c r="D517" t="inlineStr">
        <is>
          <t>M</t>
        </is>
      </c>
      <c r="E517" s="30" t="n">
        <v>24507</v>
      </c>
      <c r="F517" s="31" t="n">
        <v>68.90000000000001</v>
      </c>
      <c r="G517" s="31" t="n">
        <v>177.3</v>
      </c>
      <c r="H517" s="32" t="n"/>
    </row>
    <row r="518">
      <c r="A518" t="inlineStr">
        <is>
          <t>PT13370</t>
        </is>
      </c>
      <c r="B518" t="inlineStr">
        <is>
          <t>Joshua</t>
        </is>
      </c>
      <c r="C518" t="inlineStr">
        <is>
          <t>Fisher</t>
        </is>
      </c>
      <c r="D518" t="inlineStr">
        <is>
          <t>M</t>
        </is>
      </c>
      <c r="E518" s="30" t="n">
        <v>22284</v>
      </c>
      <c r="F518" s="31" t="n">
        <v>73.59999999999999</v>
      </c>
      <c r="G518" s="31" t="n">
        <v>340.1</v>
      </c>
      <c r="H518" s="32" t="n"/>
    </row>
    <row r="519">
      <c r="A519" t="inlineStr">
        <is>
          <t>PT13377</t>
        </is>
      </c>
      <c r="B519" t="inlineStr">
        <is>
          <t>Roy</t>
        </is>
      </c>
      <c r="C519" t="inlineStr">
        <is>
          <t>Hunt</t>
        </is>
      </c>
      <c r="D519" t="inlineStr">
        <is>
          <t>M</t>
        </is>
      </c>
      <c r="E519" s="30" t="n">
        <v>33577</v>
      </c>
      <c r="F519" s="31" t="n">
        <v>68.3</v>
      </c>
      <c r="G519" s="31" t="n">
        <v>163.7</v>
      </c>
      <c r="H519" s="32" t="n"/>
    </row>
    <row r="520">
      <c r="A520" t="inlineStr">
        <is>
          <t>PT13384</t>
        </is>
      </c>
      <c r="B520" t="inlineStr">
        <is>
          <t>Albert</t>
        </is>
      </c>
      <c r="C520" t="inlineStr">
        <is>
          <t>Warren</t>
        </is>
      </c>
      <c r="D520" t="inlineStr">
        <is>
          <t>M</t>
        </is>
      </c>
      <c r="E520" s="30" t="n">
        <v>13732</v>
      </c>
      <c r="F520" s="31" t="n">
        <v>70.3</v>
      </c>
      <c r="G520" s="31" t="n">
        <v>221.1</v>
      </c>
      <c r="H520" s="32" t="n"/>
    </row>
    <row r="521">
      <c r="A521" t="inlineStr">
        <is>
          <t>PT13393</t>
        </is>
      </c>
      <c r="B521" t="inlineStr">
        <is>
          <t>Vincent</t>
        </is>
      </c>
      <c r="C521" t="inlineStr">
        <is>
          <t>Coleman</t>
        </is>
      </c>
      <c r="D521" t="inlineStr">
        <is>
          <t>M</t>
        </is>
      </c>
      <c r="E521" s="30" t="n">
        <v>25501</v>
      </c>
      <c r="F521" s="31" t="n">
        <v>67.5</v>
      </c>
      <c r="G521" s="31" t="n">
        <v>214.1</v>
      </c>
      <c r="H521" s="32" t="n"/>
    </row>
    <row r="522">
      <c r="A522" t="inlineStr">
        <is>
          <t>PT13408</t>
        </is>
      </c>
      <c r="B522" t="inlineStr">
        <is>
          <t>Sean</t>
        </is>
      </c>
      <c r="C522" t="inlineStr">
        <is>
          <t>Moreno</t>
        </is>
      </c>
      <c r="D522" t="inlineStr">
        <is>
          <t>M</t>
        </is>
      </c>
      <c r="E522" s="30" t="n">
        <v>33805</v>
      </c>
      <c r="F522" s="31" t="n">
        <v>71.09999999999999</v>
      </c>
      <c r="G522" s="31" t="n">
        <v>171.2</v>
      </c>
      <c r="H522" s="32" t="n"/>
    </row>
    <row r="523">
      <c r="A523" t="inlineStr">
        <is>
          <t>PT13424</t>
        </is>
      </c>
      <c r="B523" t="inlineStr">
        <is>
          <t>Samantha</t>
        </is>
      </c>
      <c r="C523" t="inlineStr">
        <is>
          <t>Dixon</t>
        </is>
      </c>
      <c r="D523" t="inlineStr">
        <is>
          <t>F</t>
        </is>
      </c>
      <c r="E523" s="30" t="n">
        <v>23440</v>
      </c>
      <c r="F523" s="31" t="n">
        <v>59.6</v>
      </c>
      <c r="G523" s="31" t="n">
        <v>177.4</v>
      </c>
      <c r="H523" s="32" t="n"/>
    </row>
    <row r="524">
      <c r="A524" t="inlineStr">
        <is>
          <t>PT13426</t>
        </is>
      </c>
      <c r="B524" t="inlineStr">
        <is>
          <t>Douglas</t>
        </is>
      </c>
      <c r="C524" t="inlineStr">
        <is>
          <t>Vasquez</t>
        </is>
      </c>
      <c r="D524" t="inlineStr">
        <is>
          <t>M</t>
        </is>
      </c>
      <c r="E524" s="30" t="n">
        <v>10203</v>
      </c>
      <c r="F524" s="31" t="n">
        <v>68.3</v>
      </c>
      <c r="G524" s="31" t="n">
        <v>142.9</v>
      </c>
      <c r="H524" s="32" t="n"/>
    </row>
    <row r="525">
      <c r="A525" t="inlineStr">
        <is>
          <t>PT13427</t>
        </is>
      </c>
      <c r="B525" t="inlineStr">
        <is>
          <t>Emily</t>
        </is>
      </c>
      <c r="C525" t="inlineStr">
        <is>
          <t>Grant</t>
        </is>
      </c>
      <c r="D525" t="inlineStr">
        <is>
          <t>F</t>
        </is>
      </c>
      <c r="E525" s="30" t="n">
        <v>34917</v>
      </c>
      <c r="F525" s="31" t="n">
        <v>62.4</v>
      </c>
      <c r="G525" s="31" t="n">
        <v>193.7</v>
      </c>
      <c r="H525" s="32" t="n"/>
    </row>
    <row r="526">
      <c r="A526" t="inlineStr">
        <is>
          <t>PT13435</t>
        </is>
      </c>
      <c r="B526" t="inlineStr">
        <is>
          <t>Frances</t>
        </is>
      </c>
      <c r="C526" t="inlineStr">
        <is>
          <t>Fisher</t>
        </is>
      </c>
      <c r="D526" t="inlineStr">
        <is>
          <t>F</t>
        </is>
      </c>
      <c r="E526" s="30" t="n">
        <v>32769</v>
      </c>
      <c r="F526" s="31" t="n">
        <v>66.5</v>
      </c>
      <c r="G526" s="31" t="n">
        <v>223.8</v>
      </c>
      <c r="H526" s="32" t="n"/>
    </row>
    <row r="527">
      <c r="A527" t="inlineStr">
        <is>
          <t>PT13458</t>
        </is>
      </c>
      <c r="B527" t="inlineStr">
        <is>
          <t>Teresa</t>
        </is>
      </c>
      <c r="C527" t="inlineStr">
        <is>
          <t>Warren</t>
        </is>
      </c>
      <c r="D527" t="inlineStr">
        <is>
          <t>F</t>
        </is>
      </c>
      <c r="E527" s="30" t="n">
        <v>9816</v>
      </c>
      <c r="F527" s="31" t="n">
        <v>60.3</v>
      </c>
      <c r="G527" s="31" t="n">
        <v>117.2</v>
      </c>
      <c r="H527" s="32" t="n"/>
    </row>
    <row r="528">
      <c r="A528" t="inlineStr">
        <is>
          <t>PT13461</t>
        </is>
      </c>
      <c r="B528" t="inlineStr">
        <is>
          <t>Thomas</t>
        </is>
      </c>
      <c r="C528" t="inlineStr">
        <is>
          <t>Ward</t>
        </is>
      </c>
      <c r="D528" t="inlineStr">
        <is>
          <t>M</t>
        </is>
      </c>
      <c r="E528" s="30" t="n">
        <v>23603</v>
      </c>
      <c r="F528" s="31" t="n">
        <v>65.7</v>
      </c>
      <c r="G528" s="31" t="n">
        <v>198.4</v>
      </c>
      <c r="H528" s="32" t="n"/>
    </row>
    <row r="529">
      <c r="A529" t="inlineStr">
        <is>
          <t>PT13482</t>
        </is>
      </c>
      <c r="B529" t="inlineStr">
        <is>
          <t>Nicole</t>
        </is>
      </c>
      <c r="C529" t="inlineStr">
        <is>
          <t>Hunter</t>
        </is>
      </c>
      <c r="D529" t="inlineStr">
        <is>
          <t>F</t>
        </is>
      </c>
      <c r="E529" s="30" t="n">
        <v>13568</v>
      </c>
      <c r="F529" s="31" t="n">
        <v>64.3</v>
      </c>
      <c r="G529" s="31" t="n">
        <v>263.1</v>
      </c>
      <c r="H529" s="32" t="n"/>
    </row>
    <row r="530">
      <c r="A530" t="inlineStr">
        <is>
          <t>PT13492</t>
        </is>
      </c>
      <c r="B530" t="inlineStr">
        <is>
          <t>Peter</t>
        </is>
      </c>
      <c r="C530" t="inlineStr">
        <is>
          <t>Novak</t>
        </is>
      </c>
      <c r="D530" t="inlineStr">
        <is>
          <t>M</t>
        </is>
      </c>
      <c r="E530" s="30" t="n">
        <v>24829</v>
      </c>
      <c r="F530" s="31" t="n">
        <v>74.2</v>
      </c>
      <c r="G530" s="31" t="n">
        <v>219.9</v>
      </c>
      <c r="H530" s="32" t="n"/>
    </row>
    <row r="531">
      <c r="A531" t="inlineStr">
        <is>
          <t>PT13516</t>
        </is>
      </c>
      <c r="B531" t="inlineStr">
        <is>
          <t>Christina</t>
        </is>
      </c>
      <c r="C531" t="inlineStr">
        <is>
          <t>Ford</t>
        </is>
      </c>
      <c r="D531" t="inlineStr">
        <is>
          <t>F</t>
        </is>
      </c>
      <c r="E531" s="30" t="n">
        <v>9595</v>
      </c>
      <c r="F531" s="31" t="n">
        <v>55.2</v>
      </c>
      <c r="G531" s="31" t="n">
        <v>143.8</v>
      </c>
      <c r="H531" s="32" t="n"/>
    </row>
    <row r="532">
      <c r="A532" t="inlineStr">
        <is>
          <t>PT13519</t>
        </is>
      </c>
      <c r="B532" t="inlineStr">
        <is>
          <t>Ryan</t>
        </is>
      </c>
      <c r="C532" t="inlineStr">
        <is>
          <t>Fisher</t>
        </is>
      </c>
      <c r="D532" t="inlineStr">
        <is>
          <t>M</t>
        </is>
      </c>
      <c r="E532" s="30" t="n">
        <v>26078</v>
      </c>
      <c r="F532" s="31" t="n">
        <v>70.2</v>
      </c>
      <c r="G532" s="31" t="n">
        <v>219.1</v>
      </c>
      <c r="H532" s="32" t="n"/>
    </row>
    <row r="533">
      <c r="A533" t="inlineStr">
        <is>
          <t>PT13522</t>
        </is>
      </c>
      <c r="B533" t="inlineStr">
        <is>
          <t>Rachel</t>
        </is>
      </c>
      <c r="C533" t="inlineStr">
        <is>
          <t>Herrera</t>
        </is>
      </c>
      <c r="D533" t="inlineStr">
        <is>
          <t>F</t>
        </is>
      </c>
      <c r="E533" s="30" t="n">
        <v>38063</v>
      </c>
      <c r="F533" s="31" t="n">
        <v>64</v>
      </c>
      <c r="G533" s="31" t="n">
        <v>107.6</v>
      </c>
      <c r="H533" s="32" t="n"/>
    </row>
    <row r="534">
      <c r="A534" t="inlineStr">
        <is>
          <t>PT13528</t>
        </is>
      </c>
      <c r="B534" t="inlineStr">
        <is>
          <t>Philip</t>
        </is>
      </c>
      <c r="C534" t="inlineStr">
        <is>
          <t>Coleman</t>
        </is>
      </c>
      <c r="D534" t="inlineStr">
        <is>
          <t>M</t>
        </is>
      </c>
      <c r="E534" s="30" t="n">
        <v>35276</v>
      </c>
      <c r="F534" s="31" t="n">
        <v>71.8</v>
      </c>
      <c r="G534" s="31" t="n">
        <v>213</v>
      </c>
      <c r="H534" s="32" t="n"/>
    </row>
    <row r="535">
      <c r="A535" t="inlineStr">
        <is>
          <t>PT13530</t>
        </is>
      </c>
      <c r="B535" t="inlineStr">
        <is>
          <t>Carlos</t>
        </is>
      </c>
      <c r="C535" t="inlineStr">
        <is>
          <t>Anderson</t>
        </is>
      </c>
      <c r="D535" t="inlineStr">
        <is>
          <t>M</t>
        </is>
      </c>
      <c r="E535" s="30" t="n">
        <v>16547</v>
      </c>
      <c r="F535" s="31" t="n">
        <v>66.90000000000001</v>
      </c>
      <c r="G535" s="31" t="n">
        <v>187.1</v>
      </c>
      <c r="H535" s="32" t="n"/>
    </row>
    <row r="536">
      <c r="A536" t="inlineStr">
        <is>
          <t>PT13531</t>
        </is>
      </c>
      <c r="B536" t="inlineStr">
        <is>
          <t>Logan</t>
        </is>
      </c>
      <c r="C536" t="inlineStr">
        <is>
          <t>Yilmaz</t>
        </is>
      </c>
      <c r="D536" t="inlineStr">
        <is>
          <t>M</t>
        </is>
      </c>
      <c r="E536" s="30" t="n">
        <v>24735</v>
      </c>
      <c r="F536" s="31" t="n">
        <v>68.2</v>
      </c>
      <c r="G536" s="31" t="n">
        <v>207</v>
      </c>
      <c r="H536" s="32" t="n"/>
    </row>
    <row r="537">
      <c r="A537" t="inlineStr">
        <is>
          <t>PT13536</t>
        </is>
      </c>
      <c r="B537" t="inlineStr">
        <is>
          <t>Brian</t>
        </is>
      </c>
      <c r="C537" t="inlineStr">
        <is>
          <t>Kim</t>
        </is>
      </c>
      <c r="D537" t="inlineStr">
        <is>
          <t>M</t>
        </is>
      </c>
      <c r="E537" s="30" t="n">
        <v>19225</v>
      </c>
      <c r="F537" s="31" t="n">
        <v>68.09999999999999</v>
      </c>
      <c r="G537" s="31" t="n">
        <v>171.3</v>
      </c>
      <c r="H537" s="32" t="n"/>
    </row>
    <row r="538">
      <c r="A538" t="inlineStr">
        <is>
          <t>PT13549</t>
        </is>
      </c>
      <c r="B538" t="inlineStr">
        <is>
          <t>Ashley</t>
        </is>
      </c>
      <c r="C538" t="inlineStr">
        <is>
          <t>Brown</t>
        </is>
      </c>
      <c r="D538" t="inlineStr">
        <is>
          <t>F</t>
        </is>
      </c>
      <c r="E538" s="30" t="n">
        <v>11983</v>
      </c>
      <c r="F538" s="31" t="n">
        <v>64.09999999999999</v>
      </c>
      <c r="G538" s="31" t="n">
        <v>100.6</v>
      </c>
      <c r="H538" s="32" t="n"/>
    </row>
    <row r="539">
      <c r="A539" t="inlineStr">
        <is>
          <t>PT13560</t>
        </is>
      </c>
      <c r="B539" t="inlineStr">
        <is>
          <t>Kimberly</t>
        </is>
      </c>
      <c r="C539" t="inlineStr">
        <is>
          <t>Silva</t>
        </is>
      </c>
      <c r="D539" t="inlineStr">
        <is>
          <t>F</t>
        </is>
      </c>
      <c r="E539" s="30" t="n">
        <v>11838</v>
      </c>
      <c r="F539" s="31" t="n">
        <v>64.5</v>
      </c>
      <c r="G539" s="31" t="n">
        <v>210.5</v>
      </c>
      <c r="H539" s="32" t="n"/>
    </row>
    <row r="540">
      <c r="A540" t="inlineStr">
        <is>
          <t>PT13561</t>
        </is>
      </c>
      <c r="B540" t="inlineStr">
        <is>
          <t>Jean</t>
        </is>
      </c>
      <c r="C540" t="inlineStr">
        <is>
          <t>Jenkins</t>
        </is>
      </c>
      <c r="D540" t="inlineStr">
        <is>
          <t>F</t>
        </is>
      </c>
      <c r="E540" s="30" t="n">
        <v>21048</v>
      </c>
      <c r="F540" s="31" t="n">
        <v>63.5</v>
      </c>
      <c r="G540" s="31" t="n">
        <v>121.4</v>
      </c>
      <c r="H540" s="32" t="n"/>
    </row>
    <row r="541">
      <c r="A541" t="inlineStr">
        <is>
          <t>PT13562</t>
        </is>
      </c>
      <c r="B541" t="inlineStr">
        <is>
          <t>Mia</t>
        </is>
      </c>
      <c r="C541" t="inlineStr">
        <is>
          <t>Foster</t>
        </is>
      </c>
      <c r="D541" t="inlineStr">
        <is>
          <t>F</t>
        </is>
      </c>
      <c r="E541" s="30" t="n">
        <v>35875</v>
      </c>
      <c r="F541" s="31" t="n">
        <v>63.7</v>
      </c>
      <c r="G541" s="31" t="n">
        <v>175.2</v>
      </c>
      <c r="H541" s="32" t="n"/>
    </row>
    <row r="542">
      <c r="A542" t="inlineStr">
        <is>
          <t>PT13571</t>
        </is>
      </c>
      <c r="B542" t="inlineStr">
        <is>
          <t>Donald</t>
        </is>
      </c>
      <c r="C542" t="inlineStr">
        <is>
          <t>Bennett</t>
        </is>
      </c>
      <c r="D542" t="inlineStr">
        <is>
          <t>M</t>
        </is>
      </c>
      <c r="E542" s="30" t="n">
        <v>26279</v>
      </c>
      <c r="F542" s="31" t="n">
        <v>63.4</v>
      </c>
      <c r="G542" s="31" t="n">
        <v>181.2</v>
      </c>
      <c r="H542" s="32" t="n"/>
    </row>
    <row r="543">
      <c r="A543" t="inlineStr">
        <is>
          <t>PT13590</t>
        </is>
      </c>
      <c r="B543" t="inlineStr">
        <is>
          <t>Lucas</t>
        </is>
      </c>
      <c r="C543" t="inlineStr">
        <is>
          <t>Hawkins</t>
        </is>
      </c>
      <c r="D543" t="inlineStr">
        <is>
          <t>M</t>
        </is>
      </c>
      <c r="E543" s="30" t="n">
        <v>34709</v>
      </c>
      <c r="F543" s="31" t="n">
        <v>70.40000000000001</v>
      </c>
      <c r="G543" s="31" t="n">
        <v>214.9</v>
      </c>
      <c r="H543" s="32" t="n"/>
    </row>
    <row r="544">
      <c r="A544" t="inlineStr">
        <is>
          <t>PT13601</t>
        </is>
      </c>
      <c r="B544" t="inlineStr">
        <is>
          <t>Marie</t>
        </is>
      </c>
      <c r="C544" t="inlineStr">
        <is>
          <t>Schmidt</t>
        </is>
      </c>
      <c r="D544" t="inlineStr">
        <is>
          <t>F</t>
        </is>
      </c>
      <c r="E544" s="30" t="n">
        <v>15198</v>
      </c>
      <c r="F544" s="31" t="n">
        <v>59</v>
      </c>
      <c r="G544" s="31" t="n">
        <v>188.7</v>
      </c>
      <c r="H544" s="32" t="n"/>
    </row>
    <row r="545">
      <c r="A545" t="inlineStr">
        <is>
          <t>PT13603</t>
        </is>
      </c>
      <c r="B545" t="inlineStr">
        <is>
          <t>Omar</t>
        </is>
      </c>
      <c r="C545" t="inlineStr">
        <is>
          <t>Daniels</t>
        </is>
      </c>
      <c r="D545" t="inlineStr">
        <is>
          <t>M</t>
        </is>
      </c>
      <c r="E545" s="30" t="n">
        <v>16274</v>
      </c>
      <c r="F545" s="31" t="n">
        <v>71.90000000000001</v>
      </c>
      <c r="G545" s="31" t="n">
        <v>121.3</v>
      </c>
      <c r="H545" s="32" t="n"/>
    </row>
    <row r="546">
      <c r="A546" t="inlineStr">
        <is>
          <t>PT13610</t>
        </is>
      </c>
      <c r="B546" t="inlineStr">
        <is>
          <t>Amanda</t>
        </is>
      </c>
      <c r="C546" t="inlineStr">
        <is>
          <t>Ellis</t>
        </is>
      </c>
      <c r="D546" t="inlineStr">
        <is>
          <t>F</t>
        </is>
      </c>
      <c r="E546" s="30" t="n">
        <v>20167</v>
      </c>
      <c r="F546" s="31" t="n">
        <v>62.4</v>
      </c>
      <c r="G546" s="31" t="n">
        <v>218.3</v>
      </c>
      <c r="H546" s="32" t="n"/>
    </row>
    <row r="547">
      <c r="A547" t="inlineStr">
        <is>
          <t>PT13619</t>
        </is>
      </c>
      <c r="B547" t="inlineStr">
        <is>
          <t>Susan</t>
        </is>
      </c>
      <c r="C547" t="inlineStr">
        <is>
          <t>Brooks</t>
        </is>
      </c>
      <c r="D547" t="inlineStr">
        <is>
          <t>F</t>
        </is>
      </c>
      <c r="E547" s="30" t="n">
        <v>36774</v>
      </c>
      <c r="F547" s="31" t="n">
        <v>62.7</v>
      </c>
      <c r="G547" s="31" t="n">
        <v>130.1</v>
      </c>
      <c r="H547" s="32" t="n"/>
    </row>
    <row r="548">
      <c r="A548" t="inlineStr">
        <is>
          <t>PT13628</t>
        </is>
      </c>
      <c r="B548" t="inlineStr">
        <is>
          <t>Sandra</t>
        </is>
      </c>
      <c r="C548" t="inlineStr">
        <is>
          <t>Owens</t>
        </is>
      </c>
      <c r="D548" t="inlineStr">
        <is>
          <t>F</t>
        </is>
      </c>
      <c r="E548" s="30" t="n">
        <v>37760</v>
      </c>
      <c r="F548" s="31" t="n">
        <v>64.2</v>
      </c>
      <c r="G548" s="31" t="n">
        <v>194.7</v>
      </c>
      <c r="H548" s="32" t="n"/>
    </row>
    <row r="549">
      <c r="A549" t="inlineStr">
        <is>
          <t>PT13632</t>
        </is>
      </c>
      <c r="B549" t="inlineStr">
        <is>
          <t>Linh</t>
        </is>
      </c>
      <c r="C549" t="inlineStr">
        <is>
          <t>Murphy</t>
        </is>
      </c>
      <c r="D549" t="inlineStr">
        <is>
          <t>F</t>
        </is>
      </c>
      <c r="E549" s="30" t="n">
        <v>22096</v>
      </c>
      <c r="F549" s="31" t="n">
        <v>64.5</v>
      </c>
      <c r="G549" s="31" t="n">
        <v>139.2</v>
      </c>
      <c r="H549" s="32" t="n"/>
    </row>
    <row r="550">
      <c r="A550" t="inlineStr">
        <is>
          <t>PT13638</t>
        </is>
      </c>
      <c r="B550" t="inlineStr">
        <is>
          <t>Wei</t>
        </is>
      </c>
      <c r="C550" t="inlineStr">
        <is>
          <t>Powell</t>
        </is>
      </c>
      <c r="D550" t="inlineStr">
        <is>
          <t>M</t>
        </is>
      </c>
      <c r="E550" s="30" t="n">
        <v>20913</v>
      </c>
      <c r="F550" s="31" t="n">
        <v>71.8</v>
      </c>
      <c r="G550" s="31" t="n">
        <v>222.3</v>
      </c>
      <c r="H550" s="32" t="n"/>
    </row>
    <row r="551">
      <c r="A551" t="inlineStr">
        <is>
          <t>PT13652</t>
        </is>
      </c>
      <c r="B551" t="inlineStr">
        <is>
          <t>Heather</t>
        </is>
      </c>
      <c r="C551" t="inlineStr">
        <is>
          <t>Butler</t>
        </is>
      </c>
      <c r="D551" t="inlineStr">
        <is>
          <t>F</t>
        </is>
      </c>
      <c r="E551" s="30" t="n">
        <v>30451</v>
      </c>
      <c r="F551" s="31" t="n">
        <v>67.2</v>
      </c>
      <c r="G551" s="31" t="n">
        <v>246.8</v>
      </c>
      <c r="H551" s="32" t="n"/>
    </row>
    <row r="552">
      <c r="A552" t="inlineStr">
        <is>
          <t>PT13657</t>
        </is>
      </c>
      <c r="B552" t="inlineStr">
        <is>
          <t>Evelyn</t>
        </is>
      </c>
      <c r="C552" t="inlineStr">
        <is>
          <t>Contreras</t>
        </is>
      </c>
      <c r="D552" t="inlineStr">
        <is>
          <t>F</t>
        </is>
      </c>
      <c r="E552" s="30" t="n">
        <v>29251</v>
      </c>
      <c r="F552" s="31" t="n">
        <v>62.5</v>
      </c>
      <c r="G552" s="31" t="n">
        <v>141.4</v>
      </c>
      <c r="H552" s="32" t="n"/>
    </row>
    <row r="553">
      <c r="A553" t="inlineStr">
        <is>
          <t>PT13660</t>
        </is>
      </c>
      <c r="B553" t="inlineStr">
        <is>
          <t>Gerald</t>
        </is>
      </c>
      <c r="C553" t="inlineStr">
        <is>
          <t>King</t>
        </is>
      </c>
      <c r="D553" t="inlineStr">
        <is>
          <t>M</t>
        </is>
      </c>
      <c r="E553" s="30" t="n">
        <v>22992</v>
      </c>
      <c r="F553" s="31" t="n">
        <v>72.2</v>
      </c>
      <c r="G553" s="31" t="n">
        <v>397.2</v>
      </c>
      <c r="H553" s="32" t="n"/>
    </row>
    <row r="554">
      <c r="A554" t="inlineStr">
        <is>
          <t>PT13661</t>
        </is>
      </c>
      <c r="B554" t="inlineStr">
        <is>
          <t>Paul</t>
        </is>
      </c>
      <c r="C554" t="inlineStr">
        <is>
          <t>Delgado</t>
        </is>
      </c>
      <c r="D554" t="inlineStr">
        <is>
          <t>M</t>
        </is>
      </c>
      <c r="E554" s="30" t="n">
        <v>26253</v>
      </c>
      <c r="F554" s="31" t="n">
        <v>70.7</v>
      </c>
      <c r="G554" s="31" t="n">
        <v>170.3</v>
      </c>
      <c r="H554" s="32" t="n"/>
    </row>
    <row r="555">
      <c r="A555" t="inlineStr">
        <is>
          <t>PT13671</t>
        </is>
      </c>
      <c r="B555" t="inlineStr">
        <is>
          <t>Henry</t>
        </is>
      </c>
      <c r="C555" t="inlineStr">
        <is>
          <t>Palmer</t>
        </is>
      </c>
      <c r="D555" t="inlineStr">
        <is>
          <t>M</t>
        </is>
      </c>
      <c r="E555" s="30" t="n">
        <v>14006</v>
      </c>
      <c r="F555" s="31" t="n">
        <v>67.8</v>
      </c>
      <c r="G555" s="31" t="n">
        <v>183.8</v>
      </c>
      <c r="H555" s="32" t="n"/>
    </row>
    <row r="556">
      <c r="A556" t="inlineStr">
        <is>
          <t>PT13672</t>
        </is>
      </c>
      <c r="B556" t="inlineStr">
        <is>
          <t>Dylan</t>
        </is>
      </c>
      <c r="C556" t="inlineStr">
        <is>
          <t>Myers</t>
        </is>
      </c>
      <c r="D556" t="inlineStr">
        <is>
          <t>M</t>
        </is>
      </c>
      <c r="E556" s="30" t="n">
        <v>22273</v>
      </c>
      <c r="F556" s="31" t="n">
        <v>68.3</v>
      </c>
      <c r="G556" s="31" t="n">
        <v>176.8</v>
      </c>
      <c r="H556" s="32" t="n"/>
    </row>
    <row r="557">
      <c r="A557" t="inlineStr">
        <is>
          <t>PT13682</t>
        </is>
      </c>
      <c r="B557" t="inlineStr">
        <is>
          <t>Andrew</t>
        </is>
      </c>
      <c r="C557" t="inlineStr">
        <is>
          <t>Haddad</t>
        </is>
      </c>
      <c r="D557" t="inlineStr">
        <is>
          <t>M</t>
        </is>
      </c>
      <c r="E557" s="30" t="n">
        <v>23278</v>
      </c>
      <c r="F557" s="31" t="n">
        <v>71.5</v>
      </c>
      <c r="G557" s="31" t="n">
        <v>197.5</v>
      </c>
      <c r="H557" s="32" t="n"/>
    </row>
    <row r="558">
      <c r="A558" t="inlineStr">
        <is>
          <t>PT13701</t>
        </is>
      </c>
      <c r="B558" t="inlineStr">
        <is>
          <t>Randy</t>
        </is>
      </c>
      <c r="C558" t="inlineStr">
        <is>
          <t>Carpenter</t>
        </is>
      </c>
      <c r="D558" t="inlineStr">
        <is>
          <t>M</t>
        </is>
      </c>
      <c r="E558" s="30" t="n">
        <v>23757</v>
      </c>
      <c r="F558" s="31" t="n">
        <v>73.8</v>
      </c>
      <c r="G558" s="31" t="n">
        <v>235.3</v>
      </c>
      <c r="H558" s="32" t="n"/>
    </row>
    <row r="559">
      <c r="A559" t="inlineStr">
        <is>
          <t>PT13702</t>
        </is>
      </c>
      <c r="B559" t="inlineStr">
        <is>
          <t>Aaliyah</t>
        </is>
      </c>
      <c r="C559" t="inlineStr">
        <is>
          <t>Daniels</t>
        </is>
      </c>
      <c r="D559" t="inlineStr">
        <is>
          <t>F</t>
        </is>
      </c>
      <c r="E559" s="30" t="n">
        <v>35700</v>
      </c>
      <c r="F559" s="31" t="n">
        <v>60.2</v>
      </c>
      <c r="G559" s="31" t="n">
        <v>152.4</v>
      </c>
      <c r="H559" s="32" t="n"/>
    </row>
    <row r="560">
      <c r="A560" t="inlineStr">
        <is>
          <t>PT13715</t>
        </is>
      </c>
      <c r="B560" t="inlineStr">
        <is>
          <t>Arthur</t>
        </is>
      </c>
      <c r="C560" t="inlineStr">
        <is>
          <t>Grant</t>
        </is>
      </c>
      <c r="D560" t="inlineStr">
        <is>
          <t>M</t>
        </is>
      </c>
      <c r="E560" s="30" t="n">
        <v>18388</v>
      </c>
      <c r="F560" s="31" t="n">
        <v>68.90000000000001</v>
      </c>
      <c r="G560" s="31" t="n">
        <v>170.9</v>
      </c>
      <c r="H560" s="32" t="n"/>
    </row>
    <row r="561">
      <c r="A561" t="inlineStr">
        <is>
          <t>PT13724</t>
        </is>
      </c>
      <c r="B561" t="inlineStr">
        <is>
          <t>Ralph</t>
        </is>
      </c>
      <c r="C561" t="inlineStr">
        <is>
          <t>Arnold</t>
        </is>
      </c>
      <c r="D561" t="inlineStr">
        <is>
          <t>M</t>
        </is>
      </c>
      <c r="E561" s="30" t="n">
        <v>32006</v>
      </c>
      <c r="F561" s="31" t="n">
        <v>69.40000000000001</v>
      </c>
      <c r="G561" s="31" t="n">
        <v>211.8</v>
      </c>
      <c r="H561" s="32" t="n"/>
    </row>
    <row r="562">
      <c r="A562" t="inlineStr">
        <is>
          <t>PT13726</t>
        </is>
      </c>
      <c r="B562" t="inlineStr">
        <is>
          <t>Arthur</t>
        </is>
      </c>
      <c r="C562" t="inlineStr">
        <is>
          <t>Rogers</t>
        </is>
      </c>
      <c r="D562" t="inlineStr">
        <is>
          <t>M</t>
        </is>
      </c>
      <c r="E562" s="30" t="n">
        <v>20805</v>
      </c>
      <c r="F562" s="31" t="n">
        <v>73.7</v>
      </c>
      <c r="G562" s="31" t="n">
        <v>187.8</v>
      </c>
      <c r="H562" s="32" t="n"/>
    </row>
    <row r="563">
      <c r="A563" t="inlineStr">
        <is>
          <t>PT13745</t>
        </is>
      </c>
      <c r="B563" t="inlineStr">
        <is>
          <t>Alexander</t>
        </is>
      </c>
      <c r="C563" t="inlineStr">
        <is>
          <t>Lopez</t>
        </is>
      </c>
      <c r="D563" t="inlineStr">
        <is>
          <t>M</t>
        </is>
      </c>
      <c r="E563" s="30" t="n">
        <v>33142</v>
      </c>
      <c r="F563" s="31" t="n">
        <v>70.90000000000001</v>
      </c>
      <c r="G563" s="31" t="n">
        <v>252.2</v>
      </c>
      <c r="H563" s="32" t="n"/>
    </row>
    <row r="564">
      <c r="A564" t="inlineStr">
        <is>
          <t>PT13751</t>
        </is>
      </c>
      <c r="B564" t="inlineStr">
        <is>
          <t>Fatima</t>
        </is>
      </c>
      <c r="C564" t="inlineStr">
        <is>
          <t>Scott</t>
        </is>
      </c>
      <c r="D564" t="inlineStr">
        <is>
          <t>F</t>
        </is>
      </c>
      <c r="E564" s="30" t="n">
        <v>12686</v>
      </c>
      <c r="F564" s="31" t="n">
        <v>65.09999999999999</v>
      </c>
      <c r="G564" s="31" t="n">
        <v>129.7</v>
      </c>
      <c r="H564" s="32" t="n"/>
    </row>
    <row r="565">
      <c r="A565" t="inlineStr">
        <is>
          <t>PT13760</t>
        </is>
      </c>
      <c r="B565" t="inlineStr">
        <is>
          <t>Ethan</t>
        </is>
      </c>
      <c r="C565" t="inlineStr">
        <is>
          <t>Jones</t>
        </is>
      </c>
      <c r="D565" t="inlineStr">
        <is>
          <t>M</t>
        </is>
      </c>
      <c r="E565" s="30" t="n">
        <v>25787</v>
      </c>
      <c r="F565" s="31" t="n">
        <v>74.09999999999999</v>
      </c>
      <c r="G565" s="31" t="n">
        <v>154.2</v>
      </c>
      <c r="H565" s="32" t="n"/>
    </row>
    <row r="566">
      <c r="A566" t="inlineStr">
        <is>
          <t>PT13768</t>
        </is>
      </c>
      <c r="B566" t="inlineStr">
        <is>
          <t>Joe</t>
        </is>
      </c>
      <c r="C566" t="inlineStr">
        <is>
          <t>Kowalski</t>
        </is>
      </c>
      <c r="D566" t="inlineStr">
        <is>
          <t>M</t>
        </is>
      </c>
      <c r="E566" s="30" t="n">
        <v>23063</v>
      </c>
      <c r="F566" s="31" t="n">
        <v>69.59999999999999</v>
      </c>
      <c r="G566" s="31" t="n">
        <v>171.3</v>
      </c>
      <c r="H566" s="32" t="n"/>
    </row>
    <row r="567">
      <c r="A567" t="inlineStr">
        <is>
          <t>PT13774</t>
        </is>
      </c>
      <c r="B567" t="inlineStr">
        <is>
          <t>Joan</t>
        </is>
      </c>
      <c r="C567" t="inlineStr">
        <is>
          <t>Mills</t>
        </is>
      </c>
      <c r="D567" t="inlineStr">
        <is>
          <t>F</t>
        </is>
      </c>
      <c r="E567" s="30" t="n">
        <v>18980</v>
      </c>
      <c r="F567" s="31" t="n">
        <v>62.6</v>
      </c>
      <c r="G567" s="31" t="n">
        <v>171.5</v>
      </c>
      <c r="H567" s="32" t="n"/>
    </row>
    <row r="568">
      <c r="A568" t="inlineStr">
        <is>
          <t>PT13785</t>
        </is>
      </c>
      <c r="B568" t="inlineStr">
        <is>
          <t>Anthony</t>
        </is>
      </c>
      <c r="C568" t="inlineStr">
        <is>
          <t>Carroll</t>
        </is>
      </c>
      <c r="D568" t="inlineStr">
        <is>
          <t>M</t>
        </is>
      </c>
      <c r="E568" s="30" t="n">
        <v>19434</v>
      </c>
      <c r="F568" s="31" t="n">
        <v>73.40000000000001</v>
      </c>
      <c r="G568" s="31" t="n">
        <v>190.1</v>
      </c>
      <c r="H568" s="32" t="n"/>
    </row>
    <row r="569">
      <c r="A569" t="inlineStr">
        <is>
          <t>PT13786</t>
        </is>
      </c>
      <c r="B569" t="inlineStr">
        <is>
          <t>Scott</t>
        </is>
      </c>
      <c r="C569" t="inlineStr">
        <is>
          <t>McDonald</t>
        </is>
      </c>
      <c r="D569" t="inlineStr">
        <is>
          <t>M</t>
        </is>
      </c>
      <c r="E569" s="30" t="n">
        <v>28207</v>
      </c>
      <c r="F569" s="31" t="n">
        <v>75.5</v>
      </c>
      <c r="G569" s="31" t="n">
        <v>310.7</v>
      </c>
      <c r="H569" s="32" t="n"/>
    </row>
    <row r="570">
      <c r="A570" t="inlineStr">
        <is>
          <t>PT13799</t>
        </is>
      </c>
      <c r="B570" t="inlineStr">
        <is>
          <t>Jerry</t>
        </is>
      </c>
      <c r="C570" t="inlineStr">
        <is>
          <t>West</t>
        </is>
      </c>
      <c r="D570" t="inlineStr">
        <is>
          <t>M</t>
        </is>
      </c>
      <c r="E570" s="30" t="n">
        <v>16597</v>
      </c>
      <c r="F570" s="31" t="n">
        <v>69.7</v>
      </c>
      <c r="G570" s="31" t="n">
        <v>204.5</v>
      </c>
      <c r="H570" s="32" t="n"/>
    </row>
    <row r="571">
      <c r="A571" t="inlineStr">
        <is>
          <t>PT13806</t>
        </is>
      </c>
      <c r="B571" t="inlineStr">
        <is>
          <t>Sean</t>
        </is>
      </c>
      <c r="C571" t="inlineStr">
        <is>
          <t>Gutierrez</t>
        </is>
      </c>
      <c r="D571" t="inlineStr">
        <is>
          <t>M</t>
        </is>
      </c>
      <c r="E571" s="30" t="n">
        <v>17450</v>
      </c>
      <c r="F571" s="31" t="n">
        <v>71.5</v>
      </c>
      <c r="G571" s="31" t="n">
        <v>120.1</v>
      </c>
      <c r="H571" s="32" t="n"/>
    </row>
    <row r="572">
      <c r="A572" t="inlineStr">
        <is>
          <t>PT13815</t>
        </is>
      </c>
      <c r="B572" t="inlineStr">
        <is>
          <t>Patricia</t>
        </is>
      </c>
      <c r="C572" t="inlineStr">
        <is>
          <t>Lee</t>
        </is>
      </c>
      <c r="D572" t="inlineStr">
        <is>
          <t>F</t>
        </is>
      </c>
      <c r="E572" s="30" t="n">
        <v>29327</v>
      </c>
      <c r="F572" s="31" t="n">
        <v>61.8</v>
      </c>
      <c r="G572" s="31" t="n">
        <v>128.3</v>
      </c>
      <c r="H572" s="32" t="n"/>
    </row>
    <row r="573">
      <c r="A573" t="inlineStr">
        <is>
          <t>PT13816</t>
        </is>
      </c>
      <c r="B573" t="inlineStr">
        <is>
          <t>Douglas</t>
        </is>
      </c>
      <c r="C573" t="inlineStr">
        <is>
          <t>Taylor</t>
        </is>
      </c>
      <c r="D573" t="inlineStr">
        <is>
          <t>M</t>
        </is>
      </c>
      <c r="E573" s="30" t="n">
        <v>22029</v>
      </c>
      <c r="F573" s="31" t="n">
        <v>68.2</v>
      </c>
      <c r="G573" s="31" t="n">
        <v>109.2</v>
      </c>
      <c r="H573" s="32" t="n"/>
    </row>
    <row r="574">
      <c r="A574" t="inlineStr">
        <is>
          <t>PT13819</t>
        </is>
      </c>
      <c r="B574" t="inlineStr">
        <is>
          <t>Wei</t>
        </is>
      </c>
      <c r="C574" t="inlineStr">
        <is>
          <t>Delgado</t>
        </is>
      </c>
      <c r="D574" t="inlineStr">
        <is>
          <t>M</t>
        </is>
      </c>
      <c r="E574" s="30" t="n">
        <v>17732</v>
      </c>
      <c r="F574" s="31" t="n">
        <v>66.7</v>
      </c>
      <c r="G574" s="31" t="n">
        <v>151.5</v>
      </c>
      <c r="H574" s="32" t="n"/>
    </row>
    <row r="575">
      <c r="A575" t="inlineStr">
        <is>
          <t>PT13821</t>
        </is>
      </c>
      <c r="B575" t="inlineStr">
        <is>
          <t>Theresa</t>
        </is>
      </c>
      <c r="C575" t="inlineStr">
        <is>
          <t>Romero</t>
        </is>
      </c>
      <c r="D575" t="inlineStr">
        <is>
          <t>F</t>
        </is>
      </c>
      <c r="E575" s="30" t="n">
        <v>28742</v>
      </c>
      <c r="F575" s="31" t="n">
        <v>64.5</v>
      </c>
      <c r="G575" s="31" t="n">
        <v>190.7</v>
      </c>
      <c r="H575" s="32" t="n"/>
    </row>
    <row r="576">
      <c r="A576" t="inlineStr">
        <is>
          <t>PT13828</t>
        </is>
      </c>
      <c r="B576" t="inlineStr">
        <is>
          <t>Ashley</t>
        </is>
      </c>
      <c r="C576" t="inlineStr">
        <is>
          <t>Brooks</t>
        </is>
      </c>
      <c r="D576" t="inlineStr">
        <is>
          <t>F</t>
        </is>
      </c>
      <c r="E576" s="30" t="n">
        <v>13139</v>
      </c>
      <c r="F576" s="31" t="n">
        <v>68.5</v>
      </c>
      <c r="G576" s="31" t="n">
        <v>198.3</v>
      </c>
      <c r="H576" s="32" t="n"/>
    </row>
    <row r="577">
      <c r="A577" t="inlineStr">
        <is>
          <t>PT13847</t>
        </is>
      </c>
      <c r="B577" t="inlineStr">
        <is>
          <t>Timothy</t>
        </is>
      </c>
      <c r="C577" t="inlineStr">
        <is>
          <t>West</t>
        </is>
      </c>
      <c r="D577" t="inlineStr">
        <is>
          <t>M</t>
        </is>
      </c>
      <c r="E577" s="30" t="n">
        <v>22579</v>
      </c>
      <c r="F577" s="31" t="n">
        <v>68.3</v>
      </c>
      <c r="G577" s="31" t="n">
        <v>249.7</v>
      </c>
      <c r="H577" s="32" t="n"/>
    </row>
    <row r="578">
      <c r="A578" t="inlineStr">
        <is>
          <t>PT13853</t>
        </is>
      </c>
      <c r="B578" t="inlineStr">
        <is>
          <t>Mei</t>
        </is>
      </c>
      <c r="C578" t="inlineStr">
        <is>
          <t>Mitchell</t>
        </is>
      </c>
      <c r="D578" t="inlineStr">
        <is>
          <t>F</t>
        </is>
      </c>
      <c r="E578" s="30" t="n">
        <v>18618</v>
      </c>
      <c r="F578" s="31" t="n">
        <v>61.8</v>
      </c>
      <c r="G578" s="31" t="n">
        <v>245.8</v>
      </c>
      <c r="H578" s="32" t="n"/>
    </row>
    <row r="579">
      <c r="A579" t="inlineStr">
        <is>
          <t>PT13861</t>
        </is>
      </c>
      <c r="B579" t="inlineStr">
        <is>
          <t>Dorothy</t>
        </is>
      </c>
      <c r="C579" t="inlineStr">
        <is>
          <t>Guzman</t>
        </is>
      </c>
      <c r="D579" t="inlineStr">
        <is>
          <t>F</t>
        </is>
      </c>
      <c r="E579" s="30" t="n">
        <v>29720</v>
      </c>
      <c r="F579" s="31" t="n">
        <v>61.4</v>
      </c>
      <c r="G579" s="31" t="n">
        <v>144.8</v>
      </c>
      <c r="H579" s="32" t="n"/>
    </row>
    <row r="580">
      <c r="A580" t="inlineStr">
        <is>
          <t>PT13865</t>
        </is>
      </c>
      <c r="B580" t="inlineStr">
        <is>
          <t>Nicole</t>
        </is>
      </c>
      <c r="C580" t="inlineStr">
        <is>
          <t>Vasquez</t>
        </is>
      </c>
      <c r="D580" t="inlineStr">
        <is>
          <t>F</t>
        </is>
      </c>
      <c r="E580" s="30" t="n">
        <v>21212</v>
      </c>
      <c r="F580" s="31" t="n">
        <v>61.3</v>
      </c>
      <c r="G580" s="31" t="n">
        <v>217.6</v>
      </c>
      <c r="H580" s="32" t="n"/>
    </row>
    <row r="581">
      <c r="A581" t="inlineStr">
        <is>
          <t>PT13869</t>
        </is>
      </c>
      <c r="B581" t="inlineStr">
        <is>
          <t>Scott</t>
        </is>
      </c>
      <c r="C581" t="inlineStr">
        <is>
          <t>Morgan</t>
        </is>
      </c>
      <c r="D581" t="inlineStr">
        <is>
          <t>M</t>
        </is>
      </c>
      <c r="E581" s="30" t="n">
        <v>16726</v>
      </c>
      <c r="F581" s="31" t="n">
        <v>66.7</v>
      </c>
      <c r="G581" s="31" t="n">
        <v>189.2</v>
      </c>
      <c r="H581" s="32" t="n"/>
    </row>
    <row r="582">
      <c r="A582" t="inlineStr">
        <is>
          <t>PT13876</t>
        </is>
      </c>
      <c r="B582" t="inlineStr">
        <is>
          <t>Barbara</t>
        </is>
      </c>
      <c r="C582" t="inlineStr">
        <is>
          <t>Webb</t>
        </is>
      </c>
      <c r="D582" t="inlineStr">
        <is>
          <t>F</t>
        </is>
      </c>
      <c r="E582" s="30" t="n">
        <v>18472</v>
      </c>
      <c r="F582" s="31" t="n">
        <v>64</v>
      </c>
      <c r="G582" s="31" t="n">
        <v>172.9</v>
      </c>
      <c r="H582" s="32" t="n"/>
    </row>
    <row r="583">
      <c r="A583" t="inlineStr">
        <is>
          <t>PT13877</t>
        </is>
      </c>
      <c r="B583" t="inlineStr">
        <is>
          <t>George</t>
        </is>
      </c>
      <c r="C583" t="inlineStr">
        <is>
          <t>Dixon</t>
        </is>
      </c>
      <c r="D583" t="inlineStr">
        <is>
          <t>M</t>
        </is>
      </c>
      <c r="E583" s="30" t="n">
        <v>13803</v>
      </c>
      <c r="F583" s="31" t="n">
        <v>70.5</v>
      </c>
      <c r="G583" s="31" t="n">
        <v>209.7</v>
      </c>
      <c r="H583" s="32" t="n"/>
    </row>
    <row r="584">
      <c r="A584" t="inlineStr">
        <is>
          <t>PT13879</t>
        </is>
      </c>
      <c r="B584" t="inlineStr">
        <is>
          <t>Kathryn</t>
        </is>
      </c>
      <c r="C584" t="inlineStr">
        <is>
          <t>McDonald</t>
        </is>
      </c>
      <c r="D584" t="inlineStr">
        <is>
          <t>F</t>
        </is>
      </c>
      <c r="E584" s="30" t="n">
        <v>37458</v>
      </c>
      <c r="F584" s="31" t="n">
        <v>64</v>
      </c>
      <c r="G584" s="31" t="n">
        <v>131.5</v>
      </c>
      <c r="H584" s="32" t="n"/>
    </row>
    <row r="585">
      <c r="A585" t="inlineStr">
        <is>
          <t>PT13889</t>
        </is>
      </c>
      <c r="B585" t="inlineStr">
        <is>
          <t>Pamela</t>
        </is>
      </c>
      <c r="C585" t="inlineStr">
        <is>
          <t>Ray</t>
        </is>
      </c>
      <c r="D585" t="inlineStr">
        <is>
          <t>F</t>
        </is>
      </c>
      <c r="E585" s="30" t="n">
        <v>25492</v>
      </c>
      <c r="F585" s="31" t="n">
        <v>61.2</v>
      </c>
      <c r="G585" s="31" t="n">
        <v>159.6</v>
      </c>
      <c r="H585" s="32" t="n"/>
    </row>
    <row r="586">
      <c r="A586" t="inlineStr">
        <is>
          <t>PT13940</t>
        </is>
      </c>
      <c r="B586" t="inlineStr">
        <is>
          <t>Jennifer</t>
        </is>
      </c>
      <c r="C586" t="inlineStr">
        <is>
          <t>Ford</t>
        </is>
      </c>
      <c r="D586" t="inlineStr">
        <is>
          <t>F</t>
        </is>
      </c>
      <c r="E586" s="30" t="n">
        <v>23814</v>
      </c>
      <c r="F586" s="31" t="n">
        <v>59.8</v>
      </c>
      <c r="G586" s="31" t="n">
        <v>155</v>
      </c>
      <c r="H586" s="32" t="n"/>
    </row>
    <row r="587">
      <c r="A587" t="inlineStr">
        <is>
          <t>PT13946</t>
        </is>
      </c>
      <c r="B587" t="inlineStr">
        <is>
          <t>Ahmed</t>
        </is>
      </c>
      <c r="C587" t="inlineStr">
        <is>
          <t>Wallace</t>
        </is>
      </c>
      <c r="D587" t="inlineStr">
        <is>
          <t>M</t>
        </is>
      </c>
      <c r="E587" s="30" t="n">
        <v>13667</v>
      </c>
      <c r="F587" s="31" t="n">
        <v>70</v>
      </c>
      <c r="G587" s="31" t="n">
        <v>264.4</v>
      </c>
      <c r="H587" s="32" t="n"/>
    </row>
    <row r="588">
      <c r="A588" t="inlineStr">
        <is>
          <t>PT13967</t>
        </is>
      </c>
      <c r="B588" t="inlineStr">
        <is>
          <t>Helen</t>
        </is>
      </c>
      <c r="C588" t="inlineStr">
        <is>
          <t>Perez</t>
        </is>
      </c>
      <c r="D588" t="inlineStr">
        <is>
          <t>F</t>
        </is>
      </c>
      <c r="E588" s="30" t="n">
        <v>24172</v>
      </c>
      <c r="F588" s="31" t="n">
        <v>65.2</v>
      </c>
      <c r="G588" s="31" t="n">
        <v>209.5</v>
      </c>
      <c r="H588" s="32" t="n"/>
    </row>
    <row r="589">
      <c r="A589" t="inlineStr">
        <is>
          <t>PT13968</t>
        </is>
      </c>
      <c r="B589" t="inlineStr">
        <is>
          <t>Edward</t>
        </is>
      </c>
      <c r="C589" t="inlineStr">
        <is>
          <t>Jackson</t>
        </is>
      </c>
      <c r="D589" t="inlineStr">
        <is>
          <t>M</t>
        </is>
      </c>
      <c r="E589" s="30" t="n">
        <v>17768</v>
      </c>
      <c r="F589" s="31" t="n">
        <v>66.2</v>
      </c>
      <c r="G589" s="31" t="n">
        <v>157.3</v>
      </c>
      <c r="H589" s="32" t="n"/>
    </row>
    <row r="590">
      <c r="A590" t="inlineStr">
        <is>
          <t>PT13980</t>
        </is>
      </c>
      <c r="B590" t="inlineStr">
        <is>
          <t>Victoria</t>
        </is>
      </c>
      <c r="C590" t="inlineStr">
        <is>
          <t>Perry</t>
        </is>
      </c>
      <c r="D590" t="inlineStr">
        <is>
          <t>F</t>
        </is>
      </c>
      <c r="E590" s="30" t="n">
        <v>16867</v>
      </c>
      <c r="F590" s="31" t="n">
        <v>66.59999999999999</v>
      </c>
      <c r="G590" s="31" t="n">
        <v>243.8</v>
      </c>
      <c r="H590" s="32" t="n"/>
    </row>
    <row r="591">
      <c r="A591" t="inlineStr">
        <is>
          <t>PT13988</t>
        </is>
      </c>
      <c r="B591" t="inlineStr">
        <is>
          <t>Scott</t>
        </is>
      </c>
      <c r="C591" t="inlineStr">
        <is>
          <t>Warren</t>
        </is>
      </c>
      <c r="D591" t="inlineStr">
        <is>
          <t>M</t>
        </is>
      </c>
      <c r="E591" s="30" t="n">
        <v>22192</v>
      </c>
      <c r="F591" s="31" t="n">
        <v>76</v>
      </c>
      <c r="G591" s="31" t="n">
        <v>183.7</v>
      </c>
      <c r="H591" s="32" t="n"/>
    </row>
    <row r="592">
      <c r="A592" t="inlineStr">
        <is>
          <t>PT13991</t>
        </is>
      </c>
      <c r="B592" t="inlineStr">
        <is>
          <t>Brittany</t>
        </is>
      </c>
      <c r="C592" t="inlineStr">
        <is>
          <t>Nakamura</t>
        </is>
      </c>
      <c r="D592" t="inlineStr">
        <is>
          <t>F</t>
        </is>
      </c>
      <c r="E592" s="30" t="n">
        <v>18890</v>
      </c>
      <c r="F592" s="31" t="n">
        <v>61</v>
      </c>
      <c r="G592" s="31" t="n">
        <v>169.7</v>
      </c>
      <c r="H592" s="32"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506"/>
  <sheetViews>
    <sheetView tabSelected="0" workbookViewId="0">
      <pane ySplit="1" topLeftCell="A2" activePane="bottomLeft" state="frozen"/>
      <selection pane="bottomLeft" activeCell="A1" sqref="A1"/>
    </sheetView>
  </sheetViews>
  <sheetFormatPr baseColWidth="8" defaultRowHeight="15"/>
  <cols>
    <col width="13" customWidth="1" min="1" max="1"/>
    <col width="11" customWidth="1" min="2" max="2"/>
    <col width="15" customWidth="1" min="3" max="3"/>
    <col width="12" customWidth="1" min="4" max="4"/>
    <col width="18" customWidth="1" min="5" max="5"/>
    <col width="19" customWidth="1" min="6" max="6"/>
    <col width="12" customWidth="1" min="7" max="7"/>
    <col width="10" customWidth="1" min="8" max="8"/>
  </cols>
  <sheetData>
    <row r="1">
      <c r="A1" s="28" t="inlineStr">
        <is>
          <t>EncounterID</t>
        </is>
      </c>
      <c r="B1" s="28" t="inlineStr">
        <is>
          <t>PatientID</t>
        </is>
      </c>
      <c r="C1" s="28" t="inlineStr">
        <is>
          <t>EncounterType</t>
        </is>
      </c>
      <c r="D1" s="28" t="inlineStr">
        <is>
          <t>DOB</t>
        </is>
      </c>
      <c r="E1" s="28" t="inlineStr">
        <is>
          <t>AdmitDateTime</t>
        </is>
      </c>
      <c r="F1" s="28" t="inlineStr">
        <is>
          <t>DischargeDateTime</t>
        </is>
      </c>
      <c r="G1" s="29" t="inlineStr">
        <is>
          <t>AgeAtAdmit</t>
        </is>
      </c>
      <c r="H1" s="29" t="inlineStr">
        <is>
          <t>LOSDays</t>
        </is>
      </c>
    </row>
    <row r="2">
      <c r="A2" t="inlineStr">
        <is>
          <t>ENC110726</t>
        </is>
      </c>
      <c r="B2" t="inlineStr">
        <is>
          <t>PT11101</t>
        </is>
      </c>
      <c r="C2" t="inlineStr">
        <is>
          <t>Inpatient</t>
        </is>
      </c>
      <c r="D2" s="30" t="n">
        <v>19202</v>
      </c>
      <c r="E2" s="33" t="n">
        <v>45658.70902777778</v>
      </c>
      <c r="F2" s="33" t="n">
        <v>45664.475</v>
      </c>
      <c r="G2" s="34" t="n"/>
      <c r="H2" s="34" t="n"/>
    </row>
    <row r="3">
      <c r="A3" t="inlineStr">
        <is>
          <t>ENC110756</t>
        </is>
      </c>
      <c r="B3" t="inlineStr">
        <is>
          <t>PT12695</t>
        </is>
      </c>
      <c r="C3" t="inlineStr">
        <is>
          <t>Inpatient</t>
        </is>
      </c>
      <c r="D3" s="30" t="n">
        <v>23663</v>
      </c>
      <c r="E3" s="33" t="n">
        <v>45659.54652777778</v>
      </c>
      <c r="F3" s="33" t="n">
        <v>45662.67222222222</v>
      </c>
      <c r="G3" s="34" t="n"/>
      <c r="H3" s="34" t="n"/>
    </row>
    <row r="4">
      <c r="A4" t="inlineStr">
        <is>
          <t>ENC110775</t>
        </is>
      </c>
      <c r="B4" t="inlineStr">
        <is>
          <t>PT11545</t>
        </is>
      </c>
      <c r="C4" t="inlineStr">
        <is>
          <t>Inpatient</t>
        </is>
      </c>
      <c r="D4" s="30" t="n">
        <v>9771</v>
      </c>
      <c r="E4" s="33" t="n">
        <v>45659.58055555556</v>
      </c>
      <c r="F4" s="33" t="n">
        <v>45665.54652777778</v>
      </c>
      <c r="G4" s="34" t="n"/>
      <c r="H4" s="34" t="n"/>
    </row>
    <row r="5">
      <c r="A5" t="inlineStr">
        <is>
          <t>ENC110850</t>
        </is>
      </c>
      <c r="B5" t="inlineStr">
        <is>
          <t>PT13346</t>
        </is>
      </c>
      <c r="C5" t="inlineStr">
        <is>
          <t>Observation</t>
        </is>
      </c>
      <c r="D5" s="30" t="n">
        <v>26418</v>
      </c>
      <c r="E5" s="33" t="n">
        <v>45661.75972222222</v>
      </c>
      <c r="F5" s="33" t="n">
        <v>45662.74722222222</v>
      </c>
      <c r="G5" s="34" t="n"/>
      <c r="H5" s="34" t="n"/>
    </row>
    <row r="6">
      <c r="A6" t="inlineStr">
        <is>
          <t>ENC110863</t>
        </is>
      </c>
      <c r="B6" t="inlineStr">
        <is>
          <t>PT11889</t>
        </is>
      </c>
      <c r="C6" t="inlineStr">
        <is>
          <t>Inpatient</t>
        </is>
      </c>
      <c r="D6" s="30" t="n">
        <v>23094</v>
      </c>
      <c r="E6" s="33" t="n">
        <v>45662.66666666666</v>
      </c>
      <c r="F6" s="33" t="n">
        <v>45665.72083333333</v>
      </c>
      <c r="G6" s="34" t="n"/>
      <c r="H6" s="34" t="n"/>
    </row>
    <row r="7">
      <c r="A7" t="inlineStr">
        <is>
          <t>ENC110866</t>
        </is>
      </c>
      <c r="B7" t="inlineStr">
        <is>
          <t>PT13715</t>
        </is>
      </c>
      <c r="C7" t="inlineStr">
        <is>
          <t>Inpatient</t>
        </is>
      </c>
      <c r="D7" s="30" t="n">
        <v>18388</v>
      </c>
      <c r="E7" s="33" t="n">
        <v>45662.71875</v>
      </c>
      <c r="F7" s="33" t="n">
        <v>45669.52777777778</v>
      </c>
      <c r="G7" s="34" t="n"/>
      <c r="H7" s="34" t="n"/>
    </row>
    <row r="8">
      <c r="A8" t="inlineStr">
        <is>
          <t>ENC110874</t>
        </is>
      </c>
      <c r="B8" t="inlineStr">
        <is>
          <t>PT11204</t>
        </is>
      </c>
      <c r="C8" t="inlineStr">
        <is>
          <t>Inpatient</t>
        </is>
      </c>
      <c r="D8" s="30" t="n">
        <v>17845</v>
      </c>
      <c r="E8" s="33" t="n">
        <v>45663.04861111111</v>
      </c>
      <c r="F8" s="33" t="n">
        <v>45669.43958333333</v>
      </c>
      <c r="G8" s="34" t="n"/>
      <c r="H8" s="34" t="n"/>
    </row>
    <row r="9">
      <c r="A9" t="inlineStr">
        <is>
          <t>ENC110922</t>
        </is>
      </c>
      <c r="B9" t="inlineStr">
        <is>
          <t>PT10855</t>
        </is>
      </c>
      <c r="C9" t="inlineStr">
        <is>
          <t>Inpatient</t>
        </is>
      </c>
      <c r="D9" s="30" t="n">
        <v>20312</v>
      </c>
      <c r="E9" s="33" t="n">
        <v>45663.8375</v>
      </c>
      <c r="F9" s="33" t="n">
        <v>45666.54791666667</v>
      </c>
      <c r="G9" s="34" t="n"/>
      <c r="H9" s="34" t="n"/>
    </row>
    <row r="10">
      <c r="A10" t="inlineStr">
        <is>
          <t>ENC110952</t>
        </is>
      </c>
      <c r="B10" t="inlineStr">
        <is>
          <t>PT11420</t>
        </is>
      </c>
      <c r="C10" t="inlineStr">
        <is>
          <t>Inpatient</t>
        </is>
      </c>
      <c r="D10" s="30" t="n">
        <v>10276</v>
      </c>
      <c r="E10" s="33" t="n">
        <v>45664.69652777778</v>
      </c>
      <c r="F10" s="33" t="n">
        <v>45669.56111111111</v>
      </c>
      <c r="G10" s="34" t="n"/>
      <c r="H10" s="34" t="n"/>
    </row>
    <row r="11">
      <c r="A11" t="inlineStr">
        <is>
          <t>ENC110967</t>
        </is>
      </c>
      <c r="B11" t="inlineStr">
        <is>
          <t>PT11138</t>
        </is>
      </c>
      <c r="C11" t="inlineStr">
        <is>
          <t>Inpatient</t>
        </is>
      </c>
      <c r="D11" s="30" t="n">
        <v>22399</v>
      </c>
      <c r="E11" s="33" t="n">
        <v>45665.53263888889</v>
      </c>
      <c r="F11" s="33" t="n">
        <v>45668.49722222222</v>
      </c>
      <c r="G11" s="34" t="n"/>
      <c r="H11" s="34" t="n"/>
    </row>
    <row r="12">
      <c r="A12" t="inlineStr">
        <is>
          <t>ENC111042</t>
        </is>
      </c>
      <c r="B12" t="inlineStr">
        <is>
          <t>PT11114</t>
        </is>
      </c>
      <c r="C12" t="inlineStr">
        <is>
          <t>Observation</t>
        </is>
      </c>
      <c r="D12" s="30" t="n">
        <v>27199</v>
      </c>
      <c r="E12" s="33" t="n">
        <v>45667.08888888889</v>
      </c>
      <c r="F12" s="33" t="n">
        <v>45667.95763888889</v>
      </c>
      <c r="G12" s="34" t="n"/>
      <c r="H12" s="34" t="n"/>
    </row>
    <row r="13">
      <c r="A13" t="inlineStr">
        <is>
          <t>ENC111045</t>
        </is>
      </c>
      <c r="B13" t="inlineStr">
        <is>
          <t>PT10715</t>
        </is>
      </c>
      <c r="C13" t="inlineStr">
        <is>
          <t>Inpatient</t>
        </is>
      </c>
      <c r="D13" s="30" t="n">
        <v>24490</v>
      </c>
      <c r="E13" s="33" t="n">
        <v>45667.34861111111</v>
      </c>
      <c r="F13" s="33" t="n">
        <v>45674.82222222222</v>
      </c>
      <c r="G13" s="34" t="n"/>
      <c r="H13" s="34" t="n"/>
    </row>
    <row r="14">
      <c r="A14" t="inlineStr">
        <is>
          <t>ENC111079</t>
        </is>
      </c>
      <c r="B14" t="inlineStr">
        <is>
          <t>PT12060</t>
        </is>
      </c>
      <c r="C14" t="inlineStr">
        <is>
          <t>Inpatient</t>
        </is>
      </c>
      <c r="D14" s="30" t="n">
        <v>22563</v>
      </c>
      <c r="E14" s="33" t="n">
        <v>45667.95</v>
      </c>
      <c r="F14" s="33" t="n">
        <v>45675.54027777778</v>
      </c>
      <c r="G14" s="34" t="n"/>
      <c r="H14" s="34" t="n"/>
    </row>
    <row r="15">
      <c r="A15" t="inlineStr">
        <is>
          <t>ENC111094</t>
        </is>
      </c>
      <c r="B15" t="inlineStr">
        <is>
          <t>PT12193</t>
        </is>
      </c>
      <c r="C15" t="inlineStr">
        <is>
          <t>Inpatient</t>
        </is>
      </c>
      <c r="D15" s="30" t="n">
        <v>17112</v>
      </c>
      <c r="E15" s="33" t="n">
        <v>45668.65347222222</v>
      </c>
      <c r="F15" s="33" t="n">
        <v>45670.78402777778</v>
      </c>
      <c r="G15" s="34" t="n"/>
      <c r="H15" s="34" t="n"/>
    </row>
    <row r="16">
      <c r="A16" t="inlineStr">
        <is>
          <t>ENC111101</t>
        </is>
      </c>
      <c r="B16" t="inlineStr">
        <is>
          <t>PT12264</t>
        </is>
      </c>
      <c r="C16" t="inlineStr">
        <is>
          <t>Inpatient</t>
        </is>
      </c>
      <c r="D16" s="30" t="n">
        <v>17775</v>
      </c>
      <c r="E16" s="33" t="n">
        <v>45668.84652777778</v>
      </c>
      <c r="F16" s="33" t="n">
        <v>45671.67986111111</v>
      </c>
      <c r="G16" s="34" t="n"/>
      <c r="H16" s="34" t="n"/>
    </row>
    <row r="17">
      <c r="A17" t="inlineStr">
        <is>
          <t>ENC111109</t>
        </is>
      </c>
      <c r="B17" t="inlineStr">
        <is>
          <t>PT11371</t>
        </is>
      </c>
      <c r="C17" t="inlineStr">
        <is>
          <t>Inpatient</t>
        </is>
      </c>
      <c r="D17" s="30" t="n">
        <v>19214</v>
      </c>
      <c r="E17" s="33" t="n">
        <v>45669.14444444444</v>
      </c>
      <c r="F17" s="33" t="n">
        <v>45675.67847222222</v>
      </c>
      <c r="G17" s="34" t="n"/>
      <c r="H17" s="34" t="n"/>
    </row>
    <row r="18">
      <c r="A18" t="inlineStr">
        <is>
          <t>ENC111114</t>
        </is>
      </c>
      <c r="B18" t="inlineStr">
        <is>
          <t>PT11101</t>
        </is>
      </c>
      <c r="C18" t="inlineStr">
        <is>
          <t>Inpatient</t>
        </is>
      </c>
      <c r="D18" s="30" t="n">
        <v>19202</v>
      </c>
      <c r="E18" s="33" t="n">
        <v>45669.57152777778</v>
      </c>
      <c r="F18" s="33" t="n">
        <v>45676.54652777778</v>
      </c>
      <c r="G18" s="34" t="n"/>
      <c r="H18" s="34" t="n"/>
    </row>
    <row r="19">
      <c r="A19" t="inlineStr">
        <is>
          <t>ENC111126</t>
        </is>
      </c>
      <c r="B19" t="inlineStr">
        <is>
          <t>PT13991</t>
        </is>
      </c>
      <c r="C19" t="inlineStr">
        <is>
          <t>Observation</t>
        </is>
      </c>
      <c r="D19" s="30" t="n">
        <v>18890</v>
      </c>
      <c r="E19" s="33" t="n">
        <v>45669.8875</v>
      </c>
      <c r="F19" s="33" t="n">
        <v>45671.69513888889</v>
      </c>
      <c r="G19" s="34" t="n"/>
      <c r="H19" s="34" t="n"/>
    </row>
    <row r="20">
      <c r="A20" t="inlineStr">
        <is>
          <t>ENC111171</t>
        </is>
      </c>
      <c r="B20" t="inlineStr">
        <is>
          <t>PT12484</t>
        </is>
      </c>
      <c r="C20" t="inlineStr">
        <is>
          <t>Inpatient</t>
        </is>
      </c>
      <c r="D20" s="30" t="n">
        <v>21140</v>
      </c>
      <c r="E20" s="33" t="n">
        <v>45670.73958333334</v>
      </c>
      <c r="F20" s="33" t="n">
        <v>45672.59027777778</v>
      </c>
      <c r="G20" s="34" t="n"/>
      <c r="H20" s="34" t="n"/>
    </row>
    <row r="21">
      <c r="A21" t="inlineStr">
        <is>
          <t>ENC111185</t>
        </is>
      </c>
      <c r="B21" t="inlineStr">
        <is>
          <t>PT10644</t>
        </is>
      </c>
      <c r="C21" t="inlineStr">
        <is>
          <t>Inpatient</t>
        </is>
      </c>
      <c r="D21" s="30" t="n">
        <v>14544</v>
      </c>
      <c r="E21" s="33" t="n">
        <v>45670.90347222222</v>
      </c>
      <c r="F21" s="33" t="n">
        <v>45675.53333333333</v>
      </c>
      <c r="G21" s="34" t="n"/>
      <c r="H21" s="34" t="n"/>
    </row>
    <row r="22">
      <c r="A22" t="inlineStr">
        <is>
          <t>ENC111190</t>
        </is>
      </c>
      <c r="B22" t="inlineStr">
        <is>
          <t>PT12420</t>
        </is>
      </c>
      <c r="C22" t="inlineStr">
        <is>
          <t>Inpatient</t>
        </is>
      </c>
      <c r="D22" s="30" t="n">
        <v>26405</v>
      </c>
      <c r="E22" s="33" t="n">
        <v>45671.3</v>
      </c>
      <c r="F22" s="33" t="n">
        <v>45672.63541666666</v>
      </c>
      <c r="G22" s="34" t="n"/>
      <c r="H22" s="34" t="n"/>
    </row>
    <row r="23">
      <c r="A23" t="inlineStr">
        <is>
          <t>ENC111233</t>
        </is>
      </c>
      <c r="B23" t="inlineStr">
        <is>
          <t>PT13536</t>
        </is>
      </c>
      <c r="C23" t="inlineStr">
        <is>
          <t>Inpatient</t>
        </is>
      </c>
      <c r="D23" s="30" t="n">
        <v>19225</v>
      </c>
      <c r="E23" s="33" t="n">
        <v>45672.50347222222</v>
      </c>
      <c r="F23" s="33" t="n">
        <v>45676.35625</v>
      </c>
      <c r="G23" s="34" t="n"/>
      <c r="H23" s="34" t="n"/>
    </row>
    <row r="24">
      <c r="A24" t="inlineStr">
        <is>
          <t>ENC111244</t>
        </is>
      </c>
      <c r="B24" t="inlineStr">
        <is>
          <t>PT12494</t>
        </is>
      </c>
      <c r="C24" t="inlineStr">
        <is>
          <t>Inpatient</t>
        </is>
      </c>
      <c r="D24" s="30" t="n">
        <v>18195</v>
      </c>
      <c r="E24" s="33" t="n">
        <v>45672.75972222222</v>
      </c>
      <c r="F24" s="33" t="n">
        <v>45677.61388888889</v>
      </c>
      <c r="G24" s="34" t="n"/>
      <c r="H24" s="34" t="n"/>
    </row>
    <row r="25">
      <c r="A25" t="inlineStr">
        <is>
          <t>ENC111249</t>
        </is>
      </c>
      <c r="B25" t="inlineStr">
        <is>
          <t>PT10171</t>
        </is>
      </c>
      <c r="C25" t="inlineStr">
        <is>
          <t>Inpatient</t>
        </is>
      </c>
      <c r="D25" s="30" t="n">
        <v>18053</v>
      </c>
      <c r="E25" s="33" t="n">
        <v>45672.86597222222</v>
      </c>
      <c r="F25" s="33" t="n">
        <v>45676.55416666667</v>
      </c>
      <c r="G25" s="34" t="n"/>
      <c r="H25" s="34" t="n"/>
    </row>
    <row r="26">
      <c r="A26" t="inlineStr">
        <is>
          <t>ENC111251</t>
        </is>
      </c>
      <c r="B26" t="inlineStr">
        <is>
          <t>PT12893</t>
        </is>
      </c>
      <c r="C26" t="inlineStr">
        <is>
          <t>Observation</t>
        </is>
      </c>
      <c r="D26" s="30" t="n">
        <v>27834</v>
      </c>
      <c r="E26" s="33" t="n">
        <v>45672.88611111111</v>
      </c>
      <c r="F26" s="33" t="n">
        <v>45673.43541666667</v>
      </c>
      <c r="G26" s="34" t="n"/>
      <c r="H26" s="34" t="n"/>
    </row>
    <row r="27">
      <c r="A27" t="inlineStr">
        <is>
          <t>ENC111253</t>
        </is>
      </c>
      <c r="B27" t="inlineStr">
        <is>
          <t>PT10610</t>
        </is>
      </c>
      <c r="C27" t="inlineStr">
        <is>
          <t>Inpatient</t>
        </is>
      </c>
      <c r="D27" s="30" t="n">
        <v>32644</v>
      </c>
      <c r="E27" s="33" t="n">
        <v>45672.93263888889</v>
      </c>
      <c r="F27" s="33" t="n">
        <v>45675.67222222222</v>
      </c>
      <c r="G27" s="34" t="n"/>
      <c r="H27" s="34" t="n"/>
    </row>
    <row r="28">
      <c r="A28" t="inlineStr">
        <is>
          <t>ENC111257</t>
        </is>
      </c>
      <c r="B28" t="inlineStr">
        <is>
          <t>PT12636</t>
        </is>
      </c>
      <c r="C28" t="inlineStr">
        <is>
          <t>Inpatient</t>
        </is>
      </c>
      <c r="D28" s="30" t="n">
        <v>20340</v>
      </c>
      <c r="E28" s="33" t="n">
        <v>45673.15902777778</v>
      </c>
      <c r="F28" s="33" t="n">
        <v>45678.63055555556</v>
      </c>
      <c r="G28" s="34" t="n"/>
      <c r="H28" s="34" t="n"/>
    </row>
    <row r="29">
      <c r="A29" t="inlineStr">
        <is>
          <t>ENC111258</t>
        </is>
      </c>
      <c r="B29" t="inlineStr">
        <is>
          <t>PT13821</t>
        </is>
      </c>
      <c r="C29" t="inlineStr">
        <is>
          <t>Inpatient</t>
        </is>
      </c>
      <c r="D29" s="30" t="n">
        <v>28742</v>
      </c>
      <c r="E29" s="33" t="n">
        <v>45673.29930555556</v>
      </c>
      <c r="F29" s="33" t="n">
        <v>45676.64097222222</v>
      </c>
      <c r="G29" s="34" t="n"/>
      <c r="H29" s="34" t="n"/>
    </row>
    <row r="30">
      <c r="A30" t="inlineStr">
        <is>
          <t>ENC111304</t>
        </is>
      </c>
      <c r="B30" t="inlineStr">
        <is>
          <t>PT13751</t>
        </is>
      </c>
      <c r="C30" t="inlineStr">
        <is>
          <t>Observation</t>
        </is>
      </c>
      <c r="D30" s="30" t="n">
        <v>12686</v>
      </c>
      <c r="E30" s="33" t="n">
        <v>45674.53263888889</v>
      </c>
      <c r="F30" s="33" t="n">
        <v>45675.34583333333</v>
      </c>
      <c r="G30" s="34" t="n"/>
      <c r="H30" s="34" t="n"/>
    </row>
    <row r="31">
      <c r="A31" t="inlineStr">
        <is>
          <t>ENC111325</t>
        </is>
      </c>
      <c r="B31" t="inlineStr">
        <is>
          <t>PT13940</t>
        </is>
      </c>
      <c r="C31" t="inlineStr">
        <is>
          <t>Observation</t>
        </is>
      </c>
      <c r="D31" s="30" t="n">
        <v>23814</v>
      </c>
      <c r="E31" s="33" t="n">
        <v>45674.89375</v>
      </c>
      <c r="F31" s="33" t="n">
        <v>45676.38125</v>
      </c>
      <c r="G31" s="34" t="n"/>
      <c r="H31" s="34" t="n"/>
    </row>
    <row r="32">
      <c r="A32" t="inlineStr">
        <is>
          <t>ENC111332</t>
        </is>
      </c>
      <c r="B32" t="inlineStr">
        <is>
          <t>PT10101</t>
        </is>
      </c>
      <c r="C32" t="inlineStr">
        <is>
          <t>Inpatient</t>
        </is>
      </c>
      <c r="D32" s="30" t="n">
        <v>18101</v>
      </c>
      <c r="E32" s="33" t="n">
        <v>45674.91041666667</v>
      </c>
      <c r="F32" s="33" t="n">
        <v>45679.46458333333</v>
      </c>
      <c r="G32" s="34" t="n"/>
      <c r="H32" s="34" t="n"/>
    </row>
    <row r="33">
      <c r="A33" t="inlineStr">
        <is>
          <t>ENC111340</t>
        </is>
      </c>
      <c r="B33" t="inlineStr">
        <is>
          <t>PT13603</t>
        </is>
      </c>
      <c r="C33" t="inlineStr">
        <is>
          <t>Inpatient</t>
        </is>
      </c>
      <c r="D33" s="30" t="n">
        <v>16274</v>
      </c>
      <c r="E33" s="33" t="n">
        <v>45675.61805555555</v>
      </c>
      <c r="F33" s="33" t="n">
        <v>45681.64097222222</v>
      </c>
      <c r="G33" s="34" t="n"/>
      <c r="H33" s="34" t="n"/>
    </row>
    <row r="34">
      <c r="A34" t="inlineStr">
        <is>
          <t>ENC111349</t>
        </is>
      </c>
      <c r="B34" t="inlineStr">
        <is>
          <t>PT12325</t>
        </is>
      </c>
      <c r="C34" t="inlineStr">
        <is>
          <t>Observation</t>
        </is>
      </c>
      <c r="D34" s="30" t="n">
        <v>17919</v>
      </c>
      <c r="E34" s="33" t="n">
        <v>45676.49583333333</v>
      </c>
      <c r="F34" s="33" t="n">
        <v>45677.55138888889</v>
      </c>
      <c r="G34" s="34" t="n"/>
      <c r="H34" s="34" t="n"/>
    </row>
    <row r="35">
      <c r="A35" t="inlineStr">
        <is>
          <t>ENC111367</t>
        </is>
      </c>
      <c r="B35" t="inlineStr">
        <is>
          <t>PT10016</t>
        </is>
      </c>
      <c r="C35" t="inlineStr">
        <is>
          <t>Observation</t>
        </is>
      </c>
      <c r="D35" s="30" t="n">
        <v>37473</v>
      </c>
      <c r="E35" s="33" t="n">
        <v>45676.87847222222</v>
      </c>
      <c r="F35" s="33" t="n">
        <v>45677.60347222222</v>
      </c>
      <c r="G35" s="34" t="n"/>
      <c r="H35" s="34" t="n"/>
    </row>
    <row r="36">
      <c r="A36" t="inlineStr">
        <is>
          <t>ENC111413</t>
        </is>
      </c>
      <c r="B36" t="inlineStr">
        <is>
          <t>PT13218</t>
        </is>
      </c>
      <c r="C36" t="inlineStr">
        <is>
          <t>Inpatient</t>
        </is>
      </c>
      <c r="D36" s="30" t="n">
        <v>36082</v>
      </c>
      <c r="E36" s="33" t="n">
        <v>45678.08680555555</v>
      </c>
      <c r="F36" s="33" t="n">
        <v>45681.49375</v>
      </c>
      <c r="G36" s="34" t="n"/>
      <c r="H36" s="34" t="n"/>
    </row>
    <row r="37">
      <c r="A37" t="inlineStr">
        <is>
          <t>ENC111476</t>
        </is>
      </c>
      <c r="B37" t="inlineStr">
        <is>
          <t>PT10681</t>
        </is>
      </c>
      <c r="C37" t="inlineStr">
        <is>
          <t>Inpatient</t>
        </is>
      </c>
      <c r="D37" s="30" t="n">
        <v>10128</v>
      </c>
      <c r="E37" s="33" t="n">
        <v>45679.55555555555</v>
      </c>
      <c r="F37" s="33" t="n">
        <v>45682.75416666667</v>
      </c>
      <c r="G37" s="34" t="n"/>
      <c r="H37" s="34" t="n"/>
    </row>
    <row r="38">
      <c r="A38" t="inlineStr">
        <is>
          <t>ENC111495</t>
        </is>
      </c>
      <c r="B38" t="inlineStr">
        <is>
          <t>PT11372</t>
        </is>
      </c>
      <c r="C38" t="inlineStr">
        <is>
          <t>Inpatient</t>
        </is>
      </c>
      <c r="D38" s="30" t="n">
        <v>17866</v>
      </c>
      <c r="E38" s="33" t="n">
        <v>45680.03680555556</v>
      </c>
      <c r="F38" s="33" t="n">
        <v>45684.45138888889</v>
      </c>
      <c r="G38" s="34" t="n"/>
      <c r="H38" s="34" t="n"/>
    </row>
    <row r="39">
      <c r="A39" t="inlineStr">
        <is>
          <t>ENC111497</t>
        </is>
      </c>
      <c r="B39" t="inlineStr">
        <is>
          <t>PT13090</t>
        </is>
      </c>
      <c r="C39" t="inlineStr">
        <is>
          <t>Inpatient</t>
        </is>
      </c>
      <c r="D39" s="30" t="n">
        <v>17875</v>
      </c>
      <c r="E39" s="33" t="n">
        <v>45680.13888888889</v>
      </c>
      <c r="F39" s="33" t="n">
        <v>45686.47430555556</v>
      </c>
      <c r="G39" s="34" t="n"/>
      <c r="H39" s="34" t="n"/>
    </row>
    <row r="40">
      <c r="A40" t="inlineStr">
        <is>
          <t>ENC111501</t>
        </is>
      </c>
      <c r="B40" t="inlineStr">
        <is>
          <t>PT10510</t>
        </is>
      </c>
      <c r="C40" t="inlineStr">
        <is>
          <t>Observation</t>
        </is>
      </c>
      <c r="D40" s="30" t="n">
        <v>29264</v>
      </c>
      <c r="E40" s="33" t="n">
        <v>45680.47291666667</v>
      </c>
      <c r="F40" s="33" t="n">
        <v>45681.85138888889</v>
      </c>
      <c r="G40" s="34" t="n"/>
      <c r="H40" s="34" t="n"/>
    </row>
    <row r="41">
      <c r="A41" t="inlineStr">
        <is>
          <t>ENC111612</t>
        </is>
      </c>
      <c r="B41" t="inlineStr">
        <is>
          <t>PT11327</t>
        </is>
      </c>
      <c r="C41" t="inlineStr">
        <is>
          <t>Inpatient</t>
        </is>
      </c>
      <c r="D41" s="30" t="n">
        <v>21911</v>
      </c>
      <c r="E41" s="33" t="n">
        <v>45683.3625</v>
      </c>
      <c r="F41" s="33" t="n">
        <v>45689.50416666667</v>
      </c>
      <c r="G41" s="34" t="n"/>
      <c r="H41" s="34" t="n"/>
    </row>
    <row r="42">
      <c r="A42" t="inlineStr">
        <is>
          <t>ENC111618</t>
        </is>
      </c>
      <c r="B42" t="inlineStr">
        <is>
          <t>PT12770</t>
        </is>
      </c>
      <c r="C42" t="inlineStr">
        <is>
          <t>Inpatient</t>
        </is>
      </c>
      <c r="D42" s="30" t="n">
        <v>38157</v>
      </c>
      <c r="E42" s="33" t="n">
        <v>45683.75347222222</v>
      </c>
      <c r="F42" s="33" t="n">
        <v>45691.63263888889</v>
      </c>
      <c r="G42" s="34" t="n"/>
      <c r="H42" s="34" t="n"/>
    </row>
    <row r="43">
      <c r="A43" t="inlineStr">
        <is>
          <t>ENC111630</t>
        </is>
      </c>
      <c r="B43" t="inlineStr">
        <is>
          <t>PT10050</t>
        </is>
      </c>
      <c r="C43" t="inlineStr">
        <is>
          <t>Inpatient</t>
        </is>
      </c>
      <c r="D43" s="30" t="n">
        <v>16878</v>
      </c>
      <c r="E43" s="33" t="n">
        <v>45683.75416666667</v>
      </c>
      <c r="F43" s="33" t="n">
        <v>45687.56527777778</v>
      </c>
      <c r="G43" s="34" t="n"/>
      <c r="H43" s="34" t="n"/>
    </row>
    <row r="44">
      <c r="A44" t="inlineStr">
        <is>
          <t>ENC111656</t>
        </is>
      </c>
      <c r="B44" t="inlineStr">
        <is>
          <t>PT10194</t>
        </is>
      </c>
      <c r="C44" t="inlineStr">
        <is>
          <t>Inpatient</t>
        </is>
      </c>
      <c r="D44" s="30" t="n">
        <v>33558</v>
      </c>
      <c r="E44" s="33" t="n">
        <v>45684.54930555556</v>
      </c>
      <c r="F44" s="33" t="n">
        <v>45687.62916666667</v>
      </c>
      <c r="G44" s="34" t="n"/>
      <c r="H44" s="34" t="n"/>
    </row>
    <row r="45">
      <c r="A45" t="inlineStr">
        <is>
          <t>ENC111687</t>
        </is>
      </c>
      <c r="B45" t="inlineStr">
        <is>
          <t>PT12426</t>
        </is>
      </c>
      <c r="C45" t="inlineStr">
        <is>
          <t>Inpatient</t>
        </is>
      </c>
      <c r="D45" s="30" t="n">
        <v>21025</v>
      </c>
      <c r="E45" s="33" t="n">
        <v>45685.26458333333</v>
      </c>
      <c r="F45" s="33" t="n">
        <v>45686.56527777778</v>
      </c>
      <c r="G45" s="34" t="n"/>
      <c r="H45" s="34" t="n"/>
    </row>
    <row r="46">
      <c r="A46" t="inlineStr">
        <is>
          <t>ENC111697</t>
        </is>
      </c>
      <c r="B46" t="inlineStr">
        <is>
          <t>PT12826</t>
        </is>
      </c>
      <c r="C46" t="inlineStr">
        <is>
          <t>Inpatient</t>
        </is>
      </c>
      <c r="D46" s="30" t="n">
        <v>18930</v>
      </c>
      <c r="E46" s="33" t="n">
        <v>45685.50833333333</v>
      </c>
      <c r="F46" s="33" t="n">
        <v>45689.59583333333</v>
      </c>
      <c r="G46" s="34" t="n"/>
      <c r="H46" s="34" t="n"/>
    </row>
    <row r="47">
      <c r="A47" t="inlineStr">
        <is>
          <t>ENC111716</t>
        </is>
      </c>
      <c r="B47" t="inlineStr">
        <is>
          <t>PT12506</t>
        </is>
      </c>
      <c r="C47" t="inlineStr">
        <is>
          <t>Inpatient</t>
        </is>
      </c>
      <c r="D47" s="30" t="n">
        <v>24603</v>
      </c>
      <c r="E47" s="33" t="n">
        <v>45685.87916666667</v>
      </c>
      <c r="F47" s="33" t="n">
        <v>45326.55555555555</v>
      </c>
      <c r="G47" s="34" t="n"/>
      <c r="H47" s="34" t="n"/>
    </row>
    <row r="48">
      <c r="A48" t="inlineStr">
        <is>
          <t>ENC111726</t>
        </is>
      </c>
      <c r="B48" t="inlineStr">
        <is>
          <t>PT10074</t>
        </is>
      </c>
      <c r="C48" t="inlineStr">
        <is>
          <t>Inpatient</t>
        </is>
      </c>
      <c r="D48" s="30" t="n">
        <v>22130</v>
      </c>
      <c r="E48" s="33" t="n">
        <v>45686.31736111111</v>
      </c>
      <c r="F48" s="33" t="n">
        <v>45687.45625</v>
      </c>
      <c r="G48" s="34" t="n"/>
      <c r="H48" s="34" t="n"/>
    </row>
    <row r="49">
      <c r="A49" t="inlineStr">
        <is>
          <t>ENC111737</t>
        </is>
      </c>
      <c r="B49" t="inlineStr">
        <is>
          <t>PT10906</t>
        </is>
      </c>
      <c r="C49" t="inlineStr">
        <is>
          <t>Inpatient</t>
        </is>
      </c>
      <c r="D49" s="30" t="n">
        <v>20233</v>
      </c>
      <c r="E49" s="33" t="n">
        <v>45686.43888888889</v>
      </c>
      <c r="F49" s="33" t="n">
        <v>45688.56805555556</v>
      </c>
      <c r="G49" s="34" t="n"/>
      <c r="H49" s="34" t="n"/>
    </row>
    <row r="50">
      <c r="A50" t="inlineStr">
        <is>
          <t>ENC111742</t>
        </is>
      </c>
      <c r="B50" t="inlineStr">
        <is>
          <t>PT13311</t>
        </is>
      </c>
      <c r="C50" t="inlineStr">
        <is>
          <t>Inpatient</t>
        </is>
      </c>
      <c r="D50" s="30" t="n">
        <v>23647</v>
      </c>
      <c r="E50" s="33" t="n">
        <v>45686.64722222222</v>
      </c>
      <c r="F50" s="33" t="n">
        <v>45696.64027777778</v>
      </c>
      <c r="G50" s="34" t="n"/>
      <c r="H50" s="34" t="n"/>
    </row>
    <row r="51">
      <c r="A51" t="inlineStr">
        <is>
          <t>ENC111798</t>
        </is>
      </c>
      <c r="B51" t="inlineStr">
        <is>
          <t>PT12058</t>
        </is>
      </c>
      <c r="C51" t="inlineStr">
        <is>
          <t>Inpatient</t>
        </is>
      </c>
      <c r="D51" s="30" t="n">
        <v>13360</v>
      </c>
      <c r="E51" s="33" t="n">
        <v>45687.65833333333</v>
      </c>
      <c r="F51" s="33" t="n">
        <v>45689.65486111111</v>
      </c>
      <c r="G51" s="34" t="n"/>
      <c r="H51" s="34" t="n"/>
    </row>
    <row r="52">
      <c r="A52" t="inlineStr">
        <is>
          <t>ENC111866</t>
        </is>
      </c>
      <c r="B52" t="inlineStr">
        <is>
          <t>PT12469</t>
        </is>
      </c>
      <c r="C52" t="inlineStr">
        <is>
          <t>Observation</t>
        </is>
      </c>
      <c r="D52" s="30" t="n">
        <v>21607</v>
      </c>
      <c r="E52" s="33" t="n">
        <v>45689.95694444444</v>
      </c>
      <c r="F52" s="33" t="n">
        <v>45690.97013888889</v>
      </c>
      <c r="G52" s="34" t="n"/>
      <c r="H52" s="34" t="n"/>
    </row>
    <row r="53">
      <c r="A53" t="inlineStr">
        <is>
          <t>ENC111880</t>
        </is>
      </c>
      <c r="B53" t="inlineStr">
        <is>
          <t>PT10252</t>
        </is>
      </c>
      <c r="C53" t="inlineStr">
        <is>
          <t>Inpatient</t>
        </is>
      </c>
      <c r="D53" s="30" t="n">
        <v>27534</v>
      </c>
      <c r="E53" s="33" t="n">
        <v>45690.47916666666</v>
      </c>
      <c r="F53" s="33" t="n">
        <v>45703.68402777778</v>
      </c>
      <c r="G53" s="34" t="n"/>
      <c r="H53" s="34" t="n"/>
    </row>
    <row r="54">
      <c r="A54" t="inlineStr">
        <is>
          <t>ENC111875</t>
        </is>
      </c>
      <c r="B54" t="inlineStr">
        <is>
          <t>PT11288</t>
        </is>
      </c>
      <c r="C54" t="inlineStr">
        <is>
          <t>Observation</t>
        </is>
      </c>
      <c r="D54" s="30" t="n">
        <v>39911</v>
      </c>
      <c r="E54" s="33" t="n">
        <v>45690.51527777778</v>
      </c>
      <c r="F54" s="33" t="n">
        <v>45691.33958333333</v>
      </c>
      <c r="G54" s="34" t="n"/>
      <c r="H54" s="34" t="n"/>
    </row>
    <row r="55">
      <c r="A55" t="inlineStr">
        <is>
          <t>ENC111892</t>
        </is>
      </c>
      <c r="B55" t="inlineStr">
        <is>
          <t>PT13304</t>
        </is>
      </c>
      <c r="C55" t="inlineStr">
        <is>
          <t>Inpatient</t>
        </is>
      </c>
      <c r="D55" s="30" t="n">
        <v>29903</v>
      </c>
      <c r="E55" s="33" t="n">
        <v>45690.93888888889</v>
      </c>
      <c r="F55" s="33" t="n">
        <v>45694.70208333333</v>
      </c>
      <c r="G55" s="34" t="n"/>
      <c r="H55" s="34" t="n"/>
    </row>
    <row r="56">
      <c r="A56" t="inlineStr">
        <is>
          <t>ENC111918</t>
        </is>
      </c>
      <c r="B56" t="inlineStr">
        <is>
          <t>PT10979</t>
        </is>
      </c>
      <c r="C56" t="inlineStr">
        <is>
          <t>Inpatient</t>
        </is>
      </c>
      <c r="D56" s="30" t="n">
        <v>31099</v>
      </c>
      <c r="E56" s="33" t="n">
        <v>45691.55277777778</v>
      </c>
      <c r="F56" s="33" t="n">
        <v>45697.66805555556</v>
      </c>
      <c r="G56" s="34" t="n"/>
      <c r="H56" s="34" t="n"/>
    </row>
    <row r="57">
      <c r="A57" t="inlineStr">
        <is>
          <t>ENC111921</t>
        </is>
      </c>
      <c r="B57" t="inlineStr">
        <is>
          <t>PT10755</t>
        </is>
      </c>
      <c r="C57" t="inlineStr">
        <is>
          <t>Inpatient</t>
        </is>
      </c>
      <c r="D57" s="30" t="n">
        <v>24928</v>
      </c>
      <c r="E57" s="33" t="n">
        <v>45691.72777777778</v>
      </c>
      <c r="F57" s="33" t="n">
        <v>45694.51736111111</v>
      </c>
      <c r="G57" s="34" t="n"/>
      <c r="H57" s="34" t="n"/>
    </row>
    <row r="58">
      <c r="A58" t="inlineStr">
        <is>
          <t>ENC111920</t>
        </is>
      </c>
      <c r="B58" t="inlineStr">
        <is>
          <t>PT10660</t>
        </is>
      </c>
      <c r="C58" t="inlineStr">
        <is>
          <t>Observation</t>
        </is>
      </c>
      <c r="D58" s="30" t="n">
        <v>31876</v>
      </c>
      <c r="E58" s="33" t="n">
        <v>45691.73819444444</v>
      </c>
      <c r="F58" s="33" t="n">
        <v>45693.46875</v>
      </c>
      <c r="G58" s="34" t="n"/>
      <c r="H58" s="34" t="n"/>
    </row>
    <row r="59">
      <c r="A59" t="inlineStr">
        <is>
          <t>ENC111939</t>
        </is>
      </c>
      <c r="B59" t="inlineStr">
        <is>
          <t>PT12141</t>
        </is>
      </c>
      <c r="C59" t="inlineStr">
        <is>
          <t>Inpatient</t>
        </is>
      </c>
      <c r="D59" s="30" t="n">
        <v>36595</v>
      </c>
      <c r="E59" s="33" t="n">
        <v>45692.05138888889</v>
      </c>
      <c r="F59" s="33" t="n">
        <v>45695.59097222222</v>
      </c>
      <c r="G59" s="34" t="n"/>
      <c r="H59" s="34" t="n"/>
    </row>
    <row r="60">
      <c r="A60" t="inlineStr">
        <is>
          <t>ENC111942</t>
        </is>
      </c>
      <c r="B60" t="inlineStr">
        <is>
          <t>PT12513</t>
        </is>
      </c>
      <c r="C60" t="inlineStr">
        <is>
          <t>Inpatient</t>
        </is>
      </c>
      <c r="D60" s="30" t="n">
        <v>18990</v>
      </c>
      <c r="E60" s="33" t="n">
        <v>45692.26666666667</v>
      </c>
      <c r="F60" s="33" t="n">
        <v>45699.48819444444</v>
      </c>
      <c r="G60" s="34" t="n"/>
      <c r="H60" s="34" t="n"/>
    </row>
    <row r="61">
      <c r="A61" t="inlineStr">
        <is>
          <t>ENC111950</t>
        </is>
      </c>
      <c r="B61" t="inlineStr">
        <is>
          <t>PT13346</t>
        </is>
      </c>
      <c r="C61" t="inlineStr">
        <is>
          <t>Observation</t>
        </is>
      </c>
      <c r="D61" s="30" t="n">
        <v>26418</v>
      </c>
      <c r="E61" s="33" t="n">
        <v>45692.54236111111</v>
      </c>
      <c r="F61" s="33" t="n">
        <v>45693.43680555555</v>
      </c>
      <c r="G61" s="34" t="n"/>
      <c r="H61" s="34" t="n"/>
    </row>
    <row r="62">
      <c r="A62" t="inlineStr">
        <is>
          <t>ENC111971</t>
        </is>
      </c>
      <c r="B62" t="inlineStr">
        <is>
          <t>PT11194</t>
        </is>
      </c>
      <c r="C62" t="inlineStr">
        <is>
          <t>Observation</t>
        </is>
      </c>
      <c r="D62" s="30" t="n">
        <v>11719</v>
      </c>
      <c r="E62" s="33" t="n">
        <v>45692.71736111111</v>
      </c>
      <c r="F62" s="33" t="n">
        <v>45693.77708333333</v>
      </c>
      <c r="G62" s="34" t="n"/>
      <c r="H62" s="34" t="n"/>
    </row>
    <row r="63">
      <c r="A63" t="inlineStr">
        <is>
          <t>ENC111984</t>
        </is>
      </c>
      <c r="B63" t="inlineStr">
        <is>
          <t>PT13628</t>
        </is>
      </c>
      <c r="C63" t="inlineStr">
        <is>
          <t>Inpatient</t>
        </is>
      </c>
      <c r="D63" s="30" t="n">
        <v>37760</v>
      </c>
      <c r="E63" s="33" t="n">
        <v>45692.99097222222</v>
      </c>
      <c r="F63" s="33" t="n">
        <v>45697.59375</v>
      </c>
      <c r="G63" s="34" t="n"/>
      <c r="H63" s="34" t="n"/>
    </row>
    <row r="64">
      <c r="A64" t="inlineStr">
        <is>
          <t>ENC111998</t>
        </is>
      </c>
      <c r="B64" t="inlineStr">
        <is>
          <t>PT10471</t>
        </is>
      </c>
      <c r="C64" t="inlineStr">
        <is>
          <t>Inpatient</t>
        </is>
      </c>
      <c r="D64" s="30" t="n">
        <v>22457</v>
      </c>
      <c r="E64" s="33" t="n">
        <v>45693.34722222222</v>
      </c>
      <c r="F64" s="33" t="n">
        <v>45697.68472222222</v>
      </c>
      <c r="G64" s="34" t="n"/>
      <c r="H64" s="34" t="n"/>
    </row>
    <row r="65">
      <c r="A65" t="inlineStr">
        <is>
          <t>ENC112043</t>
        </is>
      </c>
      <c r="B65" t="inlineStr">
        <is>
          <t>PT10644</t>
        </is>
      </c>
      <c r="C65" t="inlineStr">
        <is>
          <t>Inpatient</t>
        </is>
      </c>
      <c r="D65" s="30" t="n">
        <v>14544</v>
      </c>
      <c r="E65" s="33" t="n">
        <v>45694.52083333334</v>
      </c>
      <c r="F65" s="33" t="n">
        <v>45700.48263888889</v>
      </c>
      <c r="G65" s="34" t="n"/>
      <c r="H65" s="34" t="n"/>
    </row>
    <row r="66">
      <c r="A66" t="inlineStr">
        <is>
          <t>ENC112060</t>
        </is>
      </c>
      <c r="B66" t="inlineStr">
        <is>
          <t>PT12703</t>
        </is>
      </c>
      <c r="C66" t="inlineStr">
        <is>
          <t>Observation</t>
        </is>
      </c>
      <c r="D66" s="30" t="n">
        <v>14876</v>
      </c>
      <c r="E66" s="33" t="n">
        <v>45694.74305555555</v>
      </c>
      <c r="F66" s="33" t="n">
        <v>45696.63888888889</v>
      </c>
      <c r="G66" s="34" t="n"/>
      <c r="H66" s="34" t="n"/>
    </row>
    <row r="67">
      <c r="A67" t="inlineStr">
        <is>
          <t>ENC112083</t>
        </is>
      </c>
      <c r="B67" t="inlineStr">
        <is>
          <t>PT10032</t>
        </is>
      </c>
      <c r="C67" t="inlineStr">
        <is>
          <t>Inpatient</t>
        </is>
      </c>
      <c r="D67" s="30" t="n">
        <v>35240</v>
      </c>
      <c r="E67" s="33" t="n">
        <v>45695.18958333333</v>
      </c>
      <c r="F67" s="33" t="n">
        <v>45699.52152777778</v>
      </c>
      <c r="G67" s="34" t="n"/>
      <c r="H67" s="34" t="n"/>
    </row>
    <row r="68">
      <c r="A68" t="inlineStr">
        <is>
          <t>ENC112086</t>
        </is>
      </c>
      <c r="B68" t="inlineStr">
        <is>
          <t>PT10676</t>
        </is>
      </c>
      <c r="C68" t="inlineStr">
        <is>
          <t>Inpatient</t>
        </is>
      </c>
      <c r="D68" s="30" t="n">
        <v>20178</v>
      </c>
      <c r="E68" s="33" t="n">
        <v>45695.32083333333</v>
      </c>
      <c r="F68" s="33" t="n">
        <v>45698.64166666667</v>
      </c>
      <c r="G68" s="34" t="n"/>
      <c r="H68" s="34" t="n"/>
    </row>
    <row r="69">
      <c r="A69" t="inlineStr">
        <is>
          <t>ENC112095</t>
        </is>
      </c>
      <c r="B69" t="inlineStr">
        <is>
          <t>PT12138</t>
        </is>
      </c>
      <c r="C69" t="inlineStr">
        <is>
          <t>Inpatient</t>
        </is>
      </c>
      <c r="D69" s="30" t="n">
        <v>20491</v>
      </c>
      <c r="E69" s="33" t="n">
        <v>45695.48819444444</v>
      </c>
      <c r="F69" s="33" t="n">
        <v>45698.64652777778</v>
      </c>
      <c r="G69" s="34" t="n"/>
      <c r="H69" s="34" t="n"/>
    </row>
    <row r="70">
      <c r="A70" t="inlineStr">
        <is>
          <t>ENC112103</t>
        </is>
      </c>
      <c r="B70" t="inlineStr">
        <is>
          <t>PT10381</t>
        </is>
      </c>
      <c r="C70" t="inlineStr">
        <is>
          <t>Inpatient</t>
        </is>
      </c>
      <c r="D70" s="30" t="n">
        <v>20010</v>
      </c>
      <c r="E70" s="33" t="n">
        <v>45695.57638888889</v>
      </c>
      <c r="F70" s="33" t="n">
        <v>45700.69166666667</v>
      </c>
      <c r="G70" s="34" t="n"/>
      <c r="H70" s="34" t="n"/>
    </row>
    <row r="71">
      <c r="A71" t="inlineStr">
        <is>
          <t>ENC112112</t>
        </is>
      </c>
      <c r="B71" t="inlineStr">
        <is>
          <t>PT13980</t>
        </is>
      </c>
      <c r="C71" t="inlineStr">
        <is>
          <t>Inpatient</t>
        </is>
      </c>
      <c r="D71" s="30" t="n">
        <v>16867</v>
      </c>
      <c r="E71" s="33" t="n">
        <v>45695.91527777778</v>
      </c>
      <c r="F71" s="33" t="n">
        <v>45700.7</v>
      </c>
      <c r="G71" s="34" t="n"/>
      <c r="H71" s="34" t="n"/>
    </row>
    <row r="72">
      <c r="A72" t="inlineStr">
        <is>
          <t>ENC112114</t>
        </is>
      </c>
      <c r="B72" t="inlineStr">
        <is>
          <t>PT12494</t>
        </is>
      </c>
      <c r="C72" t="inlineStr">
        <is>
          <t>Inpatient</t>
        </is>
      </c>
      <c r="D72" s="30" t="n">
        <v>18195</v>
      </c>
      <c r="E72" s="33" t="n">
        <v>45695.94652777778</v>
      </c>
      <c r="F72" s="33" t="n">
        <v>45700.46944444445</v>
      </c>
      <c r="G72" s="34" t="n"/>
      <c r="H72" s="34" t="n"/>
    </row>
    <row r="73">
      <c r="A73" t="inlineStr">
        <is>
          <t>ENC112135</t>
        </is>
      </c>
      <c r="B73" t="inlineStr">
        <is>
          <t>PT12444</t>
        </is>
      </c>
      <c r="C73" t="inlineStr">
        <is>
          <t>Inpatient</t>
        </is>
      </c>
      <c r="D73" s="30" t="n">
        <v>29956</v>
      </c>
      <c r="E73" s="33" t="n">
        <v>45696.94791666666</v>
      </c>
      <c r="F73" s="33" t="n">
        <v>45700.53888888889</v>
      </c>
      <c r="G73" s="34" t="n"/>
      <c r="H73" s="34" t="n"/>
    </row>
    <row r="74">
      <c r="A74" t="inlineStr">
        <is>
          <t>ENC112162</t>
        </is>
      </c>
      <c r="B74" t="inlineStr">
        <is>
          <t>PT11810</t>
        </is>
      </c>
      <c r="C74" t="inlineStr">
        <is>
          <t>Inpatient</t>
        </is>
      </c>
      <c r="D74" s="30" t="n">
        <v>22652</v>
      </c>
      <c r="E74" s="33" t="n">
        <v>45698.04097222222</v>
      </c>
      <c r="F74" s="33" t="n">
        <v>45699.65902777778</v>
      </c>
      <c r="G74" s="34" t="n"/>
      <c r="H74" s="34" t="n"/>
    </row>
    <row r="75">
      <c r="A75" t="inlineStr">
        <is>
          <t>ENC112174</t>
        </is>
      </c>
      <c r="B75" t="inlineStr">
        <is>
          <t>PT10013</t>
        </is>
      </c>
      <c r="C75" t="inlineStr">
        <is>
          <t>Inpatient</t>
        </is>
      </c>
      <c r="D75" s="30" t="n">
        <v>18491</v>
      </c>
      <c r="E75" s="33" t="n">
        <v>45698.53333333333</v>
      </c>
      <c r="F75" s="33" t="n">
        <v>45701.68263888889</v>
      </c>
      <c r="G75" s="34" t="n"/>
      <c r="H75" s="34" t="n"/>
    </row>
    <row r="76">
      <c r="A76" t="inlineStr">
        <is>
          <t>ENC112187</t>
        </is>
      </c>
      <c r="B76" t="inlineStr">
        <is>
          <t>PT10949</t>
        </is>
      </c>
      <c r="C76" t="inlineStr">
        <is>
          <t>Inpatient</t>
        </is>
      </c>
      <c r="D76" s="30" t="n">
        <v>21962</v>
      </c>
      <c r="E76" s="33" t="n">
        <v>45698.61041666667</v>
      </c>
      <c r="F76" s="33" t="n">
        <v>45703.66666666666</v>
      </c>
      <c r="G76" s="34" t="n"/>
      <c r="H76" s="34" t="n"/>
    </row>
    <row r="77">
      <c r="A77" t="inlineStr">
        <is>
          <t>ENC112189</t>
        </is>
      </c>
      <c r="B77" t="inlineStr">
        <is>
          <t>PT13660</t>
        </is>
      </c>
      <c r="C77" t="inlineStr">
        <is>
          <t>Inpatient</t>
        </is>
      </c>
      <c r="D77" s="30" t="n">
        <v>22992</v>
      </c>
      <c r="E77" s="33" t="n">
        <v>45698.74861111111</v>
      </c>
      <c r="F77" s="33" t="n">
        <v>45702.5375</v>
      </c>
      <c r="G77" s="34" t="n"/>
      <c r="H77" s="34" t="n"/>
    </row>
    <row r="78">
      <c r="A78" t="inlineStr">
        <is>
          <t>ENC112202</t>
        </is>
      </c>
      <c r="B78" t="inlineStr">
        <is>
          <t>PT10801</t>
        </is>
      </c>
      <c r="C78" t="inlineStr">
        <is>
          <t>Inpatient</t>
        </is>
      </c>
      <c r="D78" s="30" t="n">
        <v>27479</v>
      </c>
      <c r="E78" s="33" t="n">
        <v>45699.10625</v>
      </c>
      <c r="F78" s="33" t="n">
        <v>45702.57708333333</v>
      </c>
      <c r="G78" s="34" t="n"/>
      <c r="H78" s="34" t="n"/>
    </row>
    <row r="79">
      <c r="A79" t="inlineStr">
        <is>
          <t>ENC112225</t>
        </is>
      </c>
      <c r="B79" t="inlineStr">
        <is>
          <t>PT12456</t>
        </is>
      </c>
      <c r="C79" t="inlineStr">
        <is>
          <t>Inpatient</t>
        </is>
      </c>
      <c r="D79" s="30" t="n">
        <v>32450</v>
      </c>
      <c r="E79" s="33" t="n">
        <v>45699.50138888889</v>
      </c>
      <c r="F79" s="33" t="n">
        <v>45715.69097222222</v>
      </c>
      <c r="G79" s="34" t="n"/>
      <c r="H79" s="34" t="n"/>
    </row>
    <row r="80">
      <c r="A80" t="inlineStr">
        <is>
          <t>ENC112280</t>
        </is>
      </c>
      <c r="B80" t="inlineStr">
        <is>
          <t>PT12355</t>
        </is>
      </c>
      <c r="C80" t="inlineStr">
        <is>
          <t>Inpatient</t>
        </is>
      </c>
      <c r="D80" s="30" t="n">
        <v>11560</v>
      </c>
      <c r="E80" s="33" t="n">
        <v>45701.03472222222</v>
      </c>
      <c r="F80" s="33" t="n">
        <v>45705.62013888889</v>
      </c>
      <c r="G80" s="34" t="n"/>
      <c r="H80" s="34" t="n"/>
    </row>
    <row r="81">
      <c r="A81" t="inlineStr">
        <is>
          <t>ENC112297</t>
        </is>
      </c>
      <c r="B81" t="inlineStr">
        <is>
          <t>PT11581</t>
        </is>
      </c>
      <c r="C81" t="inlineStr">
        <is>
          <t>Inpatient</t>
        </is>
      </c>
      <c r="D81" s="30" t="n">
        <v>17400</v>
      </c>
      <c r="E81" s="33" t="n">
        <v>45701.47291666667</v>
      </c>
      <c r="F81" s="33" t="n">
        <v>45705.45763888889</v>
      </c>
      <c r="G81" s="34" t="n"/>
      <c r="H81" s="34" t="n"/>
    </row>
    <row r="82">
      <c r="A82" t="inlineStr">
        <is>
          <t>ENC112310</t>
        </is>
      </c>
      <c r="B82" t="inlineStr">
        <is>
          <t>PT13562</t>
        </is>
      </c>
      <c r="C82" t="inlineStr">
        <is>
          <t>Inpatient</t>
        </is>
      </c>
      <c r="D82" s="30" t="n">
        <v>35875</v>
      </c>
      <c r="E82" s="33" t="n">
        <v>45701.61388888889</v>
      </c>
      <c r="F82" s="33" t="n">
        <v>45705.57569444444</v>
      </c>
      <c r="G82" s="34" t="n"/>
      <c r="H82" s="34" t="n"/>
    </row>
    <row r="83">
      <c r="A83" t="inlineStr">
        <is>
          <t>ENC112327</t>
        </is>
      </c>
      <c r="B83" t="inlineStr">
        <is>
          <t>PT11417</t>
        </is>
      </c>
      <c r="C83" t="inlineStr">
        <is>
          <t>Inpatient</t>
        </is>
      </c>
      <c r="D83" s="30" t="n">
        <v>35499</v>
      </c>
      <c r="E83" s="33" t="n">
        <v>45701.99166666667</v>
      </c>
      <c r="F83" s="33" t="n">
        <v>45709.60347222222</v>
      </c>
      <c r="G83" s="34" t="n"/>
      <c r="H83" s="34" t="n"/>
    </row>
    <row r="84">
      <c r="A84" t="inlineStr">
        <is>
          <t>ENC112339</t>
        </is>
      </c>
      <c r="B84" t="inlineStr">
        <is>
          <t>PT11659</t>
        </is>
      </c>
      <c r="C84" t="inlineStr">
        <is>
          <t>Inpatient</t>
        </is>
      </c>
      <c r="D84" s="30" t="n">
        <v>24173</v>
      </c>
      <c r="E84" s="33" t="n">
        <v>45702.63819444444</v>
      </c>
      <c r="F84" s="33" t="n">
        <v>45706.47152777778</v>
      </c>
      <c r="G84" s="34" t="n"/>
      <c r="H84" s="34" t="n"/>
    </row>
    <row r="85">
      <c r="A85" t="inlineStr">
        <is>
          <t>ENC112374</t>
        </is>
      </c>
      <c r="B85" t="inlineStr">
        <is>
          <t>PT12161</t>
        </is>
      </c>
      <c r="C85" t="inlineStr">
        <is>
          <t>Inpatient</t>
        </is>
      </c>
      <c r="D85" s="30" t="n">
        <v>26313</v>
      </c>
      <c r="E85" s="33" t="n">
        <v>45703.67222222222</v>
      </c>
      <c r="F85" s="33" t="n">
        <v>45708.65555555555</v>
      </c>
      <c r="G85" s="34" t="n"/>
      <c r="H85" s="34" t="n"/>
    </row>
    <row r="86">
      <c r="A86" t="inlineStr">
        <is>
          <t>ENC112425</t>
        </is>
      </c>
      <c r="B86" t="inlineStr">
        <is>
          <t>PT12787</t>
        </is>
      </c>
      <c r="C86" t="inlineStr">
        <is>
          <t>Inpatient</t>
        </is>
      </c>
      <c r="D86" s="30" t="n">
        <v>28870</v>
      </c>
      <c r="E86" s="33" t="n">
        <v>45705.50277777778</v>
      </c>
      <c r="F86" s="33" t="n">
        <v>45708.54791666667</v>
      </c>
      <c r="G86" s="34" t="n"/>
      <c r="H86" s="34" t="n"/>
    </row>
    <row r="87">
      <c r="A87" t="inlineStr">
        <is>
          <t>ENC112439</t>
        </is>
      </c>
      <c r="B87" t="inlineStr">
        <is>
          <t>PT12860</t>
        </is>
      </c>
      <c r="C87" t="inlineStr">
        <is>
          <t>Inpatient</t>
        </is>
      </c>
      <c r="D87" s="30" t="n">
        <v>23160</v>
      </c>
      <c r="E87" s="33" t="n">
        <v>45705.70277777778</v>
      </c>
      <c r="F87" s="33" t="n">
        <v>45707.59722222222</v>
      </c>
      <c r="G87" s="34" t="n"/>
      <c r="H87" s="34" t="n"/>
    </row>
    <row r="88">
      <c r="A88" t="inlineStr">
        <is>
          <t>ENC112478</t>
        </is>
      </c>
      <c r="B88" t="inlineStr">
        <is>
          <t>PT11168</t>
        </is>
      </c>
      <c r="C88" t="inlineStr">
        <is>
          <t>Inpatient</t>
        </is>
      </c>
      <c r="D88" s="30" t="n">
        <v>23125</v>
      </c>
      <c r="E88" s="33" t="n">
        <v>45706.96736111111</v>
      </c>
      <c r="F88" s="33" t="n">
        <v>45708.64027777778</v>
      </c>
      <c r="G88" s="34" t="n"/>
      <c r="H88" s="34" t="n"/>
    </row>
    <row r="89">
      <c r="A89" t="inlineStr">
        <is>
          <t>ENC112531</t>
        </is>
      </c>
      <c r="B89" t="inlineStr">
        <is>
          <t>PT10881</t>
        </is>
      </c>
      <c r="C89" t="inlineStr">
        <is>
          <t>Inpatient</t>
        </is>
      </c>
      <c r="D89" s="30" t="n">
        <v>22747</v>
      </c>
      <c r="E89" s="33" t="n">
        <v>45708.11666666667</v>
      </c>
      <c r="F89" s="33" t="n">
        <v>45709.5375</v>
      </c>
      <c r="G89" s="34" t="n"/>
      <c r="H89" s="34" t="n"/>
    </row>
    <row r="90">
      <c r="A90" t="inlineStr">
        <is>
          <t>ENC112534</t>
        </is>
      </c>
      <c r="B90" t="inlineStr">
        <is>
          <t>PT11190</t>
        </is>
      </c>
      <c r="C90" t="inlineStr">
        <is>
          <t>Inpatient</t>
        </is>
      </c>
      <c r="D90" s="30" t="n">
        <v>30106</v>
      </c>
      <c r="E90" s="33" t="n">
        <v>45708.37847222222</v>
      </c>
      <c r="F90" s="33" t="n">
        <v>45710.70694444444</v>
      </c>
      <c r="G90" s="34" t="n"/>
      <c r="H90" s="34" t="n"/>
    </row>
    <row r="91">
      <c r="A91" t="inlineStr">
        <is>
          <t>ENC112567</t>
        </is>
      </c>
      <c r="B91" t="inlineStr">
        <is>
          <t>PT12774</t>
        </is>
      </c>
      <c r="C91" t="inlineStr">
        <is>
          <t>Inpatient</t>
        </is>
      </c>
      <c r="D91" s="30" t="n">
        <v>27350</v>
      </c>
      <c r="E91" s="33" t="n">
        <v>45708.71527777778</v>
      </c>
      <c r="F91" s="33" t="n">
        <v>45710.76597222222</v>
      </c>
      <c r="G91" s="34" t="n"/>
      <c r="H91" s="34" t="n"/>
    </row>
    <row r="92">
      <c r="A92" t="inlineStr">
        <is>
          <t>ENC112640</t>
        </is>
      </c>
      <c r="B92" t="inlineStr">
        <is>
          <t>PT11437</t>
        </is>
      </c>
      <c r="C92" t="inlineStr">
        <is>
          <t>Inpatient</t>
        </is>
      </c>
      <c r="D92" s="30" t="n">
        <v>21047</v>
      </c>
      <c r="E92" s="33" t="n">
        <v>45711.46319444444</v>
      </c>
      <c r="F92" s="33" t="n">
        <v>45715.50277777778</v>
      </c>
      <c r="G92" s="34" t="n"/>
      <c r="H92" s="34" t="n"/>
    </row>
    <row r="93">
      <c r="A93" t="inlineStr">
        <is>
          <t>ENC112690</t>
        </is>
      </c>
      <c r="B93" t="inlineStr">
        <is>
          <t>PT12464</t>
        </is>
      </c>
      <c r="C93" t="inlineStr">
        <is>
          <t>Observation</t>
        </is>
      </c>
      <c r="D93" s="30" t="n">
        <v>29234</v>
      </c>
      <c r="E93" s="33" t="n">
        <v>45712.55416666667</v>
      </c>
      <c r="F93" s="33" t="n">
        <v>45713.23194444444</v>
      </c>
      <c r="G93" s="34" t="n"/>
      <c r="H93" s="34" t="n"/>
    </row>
    <row r="94">
      <c r="A94" t="inlineStr">
        <is>
          <t>ENC112701</t>
        </is>
      </c>
      <c r="B94" t="inlineStr">
        <is>
          <t>PT12858</t>
        </is>
      </c>
      <c r="C94" t="inlineStr">
        <is>
          <t>Inpatient</t>
        </is>
      </c>
      <c r="D94" s="30" t="n">
        <v>28281</v>
      </c>
      <c r="E94" s="33" t="n">
        <v>45712.79930555556</v>
      </c>
      <c r="F94" s="33" t="n">
        <v>45714.43402777778</v>
      </c>
      <c r="G94" s="34" t="n"/>
      <c r="H94" s="34" t="n"/>
    </row>
    <row r="95">
      <c r="A95" t="inlineStr">
        <is>
          <t>ENC112712</t>
        </is>
      </c>
      <c r="B95" t="inlineStr">
        <is>
          <t>PT13269</t>
        </is>
      </c>
      <c r="C95" t="inlineStr">
        <is>
          <t>Observation</t>
        </is>
      </c>
      <c r="D95" s="30" t="n">
        <v>25650</v>
      </c>
      <c r="E95" s="33" t="n">
        <v>45713.37013888889</v>
      </c>
      <c r="F95" s="33" t="n">
        <v>45715.26180555556</v>
      </c>
      <c r="G95" s="34" t="n"/>
      <c r="H95" s="34" t="n"/>
    </row>
    <row r="96">
      <c r="A96" t="inlineStr">
        <is>
          <t>ENC112748</t>
        </is>
      </c>
      <c r="B96" t="inlineStr">
        <is>
          <t>PT13268</t>
        </is>
      </c>
      <c r="C96" t="inlineStr">
        <is>
          <t>Inpatient</t>
        </is>
      </c>
      <c r="D96" s="30" t="n">
        <v>26396</v>
      </c>
      <c r="E96" s="33" t="n">
        <v>45713.9875</v>
      </c>
      <c r="F96" s="33" t="n">
        <v>45716.66180555556</v>
      </c>
      <c r="G96" s="34" t="n"/>
      <c r="H96" s="34" t="n"/>
    </row>
    <row r="97">
      <c r="A97" t="inlineStr">
        <is>
          <t>ENC112749</t>
        </is>
      </c>
      <c r="B97" t="inlineStr">
        <is>
          <t>PT12060</t>
        </is>
      </c>
      <c r="C97" t="inlineStr">
        <is>
          <t>Inpatient</t>
        </is>
      </c>
      <c r="D97" s="30" t="n">
        <v>22563</v>
      </c>
      <c r="E97" s="33" t="n">
        <v>45714.00972222222</v>
      </c>
      <c r="F97" s="33" t="n">
        <v>45733.70694444444</v>
      </c>
      <c r="G97" s="34" t="n"/>
      <c r="H97" s="34" t="n"/>
    </row>
    <row r="98">
      <c r="A98" t="inlineStr">
        <is>
          <t>ENC112751</t>
        </is>
      </c>
      <c r="B98" t="inlineStr">
        <is>
          <t>PT12633</t>
        </is>
      </c>
      <c r="C98" t="inlineStr">
        <is>
          <t>Observation</t>
        </is>
      </c>
      <c r="D98" s="30" t="n">
        <v>30560</v>
      </c>
      <c r="E98" s="33" t="n">
        <v>45714.04930555556</v>
      </c>
      <c r="F98" s="33" t="n">
        <v>45714.975</v>
      </c>
      <c r="G98" s="34" t="n"/>
      <c r="H98" s="34" t="n"/>
    </row>
    <row r="99">
      <c r="A99" t="inlineStr">
        <is>
          <t>ENC112754</t>
        </is>
      </c>
      <c r="B99" t="inlineStr">
        <is>
          <t>PT12081</t>
        </is>
      </c>
      <c r="C99" t="inlineStr">
        <is>
          <t>Observation</t>
        </is>
      </c>
      <c r="D99" s="30" t="n">
        <v>19183</v>
      </c>
      <c r="E99" s="33" t="n">
        <v>45714.13680555556</v>
      </c>
      <c r="F99" s="33" t="n">
        <v>45714.82083333333</v>
      </c>
      <c r="G99" s="34" t="n"/>
      <c r="H99" s="34" t="n"/>
    </row>
    <row r="100">
      <c r="A100" t="inlineStr">
        <is>
          <t>ENC112791</t>
        </is>
      </c>
      <c r="B100" t="inlineStr">
        <is>
          <t>PT11274</t>
        </is>
      </c>
      <c r="C100" t="inlineStr">
        <is>
          <t>Inpatient</t>
        </is>
      </c>
      <c r="D100" s="30" t="n">
        <v>13055</v>
      </c>
      <c r="E100" s="33" t="n">
        <v>45715.06597222222</v>
      </c>
      <c r="F100" s="33" t="n">
        <v>45718.55763888889</v>
      </c>
      <c r="G100" s="34" t="n"/>
      <c r="H100" s="34" t="n"/>
    </row>
    <row r="101">
      <c r="A101" t="inlineStr">
        <is>
          <t>ENC112860</t>
        </is>
      </c>
      <c r="B101" t="inlineStr">
        <is>
          <t>PT11226</t>
        </is>
      </c>
      <c r="C101" t="inlineStr">
        <is>
          <t>Inpatient</t>
        </is>
      </c>
      <c r="D101" s="30" t="n">
        <v>29069</v>
      </c>
      <c r="E101" s="33" t="n">
        <v>45717.25416666667</v>
      </c>
      <c r="F101" s="33" t="n">
        <v>45724.72222222222</v>
      </c>
      <c r="G101" s="34" t="n"/>
      <c r="H101" s="34" t="n"/>
    </row>
    <row r="102">
      <c r="A102" t="inlineStr">
        <is>
          <t>ENC112870</t>
        </is>
      </c>
      <c r="B102" t="inlineStr">
        <is>
          <t>PT11408</t>
        </is>
      </c>
      <c r="C102" t="inlineStr">
        <is>
          <t>Inpatient</t>
        </is>
      </c>
      <c r="D102" s="30" t="n">
        <v>44932</v>
      </c>
      <c r="E102" s="33" t="n">
        <v>45717.93541666667</v>
      </c>
      <c r="F102" s="33" t="n">
        <v>45724.65972222222</v>
      </c>
      <c r="G102" s="34" t="n"/>
      <c r="H102" s="34" t="n"/>
    </row>
    <row r="103">
      <c r="A103" t="inlineStr">
        <is>
          <t>ENC112877</t>
        </is>
      </c>
      <c r="B103" t="inlineStr">
        <is>
          <t>PT13601</t>
        </is>
      </c>
      <c r="C103" t="inlineStr">
        <is>
          <t>Inpatient</t>
        </is>
      </c>
      <c r="D103" s="30" t="n">
        <v>15198</v>
      </c>
      <c r="E103" s="33" t="n">
        <v>45718.27152777778</v>
      </c>
      <c r="F103" s="33" t="n">
        <v>45722.61666666667</v>
      </c>
      <c r="G103" s="34" t="n"/>
      <c r="H103" s="34" t="n"/>
    </row>
    <row r="104">
      <c r="A104" t="inlineStr">
        <is>
          <t>ENC112879</t>
        </is>
      </c>
      <c r="B104" t="inlineStr">
        <is>
          <t>PT10886</t>
        </is>
      </c>
      <c r="C104" t="inlineStr">
        <is>
          <t>Inpatient</t>
        </is>
      </c>
      <c r="D104" s="30" t="n">
        <v>20390</v>
      </c>
      <c r="E104" s="33" t="n">
        <v>45718.46111111111</v>
      </c>
      <c r="F104" s="33" t="n">
        <v>45720.59166666667</v>
      </c>
      <c r="G104" s="34" t="n"/>
      <c r="H104" s="34" t="n"/>
    </row>
    <row r="105">
      <c r="A105" t="inlineStr">
        <is>
          <t>ENC112896</t>
        </is>
      </c>
      <c r="B105" t="inlineStr">
        <is>
          <t>PT11437</t>
        </is>
      </c>
      <c r="C105" t="inlineStr">
        <is>
          <t>Inpatient</t>
        </is>
      </c>
      <c r="D105" s="30" t="n">
        <v>21047</v>
      </c>
      <c r="E105" s="33" t="n">
        <v>45719.17986111111</v>
      </c>
      <c r="F105" s="33" t="n">
        <v>45722.60486111111</v>
      </c>
      <c r="G105" s="34" t="n"/>
      <c r="H105" s="34" t="n"/>
    </row>
    <row r="106">
      <c r="A106" t="inlineStr">
        <is>
          <t>ENC112897</t>
        </is>
      </c>
      <c r="B106" t="inlineStr">
        <is>
          <t>PT11726</t>
        </is>
      </c>
      <c r="C106" t="inlineStr">
        <is>
          <t>Inpatient</t>
        </is>
      </c>
      <c r="D106" s="30" t="n">
        <v>21536</v>
      </c>
      <c r="E106" s="33" t="n">
        <v>45719.25277777778</v>
      </c>
      <c r="F106" s="33" t="n">
        <v>45720.49444444444</v>
      </c>
      <c r="G106" s="34" t="n"/>
      <c r="H106" s="34" t="n"/>
    </row>
    <row r="107">
      <c r="A107" t="inlineStr">
        <is>
          <t>ENC112898</t>
        </is>
      </c>
      <c r="B107" t="inlineStr">
        <is>
          <t>PT13774</t>
        </is>
      </c>
      <c r="C107" t="inlineStr">
        <is>
          <t>Observation</t>
        </is>
      </c>
      <c r="D107" s="30" t="n">
        <v>18980</v>
      </c>
      <c r="E107" s="33" t="n">
        <v>45719.26666666667</v>
      </c>
      <c r="F107" s="33" t="n">
        <v>45720.69097222222</v>
      </c>
      <c r="G107" s="34" t="n"/>
      <c r="H107" s="34" t="n"/>
    </row>
    <row r="108">
      <c r="A108" t="inlineStr">
        <is>
          <t>ENC112916</t>
        </is>
      </c>
      <c r="B108" t="inlineStr">
        <is>
          <t>PT13865</t>
        </is>
      </c>
      <c r="C108" t="inlineStr">
        <is>
          <t>Inpatient</t>
        </is>
      </c>
      <c r="D108" s="30" t="n">
        <v>21212</v>
      </c>
      <c r="E108" s="33" t="n">
        <v>45719.6</v>
      </c>
      <c r="F108" s="33" t="n">
        <v>45724.66944444444</v>
      </c>
      <c r="G108" s="34" t="n"/>
      <c r="H108" s="34" t="n"/>
    </row>
    <row r="109">
      <c r="A109" t="inlineStr">
        <is>
          <t>ENC112917</t>
        </is>
      </c>
      <c r="B109" t="inlineStr">
        <is>
          <t>PT13519</t>
        </is>
      </c>
      <c r="C109" t="inlineStr">
        <is>
          <t>Inpatient</t>
        </is>
      </c>
      <c r="D109" s="30" t="n">
        <v>26078</v>
      </c>
      <c r="E109" s="33" t="n">
        <v>45719.60555555556</v>
      </c>
      <c r="F109" s="33" t="n">
        <v>45723.53472222222</v>
      </c>
      <c r="G109" s="34" t="n"/>
      <c r="H109" s="34" t="n"/>
    </row>
    <row r="110">
      <c r="A110" t="inlineStr">
        <is>
          <t>ENC112947</t>
        </is>
      </c>
      <c r="B110" t="inlineStr">
        <is>
          <t>PT11190</t>
        </is>
      </c>
      <c r="C110" t="inlineStr">
        <is>
          <t>Inpatient</t>
        </is>
      </c>
      <c r="D110" s="30" t="n">
        <v>30106</v>
      </c>
      <c r="E110" s="33" t="n">
        <v>45720.70347222222</v>
      </c>
      <c r="F110" s="33" t="n">
        <v>45723.51111111111</v>
      </c>
      <c r="G110" s="34" t="n"/>
      <c r="H110" s="34" t="n"/>
    </row>
    <row r="111">
      <c r="A111" t="inlineStr">
        <is>
          <t>ENC112958</t>
        </is>
      </c>
      <c r="B111" t="inlineStr">
        <is>
          <t>PT11274</t>
        </is>
      </c>
      <c r="C111" t="inlineStr">
        <is>
          <t>Inpatient</t>
        </is>
      </c>
      <c r="D111" s="30" t="n">
        <v>13055</v>
      </c>
      <c r="E111" s="33" t="n">
        <v>45721.03055555555</v>
      </c>
      <c r="F111" s="33" t="n">
        <v>45726.50069444445</v>
      </c>
      <c r="G111" s="34" t="n"/>
      <c r="H111" s="34" t="n"/>
    </row>
    <row r="112">
      <c r="A112" t="inlineStr">
        <is>
          <t>ENC112968</t>
        </is>
      </c>
      <c r="B112" t="inlineStr">
        <is>
          <t>PT13940</t>
        </is>
      </c>
      <c r="C112" t="inlineStr">
        <is>
          <t>Inpatient</t>
        </is>
      </c>
      <c r="D112" s="30" t="n">
        <v>23814</v>
      </c>
      <c r="E112" s="33" t="n">
        <v>45721.60138888889</v>
      </c>
      <c r="F112" s="33" t="n">
        <v>45724.54236111111</v>
      </c>
      <c r="G112" s="34" t="n"/>
      <c r="H112" s="34" t="n"/>
    </row>
    <row r="113">
      <c r="A113" t="inlineStr">
        <is>
          <t>ENC112994</t>
        </is>
      </c>
      <c r="B113" t="inlineStr">
        <is>
          <t>PT10013</t>
        </is>
      </c>
      <c r="C113" t="inlineStr">
        <is>
          <t>Inpatient</t>
        </is>
      </c>
      <c r="D113" s="30" t="n">
        <v>18491</v>
      </c>
      <c r="E113" s="33" t="n">
        <v>45722.03888888889</v>
      </c>
      <c r="F113" s="33" t="n">
        <v>45725.42222222222</v>
      </c>
      <c r="G113" s="34" t="n"/>
      <c r="H113" s="34" t="n"/>
    </row>
    <row r="114">
      <c r="A114" t="inlineStr">
        <is>
          <t>ENC113054</t>
        </is>
      </c>
      <c r="B114" t="inlineStr">
        <is>
          <t>PT11058</t>
        </is>
      </c>
      <c r="C114" t="inlineStr">
        <is>
          <t>Inpatient</t>
        </is>
      </c>
      <c r="D114" s="30" t="n">
        <v>18378</v>
      </c>
      <c r="E114" s="33" t="n">
        <v>45723.87430555555</v>
      </c>
      <c r="F114" s="33" t="n">
        <v>45726.75833333333</v>
      </c>
      <c r="G114" s="34" t="n"/>
      <c r="H114" s="34" t="n"/>
    </row>
    <row r="115">
      <c r="A115" t="inlineStr">
        <is>
          <t>ENC113056</t>
        </is>
      </c>
      <c r="B115" t="inlineStr">
        <is>
          <t>PT11180</t>
        </is>
      </c>
      <c r="C115" t="inlineStr">
        <is>
          <t>Observation</t>
        </is>
      </c>
      <c r="D115" s="30" t="n">
        <v>35818</v>
      </c>
      <c r="E115" s="33" t="n">
        <v>45724.03541666667</v>
      </c>
      <c r="F115" s="33" t="n">
        <v>45725.05763888889</v>
      </c>
      <c r="G115" s="34" t="n"/>
      <c r="H115" s="34" t="n"/>
    </row>
    <row r="116">
      <c r="A116" t="inlineStr">
        <is>
          <t>ENC113070</t>
        </is>
      </c>
      <c r="B116" t="inlineStr">
        <is>
          <t>PT11308</t>
        </is>
      </c>
      <c r="C116" t="inlineStr">
        <is>
          <t>Inpatient</t>
        </is>
      </c>
      <c r="D116" s="30" t="n">
        <v>30964</v>
      </c>
      <c r="E116" s="33" t="n">
        <v>45724.92986111111</v>
      </c>
      <c r="F116" s="33" t="n">
        <v>45730.59583333333</v>
      </c>
      <c r="G116" s="34" t="n"/>
      <c r="H116" s="34" t="n"/>
    </row>
    <row r="117">
      <c r="A117" t="inlineStr">
        <is>
          <t>ENC113081</t>
        </is>
      </c>
      <c r="B117" t="inlineStr">
        <is>
          <t>PT13745</t>
        </is>
      </c>
      <c r="C117" t="inlineStr">
        <is>
          <t>Inpatient</t>
        </is>
      </c>
      <c r="D117" s="30" t="n">
        <v>33142</v>
      </c>
      <c r="E117" s="33" t="n">
        <v>45725.67291666667</v>
      </c>
      <c r="F117" s="33" t="n">
        <v>45729.47430555556</v>
      </c>
      <c r="G117" s="34" t="n"/>
      <c r="H117" s="34" t="n"/>
    </row>
    <row r="118">
      <c r="A118" t="inlineStr">
        <is>
          <t>ENC113134</t>
        </is>
      </c>
      <c r="B118" t="inlineStr">
        <is>
          <t>PT13435</t>
        </is>
      </c>
      <c r="C118" t="inlineStr">
        <is>
          <t>Inpatient</t>
        </is>
      </c>
      <c r="D118" s="30" t="n">
        <v>32769</v>
      </c>
      <c r="E118" s="33" t="n">
        <v>45726.95694444444</v>
      </c>
      <c r="F118" s="33" t="n">
        <v>45728.66736111111</v>
      </c>
      <c r="G118" s="34" t="n"/>
      <c r="H118" s="34" t="n"/>
    </row>
    <row r="119">
      <c r="A119" t="inlineStr">
        <is>
          <t>ENC113150</t>
        </is>
      </c>
      <c r="B119" t="inlineStr">
        <is>
          <t>PT11504</t>
        </is>
      </c>
      <c r="C119" t="inlineStr">
        <is>
          <t>Inpatient</t>
        </is>
      </c>
      <c r="D119" s="30" t="n">
        <v>17220</v>
      </c>
      <c r="E119" s="33" t="n">
        <v>45727.43472222222</v>
      </c>
      <c r="F119" s="33" t="n">
        <v>45730.52569444444</v>
      </c>
      <c r="G119" s="34" t="n"/>
      <c r="H119" s="34" t="n"/>
    </row>
    <row r="120">
      <c r="A120" t="inlineStr">
        <is>
          <t>ENC113151</t>
        </is>
      </c>
      <c r="B120" t="inlineStr">
        <is>
          <t>PT13815</t>
        </is>
      </c>
      <c r="C120" t="inlineStr">
        <is>
          <t>Observation</t>
        </is>
      </c>
      <c r="D120" s="30" t="n">
        <v>29327</v>
      </c>
      <c r="E120" s="33" t="n">
        <v>45727.60486111111</v>
      </c>
      <c r="F120" s="33" t="n">
        <v>45729.22291666667</v>
      </c>
      <c r="G120" s="34" t="n"/>
      <c r="H120" s="34" t="n"/>
    </row>
    <row r="121">
      <c r="A121" t="inlineStr">
        <is>
          <t>ENC113160</t>
        </is>
      </c>
      <c r="B121" t="inlineStr">
        <is>
          <t>PT11315</t>
        </is>
      </c>
      <c r="C121" t="inlineStr">
        <is>
          <t>Inpatient</t>
        </is>
      </c>
      <c r="D121" s="30" t="n">
        <v>30722</v>
      </c>
      <c r="E121" s="33" t="n">
        <v>45727.62083333333</v>
      </c>
      <c r="F121" s="33" t="n">
        <v>45734.64166666667</v>
      </c>
      <c r="G121" s="34" t="n"/>
      <c r="H121" s="34" t="n"/>
    </row>
    <row r="122">
      <c r="A122" t="inlineStr">
        <is>
          <t>ENC113181</t>
        </is>
      </c>
      <c r="B122" t="inlineStr">
        <is>
          <t>PT11289</t>
        </is>
      </c>
      <c r="C122" t="inlineStr">
        <is>
          <t>Inpatient</t>
        </is>
      </c>
      <c r="D122" s="30" t="n">
        <v>26658</v>
      </c>
      <c r="E122" s="33" t="n">
        <v>45728.06736111111</v>
      </c>
      <c r="F122" s="33" t="n">
        <v>45731.40416666667</v>
      </c>
      <c r="G122" s="34" t="n"/>
      <c r="H122" s="34" t="n"/>
    </row>
    <row r="123">
      <c r="A123" t="inlineStr">
        <is>
          <t>ENC113182</t>
        </is>
      </c>
      <c r="B123" t="inlineStr">
        <is>
          <t>PT12166</t>
        </is>
      </c>
      <c r="C123" t="inlineStr">
        <is>
          <t>Inpatient</t>
        </is>
      </c>
      <c r="D123" s="30" t="n">
        <v>20819</v>
      </c>
      <c r="E123" s="33" t="n">
        <v>45728.09722222222</v>
      </c>
      <c r="F123" s="33" t="n">
        <v>45731.57569444444</v>
      </c>
      <c r="G123" s="34" t="n"/>
      <c r="H123" s="34" t="n"/>
    </row>
    <row r="124">
      <c r="A124" t="inlineStr">
        <is>
          <t>ENC113184</t>
        </is>
      </c>
      <c r="B124" t="inlineStr">
        <is>
          <t>PT13799</t>
        </is>
      </c>
      <c r="C124" t="inlineStr">
        <is>
          <t>Inpatient</t>
        </is>
      </c>
      <c r="D124" s="30" t="n">
        <v>16597</v>
      </c>
      <c r="E124" s="33" t="n">
        <v>45728.10138888889</v>
      </c>
      <c r="F124" s="33" t="n">
        <v>45738.47430555556</v>
      </c>
      <c r="G124" s="34" t="n"/>
      <c r="H124" s="34" t="n"/>
    </row>
    <row r="125">
      <c r="A125" t="inlineStr">
        <is>
          <t>ENC113210</t>
        </is>
      </c>
      <c r="B125" t="inlineStr">
        <is>
          <t>PT13575</t>
        </is>
      </c>
      <c r="C125" t="inlineStr">
        <is>
          <t>Inpatient</t>
        </is>
      </c>
      <c r="D125" s="30" t="n">
        <v>43534</v>
      </c>
      <c r="E125" s="33" t="n">
        <v>45728.84375</v>
      </c>
      <c r="F125" s="33" t="n">
        <v>45733.50208333333</v>
      </c>
      <c r="G125" s="34" t="n"/>
      <c r="H125" s="34" t="n"/>
    </row>
    <row r="126">
      <c r="A126" t="inlineStr">
        <is>
          <t>ENC113211</t>
        </is>
      </c>
      <c r="B126" t="inlineStr">
        <is>
          <t>PT12649</t>
        </is>
      </c>
      <c r="C126" t="inlineStr">
        <is>
          <t>Observation</t>
        </is>
      </c>
      <c r="D126" s="30" t="n">
        <v>32013</v>
      </c>
      <c r="E126" s="33" t="n">
        <v>45728.90625</v>
      </c>
      <c r="F126" s="33" t="n">
        <v>45729.43888888889</v>
      </c>
      <c r="G126" s="34" t="n"/>
      <c r="H126" s="34" t="n"/>
    </row>
    <row r="127">
      <c r="A127" t="inlineStr">
        <is>
          <t>ENC113212</t>
        </is>
      </c>
      <c r="B127" t="inlineStr">
        <is>
          <t>PT13261</t>
        </is>
      </c>
      <c r="C127" t="inlineStr">
        <is>
          <t>Inpatient</t>
        </is>
      </c>
      <c r="D127" s="30" t="n">
        <v>21628</v>
      </c>
      <c r="E127" s="33" t="n">
        <v>45728.95069444444</v>
      </c>
      <c r="F127" s="33" t="n">
        <v>45735.64583333334</v>
      </c>
      <c r="G127" s="34" t="n"/>
      <c r="H127" s="34" t="n"/>
    </row>
    <row r="128">
      <c r="A128" t="inlineStr">
        <is>
          <t>ENC113217</t>
        </is>
      </c>
      <c r="B128" t="inlineStr">
        <is>
          <t>PT11394</t>
        </is>
      </c>
      <c r="C128" t="inlineStr">
        <is>
          <t>Inpatient</t>
        </is>
      </c>
      <c r="D128" s="30" t="n">
        <v>21019</v>
      </c>
      <c r="E128" s="33" t="n">
        <v>45729.03263888889</v>
      </c>
      <c r="F128" s="33" t="n">
        <v>45732.43541666667</v>
      </c>
      <c r="G128" s="34" t="n"/>
      <c r="H128" s="34" t="n"/>
    </row>
    <row r="129">
      <c r="A129" t="inlineStr">
        <is>
          <t>ENC113291</t>
        </is>
      </c>
      <c r="B129" t="inlineStr">
        <is>
          <t>PT11727</t>
        </is>
      </c>
      <c r="C129" t="inlineStr">
        <is>
          <t>Inpatient</t>
        </is>
      </c>
      <c r="D129" s="30" t="n">
        <v>26166</v>
      </c>
      <c r="E129" s="33" t="n">
        <v>45731.44027777778</v>
      </c>
      <c r="F129" s="33" t="n">
        <v>45734.66944444444</v>
      </c>
      <c r="G129" s="34" t="n"/>
      <c r="H129" s="34" t="n"/>
    </row>
    <row r="130">
      <c r="A130" t="inlineStr">
        <is>
          <t>ENC113292</t>
        </is>
      </c>
      <c r="B130" t="inlineStr">
        <is>
          <t>PT12159</t>
        </is>
      </c>
      <c r="C130" t="inlineStr">
        <is>
          <t>Inpatient</t>
        </is>
      </c>
      <c r="D130" s="30" t="n">
        <v>22738</v>
      </c>
      <c r="E130" s="33" t="n">
        <v>45731.44652777778</v>
      </c>
      <c r="F130" s="33" t="n">
        <v>45736.60902777778</v>
      </c>
      <c r="G130" s="34" t="n"/>
      <c r="H130" s="34" t="n"/>
    </row>
    <row r="131">
      <c r="A131" t="inlineStr">
        <is>
          <t>ENC113295</t>
        </is>
      </c>
      <c r="B131" t="inlineStr">
        <is>
          <t>PT10886</t>
        </is>
      </c>
      <c r="C131" t="inlineStr">
        <is>
          <t>Observation</t>
        </is>
      </c>
      <c r="D131" s="30" t="n">
        <v>20390</v>
      </c>
      <c r="E131" s="33" t="n">
        <v>45731.53958333333</v>
      </c>
      <c r="F131" s="33" t="n">
        <v>45731.44444444445</v>
      </c>
      <c r="G131" s="34" t="n"/>
      <c r="H131" s="34" t="n"/>
    </row>
    <row r="132">
      <c r="A132" t="inlineStr">
        <is>
          <t>ENC113305</t>
        </is>
      </c>
      <c r="B132" t="inlineStr">
        <is>
          <t>PT11408</t>
        </is>
      </c>
      <c r="C132" t="inlineStr">
        <is>
          <t>Inpatient</t>
        </is>
      </c>
      <c r="D132" s="30" t="n">
        <v>44932</v>
      </c>
      <c r="E132" s="33" t="n">
        <v>45731.73958333334</v>
      </c>
      <c r="F132" s="33" t="n">
        <v>45735.63819444444</v>
      </c>
      <c r="G132" s="34" t="n"/>
      <c r="H132" s="34" t="n"/>
    </row>
    <row r="133">
      <c r="A133" t="inlineStr">
        <is>
          <t>ENC113306</t>
        </is>
      </c>
      <c r="B133" t="inlineStr">
        <is>
          <t>PT12019</t>
        </is>
      </c>
      <c r="C133" t="inlineStr">
        <is>
          <t>Inpatient</t>
        </is>
      </c>
      <c r="D133" s="30" t="n">
        <v>9761</v>
      </c>
      <c r="E133" s="33" t="n">
        <v>45731.96319444444</v>
      </c>
      <c r="F133" s="33" t="n">
        <v>45738.44305555556</v>
      </c>
      <c r="G133" s="34" t="n"/>
      <c r="H133" s="34" t="n"/>
    </row>
    <row r="134">
      <c r="A134" t="inlineStr">
        <is>
          <t>ENC113317</t>
        </is>
      </c>
      <c r="B134" t="inlineStr">
        <is>
          <t>PT10749</t>
        </is>
      </c>
      <c r="C134" t="inlineStr">
        <is>
          <t>Inpatient</t>
        </is>
      </c>
      <c r="D134" s="30" t="n">
        <v>21047</v>
      </c>
      <c r="E134" s="33" t="n">
        <v>45732.54513888889</v>
      </c>
      <c r="F134" s="33" t="n">
        <v>45737.6375</v>
      </c>
      <c r="G134" s="34" t="n"/>
      <c r="H134" s="34" t="n"/>
    </row>
    <row r="135">
      <c r="A135" t="inlineStr">
        <is>
          <t>ENC113325</t>
        </is>
      </c>
      <c r="B135" t="inlineStr">
        <is>
          <t>PT13492</t>
        </is>
      </c>
      <c r="C135" t="inlineStr">
        <is>
          <t>Inpatient</t>
        </is>
      </c>
      <c r="D135" s="30" t="n">
        <v>24829</v>
      </c>
      <c r="E135" s="33" t="n">
        <v>45732.72638888889</v>
      </c>
      <c r="F135" s="33" t="n">
        <v>45741.56388888889</v>
      </c>
      <c r="G135" s="34" t="n"/>
      <c r="H135" s="34" t="n"/>
    </row>
    <row r="136">
      <c r="A136" t="inlineStr">
        <is>
          <t>ENC113323</t>
        </is>
      </c>
      <c r="B136" t="inlineStr">
        <is>
          <t>PT10013</t>
        </is>
      </c>
      <c r="C136" t="inlineStr">
        <is>
          <t>Inpatient</t>
        </is>
      </c>
      <c r="D136" s="30" t="n">
        <v>18491</v>
      </c>
      <c r="E136" s="33" t="n">
        <v>45732.84930555556</v>
      </c>
      <c r="F136" s="33" t="n">
        <v>45736.45486111111</v>
      </c>
      <c r="G136" s="34" t="n"/>
      <c r="H136" s="34" t="n"/>
    </row>
    <row r="137">
      <c r="A137" t="inlineStr">
        <is>
          <t>ENC113347</t>
        </is>
      </c>
      <c r="B137" t="inlineStr">
        <is>
          <t>PT11666</t>
        </is>
      </c>
      <c r="C137" t="inlineStr">
        <is>
          <t>Observation</t>
        </is>
      </c>
      <c r="D137" s="30" t="n">
        <v>18360</v>
      </c>
      <c r="E137" s="33" t="n">
        <v>45733.67291666667</v>
      </c>
      <c r="F137" s="33" t="n">
        <v>45734.92152777778</v>
      </c>
      <c r="G137" s="34" t="n"/>
      <c r="H137" s="34" t="n"/>
    </row>
    <row r="138">
      <c r="A138" t="inlineStr">
        <is>
          <t>ENC113360</t>
        </is>
      </c>
      <c r="B138" t="inlineStr">
        <is>
          <t>PT11394</t>
        </is>
      </c>
      <c r="C138" t="inlineStr">
        <is>
          <t>Inpatient</t>
        </is>
      </c>
      <c r="D138" s="30" t="n">
        <v>21019</v>
      </c>
      <c r="E138" s="33" t="n">
        <v>45733.83125</v>
      </c>
      <c r="F138" s="33" t="n">
        <v>45737.5</v>
      </c>
      <c r="G138" s="34" t="n"/>
      <c r="H138" s="34" t="n"/>
    </row>
    <row r="139">
      <c r="A139" t="inlineStr">
        <is>
          <t>ENC113406</t>
        </is>
      </c>
      <c r="B139" t="inlineStr">
        <is>
          <t>PT12209</t>
        </is>
      </c>
      <c r="C139" t="inlineStr">
        <is>
          <t>Inpatient</t>
        </is>
      </c>
      <c r="D139" s="30" t="n">
        <v>19964</v>
      </c>
      <c r="E139" s="33" t="n">
        <v>45735.12083333333</v>
      </c>
      <c r="F139" s="33" t="n">
        <v>45739.69930555556</v>
      </c>
      <c r="G139" s="34" t="n"/>
      <c r="H139" s="34" t="n"/>
    </row>
    <row r="140">
      <c r="A140" t="inlineStr">
        <is>
          <t>ENC113444</t>
        </is>
      </c>
      <c r="B140" t="inlineStr">
        <is>
          <t>PT11542</t>
        </is>
      </c>
      <c r="C140" t="inlineStr">
        <is>
          <t>Inpatient</t>
        </is>
      </c>
      <c r="D140" s="30" t="n">
        <v>12274</v>
      </c>
      <c r="E140" s="33" t="n">
        <v>45736.13958333333</v>
      </c>
      <c r="F140" s="33" t="n">
        <v>45740.52916666667</v>
      </c>
      <c r="G140" s="34" t="n"/>
      <c r="H140" s="34" t="n"/>
    </row>
    <row r="141">
      <c r="A141" t="inlineStr">
        <is>
          <t>ENC113447</t>
        </is>
      </c>
      <c r="B141" t="inlineStr">
        <is>
          <t>PT13234</t>
        </is>
      </c>
      <c r="C141" t="inlineStr">
        <is>
          <t>Inpatient</t>
        </is>
      </c>
      <c r="D141" s="30" t="n">
        <v>17593</v>
      </c>
      <c r="E141" s="33" t="n">
        <v>45736.40416666667</v>
      </c>
      <c r="F141" s="33" t="n">
        <v>45738.57986111111</v>
      </c>
      <c r="G141" s="34" t="n"/>
      <c r="H141" s="34" t="n"/>
    </row>
    <row r="142">
      <c r="A142" t="inlineStr">
        <is>
          <t>ENC113458</t>
        </is>
      </c>
      <c r="B142" t="inlineStr">
        <is>
          <t>PT13847</t>
        </is>
      </c>
      <c r="C142" t="inlineStr">
        <is>
          <t>Inpatient</t>
        </is>
      </c>
      <c r="D142" s="30" t="n">
        <v>22579</v>
      </c>
      <c r="E142" s="33" t="n">
        <v>45736.46875</v>
      </c>
      <c r="F142" s="33" t="n">
        <v>45738.59513888889</v>
      </c>
      <c r="G142" s="34" t="n"/>
      <c r="H142" s="34" t="n"/>
    </row>
    <row r="143">
      <c r="A143" t="inlineStr">
        <is>
          <t>ENC113485</t>
        </is>
      </c>
      <c r="B143" t="inlineStr">
        <is>
          <t>PT11141</t>
        </is>
      </c>
      <c r="C143" t="inlineStr">
        <is>
          <t>Inpatient</t>
        </is>
      </c>
      <c r="D143" s="30" t="n">
        <v>16927</v>
      </c>
      <c r="E143" s="33" t="n">
        <v>45737.12083333333</v>
      </c>
      <c r="F143" s="33" t="n">
        <v>45740.41597222222</v>
      </c>
      <c r="G143" s="34" t="n"/>
      <c r="H143" s="34" t="n"/>
    </row>
    <row r="144">
      <c r="A144" t="inlineStr">
        <is>
          <t>ENC113549</t>
        </is>
      </c>
      <c r="B144" t="inlineStr">
        <is>
          <t>PT10177</t>
        </is>
      </c>
      <c r="C144" t="inlineStr">
        <is>
          <t>Inpatient</t>
        </is>
      </c>
      <c r="D144" s="30" t="n">
        <v>21269</v>
      </c>
      <c r="E144" s="33" t="n">
        <v>45740.04027777778</v>
      </c>
      <c r="F144" s="33" t="n">
        <v>45742.74583333333</v>
      </c>
      <c r="G144" s="34" t="n"/>
      <c r="H144" s="34" t="n"/>
    </row>
    <row r="145">
      <c r="A145" t="inlineStr">
        <is>
          <t>ENC113552</t>
        </is>
      </c>
      <c r="B145" t="inlineStr">
        <is>
          <t>PT10411</t>
        </is>
      </c>
      <c r="C145" t="inlineStr">
        <is>
          <t>Inpatient</t>
        </is>
      </c>
      <c r="D145" s="30" t="n">
        <v>17571</v>
      </c>
      <c r="E145" s="33" t="n">
        <v>45740.17083333333</v>
      </c>
      <c r="F145" s="33" t="n">
        <v>45742.55208333334</v>
      </c>
      <c r="G145" s="34" t="n"/>
      <c r="H145" s="34" t="n"/>
    </row>
    <row r="146">
      <c r="A146" t="inlineStr">
        <is>
          <t>ENC113595</t>
        </is>
      </c>
      <c r="B146" t="inlineStr">
        <is>
          <t>PT13638</t>
        </is>
      </c>
      <c r="C146" t="inlineStr">
        <is>
          <t>Inpatient</t>
        </is>
      </c>
      <c r="D146" s="30" t="n">
        <v>20913</v>
      </c>
      <c r="E146" s="33" t="n">
        <v>45740.79930555556</v>
      </c>
      <c r="F146" s="33" t="n">
        <v>45748.83333333334</v>
      </c>
      <c r="G146" s="34" t="n"/>
      <c r="H146" s="34" t="n"/>
    </row>
    <row r="147">
      <c r="A147" t="inlineStr">
        <is>
          <t>ENC113602</t>
        </is>
      </c>
      <c r="B147" t="inlineStr">
        <is>
          <t>PT12554</t>
        </is>
      </c>
      <c r="C147" t="inlineStr">
        <is>
          <t>Inpatient</t>
        </is>
      </c>
      <c r="D147" s="30" t="n">
        <v>20811</v>
      </c>
      <c r="E147" s="33" t="n">
        <v>45741.34930555556</v>
      </c>
      <c r="F147" s="33" t="n">
        <v>45744.66736111111</v>
      </c>
      <c r="G147" s="34" t="n"/>
      <c r="H147" s="34" t="n"/>
    </row>
    <row r="148">
      <c r="A148" t="inlineStr">
        <is>
          <t>ENC113641</t>
        </is>
      </c>
      <c r="B148" t="inlineStr">
        <is>
          <t>PT13946</t>
        </is>
      </c>
      <c r="C148" t="inlineStr">
        <is>
          <t>Observation</t>
        </is>
      </c>
      <c r="D148" s="30" t="n">
        <v>13667</v>
      </c>
      <c r="E148" s="33" t="n">
        <v>45742.56319444445</v>
      </c>
      <c r="F148" s="33" t="n">
        <v>45743.54375</v>
      </c>
      <c r="G148" s="34" t="n"/>
      <c r="H148" s="34" t="n"/>
    </row>
    <row r="149">
      <c r="A149" t="inlineStr">
        <is>
          <t>ENC113673</t>
        </is>
      </c>
      <c r="B149" t="inlineStr">
        <is>
          <t>PT10667</t>
        </is>
      </c>
      <c r="C149" t="inlineStr">
        <is>
          <t>Inpatient</t>
        </is>
      </c>
      <c r="D149" s="30" t="n">
        <v>26068</v>
      </c>
      <c r="E149" s="33" t="n">
        <v>45743.32430555556</v>
      </c>
      <c r="F149" s="33" t="n">
        <v>45747.38055555556</v>
      </c>
      <c r="G149" s="34" t="n"/>
      <c r="H149" s="34" t="n"/>
    </row>
    <row r="150">
      <c r="A150" t="inlineStr">
        <is>
          <t>ENC113676</t>
        </is>
      </c>
      <c r="B150" t="inlineStr">
        <is>
          <t>PT11523</t>
        </is>
      </c>
      <c r="C150" t="inlineStr">
        <is>
          <t>Observation</t>
        </is>
      </c>
      <c r="D150" s="30" t="n">
        <v>23442</v>
      </c>
      <c r="E150" s="33" t="n">
        <v>45743.45138888889</v>
      </c>
      <c r="F150" s="33" t="n">
        <v>45744.44791666666</v>
      </c>
      <c r="G150" s="34" t="n"/>
      <c r="H150" s="34" t="n"/>
    </row>
    <row r="151">
      <c r="A151" t="inlineStr">
        <is>
          <t>ENC113701</t>
        </is>
      </c>
      <c r="B151" t="inlineStr">
        <is>
          <t>PT10498</t>
        </is>
      </c>
      <c r="C151" t="inlineStr">
        <is>
          <t>Inpatient</t>
        </is>
      </c>
      <c r="D151" s="30" t="n">
        <v>34107</v>
      </c>
      <c r="E151" s="33" t="n">
        <v>45743.73611111111</v>
      </c>
      <c r="F151" s="33" t="n">
        <v>45745.60416666666</v>
      </c>
      <c r="G151" s="34" t="n"/>
      <c r="H151" s="34" t="n"/>
    </row>
    <row r="152">
      <c r="A152" t="inlineStr">
        <is>
          <t>ENC113702</t>
        </is>
      </c>
      <c r="B152" t="inlineStr">
        <is>
          <t>PT11242</t>
        </is>
      </c>
      <c r="C152" t="inlineStr">
        <is>
          <t>Observation</t>
        </is>
      </c>
      <c r="D152" s="30" t="n">
        <v>28844</v>
      </c>
      <c r="E152" s="33" t="n">
        <v>45743.96388888889</v>
      </c>
      <c r="F152" s="33" t="n">
        <v>45745.83333333334</v>
      </c>
      <c r="G152" s="34" t="n"/>
      <c r="H152" s="34" t="n"/>
    </row>
    <row r="153">
      <c r="A153" t="inlineStr">
        <is>
          <t>ENC113741</t>
        </is>
      </c>
      <c r="B153" t="inlineStr">
        <is>
          <t>PT11941</t>
        </is>
      </c>
      <c r="C153" t="inlineStr">
        <is>
          <t>Observation</t>
        </is>
      </c>
      <c r="D153" s="30" t="n">
        <v>17209</v>
      </c>
      <c r="E153" s="33" t="n">
        <v>45744.78263888889</v>
      </c>
      <c r="F153" s="33" t="n">
        <v>45745.59652777778</v>
      </c>
      <c r="G153" s="34" t="n"/>
      <c r="H153" s="34" t="n"/>
    </row>
    <row r="154">
      <c r="A154" t="inlineStr">
        <is>
          <t>ENC113757</t>
        </is>
      </c>
      <c r="B154" t="inlineStr">
        <is>
          <t>PT12049</t>
        </is>
      </c>
      <c r="C154" t="inlineStr">
        <is>
          <t>Observation</t>
        </is>
      </c>
      <c r="D154" s="30" t="n">
        <v>19907</v>
      </c>
      <c r="E154" s="33" t="n">
        <v>45745.52222222222</v>
      </c>
      <c r="F154" s="33" t="n">
        <v>45746.37708333333</v>
      </c>
      <c r="G154" s="34" t="n"/>
      <c r="H154" s="34" t="n"/>
    </row>
    <row r="155">
      <c r="A155" t="inlineStr">
        <is>
          <t>ENC113754</t>
        </is>
      </c>
      <c r="B155" t="inlineStr">
        <is>
          <t>PT10411</t>
        </is>
      </c>
      <c r="C155" t="inlineStr">
        <is>
          <t>Inpatient</t>
        </is>
      </c>
      <c r="D155" s="30" t="n">
        <v>17571</v>
      </c>
      <c r="E155" s="33" t="n">
        <v>45745.53263888889</v>
      </c>
      <c r="F155" s="33" t="n">
        <v>45748.58125</v>
      </c>
      <c r="G155" s="34" t="n"/>
      <c r="H155" s="34" t="n"/>
    </row>
    <row r="156">
      <c r="A156" t="inlineStr">
        <is>
          <t>ENC113786</t>
        </is>
      </c>
      <c r="B156" t="inlineStr">
        <is>
          <t>PT13095</t>
        </is>
      </c>
      <c r="C156" t="inlineStr">
        <is>
          <t>Inpatient</t>
        </is>
      </c>
      <c r="D156" s="30" t="n">
        <v>44799</v>
      </c>
      <c r="E156" s="33" t="n">
        <v>45747.43402777778</v>
      </c>
      <c r="F156" s="33" t="n">
        <v>45755.63958333333</v>
      </c>
      <c r="G156" s="34" t="n"/>
      <c r="H156" s="34" t="n"/>
    </row>
    <row r="157">
      <c r="A157" t="inlineStr">
        <is>
          <t>ENC113837</t>
        </is>
      </c>
      <c r="B157" t="inlineStr">
        <is>
          <t>PT12254</t>
        </is>
      </c>
      <c r="C157" t="inlineStr">
        <is>
          <t>Inpatient</t>
        </is>
      </c>
      <c r="D157" s="30" t="n">
        <v>26385</v>
      </c>
      <c r="E157" s="33" t="n">
        <v>45748.67638888889</v>
      </c>
      <c r="F157" s="33" t="n">
        <v>45751.42291666667</v>
      </c>
      <c r="G157" s="34" t="n"/>
      <c r="H157" s="34" t="n"/>
    </row>
    <row r="158">
      <c r="A158" t="inlineStr">
        <is>
          <t>ENC113874</t>
        </is>
      </c>
      <c r="B158" t="inlineStr">
        <is>
          <t>PT13116</t>
        </is>
      </c>
      <c r="C158" t="inlineStr">
        <is>
          <t>Inpatient</t>
        </is>
      </c>
      <c r="D158" s="30" t="n">
        <v>19234</v>
      </c>
      <c r="E158" s="33" t="n">
        <v>45749.91041666667</v>
      </c>
      <c r="F158" s="33" t="n">
        <v>45756.59583333333</v>
      </c>
      <c r="G158" s="34" t="n"/>
      <c r="H158" s="34" t="n"/>
    </row>
    <row r="159">
      <c r="A159" t="inlineStr">
        <is>
          <t>ENC113883</t>
        </is>
      </c>
      <c r="B159" t="inlineStr">
        <is>
          <t>PT10506</t>
        </is>
      </c>
      <c r="C159" t="inlineStr">
        <is>
          <t>Inpatient</t>
        </is>
      </c>
      <c r="D159" s="30" t="n">
        <v>39432</v>
      </c>
      <c r="E159" s="33" t="n">
        <v>45750.19652777778</v>
      </c>
      <c r="F159" s="33" t="n">
        <v>45764.50555555556</v>
      </c>
      <c r="G159" s="34" t="n"/>
      <c r="H159" s="34" t="n"/>
    </row>
    <row r="160">
      <c r="A160" t="inlineStr">
        <is>
          <t>ENC113886</t>
        </is>
      </c>
      <c r="B160" t="inlineStr">
        <is>
          <t>PT10721</t>
        </is>
      </c>
      <c r="C160" t="inlineStr">
        <is>
          <t>Inpatient</t>
        </is>
      </c>
      <c r="D160" s="30" t="n">
        <v>20486</v>
      </c>
      <c r="E160" s="33" t="n">
        <v>45750.24375</v>
      </c>
      <c r="F160" s="33" t="n">
        <v>45751.60972222222</v>
      </c>
      <c r="G160" s="34" t="n"/>
      <c r="H160" s="34" t="n"/>
    </row>
    <row r="161">
      <c r="A161" t="inlineStr">
        <is>
          <t>ENC113948</t>
        </is>
      </c>
      <c r="B161" t="inlineStr">
        <is>
          <t>PT13536</t>
        </is>
      </c>
      <c r="C161" t="inlineStr">
        <is>
          <t>Inpatient</t>
        </is>
      </c>
      <c r="D161" s="30" t="n">
        <v>19225</v>
      </c>
      <c r="E161" s="33" t="n">
        <v>45752.56319444445</v>
      </c>
      <c r="F161" s="33" t="n">
        <v>45756.72638888889</v>
      </c>
      <c r="G161" s="34" t="n"/>
      <c r="H161" s="34" t="n"/>
    </row>
    <row r="162">
      <c r="A162" t="inlineStr">
        <is>
          <t>ENC113960</t>
        </is>
      </c>
      <c r="B162" t="inlineStr">
        <is>
          <t>PT11536</t>
        </is>
      </c>
      <c r="C162" t="inlineStr">
        <is>
          <t>Inpatient</t>
        </is>
      </c>
      <c r="D162" s="30" t="n">
        <v>37346</v>
      </c>
      <c r="E162" s="33" t="n">
        <v>45752.94166666667</v>
      </c>
      <c r="F162" s="33" t="n">
        <v>45756.725</v>
      </c>
      <c r="G162" s="34" t="n"/>
      <c r="H162" s="34" t="n"/>
    </row>
    <row r="163">
      <c r="A163" t="inlineStr">
        <is>
          <t>ENC113992</t>
        </is>
      </c>
      <c r="B163" t="inlineStr">
        <is>
          <t>PT10537</t>
        </is>
      </c>
      <c r="C163" t="inlineStr">
        <is>
          <t>Inpatient</t>
        </is>
      </c>
      <c r="D163" s="30" t="n">
        <v>37028</v>
      </c>
      <c r="E163" s="33" t="n">
        <v>45754.47222222222</v>
      </c>
      <c r="F163" s="33" t="n">
        <v>45758.6375</v>
      </c>
      <c r="G163" s="34" t="n"/>
      <c r="H163" s="34" t="n"/>
    </row>
    <row r="164">
      <c r="A164" t="inlineStr">
        <is>
          <t>ENC114010</t>
        </is>
      </c>
      <c r="B164" t="inlineStr">
        <is>
          <t>PT10180</t>
        </is>
      </c>
      <c r="C164" t="inlineStr">
        <is>
          <t>Inpatient</t>
        </is>
      </c>
      <c r="D164" s="30" t="n">
        <v>11302</v>
      </c>
      <c r="E164" s="33" t="n">
        <v>45754.90555555555</v>
      </c>
      <c r="F164" s="33" t="n">
        <v>45757.52013888889</v>
      </c>
      <c r="G164" s="34" t="n"/>
      <c r="H164" s="34" t="n"/>
    </row>
    <row r="165">
      <c r="A165" t="inlineStr">
        <is>
          <t>ENC114032</t>
        </is>
      </c>
      <c r="B165" t="inlineStr">
        <is>
          <t>PT11427</t>
        </is>
      </c>
      <c r="C165" t="inlineStr">
        <is>
          <t>Inpatient</t>
        </is>
      </c>
      <c r="D165" s="30" t="n">
        <v>20131</v>
      </c>
      <c r="E165" s="33" t="n">
        <v>45755.76736111111</v>
      </c>
      <c r="F165" s="33" t="n">
        <v>45759.53472222222</v>
      </c>
      <c r="G165" s="34" t="n"/>
      <c r="H165" s="34" t="n"/>
    </row>
    <row r="166">
      <c r="A166" t="inlineStr">
        <is>
          <t>ENC114037</t>
        </is>
      </c>
      <c r="B166" t="inlineStr">
        <is>
          <t>PT12133</t>
        </is>
      </c>
      <c r="C166" t="inlineStr">
        <is>
          <t>Inpatient</t>
        </is>
      </c>
      <c r="D166" s="30" t="n">
        <v>20223</v>
      </c>
      <c r="E166" s="33" t="n">
        <v>45755.88680555556</v>
      </c>
      <c r="F166" s="33" t="n">
        <v>45763.46805555555</v>
      </c>
      <c r="G166" s="34" t="n"/>
      <c r="H166" s="34" t="n"/>
    </row>
    <row r="167">
      <c r="A167" t="inlineStr">
        <is>
          <t>ENC114040</t>
        </is>
      </c>
      <c r="B167" t="inlineStr">
        <is>
          <t>PT12410</t>
        </is>
      </c>
      <c r="C167" t="inlineStr">
        <is>
          <t>Inpatient</t>
        </is>
      </c>
      <c r="D167" s="30" t="n">
        <v>23659</v>
      </c>
      <c r="E167" s="33" t="n">
        <v>45756.24027777778</v>
      </c>
      <c r="F167" s="33" t="n">
        <v>45758.57152777778</v>
      </c>
      <c r="G167" s="34" t="n"/>
      <c r="H167" s="34" t="n"/>
    </row>
    <row r="168">
      <c r="A168" t="inlineStr">
        <is>
          <t>ENC114057</t>
        </is>
      </c>
      <c r="B168" t="inlineStr">
        <is>
          <t>PT12070</t>
        </is>
      </c>
      <c r="C168" t="inlineStr">
        <is>
          <t>Inpatient</t>
        </is>
      </c>
      <c r="D168" s="30" t="n">
        <v>29257</v>
      </c>
      <c r="E168" s="33" t="n">
        <v>45756.72847222222</v>
      </c>
      <c r="F168" s="33" t="n">
        <v>45763.58611111111</v>
      </c>
      <c r="G168" s="34" t="n"/>
      <c r="H168" s="34" t="n"/>
    </row>
    <row r="169">
      <c r="A169" t="inlineStr">
        <is>
          <t>ENC114055</t>
        </is>
      </c>
      <c r="B169" t="inlineStr">
        <is>
          <t>PT12687</t>
        </is>
      </c>
      <c r="C169" t="inlineStr">
        <is>
          <t>Inpatient</t>
        </is>
      </c>
      <c r="D169" s="30" t="n">
        <v>20513</v>
      </c>
      <c r="E169" s="33" t="n">
        <v>45756.81041666667</v>
      </c>
      <c r="F169" s="33" t="n">
        <v>45762.56597222222</v>
      </c>
      <c r="G169" s="34" t="n"/>
      <c r="H169" s="34" t="n"/>
    </row>
    <row r="170">
      <c r="A170" t="inlineStr">
        <is>
          <t>ENC114097</t>
        </is>
      </c>
      <c r="B170" t="inlineStr">
        <is>
          <t>PT11381</t>
        </is>
      </c>
      <c r="C170" t="inlineStr">
        <is>
          <t>Inpatient</t>
        </is>
      </c>
      <c r="D170" s="30" t="n">
        <v>28507</v>
      </c>
      <c r="E170" s="33" t="n">
        <v>45758.0375</v>
      </c>
      <c r="F170" s="33" t="n">
        <v>45763.56527777778</v>
      </c>
      <c r="G170" s="34" t="n"/>
      <c r="H170" s="34" t="n"/>
    </row>
    <row r="171">
      <c r="A171" t="inlineStr">
        <is>
          <t>ENC114125</t>
        </is>
      </c>
      <c r="B171" t="inlineStr">
        <is>
          <t>PT10337</t>
        </is>
      </c>
      <c r="C171" t="inlineStr">
        <is>
          <t>Observation</t>
        </is>
      </c>
      <c r="D171" s="30" t="n">
        <v>12823</v>
      </c>
      <c r="E171" s="33" t="n">
        <v>45758.71041666667</v>
      </c>
      <c r="F171" s="33" t="n">
        <v>45760.44861111111</v>
      </c>
      <c r="G171" s="34" t="n"/>
      <c r="H171" s="34" t="n"/>
    </row>
    <row r="172">
      <c r="A172" t="inlineStr">
        <is>
          <t>ENC114130</t>
        </is>
      </c>
      <c r="B172" t="inlineStr">
        <is>
          <t>PT11214</t>
        </is>
      </c>
      <c r="C172" t="inlineStr">
        <is>
          <t>Inpatient</t>
        </is>
      </c>
      <c r="D172" s="30" t="n">
        <v>29707</v>
      </c>
      <c r="E172" s="33" t="n">
        <v>45758.77083333334</v>
      </c>
      <c r="F172" s="33" t="n">
        <v>45763.4625</v>
      </c>
      <c r="G172" s="34" t="n"/>
      <c r="H172" s="34" t="n"/>
    </row>
    <row r="173">
      <c r="A173" t="inlineStr">
        <is>
          <t>ENC114133</t>
        </is>
      </c>
      <c r="B173" t="inlineStr">
        <is>
          <t>PT10672</t>
        </is>
      </c>
      <c r="C173" t="inlineStr">
        <is>
          <t>Inpatient</t>
        </is>
      </c>
      <c r="D173" s="30" t="n">
        <v>34517</v>
      </c>
      <c r="E173" s="33" t="n">
        <v>45759.10763888889</v>
      </c>
      <c r="F173" s="33" t="n">
        <v>45764.62847222222</v>
      </c>
      <c r="G173" s="34" t="n"/>
      <c r="H173" s="34" t="n"/>
    </row>
    <row r="174">
      <c r="A174" t="inlineStr">
        <is>
          <t>ENC114135</t>
        </is>
      </c>
      <c r="B174" t="inlineStr">
        <is>
          <t>PT13549</t>
        </is>
      </c>
      <c r="C174" t="inlineStr">
        <is>
          <t>Observation</t>
        </is>
      </c>
      <c r="D174" s="30" t="n">
        <v>11983</v>
      </c>
      <c r="E174" s="33" t="n">
        <v>45759.11111111111</v>
      </c>
      <c r="F174" s="33" t="n">
        <v>45760.6375</v>
      </c>
      <c r="G174" s="34" t="n"/>
      <c r="H174" s="34" t="n"/>
    </row>
    <row r="175">
      <c r="A175" t="inlineStr">
        <is>
          <t>ENC114160</t>
        </is>
      </c>
      <c r="B175" t="inlineStr">
        <is>
          <t>PT11838</t>
        </is>
      </c>
      <c r="C175" t="inlineStr">
        <is>
          <t>Inpatient</t>
        </is>
      </c>
      <c r="D175" s="30" t="n">
        <v>31473</v>
      </c>
      <c r="E175" s="33" t="n">
        <v>45760.92847222222</v>
      </c>
      <c r="F175" s="33" t="n">
        <v>45762.51388888889</v>
      </c>
      <c r="G175" s="34" t="n"/>
      <c r="H175" s="34" t="n"/>
    </row>
    <row r="176">
      <c r="A176" t="inlineStr">
        <is>
          <t>ENC114199</t>
        </is>
      </c>
      <c r="B176" t="inlineStr">
        <is>
          <t>PT10513</t>
        </is>
      </c>
      <c r="C176" t="inlineStr">
        <is>
          <t>Inpatient</t>
        </is>
      </c>
      <c r="D176" s="30" t="n">
        <v>26471</v>
      </c>
      <c r="E176" s="33" t="n">
        <v>45761.82152777778</v>
      </c>
      <c r="F176" s="33" t="n">
        <v>45764.52222222222</v>
      </c>
      <c r="G176" s="34" t="n"/>
      <c r="H176" s="34" t="n"/>
    </row>
    <row r="177">
      <c r="A177" t="inlineStr">
        <is>
          <t>ENC114200</t>
        </is>
      </c>
      <c r="B177" t="inlineStr">
        <is>
          <t>PT12963</t>
        </is>
      </c>
      <c r="C177" t="inlineStr">
        <is>
          <t>Inpatient</t>
        </is>
      </c>
      <c r="D177" s="30" t="n">
        <v>12453</v>
      </c>
      <c r="E177" s="33" t="n">
        <v>45761.96180555555</v>
      </c>
      <c r="F177" s="33" t="n">
        <v>45767.46944444445</v>
      </c>
      <c r="G177" s="34" t="n"/>
      <c r="H177" s="34" t="n"/>
    </row>
    <row r="178">
      <c r="A178" t="inlineStr">
        <is>
          <t>ENC114276</t>
        </is>
      </c>
      <c r="B178" t="inlineStr">
        <is>
          <t>PT13126</t>
        </is>
      </c>
      <c r="C178" t="inlineStr">
        <is>
          <t>Observation</t>
        </is>
      </c>
      <c r="D178" s="30" t="n">
        <v>28970</v>
      </c>
      <c r="E178" s="33" t="n">
        <v>45764.50277777778</v>
      </c>
      <c r="F178" s="33" t="n">
        <v>45765.32013888889</v>
      </c>
      <c r="G178" s="34" t="n"/>
      <c r="H178" s="34" t="n"/>
    </row>
    <row r="179">
      <c r="A179" t="inlineStr">
        <is>
          <t>ENC114294</t>
        </is>
      </c>
      <c r="B179" t="inlineStr">
        <is>
          <t>PT12979</t>
        </is>
      </c>
      <c r="C179" t="inlineStr">
        <is>
          <t>Inpatient</t>
        </is>
      </c>
      <c r="D179" s="30" t="n">
        <v>27896</v>
      </c>
      <c r="E179" s="33" t="n">
        <v>45764.80972222222</v>
      </c>
      <c r="F179" s="33" t="n">
        <v>45767.48194444444</v>
      </c>
      <c r="G179" s="34" t="n"/>
      <c r="H179" s="34" t="n"/>
    </row>
    <row r="180">
      <c r="A180" t="inlineStr">
        <is>
          <t>ENC114306</t>
        </is>
      </c>
      <c r="B180" t="inlineStr">
        <is>
          <t>PT11842</t>
        </is>
      </c>
      <c r="C180" t="inlineStr">
        <is>
          <t>Inpatient</t>
        </is>
      </c>
      <c r="D180" s="30" t="n">
        <v>23714</v>
      </c>
      <c r="E180" s="33" t="n">
        <v>45765.33194444444</v>
      </c>
      <c r="F180" s="33" t="n">
        <v>45768.65416666667</v>
      </c>
      <c r="G180" s="34" t="n"/>
      <c r="H180" s="34" t="n"/>
    </row>
    <row r="181">
      <c r="A181" t="inlineStr">
        <is>
          <t>ENC114305</t>
        </is>
      </c>
      <c r="B181" t="inlineStr">
        <is>
          <t>PT10219</t>
        </is>
      </c>
      <c r="C181" t="inlineStr">
        <is>
          <t>Inpatient</t>
        </is>
      </c>
      <c r="D181" s="30" t="n">
        <v>23735</v>
      </c>
      <c r="E181" s="33" t="n">
        <v>45765.40138888889</v>
      </c>
      <c r="F181" s="33" t="n">
        <v>45767.45902777778</v>
      </c>
      <c r="G181" s="34" t="n"/>
      <c r="H181" s="34" t="n"/>
    </row>
    <row r="182">
      <c r="A182" t="inlineStr">
        <is>
          <t>ENC114314</t>
        </is>
      </c>
      <c r="B182" t="inlineStr">
        <is>
          <t>PT11946</t>
        </is>
      </c>
      <c r="C182" t="inlineStr">
        <is>
          <t>Inpatient</t>
        </is>
      </c>
      <c r="D182" s="30" t="n">
        <v>23152</v>
      </c>
      <c r="E182" s="33" t="n">
        <v>45765.66388888889</v>
      </c>
      <c r="F182" s="33" t="n">
        <v>45766.51458333333</v>
      </c>
      <c r="G182" s="34" t="n"/>
      <c r="H182" s="34" t="n"/>
    </row>
    <row r="183">
      <c r="A183" t="inlineStr">
        <is>
          <t>ENC114331</t>
        </is>
      </c>
      <c r="B183" t="inlineStr">
        <is>
          <t>PT13751</t>
        </is>
      </c>
      <c r="C183" t="inlineStr">
        <is>
          <t>Inpatient</t>
        </is>
      </c>
      <c r="D183" s="30" t="n">
        <v>12686</v>
      </c>
      <c r="E183" s="33" t="n">
        <v>45765.84444444445</v>
      </c>
      <c r="F183" s="33" t="n">
        <v>45770.66458333333</v>
      </c>
      <c r="G183" s="34" t="n"/>
      <c r="H183" s="34" t="n"/>
    </row>
    <row r="184">
      <c r="A184" t="inlineStr">
        <is>
          <t>ENC114346</t>
        </is>
      </c>
      <c r="B184" t="inlineStr">
        <is>
          <t>PT10323</t>
        </is>
      </c>
      <c r="C184" t="inlineStr">
        <is>
          <t>Observation</t>
        </is>
      </c>
      <c r="D184" s="30" t="n">
        <v>44118</v>
      </c>
      <c r="E184" s="33" t="n">
        <v>45766.97083333333</v>
      </c>
      <c r="F184" s="33" t="n">
        <v>45767.72708333333</v>
      </c>
      <c r="G184" s="34" t="n"/>
      <c r="H184" s="34" t="n"/>
    </row>
    <row r="185">
      <c r="A185" t="inlineStr">
        <is>
          <t>ENC114348</t>
        </is>
      </c>
      <c r="B185" t="inlineStr">
        <is>
          <t>PT11878</t>
        </is>
      </c>
      <c r="C185" t="inlineStr">
        <is>
          <t>Inpatient</t>
        </is>
      </c>
      <c r="D185" s="30" t="n">
        <v>19993</v>
      </c>
      <c r="E185" s="33" t="n">
        <v>45767.14930555555</v>
      </c>
      <c r="F185" s="33" t="n">
        <v>45773.63611111111</v>
      </c>
      <c r="G185" s="34" t="n"/>
      <c r="H185" s="34" t="n"/>
    </row>
    <row r="186">
      <c r="A186" t="inlineStr">
        <is>
          <t>ENC114350</t>
        </is>
      </c>
      <c r="B186" t="inlineStr">
        <is>
          <t>PT13786</t>
        </is>
      </c>
      <c r="C186" t="inlineStr">
        <is>
          <t>Inpatient</t>
        </is>
      </c>
      <c r="D186" s="30" t="n">
        <v>28207</v>
      </c>
      <c r="E186" s="33" t="n">
        <v>45767.26736111111</v>
      </c>
      <c r="F186" s="33" t="n">
        <v>45770.55416666667</v>
      </c>
      <c r="G186" s="34" t="n"/>
      <c r="H186" s="34" t="n"/>
    </row>
    <row r="187">
      <c r="A187" t="inlineStr">
        <is>
          <t>ENC114356</t>
        </is>
      </c>
      <c r="B187" t="inlineStr">
        <is>
          <t>PT10865</t>
        </is>
      </c>
      <c r="C187" t="inlineStr">
        <is>
          <t>Inpatient</t>
        </is>
      </c>
      <c r="D187" s="30" t="n">
        <v>10588</v>
      </c>
      <c r="E187" s="33" t="n">
        <v>45767.71666666667</v>
      </c>
      <c r="F187" s="33" t="n">
        <v>45770.68472222222</v>
      </c>
      <c r="G187" s="34" t="n"/>
      <c r="H187" s="34" t="n"/>
    </row>
    <row r="188">
      <c r="A188" t="inlineStr">
        <is>
          <t>ENC114381</t>
        </is>
      </c>
      <c r="B188" t="inlineStr">
        <is>
          <t>PT10455</t>
        </is>
      </c>
      <c r="C188" t="inlineStr">
        <is>
          <t>Inpatient</t>
        </is>
      </c>
      <c r="D188" s="30" t="n">
        <v>26167</v>
      </c>
      <c r="E188" s="33" t="n">
        <v>45768.66388888889</v>
      </c>
      <c r="F188" s="33" t="n">
        <v>45771.66041666667</v>
      </c>
      <c r="G188" s="34" t="n"/>
      <c r="H188" s="34" t="n"/>
    </row>
    <row r="189">
      <c r="A189" t="inlineStr">
        <is>
          <t>ENC114387</t>
        </is>
      </c>
      <c r="B189" t="inlineStr">
        <is>
          <t>PT11188</t>
        </is>
      </c>
      <c r="C189" t="inlineStr">
        <is>
          <t>Inpatient</t>
        </is>
      </c>
      <c r="D189" s="30" t="n">
        <v>18010</v>
      </c>
      <c r="E189" s="33" t="n">
        <v>45768.73333333333</v>
      </c>
      <c r="F189" s="33" t="n">
        <v>45774.72708333333</v>
      </c>
      <c r="G189" s="34" t="n"/>
      <c r="H189" s="34" t="n"/>
    </row>
    <row r="190">
      <c r="A190" t="inlineStr">
        <is>
          <t>ENC114400</t>
        </is>
      </c>
      <c r="B190" t="inlineStr">
        <is>
          <t>PT11926</t>
        </is>
      </c>
      <c r="C190" t="inlineStr">
        <is>
          <t>Observation</t>
        </is>
      </c>
      <c r="D190" s="30" t="n">
        <v>17544</v>
      </c>
      <c r="E190" s="33" t="n">
        <v>45769.27847222222</v>
      </c>
      <c r="F190" s="33" t="n">
        <v>45770.05</v>
      </c>
      <c r="G190" s="34" t="n"/>
      <c r="H190" s="34" t="n"/>
    </row>
    <row r="191">
      <c r="A191" t="inlineStr">
        <is>
          <t>ENC114437</t>
        </is>
      </c>
      <c r="B191" t="inlineStr">
        <is>
          <t>PT13384</t>
        </is>
      </c>
      <c r="C191" t="inlineStr">
        <is>
          <t>Inpatient</t>
        </is>
      </c>
      <c r="D191" s="30" t="n">
        <v>13732</v>
      </c>
      <c r="E191" s="33" t="n">
        <v>45770.35208333333</v>
      </c>
      <c r="F191" s="33" t="n">
        <v>45781.46458333333</v>
      </c>
      <c r="G191" s="34" t="n"/>
      <c r="H191" s="34" t="n"/>
    </row>
    <row r="192">
      <c r="A192" t="inlineStr">
        <is>
          <t>ENC114445</t>
        </is>
      </c>
      <c r="B192" t="inlineStr">
        <is>
          <t>PT10698</t>
        </is>
      </c>
      <c r="C192" t="inlineStr">
        <is>
          <t>Inpatient</t>
        </is>
      </c>
      <c r="D192" s="30" t="n">
        <v>37367</v>
      </c>
      <c r="E192" s="33" t="n">
        <v>45770.4125</v>
      </c>
      <c r="F192" s="33" t="n">
        <v>45775.57083333333</v>
      </c>
      <c r="G192" s="34" t="n"/>
      <c r="H192" s="34" t="n"/>
    </row>
    <row r="193">
      <c r="A193" t="inlineStr">
        <is>
          <t>ENC114455</t>
        </is>
      </c>
      <c r="B193" t="inlineStr">
        <is>
          <t>PT12979</t>
        </is>
      </c>
      <c r="C193" t="inlineStr">
        <is>
          <t>Inpatient</t>
        </is>
      </c>
      <c r="D193" s="30" t="n">
        <v>27896</v>
      </c>
      <c r="E193" s="33" t="n">
        <v>45770.60486111111</v>
      </c>
      <c r="F193" s="33" t="n">
        <v>45773.4875</v>
      </c>
      <c r="G193" s="34" t="n"/>
      <c r="H193" s="34" t="n"/>
    </row>
    <row r="194">
      <c r="A194" t="inlineStr">
        <is>
          <t>ENC114454</t>
        </is>
      </c>
      <c r="B194" t="inlineStr">
        <is>
          <t>PT10750</t>
        </is>
      </c>
      <c r="C194" t="inlineStr">
        <is>
          <t>Inpatient</t>
        </is>
      </c>
      <c r="D194" s="30" t="n">
        <v>16118</v>
      </c>
      <c r="E194" s="33" t="n">
        <v>45770.61527777778</v>
      </c>
      <c r="F194" s="33" t="n">
        <v>45774.64027777778</v>
      </c>
      <c r="G194" s="34" t="n"/>
      <c r="H194" s="34" t="n"/>
    </row>
    <row r="195">
      <c r="A195" t="inlineStr">
        <is>
          <t>ENC114470</t>
        </is>
      </c>
      <c r="B195" t="inlineStr">
        <is>
          <t>PT11783</t>
        </is>
      </c>
      <c r="C195" t="inlineStr">
        <is>
          <t>Inpatient</t>
        </is>
      </c>
      <c r="D195" s="30" t="n">
        <v>23652</v>
      </c>
      <c r="E195" s="33" t="n">
        <v>45770.82638888889</v>
      </c>
      <c r="F195" s="33" t="n">
        <v>45773.60277777778</v>
      </c>
      <c r="G195" s="34" t="n"/>
      <c r="H195" s="34" t="n"/>
    </row>
    <row r="196">
      <c r="A196" t="inlineStr">
        <is>
          <t>ENC114468</t>
        </is>
      </c>
      <c r="B196" t="inlineStr">
        <is>
          <t>PT12453</t>
        </is>
      </c>
      <c r="C196" t="inlineStr">
        <is>
          <t>Inpatient</t>
        </is>
      </c>
      <c r="D196" s="30" t="n">
        <v>31945</v>
      </c>
      <c r="E196" s="33" t="n">
        <v>45770.85833333333</v>
      </c>
      <c r="F196" s="33" t="n">
        <v>45775.56458333333</v>
      </c>
      <c r="G196" s="34" t="n"/>
      <c r="H196" s="34" t="n"/>
    </row>
    <row r="197">
      <c r="A197" t="inlineStr">
        <is>
          <t>ENC114472</t>
        </is>
      </c>
      <c r="B197" t="inlineStr">
        <is>
          <t>PT11518</t>
        </is>
      </c>
      <c r="C197" t="inlineStr">
        <is>
          <t>Inpatient</t>
        </is>
      </c>
      <c r="D197" s="30" t="n">
        <v>27051</v>
      </c>
      <c r="E197" s="33" t="n">
        <v>45770.97777777778</v>
      </c>
      <c r="F197" s="33" t="n">
        <v>45773.55486111111</v>
      </c>
      <c r="G197" s="34" t="n"/>
      <c r="H197" s="34" t="n"/>
    </row>
    <row r="198">
      <c r="A198" t="inlineStr">
        <is>
          <t>ENC114479</t>
        </is>
      </c>
      <c r="B198" t="inlineStr">
        <is>
          <t>PT12749</t>
        </is>
      </c>
      <c r="C198" t="inlineStr">
        <is>
          <t>Inpatient</t>
        </is>
      </c>
      <c r="D198" s="30" t="n">
        <v>19142</v>
      </c>
      <c r="E198" s="33" t="n">
        <v>45771.51388888889</v>
      </c>
      <c r="F198" s="33" t="n">
        <v>45773.62638888889</v>
      </c>
      <c r="G198" s="34" t="n"/>
      <c r="H198" s="34" t="n"/>
    </row>
    <row r="199">
      <c r="A199" t="inlineStr">
        <is>
          <t>ENC114492</t>
        </is>
      </c>
      <c r="B199" t="inlineStr">
        <is>
          <t>PT12649</t>
        </is>
      </c>
      <c r="C199" t="inlineStr">
        <is>
          <t>Inpatient</t>
        </is>
      </c>
      <c r="D199" s="30" t="n">
        <v>32013</v>
      </c>
      <c r="E199" s="33" t="n">
        <v>45771.58472222222</v>
      </c>
      <c r="F199" s="33" t="n">
        <v>45776.66666666666</v>
      </c>
      <c r="G199" s="34" t="n"/>
      <c r="H199" s="34" t="n"/>
    </row>
    <row r="200">
      <c r="A200" t="inlineStr">
        <is>
          <t>ENC114481</t>
        </is>
      </c>
      <c r="B200" t="inlineStr">
        <is>
          <t>PT10032</t>
        </is>
      </c>
      <c r="C200" t="inlineStr">
        <is>
          <t>Observation</t>
        </is>
      </c>
      <c r="D200" s="30" t="n">
        <v>35240</v>
      </c>
      <c r="E200" s="33" t="n">
        <v>45771.6</v>
      </c>
      <c r="F200" s="33" t="n">
        <v>45772.50902777778</v>
      </c>
      <c r="G200" s="34" t="n"/>
      <c r="H200" s="34" t="n"/>
    </row>
    <row r="201">
      <c r="A201" t="inlineStr">
        <is>
          <t>ENC114504</t>
        </is>
      </c>
      <c r="B201" t="inlineStr">
        <is>
          <t>PT11312</t>
        </is>
      </c>
      <c r="C201" t="inlineStr">
        <is>
          <t>Observation</t>
        </is>
      </c>
      <c r="D201" s="30" t="n">
        <v>37319</v>
      </c>
      <c r="E201" s="33" t="n">
        <v>45772.18055555555</v>
      </c>
      <c r="F201" s="33" t="n">
        <v>45773.22291666667</v>
      </c>
      <c r="G201" s="34" t="n"/>
      <c r="H201" s="34" t="n"/>
    </row>
    <row r="202">
      <c r="A202" t="inlineStr">
        <is>
          <t>ENC114544</t>
        </is>
      </c>
      <c r="B202" t="inlineStr">
        <is>
          <t>PT12963</t>
        </is>
      </c>
      <c r="C202" t="inlineStr">
        <is>
          <t>Inpatient</t>
        </is>
      </c>
      <c r="D202" s="30" t="n">
        <v>12453</v>
      </c>
      <c r="E202" s="33" t="n">
        <v>45773.65138888889</v>
      </c>
      <c r="F202" s="33" t="n">
        <v>45776.79583333333</v>
      </c>
      <c r="G202" s="34" t="n"/>
      <c r="H202" s="34" t="n"/>
    </row>
    <row r="203">
      <c r="A203" t="inlineStr">
        <is>
          <t>ENC114547</t>
        </is>
      </c>
      <c r="B203" t="inlineStr">
        <is>
          <t>PT11141</t>
        </is>
      </c>
      <c r="C203" t="inlineStr">
        <is>
          <t>Observation</t>
        </is>
      </c>
      <c r="D203" s="30" t="n">
        <v>16927</v>
      </c>
      <c r="E203" s="33" t="n">
        <v>45773.84652777778</v>
      </c>
      <c r="F203" s="33" t="n">
        <v>45774.54375</v>
      </c>
      <c r="G203" s="34" t="n"/>
      <c r="H203" s="34" t="n"/>
    </row>
    <row r="204">
      <c r="A204" t="inlineStr">
        <is>
          <t>ENC114548</t>
        </is>
      </c>
      <c r="B204" t="inlineStr">
        <is>
          <t>PT13393</t>
        </is>
      </c>
      <c r="C204" t="inlineStr">
        <is>
          <t>Inpatient</t>
        </is>
      </c>
      <c r="D204" s="30" t="n">
        <v>25501</v>
      </c>
      <c r="E204" s="33" t="n">
        <v>45773.95902777778</v>
      </c>
      <c r="F204" s="33" t="n">
        <v>45777.77916666667</v>
      </c>
      <c r="G204" s="34" t="n"/>
      <c r="H204" s="34" t="n"/>
    </row>
    <row r="205">
      <c r="A205" t="inlineStr">
        <is>
          <t>ENC114552</t>
        </is>
      </c>
      <c r="B205" t="inlineStr">
        <is>
          <t>PT10473</t>
        </is>
      </c>
      <c r="C205" t="inlineStr">
        <is>
          <t>Inpatient</t>
        </is>
      </c>
      <c r="D205" s="30" t="n">
        <v>19893</v>
      </c>
      <c r="E205" s="33" t="n">
        <v>45774.4375</v>
      </c>
      <c r="F205" s="33" t="n">
        <v>45776.54375</v>
      </c>
      <c r="G205" s="34" t="n"/>
      <c r="H205" s="34" t="n"/>
    </row>
    <row r="206">
      <c r="A206" t="inlineStr">
        <is>
          <t>ENC114555</t>
        </is>
      </c>
      <c r="B206" t="inlineStr">
        <is>
          <t>PT13363</t>
        </is>
      </c>
      <c r="C206" t="inlineStr">
        <is>
          <t>Inpatient</t>
        </is>
      </c>
      <c r="D206" s="30" t="n">
        <v>11244</v>
      </c>
      <c r="E206" s="33" t="n">
        <v>45774.46666666667</v>
      </c>
      <c r="F206" s="33" t="n">
        <v>45778.60069444445</v>
      </c>
      <c r="G206" s="34" t="n"/>
      <c r="H206" s="34" t="n"/>
    </row>
    <row r="207">
      <c r="A207" t="inlineStr">
        <is>
          <t>ENC114603</t>
        </is>
      </c>
      <c r="B207" t="inlineStr">
        <is>
          <t>PT10667</t>
        </is>
      </c>
      <c r="C207" t="inlineStr">
        <is>
          <t>Inpatient</t>
        </is>
      </c>
      <c r="D207" s="30" t="n">
        <v>26068</v>
      </c>
      <c r="E207" s="33" t="n">
        <v>45776.57013888889</v>
      </c>
      <c r="F207" s="33" t="n">
        <v>45414.54097222222</v>
      </c>
      <c r="G207" s="34" t="n"/>
      <c r="H207" s="34" t="n"/>
    </row>
    <row r="208">
      <c r="A208" t="inlineStr">
        <is>
          <t>ENC114637</t>
        </is>
      </c>
      <c r="B208" t="inlineStr">
        <is>
          <t>PT13671</t>
        </is>
      </c>
      <c r="C208" t="inlineStr">
        <is>
          <t>Inpatient</t>
        </is>
      </c>
      <c r="D208" s="30" t="n">
        <v>14006</v>
      </c>
      <c r="E208" s="33" t="n">
        <v>45777.74930555555</v>
      </c>
      <c r="F208" s="33" t="n">
        <v>45787.61041666667</v>
      </c>
      <c r="G208" s="34" t="n"/>
      <c r="H208" s="34" t="n"/>
    </row>
    <row r="209">
      <c r="A209" t="inlineStr">
        <is>
          <t>ENC114652</t>
        </is>
      </c>
      <c r="B209" t="inlineStr">
        <is>
          <t>PT10118</t>
        </is>
      </c>
      <c r="C209" t="inlineStr">
        <is>
          <t>Inpatient</t>
        </is>
      </c>
      <c r="D209" s="30" t="n">
        <v>17544</v>
      </c>
      <c r="E209" s="33" t="n">
        <v>45778.36319444444</v>
      </c>
      <c r="F209" s="33" t="n">
        <v>45780.60833333333</v>
      </c>
      <c r="G209" s="34" t="n"/>
      <c r="H209" s="34" t="n"/>
    </row>
    <row r="210">
      <c r="A210" t="inlineStr">
        <is>
          <t>ENC114667</t>
        </is>
      </c>
      <c r="B210" t="inlineStr">
        <is>
          <t>PT12355</t>
        </is>
      </c>
      <c r="C210" t="inlineStr">
        <is>
          <t>Inpatient</t>
        </is>
      </c>
      <c r="D210" s="30" t="n">
        <v>11560</v>
      </c>
      <c r="E210" s="33" t="n">
        <v>45778.59583333333</v>
      </c>
      <c r="F210" s="33" t="n">
        <v>45785.51875</v>
      </c>
      <c r="G210" s="34" t="n"/>
      <c r="H210" s="34" t="n"/>
    </row>
    <row r="211">
      <c r="A211" t="inlineStr">
        <is>
          <t>ENC114688</t>
        </is>
      </c>
      <c r="B211" t="inlineStr">
        <is>
          <t>PT13090</t>
        </is>
      </c>
      <c r="C211" t="inlineStr">
        <is>
          <t>Observation</t>
        </is>
      </c>
      <c r="D211" s="30" t="n">
        <v>17875</v>
      </c>
      <c r="E211" s="33" t="n">
        <v>45779.59861111111</v>
      </c>
      <c r="F211" s="33" t="n">
        <v>45781.21319444444</v>
      </c>
      <c r="G211" s="34" t="n"/>
      <c r="H211" s="34" t="n"/>
    </row>
    <row r="212">
      <c r="A212" t="inlineStr">
        <is>
          <t>ENC114745</t>
        </is>
      </c>
      <c r="B212" t="inlineStr">
        <is>
          <t>PT11188</t>
        </is>
      </c>
      <c r="C212" t="inlineStr">
        <is>
          <t>Inpatient</t>
        </is>
      </c>
      <c r="D212" s="30" t="n">
        <v>18010</v>
      </c>
      <c r="E212" s="33" t="n">
        <v>45781.84375</v>
      </c>
      <c r="F212" s="33" t="n">
        <v>45788.63402777778</v>
      </c>
      <c r="G212" s="34" t="n"/>
      <c r="H212" s="34" t="n"/>
    </row>
    <row r="213">
      <c r="A213" t="inlineStr">
        <is>
          <t>ENC114747</t>
        </is>
      </c>
      <c r="B213" t="inlineStr">
        <is>
          <t>PT10171</t>
        </is>
      </c>
      <c r="C213" t="inlineStr">
        <is>
          <t>Inpatient</t>
        </is>
      </c>
      <c r="D213" s="30" t="n">
        <v>18053</v>
      </c>
      <c r="E213" s="33" t="n">
        <v>45781.90902777778</v>
      </c>
      <c r="F213" s="33" t="n">
        <v>45784.5875</v>
      </c>
      <c r="G213" s="34" t="n"/>
      <c r="H213" s="34" t="n"/>
    </row>
    <row r="214">
      <c r="A214" t="inlineStr">
        <is>
          <t>ENC114755</t>
        </is>
      </c>
      <c r="B214" t="inlineStr">
        <is>
          <t>PT12629</t>
        </is>
      </c>
      <c r="C214" t="inlineStr">
        <is>
          <t>Observation</t>
        </is>
      </c>
      <c r="D214" s="30" t="n">
        <v>23462</v>
      </c>
      <c r="E214" s="33" t="n">
        <v>45782.30763888889</v>
      </c>
      <c r="F214" s="33" t="n">
        <v>45783.30763888889</v>
      </c>
      <c r="G214" s="34" t="n"/>
      <c r="H214" s="34" t="n"/>
    </row>
    <row r="215">
      <c r="A215" t="inlineStr">
        <is>
          <t>ENC114765</t>
        </is>
      </c>
      <c r="B215" t="inlineStr">
        <is>
          <t>PT12692</t>
        </is>
      </c>
      <c r="C215" t="inlineStr">
        <is>
          <t>Inpatient</t>
        </is>
      </c>
      <c r="D215" s="30" t="n">
        <v>42121</v>
      </c>
      <c r="E215" s="33" t="n">
        <v>45782.50486111111</v>
      </c>
      <c r="F215" s="33" t="n">
        <v>45790.60763888889</v>
      </c>
      <c r="G215" s="34" t="n"/>
      <c r="H215" s="34" t="n"/>
    </row>
    <row r="216">
      <c r="A216" t="inlineStr">
        <is>
          <t>ENC114801</t>
        </is>
      </c>
      <c r="B216" t="inlineStr">
        <is>
          <t>PT12518</t>
        </is>
      </c>
      <c r="C216" t="inlineStr">
        <is>
          <t>Observation</t>
        </is>
      </c>
      <c r="D216" s="30" t="n">
        <v>11125</v>
      </c>
      <c r="E216" s="33" t="n">
        <v>45783.17361111111</v>
      </c>
      <c r="F216" s="33" t="n">
        <v>45784.10902777778</v>
      </c>
      <c r="G216" s="34" t="n"/>
      <c r="H216" s="34" t="n"/>
    </row>
    <row r="217">
      <c r="A217" t="inlineStr">
        <is>
          <t>ENC114806</t>
        </is>
      </c>
      <c r="B217" t="inlineStr">
        <is>
          <t>PT13519</t>
        </is>
      </c>
      <c r="C217" t="inlineStr">
        <is>
          <t>Inpatient</t>
        </is>
      </c>
      <c r="D217" s="30" t="n">
        <v>26078</v>
      </c>
      <c r="E217" s="33" t="n">
        <v>45783.26944444444</v>
      </c>
      <c r="F217" s="33" t="n">
        <v>45784.62291666667</v>
      </c>
      <c r="G217" s="34" t="n"/>
      <c r="H217" s="34" t="n"/>
    </row>
    <row r="218">
      <c r="A218" t="inlineStr">
        <is>
          <t>ENC114845</t>
        </is>
      </c>
      <c r="B218" t="inlineStr">
        <is>
          <t>PT10663</t>
        </is>
      </c>
      <c r="C218" t="inlineStr">
        <is>
          <t>Inpatient</t>
        </is>
      </c>
      <c r="D218" s="30" t="n">
        <v>18040</v>
      </c>
      <c r="E218" s="33" t="n">
        <v>45784.31875</v>
      </c>
      <c r="F218" s="33" t="n">
        <v>45786.72291666667</v>
      </c>
      <c r="G218" s="34" t="n"/>
      <c r="H218" s="34" t="n"/>
    </row>
    <row r="219">
      <c r="A219" t="inlineStr">
        <is>
          <t>ENC114901</t>
        </is>
      </c>
      <c r="B219" t="inlineStr">
        <is>
          <t>PT11860</t>
        </is>
      </c>
      <c r="C219" t="inlineStr">
        <is>
          <t>Inpatient</t>
        </is>
      </c>
      <c r="D219" s="30" t="n">
        <v>23340</v>
      </c>
      <c r="E219" s="33" t="n">
        <v>45785.88263888889</v>
      </c>
      <c r="F219" s="33" t="n">
        <v>45794.53888888889</v>
      </c>
      <c r="G219" s="34" t="n"/>
      <c r="H219" s="34" t="n"/>
    </row>
    <row r="220">
      <c r="A220" t="inlineStr">
        <is>
          <t>ENC114929</t>
        </is>
      </c>
      <c r="B220" t="inlineStr">
        <is>
          <t>PT10101</t>
        </is>
      </c>
      <c r="C220" t="inlineStr">
        <is>
          <t>Inpatient</t>
        </is>
      </c>
      <c r="D220" s="30" t="n">
        <v>18101</v>
      </c>
      <c r="E220" s="33" t="n">
        <v>45786.85347222222</v>
      </c>
      <c r="F220" s="33" t="n">
        <v>45788.64930555555</v>
      </c>
      <c r="G220" s="34" t="n"/>
      <c r="H220" s="34" t="n"/>
    </row>
    <row r="221">
      <c r="A221" t="inlineStr">
        <is>
          <t>ENC114934</t>
        </is>
      </c>
      <c r="B221" t="inlineStr">
        <is>
          <t>PT10589</t>
        </is>
      </c>
      <c r="C221" t="inlineStr">
        <is>
          <t>Observation</t>
        </is>
      </c>
      <c r="D221" s="30" t="n">
        <v>23831</v>
      </c>
      <c r="E221" s="33" t="n">
        <v>45787.2125</v>
      </c>
      <c r="F221" s="33" t="n">
        <v>45789.07569444444</v>
      </c>
      <c r="G221" s="34" t="n"/>
      <c r="H221" s="34" t="n"/>
    </row>
    <row r="222">
      <c r="A222" t="inlineStr">
        <is>
          <t>ENC114976</t>
        </is>
      </c>
      <c r="B222" t="inlineStr">
        <is>
          <t>PT13715</t>
        </is>
      </c>
      <c r="C222" t="inlineStr">
        <is>
          <t>Inpatient</t>
        </is>
      </c>
      <c r="D222" s="30" t="n">
        <v>18388</v>
      </c>
      <c r="E222" s="33" t="n">
        <v>45789.63541666666</v>
      </c>
      <c r="F222" s="33" t="n">
        <v>45792.48472222222</v>
      </c>
      <c r="G222" s="34" t="n"/>
      <c r="H222" s="34" t="n"/>
    </row>
    <row r="223">
      <c r="A223" t="inlineStr">
        <is>
          <t>ENC115060</t>
        </is>
      </c>
      <c r="B223" t="inlineStr">
        <is>
          <t>PT12896</t>
        </is>
      </c>
      <c r="C223" t="inlineStr">
        <is>
          <t>Inpatient</t>
        </is>
      </c>
      <c r="D223" s="30" t="n">
        <v>20925</v>
      </c>
      <c r="E223" s="33" t="n">
        <v>45791.61736111111</v>
      </c>
      <c r="F223" s="33" t="n">
        <v>45795.66597222222</v>
      </c>
      <c r="G223" s="34" t="n"/>
      <c r="H223" s="34" t="n"/>
    </row>
    <row r="224">
      <c r="A224" t="inlineStr">
        <is>
          <t>ENC115131</t>
        </is>
      </c>
      <c r="B224" t="inlineStr">
        <is>
          <t>PT13869</t>
        </is>
      </c>
      <c r="C224" t="inlineStr">
        <is>
          <t>Inpatient</t>
        </is>
      </c>
      <c r="D224" s="30" t="n">
        <v>16726</v>
      </c>
      <c r="E224" s="33" t="n">
        <v>45794.02847222222</v>
      </c>
      <c r="F224" s="33" t="n">
        <v>45798.64097222222</v>
      </c>
      <c r="G224" s="34" t="n"/>
      <c r="H224" s="34" t="n"/>
    </row>
    <row r="225">
      <c r="A225" t="inlineStr">
        <is>
          <t>ENC115163</t>
        </is>
      </c>
      <c r="B225" t="inlineStr">
        <is>
          <t>PT13181</t>
        </is>
      </c>
      <c r="C225" t="inlineStr">
        <is>
          <t>Inpatient</t>
        </is>
      </c>
      <c r="D225" s="30" t="n">
        <v>14469</v>
      </c>
      <c r="E225" s="33" t="n">
        <v>45795.65069444444</v>
      </c>
      <c r="F225" s="33" t="n">
        <v>45800.69444444445</v>
      </c>
      <c r="G225" s="34" t="n"/>
      <c r="H225" s="34" t="n"/>
    </row>
    <row r="226">
      <c r="A226" t="inlineStr">
        <is>
          <t>ENC115188</t>
        </is>
      </c>
      <c r="B226" t="inlineStr">
        <is>
          <t>PT13652</t>
        </is>
      </c>
      <c r="C226" t="inlineStr">
        <is>
          <t>Observation</t>
        </is>
      </c>
      <c r="D226" s="30" t="n">
        <v>30451</v>
      </c>
      <c r="E226" s="33" t="n">
        <v>45796.71736111111</v>
      </c>
      <c r="F226" s="33" t="n">
        <v>45797.75277777778</v>
      </c>
      <c r="G226" s="34" t="n"/>
      <c r="H226" s="34" t="n"/>
    </row>
    <row r="227">
      <c r="A227" t="inlineStr">
        <is>
          <t>ENC115228</t>
        </is>
      </c>
      <c r="B227" t="inlineStr">
        <is>
          <t>PT11842</t>
        </is>
      </c>
      <c r="C227" t="inlineStr">
        <is>
          <t>Inpatient</t>
        </is>
      </c>
      <c r="D227" s="30" t="n">
        <v>23714</v>
      </c>
      <c r="E227" s="33" t="n">
        <v>45797.70208333333</v>
      </c>
      <c r="F227" s="33" t="n">
        <v>45801.45694444444</v>
      </c>
      <c r="G227" s="34" t="n"/>
      <c r="H227" s="34" t="n"/>
    </row>
    <row r="228">
      <c r="A228" t="inlineStr">
        <is>
          <t>ENC115245</t>
        </is>
      </c>
      <c r="B228" t="inlineStr">
        <is>
          <t>PT13324</t>
        </is>
      </c>
      <c r="C228" t="inlineStr">
        <is>
          <t>Observation</t>
        </is>
      </c>
      <c r="D228" s="30" t="n">
        <v>29200</v>
      </c>
      <c r="E228" s="33" t="n">
        <v>45797.74236111111</v>
      </c>
      <c r="F228" s="33" t="n">
        <v>45798.71388888889</v>
      </c>
      <c r="G228" s="34" t="n"/>
      <c r="H228" s="34" t="n"/>
    </row>
    <row r="229">
      <c r="A229" t="inlineStr">
        <is>
          <t>ENC115251</t>
        </is>
      </c>
      <c r="B229" t="inlineStr">
        <is>
          <t>PT12420</t>
        </is>
      </c>
      <c r="C229" t="inlineStr">
        <is>
          <t>Inpatient</t>
        </is>
      </c>
      <c r="D229" s="30" t="n">
        <v>26405</v>
      </c>
      <c r="E229" s="33" t="n">
        <v>45798.01041666666</v>
      </c>
      <c r="F229" s="33" t="n">
        <v>45800.53680555556</v>
      </c>
      <c r="G229" s="34" t="n"/>
      <c r="H229" s="34" t="n"/>
    </row>
    <row r="230">
      <c r="A230" t="inlineStr">
        <is>
          <t>ENC115266</t>
        </is>
      </c>
      <c r="B230" t="inlineStr">
        <is>
          <t>PT13861</t>
        </is>
      </c>
      <c r="C230" t="inlineStr">
        <is>
          <t>Inpatient</t>
        </is>
      </c>
      <c r="D230" s="30" t="n">
        <v>29720</v>
      </c>
      <c r="E230" s="33" t="n">
        <v>45798.54583333333</v>
      </c>
      <c r="F230" s="33" t="n">
        <v>45812.68333333333</v>
      </c>
      <c r="G230" s="34" t="n"/>
      <c r="H230" s="34" t="n"/>
    </row>
    <row r="231">
      <c r="A231" t="inlineStr">
        <is>
          <t>ENC115285</t>
        </is>
      </c>
      <c r="B231" t="inlineStr">
        <is>
          <t>PT10118</t>
        </is>
      </c>
      <c r="C231" t="inlineStr">
        <is>
          <t>Inpatient</t>
        </is>
      </c>
      <c r="D231" s="30" t="n">
        <v>17544</v>
      </c>
      <c r="E231" s="33" t="n">
        <v>45799.62916666667</v>
      </c>
      <c r="F231" s="33" t="n">
        <v>45806.57083333333</v>
      </c>
      <c r="G231" s="34" t="n"/>
      <c r="H231" s="34" t="n"/>
    </row>
    <row r="232">
      <c r="A232" t="inlineStr">
        <is>
          <t>ENC115308</t>
        </is>
      </c>
      <c r="B232" t="inlineStr">
        <is>
          <t>PT13819</t>
        </is>
      </c>
      <c r="C232" t="inlineStr">
        <is>
          <t>Inpatient</t>
        </is>
      </c>
      <c r="D232" s="30" t="n">
        <v>17732</v>
      </c>
      <c r="E232" s="33" t="n">
        <v>45800.22708333333</v>
      </c>
      <c r="F232" s="33" t="n">
        <v>45804.65902777778</v>
      </c>
      <c r="G232" s="34" t="n"/>
      <c r="H232" s="34" t="n"/>
    </row>
    <row r="233">
      <c r="A233" t="inlineStr">
        <is>
          <t>ENC115322</t>
        </is>
      </c>
      <c r="B233" t="inlineStr">
        <is>
          <t>PT12399</t>
        </is>
      </c>
      <c r="C233" t="inlineStr">
        <is>
          <t>Inpatient</t>
        </is>
      </c>
      <c r="D233" s="30" t="n">
        <v>21180</v>
      </c>
      <c r="E233" s="33" t="n">
        <v>45800.77986111111</v>
      </c>
      <c r="F233" s="33" t="n">
        <v>45802.67430555556</v>
      </c>
      <c r="G233" s="34" t="n"/>
      <c r="H233" s="34" t="n"/>
    </row>
    <row r="234">
      <c r="A234" t="inlineStr">
        <is>
          <t>ENC115328</t>
        </is>
      </c>
      <c r="B234" t="inlineStr">
        <is>
          <t>PT11437</t>
        </is>
      </c>
      <c r="C234" t="inlineStr">
        <is>
          <t>Inpatient</t>
        </is>
      </c>
      <c r="D234" s="30" t="n">
        <v>21047</v>
      </c>
      <c r="E234" s="33" t="n">
        <v>45800.81111111111</v>
      </c>
      <c r="F234" s="33" t="n">
        <v>45802.67847222222</v>
      </c>
      <c r="G234" s="34" t="n"/>
      <c r="H234" s="34" t="n"/>
    </row>
    <row r="235">
      <c r="A235" t="inlineStr">
        <is>
          <t>ENC115342</t>
        </is>
      </c>
      <c r="B235" t="inlineStr">
        <is>
          <t>PT11045</t>
        </is>
      </c>
      <c r="C235" t="inlineStr">
        <is>
          <t>Inpatient</t>
        </is>
      </c>
      <c r="D235" s="30" t="n">
        <v>40872</v>
      </c>
      <c r="E235" s="33" t="n">
        <v>45801.49791666667</v>
      </c>
      <c r="F235" s="33" t="n">
        <v>45806.65902777778</v>
      </c>
      <c r="G235" s="34" t="n"/>
      <c r="H235" s="34" t="n"/>
    </row>
    <row r="236">
      <c r="A236" t="inlineStr">
        <is>
          <t>ENC115351</t>
        </is>
      </c>
      <c r="B236" t="inlineStr">
        <is>
          <t>PT12369</t>
        </is>
      </c>
      <c r="C236" t="inlineStr">
        <is>
          <t>Inpatient</t>
        </is>
      </c>
      <c r="D236" s="30" t="n">
        <v>29730</v>
      </c>
      <c r="E236" s="33" t="n">
        <v>45801.82847222222</v>
      </c>
      <c r="F236" s="33" t="n">
        <v>45808.56388888889</v>
      </c>
      <c r="G236" s="34" t="n"/>
      <c r="H236" s="34" t="n"/>
    </row>
    <row r="237">
      <c r="A237" t="inlineStr">
        <is>
          <t>ENC115354</t>
        </is>
      </c>
      <c r="B237" t="inlineStr">
        <is>
          <t>PT11548</t>
        </is>
      </c>
      <c r="C237" t="inlineStr">
        <is>
          <t>Inpatient</t>
        </is>
      </c>
      <c r="D237" s="30" t="n">
        <v>33837</v>
      </c>
      <c r="E237" s="33" t="n">
        <v>45802.42777777778</v>
      </c>
      <c r="F237" s="33" t="n">
        <v>45807.79027777778</v>
      </c>
      <c r="G237" s="34" t="n"/>
      <c r="H237" s="34" t="n"/>
    </row>
    <row r="238">
      <c r="A238" t="inlineStr">
        <is>
          <t>ENC115375</t>
        </is>
      </c>
      <c r="B238" t="inlineStr">
        <is>
          <t>PT11798</t>
        </is>
      </c>
      <c r="C238" t="inlineStr">
        <is>
          <t>Inpatient</t>
        </is>
      </c>
      <c r="D238" s="30" t="n">
        <v>19350</v>
      </c>
      <c r="E238" s="33" t="n">
        <v>45803.55069444444</v>
      </c>
      <c r="F238" s="33" t="n">
        <v>45807.73541666667</v>
      </c>
      <c r="G238" s="34" t="n"/>
      <c r="H238" s="34" t="n"/>
    </row>
    <row r="239">
      <c r="A239" t="inlineStr">
        <is>
          <t>ENC115385</t>
        </is>
      </c>
      <c r="B239" t="inlineStr">
        <is>
          <t>PT13149</t>
        </is>
      </c>
      <c r="C239" t="inlineStr">
        <is>
          <t>Inpatient</t>
        </is>
      </c>
      <c r="D239" s="30" t="n">
        <v>17606</v>
      </c>
      <c r="E239" s="33" t="n">
        <v>45803.64097222222</v>
      </c>
      <c r="F239" s="33" t="n">
        <v>45806.64722222222</v>
      </c>
      <c r="G239" s="34" t="n"/>
      <c r="H239" s="34" t="n"/>
    </row>
    <row r="240">
      <c r="A240" t="inlineStr">
        <is>
          <t>ENC115433</t>
        </is>
      </c>
      <c r="B240" t="inlineStr">
        <is>
          <t>PT12426</t>
        </is>
      </c>
      <c r="C240" t="inlineStr">
        <is>
          <t>Inpatient</t>
        </is>
      </c>
      <c r="D240" s="30" t="n">
        <v>21025</v>
      </c>
      <c r="E240" s="33" t="n">
        <v>45804.86597222222</v>
      </c>
      <c r="F240" s="33" t="n">
        <v>45807.64097222222</v>
      </c>
      <c r="G240" s="34" t="n"/>
      <c r="H240" s="34" t="n"/>
    </row>
    <row r="241">
      <c r="A241" t="inlineStr">
        <is>
          <t>ENC115435</t>
        </is>
      </c>
      <c r="B241" t="inlineStr">
        <is>
          <t>PT12860</t>
        </is>
      </c>
      <c r="C241" t="inlineStr">
        <is>
          <t>Inpatient</t>
        </is>
      </c>
      <c r="D241" s="30" t="n">
        <v>23160</v>
      </c>
      <c r="E241" s="33" t="n">
        <v>45805.09513888889</v>
      </c>
      <c r="F241" s="33" t="n">
        <v>45813.56458333333</v>
      </c>
      <c r="G241" s="34" t="n"/>
      <c r="H241" s="34" t="n"/>
    </row>
    <row r="242">
      <c r="A242" t="inlineStr">
        <is>
          <t>ENC115466</t>
        </is>
      </c>
      <c r="B242" t="inlineStr">
        <is>
          <t>PT12159</t>
        </is>
      </c>
      <c r="C242" t="inlineStr">
        <is>
          <t>Inpatient</t>
        </is>
      </c>
      <c r="D242" s="30" t="n">
        <v>22738</v>
      </c>
      <c r="E242" s="33" t="n">
        <v>45805.80347222222</v>
      </c>
      <c r="F242" s="33" t="n">
        <v>45810.58958333333</v>
      </c>
      <c r="G242" s="34" t="n"/>
      <c r="H242" s="34" t="n"/>
    </row>
    <row r="243">
      <c r="A243" t="inlineStr">
        <is>
          <t>ENC115472</t>
        </is>
      </c>
      <c r="B243" t="inlineStr">
        <is>
          <t>PT12274</t>
        </is>
      </c>
      <c r="C243" t="inlineStr">
        <is>
          <t>Inpatient</t>
        </is>
      </c>
      <c r="D243" s="30" t="n">
        <v>29065</v>
      </c>
      <c r="E243" s="33" t="n">
        <v>45805.92361111111</v>
      </c>
      <c r="F243" s="33" t="n">
        <v>45810.62152777778</v>
      </c>
      <c r="G243" s="34" t="n"/>
      <c r="H243" s="34" t="n"/>
    </row>
    <row r="244">
      <c r="A244" t="inlineStr">
        <is>
          <t>ENC115474</t>
        </is>
      </c>
      <c r="B244" t="inlineStr">
        <is>
          <t>PT11139</t>
        </is>
      </c>
      <c r="C244" t="inlineStr">
        <is>
          <t>Inpatient</t>
        </is>
      </c>
      <c r="D244" s="30" t="n">
        <v>26802</v>
      </c>
      <c r="E244" s="33" t="n">
        <v>45806.09166666667</v>
      </c>
      <c r="F244" s="33" t="n">
        <v>45809.60277777778</v>
      </c>
      <c r="G244" s="34" t="n"/>
      <c r="H244" s="34" t="n"/>
    </row>
    <row r="245">
      <c r="A245" t="inlineStr">
        <is>
          <t>ENC115500</t>
        </is>
      </c>
      <c r="B245" t="inlineStr">
        <is>
          <t>PT10187</t>
        </is>
      </c>
      <c r="C245" t="inlineStr">
        <is>
          <t>Inpatient</t>
        </is>
      </c>
      <c r="D245" s="30" t="n">
        <v>18581</v>
      </c>
      <c r="E245" s="33" t="n">
        <v>45807.27291666667</v>
      </c>
      <c r="F245" s="33" t="n">
        <v>45809.71666666667</v>
      </c>
      <c r="G245" s="34" t="n"/>
      <c r="H245" s="34" t="n"/>
    </row>
    <row r="246">
      <c r="A246" t="inlineStr">
        <is>
          <t>ENC115521</t>
        </is>
      </c>
      <c r="B246" t="inlineStr">
        <is>
          <t>PT11941</t>
        </is>
      </c>
      <c r="C246" t="inlineStr">
        <is>
          <t>Inpatient</t>
        </is>
      </c>
      <c r="D246" s="30" t="n">
        <v>17209</v>
      </c>
      <c r="E246" s="33" t="n">
        <v>45807.63888888889</v>
      </c>
      <c r="F246" s="33" t="n">
        <v>45813.59444444445</v>
      </c>
      <c r="G246" s="34" t="n"/>
      <c r="H246" s="34" t="n"/>
    </row>
    <row r="247">
      <c r="A247" t="inlineStr">
        <is>
          <t>ENC115553</t>
        </is>
      </c>
      <c r="B247" t="inlineStr">
        <is>
          <t>PT12955</t>
        </is>
      </c>
      <c r="C247" t="inlineStr">
        <is>
          <t>Inpatient</t>
        </is>
      </c>
      <c r="D247" s="30" t="n">
        <v>17334</v>
      </c>
      <c r="E247" s="33" t="n">
        <v>45809.57986111111</v>
      </c>
      <c r="F247" s="33" t="n">
        <v>45811.82569444444</v>
      </c>
      <c r="G247" s="34" t="n"/>
      <c r="H247" s="34" t="n"/>
    </row>
    <row r="248">
      <c r="A248" t="inlineStr">
        <is>
          <t>ENC115582</t>
        </is>
      </c>
      <c r="B248" t="inlineStr">
        <is>
          <t>PT12917</t>
        </is>
      </c>
      <c r="C248" t="inlineStr">
        <is>
          <t>Inpatient</t>
        </is>
      </c>
      <c r="D248" s="30" t="n">
        <v>15921</v>
      </c>
      <c r="E248" s="33" t="n">
        <v>45811.02569444444</v>
      </c>
      <c r="F248" s="33" t="n">
        <v>45814.54583333333</v>
      </c>
      <c r="G248" s="34" t="n"/>
      <c r="H248" s="34" t="n"/>
    </row>
    <row r="249">
      <c r="A249" t="inlineStr">
        <is>
          <t>ENC115619</t>
        </is>
      </c>
      <c r="B249" t="inlineStr">
        <is>
          <t>PT10074</t>
        </is>
      </c>
      <c r="C249" t="inlineStr">
        <is>
          <t>Inpatient</t>
        </is>
      </c>
      <c r="D249" s="30" t="n">
        <v>22130</v>
      </c>
      <c r="E249" s="33" t="n">
        <v>45811.72152777778</v>
      </c>
      <c r="F249" s="33" t="n">
        <v>45814.69027777778</v>
      </c>
      <c r="G249" s="34" t="n"/>
      <c r="H249" s="34" t="n"/>
    </row>
    <row r="250">
      <c r="A250" t="inlineStr">
        <is>
          <t>ENC115658</t>
        </is>
      </c>
      <c r="B250" t="inlineStr">
        <is>
          <t>PT11716</t>
        </is>
      </c>
      <c r="C250" t="inlineStr">
        <is>
          <t>Inpatient</t>
        </is>
      </c>
      <c r="D250" s="30" t="n">
        <v>18785</v>
      </c>
      <c r="E250" s="33" t="n">
        <v>45812.93888888889</v>
      </c>
      <c r="F250" s="33" t="n">
        <v>45817.56180555555</v>
      </c>
      <c r="G250" s="34" t="n"/>
      <c r="H250" s="34" t="n"/>
    </row>
    <row r="251">
      <c r="A251" t="inlineStr">
        <is>
          <t>ENC115691</t>
        </is>
      </c>
      <c r="B251" t="inlineStr">
        <is>
          <t>PT13492</t>
        </is>
      </c>
      <c r="C251" t="inlineStr">
        <is>
          <t>Inpatient</t>
        </is>
      </c>
      <c r="D251" s="30" t="n">
        <v>24829</v>
      </c>
      <c r="E251" s="33" t="n">
        <v>45814.20833333334</v>
      </c>
      <c r="F251" s="33" t="n">
        <v>45818.67569444444</v>
      </c>
      <c r="G251" s="34" t="n"/>
      <c r="H251" s="34" t="n"/>
    </row>
    <row r="252">
      <c r="A252" t="inlineStr">
        <is>
          <t>ENC115693</t>
        </is>
      </c>
      <c r="B252" t="inlineStr">
        <is>
          <t>PT10044</t>
        </is>
      </c>
      <c r="C252" t="inlineStr">
        <is>
          <t>Inpatient</t>
        </is>
      </c>
      <c r="D252" s="30" t="n">
        <v>25129</v>
      </c>
      <c r="E252" s="33" t="n">
        <v>45814.30138888889</v>
      </c>
      <c r="F252" s="33" t="n">
        <v>45818.61666666667</v>
      </c>
      <c r="G252" s="34" t="n"/>
      <c r="H252" s="34" t="n"/>
    </row>
    <row r="253">
      <c r="A253" t="inlineStr">
        <is>
          <t>ENC115718</t>
        </is>
      </c>
      <c r="B253" t="inlineStr">
        <is>
          <t>PT11348</t>
        </is>
      </c>
      <c r="C253" t="inlineStr">
        <is>
          <t>Observation</t>
        </is>
      </c>
      <c r="D253" s="30" t="n">
        <v>35601</v>
      </c>
      <c r="E253" s="33" t="n">
        <v>45814.80486111111</v>
      </c>
      <c r="F253" s="33" t="n">
        <v>45815.18194444444</v>
      </c>
      <c r="G253" s="34" t="n"/>
      <c r="H253" s="34" t="n"/>
    </row>
    <row r="254">
      <c r="A254" t="inlineStr">
        <is>
          <t>ENC115729</t>
        </is>
      </c>
      <c r="B254" t="inlineStr">
        <is>
          <t>PT12636</t>
        </is>
      </c>
      <c r="C254" t="inlineStr">
        <is>
          <t>Inpatient</t>
        </is>
      </c>
      <c r="D254" s="30" t="n">
        <v>20340</v>
      </c>
      <c r="E254" s="33" t="n">
        <v>45815.76319444444</v>
      </c>
      <c r="F254" s="33" t="n">
        <v>45817.75069444445</v>
      </c>
      <c r="G254" s="34" t="n"/>
      <c r="H254" s="34" t="n"/>
    </row>
    <row r="255">
      <c r="A255" t="inlineStr">
        <is>
          <t>ENC115820</t>
        </is>
      </c>
      <c r="B255" t="inlineStr">
        <is>
          <t>PT13847</t>
        </is>
      </c>
      <c r="C255" t="inlineStr">
        <is>
          <t>Observation</t>
        </is>
      </c>
      <c r="D255" s="30" t="n">
        <v>22579</v>
      </c>
      <c r="E255" s="33" t="n">
        <v>45819.04097222222</v>
      </c>
      <c r="F255" s="33" t="n">
        <v>45819.97013888889</v>
      </c>
      <c r="G255" s="34" t="n"/>
      <c r="H255" s="34" t="n"/>
    </row>
    <row r="256">
      <c r="A256" t="inlineStr">
        <is>
          <t>ENC115839</t>
        </is>
      </c>
      <c r="B256" t="inlineStr">
        <is>
          <t>PT11492</t>
        </is>
      </c>
      <c r="C256" t="inlineStr">
        <is>
          <t>Inpatient</t>
        </is>
      </c>
      <c r="D256" s="30" t="n">
        <v>16786</v>
      </c>
      <c r="E256" s="33" t="n">
        <v>45819.67291666667</v>
      </c>
      <c r="F256" s="33" t="n">
        <v>45824.36319444444</v>
      </c>
      <c r="G256" s="34" t="n"/>
      <c r="H256" s="34" t="n"/>
    </row>
    <row r="257">
      <c r="A257" t="inlineStr">
        <is>
          <t>ENC115846</t>
        </is>
      </c>
      <c r="B257" t="inlineStr">
        <is>
          <t>PT12870</t>
        </is>
      </c>
      <c r="C257" t="inlineStr">
        <is>
          <t>Inpatient</t>
        </is>
      </c>
      <c r="D257" s="30" t="n">
        <v>12299</v>
      </c>
      <c r="E257" s="33" t="n">
        <v>45819.91319444445</v>
      </c>
      <c r="F257" s="33" t="n">
        <v>45825.63333333333</v>
      </c>
      <c r="G257" s="34" t="n"/>
      <c r="H257" s="34" t="n"/>
    </row>
    <row r="258">
      <c r="A258" t="inlineStr">
        <is>
          <t>ENC115855</t>
        </is>
      </c>
      <c r="B258" t="inlineStr">
        <is>
          <t>PT10721</t>
        </is>
      </c>
      <c r="C258" t="inlineStr">
        <is>
          <t>Inpatient</t>
        </is>
      </c>
      <c r="D258" s="30" t="n">
        <v>20486</v>
      </c>
      <c r="E258" s="33" t="n">
        <v>45820.24583333333</v>
      </c>
      <c r="F258" s="33" t="n">
        <v>45821.66666666666</v>
      </c>
      <c r="G258" s="34" t="n"/>
      <c r="H258" s="34" t="n"/>
    </row>
    <row r="259">
      <c r="A259" t="inlineStr">
        <is>
          <t>ENC115913</t>
        </is>
      </c>
      <c r="B259" t="inlineStr">
        <is>
          <t>PT13652</t>
        </is>
      </c>
      <c r="C259" t="inlineStr">
        <is>
          <t>Inpatient</t>
        </is>
      </c>
      <c r="D259" s="30" t="n">
        <v>30451</v>
      </c>
      <c r="E259" s="33" t="n">
        <v>45821.89791666667</v>
      </c>
      <c r="F259" s="33" t="n">
        <v>45823.66180555556</v>
      </c>
      <c r="G259" s="34" t="n"/>
      <c r="H259" s="34" t="n"/>
    </row>
    <row r="260">
      <c r="A260" t="inlineStr">
        <is>
          <t>ENC115918</t>
        </is>
      </c>
      <c r="B260" t="inlineStr">
        <is>
          <t>PT10219</t>
        </is>
      </c>
      <c r="C260" t="inlineStr">
        <is>
          <t>Observation</t>
        </is>
      </c>
      <c r="D260" s="30" t="n">
        <v>23735</v>
      </c>
      <c r="E260" s="33" t="n">
        <v>45822.29236111111</v>
      </c>
      <c r="F260" s="33" t="n">
        <v>45823.75069444445</v>
      </c>
      <c r="G260" s="34" t="n"/>
      <c r="H260" s="34" t="n"/>
    </row>
    <row r="261">
      <c r="A261" t="inlineStr">
        <is>
          <t>ENC115928</t>
        </is>
      </c>
      <c r="B261" t="inlineStr">
        <is>
          <t>PT13035</t>
        </is>
      </c>
      <c r="C261" t="inlineStr">
        <is>
          <t>Inpatient</t>
        </is>
      </c>
      <c r="D261" s="30" t="n">
        <v>28690</v>
      </c>
      <c r="E261" s="33" t="n">
        <v>45822.61458333334</v>
      </c>
      <c r="F261" s="33" t="n">
        <v>45825.51597222222</v>
      </c>
      <c r="G261" s="34" t="n"/>
      <c r="H261" s="34" t="n"/>
    </row>
    <row r="262">
      <c r="A262" t="inlineStr">
        <is>
          <t>ENC115937</t>
        </is>
      </c>
      <c r="B262" t="inlineStr">
        <is>
          <t>PT11548</t>
        </is>
      </c>
      <c r="C262" t="inlineStr">
        <is>
          <t>Inpatient</t>
        </is>
      </c>
      <c r="D262" s="30" t="n">
        <v>33837</v>
      </c>
      <c r="E262" s="33" t="n">
        <v>45822.94930555556</v>
      </c>
      <c r="F262" s="33" t="n">
        <v>45826.69583333333</v>
      </c>
      <c r="G262" s="34" t="n"/>
      <c r="H262" s="34" t="n"/>
    </row>
    <row r="263">
      <c r="A263" t="inlineStr">
        <is>
          <t>ENC115985</t>
        </is>
      </c>
      <c r="B263" t="inlineStr">
        <is>
          <t>PT11716</t>
        </is>
      </c>
      <c r="C263" t="inlineStr">
        <is>
          <t>Inpatient</t>
        </is>
      </c>
      <c r="D263" s="30" t="n">
        <v>18785</v>
      </c>
      <c r="E263" s="33" t="n">
        <v>45824.80208333334</v>
      </c>
      <c r="F263" s="33" t="n">
        <v>45827.66041666667</v>
      </c>
      <c r="G263" s="34" t="n"/>
      <c r="H263" s="34" t="n"/>
    </row>
    <row r="264">
      <c r="A264" t="inlineStr">
        <is>
          <t>ENC115988</t>
        </is>
      </c>
      <c r="B264" t="inlineStr">
        <is>
          <t>PT13008</t>
        </is>
      </c>
      <c r="C264" t="inlineStr">
        <is>
          <t>Inpatient</t>
        </is>
      </c>
      <c r="D264" s="30" t="n">
        <v>24244</v>
      </c>
      <c r="E264" s="33" t="n">
        <v>45825.07638888889</v>
      </c>
      <c r="F264" s="33" t="n">
        <v>45827.77152777778</v>
      </c>
      <c r="G264" s="34" t="n"/>
      <c r="H264" s="34" t="n"/>
    </row>
    <row r="265">
      <c r="A265" t="inlineStr">
        <is>
          <t>ENC116020</t>
        </is>
      </c>
      <c r="B265" t="inlineStr">
        <is>
          <t>PT13661</t>
        </is>
      </c>
      <c r="C265" t="inlineStr">
        <is>
          <t>Inpatient</t>
        </is>
      </c>
      <c r="D265" s="30" t="n">
        <v>26253</v>
      </c>
      <c r="E265" s="33" t="n">
        <v>45825.95555555556</v>
      </c>
      <c r="F265" s="33" t="n">
        <v>45835.72083333333</v>
      </c>
      <c r="G265" s="34" t="n"/>
      <c r="H265" s="34" t="n"/>
    </row>
    <row r="266">
      <c r="A266" t="inlineStr">
        <is>
          <t>ENC116047</t>
        </is>
      </c>
      <c r="B266" t="inlineStr">
        <is>
          <t>PT12826</t>
        </is>
      </c>
      <c r="C266" t="inlineStr">
        <is>
          <t>Inpatient</t>
        </is>
      </c>
      <c r="D266" s="30" t="n">
        <v>18930</v>
      </c>
      <c r="E266" s="33" t="n">
        <v>45826.64375</v>
      </c>
      <c r="F266" s="33" t="n">
        <v>45831.62013888889</v>
      </c>
      <c r="G266" s="34" t="n"/>
      <c r="H266" s="34" t="n"/>
    </row>
    <row r="267">
      <c r="A267" t="inlineStr">
        <is>
          <t>ENC116053</t>
        </is>
      </c>
      <c r="B267" t="inlineStr">
        <is>
          <t>PT13177</t>
        </is>
      </c>
      <c r="C267" t="inlineStr">
        <is>
          <t>Inpatient</t>
        </is>
      </c>
      <c r="D267" s="30" t="n">
        <v>21188</v>
      </c>
      <c r="E267" s="33" t="n">
        <v>45826.87152777778</v>
      </c>
      <c r="F267" s="33" t="n">
        <v>45832.55902777778</v>
      </c>
      <c r="G267" s="34" t="n"/>
      <c r="H267" s="34" t="n"/>
    </row>
    <row r="268">
      <c r="A268" t="inlineStr">
        <is>
          <t>ENC116070</t>
        </is>
      </c>
      <c r="B268" t="inlineStr">
        <is>
          <t>PT12818</t>
        </is>
      </c>
      <c r="C268" t="inlineStr">
        <is>
          <t>Inpatient</t>
        </is>
      </c>
      <c r="D268" s="30" t="n">
        <v>18832</v>
      </c>
      <c r="E268" s="33" t="n">
        <v>45827.71111111111</v>
      </c>
      <c r="F268" s="33" t="n">
        <v>45832.65763888889</v>
      </c>
      <c r="G268" s="34" t="n"/>
      <c r="H268" s="34" t="n"/>
    </row>
    <row r="269">
      <c r="A269" t="inlineStr">
        <is>
          <t>ENC116092</t>
        </is>
      </c>
      <c r="B269" t="inlineStr">
        <is>
          <t>PT11753</t>
        </is>
      </c>
      <c r="C269" t="inlineStr">
        <is>
          <t>Inpatient</t>
        </is>
      </c>
      <c r="D269" s="30" t="n">
        <v>26380</v>
      </c>
      <c r="E269" s="33" t="n">
        <v>45828.02777777778</v>
      </c>
      <c r="F269" s="33" t="n">
        <v>45830.61666666667</v>
      </c>
      <c r="G269" s="34" t="n"/>
      <c r="H269" s="34" t="n"/>
    </row>
    <row r="270">
      <c r="A270" t="inlineStr">
        <is>
          <t>ENC116129</t>
        </is>
      </c>
      <c r="B270" t="inlineStr">
        <is>
          <t>PT10037</t>
        </is>
      </c>
      <c r="C270" t="inlineStr">
        <is>
          <t>Inpatient</t>
        </is>
      </c>
      <c r="D270" s="30" t="n">
        <v>11310</v>
      </c>
      <c r="E270" s="33" t="n">
        <v>45829.28402777778</v>
      </c>
      <c r="F270" s="33" t="n">
        <v>45831.61527777778</v>
      </c>
      <c r="G270" s="34" t="n"/>
      <c r="H270" s="34" t="n"/>
    </row>
    <row r="271">
      <c r="A271" t="inlineStr">
        <is>
          <t>ENC116134</t>
        </is>
      </c>
      <c r="B271" t="inlineStr">
        <is>
          <t>PT10622</t>
        </is>
      </c>
      <c r="C271" t="inlineStr">
        <is>
          <t>Inpatient</t>
        </is>
      </c>
      <c r="D271" s="30" t="n">
        <v>37251</v>
      </c>
      <c r="E271" s="33" t="n">
        <v>45829.66527777778</v>
      </c>
      <c r="F271" s="33" t="n">
        <v>45831.63125</v>
      </c>
      <c r="G271" s="34" t="n"/>
      <c r="H271" s="34" t="n"/>
    </row>
    <row r="272">
      <c r="A272" t="inlineStr">
        <is>
          <t>ENC116145</t>
        </is>
      </c>
      <c r="B272" t="inlineStr">
        <is>
          <t>PT10547</t>
        </is>
      </c>
      <c r="C272" t="inlineStr">
        <is>
          <t>Inpatient</t>
        </is>
      </c>
      <c r="D272" s="30" t="n">
        <v>33208</v>
      </c>
      <c r="E272" s="33" t="n">
        <v>45830.32291666666</v>
      </c>
      <c r="F272" s="33" t="n">
        <v>45834.68541666667</v>
      </c>
      <c r="G272" s="34" t="n"/>
      <c r="H272" s="34" t="n"/>
    </row>
    <row r="273">
      <c r="A273" t="inlineStr">
        <is>
          <t>ENC116163</t>
        </is>
      </c>
      <c r="B273" t="inlineStr">
        <is>
          <t>PT10686</t>
        </is>
      </c>
      <c r="C273" t="inlineStr">
        <is>
          <t>Inpatient</t>
        </is>
      </c>
      <c r="D273" s="30" t="n">
        <v>25006</v>
      </c>
      <c r="E273" s="33" t="n">
        <v>45830.99375</v>
      </c>
      <c r="F273" s="33" t="n">
        <v>45832.68194444444</v>
      </c>
      <c r="G273" s="34" t="n"/>
      <c r="H273" s="34" t="n"/>
    </row>
    <row r="274">
      <c r="A274" t="inlineStr">
        <is>
          <t>ENC116190</t>
        </is>
      </c>
      <c r="B274" t="inlineStr">
        <is>
          <t>PT12026</t>
        </is>
      </c>
      <c r="C274" t="inlineStr">
        <is>
          <t>Inpatient</t>
        </is>
      </c>
      <c r="D274" s="30" t="n">
        <v>19105</v>
      </c>
      <c r="E274" s="33" t="n">
        <v>45831.75833333333</v>
      </c>
      <c r="F274" s="33" t="n">
        <v>45836.65833333333</v>
      </c>
      <c r="G274" s="34" t="n"/>
      <c r="H274" s="34" t="n"/>
    </row>
    <row r="275">
      <c r="A275" t="inlineStr">
        <is>
          <t>ENC116197</t>
        </is>
      </c>
      <c r="B275" t="inlineStr">
        <is>
          <t>PT11534</t>
        </is>
      </c>
      <c r="C275" t="inlineStr">
        <is>
          <t>Inpatient</t>
        </is>
      </c>
      <c r="D275" s="30" t="n">
        <v>25348</v>
      </c>
      <c r="E275" s="33" t="n">
        <v>45831.98402777778</v>
      </c>
      <c r="F275" s="33" t="n">
        <v>45836.57361111111</v>
      </c>
      <c r="G275" s="34" t="n"/>
      <c r="H275" s="34" t="n"/>
    </row>
    <row r="276">
      <c r="A276" t="inlineStr">
        <is>
          <t>ENC116236</t>
        </is>
      </c>
      <c r="B276" t="inlineStr">
        <is>
          <t>PT13571</t>
        </is>
      </c>
      <c r="C276" t="inlineStr">
        <is>
          <t>Inpatient</t>
        </is>
      </c>
      <c r="D276" s="30" t="n">
        <v>26279</v>
      </c>
      <c r="E276" s="33" t="n">
        <v>45833.34236111111</v>
      </c>
      <c r="F276" s="33" t="n">
        <v>45835.59722222222</v>
      </c>
      <c r="G276" s="34" t="n"/>
      <c r="H276" s="34" t="n"/>
    </row>
    <row r="277">
      <c r="A277" t="inlineStr">
        <is>
          <t>ENC116249</t>
        </is>
      </c>
      <c r="B277" t="inlineStr">
        <is>
          <t>PT12963</t>
        </is>
      </c>
      <c r="C277" t="inlineStr">
        <is>
          <t>Inpatient</t>
        </is>
      </c>
      <c r="D277" s="30" t="n">
        <v>12453</v>
      </c>
      <c r="E277" s="33" t="n">
        <v>45833.60069444445</v>
      </c>
      <c r="F277" s="33" t="n">
        <v>45840.57430555556</v>
      </c>
      <c r="G277" s="34" t="n"/>
      <c r="H277" s="34" t="n"/>
    </row>
    <row r="278">
      <c r="A278" t="inlineStr">
        <is>
          <t>ENC116265</t>
        </is>
      </c>
      <c r="B278" t="inlineStr">
        <is>
          <t>PT12299</t>
        </is>
      </c>
      <c r="C278" t="inlineStr">
        <is>
          <t>Inpatient</t>
        </is>
      </c>
      <c r="D278" s="30" t="n">
        <v>17689</v>
      </c>
      <c r="E278" s="33" t="n">
        <v>45834.42569444444</v>
      </c>
      <c r="F278" s="33" t="n">
        <v>45842.8</v>
      </c>
      <c r="G278" s="34" t="n"/>
      <c r="H278" s="34" t="n"/>
    </row>
    <row r="279">
      <c r="A279" t="inlineStr">
        <is>
          <t>ENC116275</t>
        </is>
      </c>
      <c r="B279" t="inlineStr">
        <is>
          <t>PT11437</t>
        </is>
      </c>
      <c r="C279" t="inlineStr">
        <is>
          <t>Inpatient</t>
        </is>
      </c>
      <c r="D279" s="30" t="n">
        <v>21047</v>
      </c>
      <c r="E279" s="33" t="n">
        <v>45834.55694444444</v>
      </c>
      <c r="F279" s="33" t="n">
        <v>45836.58194444444</v>
      </c>
      <c r="G279" s="34" t="n"/>
      <c r="H279" s="34" t="n"/>
    </row>
    <row r="280">
      <c r="A280" t="inlineStr">
        <is>
          <t>ENC116309</t>
        </is>
      </c>
      <c r="B280" t="inlineStr">
        <is>
          <t>PT13311</t>
        </is>
      </c>
      <c r="C280" t="inlineStr">
        <is>
          <t>Inpatient</t>
        </is>
      </c>
      <c r="D280" s="30" t="n">
        <v>23647</v>
      </c>
      <c r="E280" s="33" t="n">
        <v>45835.1875</v>
      </c>
      <c r="F280" s="33" t="n">
        <v>45838.50138888889</v>
      </c>
      <c r="G280" s="34" t="n"/>
      <c r="H280" s="34" t="n"/>
    </row>
    <row r="281">
      <c r="A281" t="inlineStr">
        <is>
          <t>ENC116321</t>
        </is>
      </c>
      <c r="B281" t="inlineStr">
        <is>
          <t>PT11348</t>
        </is>
      </c>
      <c r="C281" t="inlineStr">
        <is>
          <t>Inpatient</t>
        </is>
      </c>
      <c r="D281" s="30" t="n">
        <v>35601</v>
      </c>
      <c r="E281" s="33" t="n">
        <v>45835.76319444444</v>
      </c>
      <c r="F281" s="33" t="n">
        <v>45849.61388888889</v>
      </c>
      <c r="G281" s="34" t="n"/>
      <c r="H281" s="34" t="n"/>
    </row>
    <row r="282">
      <c r="A282" t="inlineStr">
        <is>
          <t>ENC116354</t>
        </is>
      </c>
      <c r="B282" t="inlineStr">
        <is>
          <t>PT10686</t>
        </is>
      </c>
      <c r="C282" t="inlineStr">
        <is>
          <t>Inpatient</t>
        </is>
      </c>
      <c r="D282" s="30" t="n">
        <v>25006</v>
      </c>
      <c r="E282" s="33" t="n">
        <v>45836.84097222222</v>
      </c>
      <c r="F282" s="33" t="n">
        <v>45840.64583333334</v>
      </c>
      <c r="G282" s="34" t="n"/>
      <c r="H282" s="34" t="n"/>
    </row>
    <row r="283">
      <c r="A283" t="inlineStr">
        <is>
          <t>ENC116348</t>
        </is>
      </c>
      <c r="B283" t="inlineStr">
        <is>
          <t>PT10663</t>
        </is>
      </c>
      <c r="C283" t="inlineStr">
        <is>
          <t>Inpatient</t>
        </is>
      </c>
      <c r="D283" s="30" t="n">
        <v>18040</v>
      </c>
      <c r="E283" s="33" t="n">
        <v>45836.90208333333</v>
      </c>
      <c r="F283" s="33" t="n">
        <v>45839.57708333333</v>
      </c>
      <c r="G283" s="34" t="n"/>
      <c r="H283" s="34" t="n"/>
    </row>
    <row r="284">
      <c r="A284" t="inlineStr">
        <is>
          <t>ENC116367</t>
        </is>
      </c>
      <c r="B284" t="inlineStr">
        <is>
          <t>PT12982</t>
        </is>
      </c>
      <c r="C284" t="inlineStr">
        <is>
          <t>Inpatient</t>
        </is>
      </c>
      <c r="D284" s="30" t="n">
        <v>18773</v>
      </c>
      <c r="E284" s="33" t="n">
        <v>45837.67152777778</v>
      </c>
      <c r="F284" s="33" t="n">
        <v>45844.53055555555</v>
      </c>
      <c r="G284" s="34" t="n"/>
      <c r="H284" s="34" t="n"/>
    </row>
    <row r="285">
      <c r="A285" t="inlineStr">
        <is>
          <t>ENC116368</t>
        </is>
      </c>
      <c r="B285" t="inlineStr">
        <is>
          <t>PT13090</t>
        </is>
      </c>
      <c r="C285" t="inlineStr">
        <is>
          <t>Observation</t>
        </is>
      </c>
      <c r="D285" s="30" t="n">
        <v>17875</v>
      </c>
      <c r="E285" s="33" t="n">
        <v>45837.81875</v>
      </c>
      <c r="F285" s="33" t="n">
        <v>45839.29583333333</v>
      </c>
      <c r="G285" s="34" t="n"/>
      <c r="H285" s="34" t="n"/>
    </row>
    <row r="286">
      <c r="A286" t="inlineStr">
        <is>
          <t>ENC116407</t>
        </is>
      </c>
      <c r="B286" t="inlineStr">
        <is>
          <t>PT11447</t>
        </is>
      </c>
      <c r="C286" t="inlineStr">
        <is>
          <t>Observation</t>
        </is>
      </c>
      <c r="D286" s="30" t="n">
        <v>38285</v>
      </c>
      <c r="E286" s="33" t="n">
        <v>45839.48888888889</v>
      </c>
      <c r="F286" s="33" t="n">
        <v>45840.11597222222</v>
      </c>
      <c r="G286" s="34" t="n"/>
      <c r="H286" s="34" t="n"/>
    </row>
    <row r="287">
      <c r="A287" t="inlineStr">
        <is>
          <t>ENC116438</t>
        </is>
      </c>
      <c r="B287" t="inlineStr">
        <is>
          <t>PT10475</t>
        </is>
      </c>
      <c r="C287" t="inlineStr">
        <is>
          <t>Inpatient</t>
        </is>
      </c>
      <c r="D287" s="30" t="n">
        <v>23858</v>
      </c>
      <c r="E287" s="33" t="n">
        <v>45840.04722222222</v>
      </c>
      <c r="F287" s="33" t="n">
        <v>45845.57569444444</v>
      </c>
      <c r="G287" s="34" t="n"/>
      <c r="H287" s="34" t="n"/>
    </row>
    <row r="288">
      <c r="A288" t="inlineStr">
        <is>
          <t>ENC116439</t>
        </is>
      </c>
      <c r="B288" t="inlineStr">
        <is>
          <t>PT13661</t>
        </is>
      </c>
      <c r="C288" t="inlineStr">
        <is>
          <t>Inpatient</t>
        </is>
      </c>
      <c r="D288" s="30" t="n">
        <v>26253</v>
      </c>
      <c r="E288" s="33" t="n">
        <v>45840.14652777778</v>
      </c>
      <c r="F288" s="33" t="n">
        <v>45846.74444444444</v>
      </c>
      <c r="G288" s="34" t="n"/>
      <c r="H288" s="34" t="n"/>
    </row>
    <row r="289">
      <c r="A289" t="inlineStr">
        <is>
          <t>ENC116442</t>
        </is>
      </c>
      <c r="B289" t="inlineStr">
        <is>
          <t>PT13116</t>
        </is>
      </c>
      <c r="C289" t="inlineStr">
        <is>
          <t>Inpatient</t>
        </is>
      </c>
      <c r="D289" s="30" t="n">
        <v>19234</v>
      </c>
      <c r="E289" s="33" t="n">
        <v>45840.5625</v>
      </c>
      <c r="F289" s="33" t="n">
        <v>45845.49166666667</v>
      </c>
      <c r="G289" s="34" t="n"/>
      <c r="H289" s="34" t="n"/>
    </row>
    <row r="290">
      <c r="A290" t="inlineStr">
        <is>
          <t>ENC116456</t>
        </is>
      </c>
      <c r="B290" t="inlineStr">
        <is>
          <t>PT12279</t>
        </is>
      </c>
      <c r="C290" t="inlineStr">
        <is>
          <t>Inpatient</t>
        </is>
      </c>
      <c r="D290" s="30" t="n">
        <v>17514</v>
      </c>
      <c r="E290" s="33" t="n">
        <v>45840.76180555556</v>
      </c>
      <c r="F290" s="33" t="n">
        <v>45845.45972222222</v>
      </c>
      <c r="G290" s="34" t="n"/>
      <c r="H290" s="34" t="n"/>
    </row>
    <row r="291">
      <c r="A291" t="inlineStr">
        <is>
          <t>ENC116466</t>
        </is>
      </c>
      <c r="B291" t="inlineStr">
        <is>
          <t>PT12355</t>
        </is>
      </c>
      <c r="C291" t="inlineStr">
        <is>
          <t>Inpatient</t>
        </is>
      </c>
      <c r="D291" s="30" t="n">
        <v>11560</v>
      </c>
      <c r="E291" s="33" t="n">
        <v>45841.05902777778</v>
      </c>
      <c r="F291" s="33" t="n">
        <v>45855.50347222222</v>
      </c>
      <c r="G291" s="34" t="n"/>
      <c r="H291" s="34" t="n"/>
    </row>
    <row r="292">
      <c r="A292" t="inlineStr">
        <is>
          <t>ENC116510</t>
        </is>
      </c>
      <c r="B292" t="inlineStr">
        <is>
          <t>PT13168</t>
        </is>
      </c>
      <c r="C292" t="inlineStr">
        <is>
          <t>Inpatient</t>
        </is>
      </c>
      <c r="D292" s="30" t="n">
        <v>12763</v>
      </c>
      <c r="E292" s="33" t="n">
        <v>45842.58333333334</v>
      </c>
      <c r="F292" s="33" t="n">
        <v>45845.73958333334</v>
      </c>
      <c r="G292" s="34" t="n"/>
      <c r="H292" s="34" t="n"/>
    </row>
    <row r="293">
      <c r="A293" t="inlineStr">
        <is>
          <t>ENC116524</t>
        </is>
      </c>
      <c r="B293" t="inlineStr">
        <is>
          <t>PT12401</t>
        </is>
      </c>
      <c r="C293" t="inlineStr">
        <is>
          <t>Inpatient</t>
        </is>
      </c>
      <c r="D293" s="30" t="n">
        <v>17830</v>
      </c>
      <c r="E293" s="33" t="n">
        <v>45842.68680555555</v>
      </c>
      <c r="F293" s="33" t="n">
        <v>45846.64236111111</v>
      </c>
      <c r="G293" s="34" t="n"/>
      <c r="H293" s="34" t="n"/>
    </row>
    <row r="294">
      <c r="A294" t="inlineStr">
        <is>
          <t>ENC116540</t>
        </is>
      </c>
      <c r="B294" t="inlineStr">
        <is>
          <t>PT12299</t>
        </is>
      </c>
      <c r="C294" t="inlineStr">
        <is>
          <t>Inpatient</t>
        </is>
      </c>
      <c r="D294" s="30" t="n">
        <v>17689</v>
      </c>
      <c r="E294" s="33" t="n">
        <v>45843.87291666667</v>
      </c>
      <c r="F294" s="33" t="n">
        <v>45856.60069444445</v>
      </c>
      <c r="G294" s="34" t="n"/>
      <c r="H294" s="34" t="n"/>
    </row>
    <row r="295">
      <c r="A295" t="inlineStr">
        <is>
          <t>ENC116543</t>
        </is>
      </c>
      <c r="B295" t="inlineStr">
        <is>
          <t>PT12976</t>
        </is>
      </c>
      <c r="C295" t="inlineStr">
        <is>
          <t>Inpatient</t>
        </is>
      </c>
      <c r="D295" s="30" t="n">
        <v>16808</v>
      </c>
      <c r="E295" s="33" t="n">
        <v>45843.98055555556</v>
      </c>
      <c r="F295" s="33" t="n">
        <v>45849.42013888889</v>
      </c>
      <c r="G295" s="34" t="n"/>
      <c r="H295" s="34" t="n"/>
    </row>
    <row r="296">
      <c r="A296" t="inlineStr">
        <is>
          <t>ENC116545</t>
        </is>
      </c>
      <c r="B296" t="inlineStr">
        <is>
          <t>PT12910</t>
        </is>
      </c>
      <c r="C296" t="inlineStr">
        <is>
          <t>Observation</t>
        </is>
      </c>
      <c r="D296" s="30" t="n">
        <v>25691</v>
      </c>
      <c r="E296" s="33" t="n">
        <v>45844.48819444444</v>
      </c>
      <c r="F296" s="33" t="n">
        <v>45845.10763888889</v>
      </c>
      <c r="G296" s="34" t="n"/>
      <c r="H296" s="34" t="n"/>
    </row>
    <row r="297">
      <c r="A297" t="inlineStr">
        <is>
          <t>ENC116549</t>
        </is>
      </c>
      <c r="B297" t="inlineStr">
        <is>
          <t>PT12636</t>
        </is>
      </c>
      <c r="C297" t="inlineStr">
        <is>
          <t>Inpatient</t>
        </is>
      </c>
      <c r="D297" s="30" t="n">
        <v>20340</v>
      </c>
      <c r="E297" s="33" t="n">
        <v>45844.52777777778</v>
      </c>
      <c r="F297" s="33" t="n">
        <v>45846.52986111111</v>
      </c>
      <c r="G297" s="34" t="n"/>
      <c r="H297" s="34" t="n"/>
    </row>
    <row r="298">
      <c r="A298" t="inlineStr">
        <is>
          <t>ENC116591</t>
        </is>
      </c>
      <c r="B298" t="inlineStr">
        <is>
          <t>PT10659</t>
        </is>
      </c>
      <c r="C298" t="inlineStr">
        <is>
          <t>Inpatient</t>
        </is>
      </c>
      <c r="D298" s="30" t="n">
        <v>30953</v>
      </c>
      <c r="E298" s="33" t="n">
        <v>45845.92708333334</v>
      </c>
      <c r="F298" s="33" t="n">
        <v>45850.65</v>
      </c>
      <c r="G298" s="34" t="n"/>
      <c r="H298" s="34" t="n"/>
    </row>
    <row r="299">
      <c r="A299" t="inlineStr">
        <is>
          <t>ENC116636</t>
        </is>
      </c>
      <c r="B299" t="inlineStr">
        <is>
          <t>PT13672</t>
        </is>
      </c>
      <c r="C299" t="inlineStr">
        <is>
          <t>Inpatient</t>
        </is>
      </c>
      <c r="D299" s="30" t="n">
        <v>22273</v>
      </c>
      <c r="E299" s="33" t="n">
        <v>45847.41388888889</v>
      </c>
      <c r="F299" s="33" t="n">
        <v>45850.58611111111</v>
      </c>
      <c r="G299" s="34" t="n"/>
      <c r="H299" s="34" t="n"/>
    </row>
    <row r="300">
      <c r="A300" t="inlineStr">
        <is>
          <t>ENC116666</t>
        </is>
      </c>
      <c r="B300" t="inlineStr">
        <is>
          <t>PT12955</t>
        </is>
      </c>
      <c r="C300" t="inlineStr">
        <is>
          <t>Inpatient</t>
        </is>
      </c>
      <c r="D300" s="30" t="n">
        <v>17334</v>
      </c>
      <c r="E300" s="33" t="n">
        <v>45848.04236111111</v>
      </c>
      <c r="F300" s="33" t="n">
        <v>45850.52569444444</v>
      </c>
      <c r="G300" s="34" t="n"/>
      <c r="H300" s="34" t="n"/>
    </row>
    <row r="301">
      <c r="A301" t="inlineStr">
        <is>
          <t>ENC116668</t>
        </is>
      </c>
      <c r="B301" t="inlineStr">
        <is>
          <t>PT13245</t>
        </is>
      </c>
      <c r="C301" t="inlineStr">
        <is>
          <t>Inpatient</t>
        </is>
      </c>
      <c r="D301" s="30" t="n">
        <v>12474</v>
      </c>
      <c r="E301" s="33" t="n">
        <v>45848.22083333333</v>
      </c>
      <c r="F301" s="33" t="n">
        <v>45855.46180555555</v>
      </c>
      <c r="G301" s="34" t="n"/>
      <c r="H301" s="34" t="n"/>
    </row>
    <row r="302">
      <c r="A302" t="inlineStr">
        <is>
          <t>ENC116698</t>
        </is>
      </c>
      <c r="B302" t="inlineStr">
        <is>
          <t>PT13619</t>
        </is>
      </c>
      <c r="C302" t="inlineStr">
        <is>
          <t>Inpatient</t>
        </is>
      </c>
      <c r="D302" s="30" t="n">
        <v>36774</v>
      </c>
      <c r="E302" s="33" t="n">
        <v>45848.85902777778</v>
      </c>
      <c r="F302" s="33" t="n">
        <v>45858.57430555556</v>
      </c>
      <c r="G302" s="34" t="n"/>
      <c r="H302" s="34" t="n"/>
    </row>
    <row r="303">
      <c r="A303" t="inlineStr">
        <is>
          <t>ENC116725</t>
        </is>
      </c>
      <c r="B303" t="inlineStr">
        <is>
          <t>PT12891</t>
        </is>
      </c>
      <c r="C303" t="inlineStr">
        <is>
          <t>Inpatient</t>
        </is>
      </c>
      <c r="D303" s="30" t="n">
        <v>21670</v>
      </c>
      <c r="E303" s="33" t="n">
        <v>45849.77430555555</v>
      </c>
      <c r="F303" s="33" t="n">
        <v>45851.67361111111</v>
      </c>
      <c r="G303" s="34" t="n"/>
      <c r="H303" s="34" t="n"/>
    </row>
    <row r="304">
      <c r="A304" t="inlineStr">
        <is>
          <t>ENC116764</t>
        </is>
      </c>
      <c r="B304" t="inlineStr">
        <is>
          <t>PT11367</t>
        </is>
      </c>
      <c r="C304" t="inlineStr">
        <is>
          <t>Inpatient</t>
        </is>
      </c>
      <c r="D304" s="30" t="n">
        <v>38555</v>
      </c>
      <c r="E304" s="33" t="n">
        <v>45851.59791666667</v>
      </c>
      <c r="F304" s="33" t="n">
        <v>45854.66458333333</v>
      </c>
      <c r="G304" s="34" t="n"/>
      <c r="H304" s="34" t="n"/>
    </row>
    <row r="305">
      <c r="A305" t="inlineStr">
        <is>
          <t>ENC116805</t>
        </is>
      </c>
      <c r="B305" t="inlineStr">
        <is>
          <t>PT13306</t>
        </is>
      </c>
      <c r="C305" t="inlineStr">
        <is>
          <t>Inpatient</t>
        </is>
      </c>
      <c r="D305" s="30" t="n">
        <v>24741</v>
      </c>
      <c r="E305" s="33" t="n">
        <v>45853.27430555555</v>
      </c>
      <c r="F305" s="33" t="n">
        <v>45857.73541666667</v>
      </c>
      <c r="G305" s="34" t="n"/>
      <c r="H305" s="34" t="n"/>
    </row>
    <row r="306">
      <c r="A306" t="inlineStr">
        <is>
          <t>ENC116832</t>
        </is>
      </c>
      <c r="B306" t="inlineStr">
        <is>
          <t>PT12586</t>
        </is>
      </c>
      <c r="C306" t="inlineStr">
        <is>
          <t>Inpatient</t>
        </is>
      </c>
      <c r="D306" s="30" t="n">
        <v>36063</v>
      </c>
      <c r="E306" s="33" t="n">
        <v>45854.25069444445</v>
      </c>
      <c r="F306" s="33" t="n">
        <v>45860.48888888889</v>
      </c>
      <c r="G306" s="34" t="n"/>
      <c r="H306" s="34" t="n"/>
    </row>
    <row r="307">
      <c r="A307" t="inlineStr">
        <is>
          <t>ENC116861</t>
        </is>
      </c>
      <c r="B307" t="inlineStr">
        <is>
          <t>PT10864</t>
        </is>
      </c>
      <c r="C307" t="inlineStr">
        <is>
          <t>Observation</t>
        </is>
      </c>
      <c r="D307" s="30" t="n">
        <v>36674</v>
      </c>
      <c r="E307" s="33" t="n">
        <v>45855.00416666667</v>
      </c>
      <c r="F307" s="33" t="n">
        <v>45855.54513888889</v>
      </c>
      <c r="G307" s="34" t="n"/>
      <c r="H307" s="34" t="n"/>
    </row>
    <row r="308">
      <c r="A308" t="inlineStr">
        <is>
          <t>ENC116898</t>
        </is>
      </c>
      <c r="B308" t="inlineStr">
        <is>
          <t>PT11265</t>
        </is>
      </c>
      <c r="C308" t="inlineStr">
        <is>
          <t>Inpatient</t>
        </is>
      </c>
      <c r="D308" s="30" t="n">
        <v>22943</v>
      </c>
      <c r="E308" s="33" t="n">
        <v>45856.57222222222</v>
      </c>
      <c r="F308" s="33" t="n">
        <v>45862.40625</v>
      </c>
      <c r="G308" s="34" t="n"/>
      <c r="H308" s="34" t="n"/>
    </row>
    <row r="309">
      <c r="A309" t="inlineStr">
        <is>
          <t>ENC116912</t>
        </is>
      </c>
      <c r="B309" t="inlineStr">
        <is>
          <t>PT12822</t>
        </is>
      </c>
      <c r="C309" t="inlineStr">
        <is>
          <t>Inpatient</t>
        </is>
      </c>
      <c r="D309" s="30" t="n">
        <v>35458</v>
      </c>
      <c r="E309" s="33" t="n">
        <v>45856.83263888889</v>
      </c>
      <c r="F309" s="33" t="n">
        <v>45863.62291666667</v>
      </c>
      <c r="G309" s="34" t="n"/>
      <c r="H309" s="34" t="n"/>
    </row>
    <row r="310">
      <c r="A310" t="inlineStr">
        <is>
          <t>ENC116956</t>
        </is>
      </c>
      <c r="B310" t="inlineStr">
        <is>
          <t>PT11582</t>
        </is>
      </c>
      <c r="C310" t="inlineStr">
        <is>
          <t>Inpatient</t>
        </is>
      </c>
      <c r="D310" s="30" t="n">
        <v>14352</v>
      </c>
      <c r="E310" s="33" t="n">
        <v>45858.86111111111</v>
      </c>
      <c r="F310" s="33" t="n">
        <v>45861.59722222222</v>
      </c>
      <c r="G310" s="34" t="n"/>
      <c r="H310" s="34" t="n"/>
    </row>
    <row r="311">
      <c r="A311" t="inlineStr">
        <is>
          <t>ENC116968</t>
        </is>
      </c>
      <c r="B311" t="inlineStr">
        <is>
          <t>PT12508</t>
        </is>
      </c>
      <c r="C311" t="inlineStr">
        <is>
          <t>Inpatient</t>
        </is>
      </c>
      <c r="D311" s="30" t="n">
        <v>26713</v>
      </c>
      <c r="E311" s="33" t="n">
        <v>45859.54166666666</v>
      </c>
      <c r="F311" s="33" t="n">
        <v>45865.43958333333</v>
      </c>
      <c r="G311" s="34" t="n"/>
      <c r="H311" s="34" t="n"/>
    </row>
    <row r="312">
      <c r="A312" t="inlineStr">
        <is>
          <t>ENC117022</t>
        </is>
      </c>
      <c r="B312" t="inlineStr">
        <is>
          <t>PT13991</t>
        </is>
      </c>
      <c r="C312" t="inlineStr">
        <is>
          <t>Inpatient</t>
        </is>
      </c>
      <c r="D312" s="30" t="n">
        <v>18890</v>
      </c>
      <c r="E312" s="33" t="n">
        <v>45860.7875</v>
      </c>
      <c r="F312" s="33" t="n">
        <v>45862.70972222222</v>
      </c>
      <c r="G312" s="34" t="n"/>
      <c r="H312" s="34" t="n"/>
    </row>
    <row r="313">
      <c r="A313" t="inlineStr">
        <is>
          <t>ENC117029</t>
        </is>
      </c>
      <c r="B313" t="inlineStr">
        <is>
          <t>PT13889</t>
        </is>
      </c>
      <c r="C313" t="inlineStr">
        <is>
          <t>Observation</t>
        </is>
      </c>
      <c r="D313" s="30" t="n">
        <v>25492</v>
      </c>
      <c r="E313" s="33" t="n">
        <v>45861.26527777778</v>
      </c>
      <c r="F313" s="33" t="n">
        <v>45861.7875</v>
      </c>
      <c r="G313" s="34" t="n"/>
      <c r="H313" s="34" t="n"/>
    </row>
    <row r="314">
      <c r="A314" t="inlineStr">
        <is>
          <t>ENC117073</t>
        </is>
      </c>
      <c r="B314" t="inlineStr">
        <is>
          <t>PT10698</t>
        </is>
      </c>
      <c r="C314" t="inlineStr">
        <is>
          <t>Inpatient</t>
        </is>
      </c>
      <c r="D314" s="30" t="n">
        <v>37367</v>
      </c>
      <c r="E314" s="33" t="n">
        <v>45862.63611111111</v>
      </c>
      <c r="F314" s="33" t="n">
        <v>45866.63541666666</v>
      </c>
      <c r="G314" s="34" t="n"/>
      <c r="H314" s="34" t="n"/>
    </row>
    <row r="315">
      <c r="A315" t="inlineStr">
        <is>
          <t>ENC117098</t>
        </is>
      </c>
      <c r="B315" t="inlineStr">
        <is>
          <t>PT12554</t>
        </is>
      </c>
      <c r="C315" t="inlineStr">
        <is>
          <t>Inpatient</t>
        </is>
      </c>
      <c r="D315" s="30" t="n">
        <v>20811</v>
      </c>
      <c r="E315" s="33" t="n">
        <v>45862.87430555555</v>
      </c>
      <c r="F315" s="33" t="n">
        <v>45869.68125</v>
      </c>
      <c r="G315" s="34" t="n"/>
      <c r="H315" s="34" t="n"/>
    </row>
    <row r="316">
      <c r="A316" t="inlineStr">
        <is>
          <t>ENC117113</t>
        </is>
      </c>
      <c r="B316" t="inlineStr">
        <is>
          <t>PT12206</t>
        </is>
      </c>
      <c r="C316" t="inlineStr">
        <is>
          <t>Inpatient</t>
        </is>
      </c>
      <c r="D316" s="30" t="n">
        <v>27466</v>
      </c>
      <c r="E316" s="33" t="n">
        <v>45863.49375</v>
      </c>
      <c r="F316" s="33" t="n">
        <v>45867.47569444445</v>
      </c>
      <c r="G316" s="34" t="n"/>
      <c r="H316" s="34" t="n"/>
    </row>
    <row r="317">
      <c r="A317" t="inlineStr">
        <is>
          <t>ENC117119</t>
        </is>
      </c>
      <c r="B317" t="inlineStr">
        <is>
          <t>PT11253</t>
        </is>
      </c>
      <c r="C317" t="inlineStr">
        <is>
          <t>Inpatient</t>
        </is>
      </c>
      <c r="D317" s="30" t="n">
        <v>20496</v>
      </c>
      <c r="E317" s="33" t="n">
        <v>45863.55416666667</v>
      </c>
      <c r="F317" s="33" t="n">
        <v>45881.64930555555</v>
      </c>
      <c r="G317" s="34" t="n"/>
      <c r="H317" s="34" t="n"/>
    </row>
    <row r="318">
      <c r="A318" t="inlineStr">
        <is>
          <t>ENC117194</t>
        </is>
      </c>
      <c r="B318" t="inlineStr">
        <is>
          <t>PT11712</t>
        </is>
      </c>
      <c r="C318" t="inlineStr">
        <is>
          <t>Inpatient</t>
        </is>
      </c>
      <c r="D318" s="30" t="n">
        <v>18535</v>
      </c>
      <c r="E318" s="33" t="n">
        <v>45866.94236111111</v>
      </c>
      <c r="F318" s="33" t="n">
        <v>45872.72777777778</v>
      </c>
      <c r="G318" s="34" t="n"/>
      <c r="H318" s="34" t="n"/>
    </row>
    <row r="319">
      <c r="A319" t="inlineStr">
        <is>
          <t>ENC117223</t>
        </is>
      </c>
      <c r="B319" t="inlineStr">
        <is>
          <t>PT10667</t>
        </is>
      </c>
      <c r="C319" t="inlineStr">
        <is>
          <t>Inpatient</t>
        </is>
      </c>
      <c r="D319" s="30" t="n">
        <v>26068</v>
      </c>
      <c r="E319" s="33" t="n">
        <v>45867.68958333333</v>
      </c>
      <c r="F319" s="33" t="n">
        <v>45882.60902777778</v>
      </c>
      <c r="G319" s="34" t="n"/>
      <c r="H319" s="34" t="n"/>
    </row>
    <row r="320">
      <c r="A320" t="inlineStr">
        <is>
          <t>ENC117245</t>
        </is>
      </c>
      <c r="B320" t="inlineStr">
        <is>
          <t>PT10205</t>
        </is>
      </c>
      <c r="C320" t="inlineStr">
        <is>
          <t>Inpatient</t>
        </is>
      </c>
      <c r="D320" s="30" t="n">
        <v>20907</v>
      </c>
      <c r="E320" s="33" t="n">
        <v>45868.47013888889</v>
      </c>
      <c r="F320" s="33" t="n">
        <v>45871.69791666666</v>
      </c>
      <c r="G320" s="34" t="n"/>
      <c r="H320" s="34" t="n"/>
    </row>
    <row r="321">
      <c r="A321" t="inlineStr">
        <is>
          <t>ENC117279</t>
        </is>
      </c>
      <c r="B321" t="inlineStr">
        <is>
          <t>PT12162</t>
        </is>
      </c>
      <c r="C321" t="inlineStr">
        <is>
          <t>Inpatient</t>
        </is>
      </c>
      <c r="D321" s="30" t="n">
        <v>32606</v>
      </c>
      <c r="E321" s="33" t="n">
        <v>45869.72986111111</v>
      </c>
      <c r="F321" s="33" t="n">
        <v>45874.75625</v>
      </c>
      <c r="G321" s="34" t="n"/>
      <c r="H321" s="34" t="n"/>
    </row>
    <row r="322">
      <c r="A322" t="inlineStr">
        <is>
          <t>ENC117326</t>
        </is>
      </c>
      <c r="B322" t="inlineStr">
        <is>
          <t>PT12554</t>
        </is>
      </c>
      <c r="C322" t="inlineStr">
        <is>
          <t>Inpatient</t>
        </is>
      </c>
      <c r="D322" s="30" t="n">
        <v>20811</v>
      </c>
      <c r="E322" s="33" t="n">
        <v>45871.53472222222</v>
      </c>
      <c r="F322" s="33" t="n">
        <v>45877.68888888889</v>
      </c>
      <c r="G322" s="34" t="n"/>
      <c r="H322" s="34" t="n"/>
    </row>
    <row r="323">
      <c r="A323" t="inlineStr">
        <is>
          <t>ENC117335</t>
        </is>
      </c>
      <c r="B323" t="inlineStr">
        <is>
          <t>PT11534</t>
        </is>
      </c>
      <c r="C323" t="inlineStr">
        <is>
          <t>Observation</t>
        </is>
      </c>
      <c r="D323" s="30" t="n">
        <v>25348</v>
      </c>
      <c r="E323" s="33" t="n">
        <v>45872.3875</v>
      </c>
      <c r="F323" s="33" t="n">
        <v>45873.23819444444</v>
      </c>
      <c r="G323" s="34" t="n"/>
      <c r="H323" s="34" t="n"/>
    </row>
    <row r="324">
      <c r="A324" t="inlineStr">
        <is>
          <t>ENC117337</t>
        </is>
      </c>
      <c r="B324" t="inlineStr">
        <is>
          <t>PT11611</t>
        </is>
      </c>
      <c r="C324" t="inlineStr">
        <is>
          <t>Inpatient</t>
        </is>
      </c>
      <c r="D324" s="30" t="n">
        <v>38910</v>
      </c>
      <c r="E324" s="33" t="n">
        <v>45872.45347222222</v>
      </c>
      <c r="F324" s="33" t="n">
        <v>45875.59722222222</v>
      </c>
      <c r="G324" s="34" t="n"/>
      <c r="H324" s="34" t="n"/>
    </row>
    <row r="325">
      <c r="A325" t="inlineStr">
        <is>
          <t>ENC117351</t>
        </is>
      </c>
      <c r="B325" t="inlineStr">
        <is>
          <t>PT10750</t>
        </is>
      </c>
      <c r="C325" t="inlineStr">
        <is>
          <t>Inpatient</t>
        </is>
      </c>
      <c r="D325" s="30" t="n">
        <v>16118</v>
      </c>
      <c r="E325" s="33" t="n">
        <v>45872.79722222222</v>
      </c>
      <c r="F325" s="33" t="n">
        <v>45877.58611111111</v>
      </c>
      <c r="G325" s="34" t="n"/>
      <c r="H325" s="34" t="n"/>
    </row>
    <row r="326">
      <c r="A326" t="inlineStr">
        <is>
          <t>ENC117438</t>
        </is>
      </c>
      <c r="B326" t="inlineStr">
        <is>
          <t>PT12203</t>
        </is>
      </c>
      <c r="C326" t="inlineStr">
        <is>
          <t>Observation</t>
        </is>
      </c>
      <c r="D326" s="30" t="n">
        <v>12995</v>
      </c>
      <c r="E326" s="33" t="n">
        <v>45875.76805555556</v>
      </c>
      <c r="F326" s="33" t="n">
        <v>45876.7875</v>
      </c>
      <c r="G326" s="34" t="n"/>
      <c r="H326" s="34" t="n"/>
    </row>
    <row r="327">
      <c r="A327" t="inlineStr">
        <is>
          <t>ENC117468</t>
        </is>
      </c>
      <c r="B327" t="inlineStr">
        <is>
          <t>PT11138</t>
        </is>
      </c>
      <c r="C327" t="inlineStr">
        <is>
          <t>Inpatient</t>
        </is>
      </c>
      <c r="D327" s="30" t="n">
        <v>22399</v>
      </c>
      <c r="E327" s="33" t="n">
        <v>45877.17430555556</v>
      </c>
      <c r="F327" s="33" t="n">
        <v>45881.43055555555</v>
      </c>
      <c r="G327" s="34" t="n"/>
      <c r="H327" s="34" t="n"/>
    </row>
    <row r="328">
      <c r="A328" t="inlineStr">
        <is>
          <t>ENC117477</t>
        </is>
      </c>
      <c r="B328" t="inlineStr">
        <is>
          <t>PT12703</t>
        </is>
      </c>
      <c r="C328" t="inlineStr">
        <is>
          <t>Inpatient</t>
        </is>
      </c>
      <c r="D328" s="30" t="n">
        <v>14876</v>
      </c>
      <c r="E328" s="33" t="n">
        <v>45877.56597222222</v>
      </c>
      <c r="F328" s="33" t="n">
        <v>45880.60138888889</v>
      </c>
      <c r="G328" s="34" t="n"/>
      <c r="H328" s="34" t="n"/>
    </row>
    <row r="329">
      <c r="A329" t="inlineStr">
        <is>
          <t>ENC117498</t>
        </is>
      </c>
      <c r="B329" t="inlineStr">
        <is>
          <t>PT10067</t>
        </is>
      </c>
      <c r="C329" t="inlineStr">
        <is>
          <t>Inpatient</t>
        </is>
      </c>
      <c r="D329" s="30" t="n">
        <v>18187</v>
      </c>
      <c r="E329" s="33" t="n">
        <v>45877.99027777778</v>
      </c>
      <c r="F329" s="33" t="n">
        <v>45882.61666666667</v>
      </c>
      <c r="G329" s="34" t="n"/>
      <c r="H329" s="34" t="n"/>
    </row>
    <row r="330">
      <c r="A330" t="inlineStr">
        <is>
          <t>ENC117523</t>
        </is>
      </c>
      <c r="B330" t="inlineStr">
        <is>
          <t>PT13575</t>
        </is>
      </c>
      <c r="C330" t="inlineStr">
        <is>
          <t>Inpatient</t>
        </is>
      </c>
      <c r="D330" s="30" t="n">
        <v>43534</v>
      </c>
      <c r="E330" s="33" t="n">
        <v>45879.41875</v>
      </c>
      <c r="F330" s="33" t="n">
        <v>45883.60277777778</v>
      </c>
      <c r="G330" s="34" t="n"/>
      <c r="H330" s="34" t="n"/>
    </row>
    <row r="331">
      <c r="A331" t="inlineStr">
        <is>
          <t>ENC117529</t>
        </is>
      </c>
      <c r="B331" t="inlineStr">
        <is>
          <t>PT12449</t>
        </is>
      </c>
      <c r="C331" t="inlineStr">
        <is>
          <t>Inpatient</t>
        </is>
      </c>
      <c r="D331" s="30" t="n">
        <v>25699</v>
      </c>
      <c r="E331" s="33" t="n">
        <v>45879.97291666667</v>
      </c>
      <c r="F331" s="33" t="n">
        <v>45898.63680555556</v>
      </c>
      <c r="G331" s="34" t="n"/>
      <c r="H331" s="34" t="n"/>
    </row>
    <row r="332">
      <c r="A332" t="inlineStr">
        <is>
          <t>ENC117531</t>
        </is>
      </c>
      <c r="B332" t="inlineStr">
        <is>
          <t>PT12774</t>
        </is>
      </c>
      <c r="C332" t="inlineStr">
        <is>
          <t>Inpatient</t>
        </is>
      </c>
      <c r="D332" s="30" t="n">
        <v>27350</v>
      </c>
      <c r="E332" s="33" t="n">
        <v>45880.01597222222</v>
      </c>
      <c r="F332" s="33" t="n">
        <v>45883.525</v>
      </c>
      <c r="G332" s="34" t="n"/>
      <c r="H332" s="34" t="n"/>
    </row>
    <row r="333">
      <c r="A333" t="inlineStr">
        <is>
          <t>ENC117550</t>
        </is>
      </c>
      <c r="B333" t="inlineStr">
        <is>
          <t>PT10676</t>
        </is>
      </c>
      <c r="C333" t="inlineStr">
        <is>
          <t>Inpatient</t>
        </is>
      </c>
      <c r="D333" s="30" t="n">
        <v>20178</v>
      </c>
      <c r="E333" s="33" t="n">
        <v>45880.70763888889</v>
      </c>
      <c r="F333" s="33" t="n">
        <v>45883.57708333333</v>
      </c>
      <c r="G333" s="34" t="n"/>
      <c r="H333" s="34" t="n"/>
    </row>
    <row r="334">
      <c r="A334" t="inlineStr">
        <is>
          <t>ENC117555</t>
        </is>
      </c>
      <c r="B334" t="inlineStr">
        <is>
          <t>PT12725</t>
        </is>
      </c>
      <c r="C334" t="inlineStr">
        <is>
          <t>Inpatient</t>
        </is>
      </c>
      <c r="D334" s="30" t="n">
        <v>18880</v>
      </c>
      <c r="E334" s="33" t="n">
        <v>45880.84166666667</v>
      </c>
      <c r="F334" s="33" t="n">
        <v>45885.55555555555</v>
      </c>
      <c r="G334" s="34" t="n"/>
      <c r="H334" s="34" t="n"/>
    </row>
    <row r="335">
      <c r="A335" t="inlineStr">
        <is>
          <t>ENC117559</t>
        </is>
      </c>
      <c r="B335" t="inlineStr">
        <is>
          <t>PT13365</t>
        </is>
      </c>
      <c r="C335" t="inlineStr">
        <is>
          <t>Inpatient</t>
        </is>
      </c>
      <c r="D335" s="30" t="n">
        <v>24507</v>
      </c>
      <c r="E335" s="33" t="n">
        <v>45881.01458333333</v>
      </c>
      <c r="F335" s="33" t="n">
        <v>45883.54236111111</v>
      </c>
      <c r="G335" s="34" t="n"/>
      <c r="H335" s="34" t="n"/>
    </row>
    <row r="336">
      <c r="A336" t="inlineStr">
        <is>
          <t>ENC117602</t>
        </is>
      </c>
      <c r="B336" t="inlineStr">
        <is>
          <t>PT11301</t>
        </is>
      </c>
      <c r="C336" t="inlineStr">
        <is>
          <t>Inpatient</t>
        </is>
      </c>
      <c r="D336" s="30" t="n">
        <v>20008</v>
      </c>
      <c r="E336" s="33" t="n">
        <v>45882.47361111111</v>
      </c>
      <c r="F336" s="33" t="n">
        <v>45885.51666666667</v>
      </c>
      <c r="G336" s="34" t="n"/>
      <c r="H336" s="34" t="n"/>
    </row>
    <row r="337">
      <c r="A337" t="inlineStr">
        <is>
          <t>ENC117625</t>
        </is>
      </c>
      <c r="B337" t="inlineStr">
        <is>
          <t>PT13968</t>
        </is>
      </c>
      <c r="C337" t="inlineStr">
        <is>
          <t>Inpatient</t>
        </is>
      </c>
      <c r="D337" s="30" t="n">
        <v>17768</v>
      </c>
      <c r="E337" s="33" t="n">
        <v>45882.77638888889</v>
      </c>
      <c r="F337" s="33" t="n">
        <v>45889.57291666666</v>
      </c>
      <c r="G337" s="34" t="n"/>
      <c r="H337" s="34" t="n"/>
    </row>
    <row r="338">
      <c r="A338" t="inlineStr">
        <is>
          <t>ENC117631</t>
        </is>
      </c>
      <c r="B338" t="inlineStr">
        <is>
          <t>PT12101</t>
        </is>
      </c>
      <c r="C338" t="inlineStr">
        <is>
          <t>Inpatient</t>
        </is>
      </c>
      <c r="D338" s="30" t="n">
        <v>33692</v>
      </c>
      <c r="E338" s="33" t="n">
        <v>45883.34583333333</v>
      </c>
      <c r="F338" s="33" t="n">
        <v>45891.43680555555</v>
      </c>
      <c r="G338" s="34" t="n"/>
      <c r="H338" s="34" t="n"/>
    </row>
    <row r="339">
      <c r="A339" t="inlineStr">
        <is>
          <t>ENC117654</t>
        </is>
      </c>
      <c r="B339" t="inlineStr">
        <is>
          <t>PT11138</t>
        </is>
      </c>
      <c r="C339" t="inlineStr">
        <is>
          <t>Inpatient</t>
        </is>
      </c>
      <c r="D339" s="30" t="n">
        <v>22399</v>
      </c>
      <c r="E339" s="33" t="n">
        <v>45883.92708333334</v>
      </c>
      <c r="F339" s="33" t="n">
        <v>45888.66458333333</v>
      </c>
      <c r="G339" s="34" t="n"/>
      <c r="H339" s="34" t="n"/>
    </row>
    <row r="340">
      <c r="A340" t="inlineStr">
        <is>
          <t>ENC117660</t>
        </is>
      </c>
      <c r="B340" t="inlineStr">
        <is>
          <t>PT10658</t>
        </is>
      </c>
      <c r="C340" t="inlineStr">
        <is>
          <t>Inpatient</t>
        </is>
      </c>
      <c r="D340" s="30" t="n">
        <v>28580</v>
      </c>
      <c r="E340" s="33" t="n">
        <v>45883.97638888889</v>
      </c>
      <c r="F340" s="33" t="n">
        <v>45888.62847222222</v>
      </c>
      <c r="G340" s="34" t="n"/>
      <c r="H340" s="34" t="n"/>
    </row>
    <row r="341">
      <c r="A341" t="inlineStr">
        <is>
          <t>ENC117683</t>
        </is>
      </c>
      <c r="B341" t="inlineStr">
        <is>
          <t>PT10681</t>
        </is>
      </c>
      <c r="C341" t="inlineStr">
        <is>
          <t>Inpatient</t>
        </is>
      </c>
      <c r="D341" s="30" t="n">
        <v>10128</v>
      </c>
      <c r="E341" s="33" t="n">
        <v>45884.81875</v>
      </c>
      <c r="F341" s="33" t="n">
        <v>45894.44652777778</v>
      </c>
      <c r="G341" s="34" t="n"/>
      <c r="H341" s="34" t="n"/>
    </row>
    <row r="342">
      <c r="A342" t="inlineStr">
        <is>
          <t>ENC117695</t>
        </is>
      </c>
      <c r="B342" t="inlineStr">
        <is>
          <t>PT13726</t>
        </is>
      </c>
      <c r="C342" t="inlineStr">
        <is>
          <t>Inpatient</t>
        </is>
      </c>
      <c r="D342" s="30" t="n">
        <v>20805</v>
      </c>
      <c r="E342" s="33" t="n">
        <v>45885.64166666667</v>
      </c>
      <c r="F342" s="33" t="n">
        <v>45889.70208333333</v>
      </c>
      <c r="G342" s="34" t="n"/>
      <c r="H342" s="34" t="n"/>
    </row>
    <row r="343">
      <c r="A343" t="inlineStr">
        <is>
          <t>ENC117727</t>
        </is>
      </c>
      <c r="B343" t="inlineStr">
        <is>
          <t>PT13458</t>
        </is>
      </c>
      <c r="C343" t="inlineStr">
        <is>
          <t>Inpatient</t>
        </is>
      </c>
      <c r="D343" s="30" t="n">
        <v>9816</v>
      </c>
      <c r="E343" s="33" t="n">
        <v>45887.42222222222</v>
      </c>
      <c r="F343" s="33" t="n">
        <v>45892.62222222222</v>
      </c>
      <c r="G343" s="34" t="n"/>
      <c r="H343" s="34" t="n"/>
    </row>
    <row r="344">
      <c r="A344" t="inlineStr">
        <is>
          <t>ENC117762</t>
        </is>
      </c>
      <c r="B344" t="inlineStr">
        <is>
          <t>PT13090</t>
        </is>
      </c>
      <c r="C344" t="inlineStr">
        <is>
          <t>Inpatient</t>
        </is>
      </c>
      <c r="D344" s="30" t="n">
        <v>17875</v>
      </c>
      <c r="E344" s="33" t="n">
        <v>45888.69861111111</v>
      </c>
      <c r="F344" s="33" t="n">
        <v>45893.55416666667</v>
      </c>
      <c r="G344" s="34" t="n"/>
      <c r="H344" s="34" t="n"/>
    </row>
    <row r="345">
      <c r="A345" t="inlineStr">
        <is>
          <t>ENC117780</t>
        </is>
      </c>
      <c r="B345" t="inlineStr">
        <is>
          <t>PT11252</t>
        </is>
      </c>
      <c r="C345" t="inlineStr">
        <is>
          <t>Inpatient</t>
        </is>
      </c>
      <c r="D345" s="30" t="n">
        <v>16195</v>
      </c>
      <c r="E345" s="33" t="n">
        <v>45889.17291666667</v>
      </c>
      <c r="F345" s="33" t="n">
        <v>45891.57291666666</v>
      </c>
      <c r="G345" s="34" t="n"/>
      <c r="H345" s="34" t="n"/>
    </row>
    <row r="346">
      <c r="A346" t="inlineStr">
        <is>
          <t>ENC117784</t>
        </is>
      </c>
      <c r="B346" t="inlineStr">
        <is>
          <t>PT11534</t>
        </is>
      </c>
      <c r="C346" t="inlineStr">
        <is>
          <t>Inpatient</t>
        </is>
      </c>
      <c r="D346" s="30" t="n">
        <v>25348</v>
      </c>
      <c r="E346" s="33" t="n">
        <v>45889.26527777778</v>
      </c>
      <c r="F346" s="33" t="n">
        <v>45891.48819444444</v>
      </c>
      <c r="G346" s="34" t="n"/>
      <c r="H346" s="34" t="n"/>
    </row>
    <row r="347">
      <c r="A347" t="inlineStr">
        <is>
          <t>ENC117873</t>
        </is>
      </c>
      <c r="B347" t="inlineStr">
        <is>
          <t>PT12081</t>
        </is>
      </c>
      <c r="C347" t="inlineStr">
        <is>
          <t>Inpatient</t>
        </is>
      </c>
      <c r="D347" s="30" t="n">
        <v>19183</v>
      </c>
      <c r="E347" s="33" t="n">
        <v>45891.62847222222</v>
      </c>
      <c r="F347" s="33" t="n">
        <v>45893.55</v>
      </c>
      <c r="G347" s="34" t="n"/>
      <c r="H347" s="34" t="n"/>
    </row>
    <row r="348">
      <c r="A348" t="inlineStr">
        <is>
          <t>ENC117892</t>
        </is>
      </c>
      <c r="B348" t="inlineStr">
        <is>
          <t>PT12952</t>
        </is>
      </c>
      <c r="C348" t="inlineStr">
        <is>
          <t>Observation</t>
        </is>
      </c>
      <c r="D348" s="30" t="n">
        <v>38390</v>
      </c>
      <c r="E348" s="33" t="n">
        <v>45892.81458333333</v>
      </c>
      <c r="F348" s="33" t="n">
        <v>45894.01666666667</v>
      </c>
      <c r="G348" s="34" t="n"/>
      <c r="H348" s="34" t="n"/>
    </row>
    <row r="349">
      <c r="A349" t="inlineStr">
        <is>
          <t>ENC117954</t>
        </is>
      </c>
      <c r="B349" t="inlineStr">
        <is>
          <t>PT10968</t>
        </is>
      </c>
      <c r="C349" t="inlineStr">
        <is>
          <t>Inpatient</t>
        </is>
      </c>
      <c r="D349" s="30" t="n">
        <v>17711</v>
      </c>
      <c r="E349" s="33" t="n">
        <v>45895.55694444444</v>
      </c>
      <c r="F349" s="33" t="n">
        <v>45900.64513888889</v>
      </c>
      <c r="G349" s="34" t="n"/>
      <c r="H349" s="34" t="n"/>
    </row>
    <row r="350">
      <c r="A350" t="inlineStr">
        <is>
          <t>ENC117956</t>
        </is>
      </c>
      <c r="B350" t="inlineStr">
        <is>
          <t>PT10471</t>
        </is>
      </c>
      <c r="C350" t="inlineStr">
        <is>
          <t>Inpatient</t>
        </is>
      </c>
      <c r="D350" s="30" t="n">
        <v>22457</v>
      </c>
      <c r="E350" s="33" t="n">
        <v>45895.63125</v>
      </c>
      <c r="F350" s="33" t="n">
        <v>45899.55763888889</v>
      </c>
      <c r="G350" s="34" t="n"/>
      <c r="H350" s="34" t="n"/>
    </row>
    <row r="351">
      <c r="A351" t="inlineStr">
        <is>
          <t>ENC117982</t>
        </is>
      </c>
      <c r="B351" t="inlineStr">
        <is>
          <t>PT11253</t>
        </is>
      </c>
      <c r="C351" t="inlineStr">
        <is>
          <t>Inpatient</t>
        </is>
      </c>
      <c r="D351" s="30" t="n">
        <v>20496</v>
      </c>
      <c r="E351" s="33" t="n">
        <v>45896.61875</v>
      </c>
      <c r="F351" s="33" t="n">
        <v>45898.55694444444</v>
      </c>
      <c r="G351" s="34" t="n"/>
      <c r="H351" s="34" t="n"/>
    </row>
    <row r="352">
      <c r="A352" t="inlineStr">
        <is>
          <t>ENC118046</t>
        </is>
      </c>
      <c r="B352" t="inlineStr">
        <is>
          <t>PT13310</t>
        </is>
      </c>
      <c r="C352" t="inlineStr">
        <is>
          <t>Observation</t>
        </is>
      </c>
      <c r="D352" s="30" t="n">
        <v>17897</v>
      </c>
      <c r="E352" s="33" t="n">
        <v>45898.79375</v>
      </c>
      <c r="F352" s="33" t="n">
        <v>45900.20694444444</v>
      </c>
      <c r="G352" s="34" t="n"/>
      <c r="H352" s="34" t="n"/>
    </row>
    <row r="353">
      <c r="A353" t="inlineStr">
        <is>
          <t>ENC118066</t>
        </is>
      </c>
      <c r="B353" t="inlineStr">
        <is>
          <t>PT12461</t>
        </is>
      </c>
      <c r="C353" t="inlineStr">
        <is>
          <t>Inpatient</t>
        </is>
      </c>
      <c r="D353" s="30" t="n">
        <v>17819</v>
      </c>
      <c r="E353" s="33" t="n">
        <v>45899.95486111111</v>
      </c>
      <c r="F353" s="33" t="n">
        <v>45901.5625</v>
      </c>
      <c r="G353" s="34" t="n"/>
      <c r="H353" s="34" t="n"/>
    </row>
    <row r="354">
      <c r="A354" t="inlineStr">
        <is>
          <t>ENC118068</t>
        </is>
      </c>
      <c r="B354" t="inlineStr">
        <is>
          <t>PT13090</t>
        </is>
      </c>
      <c r="C354" t="inlineStr">
        <is>
          <t>Inpatient</t>
        </is>
      </c>
      <c r="D354" s="30" t="n">
        <v>17875</v>
      </c>
      <c r="E354" s="33" t="n">
        <v>45900.13958333333</v>
      </c>
      <c r="F354" s="33" t="n">
        <v>45904.51111111111</v>
      </c>
      <c r="G354" s="34" t="n"/>
      <c r="H354" s="34" t="n"/>
    </row>
    <row r="355">
      <c r="A355" t="inlineStr">
        <is>
          <t>ENC118079</t>
        </is>
      </c>
      <c r="B355" t="inlineStr">
        <is>
          <t>PT10943</t>
        </is>
      </c>
      <c r="C355" t="inlineStr">
        <is>
          <t>Inpatient</t>
        </is>
      </c>
      <c r="D355" s="30" t="n">
        <v>20325</v>
      </c>
      <c r="E355" s="33" t="n">
        <v>45900.79375</v>
      </c>
      <c r="F355" s="33" t="n">
        <v>45907.44583333333</v>
      </c>
      <c r="G355" s="34" t="n"/>
      <c r="H355" s="34" t="n"/>
    </row>
    <row r="356">
      <c r="A356" t="inlineStr">
        <is>
          <t>ENC118109</t>
        </is>
      </c>
      <c r="B356" t="inlineStr">
        <is>
          <t>PT12509</t>
        </is>
      </c>
      <c r="C356" t="inlineStr">
        <is>
          <t>Inpatient</t>
        </is>
      </c>
      <c r="D356" s="30" t="n">
        <v>28867</v>
      </c>
      <c r="E356" s="33" t="n">
        <v>45901.77152777778</v>
      </c>
      <c r="F356" s="33" t="n">
        <v>45904.58472222222</v>
      </c>
      <c r="G356" s="34" t="n"/>
      <c r="H356" s="34" t="n"/>
    </row>
    <row r="357">
      <c r="A357" t="inlineStr">
        <is>
          <t>ENC118129</t>
        </is>
      </c>
      <c r="B357" t="inlineStr">
        <is>
          <t>PT13473</t>
        </is>
      </c>
      <c r="C357" t="inlineStr">
        <is>
          <t>Inpatient</t>
        </is>
      </c>
      <c r="D357" s="30" t="n">
        <v>44123</v>
      </c>
      <c r="E357" s="33" t="n">
        <v>45902.08888888889</v>
      </c>
      <c r="F357" s="33" t="n">
        <v>45905.56319444445</v>
      </c>
      <c r="G357" s="34" t="n"/>
      <c r="H357" s="34" t="n"/>
    </row>
    <row r="358">
      <c r="A358" t="inlineStr">
        <is>
          <t>ENC118193</t>
        </is>
      </c>
      <c r="B358" t="inlineStr">
        <is>
          <t>PT11753</t>
        </is>
      </c>
      <c r="C358" t="inlineStr">
        <is>
          <t>Inpatient</t>
        </is>
      </c>
      <c r="D358" s="30" t="n">
        <v>26380</v>
      </c>
      <c r="E358" s="33" t="n">
        <v>45904.44791666666</v>
      </c>
      <c r="F358" s="33" t="n">
        <v>45909.60208333333</v>
      </c>
      <c r="G358" s="34" t="n"/>
      <c r="H358" s="34" t="n"/>
    </row>
    <row r="359">
      <c r="A359" t="inlineStr">
        <is>
          <t>ENC118207</t>
        </is>
      </c>
      <c r="B359" t="inlineStr">
        <is>
          <t>PT13785</t>
        </is>
      </c>
      <c r="C359" t="inlineStr">
        <is>
          <t>Inpatient</t>
        </is>
      </c>
      <c r="D359" s="30" t="n">
        <v>19434</v>
      </c>
      <c r="E359" s="33" t="n">
        <v>45904.75972222222</v>
      </c>
      <c r="F359" s="33" t="n">
        <v>45908.59097222222</v>
      </c>
      <c r="G359" s="34" t="n"/>
      <c r="H359" s="34" t="n"/>
    </row>
    <row r="360">
      <c r="A360" t="inlineStr">
        <is>
          <t>ENC118227</t>
        </is>
      </c>
      <c r="B360" t="inlineStr">
        <is>
          <t>PT13571</t>
        </is>
      </c>
      <c r="C360" t="inlineStr">
        <is>
          <t>Inpatient</t>
        </is>
      </c>
      <c r="D360" s="30" t="n">
        <v>26279</v>
      </c>
      <c r="E360" s="33" t="n">
        <v>45905.41319444445</v>
      </c>
      <c r="F360" s="33" t="n">
        <v>45908.62291666667</v>
      </c>
      <c r="G360" s="34" t="n"/>
      <c r="H360" s="34" t="n"/>
    </row>
    <row r="361">
      <c r="A361" t="inlineStr">
        <is>
          <t>ENC118237</t>
        </is>
      </c>
      <c r="B361" t="inlineStr">
        <is>
          <t>PT13610</t>
        </is>
      </c>
      <c r="C361" t="inlineStr">
        <is>
          <t>Inpatient</t>
        </is>
      </c>
      <c r="D361" s="30" t="n">
        <v>20167</v>
      </c>
      <c r="E361" s="33" t="n">
        <v>45905.50069444445</v>
      </c>
      <c r="F361" s="33" t="n">
        <v>45907.49375</v>
      </c>
      <c r="G361" s="34" t="n"/>
      <c r="H361" s="34" t="n"/>
    </row>
    <row r="362">
      <c r="A362" t="inlineStr">
        <is>
          <t>ENC118338</t>
        </is>
      </c>
      <c r="B362" t="inlineStr">
        <is>
          <t>PT11605</t>
        </is>
      </c>
      <c r="C362" t="inlineStr">
        <is>
          <t>Observation</t>
        </is>
      </c>
      <c r="D362" s="30" t="n">
        <v>31526</v>
      </c>
      <c r="E362" s="33" t="n">
        <v>45909.91111111111</v>
      </c>
      <c r="F362" s="33" t="n">
        <v>45910.94236111111</v>
      </c>
      <c r="G362" s="34" t="n"/>
      <c r="H362" s="34" t="n"/>
    </row>
    <row r="363">
      <c r="A363" t="inlineStr">
        <is>
          <t>ENC118348</t>
        </is>
      </c>
      <c r="B363" t="inlineStr">
        <is>
          <t>PT13144</t>
        </is>
      </c>
      <c r="C363" t="inlineStr">
        <is>
          <t>Inpatient</t>
        </is>
      </c>
      <c r="D363" s="30" t="n">
        <v>38162</v>
      </c>
      <c r="E363" s="33" t="n">
        <v>45910.30069444444</v>
      </c>
      <c r="F363" s="33" t="n">
        <v>45915.72013888889</v>
      </c>
      <c r="G363" s="34" t="n"/>
      <c r="H363" s="34" t="n"/>
    </row>
    <row r="364">
      <c r="A364" t="inlineStr">
        <is>
          <t>ENC118374</t>
        </is>
      </c>
      <c r="B364" t="inlineStr">
        <is>
          <t>PT11752</t>
        </is>
      </c>
      <c r="C364" t="inlineStr">
        <is>
          <t>Inpatient</t>
        </is>
      </c>
      <c r="D364" s="30" t="n">
        <v>30479</v>
      </c>
      <c r="E364" s="33" t="n">
        <v>45911.00972222222</v>
      </c>
      <c r="F364" s="33" t="n">
        <v>45912.55486111111</v>
      </c>
      <c r="G364" s="34" t="n"/>
      <c r="H364" s="34" t="n"/>
    </row>
    <row r="365">
      <c r="A365" t="inlineStr">
        <is>
          <t>ENC118456</t>
        </is>
      </c>
      <c r="B365" t="inlineStr">
        <is>
          <t>PT13473</t>
        </is>
      </c>
      <c r="C365" t="inlineStr">
        <is>
          <t>Inpatient</t>
        </is>
      </c>
      <c r="D365" s="30" t="n">
        <v>44123</v>
      </c>
      <c r="E365" s="33" t="n">
        <v>45914.75277777778</v>
      </c>
      <c r="F365" s="33" t="n">
        <v>45917.48333333333</v>
      </c>
      <c r="G365" s="34" t="n"/>
      <c r="H365" s="34" t="n"/>
    </row>
    <row r="366">
      <c r="A366" t="inlineStr">
        <is>
          <t>ENC118475</t>
        </is>
      </c>
      <c r="B366" t="inlineStr">
        <is>
          <t>PT12922</t>
        </is>
      </c>
      <c r="C366" t="inlineStr">
        <is>
          <t>Inpatient</t>
        </is>
      </c>
      <c r="D366" s="30" t="n">
        <v>17216</v>
      </c>
      <c r="E366" s="33" t="n">
        <v>45915.64513888889</v>
      </c>
      <c r="F366" s="33" t="n">
        <v>45921.66041666667</v>
      </c>
      <c r="G366" s="34" t="n"/>
      <c r="H366" s="34" t="n"/>
    </row>
    <row r="367">
      <c r="A367" t="inlineStr">
        <is>
          <t>ENC118507</t>
        </is>
      </c>
      <c r="B367" t="inlineStr">
        <is>
          <t>PT10471</t>
        </is>
      </c>
      <c r="C367" t="inlineStr">
        <is>
          <t>Inpatient</t>
        </is>
      </c>
      <c r="D367" s="30" t="n">
        <v>22457</v>
      </c>
      <c r="E367" s="33" t="n">
        <v>45916.65902777778</v>
      </c>
      <c r="F367" s="33" t="n">
        <v>45554.64027777778</v>
      </c>
      <c r="G367" s="34" t="n"/>
      <c r="H367" s="34" t="n"/>
    </row>
    <row r="368">
      <c r="A368" t="inlineStr">
        <is>
          <t>ENC118522</t>
        </is>
      </c>
      <c r="B368" t="inlineStr">
        <is>
          <t>PT12209</t>
        </is>
      </c>
      <c r="C368" t="inlineStr">
        <is>
          <t>Inpatient</t>
        </is>
      </c>
      <c r="D368" s="30" t="n">
        <v>19964</v>
      </c>
      <c r="E368" s="33" t="n">
        <v>45917.28888888889</v>
      </c>
      <c r="F368" s="33" t="n">
        <v>45923.54097222222</v>
      </c>
      <c r="G368" s="34" t="n"/>
      <c r="H368" s="34" t="n"/>
    </row>
    <row r="369">
      <c r="A369" t="inlineStr">
        <is>
          <t>ENC118538</t>
        </is>
      </c>
      <c r="B369" t="inlineStr">
        <is>
          <t>PT13330</t>
        </is>
      </c>
      <c r="C369" t="inlineStr">
        <is>
          <t>Inpatient</t>
        </is>
      </c>
      <c r="D369" s="30" t="n">
        <v>21923</v>
      </c>
      <c r="E369" s="33" t="n">
        <v>45917.64861111111</v>
      </c>
      <c r="F369" s="33" t="n">
        <v>45920.50972222222</v>
      </c>
      <c r="G369" s="34" t="n"/>
      <c r="H369" s="34" t="n"/>
    </row>
    <row r="370">
      <c r="A370" t="inlineStr">
        <is>
          <t>ENC118616</t>
        </is>
      </c>
      <c r="B370" t="inlineStr">
        <is>
          <t>PT12081</t>
        </is>
      </c>
      <c r="C370" t="inlineStr">
        <is>
          <t>Observation</t>
        </is>
      </c>
      <c r="D370" s="30" t="n">
        <v>19183</v>
      </c>
      <c r="E370" s="33" t="n">
        <v>45920.67430555556</v>
      </c>
      <c r="F370" s="33" t="n">
        <v>45922.32847222222</v>
      </c>
      <c r="G370" s="34" t="n"/>
      <c r="H370" s="34" t="n"/>
    </row>
    <row r="371">
      <c r="A371" t="inlineStr">
        <is>
          <t>ENC118622</t>
        </is>
      </c>
      <c r="B371" t="inlineStr">
        <is>
          <t>PT10611</t>
        </is>
      </c>
      <c r="C371" t="inlineStr">
        <is>
          <t>Inpatient</t>
        </is>
      </c>
      <c r="D371" s="30" t="n">
        <v>29792</v>
      </c>
      <c r="E371" s="33" t="n">
        <v>45920.93333333333</v>
      </c>
      <c r="F371" s="33" t="n">
        <v>45922.52430555555</v>
      </c>
      <c r="G371" s="34" t="n"/>
      <c r="H371" s="34" t="n"/>
    </row>
    <row r="372">
      <c r="A372" t="inlineStr">
        <is>
          <t>ENC118631</t>
        </is>
      </c>
      <c r="B372" t="inlineStr">
        <is>
          <t>PT12139</t>
        </is>
      </c>
      <c r="C372" t="inlineStr">
        <is>
          <t>Inpatient</t>
        </is>
      </c>
      <c r="D372" s="30" t="n">
        <v>17753</v>
      </c>
      <c r="E372" s="33" t="n">
        <v>45921.59097222222</v>
      </c>
      <c r="F372" s="33" t="n">
        <v>45925.49236111111</v>
      </c>
      <c r="G372" s="34" t="n"/>
      <c r="H372" s="34" t="n"/>
    </row>
    <row r="373">
      <c r="A373" t="inlineStr">
        <is>
          <t>ENC118647</t>
        </is>
      </c>
      <c r="B373" t="inlineStr">
        <is>
          <t>PT13148</t>
        </is>
      </c>
      <c r="C373" t="inlineStr">
        <is>
          <t>Inpatient</t>
        </is>
      </c>
      <c r="D373" s="30" t="n">
        <v>32941</v>
      </c>
      <c r="E373" s="33" t="n">
        <v>45922.53055555555</v>
      </c>
      <c r="F373" s="33" t="n">
        <v>45925.58194444444</v>
      </c>
      <c r="G373" s="34" t="n"/>
      <c r="H373" s="34" t="n"/>
    </row>
    <row r="374">
      <c r="A374" t="inlineStr">
        <is>
          <t>ENC118660</t>
        </is>
      </c>
      <c r="B374" t="inlineStr">
        <is>
          <t>PT10659</t>
        </is>
      </c>
      <c r="C374" t="inlineStr">
        <is>
          <t>Inpatient</t>
        </is>
      </c>
      <c r="D374" s="30" t="n">
        <v>30953</v>
      </c>
      <c r="E374" s="33" t="n">
        <v>45922.55208333334</v>
      </c>
      <c r="F374" s="33" t="n">
        <v>45925.61875</v>
      </c>
      <c r="G374" s="34" t="n"/>
      <c r="H374" s="34" t="n"/>
    </row>
    <row r="375">
      <c r="A375" t="inlineStr">
        <is>
          <t>ENC118657</t>
        </is>
      </c>
      <c r="B375" t="inlineStr">
        <is>
          <t>PT13571</t>
        </is>
      </c>
      <c r="C375" t="inlineStr">
        <is>
          <t>Inpatient</t>
        </is>
      </c>
      <c r="D375" s="30" t="n">
        <v>26279</v>
      </c>
      <c r="E375" s="33" t="n">
        <v>45922.66875</v>
      </c>
      <c r="F375" s="33" t="n">
        <v>45925.48055555556</v>
      </c>
      <c r="G375" s="34" t="n"/>
      <c r="H375" s="34" t="n"/>
    </row>
    <row r="376">
      <c r="A376" t="inlineStr">
        <is>
          <t>ENC118675</t>
        </is>
      </c>
      <c r="B376" t="inlineStr">
        <is>
          <t>PT10966</t>
        </is>
      </c>
      <c r="C376" t="inlineStr">
        <is>
          <t>Inpatient</t>
        </is>
      </c>
      <c r="D376" s="30" t="n">
        <v>23761</v>
      </c>
      <c r="E376" s="33" t="n">
        <v>45922.87708333333</v>
      </c>
      <c r="F376" s="33" t="n">
        <v>45926.70555555556</v>
      </c>
      <c r="G376" s="34" t="n"/>
      <c r="H376" s="34" t="n"/>
    </row>
    <row r="377">
      <c r="A377" t="inlineStr">
        <is>
          <t>ENC118714</t>
        </is>
      </c>
      <c r="B377" t="inlineStr">
        <is>
          <t>PT11427</t>
        </is>
      </c>
      <c r="C377" t="inlineStr">
        <is>
          <t>Observation</t>
        </is>
      </c>
      <c r="D377" s="30" t="n">
        <v>20131</v>
      </c>
      <c r="E377" s="33" t="n">
        <v>45924.00833333333</v>
      </c>
      <c r="F377" s="33" t="n">
        <v>45924.9375</v>
      </c>
      <c r="G377" s="34" t="n"/>
      <c r="H377" s="34" t="n"/>
    </row>
    <row r="378">
      <c r="A378" t="inlineStr">
        <is>
          <t>ENC118758</t>
        </is>
      </c>
      <c r="B378" t="inlineStr">
        <is>
          <t>PT12355</t>
        </is>
      </c>
      <c r="C378" t="inlineStr">
        <is>
          <t>Inpatient</t>
        </is>
      </c>
      <c r="D378" s="30" t="n">
        <v>11560</v>
      </c>
      <c r="E378" s="33" t="n">
        <v>45925.87847222222</v>
      </c>
      <c r="F378" s="33" t="n">
        <v>45932.69027777778</v>
      </c>
      <c r="G378" s="34" t="n"/>
      <c r="H378" s="34" t="n"/>
    </row>
    <row r="379">
      <c r="A379" t="inlineStr">
        <is>
          <t>ENC118783</t>
        </is>
      </c>
      <c r="B379" t="inlineStr">
        <is>
          <t>PT12740</t>
        </is>
      </c>
      <c r="C379" t="inlineStr">
        <is>
          <t>Observation</t>
        </is>
      </c>
      <c r="D379" s="30" t="n">
        <v>27991</v>
      </c>
      <c r="E379" s="33" t="n">
        <v>45926.73819444444</v>
      </c>
      <c r="F379" s="33" t="n">
        <v>45927.93472222222</v>
      </c>
      <c r="G379" s="34" t="n"/>
      <c r="H379" s="34" t="n"/>
    </row>
    <row r="380">
      <c r="A380" t="inlineStr">
        <is>
          <t>ENC118798</t>
        </is>
      </c>
      <c r="B380" t="inlineStr">
        <is>
          <t>PT11937</t>
        </is>
      </c>
      <c r="C380" t="inlineStr">
        <is>
          <t>Observation</t>
        </is>
      </c>
      <c r="D380" s="30" t="n">
        <v>38005</v>
      </c>
      <c r="E380" s="33" t="n">
        <v>45927.63611111111</v>
      </c>
      <c r="F380" s="33" t="n">
        <v>45928.73402777778</v>
      </c>
      <c r="G380" s="34" t="n"/>
      <c r="H380" s="34" t="n"/>
    </row>
    <row r="381">
      <c r="A381" t="inlineStr">
        <is>
          <t>ENC118805</t>
        </is>
      </c>
      <c r="B381" t="inlineStr">
        <is>
          <t>PT12945</t>
        </is>
      </c>
      <c r="C381" t="inlineStr">
        <is>
          <t>Observation</t>
        </is>
      </c>
      <c r="D381" s="30" t="n">
        <v>11450</v>
      </c>
      <c r="E381" s="33" t="n">
        <v>45928.12222222222</v>
      </c>
      <c r="F381" s="33" t="n">
        <v>45929.17569444444</v>
      </c>
      <c r="G381" s="34" t="n"/>
      <c r="H381" s="34" t="n"/>
    </row>
    <row r="382">
      <c r="A382" t="inlineStr">
        <is>
          <t>ENC118830</t>
        </is>
      </c>
      <c r="B382" t="inlineStr">
        <is>
          <t>PT10043</t>
        </is>
      </c>
      <c r="C382" t="inlineStr">
        <is>
          <t>Inpatient</t>
        </is>
      </c>
      <c r="D382" s="30" t="n">
        <v>26151</v>
      </c>
      <c r="E382" s="33" t="n">
        <v>45929.50277777778</v>
      </c>
      <c r="F382" s="33" t="n">
        <v>45934.79166666666</v>
      </c>
      <c r="G382" s="34" t="n"/>
      <c r="H382" s="34" t="n"/>
    </row>
    <row r="383">
      <c r="A383" t="inlineStr">
        <is>
          <t>ENC118848</t>
        </is>
      </c>
      <c r="B383" t="inlineStr">
        <is>
          <t>PT10662</t>
        </is>
      </c>
      <c r="C383" t="inlineStr">
        <is>
          <t>Inpatient</t>
        </is>
      </c>
      <c r="D383" s="30" t="n">
        <v>13880</v>
      </c>
      <c r="E383" s="33" t="n">
        <v>45929.88402777778</v>
      </c>
      <c r="F383" s="33" t="n">
        <v>45934.65833333333</v>
      </c>
      <c r="G383" s="34" t="n"/>
      <c r="H383" s="34" t="n"/>
    </row>
    <row r="384">
      <c r="A384" t="inlineStr">
        <is>
          <t>ENC118853</t>
        </is>
      </c>
      <c r="B384" t="inlineStr">
        <is>
          <t>PT12917</t>
        </is>
      </c>
      <c r="C384" t="inlineStr">
        <is>
          <t>Inpatient</t>
        </is>
      </c>
      <c r="D384" s="30" t="n">
        <v>15921</v>
      </c>
      <c r="E384" s="33" t="n">
        <v>45930.14652777778</v>
      </c>
      <c r="F384" s="33" t="n">
        <v>45938.63055555556</v>
      </c>
      <c r="G384" s="34" t="n"/>
      <c r="H384" s="34" t="n"/>
    </row>
    <row r="385">
      <c r="A385" t="inlineStr">
        <is>
          <t>ENC118954</t>
        </is>
      </c>
      <c r="B385" t="inlineStr">
        <is>
          <t>PT12910</t>
        </is>
      </c>
      <c r="C385" t="inlineStr">
        <is>
          <t>Inpatient</t>
        </is>
      </c>
      <c r="D385" s="30" t="n">
        <v>25691</v>
      </c>
      <c r="E385" s="33" t="n">
        <v>45933.47708333333</v>
      </c>
      <c r="F385" s="33" t="n">
        <v>45937.39513888889</v>
      </c>
      <c r="G385" s="34" t="n"/>
      <c r="H385" s="34" t="n"/>
    </row>
    <row r="386">
      <c r="A386" t="inlineStr">
        <is>
          <t>ENC118998</t>
        </is>
      </c>
      <c r="B386" t="inlineStr">
        <is>
          <t>PT13988</t>
        </is>
      </c>
      <c r="C386" t="inlineStr">
        <is>
          <t>Inpatient</t>
        </is>
      </c>
      <c r="D386" s="30" t="n">
        <v>22192</v>
      </c>
      <c r="E386" s="33" t="n">
        <v>45934.96736111111</v>
      </c>
      <c r="F386" s="33" t="n">
        <v>45935.56388888889</v>
      </c>
      <c r="G386" s="34" t="n"/>
      <c r="H386" s="34" t="n"/>
    </row>
    <row r="387">
      <c r="A387" t="inlineStr">
        <is>
          <t>ENC119014</t>
        </is>
      </c>
      <c r="B387" t="inlineStr">
        <is>
          <t>PT10998</t>
        </is>
      </c>
      <c r="C387" t="inlineStr">
        <is>
          <t>Observation</t>
        </is>
      </c>
      <c r="D387" s="30" t="n">
        <v>39342</v>
      </c>
      <c r="E387" s="33" t="n">
        <v>45935.87847222222</v>
      </c>
      <c r="F387" s="33" t="n">
        <v>45937.45555555556</v>
      </c>
      <c r="G387" s="34" t="n"/>
      <c r="H387" s="34" t="n"/>
    </row>
    <row r="388">
      <c r="A388" t="inlineStr">
        <is>
          <t>ENC119021</t>
        </is>
      </c>
      <c r="B388" t="inlineStr">
        <is>
          <t>PT10606</t>
        </is>
      </c>
      <c r="C388" t="inlineStr">
        <is>
          <t>Inpatient</t>
        </is>
      </c>
      <c r="D388" s="30" t="n">
        <v>20640</v>
      </c>
      <c r="E388" s="33" t="n">
        <v>45936.47638888889</v>
      </c>
      <c r="F388" s="33" t="n">
        <v>45937.52986111111</v>
      </c>
      <c r="G388" s="34" t="n"/>
      <c r="H388" s="34" t="n"/>
    </row>
    <row r="389">
      <c r="A389" t="inlineStr">
        <is>
          <t>ENC119035</t>
        </is>
      </c>
      <c r="B389" t="inlineStr">
        <is>
          <t>PT11143</t>
        </is>
      </c>
      <c r="C389" t="inlineStr">
        <is>
          <t>Inpatient</t>
        </is>
      </c>
      <c r="D389" s="30" t="n">
        <v>24264</v>
      </c>
      <c r="E389" s="33" t="n">
        <v>45936.61458333334</v>
      </c>
      <c r="F389" s="33" t="n">
        <v>45943.66597222222</v>
      </c>
      <c r="G389" s="34" t="n"/>
      <c r="H389" s="34" t="n"/>
    </row>
    <row r="390">
      <c r="A390" t="inlineStr">
        <is>
          <t>ENC119068</t>
        </is>
      </c>
      <c r="B390" t="inlineStr">
        <is>
          <t>PT10043</t>
        </is>
      </c>
      <c r="C390" t="inlineStr">
        <is>
          <t>Inpatient</t>
        </is>
      </c>
      <c r="D390" s="30" t="n">
        <v>26151</v>
      </c>
      <c r="E390" s="33" t="n">
        <v>45937.51736111111</v>
      </c>
      <c r="F390" s="33" t="n">
        <v>45939.55486111111</v>
      </c>
      <c r="G390" s="34" t="n"/>
      <c r="H390" s="34" t="n"/>
    </row>
    <row r="391">
      <c r="A391" t="inlineStr">
        <is>
          <t>ENC119072</t>
        </is>
      </c>
      <c r="B391" t="inlineStr">
        <is>
          <t>PT12041</t>
        </is>
      </c>
      <c r="C391" t="inlineStr">
        <is>
          <t>Inpatient</t>
        </is>
      </c>
      <c r="D391" s="30" t="n">
        <v>36204</v>
      </c>
      <c r="E391" s="33" t="n">
        <v>45937.75555555556</v>
      </c>
      <c r="F391" s="33" t="n">
        <v>45941.49861111111</v>
      </c>
      <c r="G391" s="34" t="n"/>
      <c r="H391" s="34" t="n"/>
    </row>
    <row r="392">
      <c r="A392" t="inlineStr">
        <is>
          <t>ENC119087</t>
        </is>
      </c>
      <c r="B392" t="inlineStr">
        <is>
          <t>PT12867</t>
        </is>
      </c>
      <c r="C392" t="inlineStr">
        <is>
          <t>Inpatient</t>
        </is>
      </c>
      <c r="D392" s="30" t="n">
        <v>18937</v>
      </c>
      <c r="E392" s="33" t="n">
        <v>45938.39305555556</v>
      </c>
      <c r="F392" s="33" t="n">
        <v>45940.58611111111</v>
      </c>
      <c r="G392" s="34" t="n"/>
      <c r="H392" s="34" t="n"/>
    </row>
    <row r="393">
      <c r="A393" t="inlineStr">
        <is>
          <t>ENC119125</t>
        </is>
      </c>
      <c r="B393" t="inlineStr">
        <is>
          <t>PT12687</t>
        </is>
      </c>
      <c r="C393" t="inlineStr">
        <is>
          <t>Inpatient</t>
        </is>
      </c>
      <c r="D393" s="30" t="n">
        <v>20513</v>
      </c>
      <c r="E393" s="33" t="n">
        <v>45939.22013888889</v>
      </c>
      <c r="F393" s="33" t="n">
        <v>45945.65416666667</v>
      </c>
      <c r="G393" s="34" t="n"/>
      <c r="H393" s="34" t="n"/>
    </row>
    <row r="394">
      <c r="A394" t="inlineStr">
        <is>
          <t>ENC119173</t>
        </is>
      </c>
      <c r="B394" t="inlineStr">
        <is>
          <t>PT13821</t>
        </is>
      </c>
      <c r="C394" t="inlineStr">
        <is>
          <t>Inpatient</t>
        </is>
      </c>
      <c r="D394" s="30" t="n">
        <v>28742</v>
      </c>
      <c r="E394" s="33" t="n">
        <v>45940.85347222222</v>
      </c>
      <c r="F394" s="33" t="n">
        <v>45944.40555555555</v>
      </c>
      <c r="G394" s="34" t="n"/>
      <c r="H394" s="34" t="n"/>
    </row>
    <row r="395">
      <c r="A395" t="inlineStr">
        <is>
          <t>ENC119190</t>
        </is>
      </c>
      <c r="B395" t="inlineStr">
        <is>
          <t>PT11876</t>
        </is>
      </c>
      <c r="C395" t="inlineStr">
        <is>
          <t>Observation</t>
        </is>
      </c>
      <c r="D395" s="30" t="n">
        <v>43566</v>
      </c>
      <c r="E395" s="33" t="n">
        <v>45941.55069444444</v>
      </c>
      <c r="F395" s="33" t="n">
        <v>45942.53194444445</v>
      </c>
      <c r="G395" s="34" t="n"/>
      <c r="H395" s="34" t="n"/>
    </row>
    <row r="396">
      <c r="A396" t="inlineStr">
        <is>
          <t>ENC119195</t>
        </is>
      </c>
      <c r="B396" t="inlineStr">
        <is>
          <t>PT10703</t>
        </is>
      </c>
      <c r="C396" t="inlineStr">
        <is>
          <t>Observation</t>
        </is>
      </c>
      <c r="D396" s="30" t="n">
        <v>18534</v>
      </c>
      <c r="E396" s="33" t="n">
        <v>45941.83263888889</v>
      </c>
      <c r="F396" s="33" t="n">
        <v>45943.10555555556</v>
      </c>
      <c r="G396" s="34" t="n"/>
      <c r="H396" s="34" t="n"/>
    </row>
    <row r="397">
      <c r="A397" t="inlineStr">
        <is>
          <t>ENC119200</t>
        </is>
      </c>
      <c r="B397" t="inlineStr">
        <is>
          <t>PT12458</t>
        </is>
      </c>
      <c r="C397" t="inlineStr">
        <is>
          <t>Observation</t>
        </is>
      </c>
      <c r="D397" s="30" t="n">
        <v>27313</v>
      </c>
      <c r="E397" s="33" t="n">
        <v>45942.00902777778</v>
      </c>
      <c r="F397" s="33" t="n">
        <v>45943.06319444445</v>
      </c>
      <c r="G397" s="34" t="n"/>
      <c r="H397" s="34" t="n"/>
    </row>
    <row r="398">
      <c r="A398" t="inlineStr">
        <is>
          <t>ENC119201</t>
        </is>
      </c>
      <c r="B398" t="inlineStr">
        <is>
          <t>PT13760</t>
        </is>
      </c>
      <c r="C398" t="inlineStr">
        <is>
          <t>Inpatient</t>
        </is>
      </c>
      <c r="D398" s="30" t="n">
        <v>25787</v>
      </c>
      <c r="E398" s="33" t="n">
        <v>45942.12777777778</v>
      </c>
      <c r="F398" s="33" t="n">
        <v>45945.66805555556</v>
      </c>
      <c r="G398" s="34" t="n"/>
      <c r="H398" s="34" t="n"/>
    </row>
    <row r="399">
      <c r="A399" t="inlineStr">
        <is>
          <t>ENC119283</t>
        </is>
      </c>
      <c r="B399" t="inlineStr">
        <is>
          <t>PT10906</t>
        </is>
      </c>
      <c r="C399" t="inlineStr">
        <is>
          <t>Observation</t>
        </is>
      </c>
      <c r="D399" s="30" t="n">
        <v>20233</v>
      </c>
      <c r="E399" s="33" t="n">
        <v>45944.91736111111</v>
      </c>
      <c r="F399" s="33" t="n">
        <v>45946.27013888889</v>
      </c>
      <c r="G399" s="34" t="n"/>
      <c r="H399" s="34" t="n"/>
    </row>
    <row r="400">
      <c r="A400" t="inlineStr">
        <is>
          <t>ENC119309</t>
        </is>
      </c>
      <c r="B400" t="inlineStr">
        <is>
          <t>PT10966</t>
        </is>
      </c>
      <c r="C400" t="inlineStr">
        <is>
          <t>Inpatient</t>
        </is>
      </c>
      <c r="D400" s="30" t="n">
        <v>23761</v>
      </c>
      <c r="E400" s="33" t="n">
        <v>45945.77708333333</v>
      </c>
      <c r="F400" s="33" t="n">
        <v>45948.60277777778</v>
      </c>
      <c r="G400" s="34" t="n"/>
      <c r="H400" s="34" t="n"/>
    </row>
    <row r="401">
      <c r="A401" t="inlineStr">
        <is>
          <t>ENC119362</t>
        </is>
      </c>
      <c r="B401" t="inlineStr">
        <is>
          <t>PT11371</t>
        </is>
      </c>
      <c r="C401" t="inlineStr">
        <is>
          <t>Inpatient</t>
        </is>
      </c>
      <c r="D401" s="30" t="n">
        <v>19214</v>
      </c>
      <c r="E401" s="33" t="n">
        <v>45947.45763888889</v>
      </c>
      <c r="F401" s="33" t="n">
        <v>45951.68472222222</v>
      </c>
      <c r="G401" s="34" t="n"/>
      <c r="H401" s="34" t="n"/>
    </row>
    <row r="402">
      <c r="A402" t="inlineStr">
        <is>
          <t>ENC119375</t>
        </is>
      </c>
      <c r="B402" t="inlineStr">
        <is>
          <t>PT11101</t>
        </is>
      </c>
      <c r="C402" t="inlineStr">
        <is>
          <t>Inpatient</t>
        </is>
      </c>
      <c r="D402" s="30" t="n">
        <v>19202</v>
      </c>
      <c r="E402" s="33" t="n">
        <v>45947.66180555556</v>
      </c>
      <c r="F402" s="33" t="n">
        <v>45951.52638888889</v>
      </c>
      <c r="G402" s="34" t="n"/>
      <c r="H402" s="34" t="n"/>
    </row>
    <row r="403">
      <c r="A403" t="inlineStr">
        <is>
          <t>ENC119379</t>
        </is>
      </c>
      <c r="B403" t="inlineStr">
        <is>
          <t>PT13324</t>
        </is>
      </c>
      <c r="C403" t="inlineStr">
        <is>
          <t>Inpatient</t>
        </is>
      </c>
      <c r="D403" s="30" t="n">
        <v>29200</v>
      </c>
      <c r="E403" s="33" t="n">
        <v>45947.82847222222</v>
      </c>
      <c r="F403" s="33" t="n">
        <v>45951.57083333333</v>
      </c>
      <c r="G403" s="34" t="n"/>
      <c r="H403" s="34" t="n"/>
    </row>
    <row r="404">
      <c r="A404" t="inlineStr">
        <is>
          <t>ENC119386</t>
        </is>
      </c>
      <c r="B404" t="inlineStr">
        <is>
          <t>PT12221</t>
        </is>
      </c>
      <c r="C404" t="inlineStr">
        <is>
          <t>Observation</t>
        </is>
      </c>
      <c r="D404" s="30" t="n">
        <v>25050</v>
      </c>
      <c r="E404" s="33" t="n">
        <v>45948.07986111111</v>
      </c>
      <c r="F404" s="33" t="n">
        <v>45949.64097222222</v>
      </c>
      <c r="G404" s="34" t="n"/>
      <c r="H404" s="34" t="n"/>
    </row>
    <row r="405">
      <c r="A405" t="inlineStr">
        <is>
          <t>ENC119399</t>
        </is>
      </c>
      <c r="B405" t="inlineStr">
        <is>
          <t>PT10476</t>
        </is>
      </c>
      <c r="C405" t="inlineStr">
        <is>
          <t>Observation</t>
        </is>
      </c>
      <c r="D405" s="30" t="n">
        <v>26861</v>
      </c>
      <c r="E405" s="33" t="n">
        <v>45948.95208333333</v>
      </c>
      <c r="F405" s="33" t="n">
        <v>45949.60763888889</v>
      </c>
      <c r="G405" s="34" t="n"/>
      <c r="H405" s="34" t="n"/>
    </row>
    <row r="406">
      <c r="A406" t="inlineStr">
        <is>
          <t>ENC119405</t>
        </is>
      </c>
      <c r="B406" t="inlineStr">
        <is>
          <t>PT13482</t>
        </is>
      </c>
      <c r="C406" t="inlineStr">
        <is>
          <t>Inpatient</t>
        </is>
      </c>
      <c r="D406" s="30" t="n">
        <v>13568</v>
      </c>
      <c r="E406" s="33" t="n">
        <v>45949.40208333333</v>
      </c>
      <c r="F406" s="33" t="n">
        <v>45952.73333333333</v>
      </c>
      <c r="G406" s="34" t="n"/>
      <c r="H406" s="34" t="n"/>
    </row>
    <row r="407">
      <c r="A407" t="inlineStr">
        <is>
          <t>ENC119406</t>
        </is>
      </c>
      <c r="B407" t="inlineStr">
        <is>
          <t>PT10686</t>
        </is>
      </c>
      <c r="C407" t="inlineStr">
        <is>
          <t>Inpatient</t>
        </is>
      </c>
      <c r="D407" s="30" t="n">
        <v>25006</v>
      </c>
      <c r="E407" s="33" t="n">
        <v>45949.50902777778</v>
      </c>
      <c r="F407" s="33" t="n">
        <v>45954.55902777778</v>
      </c>
      <c r="G407" s="34" t="n"/>
      <c r="H407" s="34" t="n"/>
    </row>
    <row r="408">
      <c r="A408" t="inlineStr">
        <is>
          <t>ENC119416</t>
        </is>
      </c>
      <c r="B408" t="inlineStr">
        <is>
          <t>PT12615</t>
        </is>
      </c>
      <c r="C408" t="inlineStr">
        <is>
          <t>Observation</t>
        </is>
      </c>
      <c r="D408" s="30" t="n">
        <v>35346</v>
      </c>
      <c r="E408" s="33" t="n">
        <v>45950.11736111111</v>
      </c>
      <c r="F408" s="33" t="n">
        <v>45950.99305555555</v>
      </c>
      <c r="G408" s="34" t="n"/>
      <c r="H408" s="34" t="n"/>
    </row>
    <row r="409">
      <c r="A409" t="inlineStr">
        <is>
          <t>ENC119419</t>
        </is>
      </c>
      <c r="B409" t="inlineStr">
        <is>
          <t>PT12138</t>
        </is>
      </c>
      <c r="C409" t="inlineStr">
        <is>
          <t>Inpatient</t>
        </is>
      </c>
      <c r="D409" s="30" t="n">
        <v>20491</v>
      </c>
      <c r="E409" s="33" t="n">
        <v>45950.28958333333</v>
      </c>
      <c r="F409" s="33" t="n">
        <v>45954.67569444444</v>
      </c>
      <c r="G409" s="34" t="n"/>
      <c r="H409" s="34" t="n"/>
    </row>
    <row r="410">
      <c r="A410" t="inlineStr">
        <is>
          <t>ENC119446</t>
        </is>
      </c>
      <c r="B410" t="inlineStr">
        <is>
          <t>PT10063</t>
        </is>
      </c>
      <c r="C410" t="inlineStr">
        <is>
          <t>Inpatient</t>
        </is>
      </c>
      <c r="D410" s="30" t="n">
        <v>21717</v>
      </c>
      <c r="E410" s="33" t="n">
        <v>45950.76180555556</v>
      </c>
      <c r="F410" s="33" t="n">
        <v>45956.47152777778</v>
      </c>
      <c r="G410" s="34" t="n"/>
      <c r="H410" s="34" t="n"/>
    </row>
    <row r="411">
      <c r="A411" t="inlineStr">
        <is>
          <t>ENC119501</t>
        </is>
      </c>
      <c r="B411" t="inlineStr">
        <is>
          <t>PT11210</t>
        </is>
      </c>
      <c r="C411" t="inlineStr">
        <is>
          <t>Observation</t>
        </is>
      </c>
      <c r="D411" s="30" t="n">
        <v>37232</v>
      </c>
      <c r="E411" s="33" t="n">
        <v>45952.53402777778</v>
      </c>
      <c r="F411" s="33" t="n">
        <v>45953.09791666667</v>
      </c>
      <c r="G411" s="34" t="n"/>
      <c r="H411" s="34" t="n"/>
    </row>
    <row r="412">
      <c r="A412" t="inlineStr">
        <is>
          <t>ENC119516</t>
        </is>
      </c>
      <c r="B412" t="inlineStr">
        <is>
          <t>PT13516</t>
        </is>
      </c>
      <c r="C412" t="inlineStr">
        <is>
          <t>Inpatient</t>
        </is>
      </c>
      <c r="D412" s="30" t="n">
        <v>9595</v>
      </c>
      <c r="E412" s="33" t="n">
        <v>45953.07083333333</v>
      </c>
      <c r="F412" s="33" t="n">
        <v>45955.43472222222</v>
      </c>
      <c r="G412" s="34" t="n"/>
      <c r="H412" s="34" t="n"/>
    </row>
    <row r="413">
      <c r="A413" t="inlineStr">
        <is>
          <t>ENC119521</t>
        </is>
      </c>
      <c r="B413" t="inlineStr">
        <is>
          <t>PT10025</t>
        </is>
      </c>
      <c r="C413" t="inlineStr">
        <is>
          <t>Inpatient</t>
        </is>
      </c>
      <c r="D413" s="30" t="n">
        <v>24896</v>
      </c>
      <c r="E413" s="33" t="n">
        <v>45953.3875</v>
      </c>
      <c r="F413" s="33" t="n">
        <v>45957.57361111111</v>
      </c>
      <c r="G413" s="34" t="n"/>
      <c r="H413" s="34" t="n"/>
    </row>
    <row r="414">
      <c r="A414" t="inlineStr">
        <is>
          <t>ENC119566</t>
        </is>
      </c>
      <c r="B414" t="inlineStr">
        <is>
          <t>PT13779</t>
        </is>
      </c>
      <c r="C414" t="inlineStr">
        <is>
          <t>Observation</t>
        </is>
      </c>
      <c r="D414" s="30" t="n">
        <v>43553</v>
      </c>
      <c r="E414" s="33" t="n">
        <v>45954.64722222222</v>
      </c>
      <c r="F414" s="33" t="n">
        <v>45955.80972222222</v>
      </c>
      <c r="G414" s="34" t="n"/>
      <c r="H414" s="34" t="n"/>
    </row>
    <row r="415">
      <c r="A415" t="inlineStr">
        <is>
          <t>ENC119613</t>
        </is>
      </c>
      <c r="B415" t="inlineStr">
        <is>
          <t>PT11289</t>
        </is>
      </c>
      <c r="C415" t="inlineStr">
        <is>
          <t>Inpatient</t>
        </is>
      </c>
      <c r="D415" s="30" t="n">
        <v>26658</v>
      </c>
      <c r="E415" s="33" t="n">
        <v>45957.07569444444</v>
      </c>
      <c r="F415" s="33" t="n">
        <v>45959.62638888889</v>
      </c>
      <c r="G415" s="34" t="n"/>
      <c r="H415" s="34" t="n"/>
    </row>
    <row r="416">
      <c r="A416" t="inlineStr">
        <is>
          <t>ENC119623</t>
        </is>
      </c>
      <c r="B416" t="inlineStr">
        <is>
          <t>PT13821</t>
        </is>
      </c>
      <c r="C416" t="inlineStr">
        <is>
          <t>Inpatient</t>
        </is>
      </c>
      <c r="D416" s="30" t="n">
        <v>28742</v>
      </c>
      <c r="E416" s="33" t="n">
        <v>45957.54027777778</v>
      </c>
      <c r="F416" s="33" t="n">
        <v>45959.66180555556</v>
      </c>
      <c r="G416" s="34" t="n"/>
      <c r="H416" s="34" t="n"/>
    </row>
    <row r="417">
      <c r="A417" t="inlineStr">
        <is>
          <t>ENC119626</t>
        </is>
      </c>
      <c r="B417" t="inlineStr">
        <is>
          <t>PT11258</t>
        </is>
      </c>
      <c r="C417" t="inlineStr">
        <is>
          <t>Inpatient</t>
        </is>
      </c>
      <c r="D417" s="30" t="n">
        <v>25174</v>
      </c>
      <c r="E417" s="33" t="n">
        <v>45957.54097222222</v>
      </c>
      <c r="F417" s="33" t="n">
        <v>45960.69305555556</v>
      </c>
      <c r="G417" s="34" t="n"/>
      <c r="H417" s="34" t="n"/>
    </row>
    <row r="418">
      <c r="A418" t="inlineStr">
        <is>
          <t>ENC119683</t>
        </is>
      </c>
      <c r="B418" t="inlineStr">
        <is>
          <t>PT10495</t>
        </is>
      </c>
      <c r="C418" t="inlineStr">
        <is>
          <t>Inpatient</t>
        </is>
      </c>
      <c r="D418" s="30" t="n">
        <v>9853</v>
      </c>
      <c r="E418" s="33" t="n">
        <v>45958.86736111111</v>
      </c>
      <c r="F418" s="33" t="n">
        <v>45964.47847222222</v>
      </c>
      <c r="G418" s="34" t="n"/>
      <c r="H418" s="34" t="n"/>
    </row>
    <row r="419">
      <c r="A419" t="inlineStr">
        <is>
          <t>ENC119703</t>
        </is>
      </c>
      <c r="B419" t="inlineStr">
        <is>
          <t>PT10025</t>
        </is>
      </c>
      <c r="C419" t="inlineStr">
        <is>
          <t>Inpatient</t>
        </is>
      </c>
      <c r="D419" s="30" t="n">
        <v>24896</v>
      </c>
      <c r="E419" s="33" t="n">
        <v>45959.61736111111</v>
      </c>
      <c r="F419" s="33" t="n">
        <v>45962.58472222222</v>
      </c>
      <c r="G419" s="34" t="n"/>
      <c r="H419" s="34" t="n"/>
    </row>
    <row r="420">
      <c r="A420" t="inlineStr">
        <is>
          <t>ENC119705</t>
        </is>
      </c>
      <c r="B420" t="inlineStr">
        <is>
          <t>PT12026</t>
        </is>
      </c>
      <c r="C420" t="inlineStr">
        <is>
          <t>Inpatient</t>
        </is>
      </c>
      <c r="D420" s="30" t="n">
        <v>19105</v>
      </c>
      <c r="E420" s="33" t="n">
        <v>45959.64097222222</v>
      </c>
      <c r="F420" s="33" t="n">
        <v>45969.56944444445</v>
      </c>
      <c r="G420" s="34" t="n"/>
      <c r="H420" s="34" t="n"/>
    </row>
    <row r="421">
      <c r="A421" t="inlineStr">
        <is>
          <t>ENC119720</t>
        </is>
      </c>
      <c r="B421" t="inlineStr">
        <is>
          <t>PT12139</t>
        </is>
      </c>
      <c r="C421" t="inlineStr">
        <is>
          <t>Inpatient</t>
        </is>
      </c>
      <c r="D421" s="30" t="n">
        <v>17753</v>
      </c>
      <c r="E421" s="33" t="n">
        <v>45959.88611111111</v>
      </c>
      <c r="F421" s="33" t="n">
        <v>45962.62986111111</v>
      </c>
      <c r="G421" s="34" t="n"/>
      <c r="H421" s="34" t="n"/>
    </row>
    <row r="422">
      <c r="A422" t="inlineStr">
        <is>
          <t>ENC119790</t>
        </is>
      </c>
      <c r="B422" t="inlineStr">
        <is>
          <t>PT10369</t>
        </is>
      </c>
      <c r="C422" t="inlineStr">
        <is>
          <t>Inpatient</t>
        </is>
      </c>
      <c r="D422" s="30" t="n">
        <v>17694</v>
      </c>
      <c r="E422" s="33" t="n">
        <v>45961.79236111111</v>
      </c>
      <c r="F422" s="33" t="n">
        <v>45964.70902777778</v>
      </c>
      <c r="G422" s="34" t="n"/>
      <c r="H422" s="34" t="n"/>
    </row>
    <row r="423">
      <c r="A423" t="inlineStr">
        <is>
          <t>ENC119804</t>
        </is>
      </c>
      <c r="B423" t="inlineStr">
        <is>
          <t>PT12860</t>
        </is>
      </c>
      <c r="C423" t="inlineStr">
        <is>
          <t>Inpatient</t>
        </is>
      </c>
      <c r="D423" s="30" t="n">
        <v>23160</v>
      </c>
      <c r="E423" s="33" t="n">
        <v>45961.98541666667</v>
      </c>
      <c r="F423" s="33" t="n">
        <v>45966.47083333333</v>
      </c>
      <c r="G423" s="34" t="n"/>
      <c r="H423" s="34" t="n"/>
    </row>
    <row r="424">
      <c r="A424" t="inlineStr">
        <is>
          <t>ENC119806</t>
        </is>
      </c>
      <c r="B424" t="inlineStr">
        <is>
          <t>PT10005</t>
        </is>
      </c>
      <c r="C424" t="inlineStr">
        <is>
          <t>Inpatient</t>
        </is>
      </c>
      <c r="D424" s="30" t="n">
        <v>10553</v>
      </c>
      <c r="E424" s="33" t="n">
        <v>45962.29583333333</v>
      </c>
      <c r="F424" s="33" t="n">
        <v>45964.53611111111</v>
      </c>
      <c r="G424" s="34" t="n"/>
      <c r="H424" s="34" t="n"/>
    </row>
    <row r="425">
      <c r="A425" t="inlineStr">
        <is>
          <t>ENC119812</t>
        </is>
      </c>
      <c r="B425" t="inlineStr">
        <is>
          <t>PT10749</t>
        </is>
      </c>
      <c r="C425" t="inlineStr">
        <is>
          <t>Observation</t>
        </is>
      </c>
      <c r="D425" s="30" t="n">
        <v>21047</v>
      </c>
      <c r="E425" s="33" t="n">
        <v>45962.7</v>
      </c>
      <c r="F425" s="33" t="n">
        <v>45963.14305555556</v>
      </c>
      <c r="G425" s="34" t="n"/>
      <c r="H425" s="34" t="n"/>
    </row>
    <row r="426">
      <c r="A426" t="inlineStr">
        <is>
          <t>ENC119822</t>
        </is>
      </c>
      <c r="B426" t="inlineStr">
        <is>
          <t>PT13940</t>
        </is>
      </c>
      <c r="C426" t="inlineStr">
        <is>
          <t>Observation</t>
        </is>
      </c>
      <c r="D426" s="30" t="n">
        <v>23814</v>
      </c>
      <c r="E426" s="33" t="n">
        <v>45963.69722222222</v>
      </c>
      <c r="F426" s="33" t="n">
        <v>45964.52152777778</v>
      </c>
      <c r="G426" s="34" t="n"/>
      <c r="H426" s="34" t="n"/>
    </row>
    <row r="427">
      <c r="A427" t="inlineStr">
        <is>
          <t>ENC119823</t>
        </is>
      </c>
      <c r="B427" t="inlineStr">
        <is>
          <t>PT12896</t>
        </is>
      </c>
      <c r="C427" t="inlineStr">
        <is>
          <t>Inpatient</t>
        </is>
      </c>
      <c r="D427" s="30" t="n">
        <v>20925</v>
      </c>
      <c r="E427" s="33" t="n">
        <v>45963.70625</v>
      </c>
      <c r="F427" s="33" t="n">
        <v>45968.43333333333</v>
      </c>
      <c r="G427" s="34" t="n"/>
      <c r="H427" s="34" t="n"/>
    </row>
    <row r="428">
      <c r="A428" t="inlineStr">
        <is>
          <t>ENC119827</t>
        </is>
      </c>
      <c r="B428" t="inlineStr">
        <is>
          <t>PT12749</t>
        </is>
      </c>
      <c r="C428" t="inlineStr">
        <is>
          <t>Inpatient</t>
        </is>
      </c>
      <c r="D428" s="30" t="n">
        <v>19142</v>
      </c>
      <c r="E428" s="33" t="n">
        <v>45963.99305555555</v>
      </c>
      <c r="F428" s="33" t="n">
        <v>45968.70138888889</v>
      </c>
      <c r="G428" s="34" t="n"/>
      <c r="H428" s="34" t="n"/>
    </row>
    <row r="429">
      <c r="A429" t="inlineStr">
        <is>
          <t>ENC119868</t>
        </is>
      </c>
      <c r="B429" t="inlineStr">
        <is>
          <t>PT12735</t>
        </is>
      </c>
      <c r="C429" t="inlineStr">
        <is>
          <t>Observation</t>
        </is>
      </c>
      <c r="D429" s="30" t="n">
        <v>24505</v>
      </c>
      <c r="E429" s="33" t="n">
        <v>45964.85416666666</v>
      </c>
      <c r="F429" s="33" t="n">
        <v>45965.84513888889</v>
      </c>
      <c r="G429" s="34" t="n"/>
      <c r="H429" s="34" t="n"/>
    </row>
    <row r="430">
      <c r="A430" t="inlineStr">
        <is>
          <t>ENC119896</t>
        </is>
      </c>
      <c r="B430" t="inlineStr">
        <is>
          <t>PT10978</t>
        </is>
      </c>
      <c r="C430" t="inlineStr">
        <is>
          <t>Inpatient</t>
        </is>
      </c>
      <c r="D430" s="30" t="n">
        <v>22915</v>
      </c>
      <c r="E430" s="33" t="n">
        <v>45965.54305555556</v>
      </c>
      <c r="F430" s="33" t="n">
        <v>45967.56041666667</v>
      </c>
      <c r="G430" s="34" t="n"/>
      <c r="H430" s="34" t="n"/>
    </row>
    <row r="431">
      <c r="A431" t="inlineStr">
        <is>
          <t>ENC119968</t>
        </is>
      </c>
      <c r="B431" t="inlineStr">
        <is>
          <t>PT10956</t>
        </is>
      </c>
      <c r="C431" t="inlineStr">
        <is>
          <t>Inpatient</t>
        </is>
      </c>
      <c r="D431" s="30" t="n">
        <v>24507</v>
      </c>
      <c r="E431" s="33" t="n">
        <v>45967.53402777778</v>
      </c>
      <c r="F431" s="33" t="n">
        <v>45974.52638888889</v>
      </c>
      <c r="G431" s="34" t="n"/>
      <c r="H431" s="34" t="n"/>
    </row>
    <row r="432">
      <c r="A432" t="inlineStr">
        <is>
          <t>ENC119973</t>
        </is>
      </c>
      <c r="B432" t="inlineStr">
        <is>
          <t>PT11456</t>
        </is>
      </c>
      <c r="C432" t="inlineStr">
        <is>
          <t>Inpatient</t>
        </is>
      </c>
      <c r="D432" s="30" t="n">
        <v>29005</v>
      </c>
      <c r="E432" s="33" t="n">
        <v>45967.64444444444</v>
      </c>
      <c r="F432" s="33" t="n">
        <v>45971.67708333334</v>
      </c>
      <c r="G432" s="34" t="n"/>
      <c r="H432" s="34" t="n"/>
    </row>
    <row r="433">
      <c r="A433" t="inlineStr">
        <is>
          <t>ENC120004</t>
        </is>
      </c>
      <c r="B433" t="inlineStr">
        <is>
          <t>PT10662</t>
        </is>
      </c>
      <c r="C433" t="inlineStr">
        <is>
          <t>Inpatient</t>
        </is>
      </c>
      <c r="D433" s="30" t="n">
        <v>13880</v>
      </c>
      <c r="E433" s="33" t="n">
        <v>45968.80416666667</v>
      </c>
      <c r="F433" s="33" t="n">
        <v>45971.66111111111</v>
      </c>
      <c r="G433" s="34" t="n"/>
      <c r="H433" s="34" t="n"/>
    </row>
    <row r="434">
      <c r="A434" t="inlineStr">
        <is>
          <t>ENC120009</t>
        </is>
      </c>
      <c r="B434" t="inlineStr">
        <is>
          <t>PT12060</t>
        </is>
      </c>
      <c r="C434" t="inlineStr">
        <is>
          <t>Inpatient</t>
        </is>
      </c>
      <c r="D434" s="30" t="n">
        <v>22563</v>
      </c>
      <c r="E434" s="33" t="n">
        <v>45968.83194444444</v>
      </c>
      <c r="F434" s="33" t="n">
        <v>45973.37638888889</v>
      </c>
      <c r="G434" s="34" t="n"/>
      <c r="H434" s="34" t="n"/>
    </row>
    <row r="435">
      <c r="A435" t="inlineStr">
        <is>
          <t>ENC120034</t>
        </is>
      </c>
      <c r="B435" t="inlineStr">
        <is>
          <t>PT10891</t>
        </is>
      </c>
      <c r="C435" t="inlineStr">
        <is>
          <t>Inpatient</t>
        </is>
      </c>
      <c r="D435" s="30" t="n">
        <v>20986</v>
      </c>
      <c r="E435" s="33" t="n">
        <v>45970.01527777778</v>
      </c>
      <c r="F435" s="33" t="n">
        <v>45972.70486111111</v>
      </c>
      <c r="G435" s="34" t="n"/>
      <c r="H435" s="34" t="n"/>
    </row>
    <row r="436">
      <c r="A436" t="inlineStr">
        <is>
          <t>ENC120064</t>
        </is>
      </c>
      <c r="B436" t="inlineStr">
        <is>
          <t>PT12519</t>
        </is>
      </c>
      <c r="C436" t="inlineStr">
        <is>
          <t>Inpatient</t>
        </is>
      </c>
      <c r="D436" s="30" t="n">
        <v>23747</v>
      </c>
      <c r="E436" s="33" t="n">
        <v>45971.59097222222</v>
      </c>
      <c r="F436" s="33" t="n">
        <v>45976.55277777778</v>
      </c>
      <c r="G436" s="34" t="n"/>
      <c r="H436" s="34" t="n"/>
    </row>
    <row r="437">
      <c r="A437" t="inlineStr">
        <is>
          <t>ENC120100</t>
        </is>
      </c>
      <c r="B437" t="inlineStr">
        <is>
          <t>PT11412</t>
        </is>
      </c>
      <c r="C437" t="inlineStr">
        <is>
          <t>Inpatient</t>
        </is>
      </c>
      <c r="D437" s="30" t="n">
        <v>17012</v>
      </c>
      <c r="E437" s="33" t="n">
        <v>45972.13819444444</v>
      </c>
      <c r="F437" s="33" t="n">
        <v>45976.6125</v>
      </c>
      <c r="G437" s="34" t="n"/>
      <c r="H437" s="34" t="n"/>
    </row>
    <row r="438">
      <c r="A438" t="inlineStr">
        <is>
          <t>ENC120108</t>
        </is>
      </c>
      <c r="B438" t="inlineStr">
        <is>
          <t>PT12206</t>
        </is>
      </c>
      <c r="C438" t="inlineStr">
        <is>
          <t>Inpatient</t>
        </is>
      </c>
      <c r="D438" s="30" t="n">
        <v>27466</v>
      </c>
      <c r="E438" s="33" t="n">
        <v>45972.57361111111</v>
      </c>
      <c r="F438" s="33" t="n">
        <v>45980.52986111111</v>
      </c>
      <c r="G438" s="34" t="n"/>
      <c r="H438" s="34" t="n"/>
    </row>
    <row r="439">
      <c r="A439" t="inlineStr">
        <is>
          <t>ENC120170</t>
        </is>
      </c>
      <c r="B439" t="inlineStr">
        <is>
          <t>PT12166</t>
        </is>
      </c>
      <c r="C439" t="inlineStr">
        <is>
          <t>Inpatient</t>
        </is>
      </c>
      <c r="D439" s="30" t="n">
        <v>20819</v>
      </c>
      <c r="E439" s="33" t="n">
        <v>45974.02013888889</v>
      </c>
      <c r="F439" s="33" t="n">
        <v>45979.53263888889</v>
      </c>
      <c r="G439" s="34" t="n"/>
      <c r="H439" s="34" t="n"/>
    </row>
    <row r="440">
      <c r="A440" t="inlineStr">
        <is>
          <t>ENC120183</t>
        </is>
      </c>
      <c r="B440" t="inlineStr">
        <is>
          <t>PT12896</t>
        </is>
      </c>
      <c r="C440" t="inlineStr">
        <is>
          <t>Inpatient</t>
        </is>
      </c>
      <c r="D440" s="30" t="n">
        <v>20925</v>
      </c>
      <c r="E440" s="33" t="n">
        <v>45974.43819444445</v>
      </c>
      <c r="F440" s="33" t="n">
        <v>45976.66875</v>
      </c>
      <c r="G440" s="34" t="n"/>
      <c r="H440" s="34" t="n"/>
    </row>
    <row r="441">
      <c r="A441" t="inlineStr">
        <is>
          <t>ENC120179</t>
        </is>
      </c>
      <c r="B441" t="inlineStr">
        <is>
          <t>PT12299</t>
        </is>
      </c>
      <c r="C441" t="inlineStr">
        <is>
          <t>Observation</t>
        </is>
      </c>
      <c r="D441" s="30" t="n">
        <v>17689</v>
      </c>
      <c r="E441" s="33" t="n">
        <v>45974.525</v>
      </c>
      <c r="F441" s="33" t="n">
        <v>45975.875</v>
      </c>
      <c r="G441" s="34" t="n"/>
      <c r="H441" s="34" t="n"/>
    </row>
    <row r="442">
      <c r="A442" t="inlineStr">
        <is>
          <t>ENC120212</t>
        </is>
      </c>
      <c r="B442" t="inlineStr">
        <is>
          <t>PT12161</t>
        </is>
      </c>
      <c r="C442" t="inlineStr">
        <is>
          <t>Inpatient</t>
        </is>
      </c>
      <c r="D442" s="30" t="n">
        <v>26313</v>
      </c>
      <c r="E442" s="33" t="n">
        <v>45975.125</v>
      </c>
      <c r="F442" s="33" t="n">
        <v>45976.65694444445</v>
      </c>
      <c r="G442" s="34" t="n"/>
      <c r="H442" s="34" t="n"/>
    </row>
    <row r="443">
      <c r="A443" t="inlineStr">
        <is>
          <t>ENC120259</t>
        </is>
      </c>
      <c r="B443" t="inlineStr">
        <is>
          <t>PT12851</t>
        </is>
      </c>
      <c r="C443" t="inlineStr">
        <is>
          <t>Inpatient</t>
        </is>
      </c>
      <c r="D443" s="30" t="n">
        <v>13649</v>
      </c>
      <c r="E443" s="33" t="n">
        <v>45977.37083333333</v>
      </c>
      <c r="F443" s="33" t="n">
        <v>45981.72152777778</v>
      </c>
      <c r="G443" s="34" t="n"/>
      <c r="H443" s="34" t="n"/>
    </row>
    <row r="444">
      <c r="A444" t="inlineStr">
        <is>
          <t>ENC120277</t>
        </is>
      </c>
      <c r="B444" t="inlineStr">
        <is>
          <t>PT11926</t>
        </is>
      </c>
      <c r="C444" t="inlineStr">
        <is>
          <t>Inpatient</t>
        </is>
      </c>
      <c r="D444" s="30" t="n">
        <v>17544</v>
      </c>
      <c r="E444" s="33" t="n">
        <v>45978.03402777778</v>
      </c>
      <c r="F444" s="33" t="n">
        <v>45981.54652777778</v>
      </c>
      <c r="G444" s="34" t="n"/>
      <c r="H444" s="34" t="n"/>
    </row>
    <row r="445">
      <c r="A445" t="inlineStr">
        <is>
          <t>ENC120312</t>
        </is>
      </c>
      <c r="B445" t="inlineStr">
        <is>
          <t>PT10537</t>
        </is>
      </c>
      <c r="C445" t="inlineStr">
        <is>
          <t>Inpatient</t>
        </is>
      </c>
      <c r="D445" s="30" t="n">
        <v>37028</v>
      </c>
      <c r="E445" s="33" t="n">
        <v>45978.80833333333</v>
      </c>
      <c r="F445" s="33" t="n">
        <v>45980.46666666667</v>
      </c>
      <c r="G445" s="34" t="n"/>
      <c r="H445" s="34" t="n"/>
    </row>
    <row r="446">
      <c r="A446" t="inlineStr">
        <is>
          <t>ENC120324</t>
        </is>
      </c>
      <c r="B446" t="inlineStr">
        <is>
          <t>PT12494</t>
        </is>
      </c>
      <c r="C446" t="inlineStr">
        <is>
          <t>Inpatient</t>
        </is>
      </c>
      <c r="D446" s="30" t="n">
        <v>18195</v>
      </c>
      <c r="E446" s="33" t="n">
        <v>45979.32638888889</v>
      </c>
      <c r="F446" s="33" t="n">
        <v>45979.83194444444</v>
      </c>
      <c r="G446" s="34" t="n"/>
      <c r="H446" s="34" t="n"/>
    </row>
    <row r="447">
      <c r="A447" t="inlineStr">
        <is>
          <t>ENC120397</t>
        </is>
      </c>
      <c r="B447" t="inlineStr">
        <is>
          <t>PT10510</t>
        </is>
      </c>
      <c r="C447" t="inlineStr">
        <is>
          <t>Inpatient</t>
        </is>
      </c>
      <c r="D447" s="30" t="n">
        <v>29264</v>
      </c>
      <c r="E447" s="33" t="n">
        <v>45980.89722222222</v>
      </c>
      <c r="F447" s="33" t="n">
        <v>45984.82986111111</v>
      </c>
      <c r="G447" s="34" t="n"/>
      <c r="H447" s="34" t="n"/>
    </row>
    <row r="448">
      <c r="A448" t="inlineStr">
        <is>
          <t>ENC120486</t>
        </is>
      </c>
      <c r="B448" t="inlineStr">
        <is>
          <t>PT10866</t>
        </is>
      </c>
      <c r="C448" t="inlineStr">
        <is>
          <t>Inpatient</t>
        </is>
      </c>
      <c r="D448" s="30" t="n">
        <v>37391</v>
      </c>
      <c r="E448" s="33" t="n">
        <v>45983.93611111111</v>
      </c>
      <c r="F448" s="33" t="n">
        <v>45986.59236111111</v>
      </c>
      <c r="G448" s="34" t="n"/>
      <c r="H448" s="34" t="n"/>
    </row>
    <row r="449">
      <c r="A449" t="inlineStr">
        <is>
          <t>ENC120508</t>
        </is>
      </c>
      <c r="B449" t="inlineStr">
        <is>
          <t>PT13217</t>
        </is>
      </c>
      <c r="C449" t="inlineStr">
        <is>
          <t>Observation</t>
        </is>
      </c>
      <c r="D449" s="30" t="n">
        <v>28318</v>
      </c>
      <c r="E449" s="33" t="n">
        <v>45984.89930555555</v>
      </c>
      <c r="F449" s="33" t="n">
        <v>45986.33263888889</v>
      </c>
      <c r="G449" s="34" t="n"/>
      <c r="H449" s="34" t="n"/>
    </row>
    <row r="450">
      <c r="A450" t="inlineStr">
        <is>
          <t>ENC120535</t>
        </is>
      </c>
      <c r="B450" t="inlineStr">
        <is>
          <t>PT13009</t>
        </is>
      </c>
      <c r="C450" t="inlineStr">
        <is>
          <t>Inpatient</t>
        </is>
      </c>
      <c r="D450" s="30" t="n">
        <v>25103</v>
      </c>
      <c r="E450" s="33" t="n">
        <v>45985.57013888889</v>
      </c>
      <c r="F450" s="33" t="n">
        <v>45988.59722222222</v>
      </c>
      <c r="G450" s="34" t="n"/>
      <c r="H450" s="34" t="n"/>
    </row>
    <row r="451">
      <c r="A451" t="inlineStr">
        <is>
          <t>ENC120534</t>
        </is>
      </c>
      <c r="B451" t="inlineStr">
        <is>
          <t>PT10387</t>
        </is>
      </c>
      <c r="C451" t="inlineStr">
        <is>
          <t>Inpatient</t>
        </is>
      </c>
      <c r="D451" s="30" t="n">
        <v>12469</v>
      </c>
      <c r="E451" s="33" t="n">
        <v>45985.68541666667</v>
      </c>
      <c r="F451" s="33" t="n">
        <v>45989.67430555556</v>
      </c>
      <c r="G451" s="34" t="n"/>
      <c r="H451" s="34" t="n"/>
    </row>
    <row r="452">
      <c r="A452" t="inlineStr">
        <is>
          <t>ENC120537</t>
        </is>
      </c>
      <c r="B452" t="inlineStr">
        <is>
          <t>PT12285</t>
        </is>
      </c>
      <c r="C452" t="inlineStr">
        <is>
          <t>Observation</t>
        </is>
      </c>
      <c r="D452" s="30" t="n">
        <v>43234</v>
      </c>
      <c r="E452" s="33" t="n">
        <v>45985.70486111111</v>
      </c>
      <c r="F452" s="33" t="n">
        <v>45986.44236111111</v>
      </c>
      <c r="G452" s="34" t="n"/>
      <c r="H452" s="34" t="n"/>
    </row>
    <row r="453">
      <c r="A453" t="inlineStr">
        <is>
          <t>ENC120553</t>
        </is>
      </c>
      <c r="B453" t="inlineStr">
        <is>
          <t>PT10219</t>
        </is>
      </c>
      <c r="C453" t="inlineStr">
        <is>
          <t>Inpatient</t>
        </is>
      </c>
      <c r="D453" s="30" t="n">
        <v>23735</v>
      </c>
      <c r="E453" s="33" t="n">
        <v>45985.78055555555</v>
      </c>
      <c r="F453" s="33" t="n">
        <v>45989.46597222222</v>
      </c>
      <c r="G453" s="34" t="n"/>
      <c r="H453" s="34" t="n"/>
    </row>
    <row r="454">
      <c r="A454" t="inlineStr">
        <is>
          <t>ENC120656</t>
        </is>
      </c>
      <c r="B454" t="inlineStr">
        <is>
          <t>PT13116</t>
        </is>
      </c>
      <c r="C454" t="inlineStr">
        <is>
          <t>Inpatient</t>
        </is>
      </c>
      <c r="D454" s="30" t="n">
        <v>19234</v>
      </c>
      <c r="E454" s="33" t="n">
        <v>45989.34930555556</v>
      </c>
      <c r="F454" s="33" t="n">
        <v>45992.64305555556</v>
      </c>
      <c r="G454" s="34" t="n"/>
      <c r="H454" s="34" t="n"/>
    </row>
    <row r="455">
      <c r="A455" t="inlineStr">
        <is>
          <t>ENC120711</t>
        </is>
      </c>
      <c r="B455" t="inlineStr">
        <is>
          <t>PT12563</t>
        </is>
      </c>
      <c r="C455" t="inlineStr">
        <is>
          <t>Inpatient</t>
        </is>
      </c>
      <c r="D455" s="30" t="n">
        <v>31372</v>
      </c>
      <c r="E455" s="33" t="n">
        <v>45991.2875</v>
      </c>
      <c r="F455" s="33" t="n">
        <v>45994.54375</v>
      </c>
      <c r="G455" s="34" t="n"/>
      <c r="H455" s="34" t="n"/>
    </row>
    <row r="456">
      <c r="A456" t="inlineStr">
        <is>
          <t>ENC120725</t>
        </is>
      </c>
      <c r="B456" t="inlineStr">
        <is>
          <t>PT13519</t>
        </is>
      </c>
      <c r="C456" t="inlineStr">
        <is>
          <t>Inpatient</t>
        </is>
      </c>
      <c r="D456" s="30" t="n">
        <v>26078</v>
      </c>
      <c r="E456" s="33" t="n">
        <v>45991.81180555555</v>
      </c>
      <c r="F456" s="33" t="n">
        <v>45995.82222222222</v>
      </c>
      <c r="G456" s="34" t="n"/>
      <c r="H456" s="34" t="n"/>
    </row>
    <row r="457">
      <c r="A457" t="inlineStr">
        <is>
          <t>ENC120751</t>
        </is>
      </c>
      <c r="B457" t="inlineStr">
        <is>
          <t>PT12989</t>
        </is>
      </c>
      <c r="C457" t="inlineStr">
        <is>
          <t>Inpatient</t>
        </is>
      </c>
      <c r="D457" s="30" t="n">
        <v>28521</v>
      </c>
      <c r="E457" s="33" t="n">
        <v>45992.60138888889</v>
      </c>
      <c r="F457" s="33" t="n">
        <v>45998.70694444444</v>
      </c>
      <c r="G457" s="34" t="n"/>
      <c r="H457" s="34" t="n"/>
    </row>
    <row r="458">
      <c r="A458" t="inlineStr">
        <is>
          <t>ENC120776</t>
        </is>
      </c>
      <c r="B458" t="inlineStr">
        <is>
          <t>PT11247</t>
        </is>
      </c>
      <c r="C458" t="inlineStr">
        <is>
          <t>Observation</t>
        </is>
      </c>
      <c r="D458" s="30" t="n">
        <v>44673</v>
      </c>
      <c r="E458" s="33" t="n">
        <v>45993.03055555555</v>
      </c>
      <c r="F458" s="33" t="n">
        <v>45993.50208333333</v>
      </c>
      <c r="G458" s="34" t="n"/>
      <c r="H458" s="34" t="n"/>
    </row>
    <row r="459">
      <c r="A459" t="inlineStr">
        <is>
          <t>ENC120785</t>
        </is>
      </c>
      <c r="B459" t="inlineStr">
        <is>
          <t>PT10969</t>
        </is>
      </c>
      <c r="C459" t="inlineStr">
        <is>
          <t>Observation</t>
        </is>
      </c>
      <c r="D459" s="30" t="n">
        <v>24887</v>
      </c>
      <c r="E459" s="33" t="n">
        <v>45993.45555555556</v>
      </c>
      <c r="F459" s="33" t="n">
        <v>45994.22847222222</v>
      </c>
      <c r="G459" s="34" t="n"/>
      <c r="H459" s="34" t="n"/>
    </row>
    <row r="460">
      <c r="A460" t="inlineStr">
        <is>
          <t>ENC120815</t>
        </is>
      </c>
      <c r="B460" t="inlineStr">
        <is>
          <t>PT10460</t>
        </is>
      </c>
      <c r="C460" t="inlineStr">
        <is>
          <t>Inpatient</t>
        </is>
      </c>
      <c r="D460" s="30" t="n">
        <v>23831</v>
      </c>
      <c r="E460" s="33" t="n">
        <v>45993.67430555556</v>
      </c>
      <c r="F460" s="33" t="n">
        <v>45996.68194444444</v>
      </c>
      <c r="G460" s="34" t="n"/>
      <c r="H460" s="34" t="n"/>
    </row>
    <row r="461">
      <c r="A461" t="inlineStr">
        <is>
          <t>ENC120832</t>
        </is>
      </c>
      <c r="B461" t="inlineStr">
        <is>
          <t>PT13632</t>
        </is>
      </c>
      <c r="C461" t="inlineStr">
        <is>
          <t>Inpatient</t>
        </is>
      </c>
      <c r="D461" s="30" t="n">
        <v>22096</v>
      </c>
      <c r="E461" s="33" t="n">
        <v>45994.6</v>
      </c>
      <c r="F461" s="33" t="n">
        <v>45997.67152777778</v>
      </c>
      <c r="G461" s="34" t="n"/>
      <c r="H461" s="34" t="n"/>
    </row>
    <row r="462">
      <c r="A462" t="inlineStr">
        <is>
          <t>ENC120838</t>
        </is>
      </c>
      <c r="B462" t="inlineStr">
        <is>
          <t>PT13672</t>
        </is>
      </c>
      <c r="C462" t="inlineStr">
        <is>
          <t>Inpatient</t>
        </is>
      </c>
      <c r="D462" s="30" t="n">
        <v>22273</v>
      </c>
      <c r="E462" s="33" t="n">
        <v>45994.61736111111</v>
      </c>
      <c r="F462" s="33" t="n">
        <v>45997.58680555555</v>
      </c>
      <c r="G462" s="34" t="n"/>
      <c r="H462" s="34" t="n"/>
    </row>
    <row r="463">
      <c r="A463" t="inlineStr">
        <is>
          <t>ENC120849</t>
        </is>
      </c>
      <c r="B463" t="inlineStr">
        <is>
          <t>PT10668</t>
        </is>
      </c>
      <c r="C463" t="inlineStr">
        <is>
          <t>Inpatient</t>
        </is>
      </c>
      <c r="D463" s="30" t="n">
        <v>18878</v>
      </c>
      <c r="E463" s="33" t="n">
        <v>45994.72708333333</v>
      </c>
      <c r="F463" s="33" t="n">
        <v>46003.56527777778</v>
      </c>
      <c r="G463" s="34" t="n"/>
      <c r="H463" s="34" t="n"/>
    </row>
    <row r="464">
      <c r="A464" t="inlineStr">
        <is>
          <t>ENC120868</t>
        </is>
      </c>
      <c r="B464" t="inlineStr">
        <is>
          <t>PT12677</t>
        </is>
      </c>
      <c r="C464" t="inlineStr">
        <is>
          <t>Observation</t>
        </is>
      </c>
      <c r="D464" s="30" t="n">
        <v>13856</v>
      </c>
      <c r="E464" s="33" t="n">
        <v>45995.31597222222</v>
      </c>
      <c r="F464" s="33" t="n">
        <v>45996.4875</v>
      </c>
      <c r="G464" s="34" t="n"/>
      <c r="H464" s="34" t="n"/>
    </row>
    <row r="465">
      <c r="A465" t="inlineStr">
        <is>
          <t>ENC120895</t>
        </is>
      </c>
      <c r="B465" t="inlineStr">
        <is>
          <t>PT13853</t>
        </is>
      </c>
      <c r="C465" t="inlineStr">
        <is>
          <t>Observation</t>
        </is>
      </c>
      <c r="D465" s="30" t="n">
        <v>18618</v>
      </c>
      <c r="E465" s="33" t="n">
        <v>45995.62916666667</v>
      </c>
      <c r="F465" s="33" t="n">
        <v>45997.00972222222</v>
      </c>
      <c r="G465" s="34" t="n"/>
      <c r="H465" s="34" t="n"/>
    </row>
    <row r="466">
      <c r="A466" t="inlineStr">
        <is>
          <t>ENC120960</t>
        </is>
      </c>
      <c r="B466" t="inlineStr">
        <is>
          <t>PT12890</t>
        </is>
      </c>
      <c r="C466" t="inlineStr">
        <is>
          <t>Inpatient</t>
        </is>
      </c>
      <c r="D466" s="30" t="n">
        <v>11958</v>
      </c>
      <c r="E466" s="33" t="n">
        <v>45997.40208333333</v>
      </c>
      <c r="F466" s="33" t="n">
        <v>46003.47291666667</v>
      </c>
      <c r="G466" s="34" t="n"/>
      <c r="H466" s="34" t="n"/>
    </row>
    <row r="467">
      <c r="A467" t="inlineStr">
        <is>
          <t>ENC120972</t>
        </is>
      </c>
      <c r="B467" t="inlineStr">
        <is>
          <t>PT10721</t>
        </is>
      </c>
      <c r="C467" t="inlineStr">
        <is>
          <t>Observation</t>
        </is>
      </c>
      <c r="D467" s="30" t="n">
        <v>20486</v>
      </c>
      <c r="E467" s="33" t="n">
        <v>45997.84513888889</v>
      </c>
      <c r="F467" s="33" t="n">
        <v>45999.16041666667</v>
      </c>
      <c r="G467" s="34" t="n"/>
      <c r="H467" s="34" t="n"/>
    </row>
    <row r="468">
      <c r="A468" t="inlineStr">
        <is>
          <t>ENC120979</t>
        </is>
      </c>
      <c r="B468" t="inlineStr">
        <is>
          <t>PT11149</t>
        </is>
      </c>
      <c r="C468" t="inlineStr">
        <is>
          <t>Inpatient</t>
        </is>
      </c>
      <c r="D468" s="30" t="n">
        <v>28373</v>
      </c>
      <c r="E468" s="33" t="n">
        <v>45998.17291666667</v>
      </c>
      <c r="F468" s="33" t="n">
        <v>46007.59722222222</v>
      </c>
      <c r="G468" s="34" t="n"/>
      <c r="H468" s="34" t="n"/>
    </row>
    <row r="469">
      <c r="A469" t="inlineStr">
        <is>
          <t>ENC120984</t>
        </is>
      </c>
      <c r="B469" t="inlineStr">
        <is>
          <t>PT11122</t>
        </is>
      </c>
      <c r="C469" t="inlineStr">
        <is>
          <t>Inpatient</t>
        </is>
      </c>
      <c r="D469" s="30" t="n">
        <v>30043</v>
      </c>
      <c r="E469" s="33" t="n">
        <v>45998.53819444445</v>
      </c>
      <c r="F469" s="33" t="n">
        <v>46004.65555555555</v>
      </c>
      <c r="G469" s="34" t="n"/>
      <c r="H469" s="34" t="n"/>
    </row>
    <row r="470">
      <c r="A470" t="inlineStr">
        <is>
          <t>ENC120988</t>
        </is>
      </c>
      <c r="B470" t="inlineStr">
        <is>
          <t>PT10532</t>
        </is>
      </c>
      <c r="C470" t="inlineStr">
        <is>
          <t>Observation</t>
        </is>
      </c>
      <c r="D470" s="30" t="n">
        <v>37739</v>
      </c>
      <c r="E470" s="33" t="n">
        <v>45998.61111111111</v>
      </c>
      <c r="F470" s="33" t="n">
        <v>45999.14166666667</v>
      </c>
      <c r="G470" s="34" t="n"/>
      <c r="H470" s="34" t="n"/>
    </row>
    <row r="471">
      <c r="A471" t="inlineStr">
        <is>
          <t>ENC120987</t>
        </is>
      </c>
      <c r="B471" t="inlineStr">
        <is>
          <t>PT13305</t>
        </is>
      </c>
      <c r="C471" t="inlineStr">
        <is>
          <t>Observation</t>
        </is>
      </c>
      <c r="D471" s="30" t="n">
        <v>34579</v>
      </c>
      <c r="E471" s="33" t="n">
        <v>45998.67638888889</v>
      </c>
      <c r="F471" s="33" t="n">
        <v>45999.69236111111</v>
      </c>
      <c r="G471" s="34" t="n"/>
      <c r="H471" s="34" t="n"/>
    </row>
    <row r="472">
      <c r="A472" t="inlineStr">
        <is>
          <t>ENC120991</t>
        </is>
      </c>
      <c r="B472" t="inlineStr">
        <is>
          <t>PT11968</t>
        </is>
      </c>
      <c r="C472" t="inlineStr">
        <is>
          <t>Inpatient</t>
        </is>
      </c>
      <c r="D472" s="30" t="n">
        <v>37115</v>
      </c>
      <c r="E472" s="33" t="n">
        <v>45998.82638888889</v>
      </c>
      <c r="F472" s="33" t="n">
        <v>46001.74097222222</v>
      </c>
      <c r="G472" s="34" t="n"/>
      <c r="H472" s="34" t="n"/>
    </row>
    <row r="473">
      <c r="A473" t="inlineStr">
        <is>
          <t>ENC121044</t>
        </is>
      </c>
      <c r="B473" t="inlineStr">
        <is>
          <t>PT10815</t>
        </is>
      </c>
      <c r="C473" t="inlineStr">
        <is>
          <t>Inpatient</t>
        </is>
      </c>
      <c r="D473" s="30" t="n">
        <v>12224</v>
      </c>
      <c r="E473" s="33" t="n">
        <v>46000.0125</v>
      </c>
      <c r="F473" s="33" t="n">
        <v>46007.5625</v>
      </c>
      <c r="G473" s="34" t="n"/>
      <c r="H473" s="34" t="n"/>
    </row>
    <row r="474">
      <c r="A474" t="inlineStr">
        <is>
          <t>ENC121060</t>
        </is>
      </c>
      <c r="B474" t="inlineStr">
        <is>
          <t>PT12454</t>
        </is>
      </c>
      <c r="C474" t="inlineStr">
        <is>
          <t>Inpatient</t>
        </is>
      </c>
      <c r="D474" s="30" t="n">
        <v>20810</v>
      </c>
      <c r="E474" s="33" t="n">
        <v>46000.57569444444</v>
      </c>
      <c r="F474" s="33" t="n">
        <v>46001.62361111111</v>
      </c>
      <c r="G474" s="34" t="n"/>
      <c r="H474" s="34" t="n"/>
    </row>
    <row r="475">
      <c r="A475" t="inlineStr">
        <is>
          <t>ENC121096</t>
        </is>
      </c>
      <c r="B475" t="inlineStr">
        <is>
          <t>PT10177</t>
        </is>
      </c>
      <c r="C475" t="inlineStr">
        <is>
          <t>Inpatient</t>
        </is>
      </c>
      <c r="D475" s="30" t="n">
        <v>21269</v>
      </c>
      <c r="E475" s="33" t="n">
        <v>46001.30625</v>
      </c>
      <c r="F475" s="33" t="n">
        <v>46007.72638888889</v>
      </c>
      <c r="G475" s="34" t="n"/>
      <c r="H475" s="34" t="n"/>
    </row>
    <row r="476">
      <c r="A476" t="inlineStr">
        <is>
          <t>ENC121101</t>
        </is>
      </c>
      <c r="B476" t="inlineStr">
        <is>
          <t>PT13575</t>
        </is>
      </c>
      <c r="C476" t="inlineStr">
        <is>
          <t>Inpatient</t>
        </is>
      </c>
      <c r="D476" s="30" t="n">
        <v>43534</v>
      </c>
      <c r="E476" s="33" t="n">
        <v>46001.37708333333</v>
      </c>
      <c r="F476" s="33" t="n">
        <v>46010.66458333333</v>
      </c>
      <c r="G476" s="34" t="n"/>
      <c r="H476" s="34" t="n"/>
    </row>
    <row r="477">
      <c r="A477" t="inlineStr">
        <is>
          <t>ENC121097</t>
        </is>
      </c>
      <c r="B477" t="inlineStr">
        <is>
          <t>PT11816</t>
        </is>
      </c>
      <c r="C477" t="inlineStr">
        <is>
          <t>Inpatient</t>
        </is>
      </c>
      <c r="D477" s="30" t="n">
        <v>10954</v>
      </c>
      <c r="E477" s="33" t="n">
        <v>46001.44791666666</v>
      </c>
      <c r="F477" s="33" t="n">
        <v>46007.61319444444</v>
      </c>
      <c r="G477" s="34" t="n"/>
      <c r="H477" s="34" t="n"/>
    </row>
    <row r="478">
      <c r="A478" t="inlineStr">
        <is>
          <t>ENC121130</t>
        </is>
      </c>
      <c r="B478" t="inlineStr">
        <is>
          <t>PT12024</t>
        </is>
      </c>
      <c r="C478" t="inlineStr">
        <is>
          <t>Observation</t>
        </is>
      </c>
      <c r="D478" s="30" t="n">
        <v>16914</v>
      </c>
      <c r="E478" s="33" t="n">
        <v>46001.85277777778</v>
      </c>
      <c r="F478" s="33" t="n">
        <v>46002.39236111111</v>
      </c>
      <c r="G478" s="34" t="n"/>
      <c r="H478" s="34" t="n"/>
    </row>
    <row r="479">
      <c r="A479" t="inlineStr">
        <is>
          <t>ENC121176</t>
        </is>
      </c>
      <c r="B479" t="inlineStr">
        <is>
          <t>PT11968</t>
        </is>
      </c>
      <c r="C479" t="inlineStr">
        <is>
          <t>Inpatient</t>
        </is>
      </c>
      <c r="D479" s="30" t="n">
        <v>37115</v>
      </c>
      <c r="E479" s="33" t="n">
        <v>46003.39861111111</v>
      </c>
      <c r="F479" s="33" t="n">
        <v>46008.42916666667</v>
      </c>
      <c r="G479" s="34" t="n"/>
      <c r="H479" s="34" t="n"/>
    </row>
    <row r="480">
      <c r="A480" t="inlineStr">
        <is>
          <t>ENC121190</t>
        </is>
      </c>
      <c r="B480" t="inlineStr">
        <is>
          <t>PT10606</t>
        </is>
      </c>
      <c r="C480" t="inlineStr">
        <is>
          <t>Inpatient</t>
        </is>
      </c>
      <c r="D480" s="30" t="n">
        <v>20640</v>
      </c>
      <c r="E480" s="33" t="n">
        <v>46003.48402777778</v>
      </c>
      <c r="F480" s="33" t="n">
        <v>46005.54375</v>
      </c>
      <c r="G480" s="34" t="n"/>
      <c r="H480" s="34" t="n"/>
    </row>
    <row r="481">
      <c r="A481" t="inlineStr">
        <is>
          <t>ENC121192</t>
        </is>
      </c>
      <c r="B481" t="inlineStr">
        <is>
          <t>PT11034</t>
        </is>
      </c>
      <c r="C481" t="inlineStr">
        <is>
          <t>Inpatient</t>
        </is>
      </c>
      <c r="D481" s="30" t="n">
        <v>20982</v>
      </c>
      <c r="E481" s="33" t="n">
        <v>46003.67777777778</v>
      </c>
      <c r="F481" s="33" t="n">
        <v>46007.49513888889</v>
      </c>
      <c r="G481" s="34" t="n"/>
      <c r="H481" s="34" t="n"/>
    </row>
    <row r="482">
      <c r="A482" t="inlineStr">
        <is>
          <t>ENC121208</t>
        </is>
      </c>
      <c r="B482" t="inlineStr">
        <is>
          <t>PT11214</t>
        </is>
      </c>
      <c r="C482" t="inlineStr">
        <is>
          <t>Inpatient</t>
        </is>
      </c>
      <c r="D482" s="30" t="n">
        <v>29707</v>
      </c>
      <c r="E482" s="33" t="n">
        <v>46003.85902777778</v>
      </c>
      <c r="F482" s="33" t="n">
        <v>46007.525</v>
      </c>
      <c r="G482" s="34" t="n"/>
      <c r="H482" s="34" t="n"/>
    </row>
    <row r="483">
      <c r="A483" t="inlineStr">
        <is>
          <t>ENC121218</t>
        </is>
      </c>
      <c r="B483" t="inlineStr">
        <is>
          <t>PT11115</t>
        </is>
      </c>
      <c r="C483" t="inlineStr">
        <is>
          <t>Inpatient</t>
        </is>
      </c>
      <c r="D483" s="30" t="n">
        <v>18064</v>
      </c>
      <c r="E483" s="33" t="n">
        <v>46004.32430555556</v>
      </c>
      <c r="F483" s="33" t="n">
        <v>46008.35486111111</v>
      </c>
      <c r="G483" s="34" t="n"/>
      <c r="H483" s="34" t="n"/>
    </row>
    <row r="484">
      <c r="A484" t="inlineStr">
        <is>
          <t>ENC121287</t>
        </is>
      </c>
      <c r="B484" t="inlineStr">
        <is>
          <t>PT11937</t>
        </is>
      </c>
      <c r="C484" t="inlineStr">
        <is>
          <t>Inpatient</t>
        </is>
      </c>
      <c r="D484" s="30" t="n">
        <v>38005</v>
      </c>
      <c r="E484" s="33" t="n">
        <v>46006.72569444445</v>
      </c>
      <c r="F484" s="33" t="n">
        <v>46010.53472222222</v>
      </c>
      <c r="G484" s="34" t="n"/>
      <c r="H484" s="34" t="n"/>
    </row>
    <row r="485">
      <c r="A485" t="inlineStr">
        <is>
          <t>ENC121294</t>
        </is>
      </c>
      <c r="B485" t="inlineStr">
        <is>
          <t>PT11101</t>
        </is>
      </c>
      <c r="C485" t="inlineStr">
        <is>
          <t>Observation</t>
        </is>
      </c>
      <c r="D485" s="30" t="n">
        <v>19202</v>
      </c>
      <c r="E485" s="33" t="n">
        <v>46007.10277777778</v>
      </c>
      <c r="F485" s="33" t="n">
        <v>46008.01944444444</v>
      </c>
      <c r="G485" s="34" t="n"/>
      <c r="H485" s="34" t="n"/>
    </row>
    <row r="486">
      <c r="A486" t="inlineStr">
        <is>
          <t>ENC121334</t>
        </is>
      </c>
      <c r="B486" t="inlineStr">
        <is>
          <t>PT12159</t>
        </is>
      </c>
      <c r="C486" t="inlineStr">
        <is>
          <t>Inpatient</t>
        </is>
      </c>
      <c r="D486" s="30" t="n">
        <v>22738</v>
      </c>
      <c r="E486" s="33" t="n">
        <v>46007.87847222222</v>
      </c>
      <c r="F486" s="33" t="n">
        <v>46011.63819444444</v>
      </c>
      <c r="G486" s="34" t="n"/>
      <c r="H486" s="34" t="n"/>
    </row>
    <row r="487">
      <c r="A487" t="inlineStr">
        <is>
          <t>ENC121335</t>
        </is>
      </c>
      <c r="B487" t="inlineStr">
        <is>
          <t>PT11977</t>
        </is>
      </c>
      <c r="C487" t="inlineStr">
        <is>
          <t>Inpatient</t>
        </is>
      </c>
      <c r="D487" s="30" t="n">
        <v>29727</v>
      </c>
      <c r="E487" s="33" t="n">
        <v>46007.91875</v>
      </c>
      <c r="F487" s="33" t="n">
        <v>46009.69722222222</v>
      </c>
      <c r="G487" s="34" t="n"/>
      <c r="H487" s="34" t="n"/>
    </row>
    <row r="488">
      <c r="A488" t="inlineStr">
        <is>
          <t>ENC121339</t>
        </is>
      </c>
      <c r="B488" t="inlineStr">
        <is>
          <t>PT10337</t>
        </is>
      </c>
      <c r="C488" t="inlineStr">
        <is>
          <t>Observation</t>
        </is>
      </c>
      <c r="D488" s="30" t="n">
        <v>12823</v>
      </c>
      <c r="E488" s="33" t="n">
        <v>46008.03472222222</v>
      </c>
      <c r="F488" s="33" t="n">
        <v>46008.92916666667</v>
      </c>
      <c r="G488" s="34" t="n"/>
      <c r="H488" s="34" t="n"/>
    </row>
    <row r="489">
      <c r="A489" t="inlineStr">
        <is>
          <t>ENC121373</t>
        </is>
      </c>
      <c r="B489" t="inlineStr">
        <is>
          <t>PT12026</t>
        </is>
      </c>
      <c r="C489" t="inlineStr">
        <is>
          <t>Observation</t>
        </is>
      </c>
      <c r="D489" s="30" t="n">
        <v>19105</v>
      </c>
      <c r="E489" s="33" t="n">
        <v>46008.79097222222</v>
      </c>
      <c r="F489" s="33" t="n">
        <v>46009.25208333333</v>
      </c>
      <c r="G489" s="34" t="n"/>
      <c r="H489" s="34" t="n"/>
    </row>
    <row r="490">
      <c r="A490" t="inlineStr">
        <is>
          <t>ENC121463</t>
        </is>
      </c>
      <c r="B490" t="inlineStr">
        <is>
          <t>PT11496</t>
        </is>
      </c>
      <c r="C490" t="inlineStr">
        <is>
          <t>Observation</t>
        </is>
      </c>
      <c r="D490" s="30" t="n">
        <v>19096</v>
      </c>
      <c r="E490" s="33" t="n">
        <v>46010.81458333333</v>
      </c>
      <c r="F490" s="33" t="n">
        <v>46011.69097222222</v>
      </c>
      <c r="G490" s="34" t="n"/>
      <c r="H490" s="34" t="n"/>
    </row>
    <row r="491">
      <c r="A491" t="inlineStr">
        <is>
          <t>ENC121461</t>
        </is>
      </c>
      <c r="B491" t="inlineStr">
        <is>
          <t>PT12325</t>
        </is>
      </c>
      <c r="C491" t="inlineStr">
        <is>
          <t>Inpatient</t>
        </is>
      </c>
      <c r="D491" s="30" t="n">
        <v>17919</v>
      </c>
      <c r="E491" s="33" t="n">
        <v>46010.99791666667</v>
      </c>
      <c r="F491" s="33" t="n">
        <v>46018.45069444444</v>
      </c>
      <c r="G491" s="34" t="n"/>
      <c r="H491" s="34" t="n"/>
    </row>
    <row r="492">
      <c r="A492" t="inlineStr">
        <is>
          <t>ENC121473</t>
        </is>
      </c>
      <c r="B492" t="inlineStr">
        <is>
          <t>PT10786</t>
        </is>
      </c>
      <c r="C492" t="inlineStr">
        <is>
          <t>Observation</t>
        </is>
      </c>
      <c r="D492" s="30" t="n">
        <v>27062</v>
      </c>
      <c r="E492" s="33" t="n">
        <v>46011.59722222222</v>
      </c>
      <c r="F492" s="33" t="n">
        <v>46013.22569444445</v>
      </c>
      <c r="G492" s="34" t="n"/>
      <c r="H492" s="34" t="n"/>
    </row>
    <row r="493">
      <c r="A493" t="inlineStr">
        <is>
          <t>ENC121489</t>
        </is>
      </c>
      <c r="B493" t="inlineStr">
        <is>
          <t>PT12945</t>
        </is>
      </c>
      <c r="C493" t="inlineStr">
        <is>
          <t>Inpatient</t>
        </is>
      </c>
      <c r="D493" s="30" t="n">
        <v>11450</v>
      </c>
      <c r="E493" s="33" t="n">
        <v>46012.52430555555</v>
      </c>
      <c r="F493" s="33" t="n">
        <v>46020.58472222222</v>
      </c>
      <c r="G493" s="34" t="n"/>
      <c r="H493" s="34" t="n"/>
    </row>
    <row r="494">
      <c r="A494" t="inlineStr">
        <is>
          <t>ENC121493</t>
        </is>
      </c>
      <c r="B494" t="inlineStr">
        <is>
          <t>PT12464</t>
        </is>
      </c>
      <c r="C494" t="inlineStr">
        <is>
          <t>Inpatient</t>
        </is>
      </c>
      <c r="D494" s="30" t="n">
        <v>29234</v>
      </c>
      <c r="E494" s="33" t="n">
        <v>46012.57430555556</v>
      </c>
      <c r="F494" s="33" t="n">
        <v>46016.55138888889</v>
      </c>
      <c r="G494" s="34" t="n"/>
      <c r="H494" s="34" t="n"/>
    </row>
    <row r="495">
      <c r="A495" t="inlineStr">
        <is>
          <t>ENC121526</t>
        </is>
      </c>
      <c r="B495" t="inlineStr">
        <is>
          <t>PT11720</t>
        </is>
      </c>
      <c r="C495" t="inlineStr">
        <is>
          <t>Inpatient</t>
        </is>
      </c>
      <c r="D495" s="30" t="n">
        <v>22399</v>
      </c>
      <c r="E495" s="33" t="n">
        <v>46013.64305555556</v>
      </c>
      <c r="F495" s="33" t="n">
        <v>46018.54722222222</v>
      </c>
      <c r="G495" s="34" t="n"/>
      <c r="H495" s="34" t="n"/>
    </row>
    <row r="496">
      <c r="A496" t="inlineStr">
        <is>
          <t>ENC121549</t>
        </is>
      </c>
      <c r="B496" t="inlineStr">
        <is>
          <t>PT13280</t>
        </is>
      </c>
      <c r="C496" t="inlineStr">
        <is>
          <t>Inpatient</t>
        </is>
      </c>
      <c r="D496" s="30" t="n">
        <v>33939</v>
      </c>
      <c r="E496" s="33" t="n">
        <v>46013.67708333334</v>
      </c>
      <c r="F496" s="33" t="n">
        <v>46016.76111111111</v>
      </c>
      <c r="G496" s="34" t="n"/>
      <c r="H496" s="34" t="n"/>
    </row>
    <row r="497">
      <c r="A497" t="inlineStr">
        <is>
          <t>ENC121606</t>
        </is>
      </c>
      <c r="B497" t="inlineStr">
        <is>
          <t>PT12399</t>
        </is>
      </c>
      <c r="C497" t="inlineStr">
        <is>
          <t>Inpatient</t>
        </is>
      </c>
      <c r="D497" s="30" t="n">
        <v>21180</v>
      </c>
      <c r="E497" s="33" t="n">
        <v>46015.03055555555</v>
      </c>
      <c r="F497" s="33" t="n">
        <v>46016.69444444445</v>
      </c>
      <c r="G497" s="34" t="n"/>
      <c r="H497" s="34" t="n"/>
    </row>
    <row r="498">
      <c r="A498" t="inlineStr">
        <is>
          <t>ENC121625</t>
        </is>
      </c>
      <c r="B498" t="inlineStr">
        <is>
          <t>PT11240</t>
        </is>
      </c>
      <c r="C498" t="inlineStr">
        <is>
          <t>Inpatient</t>
        </is>
      </c>
      <c r="D498" s="30" t="n">
        <v>29676</v>
      </c>
      <c r="E498" s="33" t="n">
        <v>46015.72430555556</v>
      </c>
      <c r="F498" s="33" t="n">
        <v>46021.49652777778</v>
      </c>
      <c r="G498" s="34" t="n"/>
      <c r="H498" s="34" t="n"/>
    </row>
    <row r="499">
      <c r="A499" t="inlineStr">
        <is>
          <t>ENC121641</t>
        </is>
      </c>
      <c r="B499" t="inlineStr">
        <is>
          <t>PT11717</t>
        </is>
      </c>
      <c r="C499" t="inlineStr">
        <is>
          <t>Observation</t>
        </is>
      </c>
      <c r="D499" s="30" t="n">
        <v>30883</v>
      </c>
      <c r="E499" s="33" t="n">
        <v>46015.78333333333</v>
      </c>
      <c r="F499" s="33" t="n">
        <v>46016.62291666667</v>
      </c>
      <c r="G499" s="34" t="n"/>
      <c r="H499" s="34" t="n"/>
    </row>
    <row r="500">
      <c r="A500" t="inlineStr">
        <is>
          <t>ENC121643</t>
        </is>
      </c>
      <c r="B500" t="inlineStr">
        <is>
          <t>PT10384</t>
        </is>
      </c>
      <c r="C500" t="inlineStr">
        <is>
          <t>Observation</t>
        </is>
      </c>
      <c r="D500" s="30" t="n">
        <v>17860</v>
      </c>
      <c r="E500" s="33" t="n">
        <v>46015.95763888889</v>
      </c>
      <c r="F500" s="33" t="n">
        <v>46017.69166666667</v>
      </c>
      <c r="G500" s="34" t="n"/>
      <c r="H500" s="34" t="n"/>
    </row>
    <row r="501">
      <c r="A501" t="inlineStr">
        <is>
          <t>ENC121644</t>
        </is>
      </c>
      <c r="B501" t="inlineStr">
        <is>
          <t>PT10611</t>
        </is>
      </c>
      <c r="C501" t="inlineStr">
        <is>
          <t>Inpatient</t>
        </is>
      </c>
      <c r="D501" s="30" t="n">
        <v>29792</v>
      </c>
      <c r="E501" s="33" t="n">
        <v>46016.20138888889</v>
      </c>
      <c r="F501" s="33" t="n">
        <v>46021.59722222222</v>
      </c>
      <c r="G501" s="34" t="n"/>
      <c r="H501" s="34" t="n"/>
    </row>
    <row r="502">
      <c r="A502" t="inlineStr">
        <is>
          <t>ENC121676</t>
        </is>
      </c>
      <c r="B502" t="inlineStr">
        <is>
          <t>PT12586</t>
        </is>
      </c>
      <c r="C502" t="inlineStr">
        <is>
          <t>Observation</t>
        </is>
      </c>
      <c r="D502" s="30" t="n">
        <v>36063</v>
      </c>
      <c r="E502" s="33" t="n">
        <v>46016.79583333333</v>
      </c>
      <c r="F502" s="33" t="n">
        <v>46018.38194444445</v>
      </c>
      <c r="G502" s="34" t="n"/>
      <c r="H502" s="34" t="n"/>
    </row>
    <row r="503">
      <c r="A503" t="inlineStr">
        <is>
          <t>ENC121681</t>
        </is>
      </c>
      <c r="B503" t="inlineStr">
        <is>
          <t>PT11246</t>
        </is>
      </c>
      <c r="C503" t="inlineStr">
        <is>
          <t>Observation</t>
        </is>
      </c>
      <c r="D503" s="30" t="n">
        <v>38197</v>
      </c>
      <c r="E503" s="33" t="n">
        <v>46016.81041666667</v>
      </c>
      <c r="F503" s="33" t="n">
        <v>46018.04236111111</v>
      </c>
      <c r="G503" s="34" t="n"/>
      <c r="H503" s="34" t="n"/>
    </row>
    <row r="504">
      <c r="A504" t="inlineStr">
        <is>
          <t>ENC121693</t>
        </is>
      </c>
      <c r="B504" t="inlineStr">
        <is>
          <t>PT12860</t>
        </is>
      </c>
      <c r="C504" t="inlineStr">
        <is>
          <t>Inpatient</t>
        </is>
      </c>
      <c r="D504" s="30" t="n">
        <v>23160</v>
      </c>
      <c r="E504" s="33" t="n">
        <v>46017.07430555556</v>
      </c>
      <c r="F504" s="33" t="n">
        <v>46020.55486111111</v>
      </c>
      <c r="G504" s="34" t="n"/>
      <c r="H504" s="34" t="n"/>
    </row>
    <row r="505">
      <c r="A505" t="inlineStr">
        <is>
          <t>ENC121736</t>
        </is>
      </c>
      <c r="B505" t="inlineStr">
        <is>
          <t>PT11427</t>
        </is>
      </c>
      <c r="C505" t="inlineStr">
        <is>
          <t>Observation</t>
        </is>
      </c>
      <c r="D505" s="30" t="n">
        <v>20131</v>
      </c>
      <c r="E505" s="33" t="n">
        <v>46018.75208333333</v>
      </c>
      <c r="F505" s="33" t="n">
        <v>46019.825</v>
      </c>
      <c r="G505" s="34" t="n"/>
      <c r="H505" s="34" t="n"/>
    </row>
    <row r="506">
      <c r="A506" t="inlineStr">
        <is>
          <t>ENC121742</t>
        </is>
      </c>
      <c r="B506" t="inlineStr">
        <is>
          <t>PT12485</t>
        </is>
      </c>
      <c r="C506" t="inlineStr">
        <is>
          <t>Observation</t>
        </is>
      </c>
      <c r="D506" s="30" t="n">
        <v>30424</v>
      </c>
      <c r="E506" s="33" t="n">
        <v>46019.49652777778</v>
      </c>
      <c r="F506" s="33" t="n">
        <v>46020.35763888889</v>
      </c>
      <c r="G506" s="34" t="n"/>
      <c r="H506" s="34"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1094"/>
  <sheetViews>
    <sheetView tabSelected="0" workbookViewId="0">
      <pane ySplit="1" topLeftCell="A2" activePane="bottomLeft" state="frozen"/>
      <selection pane="bottomLeft" activeCell="A1" sqref="A1"/>
    </sheetView>
  </sheetViews>
  <sheetFormatPr baseColWidth="8" defaultRowHeight="15"/>
  <cols>
    <col width="11" customWidth="1" min="1" max="1"/>
    <col width="11" customWidth="1" min="2" max="2"/>
    <col width="9" customWidth="1" min="3" max="3"/>
    <col width="13" customWidth="1" min="4" max="4"/>
    <col width="14" customWidth="1" min="5" max="5"/>
    <col width="15" customWidth="1" min="6" max="6"/>
    <col width="12" customWidth="1" min="7" max="7"/>
    <col width="16" customWidth="1" min="8" max="8"/>
    <col width="26" customWidth="1" min="9" max="9"/>
  </cols>
  <sheetData>
    <row r="1">
      <c r="A1" s="28" t="inlineStr">
        <is>
          <t>ClaimID</t>
        </is>
      </c>
      <c r="B1" s="28" t="inlineStr">
        <is>
          <t>PatientID</t>
        </is>
      </c>
      <c r="C1" s="28" t="inlineStr">
        <is>
          <t>PayerID</t>
        </is>
      </c>
      <c r="D1" s="28" t="inlineStr">
        <is>
          <t>ServiceDate</t>
        </is>
      </c>
      <c r="E1" s="28" t="inlineStr">
        <is>
          <t>BilledAmount</t>
        </is>
      </c>
      <c r="F1" s="28" t="inlineStr">
        <is>
          <t>AllowedAmount</t>
        </is>
      </c>
      <c r="G1" s="28" t="inlineStr">
        <is>
          <t>PaidAmount</t>
        </is>
      </c>
      <c r="H1" s="28" t="inlineStr">
        <is>
          <t>ClaimStatus</t>
        </is>
      </c>
      <c r="I1" s="28" t="inlineStr">
        <is>
          <t>DenialReason</t>
        </is>
      </c>
    </row>
    <row r="2">
      <c r="A2" t="inlineStr">
        <is>
          <t>CLM510373</t>
        </is>
      </c>
      <c r="B2" t="inlineStr">
        <is>
          <t>PT11301</t>
        </is>
      </c>
      <c r="C2" t="inlineStr">
        <is>
          <t>PY04</t>
        </is>
      </c>
      <c r="D2" s="30" t="n">
        <v>45664</v>
      </c>
      <c r="E2" s="35" t="n">
        <v>60997.07</v>
      </c>
      <c r="F2" s="35" t="n">
        <v>30654.9</v>
      </c>
      <c r="G2" s="35" t="n">
        <v>27159.4</v>
      </c>
      <c r="H2" t="inlineStr">
        <is>
          <t>Paid</t>
        </is>
      </c>
    </row>
    <row r="3">
      <c r="A3" t="inlineStr">
        <is>
          <t>CLM510507</t>
        </is>
      </c>
      <c r="B3" t="inlineStr">
        <is>
          <t>PT13958</t>
        </is>
      </c>
      <c r="C3" t="inlineStr">
        <is>
          <t>PY05</t>
        </is>
      </c>
      <c r="D3" s="30" t="n">
        <v>45660</v>
      </c>
      <c r="E3" s="35" t="n">
        <v>68643.67999999999</v>
      </c>
      <c r="F3" s="35" t="n">
        <v>31462.37</v>
      </c>
      <c r="G3" s="35" t="n">
        <v>30017.6</v>
      </c>
      <c r="H3" t="inlineStr">
        <is>
          <t>Paid</t>
        </is>
      </c>
    </row>
    <row r="4">
      <c r="A4" t="inlineStr">
        <is>
          <t>CLM510592</t>
        </is>
      </c>
      <c r="B4" t="inlineStr">
        <is>
          <t>PT11141</t>
        </is>
      </c>
      <c r="C4" t="inlineStr">
        <is>
          <t>PY02</t>
        </is>
      </c>
      <c r="D4" s="30" t="n">
        <v>45660</v>
      </c>
      <c r="E4" s="35" t="n">
        <v>42255.73</v>
      </c>
      <c r="F4" s="35" t="n">
        <v>13047.25</v>
      </c>
      <c r="G4" s="35" t="n">
        <v>12315.71</v>
      </c>
      <c r="H4" t="inlineStr">
        <is>
          <t>Paid</t>
        </is>
      </c>
    </row>
    <row r="5">
      <c r="A5" t="inlineStr">
        <is>
          <t>CLM510608</t>
        </is>
      </c>
      <c r="B5" t="inlineStr">
        <is>
          <t>PT10550</t>
        </is>
      </c>
      <c r="C5" t="inlineStr">
        <is>
          <t>PY01</t>
        </is>
      </c>
      <c r="D5" s="30" t="n">
        <v>45660</v>
      </c>
      <c r="E5" s="35" t="n">
        <v>73228.36</v>
      </c>
      <c r="F5" s="35" t="n">
        <v>22265.26</v>
      </c>
      <c r="G5" s="35" t="n">
        <v>20075.87</v>
      </c>
      <c r="H5" t="inlineStr">
        <is>
          <t>Paid</t>
        </is>
      </c>
    </row>
    <row r="6">
      <c r="A6" t="inlineStr">
        <is>
          <t>CLM510628</t>
        </is>
      </c>
      <c r="B6" t="inlineStr">
        <is>
          <t>PT10644</t>
        </is>
      </c>
      <c r="C6" t="inlineStr">
        <is>
          <t>PY01</t>
        </is>
      </c>
      <c r="D6" s="30" t="n">
        <v>45662</v>
      </c>
      <c r="E6" s="35" t="n">
        <v>54996.54</v>
      </c>
      <c r="F6" s="35" t="n">
        <v>17120.19</v>
      </c>
      <c r="G6" s="35" t="n">
        <v>11110.26</v>
      </c>
      <c r="H6" t="inlineStr">
        <is>
          <t>Partially Paid</t>
        </is>
      </c>
      <c r="I6" t="inlineStr">
        <is>
          <t>Medical Necessity</t>
        </is>
      </c>
    </row>
    <row r="7">
      <c r="A7" t="inlineStr">
        <is>
          <t>CLM510648</t>
        </is>
      </c>
      <c r="B7" t="inlineStr">
        <is>
          <t>PT12641</t>
        </is>
      </c>
      <c r="C7" t="inlineStr">
        <is>
          <t>PY04</t>
        </is>
      </c>
      <c r="D7" s="30" t="n">
        <v>45660</v>
      </c>
      <c r="E7" s="35" t="n">
        <v>39934.8</v>
      </c>
      <c r="F7" s="35" t="n">
        <v>21363.41</v>
      </c>
      <c r="G7" s="35" t="n">
        <v>20073.51</v>
      </c>
      <c r="H7" t="inlineStr">
        <is>
          <t>Paid</t>
        </is>
      </c>
    </row>
    <row r="8">
      <c r="A8" t="inlineStr">
        <is>
          <t>CLM510665</t>
        </is>
      </c>
      <c r="B8" t="inlineStr">
        <is>
          <t>PT13985</t>
        </is>
      </c>
      <c r="C8" t="inlineStr">
        <is>
          <t>PY01</t>
        </is>
      </c>
      <c r="D8" s="30" t="n">
        <v>45660</v>
      </c>
      <c r="E8" s="35" t="n">
        <v>31966.98</v>
      </c>
      <c r="F8" s="35" t="n">
        <v>9267.73</v>
      </c>
      <c r="G8" s="35" t="n">
        <v>8183.77</v>
      </c>
      <c r="H8" t="inlineStr">
        <is>
          <t>Paid</t>
        </is>
      </c>
    </row>
    <row r="9">
      <c r="A9" t="inlineStr">
        <is>
          <t>CLM510690</t>
        </is>
      </c>
      <c r="B9" t="inlineStr">
        <is>
          <t>PT12910</t>
        </is>
      </c>
      <c r="C9" t="inlineStr">
        <is>
          <t>PY05</t>
        </is>
      </c>
      <c r="D9" s="30" t="n">
        <v>45660</v>
      </c>
      <c r="E9" s="35" t="n">
        <v>7588.98</v>
      </c>
      <c r="F9" s="35" t="n">
        <v>3711.94</v>
      </c>
      <c r="G9" s="35" t="n">
        <v>3173.06</v>
      </c>
      <c r="H9" t="inlineStr">
        <is>
          <t>Paid</t>
        </is>
      </c>
    </row>
    <row r="10">
      <c r="A10" t="inlineStr">
        <is>
          <t>CLM510705</t>
        </is>
      </c>
      <c r="B10" t="inlineStr">
        <is>
          <t>PT12494</t>
        </is>
      </c>
      <c r="C10" t="inlineStr">
        <is>
          <t>PY03</t>
        </is>
      </c>
      <c r="D10" s="30" t="n">
        <v>45661</v>
      </c>
      <c r="E10" s="35" t="n">
        <v>29625.63</v>
      </c>
      <c r="F10" s="35" t="n">
        <v>6212.61</v>
      </c>
      <c r="G10" s="35" t="n">
        <v>6212.61</v>
      </c>
      <c r="H10" t="inlineStr">
        <is>
          <t>Paid</t>
        </is>
      </c>
    </row>
    <row r="11">
      <c r="A11" t="inlineStr">
        <is>
          <t>CLM510707</t>
        </is>
      </c>
      <c r="B11" t="inlineStr">
        <is>
          <t>PT13218</t>
        </is>
      </c>
      <c r="C11" t="inlineStr">
        <is>
          <t>PY06</t>
        </is>
      </c>
      <c r="D11" s="30" t="n">
        <v>45664</v>
      </c>
      <c r="E11" s="35" t="n">
        <v>33984.5</v>
      </c>
      <c r="F11" s="35" t="n">
        <v>18709.86</v>
      </c>
      <c r="G11" s="35" t="n">
        <v>17246.29</v>
      </c>
      <c r="H11" t="inlineStr">
        <is>
          <t>Paid</t>
        </is>
      </c>
    </row>
    <row r="12">
      <c r="A12" t="inlineStr">
        <is>
          <t>CLM510712</t>
        </is>
      </c>
      <c r="B12" t="inlineStr">
        <is>
          <t>PT11367</t>
        </is>
      </c>
      <c r="C12" t="inlineStr">
        <is>
          <t>PY04</t>
        </is>
      </c>
      <c r="D12" s="30" t="n">
        <v>45658</v>
      </c>
      <c r="E12" s="35" t="n">
        <v>3571.22</v>
      </c>
      <c r="F12" s="35" t="n">
        <v>1956.39</v>
      </c>
      <c r="G12" s="35" t="n">
        <v>1682.98</v>
      </c>
      <c r="H12" t="inlineStr">
        <is>
          <t>Paid</t>
        </is>
      </c>
    </row>
    <row r="13">
      <c r="A13" t="inlineStr">
        <is>
          <t>CLM510715</t>
        </is>
      </c>
      <c r="B13" t="inlineStr">
        <is>
          <t>PT13365</t>
        </is>
      </c>
      <c r="C13" t="inlineStr">
        <is>
          <t>PY03</t>
        </is>
      </c>
      <c r="D13" s="30" t="n">
        <v>45658</v>
      </c>
      <c r="E13" s="35" t="n">
        <v>1557.95</v>
      </c>
      <c r="F13" s="35" t="n">
        <v>386.99</v>
      </c>
      <c r="G13" s="35" t="n">
        <v>386.99</v>
      </c>
      <c r="H13" t="inlineStr">
        <is>
          <t>Paid</t>
        </is>
      </c>
    </row>
    <row r="14">
      <c r="A14" t="inlineStr">
        <is>
          <t>CLM510726</t>
        </is>
      </c>
      <c r="B14" t="inlineStr">
        <is>
          <t>PT11101</t>
        </is>
      </c>
      <c r="C14" t="inlineStr">
        <is>
          <t>PY01</t>
        </is>
      </c>
      <c r="D14" s="30" t="n">
        <v>45664</v>
      </c>
      <c r="E14" s="35" t="n">
        <v>37731.01</v>
      </c>
      <c r="F14" s="35" t="n">
        <v>10734.46</v>
      </c>
      <c r="G14" s="35" t="n">
        <v>9887.43</v>
      </c>
      <c r="H14" t="inlineStr">
        <is>
          <t>Paid</t>
        </is>
      </c>
    </row>
    <row r="15">
      <c r="A15" t="inlineStr">
        <is>
          <t>CLM510748</t>
        </is>
      </c>
      <c r="B15" t="inlineStr">
        <is>
          <t>PT10252</t>
        </is>
      </c>
      <c r="C15" t="inlineStr">
        <is>
          <t>PY05</t>
        </is>
      </c>
      <c r="D15" s="30" t="n">
        <v>45659</v>
      </c>
      <c r="E15" s="35" t="n">
        <v>1740.98</v>
      </c>
      <c r="F15" s="35" t="n">
        <v>788.08</v>
      </c>
      <c r="G15" s="35" t="n">
        <v>692.75</v>
      </c>
      <c r="H15" t="inlineStr">
        <is>
          <t>Paid</t>
        </is>
      </c>
    </row>
    <row r="16">
      <c r="A16" t="inlineStr">
        <is>
          <t>CLM510756</t>
        </is>
      </c>
      <c r="B16" t="inlineStr">
        <is>
          <t>PT12695</t>
        </is>
      </c>
      <c r="C16" t="inlineStr">
        <is>
          <t>PY04</t>
        </is>
      </c>
      <c r="D16" s="30" t="n">
        <v>45662</v>
      </c>
      <c r="E16" s="35" t="n">
        <v>10621.58</v>
      </c>
      <c r="F16" s="35" t="n">
        <v>5352.73</v>
      </c>
      <c r="G16" s="35" t="n">
        <v>4693.62</v>
      </c>
      <c r="H16" t="inlineStr">
        <is>
          <t>Paid</t>
        </is>
      </c>
    </row>
    <row r="17">
      <c r="A17" t="inlineStr">
        <is>
          <t>CLM510775</t>
        </is>
      </c>
      <c r="B17" t="inlineStr">
        <is>
          <t>PT11545</t>
        </is>
      </c>
      <c r="C17" t="inlineStr">
        <is>
          <t>PY01</t>
        </is>
      </c>
      <c r="D17" s="30" t="n">
        <v>45665</v>
      </c>
      <c r="E17" s="35" t="n">
        <v>70175.49000000001</v>
      </c>
      <c r="F17" s="35" t="n">
        <v>21426.85</v>
      </c>
      <c r="G17" s="35" t="n">
        <v>17319.22</v>
      </c>
      <c r="H17" t="inlineStr">
        <is>
          <t>Paid</t>
        </is>
      </c>
    </row>
    <row r="18">
      <c r="A18" t="inlineStr">
        <is>
          <t>CLM510790</t>
        </is>
      </c>
      <c r="B18" t="inlineStr">
        <is>
          <t>PT10695</t>
        </is>
      </c>
      <c r="C18" t="inlineStr">
        <is>
          <t>PY03</t>
        </is>
      </c>
      <c r="D18" s="30" t="n">
        <v>45659</v>
      </c>
      <c r="E18" s="35" t="n">
        <v>1281.12</v>
      </c>
      <c r="F18" s="35" t="n">
        <v>324.23</v>
      </c>
      <c r="G18" s="35" t="n">
        <v>324.23</v>
      </c>
      <c r="H18" t="inlineStr">
        <is>
          <t>Paid</t>
        </is>
      </c>
    </row>
    <row r="19">
      <c r="A19" t="inlineStr">
        <is>
          <t>CLM510850</t>
        </is>
      </c>
      <c r="B19" t="inlineStr">
        <is>
          <t>PT13346</t>
        </is>
      </c>
      <c r="C19" t="inlineStr">
        <is>
          <t>PY06</t>
        </is>
      </c>
      <c r="D19" s="30" t="n">
        <v>45662</v>
      </c>
      <c r="E19" s="35" t="n">
        <v>6664.4</v>
      </c>
      <c r="F19" s="35" t="n">
        <v>3758.8</v>
      </c>
      <c r="G19" s="35" t="n">
        <v>3407.18</v>
      </c>
      <c r="H19" t="inlineStr">
        <is>
          <t>Paid</t>
        </is>
      </c>
    </row>
    <row r="20">
      <c r="A20" t="inlineStr">
        <is>
          <t>CLM510861</t>
        </is>
      </c>
      <c r="B20" t="inlineStr">
        <is>
          <t>PT12933</t>
        </is>
      </c>
      <c r="C20" t="inlineStr">
        <is>
          <t>PY01</t>
        </is>
      </c>
      <c r="D20" s="30" t="n">
        <v>45662</v>
      </c>
      <c r="E20" s="35" t="n">
        <v>1707.43</v>
      </c>
      <c r="F20" s="35" t="n">
        <v>538.46</v>
      </c>
      <c r="G20" s="35" t="n">
        <v>522</v>
      </c>
      <c r="H20" t="inlineStr">
        <is>
          <t>Paid</t>
        </is>
      </c>
    </row>
    <row r="21">
      <c r="A21" t="inlineStr">
        <is>
          <t>CLM510863</t>
        </is>
      </c>
      <c r="B21" t="inlineStr">
        <is>
          <t>PT11889</t>
        </is>
      </c>
      <c r="C21" t="inlineStr">
        <is>
          <t>PY04</t>
        </is>
      </c>
      <c r="D21" s="30" t="n">
        <v>45665</v>
      </c>
      <c r="E21" s="35" t="n">
        <v>14931.67</v>
      </c>
      <c r="F21" s="35" t="n">
        <v>7170.09</v>
      </c>
      <c r="G21" s="35" t="n">
        <v>6943.11</v>
      </c>
      <c r="H21" t="inlineStr">
        <is>
          <t>Paid</t>
        </is>
      </c>
    </row>
    <row r="22">
      <c r="A22" t="inlineStr">
        <is>
          <t>CLM510866</t>
        </is>
      </c>
      <c r="B22" t="inlineStr">
        <is>
          <t>PT13715</t>
        </is>
      </c>
      <c r="C22" t="inlineStr">
        <is>
          <t>PY02</t>
        </is>
      </c>
      <c r="D22" s="30" t="n">
        <v>45669</v>
      </c>
      <c r="E22" s="35" t="n">
        <v>32912.35</v>
      </c>
      <c r="F22" s="35" t="n">
        <v>11284.28</v>
      </c>
      <c r="G22" s="35" t="n">
        <v>11258.52</v>
      </c>
      <c r="H22" t="inlineStr">
        <is>
          <t>Paid</t>
        </is>
      </c>
    </row>
    <row r="23">
      <c r="A23" t="inlineStr">
        <is>
          <t>CLM510874</t>
        </is>
      </c>
      <c r="B23" t="inlineStr">
        <is>
          <t>PT11204</t>
        </is>
      </c>
      <c r="C23" t="inlineStr">
        <is>
          <t>PY02</t>
        </is>
      </c>
      <c r="D23" s="30" t="n">
        <v>45669</v>
      </c>
      <c r="E23" s="35" t="n">
        <v>29103.37</v>
      </c>
      <c r="F23" s="35" t="n">
        <v>8708.129999999999</v>
      </c>
      <c r="G23" s="35" t="n">
        <v>8423.6</v>
      </c>
      <c r="H23" t="inlineStr">
        <is>
          <t>Paid</t>
        </is>
      </c>
    </row>
    <row r="24">
      <c r="A24" t="inlineStr">
        <is>
          <t>CLM510885</t>
        </is>
      </c>
      <c r="B24" t="inlineStr">
        <is>
          <t>PT10002</t>
        </is>
      </c>
      <c r="C24" t="inlineStr">
        <is>
          <t>PY01</t>
        </is>
      </c>
      <c r="D24" s="30" t="n">
        <v>45663</v>
      </c>
      <c r="E24" s="35" t="n">
        <v>3559.37</v>
      </c>
      <c r="F24" s="35" t="n">
        <v>1106.04</v>
      </c>
      <c r="G24" s="35" t="n">
        <v>756.22</v>
      </c>
      <c r="H24" t="inlineStr">
        <is>
          <t>Partially Paid</t>
        </is>
      </c>
      <c r="I24" t="inlineStr">
        <is>
          <t>Medical Necessity</t>
        </is>
      </c>
    </row>
    <row r="25">
      <c r="A25" t="inlineStr">
        <is>
          <t>CLM510922</t>
        </is>
      </c>
      <c r="B25" t="inlineStr">
        <is>
          <t>PT10855</t>
        </is>
      </c>
      <c r="C25" t="inlineStr">
        <is>
          <t>PY01</t>
        </is>
      </c>
      <c r="D25" s="30" t="n">
        <v>45666</v>
      </c>
      <c r="E25" s="35" t="n">
        <v>8674.559999999999</v>
      </c>
      <c r="F25" s="35" t="n">
        <v>2879.25</v>
      </c>
      <c r="G25" s="35" t="n">
        <v>2617.71</v>
      </c>
      <c r="H25" t="inlineStr">
        <is>
          <t>Paid</t>
        </is>
      </c>
    </row>
    <row r="26">
      <c r="A26" t="inlineStr">
        <is>
          <t>CLM510937</t>
        </is>
      </c>
      <c r="B26" t="inlineStr">
        <is>
          <t>PT12542</t>
        </is>
      </c>
      <c r="C26" t="inlineStr">
        <is>
          <t>PY01</t>
        </is>
      </c>
      <c r="D26" s="30" t="n">
        <v>45664</v>
      </c>
      <c r="E26" s="35" t="n">
        <v>6122.44</v>
      </c>
      <c r="F26" s="35" t="n">
        <v>1914.16</v>
      </c>
      <c r="G26" s="35" t="n">
        <v>1777.85</v>
      </c>
      <c r="H26" t="inlineStr">
        <is>
          <t>Paid</t>
        </is>
      </c>
    </row>
    <row r="27">
      <c r="A27" t="inlineStr">
        <is>
          <t>CLM510945</t>
        </is>
      </c>
      <c r="B27" t="inlineStr">
        <is>
          <t>PT11582</t>
        </is>
      </c>
      <c r="C27" t="inlineStr">
        <is>
          <t>PY02</t>
        </is>
      </c>
      <c r="D27" s="30" t="n">
        <v>45664</v>
      </c>
      <c r="E27" s="35" t="n">
        <v>3493.47</v>
      </c>
      <c r="F27" s="35" t="n">
        <v>1093.58</v>
      </c>
      <c r="G27" s="35" t="n">
        <v>1082.74</v>
      </c>
      <c r="H27" t="inlineStr">
        <is>
          <t>Paid</t>
        </is>
      </c>
    </row>
    <row r="28">
      <c r="A28" t="inlineStr">
        <is>
          <t>CLM510952</t>
        </is>
      </c>
      <c r="B28" t="inlineStr">
        <is>
          <t>PT11420</t>
        </is>
      </c>
      <c r="C28" t="inlineStr">
        <is>
          <t>PY02</t>
        </is>
      </c>
      <c r="D28" s="30" t="n">
        <v>45669</v>
      </c>
      <c r="E28" s="35" t="n">
        <v>64067.75</v>
      </c>
      <c r="F28" s="35" t="n">
        <v>20016.48</v>
      </c>
      <c r="G28" s="35" t="n">
        <v>18893.1</v>
      </c>
      <c r="H28" t="inlineStr">
        <is>
          <t>Paid</t>
        </is>
      </c>
    </row>
    <row r="29">
      <c r="A29" t="inlineStr">
        <is>
          <t>CLM510967</t>
        </is>
      </c>
      <c r="B29" t="inlineStr">
        <is>
          <t>PT11138</t>
        </is>
      </c>
      <c r="C29" t="inlineStr">
        <is>
          <t>PY06</t>
        </is>
      </c>
      <c r="D29" s="30" t="n">
        <v>45668</v>
      </c>
      <c r="E29" s="35" t="n">
        <v>27045.66</v>
      </c>
      <c r="F29" s="35" t="n">
        <v>16252.36</v>
      </c>
      <c r="G29" s="35" t="n">
        <v>14232.83</v>
      </c>
      <c r="H29" t="inlineStr">
        <is>
          <t>Paid</t>
        </is>
      </c>
    </row>
    <row r="30">
      <c r="A30" t="inlineStr">
        <is>
          <t>CLM511001</t>
        </is>
      </c>
      <c r="B30" t="inlineStr">
        <is>
          <t>PT13009</t>
        </is>
      </c>
      <c r="C30" t="inlineStr">
        <is>
          <t>PY04</t>
        </is>
      </c>
      <c r="D30" s="30" t="n">
        <v>45666</v>
      </c>
      <c r="E30" s="35" t="n">
        <v>730.2</v>
      </c>
      <c r="F30" s="35" t="n">
        <v>413.15</v>
      </c>
      <c r="G30" s="35" t="n">
        <v>324.17</v>
      </c>
      <c r="H30" t="inlineStr">
        <is>
          <t>Paid</t>
        </is>
      </c>
    </row>
    <row r="31">
      <c r="A31" t="inlineStr">
        <is>
          <t>CLM511003</t>
        </is>
      </c>
      <c r="B31" t="inlineStr">
        <is>
          <t>PT11104</t>
        </is>
      </c>
      <c r="C31" t="inlineStr">
        <is>
          <t>PY01</t>
        </is>
      </c>
      <c r="D31" s="30" t="n">
        <v>45666</v>
      </c>
      <c r="E31" s="35" t="n">
        <v>1280.28</v>
      </c>
      <c r="F31" s="35" t="n">
        <v>0</v>
      </c>
      <c r="G31" s="35" t="n">
        <v>0</v>
      </c>
      <c r="H31" t="inlineStr">
        <is>
          <t>Appealed</t>
        </is>
      </c>
      <c r="I31" t="inlineStr">
        <is>
          <t>Medical Necessity</t>
        </is>
      </c>
    </row>
    <row r="32">
      <c r="A32" t="inlineStr">
        <is>
          <t>CLM511042</t>
        </is>
      </c>
      <c r="B32" t="inlineStr">
        <is>
          <t>PT11114</t>
        </is>
      </c>
      <c r="C32" t="inlineStr">
        <is>
          <t>PY06</t>
        </is>
      </c>
      <c r="D32" s="30" t="n">
        <v>45667</v>
      </c>
      <c r="E32" s="35" t="n">
        <v>9442.74</v>
      </c>
      <c r="F32" s="35" t="n">
        <v>4609.8</v>
      </c>
      <c r="G32" s="35" t="n">
        <v>4190.63</v>
      </c>
      <c r="H32" t="inlineStr">
        <is>
          <t>Paid</t>
        </is>
      </c>
    </row>
    <row r="33">
      <c r="A33" t="inlineStr">
        <is>
          <t>CLM511045</t>
        </is>
      </c>
      <c r="B33" t="inlineStr">
        <is>
          <t>PT10715</t>
        </is>
      </c>
      <c r="C33" t="inlineStr">
        <is>
          <t>PY03</t>
        </is>
      </c>
      <c r="D33" s="30" t="n">
        <v>45674</v>
      </c>
      <c r="E33" s="35" t="n">
        <v>80694.99000000001</v>
      </c>
      <c r="F33" s="35" t="n">
        <v>19601.32</v>
      </c>
      <c r="G33" s="35" t="n">
        <v>19601.32</v>
      </c>
      <c r="H33" t="inlineStr">
        <is>
          <t>Paid</t>
        </is>
      </c>
    </row>
    <row r="34">
      <c r="A34" t="inlineStr">
        <is>
          <t>CLM511056</t>
        </is>
      </c>
      <c r="B34" t="inlineStr">
        <is>
          <t>PT13877</t>
        </is>
      </c>
      <c r="C34" t="inlineStr">
        <is>
          <t>PY02</t>
        </is>
      </c>
      <c r="D34" s="30" t="n">
        <v>45667</v>
      </c>
      <c r="E34" s="35" t="n">
        <v>1585.21</v>
      </c>
      <c r="F34" s="35" t="n">
        <v>469.21</v>
      </c>
      <c r="G34" s="35" t="n">
        <v>420.39</v>
      </c>
      <c r="H34" t="inlineStr">
        <is>
          <t>Paid</t>
        </is>
      </c>
    </row>
    <row r="35">
      <c r="A35" t="inlineStr">
        <is>
          <t>CLM511063</t>
        </is>
      </c>
      <c r="B35" t="inlineStr">
        <is>
          <t>PT10750</t>
        </is>
      </c>
      <c r="C35" t="inlineStr">
        <is>
          <t>PY01</t>
        </is>
      </c>
      <c r="D35" s="30" t="n">
        <v>45667</v>
      </c>
      <c r="E35" s="35" t="n">
        <v>1073.62</v>
      </c>
      <c r="F35" s="35" t="n">
        <v>322</v>
      </c>
      <c r="G35" s="35" t="n">
        <v>282.17</v>
      </c>
      <c r="H35" t="inlineStr">
        <is>
          <t>Paid</t>
        </is>
      </c>
    </row>
    <row r="36">
      <c r="A36" t="inlineStr">
        <is>
          <t>CLM511064</t>
        </is>
      </c>
      <c r="B36" t="inlineStr">
        <is>
          <t>PT10668</t>
        </is>
      </c>
      <c r="C36" t="inlineStr">
        <is>
          <t>PY02</t>
        </is>
      </c>
      <c r="D36" s="30" t="n">
        <v>45667</v>
      </c>
      <c r="E36" s="35" t="n">
        <v>623.05</v>
      </c>
      <c r="F36" s="35" t="n">
        <v>189.49</v>
      </c>
      <c r="G36" s="35" t="n">
        <v>185.51</v>
      </c>
      <c r="H36" t="inlineStr">
        <is>
          <t>Paid</t>
        </is>
      </c>
    </row>
    <row r="37">
      <c r="A37" t="inlineStr">
        <is>
          <t>CLM511079</t>
        </is>
      </c>
      <c r="B37" t="inlineStr">
        <is>
          <t>PT12060</t>
        </is>
      </c>
      <c r="C37" t="inlineStr">
        <is>
          <t>PY06</t>
        </is>
      </c>
      <c r="D37" s="30" t="n">
        <v>45675</v>
      </c>
      <c r="E37" s="35" t="n">
        <v>89500.47</v>
      </c>
      <c r="F37" s="35" t="n">
        <v>45787.79</v>
      </c>
      <c r="G37" s="35" t="n">
        <v>38103.02</v>
      </c>
      <c r="H37" t="inlineStr">
        <is>
          <t>Paid</t>
        </is>
      </c>
    </row>
    <row r="38">
      <c r="A38" t="inlineStr">
        <is>
          <t>CLM511094</t>
        </is>
      </c>
      <c r="B38" t="inlineStr">
        <is>
          <t>PT12193</t>
        </is>
      </c>
      <c r="C38" t="inlineStr">
        <is>
          <t>PY01</t>
        </is>
      </c>
      <c r="D38" s="30" t="n">
        <v>45670</v>
      </c>
      <c r="E38" s="35" t="n">
        <v>9169.120000000001</v>
      </c>
      <c r="F38" s="35" t="n">
        <v>2826.7</v>
      </c>
      <c r="G38" s="35" t="n">
        <v>2521.59</v>
      </c>
      <c r="H38" t="inlineStr">
        <is>
          <t>Paid</t>
        </is>
      </c>
    </row>
    <row r="39">
      <c r="A39" t="inlineStr">
        <is>
          <t>CLM511101</t>
        </is>
      </c>
      <c r="B39" t="inlineStr">
        <is>
          <t>PT12264</t>
        </is>
      </c>
      <c r="C39" t="inlineStr">
        <is>
          <t>PY01</t>
        </is>
      </c>
      <c r="D39" s="30" t="n">
        <v>45671</v>
      </c>
      <c r="E39" s="35" t="n">
        <v>16418.17</v>
      </c>
      <c r="F39" s="35" t="n">
        <v>4712.25</v>
      </c>
      <c r="G39" s="35" t="n">
        <v>4441.08</v>
      </c>
      <c r="H39" t="inlineStr">
        <is>
          <t>Paid</t>
        </is>
      </c>
    </row>
    <row r="40">
      <c r="A40" t="inlineStr">
        <is>
          <t>CLM511109</t>
        </is>
      </c>
      <c r="B40" t="inlineStr">
        <is>
          <t>PT11371</t>
        </is>
      </c>
      <c r="C40" t="inlineStr">
        <is>
          <t>PY01</t>
        </is>
      </c>
      <c r="D40" s="30" t="n">
        <v>45675</v>
      </c>
      <c r="E40" s="35" t="n">
        <v>25943.27</v>
      </c>
      <c r="F40" s="35" t="n">
        <v>7926.9</v>
      </c>
      <c r="G40" s="35" t="n">
        <v>6751.23</v>
      </c>
      <c r="H40" t="inlineStr">
        <is>
          <t>Paid</t>
        </is>
      </c>
    </row>
    <row r="41">
      <c r="A41" t="inlineStr">
        <is>
          <t>CLM511111</t>
        </is>
      </c>
      <c r="B41" t="inlineStr">
        <is>
          <t>PT13426</t>
        </is>
      </c>
      <c r="C41" t="inlineStr">
        <is>
          <t>PY03</t>
        </is>
      </c>
      <c r="D41" s="30" t="n">
        <v>45669</v>
      </c>
      <c r="E41" s="35" t="n">
        <v>1475.58</v>
      </c>
      <c r="F41" s="35" t="n">
        <v>355.34</v>
      </c>
      <c r="G41" s="35" t="n">
        <v>355.34</v>
      </c>
      <c r="H41" t="inlineStr">
        <is>
          <t>Paid</t>
        </is>
      </c>
    </row>
    <row r="42">
      <c r="A42" t="inlineStr">
        <is>
          <t>CLM511113</t>
        </is>
      </c>
      <c r="B42" t="inlineStr">
        <is>
          <t>PT10076</t>
        </is>
      </c>
      <c r="C42" t="inlineStr">
        <is>
          <t>PY02</t>
        </is>
      </c>
      <c r="D42" s="30" t="n">
        <v>45669</v>
      </c>
      <c r="E42" s="35" t="n">
        <v>2095.02</v>
      </c>
      <c r="F42" s="35" t="n">
        <v>657.88</v>
      </c>
      <c r="G42" s="35" t="n">
        <v>608.01</v>
      </c>
      <c r="H42" t="inlineStr">
        <is>
          <t>Paid</t>
        </is>
      </c>
    </row>
    <row r="43">
      <c r="A43" t="inlineStr">
        <is>
          <t>CLM511114</t>
        </is>
      </c>
      <c r="B43" t="inlineStr">
        <is>
          <t>PT11101</t>
        </is>
      </c>
      <c r="C43" t="inlineStr">
        <is>
          <t>PY01</t>
        </is>
      </c>
      <c r="D43" s="30" t="n">
        <v>45676</v>
      </c>
      <c r="E43" s="35" t="n">
        <v>39804.2</v>
      </c>
      <c r="F43" s="35" t="n">
        <v>11344.04</v>
      </c>
      <c r="G43" s="35" t="n">
        <v>10414.01</v>
      </c>
      <c r="H43" t="inlineStr">
        <is>
          <t>Paid</t>
        </is>
      </c>
    </row>
    <row r="44">
      <c r="A44" t="inlineStr">
        <is>
          <t>CLM511126</t>
        </is>
      </c>
      <c r="B44" t="inlineStr">
        <is>
          <t>PT13991</t>
        </is>
      </c>
      <c r="C44" t="inlineStr">
        <is>
          <t>PY02</t>
        </is>
      </c>
      <c r="D44" s="30" t="n">
        <v>45671</v>
      </c>
      <c r="E44" s="35" t="n">
        <v>12522.51</v>
      </c>
      <c r="F44" s="35" t="n">
        <v>4601.63</v>
      </c>
      <c r="G44" s="35" t="n">
        <v>4372.47</v>
      </c>
      <c r="H44" t="inlineStr">
        <is>
          <t>Paid</t>
        </is>
      </c>
    </row>
    <row r="45">
      <c r="A45" t="inlineStr">
        <is>
          <t>CLM511131</t>
        </is>
      </c>
      <c r="B45" t="inlineStr">
        <is>
          <t>PT13531</t>
        </is>
      </c>
      <c r="C45" t="inlineStr">
        <is>
          <t>PY03</t>
        </is>
      </c>
      <c r="D45" s="30" t="n">
        <v>45669</v>
      </c>
      <c r="E45" s="35" t="n">
        <v>1239.68</v>
      </c>
      <c r="F45" s="35" t="n">
        <v>300.94</v>
      </c>
      <c r="G45" s="35" t="n">
        <v>300.94</v>
      </c>
      <c r="H45" t="inlineStr">
        <is>
          <t>Paid</t>
        </is>
      </c>
    </row>
    <row r="46">
      <c r="A46" t="inlineStr">
        <is>
          <t>CLM511166</t>
        </is>
      </c>
      <c r="B46" t="inlineStr">
        <is>
          <t>PT10814</t>
        </is>
      </c>
      <c r="C46" t="inlineStr">
        <is>
          <t>PY06</t>
        </is>
      </c>
      <c r="D46" s="30" t="n">
        <v>45670</v>
      </c>
      <c r="E46" s="35" t="n">
        <v>760.2</v>
      </c>
      <c r="F46" s="35" t="n">
        <v>423.44</v>
      </c>
      <c r="G46" s="35" t="n">
        <v>354.82</v>
      </c>
      <c r="H46" t="inlineStr">
        <is>
          <t>Paid</t>
        </is>
      </c>
    </row>
    <row r="47">
      <c r="A47" t="inlineStr">
        <is>
          <t>CLM511171</t>
        </is>
      </c>
      <c r="B47" t="inlineStr">
        <is>
          <t>PT12484</t>
        </is>
      </c>
      <c r="C47" t="inlineStr">
        <is>
          <t>PY01</t>
        </is>
      </c>
      <c r="D47" s="30" t="n">
        <v>45672</v>
      </c>
      <c r="E47" s="35" t="n">
        <v>15267.59</v>
      </c>
      <c r="F47" s="35" t="n">
        <v>4881.5</v>
      </c>
      <c r="G47" s="35" t="n">
        <v>4380.55</v>
      </c>
      <c r="H47" t="inlineStr">
        <is>
          <t>Paid</t>
        </is>
      </c>
    </row>
    <row r="48">
      <c r="A48" t="inlineStr">
        <is>
          <t>CLM511185</t>
        </is>
      </c>
      <c r="B48" t="inlineStr">
        <is>
          <t>PT10644</t>
        </is>
      </c>
      <c r="C48" t="inlineStr">
        <is>
          <t>PY01</t>
        </is>
      </c>
      <c r="D48" s="30" t="n">
        <v>45675</v>
      </c>
      <c r="E48" s="35" t="n">
        <v>19932.18</v>
      </c>
      <c r="F48" s="35" t="n">
        <v>7091.58</v>
      </c>
      <c r="G48" s="35" t="n">
        <v>6260.46</v>
      </c>
      <c r="H48" t="inlineStr">
        <is>
          <t>Paid</t>
        </is>
      </c>
    </row>
    <row r="49">
      <c r="A49" t="inlineStr">
        <is>
          <t>CLM511190</t>
        </is>
      </c>
      <c r="B49" t="inlineStr">
        <is>
          <t>PT12420</t>
        </is>
      </c>
      <c r="C49" t="inlineStr">
        <is>
          <t>PY05</t>
        </is>
      </c>
      <c r="D49" s="30" t="n">
        <v>45672</v>
      </c>
      <c r="E49" s="35" t="n">
        <v>40948.84</v>
      </c>
      <c r="F49" s="35" t="n">
        <v>22511.86</v>
      </c>
      <c r="G49" s="35" t="n">
        <v>19119.57</v>
      </c>
      <c r="H49" t="inlineStr">
        <is>
          <t>Paid</t>
        </is>
      </c>
    </row>
    <row r="50">
      <c r="A50" t="inlineStr">
        <is>
          <t>CLM511213</t>
        </is>
      </c>
      <c r="B50" t="inlineStr">
        <is>
          <t>PT10219</t>
        </is>
      </c>
      <c r="C50" t="inlineStr">
        <is>
          <t>PY01</t>
        </is>
      </c>
      <c r="D50" s="30" t="n">
        <v>45671</v>
      </c>
      <c r="E50" s="35" t="n">
        <v>1636.64</v>
      </c>
      <c r="F50" s="35" t="n">
        <v>464.05</v>
      </c>
      <c r="G50" s="35" t="n">
        <v>424.28</v>
      </c>
      <c r="H50" t="inlineStr">
        <is>
          <t>Paid</t>
        </is>
      </c>
    </row>
    <row r="51">
      <c r="A51" t="inlineStr">
        <is>
          <t>CLM511215</t>
        </is>
      </c>
      <c r="B51" t="inlineStr">
        <is>
          <t>PT11403</t>
        </is>
      </c>
      <c r="C51" t="inlineStr">
        <is>
          <t>PY03</t>
        </is>
      </c>
      <c r="D51" s="30" t="n">
        <v>45671</v>
      </c>
      <c r="E51" s="35" t="n">
        <v>5365.59</v>
      </c>
      <c r="F51" s="35" t="n">
        <v>1371.81</v>
      </c>
      <c r="G51" s="35" t="n">
        <v>1371.81</v>
      </c>
      <c r="H51" t="inlineStr">
        <is>
          <t>Paid</t>
        </is>
      </c>
    </row>
    <row r="52">
      <c r="A52" t="inlineStr">
        <is>
          <t>CLM511231</t>
        </is>
      </c>
      <c r="B52" t="inlineStr">
        <is>
          <t>PT11719</t>
        </is>
      </c>
      <c r="C52" t="inlineStr">
        <is>
          <t>PY01</t>
        </is>
      </c>
      <c r="D52" s="30" t="n">
        <v>45672</v>
      </c>
      <c r="E52" s="35" t="n">
        <v>1501.06</v>
      </c>
      <c r="F52" s="35" t="n">
        <v>455.09</v>
      </c>
      <c r="G52" s="35" t="n">
        <v>385.48</v>
      </c>
      <c r="H52" t="inlineStr">
        <is>
          <t>Paid</t>
        </is>
      </c>
    </row>
    <row r="53">
      <c r="A53" t="inlineStr">
        <is>
          <t>CLM511233</t>
        </is>
      </c>
      <c r="B53" t="inlineStr">
        <is>
          <t>PT13536</t>
        </is>
      </c>
      <c r="C53" t="inlineStr">
        <is>
          <t>PY02</t>
        </is>
      </c>
      <c r="D53" s="30" t="n">
        <v>45676</v>
      </c>
      <c r="E53" s="35" t="n">
        <v>23835.84</v>
      </c>
      <c r="F53" s="35" t="n">
        <v>7826.55</v>
      </c>
      <c r="G53" s="35" t="n">
        <v>7275.84</v>
      </c>
      <c r="H53" t="inlineStr">
        <is>
          <t>Paid</t>
        </is>
      </c>
    </row>
    <row r="54">
      <c r="A54" t="inlineStr">
        <is>
          <t>CLM511244</t>
        </is>
      </c>
      <c r="B54" t="inlineStr">
        <is>
          <t>PT12494</t>
        </is>
      </c>
      <c r="C54" t="inlineStr">
        <is>
          <t>PY03</t>
        </is>
      </c>
      <c r="D54" s="30" t="n">
        <v>45677</v>
      </c>
      <c r="E54" s="35" t="n">
        <v>22337.29</v>
      </c>
      <c r="F54" s="35" t="n">
        <v>5396.13</v>
      </c>
      <c r="G54" s="35" t="n">
        <v>5396.13</v>
      </c>
      <c r="H54" t="inlineStr">
        <is>
          <t>Paid</t>
        </is>
      </c>
    </row>
    <row r="55">
      <c r="A55" t="inlineStr">
        <is>
          <t>CLM511249</t>
        </is>
      </c>
      <c r="B55" t="inlineStr">
        <is>
          <t>PT10171</t>
        </is>
      </c>
      <c r="C55" t="inlineStr">
        <is>
          <t>PY01</t>
        </is>
      </c>
      <c r="D55" s="30" t="n">
        <v>45676</v>
      </c>
      <c r="E55" s="35" t="n">
        <v>18956.94</v>
      </c>
      <c r="F55" s="35" t="n">
        <v>6188.18</v>
      </c>
      <c r="G55" s="35" t="n">
        <v>5346.63</v>
      </c>
      <c r="H55" t="inlineStr">
        <is>
          <t>Paid</t>
        </is>
      </c>
    </row>
    <row r="56">
      <c r="A56" t="inlineStr">
        <is>
          <t>CLM511251</t>
        </is>
      </c>
      <c r="B56" t="inlineStr">
        <is>
          <t>PT12893</t>
        </is>
      </c>
      <c r="C56" t="inlineStr">
        <is>
          <t>PY04</t>
        </is>
      </c>
      <c r="D56" s="30" t="n">
        <v>45673</v>
      </c>
      <c r="E56" s="35" t="n">
        <v>8410.08</v>
      </c>
      <c r="F56" s="35" t="n">
        <v>4469.94</v>
      </c>
      <c r="G56" s="35" t="n">
        <v>3891.44</v>
      </c>
      <c r="H56" t="inlineStr">
        <is>
          <t>Paid</t>
        </is>
      </c>
    </row>
    <row r="57">
      <c r="A57" t="inlineStr">
        <is>
          <t>CLM511253</t>
        </is>
      </c>
      <c r="B57" t="inlineStr">
        <is>
          <t>PT10610</t>
        </is>
      </c>
      <c r="C57" t="inlineStr">
        <is>
          <t>PY04</t>
        </is>
      </c>
      <c r="D57" s="30" t="n">
        <v>45675</v>
      </c>
      <c r="E57" s="35" t="n">
        <v>15846.72</v>
      </c>
      <c r="F57" s="35" t="n">
        <v>0</v>
      </c>
      <c r="G57" s="35" t="n">
        <v>0</v>
      </c>
      <c r="H57" t="inlineStr">
        <is>
          <t>Denied</t>
        </is>
      </c>
      <c r="I57" t="inlineStr">
        <is>
          <t>Medical Necessity</t>
        </is>
      </c>
    </row>
    <row r="58">
      <c r="A58" t="inlineStr">
        <is>
          <t>CLM511257</t>
        </is>
      </c>
      <c r="B58" t="inlineStr">
        <is>
          <t>PT12636</t>
        </is>
      </c>
      <c r="C58" t="inlineStr">
        <is>
          <t>PY01</t>
        </is>
      </c>
      <c r="D58" s="30" t="n">
        <v>45678</v>
      </c>
      <c r="E58" s="35" t="n">
        <v>24715</v>
      </c>
      <c r="F58" s="35" t="n">
        <v>7415.37</v>
      </c>
      <c r="G58" s="35" t="n">
        <v>6844.4</v>
      </c>
      <c r="H58" t="inlineStr">
        <is>
          <t>Paid</t>
        </is>
      </c>
    </row>
    <row r="59">
      <c r="A59" t="inlineStr">
        <is>
          <t>CLM511258</t>
        </is>
      </c>
      <c r="B59" t="inlineStr">
        <is>
          <t>PT13821</t>
        </is>
      </c>
      <c r="C59" t="inlineStr">
        <is>
          <t>PY06</t>
        </is>
      </c>
      <c r="D59" s="30" t="n">
        <v>45676</v>
      </c>
      <c r="E59" s="35" t="n">
        <v>18753.47</v>
      </c>
      <c r="F59" s="35" t="n">
        <v>9248.68</v>
      </c>
      <c r="G59" s="35" t="n">
        <v>7340.06</v>
      </c>
      <c r="H59" t="inlineStr">
        <is>
          <t>Paid</t>
        </is>
      </c>
    </row>
    <row r="60">
      <c r="A60" t="inlineStr">
        <is>
          <t>CLM511294</t>
        </is>
      </c>
      <c r="B60" t="inlineStr">
        <is>
          <t>PT10120</t>
        </is>
      </c>
      <c r="C60" t="inlineStr">
        <is>
          <t>PY05</t>
        </is>
      </c>
      <c r="D60" s="30" t="n">
        <v>45674</v>
      </c>
      <c r="E60" s="35" t="n">
        <v>2540.52</v>
      </c>
      <c r="F60" s="35" t="n">
        <v>1236.5</v>
      </c>
      <c r="G60" s="35" t="n">
        <v>1065.15</v>
      </c>
      <c r="H60" t="inlineStr">
        <is>
          <t>Paid</t>
        </is>
      </c>
    </row>
    <row r="61">
      <c r="A61" t="inlineStr">
        <is>
          <t>CLM511304</t>
        </is>
      </c>
      <c r="B61" t="inlineStr">
        <is>
          <t>PT13751</t>
        </is>
      </c>
      <c r="C61" t="inlineStr">
        <is>
          <t>PY02</t>
        </is>
      </c>
      <c r="D61" s="30" t="n">
        <v>45675</v>
      </c>
      <c r="E61" s="35" t="n">
        <v>5306.76</v>
      </c>
      <c r="F61" s="35" t="n">
        <v>1636.86</v>
      </c>
      <c r="G61" s="35" t="n">
        <v>1439.25</v>
      </c>
      <c r="H61" t="inlineStr">
        <is>
          <t>Paid</t>
        </is>
      </c>
    </row>
    <row r="62">
      <c r="A62" t="inlineStr">
        <is>
          <t>CLM511325</t>
        </is>
      </c>
      <c r="B62" t="inlineStr">
        <is>
          <t>PT13940</t>
        </is>
      </c>
      <c r="C62" t="inlineStr">
        <is>
          <t>PY05</t>
        </is>
      </c>
      <c r="D62" s="30" t="n">
        <v>45676</v>
      </c>
      <c r="E62" s="35" t="n">
        <v>4409.79</v>
      </c>
      <c r="F62" s="35" t="n">
        <v>2099.86</v>
      </c>
      <c r="G62" s="35" t="n">
        <v>1857.23</v>
      </c>
      <c r="H62" t="inlineStr">
        <is>
          <t>Paid</t>
        </is>
      </c>
    </row>
    <row r="63">
      <c r="A63" t="inlineStr">
        <is>
          <t>CLM511332</t>
        </is>
      </c>
      <c r="B63" t="inlineStr">
        <is>
          <t>PT10101</t>
        </is>
      </c>
      <c r="C63" t="inlineStr">
        <is>
          <t>PY02</t>
        </is>
      </c>
      <c r="D63" s="30" t="n">
        <v>45679</v>
      </c>
      <c r="E63" s="35" t="n">
        <v>25492.17</v>
      </c>
      <c r="F63" s="35" t="n">
        <v>0</v>
      </c>
      <c r="G63" s="35" t="n">
        <v>0</v>
      </c>
      <c r="H63" t="inlineStr">
        <is>
          <t>Appealed</t>
        </is>
      </c>
      <c r="I63" t="inlineStr">
        <is>
          <t>Authorization Required</t>
        </is>
      </c>
    </row>
    <row r="64">
      <c r="A64" t="inlineStr">
        <is>
          <t>CLM511340</t>
        </is>
      </c>
      <c r="B64" t="inlineStr">
        <is>
          <t>PT13603</t>
        </is>
      </c>
      <c r="C64" t="inlineStr">
        <is>
          <t>PY02</t>
        </is>
      </c>
      <c r="D64" s="30" t="n">
        <v>45681</v>
      </c>
      <c r="E64" s="35" t="n">
        <v>21702.38</v>
      </c>
      <c r="F64" s="35" t="n">
        <v>7143.93</v>
      </c>
      <c r="G64" s="35" t="n">
        <v>6602.61</v>
      </c>
      <c r="H64" t="inlineStr">
        <is>
          <t>Paid</t>
        </is>
      </c>
    </row>
    <row r="65">
      <c r="A65" t="inlineStr">
        <is>
          <t>CLM511349</t>
        </is>
      </c>
      <c r="B65" t="inlineStr">
        <is>
          <t>PT12325</t>
        </is>
      </c>
      <c r="C65" t="inlineStr">
        <is>
          <t>PY04</t>
        </is>
      </c>
      <c r="D65" s="30" t="n">
        <v>45677</v>
      </c>
      <c r="E65" s="35" t="n">
        <v>8017.5</v>
      </c>
      <c r="F65" s="35" t="n">
        <v>4107.39</v>
      </c>
      <c r="G65" s="35" t="n">
        <v>3902.39</v>
      </c>
      <c r="H65" t="inlineStr">
        <is>
          <t>Paid</t>
        </is>
      </c>
    </row>
    <row r="66">
      <c r="A66" t="inlineStr">
        <is>
          <t>CLM511366</t>
        </is>
      </c>
      <c r="B66" t="inlineStr">
        <is>
          <t>PT11842</t>
        </is>
      </c>
      <c r="C66" t="inlineStr">
        <is>
          <t>PY01</t>
        </is>
      </c>
      <c r="D66" s="30" t="n">
        <v>45676</v>
      </c>
      <c r="E66" s="35" t="n">
        <v>1746.55</v>
      </c>
      <c r="F66" s="35" t="n">
        <v>525.67</v>
      </c>
      <c r="G66" s="35" t="n">
        <v>502.31</v>
      </c>
      <c r="H66" t="inlineStr">
        <is>
          <t>Paid</t>
        </is>
      </c>
    </row>
    <row r="67">
      <c r="A67" t="inlineStr">
        <is>
          <t>CLM511367</t>
        </is>
      </c>
      <c r="B67" t="inlineStr">
        <is>
          <t>PT10016</t>
        </is>
      </c>
      <c r="C67" t="inlineStr">
        <is>
          <t>PY04</t>
        </is>
      </c>
      <c r="D67" s="30" t="n">
        <v>45677</v>
      </c>
      <c r="E67" s="35" t="n">
        <v>9933.16</v>
      </c>
      <c r="F67" s="35" t="n">
        <v>5451.33</v>
      </c>
      <c r="G67" s="35" t="n">
        <v>4988.64</v>
      </c>
      <c r="H67" t="inlineStr">
        <is>
          <t>Paid</t>
        </is>
      </c>
    </row>
    <row r="68">
      <c r="A68" t="inlineStr">
        <is>
          <t>CLM511379</t>
        </is>
      </c>
      <c r="B68" t="inlineStr">
        <is>
          <t>PT13424</t>
        </is>
      </c>
      <c r="C68" t="inlineStr">
        <is>
          <t>PY05</t>
        </is>
      </c>
      <c r="D68" s="30" t="n">
        <v>45677</v>
      </c>
      <c r="E68" s="35" t="n">
        <v>4104.08</v>
      </c>
      <c r="F68" s="35" t="n">
        <v>1850.72</v>
      </c>
      <c r="G68" s="35" t="n">
        <v>1630.02</v>
      </c>
      <c r="H68" t="inlineStr">
        <is>
          <t>Paid</t>
        </is>
      </c>
    </row>
    <row r="69">
      <c r="A69" t="inlineStr">
        <is>
          <t>CLM511397</t>
        </is>
      </c>
      <c r="B69" t="inlineStr">
        <is>
          <t>PT12860</t>
        </is>
      </c>
      <c r="C69" t="inlineStr">
        <is>
          <t>PY07</t>
        </is>
      </c>
      <c r="D69" s="30" t="n">
        <v>45677</v>
      </c>
      <c r="E69" s="35" t="n">
        <v>1054.43</v>
      </c>
      <c r="F69" s="35" t="n">
        <v>399.64</v>
      </c>
      <c r="G69" s="35" t="n">
        <v>56.4</v>
      </c>
      <c r="H69" t="inlineStr">
        <is>
          <t>Partially Paid</t>
        </is>
      </c>
    </row>
    <row r="70">
      <c r="A70" t="inlineStr">
        <is>
          <t>CLM511413</t>
        </is>
      </c>
      <c r="B70" t="inlineStr">
        <is>
          <t>PT13218</t>
        </is>
      </c>
      <c r="C70" t="inlineStr">
        <is>
          <t>PY06</t>
        </is>
      </c>
      <c r="D70" s="30" t="n">
        <v>45681</v>
      </c>
      <c r="E70" s="35" t="n">
        <v>11966.9</v>
      </c>
      <c r="F70" s="35" t="n">
        <v>0</v>
      </c>
      <c r="G70" s="35" t="n">
        <v>0</v>
      </c>
      <c r="H70" t="inlineStr">
        <is>
          <t>Denied</t>
        </is>
      </c>
      <c r="I70" t="inlineStr">
        <is>
          <t>Medical Necessity</t>
        </is>
      </c>
    </row>
    <row r="71">
      <c r="A71" t="inlineStr">
        <is>
          <t>CLM511459</t>
        </is>
      </c>
      <c r="B71" t="inlineStr">
        <is>
          <t>PT13134</t>
        </is>
      </c>
      <c r="C71" t="inlineStr">
        <is>
          <t>PY05</t>
        </is>
      </c>
      <c r="D71" s="30" t="n">
        <v>45679</v>
      </c>
      <c r="E71" s="35" t="n">
        <v>759.89</v>
      </c>
      <c r="F71" s="35" t="n">
        <v>355.76</v>
      </c>
      <c r="G71" s="35" t="n">
        <v>290.7</v>
      </c>
      <c r="H71" t="inlineStr">
        <is>
          <t>Paid</t>
        </is>
      </c>
    </row>
    <row r="72">
      <c r="A72" t="inlineStr">
        <is>
          <t>CLM511460</t>
        </is>
      </c>
      <c r="B72" t="inlineStr">
        <is>
          <t>PT12636</t>
        </is>
      </c>
      <c r="C72" t="inlineStr">
        <is>
          <t>PY01</t>
        </is>
      </c>
      <c r="D72" s="30" t="n">
        <v>45679</v>
      </c>
      <c r="E72" s="35" t="n">
        <v>3294.5</v>
      </c>
      <c r="F72" s="35" t="n">
        <v>1056.94</v>
      </c>
      <c r="G72" s="35" t="n">
        <v>1006.47</v>
      </c>
      <c r="H72" t="inlineStr">
        <is>
          <t>Paid</t>
        </is>
      </c>
    </row>
    <row r="73">
      <c r="A73" t="inlineStr">
        <is>
          <t>CLM511474</t>
        </is>
      </c>
      <c r="B73" t="inlineStr">
        <is>
          <t>PT13408</t>
        </is>
      </c>
      <c r="C73" t="inlineStr">
        <is>
          <t>PY04</t>
        </is>
      </c>
      <c r="D73" s="30" t="n">
        <v>45679</v>
      </c>
      <c r="E73" s="35" t="n">
        <v>1686.79</v>
      </c>
      <c r="F73" s="35" t="n">
        <v>812.77</v>
      </c>
      <c r="G73" s="35" t="n">
        <v>743.86</v>
      </c>
      <c r="H73" t="inlineStr">
        <is>
          <t>Paid</t>
        </is>
      </c>
    </row>
    <row r="74">
      <c r="A74" t="inlineStr">
        <is>
          <t>CLM511476</t>
        </is>
      </c>
      <c r="B74" t="inlineStr">
        <is>
          <t>PT10681</t>
        </is>
      </c>
      <c r="C74" t="inlineStr">
        <is>
          <t>PY01</t>
        </is>
      </c>
      <c r="D74" s="30" t="n">
        <v>45682</v>
      </c>
      <c r="E74" s="35" t="n">
        <v>16840.92</v>
      </c>
      <c r="F74" s="35" t="n">
        <v>5374.13</v>
      </c>
      <c r="G74" s="35" t="n">
        <v>4413.52</v>
      </c>
      <c r="H74" t="inlineStr">
        <is>
          <t>Paid</t>
        </is>
      </c>
    </row>
    <row r="75">
      <c r="A75" t="inlineStr">
        <is>
          <t>CLM511495</t>
        </is>
      </c>
      <c r="B75" t="inlineStr">
        <is>
          <t>PT11372</t>
        </is>
      </c>
      <c r="C75" t="inlineStr">
        <is>
          <t>PY02</t>
        </is>
      </c>
      <c r="D75" s="30" t="n">
        <v>45684</v>
      </c>
      <c r="E75" s="35" t="n">
        <v>17354.07</v>
      </c>
      <c r="F75" s="35" t="n">
        <v>5539.37</v>
      </c>
      <c r="G75" s="35" t="n">
        <v>5316.88</v>
      </c>
      <c r="H75" t="inlineStr">
        <is>
          <t>Paid</t>
        </is>
      </c>
    </row>
    <row r="76">
      <c r="A76" t="inlineStr">
        <is>
          <t>CLM511497</t>
        </is>
      </c>
      <c r="B76" t="inlineStr">
        <is>
          <t>PT13090</t>
        </is>
      </c>
      <c r="C76" t="inlineStr">
        <is>
          <t>PY01</t>
        </is>
      </c>
      <c r="D76" s="30" t="n">
        <v>45686</v>
      </c>
      <c r="E76" s="35" t="n">
        <v>20563.38</v>
      </c>
      <c r="F76" s="35" t="n">
        <v>5775.93</v>
      </c>
      <c r="G76" s="35" t="n">
        <v>5181.48</v>
      </c>
      <c r="H76" t="inlineStr">
        <is>
          <t>Paid</t>
        </is>
      </c>
    </row>
    <row r="77">
      <c r="A77" t="inlineStr">
        <is>
          <t>CLM511501</t>
        </is>
      </c>
      <c r="B77" t="inlineStr">
        <is>
          <t>PT10510</t>
        </is>
      </c>
      <c r="C77" t="inlineStr">
        <is>
          <t>PY04</t>
        </is>
      </c>
      <c r="D77" s="30" t="n">
        <v>45681</v>
      </c>
      <c r="E77" s="35" t="n">
        <v>12220.96</v>
      </c>
      <c r="F77" s="35" t="n">
        <v>6214.89</v>
      </c>
      <c r="G77" s="35" t="n">
        <v>5647.66</v>
      </c>
      <c r="H77" t="inlineStr">
        <is>
          <t>Paid</t>
        </is>
      </c>
    </row>
    <row r="78">
      <c r="A78" t="inlineStr">
        <is>
          <t>CLM511507</t>
        </is>
      </c>
      <c r="B78" t="inlineStr">
        <is>
          <t>PT11068</t>
        </is>
      </c>
      <c r="C78" t="inlineStr">
        <is>
          <t>PY04</t>
        </is>
      </c>
      <c r="D78" s="30" t="n">
        <v>45680</v>
      </c>
      <c r="E78" s="35" t="n">
        <v>3253.76</v>
      </c>
      <c r="F78" s="35" t="n">
        <v>1670.44</v>
      </c>
      <c r="G78" s="35" t="n">
        <v>1418.06</v>
      </c>
      <c r="H78" t="inlineStr">
        <is>
          <t>Paid</t>
        </is>
      </c>
    </row>
    <row r="79">
      <c r="A79" t="inlineStr">
        <is>
          <t>CLM511542</t>
        </is>
      </c>
      <c r="B79" t="inlineStr">
        <is>
          <t>PT13619</t>
        </is>
      </c>
      <c r="C79" t="inlineStr">
        <is>
          <t>PY05</t>
        </is>
      </c>
      <c r="D79" s="30" t="n">
        <v>45681</v>
      </c>
      <c r="E79" s="35" t="n">
        <v>2292.55</v>
      </c>
      <c r="F79" s="35" t="n">
        <v>1196.2</v>
      </c>
      <c r="G79" s="35" t="n">
        <v>982.14</v>
      </c>
      <c r="H79" t="inlineStr">
        <is>
          <t>Paid</t>
        </is>
      </c>
    </row>
    <row r="80">
      <c r="A80" t="inlineStr">
        <is>
          <t>CLM511558</t>
        </is>
      </c>
      <c r="B80" t="inlineStr">
        <is>
          <t>PT13815</t>
        </is>
      </c>
      <c r="C80" t="inlineStr">
        <is>
          <t>PY06</t>
        </is>
      </c>
      <c r="D80" s="30" t="n">
        <v>45681</v>
      </c>
      <c r="E80" s="35" t="n">
        <v>1845.69</v>
      </c>
      <c r="F80" s="35" t="n">
        <v>1087.93</v>
      </c>
      <c r="G80" s="35" t="n">
        <v>909.23</v>
      </c>
      <c r="H80" t="inlineStr">
        <is>
          <t>Paid</t>
        </is>
      </c>
    </row>
    <row r="81">
      <c r="A81" t="inlineStr">
        <is>
          <t>CLM511582</t>
        </is>
      </c>
      <c r="B81" t="inlineStr">
        <is>
          <t>PT10893</t>
        </is>
      </c>
      <c r="C81" t="inlineStr">
        <is>
          <t>PY03</t>
        </is>
      </c>
      <c r="D81" s="30" t="n">
        <v>45682</v>
      </c>
      <c r="E81" s="35" t="n">
        <v>2804.8</v>
      </c>
      <c r="F81" s="35" t="n">
        <v>629.15</v>
      </c>
      <c r="G81" s="35" t="n">
        <v>629.15</v>
      </c>
      <c r="H81" t="inlineStr">
        <is>
          <t>Paid</t>
        </is>
      </c>
    </row>
    <row r="82">
      <c r="A82" t="inlineStr">
        <is>
          <t>CLM511583</t>
        </is>
      </c>
      <c r="B82" t="inlineStr">
        <is>
          <t>PT13479</t>
        </is>
      </c>
      <c r="C82" t="inlineStr">
        <is>
          <t>PY03</t>
        </is>
      </c>
      <c r="D82" s="30" t="n">
        <v>45682</v>
      </c>
      <c r="E82" s="35" t="n">
        <v>1050.37</v>
      </c>
      <c r="F82" s="35" t="n">
        <v>0</v>
      </c>
      <c r="G82" s="35" t="n">
        <v>0</v>
      </c>
      <c r="H82" t="inlineStr">
        <is>
          <t>Denied</t>
        </is>
      </c>
      <c r="I82" t="inlineStr">
        <is>
          <t>Authorization Required</t>
        </is>
      </c>
    </row>
    <row r="83">
      <c r="A83" t="inlineStr">
        <is>
          <t>CLM511592</t>
        </is>
      </c>
      <c r="B83" t="inlineStr">
        <is>
          <t>PT13384</t>
        </is>
      </c>
      <c r="C83" t="inlineStr">
        <is>
          <t>PY04</t>
        </is>
      </c>
      <c r="D83" s="30" t="n">
        <v>45682</v>
      </c>
      <c r="E83" s="35" t="n">
        <v>2875.25</v>
      </c>
      <c r="F83" s="35" t="n">
        <v>1434.66</v>
      </c>
      <c r="G83" s="35" t="n">
        <v>1238.26</v>
      </c>
      <c r="H83" t="inlineStr">
        <is>
          <t>Paid</t>
        </is>
      </c>
    </row>
    <row r="84">
      <c r="A84" t="inlineStr">
        <is>
          <t>CLM511594</t>
        </is>
      </c>
      <c r="B84" t="inlineStr">
        <is>
          <t>PT10719</t>
        </is>
      </c>
      <c r="C84" t="inlineStr">
        <is>
          <t>PY01</t>
        </is>
      </c>
      <c r="D84" s="30" t="n">
        <v>45682</v>
      </c>
      <c r="E84" s="35" t="n">
        <v>2543.82</v>
      </c>
      <c r="F84" s="35" t="n">
        <v>744.3200000000001</v>
      </c>
      <c r="G84" s="35" t="n">
        <v>701.24</v>
      </c>
      <c r="H84" t="inlineStr">
        <is>
          <t>Paid</t>
        </is>
      </c>
    </row>
    <row r="85">
      <c r="A85" t="inlineStr">
        <is>
          <t>CLM511603</t>
        </is>
      </c>
      <c r="B85" t="inlineStr">
        <is>
          <t>PT11597</t>
        </is>
      </c>
      <c r="C85" t="inlineStr">
        <is>
          <t>PY03</t>
        </is>
      </c>
      <c r="D85" s="30" t="n">
        <v>45682</v>
      </c>
      <c r="E85" s="35" t="n">
        <v>1876.68</v>
      </c>
      <c r="F85" s="35" t="n">
        <v>475.74</v>
      </c>
      <c r="G85" s="35" t="n">
        <v>475.74</v>
      </c>
      <c r="H85" t="inlineStr">
        <is>
          <t>Paid</t>
        </is>
      </c>
    </row>
    <row r="86">
      <c r="A86" t="inlineStr">
        <is>
          <t>CLM511612</t>
        </is>
      </c>
      <c r="B86" t="inlineStr">
        <is>
          <t>PT11327</t>
        </is>
      </c>
      <c r="C86" t="inlineStr">
        <is>
          <t>PY01</t>
        </is>
      </c>
      <c r="D86" s="30" t="n">
        <v>45689</v>
      </c>
      <c r="E86" s="35" t="n">
        <v>69681.38</v>
      </c>
      <c r="F86" s="35" t="n">
        <v>0</v>
      </c>
      <c r="G86" s="35" t="n">
        <v>0</v>
      </c>
      <c r="H86" t="inlineStr">
        <is>
          <t>Appealed</t>
        </is>
      </c>
      <c r="I86" t="inlineStr">
        <is>
          <t>Coding Error</t>
        </is>
      </c>
    </row>
    <row r="87">
      <c r="A87" t="inlineStr">
        <is>
          <t>CLM511618</t>
        </is>
      </c>
      <c r="B87" t="inlineStr">
        <is>
          <t>PT12770</t>
        </is>
      </c>
      <c r="C87" t="inlineStr">
        <is>
          <t>PY04</t>
        </is>
      </c>
      <c r="D87" s="30" t="n">
        <v>45691</v>
      </c>
      <c r="E87" s="35" t="n">
        <v>24212.86</v>
      </c>
      <c r="F87" s="35" t="n">
        <v>11803.57</v>
      </c>
      <c r="G87" s="35" t="n">
        <v>10444.47</v>
      </c>
      <c r="H87" t="inlineStr">
        <is>
          <t>Paid</t>
        </is>
      </c>
    </row>
    <row r="88">
      <c r="A88" t="inlineStr">
        <is>
          <t>CLM511621</t>
        </is>
      </c>
      <c r="B88" t="inlineStr">
        <is>
          <t>PT10266</t>
        </is>
      </c>
      <c r="C88" t="inlineStr">
        <is>
          <t>PY03</t>
        </is>
      </c>
      <c r="D88" s="30" t="n">
        <v>45683</v>
      </c>
      <c r="E88" s="35" t="n">
        <v>832.39</v>
      </c>
      <c r="F88" s="35" t="n">
        <v>206.89</v>
      </c>
      <c r="G88" s="35" t="n">
        <v>206.89</v>
      </c>
      <c r="H88" t="inlineStr">
        <is>
          <t>Paid</t>
        </is>
      </c>
    </row>
    <row r="89">
      <c r="A89" t="inlineStr">
        <is>
          <t>CLM511624</t>
        </is>
      </c>
      <c r="B89" t="inlineStr">
        <is>
          <t>PT12586</t>
        </is>
      </c>
      <c r="C89" t="inlineStr">
        <is>
          <t>PY06</t>
        </is>
      </c>
      <c r="D89" s="30" t="n">
        <v>45683</v>
      </c>
      <c r="E89" s="35" t="n">
        <v>3188.27</v>
      </c>
      <c r="F89" s="35" t="n">
        <v>1927.19</v>
      </c>
      <c r="G89" s="35" t="n">
        <v>1743.68</v>
      </c>
      <c r="H89" t="inlineStr">
        <is>
          <t>Paid</t>
        </is>
      </c>
    </row>
    <row r="90">
      <c r="A90" t="inlineStr">
        <is>
          <t>CLM511630</t>
        </is>
      </c>
      <c r="B90" t="inlineStr">
        <is>
          <t>PT10050</t>
        </is>
      </c>
      <c r="C90" t="inlineStr">
        <is>
          <t>PY04</t>
        </is>
      </c>
      <c r="D90" s="30" t="n">
        <v>45687</v>
      </c>
      <c r="E90" s="35" t="n">
        <v>23953.88</v>
      </c>
      <c r="F90" s="35" t="n">
        <v>13266.53</v>
      </c>
      <c r="G90" s="35" t="n">
        <v>12380.9</v>
      </c>
      <c r="H90" t="inlineStr">
        <is>
          <t>Paid</t>
        </is>
      </c>
    </row>
    <row r="91">
      <c r="A91" t="inlineStr">
        <is>
          <t>CLM511631</t>
        </is>
      </c>
      <c r="B91" t="inlineStr">
        <is>
          <t>PT13237</t>
        </is>
      </c>
      <c r="C91" t="inlineStr">
        <is>
          <t>PY01</t>
        </is>
      </c>
      <c r="D91" s="30" t="n">
        <v>45683</v>
      </c>
      <c r="E91" s="35" t="n">
        <v>1870.66</v>
      </c>
      <c r="F91" s="35" t="n">
        <v>580.1900000000001</v>
      </c>
      <c r="G91" s="35" t="n">
        <v>503.09</v>
      </c>
      <c r="H91" t="inlineStr">
        <is>
          <t>Paid</t>
        </is>
      </c>
    </row>
    <row r="92">
      <c r="A92" t="inlineStr">
        <is>
          <t>CLM511652</t>
        </is>
      </c>
      <c r="B92" t="inlineStr">
        <is>
          <t>PT10855</t>
        </is>
      </c>
      <c r="C92" t="inlineStr">
        <is>
          <t>PY01</t>
        </is>
      </c>
      <c r="D92" s="30" t="n">
        <v>45684</v>
      </c>
      <c r="E92" s="35" t="n">
        <v>2838.63</v>
      </c>
      <c r="F92" s="35" t="n">
        <v>875.96</v>
      </c>
      <c r="G92" s="35" t="n">
        <v>520.74</v>
      </c>
      <c r="H92" t="inlineStr">
        <is>
          <t>Partially Paid</t>
        </is>
      </c>
      <c r="I92" t="inlineStr">
        <is>
          <t>Missing Documentation</t>
        </is>
      </c>
    </row>
    <row r="93">
      <c r="A93" t="inlineStr">
        <is>
          <t>CLM511656</t>
        </is>
      </c>
      <c r="B93" t="inlineStr">
        <is>
          <t>PT10194</t>
        </is>
      </c>
      <c r="C93" t="inlineStr">
        <is>
          <t>PY06</t>
        </is>
      </c>
      <c r="D93" s="30" t="n">
        <v>45687</v>
      </c>
      <c r="E93" s="35" t="n">
        <v>24848.07</v>
      </c>
      <c r="F93" s="35" t="n">
        <v>12815.67</v>
      </c>
      <c r="G93" s="35" t="n">
        <v>12394.95</v>
      </c>
      <c r="H93" t="inlineStr">
        <is>
          <t>Paid</t>
        </is>
      </c>
    </row>
    <row r="94">
      <c r="A94" t="inlineStr">
        <is>
          <t>CLM511686</t>
        </is>
      </c>
      <c r="B94" t="inlineStr">
        <is>
          <t>PT11448</t>
        </is>
      </c>
      <c r="C94" t="inlineStr">
        <is>
          <t>PY01</t>
        </is>
      </c>
      <c r="D94" s="30" t="n">
        <v>45685</v>
      </c>
      <c r="E94" s="35" t="n">
        <v>1351.53</v>
      </c>
      <c r="F94" s="35" t="n">
        <v>398.12</v>
      </c>
      <c r="G94" s="35" t="n">
        <v>333.84</v>
      </c>
      <c r="H94" t="inlineStr">
        <is>
          <t>Paid</t>
        </is>
      </c>
    </row>
    <row r="95">
      <c r="A95" t="inlineStr">
        <is>
          <t>CLM511687</t>
        </is>
      </c>
      <c r="B95" t="inlineStr">
        <is>
          <t>PT12426</t>
        </is>
      </c>
      <c r="C95" t="inlineStr">
        <is>
          <t>PY01</t>
        </is>
      </c>
      <c r="D95" s="30" t="n">
        <v>45686</v>
      </c>
      <c r="E95" s="35" t="n">
        <v>51143.57</v>
      </c>
      <c r="F95" s="35" t="n">
        <v>18273.87</v>
      </c>
      <c r="G95" s="35" t="n">
        <v>16357.98</v>
      </c>
      <c r="H95" t="inlineStr">
        <is>
          <t>Paid</t>
        </is>
      </c>
    </row>
    <row r="96">
      <c r="A96" t="inlineStr">
        <is>
          <t>CLM511697</t>
        </is>
      </c>
      <c r="B96" t="inlineStr">
        <is>
          <t>PT12826</t>
        </is>
      </c>
      <c r="C96" t="inlineStr">
        <is>
          <t>PY01</t>
        </is>
      </c>
      <c r="D96" s="30" t="n">
        <v>45689</v>
      </c>
      <c r="E96" s="35" t="n">
        <v>25816.06</v>
      </c>
      <c r="F96" s="35" t="n">
        <v>7140.17</v>
      </c>
      <c r="G96" s="35" t="n">
        <v>6517.49</v>
      </c>
      <c r="H96" t="inlineStr">
        <is>
          <t>Paid</t>
        </is>
      </c>
    </row>
    <row r="97">
      <c r="A97" t="inlineStr">
        <is>
          <t>CLM511709</t>
        </is>
      </c>
      <c r="B97" t="inlineStr">
        <is>
          <t>PT11707</t>
        </is>
      </c>
      <c r="C97" t="inlineStr">
        <is>
          <t>PY03</t>
        </is>
      </c>
      <c r="D97" s="30" t="n">
        <v>45685</v>
      </c>
      <c r="E97" s="35" t="n">
        <v>4665.51</v>
      </c>
      <c r="F97" s="35" t="n">
        <v>1110.35</v>
      </c>
      <c r="G97" s="35" t="n">
        <v>975.42</v>
      </c>
      <c r="H97" t="inlineStr">
        <is>
          <t>Partially Paid</t>
        </is>
      </c>
      <c r="I97" t="inlineStr">
        <is>
          <t>Medical Necessity</t>
        </is>
      </c>
    </row>
    <row r="98">
      <c r="A98" t="inlineStr">
        <is>
          <t>CLM511714</t>
        </is>
      </c>
      <c r="B98" t="inlineStr">
        <is>
          <t>PT12444</t>
        </is>
      </c>
      <c r="C98" t="inlineStr">
        <is>
          <t>PY04</t>
        </is>
      </c>
      <c r="D98" s="30" t="n">
        <v>45685</v>
      </c>
      <c r="E98" s="35" t="n">
        <v>1465.18</v>
      </c>
      <c r="F98" s="35" t="n">
        <v>788.89</v>
      </c>
      <c r="G98" s="35" t="n">
        <v>701.02</v>
      </c>
      <c r="H98" t="inlineStr">
        <is>
          <t>Paid</t>
        </is>
      </c>
    </row>
    <row r="99">
      <c r="A99" t="inlineStr">
        <is>
          <t>CLM511716</t>
        </is>
      </c>
      <c r="B99" t="inlineStr">
        <is>
          <t>PT12506</t>
        </is>
      </c>
      <c r="C99" t="inlineStr">
        <is>
          <t>PY06</t>
        </is>
      </c>
      <c r="D99" s="30" t="n">
        <v>45692</v>
      </c>
      <c r="E99" s="35" t="n">
        <v>63375.32</v>
      </c>
      <c r="F99" s="35" t="n">
        <v>32388.47</v>
      </c>
      <c r="G99" s="35" t="n">
        <v>28615.4</v>
      </c>
      <c r="H99" t="inlineStr">
        <is>
          <t>Paid</t>
        </is>
      </c>
    </row>
    <row r="100">
      <c r="A100" t="inlineStr">
        <is>
          <t>CLM511726</t>
        </is>
      </c>
      <c r="B100" t="inlineStr">
        <is>
          <t>PT10074</t>
        </is>
      </c>
      <c r="C100" t="inlineStr">
        <is>
          <t>PY02</t>
        </is>
      </c>
      <c r="D100" s="30" t="n">
        <v>45687</v>
      </c>
      <c r="E100" s="35" t="n">
        <v>30637.65</v>
      </c>
      <c r="F100" s="35" t="n">
        <v>9436.65</v>
      </c>
      <c r="G100" s="35" t="n">
        <v>9216.360000000001</v>
      </c>
      <c r="H100" t="inlineStr">
        <is>
          <t>Paid</t>
        </is>
      </c>
    </row>
    <row r="101">
      <c r="A101" t="inlineStr">
        <is>
          <t>CLM511737</t>
        </is>
      </c>
      <c r="B101" t="inlineStr">
        <is>
          <t>PT10906</t>
        </is>
      </c>
      <c r="C101" t="inlineStr">
        <is>
          <t>PY04</t>
        </is>
      </c>
      <c r="D101" s="30" t="n">
        <v>45688</v>
      </c>
      <c r="E101" s="35" t="n">
        <v>52054.49</v>
      </c>
      <c r="F101" s="35" t="n">
        <v>25286.7</v>
      </c>
      <c r="G101" s="35" t="n">
        <v>25116.51</v>
      </c>
      <c r="H101" t="inlineStr">
        <is>
          <t>Paid</t>
        </is>
      </c>
    </row>
    <row r="102">
      <c r="A102" t="inlineStr">
        <is>
          <t>CLM511742</t>
        </is>
      </c>
      <c r="B102" t="inlineStr">
        <is>
          <t>PT13311</t>
        </is>
      </c>
      <c r="C102" t="inlineStr">
        <is>
          <t>PY03</t>
        </is>
      </c>
      <c r="D102" s="30" t="n">
        <v>45696</v>
      </c>
      <c r="E102" s="35" t="inlineStr">
        <is>
          <t>N/A</t>
        </is>
      </c>
      <c r="F102" s="35" t="n">
        <v>9382.040000000001</v>
      </c>
      <c r="G102" s="35" t="n">
        <v>9382.040000000001</v>
      </c>
      <c r="H102" t="inlineStr">
        <is>
          <t>Paid</t>
        </is>
      </c>
    </row>
    <row r="103">
      <c r="A103" t="inlineStr">
        <is>
          <t>CLM511750</t>
        </is>
      </c>
      <c r="B103" t="inlineStr">
        <is>
          <t>PT12121</t>
        </is>
      </c>
      <c r="C103" t="inlineStr">
        <is>
          <t>PY03</t>
        </is>
      </c>
      <c r="D103" s="30" t="n">
        <v>45686</v>
      </c>
      <c r="E103" s="35" t="n">
        <v>3921.43</v>
      </c>
      <c r="F103" s="35" t="n">
        <v>987.8</v>
      </c>
      <c r="G103" s="35" t="n">
        <v>761.55</v>
      </c>
      <c r="H103" t="inlineStr">
        <is>
          <t>Partially Paid</t>
        </is>
      </c>
      <c r="I103" t="inlineStr">
        <is>
          <t>Coding Error</t>
        </is>
      </c>
    </row>
    <row r="104">
      <c r="A104" t="inlineStr">
        <is>
          <t>CLM511751</t>
        </is>
      </c>
      <c r="B104" t="inlineStr">
        <is>
          <t>PT12984</t>
        </is>
      </c>
      <c r="C104" t="inlineStr">
        <is>
          <t>PY07</t>
        </is>
      </c>
      <c r="D104" s="30" t="n">
        <v>45686</v>
      </c>
      <c r="E104" s="35" t="n">
        <v>3918.95</v>
      </c>
      <c r="F104" s="35" t="n">
        <v>1711.13</v>
      </c>
      <c r="G104" s="35" t="n">
        <v>0</v>
      </c>
      <c r="H104" t="inlineStr">
        <is>
          <t>Pending</t>
        </is>
      </c>
    </row>
    <row r="105">
      <c r="A105" t="inlineStr">
        <is>
          <t>CLM511752</t>
        </is>
      </c>
      <c r="B105" t="inlineStr">
        <is>
          <t>PT10840</t>
        </is>
      </c>
      <c r="C105" t="inlineStr">
        <is>
          <t>PY01</t>
        </is>
      </c>
      <c r="D105" s="30" t="n">
        <v>45686</v>
      </c>
      <c r="E105" s="35" t="n">
        <v>2292.32</v>
      </c>
      <c r="F105" s="35" t="n">
        <v>719.9400000000001</v>
      </c>
      <c r="G105" s="35" t="n">
        <v>631.96</v>
      </c>
      <c r="H105" t="inlineStr">
        <is>
          <t>Paid</t>
        </is>
      </c>
    </row>
    <row r="106">
      <c r="A106" t="inlineStr">
        <is>
          <t>CLM511788</t>
        </is>
      </c>
      <c r="B106" t="inlineStr">
        <is>
          <t>PT12979</t>
        </is>
      </c>
      <c r="C106" t="inlineStr">
        <is>
          <t>PY03</t>
        </is>
      </c>
      <c r="D106" s="30" t="n">
        <v>45687</v>
      </c>
      <c r="E106" s="35" t="n">
        <v>5010.01</v>
      </c>
      <c r="F106" s="35" t="n">
        <v>1277.38</v>
      </c>
      <c r="G106" s="35" t="n">
        <v>1277.38</v>
      </c>
      <c r="H106" t="inlineStr">
        <is>
          <t>Paid</t>
        </is>
      </c>
    </row>
    <row r="107">
      <c r="A107" t="inlineStr">
        <is>
          <t>CLM511798</t>
        </is>
      </c>
      <c r="B107" t="inlineStr">
        <is>
          <t>PT12058</t>
        </is>
      </c>
      <c r="C107" t="inlineStr">
        <is>
          <t>PY01</t>
        </is>
      </c>
      <c r="D107" s="30" t="n">
        <v>45689</v>
      </c>
      <c r="E107" s="35" t="n">
        <v>12882.04</v>
      </c>
      <c r="F107" s="35" t="n">
        <v>4206.85</v>
      </c>
      <c r="G107" s="35" t="n">
        <v>3887.22</v>
      </c>
      <c r="H107" t="inlineStr">
        <is>
          <t>Paid</t>
        </is>
      </c>
    </row>
    <row r="108">
      <c r="A108" t="inlineStr">
        <is>
          <t>CLM511866</t>
        </is>
      </c>
      <c r="B108" t="inlineStr">
        <is>
          <t>PT12469</t>
        </is>
      </c>
      <c r="C108" t="inlineStr">
        <is>
          <t>PY01</t>
        </is>
      </c>
      <c r="D108" s="30" t="n">
        <v>45690</v>
      </c>
      <c r="E108" s="35" t="n">
        <v>8597.67</v>
      </c>
      <c r="F108" s="35" t="n">
        <v>2808.71</v>
      </c>
      <c r="G108" s="35" t="n">
        <v>2468.87</v>
      </c>
      <c r="H108" t="inlineStr">
        <is>
          <t>Paid</t>
        </is>
      </c>
    </row>
    <row r="109">
      <c r="A109" t="inlineStr">
        <is>
          <t>CLM511875</t>
        </is>
      </c>
      <c r="B109" t="inlineStr">
        <is>
          <t>PT11288</t>
        </is>
      </c>
      <c r="C109" t="inlineStr">
        <is>
          <t>PY03</t>
        </is>
      </c>
      <c r="D109" s="30" t="n">
        <v>45691</v>
      </c>
      <c r="E109" s="35" t="n">
        <v>7302.48</v>
      </c>
      <c r="F109" s="35" t="n">
        <v>1659.26</v>
      </c>
      <c r="G109" s="35" t="n">
        <v>1659.26</v>
      </c>
      <c r="H109" t="inlineStr">
        <is>
          <t>Paid</t>
        </is>
      </c>
    </row>
    <row r="110">
      <c r="A110" t="inlineStr">
        <is>
          <t>CLM511880</t>
        </is>
      </c>
      <c r="B110" t="inlineStr">
        <is>
          <t>PT10252</t>
        </is>
      </c>
      <c r="C110" t="inlineStr">
        <is>
          <t>PY05</t>
        </is>
      </c>
      <c r="D110" s="30" t="n">
        <v>45703</v>
      </c>
      <c r="E110" s="35" t="n">
        <v>100929.04</v>
      </c>
      <c r="F110" s="35" t="n">
        <v>47315.78</v>
      </c>
      <c r="G110" s="35" t="n">
        <v>43283.65</v>
      </c>
      <c r="H110" t="inlineStr">
        <is>
          <t>Paid</t>
        </is>
      </c>
    </row>
    <row r="111">
      <c r="A111" t="inlineStr">
        <is>
          <t>CLM511881</t>
        </is>
      </c>
      <c r="B111" t="inlineStr">
        <is>
          <t>PT11805</t>
        </is>
      </c>
      <c r="C111" t="inlineStr">
        <is>
          <t>PY07</t>
        </is>
      </c>
      <c r="D111" s="30" t="n">
        <v>45690</v>
      </c>
      <c r="E111" s="35" t="n">
        <v>6908.58</v>
      </c>
      <c r="F111" s="35" t="n">
        <v>2769.51</v>
      </c>
      <c r="G111" s="35" t="n">
        <v>0</v>
      </c>
      <c r="H111" t="inlineStr">
        <is>
          <t>Pending</t>
        </is>
      </c>
    </row>
    <row r="112">
      <c r="A112" t="inlineStr">
        <is>
          <t>CLM511890</t>
        </is>
      </c>
      <c r="B112" t="inlineStr">
        <is>
          <t>PT13309</t>
        </is>
      </c>
      <c r="C112" t="inlineStr">
        <is>
          <t>PY02</t>
        </is>
      </c>
      <c r="D112" s="30" t="n">
        <v>45690</v>
      </c>
      <c r="E112" s="35" t="n">
        <v>861.75</v>
      </c>
      <c r="F112" s="35" t="n">
        <v>253.63</v>
      </c>
      <c r="G112" s="35" t="n">
        <v>247.07</v>
      </c>
      <c r="H112" t="inlineStr">
        <is>
          <t>Paid</t>
        </is>
      </c>
    </row>
    <row r="113">
      <c r="A113" t="inlineStr">
        <is>
          <t>CLM511892</t>
        </is>
      </c>
      <c r="B113" t="inlineStr">
        <is>
          <t>PT13304</t>
        </is>
      </c>
      <c r="C113" t="inlineStr">
        <is>
          <t>PY05</t>
        </is>
      </c>
      <c r="D113" s="30" t="n">
        <v>45694</v>
      </c>
      <c r="E113" s="35" t="n">
        <v>21672.2</v>
      </c>
      <c r="F113" s="35" t="n">
        <v>10450.4</v>
      </c>
      <c r="G113" s="35" t="n">
        <v>9296.860000000001</v>
      </c>
      <c r="H113" t="inlineStr">
        <is>
          <t>Paid</t>
        </is>
      </c>
    </row>
    <row r="114">
      <c r="A114" t="inlineStr">
        <is>
          <t>CLM511895</t>
        </is>
      </c>
      <c r="B114" t="inlineStr">
        <is>
          <t>PT12081</t>
        </is>
      </c>
      <c r="C114" t="inlineStr">
        <is>
          <t>PY01</t>
        </is>
      </c>
      <c r="D114" s="30" t="n">
        <v>45690</v>
      </c>
      <c r="E114" s="35" t="n">
        <v>869.54</v>
      </c>
      <c r="F114" s="35" t="n">
        <v>268.23</v>
      </c>
      <c r="G114" s="35" t="n">
        <v>246.96</v>
      </c>
      <c r="H114" t="inlineStr">
        <is>
          <t>Paid</t>
        </is>
      </c>
    </row>
    <row r="115">
      <c r="A115" t="inlineStr">
        <is>
          <t>CLM511918</t>
        </is>
      </c>
      <c r="B115" t="inlineStr">
        <is>
          <t>PT10979</t>
        </is>
      </c>
      <c r="C115" t="inlineStr">
        <is>
          <t>PY04</t>
        </is>
      </c>
      <c r="D115" s="30" t="n">
        <v>45697</v>
      </c>
      <c r="E115" s="35" t="n">
        <v>59377.67</v>
      </c>
      <c r="F115" s="35" t="n">
        <v>28897.68</v>
      </c>
      <c r="G115" s="35" t="n">
        <v>28521.85</v>
      </c>
      <c r="H115" t="inlineStr">
        <is>
          <t>Paid</t>
        </is>
      </c>
    </row>
    <row r="116">
      <c r="A116" t="inlineStr">
        <is>
          <t>CLM511920</t>
        </is>
      </c>
      <c r="B116" t="inlineStr">
        <is>
          <t>PT10660</t>
        </is>
      </c>
      <c r="C116" t="inlineStr">
        <is>
          <t>PY03</t>
        </is>
      </c>
      <c r="D116" s="30" t="n">
        <v>45693</v>
      </c>
      <c r="E116" s="35" t="n">
        <v>11019.73</v>
      </c>
      <c r="F116" s="35" t="n">
        <v>2420.62</v>
      </c>
      <c r="G116" s="35" t="n">
        <v>2420.62</v>
      </c>
      <c r="H116" t="inlineStr">
        <is>
          <t>Paid</t>
        </is>
      </c>
    </row>
    <row r="117">
      <c r="A117" t="inlineStr">
        <is>
          <t>CLM511921</t>
        </is>
      </c>
      <c r="B117" t="inlineStr">
        <is>
          <t>PT10755</t>
        </is>
      </c>
      <c r="C117" t="inlineStr">
        <is>
          <t>PY04</t>
        </is>
      </c>
      <c r="D117" s="30" t="n">
        <v>45694</v>
      </c>
      <c r="E117" s="35" t="n">
        <v>20304.21</v>
      </c>
      <c r="F117" s="35" t="n">
        <v>8963.860000000001</v>
      </c>
      <c r="G117" s="35" t="n">
        <v>7399.27</v>
      </c>
      <c r="H117" t="inlineStr">
        <is>
          <t>Paid</t>
        </is>
      </c>
    </row>
    <row r="118">
      <c r="A118" t="inlineStr">
        <is>
          <t>CLM511939</t>
        </is>
      </c>
      <c r="B118" t="inlineStr">
        <is>
          <t>PT12141</t>
        </is>
      </c>
      <c r="C118" t="inlineStr">
        <is>
          <t>PY05</t>
        </is>
      </c>
      <c r="D118" s="30" t="n">
        <v>45695</v>
      </c>
      <c r="E118" s="35" t="n">
        <v>19094.89</v>
      </c>
      <c r="F118" s="35" t="n">
        <v>9002.870000000001</v>
      </c>
      <c r="G118" s="35" t="n">
        <v>8632.65</v>
      </c>
      <c r="H118" t="inlineStr">
        <is>
          <t>Paid</t>
        </is>
      </c>
    </row>
    <row r="119">
      <c r="A119" t="inlineStr">
        <is>
          <t>CLM511942</t>
        </is>
      </c>
      <c r="B119" t="inlineStr">
        <is>
          <t>PT12513</t>
        </is>
      </c>
      <c r="C119" t="inlineStr">
        <is>
          <t>PY02</t>
        </is>
      </c>
      <c r="D119" s="30" t="n">
        <v>45699</v>
      </c>
      <c r="E119" s="35" t="n">
        <v>24839.77</v>
      </c>
      <c r="F119" s="35" t="n">
        <v>0</v>
      </c>
      <c r="G119" s="35" t="n">
        <v>0</v>
      </c>
      <c r="H119" t="inlineStr">
        <is>
          <t>Appealed</t>
        </is>
      </c>
      <c r="I119" t="inlineStr">
        <is>
          <t>Medical Necessity</t>
        </is>
      </c>
    </row>
    <row r="120">
      <c r="A120" t="inlineStr">
        <is>
          <t>CLM511946</t>
        </is>
      </c>
      <c r="B120" t="inlineStr">
        <is>
          <t>PT11473</t>
        </is>
      </c>
      <c r="C120" t="inlineStr">
        <is>
          <t>PY07</t>
        </is>
      </c>
      <c r="D120" s="30" t="n">
        <v>45692</v>
      </c>
      <c r="E120" s="35" t="n">
        <v>2479.84</v>
      </c>
      <c r="F120" s="35" t="n">
        <v>1035.16</v>
      </c>
      <c r="G120" s="35" t="n">
        <v>0</v>
      </c>
      <c r="H120" t="inlineStr">
        <is>
          <t>Pending</t>
        </is>
      </c>
    </row>
    <row r="121">
      <c r="A121" t="inlineStr">
        <is>
          <t>CLM511950</t>
        </is>
      </c>
      <c r="B121" t="inlineStr">
        <is>
          <t>PT13346</t>
        </is>
      </c>
      <c r="C121" t="inlineStr">
        <is>
          <t>PY06</t>
        </is>
      </c>
      <c r="D121" s="30" t="n">
        <v>45693</v>
      </c>
      <c r="E121" s="35" t="n">
        <v>6938.38</v>
      </c>
      <c r="F121" s="35" t="n">
        <v>4015.25</v>
      </c>
      <c r="G121" s="35" t="n">
        <v>3764.71</v>
      </c>
      <c r="H121" t="inlineStr">
        <is>
          <t>Paid</t>
        </is>
      </c>
    </row>
    <row r="122">
      <c r="A122" t="inlineStr">
        <is>
          <t>CLM511971</t>
        </is>
      </c>
      <c r="B122" t="inlineStr">
        <is>
          <t>PT11194</t>
        </is>
      </c>
      <c r="C122" t="inlineStr">
        <is>
          <t>PY01</t>
        </is>
      </c>
      <c r="D122" s="30" t="n">
        <v>45693</v>
      </c>
      <c r="E122" s="35" t="n">
        <v>10434.15</v>
      </c>
      <c r="F122" s="35" t="n">
        <v>3244.72</v>
      </c>
      <c r="G122" s="35" t="n">
        <v>2792.93</v>
      </c>
      <c r="H122" t="inlineStr">
        <is>
          <t>Paid</t>
        </is>
      </c>
    </row>
    <row r="123">
      <c r="A123" t="inlineStr">
        <is>
          <t>CLM511984</t>
        </is>
      </c>
      <c r="B123" t="inlineStr">
        <is>
          <t>PT13628</t>
        </is>
      </c>
      <c r="C123" t="inlineStr">
        <is>
          <t>PY07</t>
        </is>
      </c>
      <c r="D123" s="30" t="n">
        <v>45697</v>
      </c>
      <c r="E123" s="35" t="n">
        <v>26528.65</v>
      </c>
      <c r="F123" s="35" t="n">
        <v>10545.63</v>
      </c>
      <c r="G123" s="35" t="n">
        <v>0</v>
      </c>
      <c r="H123" t="inlineStr">
        <is>
          <t>Pending</t>
        </is>
      </c>
    </row>
    <row r="124">
      <c r="A124" t="inlineStr">
        <is>
          <t>CLM511991</t>
        </is>
      </c>
      <c r="B124" t="inlineStr">
        <is>
          <t>PT12542</t>
        </is>
      </c>
      <c r="C124" t="inlineStr">
        <is>
          <t>PY01</t>
        </is>
      </c>
      <c r="D124" s="30" t="n">
        <v>45693</v>
      </c>
      <c r="E124" s="35" t="n">
        <v>968.67</v>
      </c>
      <c r="F124" s="35" t="n">
        <v>304.14</v>
      </c>
      <c r="G124" s="35" t="n">
        <v>198.42</v>
      </c>
      <c r="H124" t="inlineStr">
        <is>
          <t>Partially Paid</t>
        </is>
      </c>
      <c r="I124" t="inlineStr">
        <is>
          <t>Coding Error</t>
        </is>
      </c>
    </row>
    <row r="125">
      <c r="A125" t="inlineStr">
        <is>
          <t>CLM511998</t>
        </is>
      </c>
      <c r="B125" t="inlineStr">
        <is>
          <t>PT10471</t>
        </is>
      </c>
      <c r="C125" t="inlineStr">
        <is>
          <t>PY05</t>
        </is>
      </c>
      <c r="D125" s="30" t="n">
        <v>45697</v>
      </c>
      <c r="E125" s="35" t="n">
        <v>16331.88</v>
      </c>
      <c r="F125" s="35" t="n">
        <v>7781.83</v>
      </c>
      <c r="G125" s="35" t="n">
        <v>7119.49</v>
      </c>
      <c r="H125" t="inlineStr">
        <is>
          <t>Paid</t>
        </is>
      </c>
    </row>
    <row r="126">
      <c r="A126" t="inlineStr">
        <is>
          <t>CLM512043</t>
        </is>
      </c>
      <c r="B126" t="inlineStr">
        <is>
          <t>PT10644</t>
        </is>
      </c>
      <c r="C126" t="inlineStr">
        <is>
          <t>PY01</t>
        </is>
      </c>
      <c r="D126" s="30" t="n">
        <v>45700</v>
      </c>
      <c r="E126" s="35" t="n">
        <v>29320.53</v>
      </c>
      <c r="F126" s="35" t="n">
        <v>8813.719999999999</v>
      </c>
      <c r="G126" s="35" t="n">
        <v>7573.23</v>
      </c>
      <c r="H126" t="inlineStr">
        <is>
          <t>Paid</t>
        </is>
      </c>
    </row>
    <row r="127">
      <c r="A127" t="inlineStr">
        <is>
          <t>CLM512048</t>
        </is>
      </c>
      <c r="B127" t="inlineStr">
        <is>
          <t>PT11625</t>
        </is>
      </c>
      <c r="C127" t="inlineStr">
        <is>
          <t>PY03</t>
        </is>
      </c>
      <c r="D127" s="30" t="n">
        <v>45694</v>
      </c>
      <c r="E127" s="35" t="n">
        <v>4061.42</v>
      </c>
      <c r="F127" s="35" t="n">
        <v>953.41</v>
      </c>
      <c r="G127" s="35" t="n">
        <v>953.41</v>
      </c>
      <c r="H127" t="inlineStr">
        <is>
          <t>Paid</t>
        </is>
      </c>
    </row>
    <row r="128">
      <c r="A128" t="inlineStr">
        <is>
          <t>CLM512058</t>
        </is>
      </c>
      <c r="B128" t="inlineStr">
        <is>
          <t>PT13136</t>
        </is>
      </c>
      <c r="C128" t="inlineStr">
        <is>
          <t>PY01</t>
        </is>
      </c>
      <c r="D128" s="30" t="n">
        <v>45694</v>
      </c>
      <c r="E128" s="35" t="n">
        <v>929.05</v>
      </c>
      <c r="F128" s="35" t="n">
        <v>299.2</v>
      </c>
      <c r="G128" s="35" t="n">
        <v>270.23</v>
      </c>
      <c r="H128" t="inlineStr">
        <is>
          <t>Paid</t>
        </is>
      </c>
    </row>
    <row r="129">
      <c r="A129" t="inlineStr">
        <is>
          <t>CLM512059</t>
        </is>
      </c>
      <c r="B129" t="inlineStr">
        <is>
          <t>PT12478</t>
        </is>
      </c>
      <c r="C129" t="inlineStr">
        <is>
          <t>PY01</t>
        </is>
      </c>
      <c r="D129" s="30" t="n">
        <v>45694</v>
      </c>
      <c r="E129" s="35" t="n">
        <v>3419.22</v>
      </c>
      <c r="F129" s="35" t="n">
        <v>1008.77</v>
      </c>
      <c r="G129" s="35" t="n">
        <v>910.6900000000001</v>
      </c>
      <c r="H129" t="inlineStr">
        <is>
          <t>Paid</t>
        </is>
      </c>
    </row>
    <row r="130">
      <c r="A130" t="inlineStr">
        <is>
          <t>CLM512060</t>
        </is>
      </c>
      <c r="B130" t="inlineStr">
        <is>
          <t>PT12703</t>
        </is>
      </c>
      <c r="C130" t="inlineStr">
        <is>
          <t>PY02</t>
        </is>
      </c>
      <c r="D130" s="30" t="n">
        <v>45696</v>
      </c>
      <c r="E130" s="35" t="n">
        <v>11034.93</v>
      </c>
      <c r="F130" s="35" t="n">
        <v>3325.98</v>
      </c>
      <c r="G130" s="35" t="n">
        <v>3089.89</v>
      </c>
      <c r="H130" t="inlineStr">
        <is>
          <t>Paid</t>
        </is>
      </c>
    </row>
    <row r="131">
      <c r="A131" t="inlineStr">
        <is>
          <t>CLM512081</t>
        </is>
      </c>
      <c r="B131" t="inlineStr">
        <is>
          <t>PT10253</t>
        </is>
      </c>
      <c r="C131" t="inlineStr">
        <is>
          <t>PY03</t>
        </is>
      </c>
      <c r="D131" s="30" t="n">
        <v>45695</v>
      </c>
      <c r="E131" s="35" t="n">
        <v>623.87</v>
      </c>
      <c r="F131" s="35" t="n">
        <v>144.72</v>
      </c>
      <c r="G131" s="35" t="n">
        <v>144.72</v>
      </c>
      <c r="H131" t="inlineStr">
        <is>
          <t>Paid</t>
        </is>
      </c>
    </row>
    <row r="132">
      <c r="A132" t="inlineStr">
        <is>
          <t>CLM512083</t>
        </is>
      </c>
      <c r="B132" t="inlineStr">
        <is>
          <t>PT10032</t>
        </is>
      </c>
      <c r="C132" t="inlineStr">
        <is>
          <t>PY03</t>
        </is>
      </c>
      <c r="D132" s="30" t="n">
        <v>45699</v>
      </c>
      <c r="E132" s="35" t="n">
        <v>18730.23</v>
      </c>
      <c r="F132" s="35" t="n">
        <v>4125.39</v>
      </c>
      <c r="G132" s="35" t="n">
        <v>4125.39</v>
      </c>
      <c r="H132" t="inlineStr">
        <is>
          <t>Paid</t>
        </is>
      </c>
    </row>
    <row r="133">
      <c r="A133" t="inlineStr">
        <is>
          <t>CLM512086</t>
        </is>
      </c>
      <c r="B133" t="inlineStr">
        <is>
          <t>PT10676</t>
        </is>
      </c>
      <c r="C133" t="inlineStr">
        <is>
          <t>PY01</t>
        </is>
      </c>
      <c r="D133" s="30" t="n">
        <v>45698</v>
      </c>
      <c r="E133" s="35" t="n">
        <v>65582.95</v>
      </c>
      <c r="F133" s="35" t="n">
        <v>20932.79</v>
      </c>
      <c r="G133" s="35" t="n">
        <v>18488.16</v>
      </c>
      <c r="H133" t="inlineStr">
        <is>
          <t>Paid</t>
        </is>
      </c>
    </row>
    <row r="134">
      <c r="A134" t="inlineStr">
        <is>
          <t>CLM512087</t>
        </is>
      </c>
      <c r="B134" t="inlineStr">
        <is>
          <t>PT11751</t>
        </is>
      </c>
      <c r="C134" t="inlineStr">
        <is>
          <t>PY03</t>
        </is>
      </c>
      <c r="D134" s="30" t="n">
        <v>45695</v>
      </c>
      <c r="E134" s="35" t="n">
        <v>1338.51</v>
      </c>
      <c r="F134" s="35" t="n">
        <v>321.1</v>
      </c>
      <c r="G134" s="35" t="n">
        <v>321.1</v>
      </c>
      <c r="H134" t="inlineStr">
        <is>
          <t>Paid</t>
        </is>
      </c>
    </row>
    <row r="135">
      <c r="A135" t="inlineStr">
        <is>
          <t>CLM512095</t>
        </is>
      </c>
      <c r="B135" t="inlineStr">
        <is>
          <t>PT12138</t>
        </is>
      </c>
      <c r="C135" t="inlineStr">
        <is>
          <t>PY01</t>
        </is>
      </c>
      <c r="D135" s="30" t="n">
        <v>45698</v>
      </c>
      <c r="E135" s="35" t="n">
        <v>20813.88</v>
      </c>
      <c r="F135" s="35" t="n">
        <v>6138.54</v>
      </c>
      <c r="G135" s="35" t="n">
        <v>5756.87</v>
      </c>
      <c r="H135" t="inlineStr">
        <is>
          <t>Paid</t>
        </is>
      </c>
    </row>
    <row r="136">
      <c r="A136" t="inlineStr">
        <is>
          <t>CLM512103</t>
        </is>
      </c>
      <c r="B136" t="inlineStr">
        <is>
          <t>PT10381</t>
        </is>
      </c>
      <c r="C136" t="inlineStr">
        <is>
          <t>PY02</t>
        </is>
      </c>
      <c r="D136" s="30" t="n">
        <v>45700</v>
      </c>
      <c r="E136" s="35" t="n">
        <v>41177.14</v>
      </c>
      <c r="F136" s="35" t="n">
        <v>12698.37</v>
      </c>
      <c r="G136" s="35" t="n">
        <v>8179.01</v>
      </c>
      <c r="H136" t="inlineStr">
        <is>
          <t>Partially Paid</t>
        </is>
      </c>
      <c r="I136" t="inlineStr">
        <is>
          <t>Medical Necessity</t>
        </is>
      </c>
    </row>
    <row r="137">
      <c r="A137" t="inlineStr">
        <is>
          <t>CLM512110</t>
        </is>
      </c>
      <c r="B137" t="inlineStr">
        <is>
          <t>PT11842</t>
        </is>
      </c>
      <c r="C137" t="inlineStr">
        <is>
          <t>PY01</t>
        </is>
      </c>
      <c r="D137" s="30" t="n">
        <v>45695</v>
      </c>
      <c r="E137" s="35" t="n">
        <v>4578.53</v>
      </c>
      <c r="F137" s="35" t="n">
        <v>1518.84</v>
      </c>
      <c r="G137" s="35" t="n">
        <v>1369.71</v>
      </c>
      <c r="H137" t="inlineStr">
        <is>
          <t>Paid</t>
        </is>
      </c>
    </row>
    <row r="138">
      <c r="A138" t="inlineStr">
        <is>
          <t>CLM512111</t>
        </is>
      </c>
      <c r="B138" t="inlineStr">
        <is>
          <t>PT11466</t>
        </is>
      </c>
      <c r="C138" t="inlineStr">
        <is>
          <t>PY06</t>
        </is>
      </c>
      <c r="D138" s="30" t="n">
        <v>45695</v>
      </c>
      <c r="E138" s="35" t="n">
        <v>1173.85</v>
      </c>
      <c r="F138" s="35" t="n">
        <v>622.71</v>
      </c>
      <c r="G138" s="35" t="n">
        <v>568.6799999999999</v>
      </c>
      <c r="H138" t="inlineStr">
        <is>
          <t>Paid</t>
        </is>
      </c>
    </row>
    <row r="139">
      <c r="A139" t="inlineStr">
        <is>
          <t>CLM512112</t>
        </is>
      </c>
      <c r="B139" t="inlineStr">
        <is>
          <t>PT13980</t>
        </is>
      </c>
      <c r="C139" t="inlineStr">
        <is>
          <t>PY01</t>
        </is>
      </c>
      <c r="D139" s="30" t="n">
        <v>45700</v>
      </c>
      <c r="E139" s="35" t="n">
        <v>21661.68</v>
      </c>
      <c r="F139" s="35" t="n">
        <v>6210.11</v>
      </c>
      <c r="G139" s="35" t="n">
        <v>5725.48</v>
      </c>
      <c r="H139" t="inlineStr">
        <is>
          <t>Paid</t>
        </is>
      </c>
    </row>
    <row r="140">
      <c r="A140" t="inlineStr">
        <is>
          <t>CLM512114</t>
        </is>
      </c>
      <c r="B140" t="inlineStr">
        <is>
          <t>PT12494</t>
        </is>
      </c>
      <c r="C140" t="inlineStr">
        <is>
          <t>PY03</t>
        </is>
      </c>
      <c r="D140" s="30" t="n">
        <v>45700</v>
      </c>
      <c r="E140" s="35" t="n">
        <v>21205.76</v>
      </c>
      <c r="F140" s="35" t="n">
        <v>5080.78</v>
      </c>
      <c r="G140" s="35" t="n">
        <v>5080.78</v>
      </c>
      <c r="H140" t="inlineStr">
        <is>
          <t>Paid</t>
        </is>
      </c>
    </row>
    <row r="141">
      <c r="A141" t="inlineStr">
        <is>
          <t>CLM512117</t>
        </is>
      </c>
      <c r="B141" t="inlineStr">
        <is>
          <t>PT12387</t>
        </is>
      </c>
      <c r="C141" t="inlineStr">
        <is>
          <t>PY03</t>
        </is>
      </c>
      <c r="D141" s="30" t="n">
        <v>45696</v>
      </c>
      <c r="E141" s="35" t="n">
        <v>4239.1</v>
      </c>
      <c r="F141" s="35" t="n">
        <v>969.46</v>
      </c>
      <c r="G141" s="35" t="n">
        <v>969.46</v>
      </c>
      <c r="H141" t="inlineStr">
        <is>
          <t>Paid</t>
        </is>
      </c>
    </row>
    <row r="142">
      <c r="A142" t="inlineStr">
        <is>
          <t>CLM512121</t>
        </is>
      </c>
      <c r="B142" t="inlineStr">
        <is>
          <t>PT10981</t>
        </is>
      </c>
      <c r="C142" t="inlineStr">
        <is>
          <t>PY01</t>
        </is>
      </c>
      <c r="D142" s="30" t="n">
        <v>45696</v>
      </c>
      <c r="E142" s="35" t="n">
        <v>1384.47</v>
      </c>
      <c r="F142" s="35" t="n">
        <v>389.26</v>
      </c>
      <c r="G142" s="35" t="n">
        <v>343.32</v>
      </c>
      <c r="H142" t="inlineStr">
        <is>
          <t>Paid</t>
        </is>
      </c>
    </row>
    <row r="143">
      <c r="A143" t="inlineStr">
        <is>
          <t>CLM512122</t>
        </is>
      </c>
      <c r="B143" t="inlineStr">
        <is>
          <t>PT13168</t>
        </is>
      </c>
      <c r="C143" t="inlineStr">
        <is>
          <t>PY04</t>
        </is>
      </c>
      <c r="D143" s="30" t="n">
        <v>45696</v>
      </c>
      <c r="E143" s="35" t="n">
        <v>1202</v>
      </c>
      <c r="F143" s="35" t="n">
        <v>644.3</v>
      </c>
      <c r="G143" s="35" t="n">
        <v>597.6799999999999</v>
      </c>
      <c r="H143" t="inlineStr">
        <is>
          <t>Paid</t>
        </is>
      </c>
    </row>
    <row r="144">
      <c r="A144" t="inlineStr">
        <is>
          <t>CLM512123</t>
        </is>
      </c>
      <c r="B144" t="inlineStr">
        <is>
          <t>PT10463</t>
        </is>
      </c>
      <c r="C144" t="inlineStr">
        <is>
          <t>PY02</t>
        </is>
      </c>
      <c r="D144" s="30" t="n">
        <v>45696</v>
      </c>
      <c r="E144" s="35" t="n">
        <v>2433.62</v>
      </c>
      <c r="F144" s="35" t="n">
        <v>877.78</v>
      </c>
      <c r="G144" s="35" t="n">
        <v>852.3099999999999</v>
      </c>
      <c r="H144" t="inlineStr">
        <is>
          <t>Paid</t>
        </is>
      </c>
    </row>
    <row r="145">
      <c r="A145" t="inlineStr">
        <is>
          <t>CLM512134</t>
        </is>
      </c>
      <c r="B145" t="inlineStr">
        <is>
          <t>PT10981</t>
        </is>
      </c>
      <c r="C145" t="inlineStr">
        <is>
          <t>PY01</t>
        </is>
      </c>
      <c r="D145" s="30" t="n">
        <v>45697</v>
      </c>
      <c r="E145" s="35" t="n">
        <v>2421.07</v>
      </c>
      <c r="F145" s="35" t="n">
        <v>671.85</v>
      </c>
      <c r="G145" s="35" t="n">
        <v>573.03</v>
      </c>
      <c r="H145" t="inlineStr">
        <is>
          <t>Paid</t>
        </is>
      </c>
    </row>
    <row r="146">
      <c r="A146" t="inlineStr">
        <is>
          <t>CLM512135</t>
        </is>
      </c>
      <c r="B146" t="inlineStr">
        <is>
          <t>PT12444</t>
        </is>
      </c>
      <c r="C146" t="inlineStr">
        <is>
          <t>PY04</t>
        </is>
      </c>
      <c r="D146" s="30" t="n">
        <v>45700</v>
      </c>
      <c r="E146" s="35" t="n">
        <v>15607.32</v>
      </c>
      <c r="F146" s="35" t="n">
        <v>7582.47</v>
      </c>
      <c r="G146" s="35" t="n">
        <v>6566.53</v>
      </c>
      <c r="H146" t="inlineStr">
        <is>
          <t>Paid</t>
        </is>
      </c>
    </row>
    <row r="147">
      <c r="A147" t="inlineStr">
        <is>
          <t>CLM512143</t>
        </is>
      </c>
      <c r="B147" t="inlineStr">
        <is>
          <t>PT10230</t>
        </is>
      </c>
      <c r="C147" t="inlineStr">
        <is>
          <t>PY02</t>
        </is>
      </c>
      <c r="D147" s="30" t="n">
        <v>45697</v>
      </c>
      <c r="E147" s="35" t="n">
        <v>2793.67</v>
      </c>
      <c r="F147" s="35" t="n">
        <v>846.75</v>
      </c>
      <c r="G147" s="35" t="n">
        <v>761.65</v>
      </c>
      <c r="H147" t="inlineStr">
        <is>
          <t>Paid</t>
        </is>
      </c>
    </row>
    <row r="148">
      <c r="A148" t="inlineStr">
        <is>
          <t>CLM512151</t>
        </is>
      </c>
      <c r="B148" t="inlineStr">
        <is>
          <t>PT12242</t>
        </is>
      </c>
      <c r="C148" t="inlineStr">
        <is>
          <t>PY02</t>
        </is>
      </c>
      <c r="D148" s="30" t="n">
        <v>45697</v>
      </c>
      <c r="E148" s="35" t="n">
        <v>3950.6</v>
      </c>
      <c r="F148" s="35" t="n">
        <v>1266.5</v>
      </c>
      <c r="G148" s="35" t="n">
        <v>843.95</v>
      </c>
      <c r="H148" t="inlineStr">
        <is>
          <t>Partially Paid</t>
        </is>
      </c>
      <c r="I148" t="inlineStr">
        <is>
          <t>Coding Error</t>
        </is>
      </c>
    </row>
    <row r="149">
      <c r="A149" t="inlineStr">
        <is>
          <t>CLM512156</t>
        </is>
      </c>
      <c r="B149" t="inlineStr">
        <is>
          <t>PT11597</t>
        </is>
      </c>
      <c r="C149" t="inlineStr">
        <is>
          <t>PY03</t>
        </is>
      </c>
      <c r="D149" s="30" t="n">
        <v>45697</v>
      </c>
      <c r="E149" s="35" t="n">
        <v>1584.75</v>
      </c>
      <c r="F149" s="35" t="n">
        <v>429.53</v>
      </c>
      <c r="G149" s="35" t="n">
        <v>429.53</v>
      </c>
      <c r="H149" t="inlineStr">
        <is>
          <t>Paid</t>
        </is>
      </c>
    </row>
    <row r="150">
      <c r="A150" t="inlineStr">
        <is>
          <t>CLM512162</t>
        </is>
      </c>
      <c r="B150" t="inlineStr">
        <is>
          <t>PT11810</t>
        </is>
      </c>
      <c r="C150" t="inlineStr">
        <is>
          <t>PY06</t>
        </is>
      </c>
      <c r="D150" s="30" t="n">
        <v>45699</v>
      </c>
      <c r="E150" s="35" t="n">
        <v>38247.18</v>
      </c>
      <c r="F150" s="35" t="n">
        <v>20778.43</v>
      </c>
      <c r="G150" s="35" t="n">
        <v>19405.3</v>
      </c>
      <c r="H150" t="inlineStr">
        <is>
          <t>Paid</t>
        </is>
      </c>
    </row>
    <row r="151">
      <c r="A151" t="inlineStr">
        <is>
          <t>CLM512165</t>
        </is>
      </c>
      <c r="B151" t="inlineStr">
        <is>
          <t>PT12421</t>
        </is>
      </c>
      <c r="C151" t="inlineStr">
        <is>
          <t>PY06</t>
        </is>
      </c>
      <c r="D151" s="30" t="n">
        <v>45698</v>
      </c>
      <c r="E151" s="35" t="n">
        <v>820.48</v>
      </c>
      <c r="F151" s="35" t="n">
        <v>434.97</v>
      </c>
      <c r="G151" s="35" t="n">
        <v>409.47</v>
      </c>
      <c r="H151" t="inlineStr">
        <is>
          <t>Paid</t>
        </is>
      </c>
    </row>
    <row r="152">
      <c r="A152" t="inlineStr">
        <is>
          <t>CLM512166</t>
        </is>
      </c>
      <c r="B152" t="inlineStr">
        <is>
          <t>PT11933</t>
        </is>
      </c>
      <c r="C152" t="inlineStr">
        <is>
          <t>PY06</t>
        </is>
      </c>
      <c r="D152" s="30" t="n">
        <v>45698</v>
      </c>
      <c r="E152" s="35" t="n">
        <v>1009.95</v>
      </c>
      <c r="F152" s="35" t="n">
        <v>551.92</v>
      </c>
      <c r="G152" s="35" t="n">
        <v>509.59</v>
      </c>
      <c r="H152" t="inlineStr">
        <is>
          <t>Paid</t>
        </is>
      </c>
    </row>
    <row r="153">
      <c r="A153" t="inlineStr">
        <is>
          <t>CLM512174</t>
        </is>
      </c>
      <c r="B153" t="inlineStr">
        <is>
          <t>PT10013</t>
        </is>
      </c>
      <c r="C153" t="inlineStr">
        <is>
          <t>PY02</t>
        </is>
      </c>
      <c r="D153" s="30" t="n">
        <v>45701</v>
      </c>
      <c r="E153" s="35" t="n">
        <v>32973.66</v>
      </c>
      <c r="F153" s="35" t="n">
        <v>10351.82</v>
      </c>
      <c r="G153" s="35" t="n">
        <v>9784.459999999999</v>
      </c>
      <c r="H153" t="inlineStr">
        <is>
          <t>Paid</t>
        </is>
      </c>
    </row>
    <row r="154">
      <c r="A154" t="inlineStr">
        <is>
          <t>CLM512182</t>
        </is>
      </c>
      <c r="B154" t="inlineStr">
        <is>
          <t>PT12891</t>
        </is>
      </c>
      <c r="C154" t="inlineStr">
        <is>
          <t>PY01</t>
        </is>
      </c>
      <c r="D154" s="30" t="n">
        <v>45698</v>
      </c>
      <c r="E154" s="35" t="n">
        <v>957.3099999999999</v>
      </c>
      <c r="F154" s="35" t="n">
        <v>302.56</v>
      </c>
      <c r="G154" s="35" t="n">
        <v>272.75</v>
      </c>
      <c r="H154" t="inlineStr">
        <is>
          <t>Paid</t>
        </is>
      </c>
    </row>
    <row r="155">
      <c r="A155" t="inlineStr">
        <is>
          <t>CLM512187</t>
        </is>
      </c>
      <c r="B155" t="inlineStr">
        <is>
          <t>PT10949</t>
        </is>
      </c>
      <c r="C155" t="inlineStr">
        <is>
          <t>PY01</t>
        </is>
      </c>
      <c r="D155" s="30" t="n">
        <v>45703</v>
      </c>
      <c r="E155" s="35" t="n">
        <v>9352.469999999999</v>
      </c>
      <c r="F155" s="35" t="n">
        <v>3052.46</v>
      </c>
      <c r="G155" s="35" t="n">
        <v>2707.84</v>
      </c>
      <c r="H155" t="inlineStr">
        <is>
          <t>Paid</t>
        </is>
      </c>
    </row>
    <row r="156">
      <c r="A156" t="inlineStr">
        <is>
          <t>CLM512189</t>
        </is>
      </c>
      <c r="B156" t="inlineStr">
        <is>
          <t>PT13660</t>
        </is>
      </c>
      <c r="C156" t="inlineStr">
        <is>
          <t>PY04</t>
        </is>
      </c>
      <c r="D156" s="30" t="n">
        <v>45702</v>
      </c>
      <c r="E156" s="35" t="n">
        <v>29390.22</v>
      </c>
      <c r="F156" s="35" t="n">
        <v>15162.74</v>
      </c>
      <c r="G156" s="35" t="n">
        <v>12236.41</v>
      </c>
      <c r="H156" t="inlineStr">
        <is>
          <t>Paid</t>
        </is>
      </c>
    </row>
    <row r="157">
      <c r="A157" t="inlineStr">
        <is>
          <t>CLM512200</t>
        </is>
      </c>
      <c r="B157" t="inlineStr">
        <is>
          <t>PT10749</t>
        </is>
      </c>
      <c r="C157" t="inlineStr">
        <is>
          <t>PY01</t>
        </is>
      </c>
      <c r="D157" s="30" t="n">
        <v>45699</v>
      </c>
      <c r="E157" s="35" t="n">
        <v>1216.14</v>
      </c>
      <c r="F157" s="35" t="n">
        <v>368.66</v>
      </c>
      <c r="G157" s="35" t="n">
        <v>335.26</v>
      </c>
      <c r="H157" t="inlineStr">
        <is>
          <t>Paid</t>
        </is>
      </c>
    </row>
    <row r="158">
      <c r="A158" t="inlineStr">
        <is>
          <t>CLM512202</t>
        </is>
      </c>
      <c r="B158" t="inlineStr">
        <is>
          <t>PT10801</t>
        </is>
      </c>
      <c r="C158" t="inlineStr">
        <is>
          <t>PY06</t>
        </is>
      </c>
      <c r="D158" s="30" t="n">
        <v>45702</v>
      </c>
      <c r="E158" s="35" t="n">
        <v>13292.98</v>
      </c>
      <c r="F158" s="35" t="n">
        <v>7818.56</v>
      </c>
      <c r="G158" s="35" t="n">
        <v>5084.68</v>
      </c>
      <c r="H158" t="inlineStr">
        <is>
          <t>Partially Paid</t>
        </is>
      </c>
      <c r="I158" t="inlineStr">
        <is>
          <t>Coding Error</t>
        </is>
      </c>
    </row>
    <row r="159">
      <c r="A159" t="inlineStr">
        <is>
          <t>CLM512203</t>
        </is>
      </c>
      <c r="B159" t="inlineStr">
        <is>
          <t>PT10756</t>
        </is>
      </c>
      <c r="C159" t="inlineStr">
        <is>
          <t>PY06</t>
        </is>
      </c>
      <c r="D159" s="30" t="n">
        <v>45699</v>
      </c>
      <c r="E159" s="35" t="n">
        <v>2554.58</v>
      </c>
      <c r="F159" s="35" t="n">
        <v>1239.89</v>
      </c>
      <c r="G159" s="35" t="n">
        <v>1090.61</v>
      </c>
      <c r="H159" t="inlineStr">
        <is>
          <t>Paid</t>
        </is>
      </c>
    </row>
    <row r="160">
      <c r="A160" t="inlineStr">
        <is>
          <t>CLM512224</t>
        </is>
      </c>
      <c r="B160" t="inlineStr">
        <is>
          <t>PT11421</t>
        </is>
      </c>
      <c r="C160" t="inlineStr">
        <is>
          <t>PY05</t>
        </is>
      </c>
      <c r="D160" s="30" t="n">
        <v>45699</v>
      </c>
      <c r="E160" s="35" t="n">
        <v>1776.05</v>
      </c>
      <c r="F160" s="35" t="n">
        <v>790.84</v>
      </c>
      <c r="G160" s="35" t="n">
        <v>694.88</v>
      </c>
      <c r="H160" t="inlineStr">
        <is>
          <t>Paid</t>
        </is>
      </c>
    </row>
    <row r="161">
      <c r="A161" t="inlineStr">
        <is>
          <t>CLM512225</t>
        </is>
      </c>
      <c r="B161" t="inlineStr">
        <is>
          <t>PT12456</t>
        </is>
      </c>
      <c r="C161" t="inlineStr">
        <is>
          <t>PY04</t>
        </is>
      </c>
      <c r="D161" s="30" t="n">
        <v>45715</v>
      </c>
      <c r="E161" s="35" t="n">
        <v>165467.2</v>
      </c>
      <c r="F161" s="35" t="n">
        <v>88755.8</v>
      </c>
      <c r="G161" s="35" t="n">
        <v>81269.52</v>
      </c>
      <c r="H161" t="inlineStr">
        <is>
          <t>Paid</t>
        </is>
      </c>
    </row>
    <row r="162">
      <c r="A162" t="inlineStr">
        <is>
          <t>CLM512250</t>
        </is>
      </c>
      <c r="B162" t="inlineStr">
        <is>
          <t>PT11260</t>
        </is>
      </c>
      <c r="C162" t="inlineStr">
        <is>
          <t>PY03</t>
        </is>
      </c>
      <c r="D162" s="30" t="n">
        <v>45700</v>
      </c>
      <c r="E162" s="35" t="n">
        <v>3564.7</v>
      </c>
      <c r="F162" s="35" t="n">
        <v>790.89</v>
      </c>
      <c r="G162" s="35" t="n">
        <v>790.89</v>
      </c>
      <c r="H162" t="inlineStr">
        <is>
          <t>Paid</t>
        </is>
      </c>
    </row>
    <row r="163">
      <c r="A163" t="inlineStr">
        <is>
          <t>CLM512254</t>
        </is>
      </c>
      <c r="B163" t="inlineStr">
        <is>
          <t>PT13012</t>
        </is>
      </c>
      <c r="C163" t="inlineStr">
        <is>
          <t>PY05</t>
        </is>
      </c>
      <c r="D163" s="30" t="n">
        <v>45700</v>
      </c>
      <c r="E163" s="35" t="n">
        <v>1033.31</v>
      </c>
      <c r="F163" s="35" t="n">
        <v>461.24</v>
      </c>
      <c r="G163" s="35" t="n">
        <v>419.8</v>
      </c>
      <c r="H163" t="inlineStr">
        <is>
          <t>Paid</t>
        </is>
      </c>
    </row>
    <row r="164">
      <c r="A164" t="inlineStr">
        <is>
          <t>CLM512280</t>
        </is>
      </c>
      <c r="B164" t="inlineStr">
        <is>
          <t>PT12355</t>
        </is>
      </c>
      <c r="C164" t="inlineStr">
        <is>
          <t>PY01</t>
        </is>
      </c>
      <c r="D164" s="30" t="n">
        <v>45705</v>
      </c>
      <c r="E164" s="35" t="n">
        <v>16784.24</v>
      </c>
      <c r="F164" s="35" t="n">
        <v>0</v>
      </c>
      <c r="G164" s="35" t="n">
        <v>0</v>
      </c>
      <c r="H164" t="inlineStr">
        <is>
          <t>Appealed</t>
        </is>
      </c>
      <c r="I164" t="inlineStr">
        <is>
          <t>Authorization Required</t>
        </is>
      </c>
    </row>
    <row r="165">
      <c r="A165" t="inlineStr">
        <is>
          <t>CLM512297</t>
        </is>
      </c>
      <c r="B165" t="inlineStr">
        <is>
          <t>PT11581</t>
        </is>
      </c>
      <c r="C165" t="inlineStr">
        <is>
          <t>PY01</t>
        </is>
      </c>
      <c r="D165" s="30" t="n">
        <v>45705</v>
      </c>
      <c r="E165" s="35" t="n">
        <v>13308.83</v>
      </c>
      <c r="F165" s="35" t="n">
        <v>0</v>
      </c>
      <c r="G165" s="35" t="n">
        <v>0</v>
      </c>
      <c r="H165" t="inlineStr">
        <is>
          <t>Appealed</t>
        </is>
      </c>
      <c r="I165" t="inlineStr">
        <is>
          <t>Missing Documentation</t>
        </is>
      </c>
    </row>
    <row r="166">
      <c r="A166" t="inlineStr">
        <is>
          <t>CLM512310</t>
        </is>
      </c>
      <c r="B166" t="inlineStr">
        <is>
          <t>PT13562</t>
        </is>
      </c>
      <c r="C166" t="inlineStr">
        <is>
          <t>PY06</t>
        </is>
      </c>
      <c r="D166" s="30" t="n">
        <v>45705</v>
      </c>
      <c r="E166" s="35" t="n">
        <v>25533.7</v>
      </c>
      <c r="F166" s="35" t="n">
        <v>15285.23</v>
      </c>
      <c r="G166" s="35" t="n">
        <v>13214.7</v>
      </c>
      <c r="H166" t="inlineStr">
        <is>
          <t>Paid</t>
        </is>
      </c>
    </row>
    <row r="167">
      <c r="A167" t="inlineStr">
        <is>
          <t>CLM512319</t>
        </is>
      </c>
      <c r="B167" t="inlineStr">
        <is>
          <t>PT10659</t>
        </is>
      </c>
      <c r="C167" t="inlineStr">
        <is>
          <t>PY03</t>
        </is>
      </c>
      <c r="D167" s="30" t="n">
        <v>45701</v>
      </c>
      <c r="E167" s="35" t="n">
        <v>1308.57</v>
      </c>
      <c r="F167" s="35" t="n">
        <v>346.88</v>
      </c>
      <c r="G167" s="35" t="n">
        <v>346.88</v>
      </c>
      <c r="H167" t="inlineStr">
        <is>
          <t>Paid</t>
        </is>
      </c>
    </row>
    <row r="168">
      <c r="A168" t="inlineStr">
        <is>
          <t>CLM512327</t>
        </is>
      </c>
      <c r="B168" t="inlineStr">
        <is>
          <t>PT11417</t>
        </is>
      </c>
      <c r="C168" t="inlineStr">
        <is>
          <t>PY01</t>
        </is>
      </c>
      <c r="D168" s="30" t="n">
        <v>45709</v>
      </c>
      <c r="E168" s="35" t="n">
        <v>59051.46</v>
      </c>
      <c r="F168" s="35" t="n">
        <v>20577.17</v>
      </c>
      <c r="G168" s="35" t="n">
        <v>18555.17</v>
      </c>
      <c r="H168" t="inlineStr">
        <is>
          <t>Paid</t>
        </is>
      </c>
    </row>
    <row r="169">
      <c r="A169" t="inlineStr">
        <is>
          <t>CLM512339</t>
        </is>
      </c>
      <c r="B169" t="inlineStr">
        <is>
          <t>PT11659</t>
        </is>
      </c>
      <c r="C169" t="inlineStr">
        <is>
          <t>PY03</t>
        </is>
      </c>
      <c r="D169" s="30" t="n">
        <v>45706</v>
      </c>
      <c r="E169" s="35" t="n">
        <v>41912.67</v>
      </c>
      <c r="F169" s="35" t="n">
        <v>10106.43</v>
      </c>
      <c r="G169" s="35" t="n">
        <v>10106.43</v>
      </c>
      <c r="H169" t="inlineStr">
        <is>
          <t>Paid</t>
        </is>
      </c>
    </row>
    <row r="170">
      <c r="A170" t="inlineStr">
        <is>
          <t>CLM512361</t>
        </is>
      </c>
      <c r="B170" t="inlineStr">
        <is>
          <t>PT13702</t>
        </is>
      </c>
      <c r="C170" t="inlineStr">
        <is>
          <t>PY05</t>
        </is>
      </c>
      <c r="D170" s="30" t="n">
        <v>45703</v>
      </c>
      <c r="E170" s="35" t="n">
        <v>1305.87</v>
      </c>
      <c r="F170" s="35" t="n">
        <v>615.25</v>
      </c>
      <c r="G170" s="35" t="n">
        <v>520.0700000000001</v>
      </c>
      <c r="H170" t="inlineStr">
        <is>
          <t>Paid</t>
        </is>
      </c>
    </row>
    <row r="171">
      <c r="A171" t="inlineStr">
        <is>
          <t>CLM512366</t>
        </is>
      </c>
      <c r="B171" t="inlineStr">
        <is>
          <t>PT11838</t>
        </is>
      </c>
      <c r="C171" t="inlineStr">
        <is>
          <t>PY05</t>
        </is>
      </c>
      <c r="D171" s="30" t="n">
        <v>45703</v>
      </c>
      <c r="E171" s="35" t="n">
        <v>2202.35</v>
      </c>
      <c r="F171" s="35" t="n">
        <v>948.17</v>
      </c>
      <c r="G171" s="35" t="n">
        <v>892.4400000000001</v>
      </c>
      <c r="H171" t="inlineStr">
        <is>
          <t>Paid</t>
        </is>
      </c>
    </row>
    <row r="172">
      <c r="A172" t="inlineStr">
        <is>
          <t>CLM512374</t>
        </is>
      </c>
      <c r="B172" t="inlineStr">
        <is>
          <t>PT12161</t>
        </is>
      </c>
      <c r="C172" t="inlineStr">
        <is>
          <t>PY06</t>
        </is>
      </c>
      <c r="D172" s="30" t="n">
        <v>45708</v>
      </c>
      <c r="E172" s="35" t="n">
        <v>18673.89</v>
      </c>
      <c r="F172" s="35" t="n">
        <v>10883.59</v>
      </c>
      <c r="G172" s="35" t="n">
        <v>9470.940000000001</v>
      </c>
      <c r="H172" t="inlineStr">
        <is>
          <t>Paid</t>
        </is>
      </c>
    </row>
    <row r="173">
      <c r="A173" t="inlineStr">
        <is>
          <t>CLM512382</t>
        </is>
      </c>
      <c r="B173" t="inlineStr">
        <is>
          <t>PT10673</t>
        </is>
      </c>
      <c r="C173" t="inlineStr">
        <is>
          <t>PY05</t>
        </is>
      </c>
      <c r="D173" s="30" t="n">
        <v>45704</v>
      </c>
      <c r="E173" s="35" t="n">
        <v>3997.94</v>
      </c>
      <c r="F173" s="35" t="n">
        <v>1846.61</v>
      </c>
      <c r="G173" s="35" t="n">
        <v>1579.34</v>
      </c>
      <c r="H173" t="inlineStr">
        <is>
          <t>Paid</t>
        </is>
      </c>
    </row>
    <row r="174">
      <c r="A174" t="inlineStr">
        <is>
          <t>CLM512390</t>
        </is>
      </c>
      <c r="B174" t="inlineStr">
        <is>
          <t>PT10992</t>
        </is>
      </c>
      <c r="C174" t="inlineStr">
        <is>
          <t>PY03</t>
        </is>
      </c>
      <c r="D174" s="30" t="n">
        <v>45704</v>
      </c>
      <c r="E174" s="35" t="n">
        <v>3249.09</v>
      </c>
      <c r="F174" s="35" t="n">
        <v>836.9400000000001</v>
      </c>
      <c r="G174" s="35" t="n">
        <v>836.9400000000001</v>
      </c>
      <c r="H174" t="inlineStr">
        <is>
          <t>Paid</t>
        </is>
      </c>
    </row>
    <row r="175">
      <c r="A175" t="inlineStr">
        <is>
          <t>CLM512393</t>
        </is>
      </c>
      <c r="B175" t="inlineStr">
        <is>
          <t>PT10800</t>
        </is>
      </c>
      <c r="C175" t="inlineStr">
        <is>
          <t>PY04</t>
        </is>
      </c>
      <c r="D175" s="30" t="n">
        <v>45704</v>
      </c>
      <c r="E175" s="35" t="n">
        <v>4101.47</v>
      </c>
      <c r="F175" s="35" t="n">
        <v>2219.48</v>
      </c>
      <c r="G175" s="35" t="n">
        <v>1933.57</v>
      </c>
      <c r="H175" t="inlineStr">
        <is>
          <t>Paid</t>
        </is>
      </c>
    </row>
    <row r="176">
      <c r="A176" t="inlineStr">
        <is>
          <t>CLM512408</t>
        </is>
      </c>
      <c r="B176" t="inlineStr">
        <is>
          <t>PT11961</t>
        </is>
      </c>
      <c r="C176" t="inlineStr">
        <is>
          <t>PY05</t>
        </is>
      </c>
      <c r="D176" s="30" t="n">
        <v>45705</v>
      </c>
      <c r="E176" s="35" t="n">
        <v>1422.26</v>
      </c>
      <c r="F176" s="35" t="n">
        <v>711.75</v>
      </c>
      <c r="G176" s="35" t="n">
        <v>618.04</v>
      </c>
      <c r="H176" t="inlineStr">
        <is>
          <t>Paid</t>
        </is>
      </c>
    </row>
    <row r="177">
      <c r="A177" t="inlineStr">
        <is>
          <t>CLM512414</t>
        </is>
      </c>
      <c r="B177" t="inlineStr">
        <is>
          <t>PT10063</t>
        </is>
      </c>
      <c r="C177" t="inlineStr">
        <is>
          <t>PY02</t>
        </is>
      </c>
      <c r="D177" s="30" t="n">
        <v>45705</v>
      </c>
      <c r="E177" s="35" t="n">
        <v>6558.68</v>
      </c>
      <c r="F177" s="35" t="n">
        <v>2241.19</v>
      </c>
      <c r="G177" s="35" t="n">
        <v>2024.6</v>
      </c>
      <c r="H177" t="inlineStr">
        <is>
          <t>Paid</t>
        </is>
      </c>
    </row>
    <row r="178">
      <c r="A178" t="inlineStr">
        <is>
          <t>CLM512419</t>
        </is>
      </c>
      <c r="B178" t="inlineStr">
        <is>
          <t>PT12461</t>
        </is>
      </c>
      <c r="C178" t="inlineStr">
        <is>
          <t>PY02</t>
        </is>
      </c>
      <c r="D178" s="30" t="n">
        <v>45705</v>
      </c>
      <c r="E178" s="35" t="n">
        <v>1857.95</v>
      </c>
      <c r="F178" s="35" t="n">
        <v>592.14</v>
      </c>
      <c r="G178" s="35" t="n">
        <v>575.77</v>
      </c>
      <c r="H178" t="inlineStr">
        <is>
          <t>Paid</t>
        </is>
      </c>
    </row>
    <row r="179">
      <c r="A179" t="inlineStr">
        <is>
          <t>CLM512425</t>
        </is>
      </c>
      <c r="B179" t="inlineStr">
        <is>
          <t>PT12787</t>
        </is>
      </c>
      <c r="C179" t="inlineStr">
        <is>
          <t>PY03</t>
        </is>
      </c>
      <c r="D179" s="30" t="n">
        <v>45708</v>
      </c>
      <c r="E179" s="35" t="n">
        <v>13882.72</v>
      </c>
      <c r="F179" s="35" t="n">
        <v>3315.24</v>
      </c>
      <c r="G179" s="35" t="n">
        <v>2789.62</v>
      </c>
      <c r="H179" t="inlineStr">
        <is>
          <t>Partially Paid</t>
        </is>
      </c>
      <c r="I179" t="inlineStr">
        <is>
          <t>Coding Error</t>
        </is>
      </c>
    </row>
    <row r="180">
      <c r="A180" t="inlineStr">
        <is>
          <t>CLM512439</t>
        </is>
      </c>
      <c r="B180" t="inlineStr">
        <is>
          <t>PT12860</t>
        </is>
      </c>
      <c r="C180" t="inlineStr">
        <is>
          <t>PY07</t>
        </is>
      </c>
      <c r="D180" s="30" t="n">
        <v>45707</v>
      </c>
      <c r="E180" s="35" t="n">
        <v>11654.5</v>
      </c>
      <c r="F180" s="35" t="n">
        <v>5216.59</v>
      </c>
      <c r="G180" s="35" t="n">
        <v>998.77</v>
      </c>
      <c r="H180" t="inlineStr">
        <is>
          <t>Partially Paid</t>
        </is>
      </c>
    </row>
    <row r="181">
      <c r="A181" t="inlineStr">
        <is>
          <t>CLM512444</t>
        </is>
      </c>
      <c r="B181" t="inlineStr">
        <is>
          <t>PT13779</t>
        </is>
      </c>
      <c r="C181" t="inlineStr">
        <is>
          <t>PY04</t>
        </is>
      </c>
      <c r="D181" s="30" t="n">
        <v>45705</v>
      </c>
      <c r="E181" s="35" t="n">
        <v>2045.12</v>
      </c>
      <c r="F181" s="35" t="n">
        <v>1028.61</v>
      </c>
      <c r="G181" s="35" t="n">
        <v>859.33</v>
      </c>
      <c r="H181" t="inlineStr">
        <is>
          <t>Paid</t>
        </is>
      </c>
    </row>
    <row r="182">
      <c r="A182" t="inlineStr">
        <is>
          <t>CLM512478</t>
        </is>
      </c>
      <c r="B182" t="inlineStr">
        <is>
          <t>PT11168</t>
        </is>
      </c>
      <c r="C182" t="inlineStr">
        <is>
          <t>PY01</t>
        </is>
      </c>
      <c r="D182" s="30" t="n">
        <v>45708</v>
      </c>
      <c r="E182" s="35" t="n">
        <v>7732.76</v>
      </c>
      <c r="F182" s="35" t="n">
        <v>2316.07</v>
      </c>
      <c r="G182" s="35" t="n">
        <v>1737.71</v>
      </c>
      <c r="H182" t="inlineStr">
        <is>
          <t>Partially Paid</t>
        </is>
      </c>
      <c r="I182" t="inlineStr">
        <is>
          <t>Missing Documentation</t>
        </is>
      </c>
    </row>
    <row r="183">
      <c r="A183" t="inlineStr">
        <is>
          <t>CLM512531</t>
        </is>
      </c>
      <c r="B183" t="inlineStr">
        <is>
          <t>PT10881</t>
        </is>
      </c>
      <c r="C183" t="inlineStr">
        <is>
          <t>PY05</t>
        </is>
      </c>
      <c r="D183" s="30" t="n">
        <v>45709</v>
      </c>
      <c r="E183" s="35" t="n">
        <v>8431.15</v>
      </c>
      <c r="F183" s="35" t="n">
        <v>0</v>
      </c>
      <c r="G183" s="35" t="n">
        <v>0</v>
      </c>
      <c r="H183" t="inlineStr">
        <is>
          <t>Denied</t>
        </is>
      </c>
      <c r="I183" t="inlineStr">
        <is>
          <t>Authorization Required</t>
        </is>
      </c>
    </row>
    <row r="184">
      <c r="A184" t="inlineStr">
        <is>
          <t>CLM512534</t>
        </is>
      </c>
      <c r="B184" t="inlineStr">
        <is>
          <t>PT11190</t>
        </is>
      </c>
      <c r="C184" t="inlineStr">
        <is>
          <t>PY03</t>
        </is>
      </c>
      <c r="D184" s="30" t="n">
        <v>45710</v>
      </c>
      <c r="E184" s="35" t="n">
        <v>11203.9</v>
      </c>
      <c r="F184" s="35" t="n">
        <v>2507.84</v>
      </c>
      <c r="G184" s="35" t="n">
        <v>2507.84</v>
      </c>
      <c r="H184" t="inlineStr">
        <is>
          <t>Paid</t>
        </is>
      </c>
    </row>
    <row r="185">
      <c r="A185" t="inlineStr">
        <is>
          <t>CLM512567</t>
        </is>
      </c>
      <c r="B185" t="inlineStr">
        <is>
          <t>PT12774</t>
        </is>
      </c>
      <c r="C185" t="inlineStr">
        <is>
          <t>PY05</t>
        </is>
      </c>
      <c r="D185" s="30" t="n">
        <v>45710</v>
      </c>
      <c r="E185" s="35" t="n">
        <v>28454.27</v>
      </c>
      <c r="F185" s="35" t="n">
        <v>15328.57</v>
      </c>
      <c r="G185" s="35" t="n">
        <v>13406.2</v>
      </c>
      <c r="H185" t="inlineStr">
        <is>
          <t>Paid</t>
        </is>
      </c>
    </row>
    <row r="186">
      <c r="A186" t="inlineStr">
        <is>
          <t>CLM512569</t>
        </is>
      </c>
      <c r="B186" t="inlineStr">
        <is>
          <t>PT11862</t>
        </is>
      </c>
      <c r="C186" t="inlineStr">
        <is>
          <t>PY02</t>
        </is>
      </c>
      <c r="D186" s="30" t="n">
        <v>45708</v>
      </c>
      <c r="E186" s="35" t="n">
        <v>672.53</v>
      </c>
      <c r="F186" s="35" t="n">
        <v>214.87</v>
      </c>
      <c r="G186" s="35" t="n">
        <v>205.95</v>
      </c>
      <c r="H186" t="inlineStr">
        <is>
          <t>Paid</t>
        </is>
      </c>
    </row>
    <row r="187">
      <c r="A187" t="inlineStr">
        <is>
          <t>CLM512587</t>
        </is>
      </c>
      <c r="B187" t="inlineStr">
        <is>
          <t>PT11535</t>
        </is>
      </c>
      <c r="C187" t="inlineStr">
        <is>
          <t>PY05</t>
        </is>
      </c>
      <c r="D187" s="30" t="n">
        <v>45709</v>
      </c>
      <c r="E187" s="35" t="n">
        <v>1450.65</v>
      </c>
      <c r="F187" s="35" t="n">
        <v>623.28</v>
      </c>
      <c r="G187" s="35" t="n">
        <v>543.62</v>
      </c>
      <c r="H187" t="inlineStr">
        <is>
          <t>Paid</t>
        </is>
      </c>
    </row>
    <row r="188">
      <c r="A188" t="inlineStr">
        <is>
          <t>CLM512595</t>
        </is>
      </c>
      <c r="B188" t="inlineStr">
        <is>
          <t>PT11968</t>
        </is>
      </c>
      <c r="C188" t="inlineStr">
        <is>
          <t>PY03</t>
        </is>
      </c>
      <c r="D188" s="30" t="n">
        <v>45709</v>
      </c>
      <c r="E188" s="35" t="n">
        <v>2259.91</v>
      </c>
      <c r="F188" s="35" t="n">
        <v>476.77</v>
      </c>
      <c r="G188" s="35" t="n">
        <v>476.77</v>
      </c>
      <c r="H188" t="inlineStr">
        <is>
          <t>Paid</t>
        </is>
      </c>
    </row>
    <row r="189">
      <c r="A189" t="inlineStr">
        <is>
          <t>CLM512616</t>
        </is>
      </c>
      <c r="B189" t="inlineStr">
        <is>
          <t>PT11717</t>
        </is>
      </c>
      <c r="C189" t="inlineStr">
        <is>
          <t>PY03</t>
        </is>
      </c>
      <c r="D189" s="30" t="n">
        <v>45710</v>
      </c>
      <c r="E189" s="35" t="n">
        <v>1366.61</v>
      </c>
      <c r="F189" s="35" t="n">
        <v>307.98</v>
      </c>
      <c r="G189" s="35" t="n">
        <v>307.98</v>
      </c>
      <c r="H189" t="inlineStr">
        <is>
          <t>Paid</t>
        </is>
      </c>
    </row>
    <row r="190">
      <c r="A190" t="inlineStr">
        <is>
          <t>CLM512617</t>
        </is>
      </c>
      <c r="B190" t="inlineStr">
        <is>
          <t>PT10756</t>
        </is>
      </c>
      <c r="C190" t="inlineStr">
        <is>
          <t>PY06</t>
        </is>
      </c>
      <c r="D190" s="30" t="n">
        <v>45710</v>
      </c>
      <c r="E190" s="35" t="n">
        <v>3543.58</v>
      </c>
      <c r="F190" s="35" t="n">
        <v>1852.45</v>
      </c>
      <c r="G190" s="35" t="n">
        <v>1673.62</v>
      </c>
      <c r="H190" t="inlineStr">
        <is>
          <t>Paid</t>
        </is>
      </c>
    </row>
    <row r="191">
      <c r="A191" t="inlineStr">
        <is>
          <t>CLM512619</t>
        </is>
      </c>
      <c r="B191" t="inlineStr">
        <is>
          <t>PT12629</t>
        </is>
      </c>
      <c r="C191" t="inlineStr">
        <is>
          <t>PY03</t>
        </is>
      </c>
      <c r="D191" s="30" t="n">
        <v>45710</v>
      </c>
      <c r="E191" s="35" t="n">
        <v>1229.55</v>
      </c>
      <c r="F191" s="35" t="n">
        <v>285.15</v>
      </c>
      <c r="G191" s="35" t="n">
        <v>285.15</v>
      </c>
      <c r="H191" t="inlineStr">
        <is>
          <t>Paid</t>
        </is>
      </c>
    </row>
    <row r="192">
      <c r="A192" t="inlineStr">
        <is>
          <t>CLM512639</t>
        </is>
      </c>
      <c r="B192" t="inlineStr">
        <is>
          <t>PT11893</t>
        </is>
      </c>
      <c r="C192" t="inlineStr">
        <is>
          <t>PY03</t>
        </is>
      </c>
      <c r="D192" s="30" t="n">
        <v>45711</v>
      </c>
      <c r="E192" s="35" t="n">
        <v>4098.01</v>
      </c>
      <c r="F192" s="35" t="n">
        <v>1007.63</v>
      </c>
      <c r="G192" s="35" t="n">
        <v>1007.63</v>
      </c>
      <c r="H192" t="inlineStr">
        <is>
          <t>Paid</t>
        </is>
      </c>
    </row>
    <row r="193">
      <c r="A193" t="inlineStr">
        <is>
          <t>CLM512640</t>
        </is>
      </c>
      <c r="B193" t="inlineStr">
        <is>
          <t>PT11437</t>
        </is>
      </c>
      <c r="C193" t="inlineStr">
        <is>
          <t>PY02</t>
        </is>
      </c>
      <c r="D193" s="30" t="n">
        <v>45715</v>
      </c>
      <c r="E193" s="35" t="n">
        <v>85671.55</v>
      </c>
      <c r="F193" s="35" t="n">
        <v>28212.82</v>
      </c>
      <c r="G193" s="35" t="n">
        <v>25750.14</v>
      </c>
      <c r="H193" t="inlineStr">
        <is>
          <t>Paid</t>
        </is>
      </c>
    </row>
    <row r="194">
      <c r="A194" t="inlineStr">
        <is>
          <t>CLM512664</t>
        </is>
      </c>
      <c r="B194" t="inlineStr">
        <is>
          <t>PT12824</t>
        </is>
      </c>
      <c r="C194" t="inlineStr">
        <is>
          <t>PY02</t>
        </is>
      </c>
      <c r="D194" s="30" t="n">
        <v>45712</v>
      </c>
      <c r="E194" s="35" t="n">
        <v>6693.58</v>
      </c>
      <c r="F194" s="35" t="n">
        <v>2191.32</v>
      </c>
      <c r="G194" s="35" t="n">
        <v>2024.96</v>
      </c>
      <c r="H194" t="inlineStr">
        <is>
          <t>Paid</t>
        </is>
      </c>
    </row>
    <row r="195">
      <c r="A195" t="inlineStr">
        <is>
          <t>CLM512668</t>
        </is>
      </c>
      <c r="B195" t="inlineStr">
        <is>
          <t>PT13967</t>
        </is>
      </c>
      <c r="C195" t="inlineStr">
        <is>
          <t>PY04</t>
        </is>
      </c>
      <c r="D195" s="30" t="n">
        <v>45712</v>
      </c>
      <c r="E195" s="35" t="n">
        <v>4589.75</v>
      </c>
      <c r="F195" s="35" t="n">
        <v>2650.23</v>
      </c>
      <c r="G195" s="35" t="n">
        <v>2110.37</v>
      </c>
      <c r="H195" t="inlineStr">
        <is>
          <t>Paid</t>
        </is>
      </c>
    </row>
    <row r="196">
      <c r="A196" t="inlineStr">
        <is>
          <t>CLM512675</t>
        </is>
      </c>
      <c r="B196" t="inlineStr">
        <is>
          <t>PT12288</t>
        </is>
      </c>
      <c r="C196" t="inlineStr">
        <is>
          <t>PY06</t>
        </is>
      </c>
      <c r="D196" s="30" t="n">
        <v>45712</v>
      </c>
      <c r="E196" s="35" t="n">
        <v>1345.51</v>
      </c>
      <c r="F196" s="35" t="n">
        <v>0</v>
      </c>
      <c r="G196" s="35" t="n">
        <v>0</v>
      </c>
      <c r="H196" t="inlineStr">
        <is>
          <t>Denied</t>
        </is>
      </c>
      <c r="I196" t="inlineStr">
        <is>
          <t>Coding Error</t>
        </is>
      </c>
    </row>
    <row r="197">
      <c r="A197" t="inlineStr">
        <is>
          <t>CLM512681</t>
        </is>
      </c>
      <c r="B197" t="inlineStr">
        <is>
          <t>PT11876</t>
        </is>
      </c>
      <c r="C197" t="inlineStr">
        <is>
          <t>PY03</t>
        </is>
      </c>
      <c r="D197" s="30" t="n">
        <v>45712</v>
      </c>
      <c r="E197" s="35" t="n">
        <v>4029.29</v>
      </c>
      <c r="F197" s="35" t="n">
        <v>912.6900000000001</v>
      </c>
      <c r="G197" s="35" t="n">
        <v>912.6900000000001</v>
      </c>
      <c r="H197" t="inlineStr">
        <is>
          <t>Paid</t>
        </is>
      </c>
    </row>
    <row r="198">
      <c r="A198" t="inlineStr">
        <is>
          <t>CLM512690</t>
        </is>
      </c>
      <c r="B198" t="inlineStr">
        <is>
          <t>PT12464</t>
        </is>
      </c>
      <c r="C198" t="inlineStr">
        <is>
          <t>PY07</t>
        </is>
      </c>
      <c r="D198" s="30" t="n">
        <v>45713</v>
      </c>
      <c r="E198" s="35" t="n">
        <v>10484.96</v>
      </c>
      <c r="F198" s="35" t="n">
        <v>4375.35</v>
      </c>
      <c r="G198" s="35" t="n">
        <v>4375.35</v>
      </c>
      <c r="H198" t="inlineStr">
        <is>
          <t>Paid</t>
        </is>
      </c>
    </row>
    <row r="199">
      <c r="A199" t="inlineStr">
        <is>
          <t>CLM512696</t>
        </is>
      </c>
      <c r="B199" t="inlineStr">
        <is>
          <t>PT11433</t>
        </is>
      </c>
      <c r="C199" t="inlineStr">
        <is>
          <t>PY01</t>
        </is>
      </c>
      <c r="D199" s="30" t="n">
        <v>45712</v>
      </c>
      <c r="E199" s="35" t="n">
        <v>2752.83</v>
      </c>
      <c r="F199" s="35" t="n">
        <v>0</v>
      </c>
      <c r="G199" s="35" t="n">
        <v>0</v>
      </c>
      <c r="H199" t="inlineStr">
        <is>
          <t>Denied</t>
        </is>
      </c>
      <c r="I199" t="inlineStr">
        <is>
          <t>Eligibility / Coverage</t>
        </is>
      </c>
    </row>
    <row r="200">
      <c r="A200" t="inlineStr">
        <is>
          <t>CLM512700</t>
        </is>
      </c>
      <c r="B200" t="inlineStr">
        <is>
          <t>PT10786</t>
        </is>
      </c>
      <c r="C200" t="inlineStr">
        <is>
          <t>PY07</t>
        </is>
      </c>
      <c r="D200" s="30" t="n">
        <v>45712</v>
      </c>
      <c r="E200" s="35" t="n">
        <v>831.9299999999999</v>
      </c>
      <c r="F200" s="35" t="n">
        <v>294.31</v>
      </c>
      <c r="G200" s="35" t="n">
        <v>0</v>
      </c>
      <c r="H200" t="inlineStr">
        <is>
          <t>Pending</t>
        </is>
      </c>
    </row>
    <row r="201">
      <c r="A201" t="inlineStr">
        <is>
          <t>CLM512701</t>
        </is>
      </c>
      <c r="B201" t="inlineStr">
        <is>
          <t>PT12858</t>
        </is>
      </c>
      <c r="C201" t="inlineStr">
        <is>
          <t>PY04</t>
        </is>
      </c>
      <c r="D201" s="30" t="n">
        <v>45714</v>
      </c>
      <c r="E201" s="35" t="n">
        <v>12181.78</v>
      </c>
      <c r="F201" s="35" t="n">
        <v>6133.77</v>
      </c>
      <c r="G201" s="35" t="n">
        <v>5375.68</v>
      </c>
      <c r="H201" t="inlineStr">
        <is>
          <t>Paid</t>
        </is>
      </c>
    </row>
    <row r="202">
      <c r="A202" t="inlineStr">
        <is>
          <t>CLM512711</t>
        </is>
      </c>
      <c r="B202" t="inlineStr">
        <is>
          <t>PT12787</t>
        </is>
      </c>
      <c r="C202" t="inlineStr">
        <is>
          <t>PY03</t>
        </is>
      </c>
      <c r="D202" s="30" t="n">
        <v>45713</v>
      </c>
      <c r="E202" s="35" t="n">
        <v>928.3099999999999</v>
      </c>
      <c r="F202" s="35" t="n">
        <v>204.58</v>
      </c>
      <c r="G202" s="35" t="n">
        <v>204.58</v>
      </c>
      <c r="H202" t="inlineStr">
        <is>
          <t>Paid</t>
        </is>
      </c>
    </row>
    <row r="203">
      <c r="A203" t="inlineStr">
        <is>
          <t>CLM512712</t>
        </is>
      </c>
      <c r="B203" t="inlineStr">
        <is>
          <t>PT13269</t>
        </is>
      </c>
      <c r="C203" t="inlineStr">
        <is>
          <t>PY07</t>
        </is>
      </c>
      <c r="D203" s="30" t="n">
        <v>45715</v>
      </c>
      <c r="E203" s="35" t="n">
        <v>10490.03</v>
      </c>
      <c r="F203" s="35" t="n">
        <v>3960.88</v>
      </c>
      <c r="G203" s="35" t="n">
        <v>0</v>
      </c>
      <c r="H203" t="inlineStr">
        <is>
          <t>Pending</t>
        </is>
      </c>
    </row>
    <row r="204">
      <c r="A204" t="inlineStr">
        <is>
          <t>CLM512733</t>
        </is>
      </c>
      <c r="B204" t="inlineStr">
        <is>
          <t>PT11427</t>
        </is>
      </c>
      <c r="C204" t="inlineStr">
        <is>
          <t>PY02</t>
        </is>
      </c>
      <c r="D204" s="30" t="n">
        <v>45713</v>
      </c>
      <c r="E204" s="35" t="n">
        <v>4557.68</v>
      </c>
      <c r="F204" s="35" t="n">
        <v>1458.12</v>
      </c>
      <c r="G204" s="35" t="n">
        <v>827.67</v>
      </c>
      <c r="H204" t="inlineStr">
        <is>
          <t>Partially Paid</t>
        </is>
      </c>
      <c r="I204" t="inlineStr">
        <is>
          <t>Missing Documentation</t>
        </is>
      </c>
    </row>
    <row r="205">
      <c r="A205" t="inlineStr">
        <is>
          <t>CLM512743</t>
        </is>
      </c>
      <c r="B205" t="inlineStr">
        <is>
          <t>PT11223</t>
        </is>
      </c>
      <c r="C205" t="inlineStr">
        <is>
          <t>PY03</t>
        </is>
      </c>
      <c r="D205" s="30" t="n">
        <v>45713</v>
      </c>
      <c r="E205" s="35" t="n">
        <v>1071.82</v>
      </c>
      <c r="F205" s="35" t="n">
        <v>239.56</v>
      </c>
      <c r="G205" s="35" t="n">
        <v>239.56</v>
      </c>
      <c r="H205" t="inlineStr">
        <is>
          <t>Paid</t>
        </is>
      </c>
    </row>
    <row r="206">
      <c r="A206" t="inlineStr">
        <is>
          <t>CLM512748</t>
        </is>
      </c>
      <c r="B206" t="inlineStr">
        <is>
          <t>PT13268</t>
        </is>
      </c>
      <c r="C206" t="inlineStr">
        <is>
          <t>PY04</t>
        </is>
      </c>
      <c r="D206" s="30" t="n">
        <v>45716</v>
      </c>
      <c r="E206" s="35" t="n">
        <v>26500.23</v>
      </c>
      <c r="F206" s="35" t="n">
        <v>13874.4</v>
      </c>
      <c r="G206" s="35" t="n">
        <v>11784.6</v>
      </c>
      <c r="H206" t="inlineStr">
        <is>
          <t>Paid</t>
        </is>
      </c>
    </row>
    <row r="207">
      <c r="A207" t="inlineStr">
        <is>
          <t>CLM512749</t>
        </is>
      </c>
      <c r="B207" t="inlineStr">
        <is>
          <t>PT12060</t>
        </is>
      </c>
      <c r="C207" t="inlineStr">
        <is>
          <t>PY06</t>
        </is>
      </c>
      <c r="D207" s="30" t="n">
        <v>45733</v>
      </c>
      <c r="E207" s="35" t="n">
        <v>167509.41</v>
      </c>
      <c r="F207" s="35" t="n">
        <v>87471.66</v>
      </c>
      <c r="G207" s="35" t="n">
        <v>80897.36</v>
      </c>
      <c r="H207" t="inlineStr">
        <is>
          <t>Paid</t>
        </is>
      </c>
    </row>
    <row r="208">
      <c r="A208" t="inlineStr">
        <is>
          <t>CLM512750</t>
        </is>
      </c>
      <c r="B208" t="inlineStr">
        <is>
          <t>PT11624</t>
        </is>
      </c>
      <c r="C208" t="inlineStr">
        <is>
          <t>PY03</t>
        </is>
      </c>
      <c r="D208" s="30" t="n">
        <v>45713</v>
      </c>
      <c r="E208" s="35" t="n">
        <v>579.74</v>
      </c>
      <c r="F208" s="35" t="n">
        <v>0</v>
      </c>
      <c r="G208" s="35" t="n">
        <v>0</v>
      </c>
      <c r="H208" t="inlineStr">
        <is>
          <t>Appealed</t>
        </is>
      </c>
      <c r="I208" t="inlineStr">
        <is>
          <t>Coding Error</t>
        </is>
      </c>
    </row>
    <row r="209">
      <c r="A209" t="inlineStr">
        <is>
          <t>CLM512751</t>
        </is>
      </c>
      <c r="B209" t="inlineStr">
        <is>
          <t>PT12633</t>
        </is>
      </c>
      <c r="C209" t="inlineStr">
        <is>
          <t>PY05</t>
        </is>
      </c>
      <c r="D209" s="30" t="n">
        <v>45714</v>
      </c>
      <c r="E209" s="35" t="n">
        <v>11752.78</v>
      </c>
      <c r="F209" s="35" t="n">
        <v>5795.41</v>
      </c>
      <c r="G209" s="35" t="n">
        <v>5459.95</v>
      </c>
      <c r="H209" t="inlineStr">
        <is>
          <t>Paid</t>
        </is>
      </c>
    </row>
    <row r="210">
      <c r="A210" t="inlineStr">
        <is>
          <t>CLM512754</t>
        </is>
      </c>
      <c r="B210" t="inlineStr">
        <is>
          <t>PT12081</t>
        </is>
      </c>
      <c r="C210" t="inlineStr">
        <is>
          <t>PY01</t>
        </is>
      </c>
      <c r="D210" s="30" t="n">
        <v>45714</v>
      </c>
      <c r="E210" s="35" t="n">
        <v>7214.32</v>
      </c>
      <c r="F210" s="35" t="n">
        <v>2249.86</v>
      </c>
      <c r="G210" s="35" t="n">
        <v>2031.93</v>
      </c>
      <c r="H210" t="inlineStr">
        <is>
          <t>Paid</t>
        </is>
      </c>
    </row>
    <row r="211">
      <c r="A211" t="inlineStr">
        <is>
          <t>CLM512787</t>
        </is>
      </c>
      <c r="B211" t="inlineStr">
        <is>
          <t>PT12446</t>
        </is>
      </c>
      <c r="C211" t="inlineStr">
        <is>
          <t>PY03</t>
        </is>
      </c>
      <c r="D211" s="30" t="n">
        <v>45714</v>
      </c>
      <c r="E211" s="35" t="n">
        <v>1341.54</v>
      </c>
      <c r="F211" s="35" t="n">
        <v>317.94</v>
      </c>
      <c r="G211" s="35" t="n">
        <v>317.94</v>
      </c>
      <c r="H211" t="inlineStr">
        <is>
          <t>Paid</t>
        </is>
      </c>
    </row>
    <row r="212">
      <c r="A212" t="inlineStr">
        <is>
          <t>CLM512791</t>
        </is>
      </c>
      <c r="B212" t="inlineStr">
        <is>
          <t>PT11274</t>
        </is>
      </c>
      <c r="C212" t="inlineStr">
        <is>
          <t>PY01</t>
        </is>
      </c>
      <c r="D212" s="30" t="n">
        <v>45718</v>
      </c>
      <c r="E212" s="35" t="n">
        <v>29089.86</v>
      </c>
      <c r="F212" s="35" t="n">
        <v>7934.81</v>
      </c>
      <c r="G212" s="35" t="n">
        <v>7136.87</v>
      </c>
      <c r="H212" t="inlineStr">
        <is>
          <t>Paid</t>
        </is>
      </c>
    </row>
    <row r="213">
      <c r="A213" t="inlineStr">
        <is>
          <t>CLM512860</t>
        </is>
      </c>
      <c r="B213" t="inlineStr">
        <is>
          <t>PT11226</t>
        </is>
      </c>
      <c r="C213" t="inlineStr">
        <is>
          <t>PY03</t>
        </is>
      </c>
      <c r="D213" s="30" t="n">
        <v>45724</v>
      </c>
      <c r="E213" s="35" t="n">
        <v>61046.78</v>
      </c>
      <c r="F213" s="35" t="n">
        <v>15461.08</v>
      </c>
      <c r="G213" s="35" t="n">
        <v>15461.08</v>
      </c>
      <c r="H213" t="inlineStr">
        <is>
          <t>Paid</t>
        </is>
      </c>
    </row>
    <row r="214">
      <c r="A214" t="inlineStr">
        <is>
          <t>CLM512863</t>
        </is>
      </c>
      <c r="B214" t="inlineStr">
        <is>
          <t>PT10998</t>
        </is>
      </c>
      <c r="C214" t="inlineStr">
        <is>
          <t>PY06</t>
        </is>
      </c>
      <c r="D214" s="30" t="n">
        <v>45717</v>
      </c>
      <c r="E214" s="35" t="n">
        <v>767.28</v>
      </c>
      <c r="F214" s="35" t="n">
        <v>470.11</v>
      </c>
      <c r="G214" s="35" t="n">
        <v>401.87</v>
      </c>
      <c r="H214" t="inlineStr">
        <is>
          <t>Paid</t>
        </is>
      </c>
    </row>
    <row r="215">
      <c r="A215" t="inlineStr">
        <is>
          <t>CLM512868</t>
        </is>
      </c>
      <c r="B215" t="inlineStr">
        <is>
          <t>PT12478</t>
        </is>
      </c>
      <c r="C215" t="inlineStr">
        <is>
          <t>PY01</t>
        </is>
      </c>
      <c r="D215" s="30" t="n">
        <v>45717</v>
      </c>
      <c r="E215" s="35" t="n">
        <v>1569.83</v>
      </c>
      <c r="F215" s="35" t="n">
        <v>481.53</v>
      </c>
      <c r="G215" s="35" t="n">
        <v>456.93</v>
      </c>
      <c r="H215" t="inlineStr">
        <is>
          <t>Paid</t>
        </is>
      </c>
    </row>
    <row r="216">
      <c r="A216" t="inlineStr">
        <is>
          <t>CLM512870</t>
        </is>
      </c>
      <c r="B216" t="inlineStr">
        <is>
          <t>PT11408</t>
        </is>
      </c>
      <c r="C216" t="inlineStr">
        <is>
          <t>PY03</t>
        </is>
      </c>
      <c r="D216" s="30" t="n">
        <v>45724</v>
      </c>
      <c r="E216" s="35" t="n">
        <v>28161.59</v>
      </c>
      <c r="F216" s="35" t="n">
        <v>7118.66</v>
      </c>
      <c r="G216" s="35" t="n">
        <v>7118.66</v>
      </c>
      <c r="H216" t="inlineStr">
        <is>
          <t>Paid</t>
        </is>
      </c>
    </row>
    <row r="217">
      <c r="A217" t="inlineStr">
        <is>
          <t>CLM512877</t>
        </is>
      </c>
      <c r="B217" t="inlineStr">
        <is>
          <t>PT13601</t>
        </is>
      </c>
      <c r="C217" t="inlineStr">
        <is>
          <t>PY03</t>
        </is>
      </c>
      <c r="D217" s="30" t="n">
        <v>45722</v>
      </c>
      <c r="E217" s="35" t="n">
        <v>25147.46</v>
      </c>
      <c r="F217" s="35" t="n">
        <v>5957.49</v>
      </c>
      <c r="G217" s="35" t="n">
        <v>5957.49</v>
      </c>
      <c r="H217" t="inlineStr">
        <is>
          <t>Paid</t>
        </is>
      </c>
    </row>
    <row r="218">
      <c r="A218" t="inlineStr">
        <is>
          <t>CLM512879</t>
        </is>
      </c>
      <c r="B218" t="inlineStr">
        <is>
          <t>PT10886</t>
        </is>
      </c>
      <c r="C218" t="inlineStr">
        <is>
          <t>PY02</t>
        </is>
      </c>
      <c r="D218" s="30" t="n">
        <v>45720</v>
      </c>
      <c r="E218" s="35" t="n">
        <v>8174.27</v>
      </c>
      <c r="F218" s="35" t="n">
        <v>2868.78</v>
      </c>
      <c r="G218" s="35" t="n">
        <v>2796.74</v>
      </c>
      <c r="H218" t="inlineStr">
        <is>
          <t>Paid</t>
        </is>
      </c>
    </row>
    <row r="219">
      <c r="A219" t="inlineStr">
        <is>
          <t>CLM512882</t>
        </is>
      </c>
      <c r="B219" t="inlineStr">
        <is>
          <t>PT11391</t>
        </is>
      </c>
      <c r="C219" t="inlineStr">
        <is>
          <t>PY05</t>
        </is>
      </c>
      <c r="D219" s="30" t="n">
        <v>45718</v>
      </c>
      <c r="E219" s="35" t="n">
        <v>3123.1</v>
      </c>
      <c r="F219" s="35" t="n">
        <v>1562.28</v>
      </c>
      <c r="G219" s="35" t="n">
        <v>1396.11</v>
      </c>
      <c r="H219" t="inlineStr">
        <is>
          <t>Paid</t>
        </is>
      </c>
    </row>
    <row r="220">
      <c r="A220" t="inlineStr">
        <is>
          <t>CLM512896</t>
        </is>
      </c>
      <c r="B220" t="inlineStr">
        <is>
          <t>PT11437</t>
        </is>
      </c>
      <c r="C220" t="inlineStr">
        <is>
          <t>PY02</t>
        </is>
      </c>
      <c r="D220" s="30" t="n">
        <v>45722</v>
      </c>
      <c r="E220" s="35" t="n">
        <v>12754.32</v>
      </c>
      <c r="F220" s="35" t="n">
        <v>4407.9</v>
      </c>
      <c r="G220" s="35" t="n">
        <v>4226.66</v>
      </c>
      <c r="H220" t="inlineStr">
        <is>
          <t>Paid</t>
        </is>
      </c>
    </row>
    <row r="221">
      <c r="A221" t="inlineStr">
        <is>
          <t>CLM512897</t>
        </is>
      </c>
      <c r="B221" t="inlineStr">
        <is>
          <t>PT11726</t>
        </is>
      </c>
      <c r="C221" t="inlineStr">
        <is>
          <t>PY01</t>
        </is>
      </c>
      <c r="D221" s="30" t="n">
        <v>45720</v>
      </c>
      <c r="E221" s="35" t="n">
        <v>53158.98</v>
      </c>
      <c r="F221" s="35" t="n">
        <v>14928.6</v>
      </c>
      <c r="G221" s="35" t="n">
        <v>13265.19</v>
      </c>
      <c r="H221" t="inlineStr">
        <is>
          <t>Paid</t>
        </is>
      </c>
    </row>
    <row r="222">
      <c r="A222" t="inlineStr">
        <is>
          <t>CLM512898</t>
        </is>
      </c>
      <c r="B222" t="inlineStr">
        <is>
          <t>PT13774</t>
        </is>
      </c>
      <c r="C222" t="inlineStr">
        <is>
          <t>PY01</t>
        </is>
      </c>
      <c r="D222" s="30" t="n">
        <v>45720</v>
      </c>
      <c r="E222" s="35" t="n">
        <v>4763.94</v>
      </c>
      <c r="F222" s="35" t="n">
        <v>1418.67</v>
      </c>
      <c r="G222" s="35" t="n">
        <v>1348.79</v>
      </c>
      <c r="H222" t="inlineStr">
        <is>
          <t>Paid</t>
        </is>
      </c>
    </row>
    <row r="223">
      <c r="A223" t="inlineStr">
        <is>
          <t>CLM512916</t>
        </is>
      </c>
      <c r="B223" t="inlineStr">
        <is>
          <t>PT13865</t>
        </is>
      </c>
      <c r="C223" t="inlineStr">
        <is>
          <t>PY02</t>
        </is>
      </c>
      <c r="D223" s="30" t="n">
        <v>45724</v>
      </c>
      <c r="E223" s="35" t="n">
        <v>15988.66</v>
      </c>
      <c r="F223" s="35" t="n">
        <v>4563.4</v>
      </c>
      <c r="G223" s="35" t="n">
        <v>4066.66</v>
      </c>
      <c r="H223" t="inlineStr">
        <is>
          <t>Paid</t>
        </is>
      </c>
    </row>
    <row r="224">
      <c r="A224" t="inlineStr">
        <is>
          <t>CLM512917</t>
        </is>
      </c>
      <c r="B224" t="inlineStr">
        <is>
          <t>PT13519</t>
        </is>
      </c>
      <c r="C224" t="inlineStr">
        <is>
          <t>PY05</t>
        </is>
      </c>
      <c r="D224" s="30" t="n">
        <v>45723</v>
      </c>
      <c r="E224" s="35" t="n">
        <v>15689.05</v>
      </c>
      <c r="F224" s="35" t="n">
        <v>6920.97</v>
      </c>
      <c r="G224" s="35" t="n">
        <v>5937.32</v>
      </c>
      <c r="H224" t="inlineStr">
        <is>
          <t>Paid</t>
        </is>
      </c>
    </row>
    <row r="225">
      <c r="A225" t="inlineStr">
        <is>
          <t>CLM512923</t>
        </is>
      </c>
      <c r="B225" t="inlineStr">
        <is>
          <t>PT12692</t>
        </is>
      </c>
      <c r="C225" t="inlineStr">
        <is>
          <t>PY03</t>
        </is>
      </c>
      <c r="D225" s="30" t="n">
        <v>45719</v>
      </c>
      <c r="E225" s="35" t="n">
        <v>627.1</v>
      </c>
      <c r="F225" s="35" t="n">
        <v>149.1</v>
      </c>
      <c r="G225" s="35" t="n">
        <v>149.1</v>
      </c>
      <c r="H225" t="inlineStr">
        <is>
          <t>Paid</t>
        </is>
      </c>
    </row>
    <row r="226">
      <c r="A226" t="inlineStr">
        <is>
          <t>CLM512940</t>
        </is>
      </c>
      <c r="B226" t="inlineStr">
        <is>
          <t>PT12760</t>
        </is>
      </c>
      <c r="C226" t="inlineStr">
        <is>
          <t>PY03</t>
        </is>
      </c>
      <c r="D226" s="30" t="n">
        <v>45720</v>
      </c>
      <c r="E226" s="35" t="n">
        <v>865.95</v>
      </c>
      <c r="F226" s="35" t="n">
        <v>220.92</v>
      </c>
      <c r="G226" s="35" t="n">
        <v>220.92</v>
      </c>
      <c r="H226" t="inlineStr">
        <is>
          <t>Paid</t>
        </is>
      </c>
    </row>
    <row r="227">
      <c r="A227" t="inlineStr">
        <is>
          <t>CLM512947</t>
        </is>
      </c>
      <c r="B227" t="inlineStr">
        <is>
          <t>PT11190</t>
        </is>
      </c>
      <c r="C227" t="inlineStr">
        <is>
          <t>PY03</t>
        </is>
      </c>
      <c r="D227" s="30" t="n">
        <v>45723</v>
      </c>
      <c r="E227" s="35" t="n">
        <v>12119.24</v>
      </c>
      <c r="F227" s="35" t="n">
        <v>2865.52</v>
      </c>
      <c r="G227" s="35" t="n">
        <v>2865.52</v>
      </c>
      <c r="H227" t="inlineStr">
        <is>
          <t>Paid</t>
        </is>
      </c>
    </row>
    <row r="228">
      <c r="A228" t="inlineStr">
        <is>
          <t>CLM512952</t>
        </is>
      </c>
      <c r="B228" t="inlineStr">
        <is>
          <t>PT10701</t>
        </is>
      </c>
      <c r="C228" t="inlineStr">
        <is>
          <t>PY03</t>
        </is>
      </c>
      <c r="D228" s="30" t="n">
        <v>45720</v>
      </c>
      <c r="E228" s="35" t="n">
        <v>3355.07</v>
      </c>
      <c r="F228" s="35" t="n">
        <v>736.97</v>
      </c>
      <c r="G228" s="35" t="n">
        <v>736.97</v>
      </c>
      <c r="H228" t="inlineStr">
        <is>
          <t>Paid</t>
        </is>
      </c>
    </row>
    <row r="229">
      <c r="A229" t="inlineStr">
        <is>
          <t>CLM512954</t>
        </is>
      </c>
      <c r="B229" t="inlineStr">
        <is>
          <t>PT12221</t>
        </is>
      </c>
      <c r="C229" t="inlineStr">
        <is>
          <t>PY03</t>
        </is>
      </c>
      <c r="D229" s="30" t="n">
        <v>45720</v>
      </c>
      <c r="E229" s="35" t="n">
        <v>2750.98</v>
      </c>
      <c r="F229" s="35" t="n">
        <v>690.1799999999999</v>
      </c>
      <c r="G229" s="35" t="n">
        <v>690.1799999999999</v>
      </c>
      <c r="H229" t="inlineStr">
        <is>
          <t>Paid</t>
        </is>
      </c>
    </row>
    <row r="230">
      <c r="A230" t="inlineStr">
        <is>
          <t>CLM512956</t>
        </is>
      </c>
      <c r="B230" t="inlineStr">
        <is>
          <t>PT10629</t>
        </is>
      </c>
      <c r="C230" t="inlineStr">
        <is>
          <t>PY05</t>
        </is>
      </c>
      <c r="D230" s="30" t="n">
        <v>45720</v>
      </c>
      <c r="E230" s="35" t="n">
        <v>445.49</v>
      </c>
      <c r="F230" s="35" t="n">
        <v>221.75</v>
      </c>
      <c r="G230" s="35" t="n">
        <v>207.74</v>
      </c>
      <c r="H230" t="inlineStr">
        <is>
          <t>Paid</t>
        </is>
      </c>
    </row>
    <row r="231">
      <c r="A231" t="inlineStr">
        <is>
          <t>CLM512957</t>
        </is>
      </c>
      <c r="B231" t="inlineStr">
        <is>
          <t>PT11136</t>
        </is>
      </c>
      <c r="C231" t="inlineStr">
        <is>
          <t>PY03</t>
        </is>
      </c>
      <c r="D231" s="30" t="n">
        <v>45721</v>
      </c>
      <c r="E231" s="35" t="n">
        <v>3117</v>
      </c>
      <c r="F231" s="35" t="n">
        <v>699.05</v>
      </c>
      <c r="G231" s="35" t="n">
        <v>699.05</v>
      </c>
      <c r="H231" t="inlineStr">
        <is>
          <t>Paid</t>
        </is>
      </c>
    </row>
    <row r="232">
      <c r="A232" t="inlineStr">
        <is>
          <t>CLM512958</t>
        </is>
      </c>
      <c r="B232" t="inlineStr">
        <is>
          <t>PT11274</t>
        </is>
      </c>
      <c r="C232" t="inlineStr">
        <is>
          <t>PY01</t>
        </is>
      </c>
      <c r="D232" s="30" t="n">
        <v>45726</v>
      </c>
      <c r="E232" s="35" t="n">
        <v>18510.73</v>
      </c>
      <c r="F232" s="35" t="n">
        <v>5837.69</v>
      </c>
      <c r="G232" s="35" t="n">
        <v>5347.82</v>
      </c>
      <c r="H232" t="inlineStr">
        <is>
          <t>Paid</t>
        </is>
      </c>
    </row>
    <row r="233">
      <c r="A233" t="inlineStr">
        <is>
          <t>CLM512968</t>
        </is>
      </c>
      <c r="B233" t="inlineStr">
        <is>
          <t>PT13940</t>
        </is>
      </c>
      <c r="C233" t="inlineStr">
        <is>
          <t>PY05</t>
        </is>
      </c>
      <c r="D233" s="30" t="n">
        <v>45724</v>
      </c>
      <c r="E233" s="35" t="n">
        <v>14855.64</v>
      </c>
      <c r="F233" s="35" t="n">
        <v>6662.78</v>
      </c>
      <c r="G233" s="35" t="n">
        <v>5608.24</v>
      </c>
      <c r="H233" t="inlineStr">
        <is>
          <t>Paid</t>
        </is>
      </c>
    </row>
    <row r="234">
      <c r="A234" t="inlineStr">
        <is>
          <t>CLM512971</t>
        </is>
      </c>
      <c r="B234" t="inlineStr">
        <is>
          <t>PT10805</t>
        </is>
      </c>
      <c r="C234" t="inlineStr">
        <is>
          <t>PY01</t>
        </is>
      </c>
      <c r="D234" s="30" t="n">
        <v>45721</v>
      </c>
      <c r="E234" s="35" t="n">
        <v>780.92</v>
      </c>
      <c r="F234" s="35" t="n">
        <v>233.76</v>
      </c>
      <c r="G234" s="35" t="n">
        <v>220.76</v>
      </c>
      <c r="H234" t="inlineStr">
        <is>
          <t>Paid</t>
        </is>
      </c>
    </row>
    <row r="235">
      <c r="A235" t="inlineStr">
        <is>
          <t>CLM512987</t>
        </is>
      </c>
      <c r="B235" t="inlineStr">
        <is>
          <t>PT10328</t>
        </is>
      </c>
      <c r="C235" t="inlineStr">
        <is>
          <t>PY04</t>
        </is>
      </c>
      <c r="D235" s="30" t="n">
        <v>45721</v>
      </c>
      <c r="E235" s="35" t="n">
        <v>3246.99</v>
      </c>
      <c r="F235" s="35" t="n">
        <v>1706.46</v>
      </c>
      <c r="G235" s="35" t="n">
        <v>1549.49</v>
      </c>
      <c r="H235" t="inlineStr">
        <is>
          <t>Paid</t>
        </is>
      </c>
    </row>
    <row r="236">
      <c r="A236" t="inlineStr">
        <is>
          <t>CLM512994</t>
        </is>
      </c>
      <c r="B236" t="inlineStr">
        <is>
          <t>PT10013</t>
        </is>
      </c>
      <c r="C236" t="inlineStr">
        <is>
          <t>PY02</t>
        </is>
      </c>
      <c r="D236" s="30" t="n">
        <v>45725</v>
      </c>
      <c r="E236" s="35" t="n">
        <v>11040.01</v>
      </c>
      <c r="F236" s="35" t="n">
        <v>3683.77</v>
      </c>
      <c r="G236" s="35" t="n">
        <v>3482.05</v>
      </c>
      <c r="H236" t="inlineStr">
        <is>
          <t>Paid</t>
        </is>
      </c>
    </row>
    <row r="237">
      <c r="A237" t="inlineStr">
        <is>
          <t>CLM513053</t>
        </is>
      </c>
      <c r="B237" t="inlineStr">
        <is>
          <t>PT12101</t>
        </is>
      </c>
      <c r="C237" t="inlineStr">
        <is>
          <t>PY05</t>
        </is>
      </c>
      <c r="D237" s="30" t="n">
        <v>45723</v>
      </c>
      <c r="E237" s="35" t="n">
        <v>3940.4</v>
      </c>
      <c r="F237" s="35" t="n">
        <v>0</v>
      </c>
      <c r="G237" s="35" t="n">
        <v>0</v>
      </c>
      <c r="H237" t="inlineStr">
        <is>
          <t>Denied</t>
        </is>
      </c>
      <c r="I237" t="inlineStr">
        <is>
          <t>Medical Necessity</t>
        </is>
      </c>
    </row>
    <row r="238">
      <c r="A238" t="inlineStr">
        <is>
          <t>CLM513054</t>
        </is>
      </c>
      <c r="B238" t="inlineStr">
        <is>
          <t>PT11058</t>
        </is>
      </c>
      <c r="C238" t="inlineStr">
        <is>
          <t>PY02</t>
        </is>
      </c>
      <c r="D238" s="30" t="n">
        <v>45726</v>
      </c>
      <c r="E238" s="35" t="n">
        <v>11859.51</v>
      </c>
      <c r="F238" s="35" t="n">
        <v>3969.58</v>
      </c>
      <c r="G238" s="35" t="n">
        <v>3444.79</v>
      </c>
      <c r="H238" t="inlineStr">
        <is>
          <t>Paid</t>
        </is>
      </c>
    </row>
    <row r="239">
      <c r="A239" t="inlineStr">
        <is>
          <t>CLM513056</t>
        </is>
      </c>
      <c r="B239" t="inlineStr">
        <is>
          <t>PT11180</t>
        </is>
      </c>
      <c r="C239" t="inlineStr">
        <is>
          <t>PY04</t>
        </is>
      </c>
      <c r="D239" s="30" t="n">
        <v>45725</v>
      </c>
      <c r="E239" s="35" t="n">
        <v>8846.99</v>
      </c>
      <c r="F239" s="35" t="n">
        <v>4403.15</v>
      </c>
      <c r="G239" s="35" t="n">
        <v>4263.56</v>
      </c>
      <c r="H239" t="inlineStr">
        <is>
          <t>Paid</t>
        </is>
      </c>
    </row>
    <row r="240">
      <c r="A240" t="inlineStr">
        <is>
          <t>CLM513070</t>
        </is>
      </c>
      <c r="B240" t="inlineStr">
        <is>
          <t>PT11308</t>
        </is>
      </c>
      <c r="C240" t="inlineStr">
        <is>
          <t>PY04</t>
        </is>
      </c>
      <c r="D240" s="30" t="n">
        <v>45730</v>
      </c>
      <c r="E240" s="35" t="n">
        <v>25944.82</v>
      </c>
      <c r="F240" s="35" t="n">
        <v>11697.01</v>
      </c>
      <c r="G240" s="35" t="n">
        <v>10947.23</v>
      </c>
      <c r="H240" t="inlineStr">
        <is>
          <t>Paid</t>
        </is>
      </c>
    </row>
    <row r="241">
      <c r="A241" t="inlineStr">
        <is>
          <t>CLM513081</t>
        </is>
      </c>
      <c r="B241" t="inlineStr">
        <is>
          <t>PT13745</t>
        </is>
      </c>
      <c r="C241" t="inlineStr">
        <is>
          <t>PY06</t>
        </is>
      </c>
      <c r="D241" s="30" t="n">
        <v>45729</v>
      </c>
      <c r="E241" s="35" t="n">
        <v>19677.55</v>
      </c>
      <c r="F241" s="35" t="n">
        <v>10140.16</v>
      </c>
      <c r="G241" s="35" t="n">
        <v>9486.83</v>
      </c>
      <c r="H241" t="inlineStr">
        <is>
          <t>Paid</t>
        </is>
      </c>
    </row>
    <row r="242">
      <c r="A242" t="inlineStr">
        <is>
          <t>CLM513098</t>
        </is>
      </c>
      <c r="B242" t="inlineStr">
        <is>
          <t>PT10819</t>
        </is>
      </c>
      <c r="C242" t="inlineStr">
        <is>
          <t>PY04</t>
        </is>
      </c>
      <c r="D242" s="30" t="n">
        <v>45726</v>
      </c>
      <c r="E242" s="35" t="n">
        <v>3603.37</v>
      </c>
      <c r="F242" s="35" t="n">
        <v>1854.53</v>
      </c>
      <c r="G242" s="35" t="n">
        <v>1595.07</v>
      </c>
      <c r="H242" t="inlineStr">
        <is>
          <t>Paid</t>
        </is>
      </c>
    </row>
    <row r="243">
      <c r="A243" t="inlineStr">
        <is>
          <t>CLM513134</t>
        </is>
      </c>
      <c r="B243" t="inlineStr">
        <is>
          <t>PT13435</t>
        </is>
      </c>
      <c r="C243" t="inlineStr">
        <is>
          <t>PY03</t>
        </is>
      </c>
      <c r="D243" s="30" t="n">
        <v>45728</v>
      </c>
      <c r="E243" s="35" t="n">
        <v>12393.77</v>
      </c>
      <c r="F243" s="35" t="n">
        <v>3298.19</v>
      </c>
      <c r="G243" s="35" t="n">
        <v>3298.19</v>
      </c>
      <c r="H243" t="inlineStr">
        <is>
          <t>Paid</t>
        </is>
      </c>
    </row>
    <row r="244">
      <c r="A244" t="inlineStr">
        <is>
          <t>CLM513135</t>
        </is>
      </c>
      <c r="B244" t="inlineStr">
        <is>
          <t>PT13701</t>
        </is>
      </c>
      <c r="C244" t="inlineStr">
        <is>
          <t>PY03</t>
        </is>
      </c>
      <c r="D244" s="30" t="n">
        <v>45726</v>
      </c>
      <c r="E244" s="35" t="n">
        <v>2472.61</v>
      </c>
      <c r="F244" s="35" t="n">
        <v>0</v>
      </c>
      <c r="G244" s="35" t="n">
        <v>0</v>
      </c>
      <c r="H244" t="inlineStr">
        <is>
          <t>Appealed</t>
        </is>
      </c>
      <c r="I244" t="inlineStr">
        <is>
          <t>Missing Documentation</t>
        </is>
      </c>
    </row>
    <row r="245">
      <c r="A245" t="inlineStr">
        <is>
          <t>CLM513136</t>
        </is>
      </c>
      <c r="B245" t="inlineStr">
        <is>
          <t>PT12159</t>
        </is>
      </c>
      <c r="C245" t="inlineStr">
        <is>
          <t>PY05</t>
        </is>
      </c>
      <c r="D245" s="30" t="n">
        <v>45726</v>
      </c>
      <c r="E245" s="35" t="n">
        <v>4205.64</v>
      </c>
      <c r="F245" s="35" t="n">
        <v>2369.2</v>
      </c>
      <c r="G245" s="35" t="n">
        <v>2340.83</v>
      </c>
      <c r="H245" t="inlineStr">
        <is>
          <t>Paid</t>
        </is>
      </c>
    </row>
    <row r="246">
      <c r="A246" t="inlineStr">
        <is>
          <t>CLM513137</t>
        </is>
      </c>
      <c r="B246" t="inlineStr">
        <is>
          <t>PT11635</t>
        </is>
      </c>
      <c r="C246" t="inlineStr">
        <is>
          <t>PY07</t>
        </is>
      </c>
      <c r="D246" s="30" t="n">
        <v>45726</v>
      </c>
      <c r="E246" s="35" t="n">
        <v>1162.94</v>
      </c>
      <c r="F246" s="35" t="n">
        <v>460.21</v>
      </c>
      <c r="G246" s="35" t="n">
        <v>237.63</v>
      </c>
      <c r="H246" t="inlineStr">
        <is>
          <t>Partially Paid</t>
        </is>
      </c>
    </row>
    <row r="247">
      <c r="A247" t="inlineStr">
        <is>
          <t>CLM513150</t>
        </is>
      </c>
      <c r="B247" t="inlineStr">
        <is>
          <t>PT11504</t>
        </is>
      </c>
      <c r="C247" t="inlineStr">
        <is>
          <t>PY01</t>
        </is>
      </c>
      <c r="D247" s="30" t="n">
        <v>45730</v>
      </c>
      <c r="E247" s="35" t="n">
        <v>18627.42</v>
      </c>
      <c r="F247" s="35" t="n">
        <v>6645.08</v>
      </c>
      <c r="G247" s="35" t="n">
        <v>5796.79</v>
      </c>
      <c r="H247" t="inlineStr">
        <is>
          <t>Paid</t>
        </is>
      </c>
    </row>
    <row r="248">
      <c r="A248" t="inlineStr">
        <is>
          <t>CLM513151</t>
        </is>
      </c>
      <c r="B248" t="inlineStr">
        <is>
          <t>PT13815</t>
        </is>
      </c>
      <c r="C248" t="inlineStr">
        <is>
          <t>PY06</t>
        </is>
      </c>
      <c r="D248" s="30" t="n">
        <v>45729</v>
      </c>
      <c r="E248" s="35" t="n">
        <v>10612.49</v>
      </c>
      <c r="F248" s="35" t="n">
        <v>6066.75</v>
      </c>
      <c r="G248" s="35" t="n">
        <v>5445.44</v>
      </c>
      <c r="H248" t="inlineStr">
        <is>
          <t>Paid</t>
        </is>
      </c>
    </row>
    <row r="249">
      <c r="A249" t="inlineStr">
        <is>
          <t>CLM513160</t>
        </is>
      </c>
      <c r="B249" t="inlineStr">
        <is>
          <t>PT11315</t>
        </is>
      </c>
      <c r="C249" t="inlineStr">
        <is>
          <t>PY01</t>
        </is>
      </c>
      <c r="D249" s="30" t="n">
        <v>45734</v>
      </c>
      <c r="E249" s="35" t="n">
        <v>40387.75</v>
      </c>
      <c r="F249" s="35" t="n">
        <v>12422.6</v>
      </c>
      <c r="G249" s="35" t="n">
        <v>11051.53</v>
      </c>
      <c r="H249" t="inlineStr">
        <is>
          <t>Paid</t>
        </is>
      </c>
    </row>
    <row r="250">
      <c r="A250" t="inlineStr">
        <is>
          <t>CLM513170</t>
        </is>
      </c>
      <c r="B250" t="inlineStr">
        <is>
          <t>PT12410</t>
        </is>
      </c>
      <c r="C250" t="inlineStr">
        <is>
          <t>PY05</t>
        </is>
      </c>
      <c r="D250" s="30" t="n">
        <v>45727</v>
      </c>
      <c r="E250" s="35" t="n">
        <v>2486.81</v>
      </c>
      <c r="F250" s="35" t="n">
        <v>0</v>
      </c>
      <c r="G250" s="35" t="n">
        <v>0</v>
      </c>
      <c r="H250" t="inlineStr">
        <is>
          <t>Denied</t>
        </is>
      </c>
      <c r="I250" t="inlineStr">
        <is>
          <t>Medical Necessity</t>
        </is>
      </c>
    </row>
    <row r="251">
      <c r="A251" t="inlineStr">
        <is>
          <t>CLM513176</t>
        </is>
      </c>
      <c r="B251" t="inlineStr">
        <is>
          <t>PT10998</t>
        </is>
      </c>
      <c r="C251" t="inlineStr">
        <is>
          <t>PY06</t>
        </is>
      </c>
      <c r="D251" s="30" t="n">
        <v>45727</v>
      </c>
      <c r="E251" s="35" t="n">
        <v>3334.69</v>
      </c>
      <c r="F251" s="35" t="n">
        <v>1736.66</v>
      </c>
      <c r="G251" s="35" t="n">
        <v>1494.9</v>
      </c>
      <c r="H251" t="inlineStr">
        <is>
          <t>Paid</t>
        </is>
      </c>
    </row>
    <row r="252">
      <c r="A252" t="inlineStr">
        <is>
          <t>CLM513181</t>
        </is>
      </c>
      <c r="B252" t="inlineStr">
        <is>
          <t>PT11289</t>
        </is>
      </c>
      <c r="C252" t="inlineStr">
        <is>
          <t>PY07</t>
        </is>
      </c>
      <c r="D252" s="30" t="n">
        <v>45731</v>
      </c>
      <c r="E252" s="35" t="n">
        <v>18049.28</v>
      </c>
      <c r="F252" s="35" t="n">
        <v>7902.62</v>
      </c>
      <c r="G252" s="35" t="n">
        <v>7902.62</v>
      </c>
      <c r="H252" t="inlineStr">
        <is>
          <t>Paid</t>
        </is>
      </c>
    </row>
    <row r="253">
      <c r="A253" t="inlineStr">
        <is>
          <t>CLM513182</t>
        </is>
      </c>
      <c r="B253" t="inlineStr">
        <is>
          <t>PT12166</t>
        </is>
      </c>
      <c r="C253" t="inlineStr">
        <is>
          <t>PY01</t>
        </is>
      </c>
      <c r="D253" s="30" t="n">
        <v>45731</v>
      </c>
      <c r="E253" s="35" t="n">
        <v>8325.09</v>
      </c>
      <c r="F253" s="35" t="n">
        <v>2736.15</v>
      </c>
      <c r="G253" s="35" t="n">
        <v>2552.62</v>
      </c>
      <c r="H253" t="inlineStr">
        <is>
          <t>Paid</t>
        </is>
      </c>
    </row>
    <row r="254">
      <c r="A254" t="inlineStr">
        <is>
          <t>CLM513184</t>
        </is>
      </c>
      <c r="B254" t="inlineStr">
        <is>
          <t>PT13799</t>
        </is>
      </c>
      <c r="C254" t="inlineStr">
        <is>
          <t>PY01</t>
        </is>
      </c>
      <c r="D254" s="30" t="n">
        <v>45738</v>
      </c>
      <c r="E254" s="35" t="n">
        <v>72720.09</v>
      </c>
      <c r="F254" s="35" t="n">
        <v>22251.15</v>
      </c>
      <c r="G254" s="35" t="n">
        <v>19476.87</v>
      </c>
      <c r="H254" t="inlineStr">
        <is>
          <t>Paid</t>
        </is>
      </c>
    </row>
    <row r="255">
      <c r="A255" t="inlineStr">
        <is>
          <t>CLM513210</t>
        </is>
      </c>
      <c r="B255" t="inlineStr">
        <is>
          <t>PT13575</t>
        </is>
      </c>
      <c r="C255" t="inlineStr">
        <is>
          <t>PY03</t>
        </is>
      </c>
      <c r="D255" s="30" t="n">
        <v>45733</v>
      </c>
      <c r="E255" s="35" t="n">
        <v>19938.06</v>
      </c>
      <c r="F255" s="35" t="n">
        <v>5217.32</v>
      </c>
      <c r="G255" s="35" t="n">
        <v>5217.32</v>
      </c>
      <c r="H255" t="inlineStr">
        <is>
          <t>Paid</t>
        </is>
      </c>
    </row>
    <row r="256">
      <c r="A256" t="inlineStr">
        <is>
          <t>CLM513211</t>
        </is>
      </c>
      <c r="B256" t="inlineStr">
        <is>
          <t>PT12649</t>
        </is>
      </c>
      <c r="C256" t="inlineStr">
        <is>
          <t>PY06</t>
        </is>
      </c>
      <c r="D256" s="30" t="n">
        <v>45729</v>
      </c>
      <c r="E256" s="35" t="n">
        <v>14338.34</v>
      </c>
      <c r="F256" s="35" t="n">
        <v>0</v>
      </c>
      <c r="G256" s="35" t="n">
        <v>0</v>
      </c>
      <c r="H256" t="inlineStr">
        <is>
          <t>Denied</t>
        </is>
      </c>
      <c r="I256" t="inlineStr">
        <is>
          <t>Authorization Required</t>
        </is>
      </c>
    </row>
    <row r="257">
      <c r="A257" t="inlineStr">
        <is>
          <t>CLM513212</t>
        </is>
      </c>
      <c r="B257" t="inlineStr">
        <is>
          <t>PT13261</t>
        </is>
      </c>
      <c r="C257" t="inlineStr">
        <is>
          <t>PY02</t>
        </is>
      </c>
      <c r="D257" s="30" t="n">
        <v>45735</v>
      </c>
      <c r="E257" s="35" t="n">
        <v>74763.66</v>
      </c>
      <c r="F257" s="35" t="n">
        <v>22471.31</v>
      </c>
      <c r="G257" s="35" t="n">
        <v>20078.64</v>
      </c>
      <c r="H257" t="inlineStr">
        <is>
          <t>Paid</t>
        </is>
      </c>
    </row>
    <row r="258">
      <c r="A258" t="inlineStr">
        <is>
          <t>CLM513217</t>
        </is>
      </c>
      <c r="B258" t="inlineStr">
        <is>
          <t>PT11394</t>
        </is>
      </c>
      <c r="C258" t="inlineStr">
        <is>
          <t>PY02</t>
        </is>
      </c>
      <c r="D258" s="30" t="n">
        <v>45732</v>
      </c>
      <c r="E258" s="35" t="n">
        <v>18184.09</v>
      </c>
      <c r="F258" s="35" t="n">
        <v>6648.47</v>
      </c>
      <c r="G258" s="35" t="n">
        <v>6312.83</v>
      </c>
      <c r="H258" t="inlineStr">
        <is>
          <t>Paid</t>
        </is>
      </c>
    </row>
    <row r="259">
      <c r="A259" t="inlineStr">
        <is>
          <t>CLM513246</t>
        </is>
      </c>
      <c r="B259" t="inlineStr">
        <is>
          <t>PT12557</t>
        </is>
      </c>
      <c r="C259" t="inlineStr">
        <is>
          <t>PY03</t>
        </is>
      </c>
      <c r="D259" s="30" t="n">
        <v>45729</v>
      </c>
      <c r="E259" s="35" t="n">
        <v>1382.19</v>
      </c>
      <c r="F259" s="35" t="n">
        <v>338.63</v>
      </c>
      <c r="G259" s="35" t="n">
        <v>338.63</v>
      </c>
      <c r="H259" t="inlineStr">
        <is>
          <t>Paid</t>
        </is>
      </c>
    </row>
    <row r="260">
      <c r="A260" t="inlineStr">
        <is>
          <t>CLM513251</t>
        </is>
      </c>
      <c r="B260" t="inlineStr">
        <is>
          <t>PT10011</t>
        </is>
      </c>
      <c r="C260" t="inlineStr">
        <is>
          <t>PY01</t>
        </is>
      </c>
      <c r="D260" s="30" t="n">
        <v>45729</v>
      </c>
      <c r="E260" s="35" t="n">
        <v>1746.28</v>
      </c>
      <c r="F260" s="35" t="n">
        <v>543.8099999999999</v>
      </c>
      <c r="G260" s="35" t="n">
        <v>537.17</v>
      </c>
      <c r="H260" t="inlineStr">
        <is>
          <t>Paid</t>
        </is>
      </c>
    </row>
    <row r="261">
      <c r="A261" t="inlineStr">
        <is>
          <t>CLM513258</t>
        </is>
      </c>
      <c r="B261" t="inlineStr">
        <is>
          <t>PT12194</t>
        </is>
      </c>
      <c r="C261" t="inlineStr">
        <is>
          <t>PY01</t>
        </is>
      </c>
      <c r="D261" s="30" t="n">
        <v>45730</v>
      </c>
      <c r="E261" s="35" t="n">
        <v>2699.79</v>
      </c>
      <c r="F261" s="35" t="n">
        <v>802.9400000000001</v>
      </c>
      <c r="G261" s="35" t="n">
        <v>754.48</v>
      </c>
      <c r="H261" t="inlineStr">
        <is>
          <t>Paid</t>
        </is>
      </c>
    </row>
    <row r="262">
      <c r="A262" t="inlineStr">
        <is>
          <t>CLM513268</t>
        </is>
      </c>
      <c r="B262" t="inlineStr">
        <is>
          <t>PT11443</t>
        </is>
      </c>
      <c r="C262" t="inlineStr">
        <is>
          <t>PY03</t>
        </is>
      </c>
      <c r="D262" s="30" t="n">
        <v>45730</v>
      </c>
      <c r="E262" s="35" t="n">
        <v>2898.68</v>
      </c>
      <c r="F262" s="35" t="n">
        <v>0</v>
      </c>
      <c r="G262" s="35" t="n">
        <v>0</v>
      </c>
      <c r="H262" t="inlineStr">
        <is>
          <t>Denied</t>
        </is>
      </c>
      <c r="I262" t="inlineStr">
        <is>
          <t>Coding Error</t>
        </is>
      </c>
    </row>
    <row r="263">
      <c r="A263" t="inlineStr">
        <is>
          <t>CLM513272</t>
        </is>
      </c>
      <c r="B263" t="inlineStr">
        <is>
          <t>PT10611</t>
        </is>
      </c>
      <c r="C263" t="inlineStr">
        <is>
          <t>PY03</t>
        </is>
      </c>
      <c r="D263" s="30" t="n">
        <v>45730</v>
      </c>
      <c r="E263" s="35" t="n">
        <v>523.96</v>
      </c>
      <c r="F263" s="35" t="n">
        <v>115.4</v>
      </c>
      <c r="G263" s="35" t="n">
        <v>115.4</v>
      </c>
      <c r="H263" t="inlineStr">
        <is>
          <t>Paid</t>
        </is>
      </c>
    </row>
    <row r="264">
      <c r="A264" t="inlineStr">
        <is>
          <t>CLM513289</t>
        </is>
      </c>
      <c r="B264" t="inlineStr">
        <is>
          <t>PT11310</t>
        </is>
      </c>
      <c r="C264" t="inlineStr">
        <is>
          <t>PY01</t>
        </is>
      </c>
      <c r="D264" s="30" t="n">
        <v>45731</v>
      </c>
      <c r="E264" s="35" t="n">
        <v>2501.48</v>
      </c>
      <c r="F264" s="35" t="n">
        <v>738.04</v>
      </c>
      <c r="G264" s="35" t="n">
        <v>664.51</v>
      </c>
      <c r="H264" t="inlineStr">
        <is>
          <t>Paid</t>
        </is>
      </c>
    </row>
    <row r="265">
      <c r="A265" t="inlineStr">
        <is>
          <t>CLM513290</t>
        </is>
      </c>
      <c r="B265" t="inlineStr">
        <is>
          <t>PT10976</t>
        </is>
      </c>
      <c r="C265" t="inlineStr">
        <is>
          <t>PY04</t>
        </is>
      </c>
      <c r="D265" s="30" t="n">
        <v>45731</v>
      </c>
      <c r="E265" s="35" t="n">
        <v>1450.04</v>
      </c>
      <c r="F265" s="35" t="n">
        <v>826.01</v>
      </c>
      <c r="G265" s="35" t="n">
        <v>719.5599999999999</v>
      </c>
      <c r="H265" t="inlineStr">
        <is>
          <t>Paid</t>
        </is>
      </c>
    </row>
    <row r="266">
      <c r="A266" t="inlineStr">
        <is>
          <t>CLM513291</t>
        </is>
      </c>
      <c r="B266" t="inlineStr">
        <is>
          <t>PT11727</t>
        </is>
      </c>
      <c r="C266" t="inlineStr">
        <is>
          <t>PY06</t>
        </is>
      </c>
      <c r="D266" s="30" t="n">
        <v>45734</v>
      </c>
      <c r="E266" s="35" t="n">
        <v>14210.46</v>
      </c>
      <c r="F266" s="35" t="n">
        <v>6819.57</v>
      </c>
      <c r="G266" s="35" t="n">
        <v>6427.18</v>
      </c>
      <c r="H266" t="inlineStr">
        <is>
          <t>Paid</t>
        </is>
      </c>
    </row>
    <row r="267">
      <c r="A267" t="inlineStr">
        <is>
          <t>CLM513292</t>
        </is>
      </c>
      <c r="B267" t="inlineStr">
        <is>
          <t>PT12159</t>
        </is>
      </c>
      <c r="C267" t="inlineStr">
        <is>
          <t>PY05</t>
        </is>
      </c>
      <c r="D267" s="30" t="n">
        <v>45736</v>
      </c>
      <c r="E267" s="35" t="n">
        <v>60583.12</v>
      </c>
      <c r="F267" s="35" t="n">
        <v>27082.44</v>
      </c>
      <c r="G267" s="35" t="n">
        <v>24675.43</v>
      </c>
      <c r="H267" t="inlineStr">
        <is>
          <t>Paid</t>
        </is>
      </c>
    </row>
    <row r="268">
      <c r="A268" t="inlineStr">
        <is>
          <t>CLM513295</t>
        </is>
      </c>
      <c r="B268" t="inlineStr">
        <is>
          <t>PT10886</t>
        </is>
      </c>
      <c r="C268" t="inlineStr">
        <is>
          <t>PY02</t>
        </is>
      </c>
      <c r="D268" s="30" t="n">
        <v>45731</v>
      </c>
      <c r="E268" s="35" t="n">
        <v>11166.12</v>
      </c>
      <c r="F268" s="35" t="n">
        <v>3295.44</v>
      </c>
      <c r="G268" s="35" t="n">
        <v>3103.57</v>
      </c>
      <c r="H268" t="inlineStr">
        <is>
          <t>Paid</t>
        </is>
      </c>
    </row>
    <row r="269">
      <c r="A269" t="inlineStr">
        <is>
          <t>CLM513297</t>
        </is>
      </c>
      <c r="B269" t="inlineStr">
        <is>
          <t>PT10786</t>
        </is>
      </c>
      <c r="C269" t="inlineStr">
        <is>
          <t>PY07</t>
        </is>
      </c>
      <c r="D269" s="30" t="n">
        <v>45731</v>
      </c>
      <c r="E269" s="35" t="n">
        <v>1170.59</v>
      </c>
      <c r="F269" s="35" t="n">
        <v>470.75</v>
      </c>
      <c r="G269" s="35" t="n">
        <v>313.25</v>
      </c>
      <c r="H269" t="inlineStr">
        <is>
          <t>Partially Paid</t>
        </is>
      </c>
    </row>
    <row r="270">
      <c r="A270" t="inlineStr">
        <is>
          <t>CLM513305</t>
        </is>
      </c>
      <c r="B270" t="inlineStr">
        <is>
          <t>PT11408</t>
        </is>
      </c>
      <c r="C270" t="inlineStr">
        <is>
          <t>PY03</t>
        </is>
      </c>
      <c r="D270" s="30" t="n">
        <v>45735</v>
      </c>
      <c r="E270" s="35" t="n">
        <v>11780.94</v>
      </c>
      <c r="F270" s="35" t="n">
        <v>2646.37</v>
      </c>
      <c r="G270" s="35" t="n">
        <v>2646.37</v>
      </c>
      <c r="H270" t="inlineStr">
        <is>
          <t>Paid</t>
        </is>
      </c>
    </row>
    <row r="271">
      <c r="A271" t="inlineStr">
        <is>
          <t>CLM513306</t>
        </is>
      </c>
      <c r="B271" t="inlineStr">
        <is>
          <t>PT12019</t>
        </is>
      </c>
      <c r="C271" t="inlineStr">
        <is>
          <t>PY01</t>
        </is>
      </c>
      <c r="D271" s="30" t="n">
        <v>45738</v>
      </c>
      <c r="E271" s="35" t="n">
        <v>23686.51</v>
      </c>
      <c r="F271" s="35" t="n">
        <v>6908.22</v>
      </c>
      <c r="G271" s="35" t="n">
        <v>6495.85</v>
      </c>
      <c r="H271" t="inlineStr">
        <is>
          <t>Paid</t>
        </is>
      </c>
    </row>
    <row r="272">
      <c r="A272" t="inlineStr">
        <is>
          <t>CLM513311</t>
        </is>
      </c>
      <c r="B272" t="inlineStr">
        <is>
          <t>PT12124</t>
        </is>
      </c>
      <c r="C272" t="inlineStr">
        <is>
          <t>PY04</t>
        </is>
      </c>
      <c r="D272" s="30" t="n">
        <v>45732</v>
      </c>
      <c r="E272" s="35" t="n">
        <v>3893</v>
      </c>
      <c r="F272" s="35" t="n">
        <v>1886.1</v>
      </c>
      <c r="G272" s="35" t="n">
        <v>1579.78</v>
      </c>
      <c r="H272" t="inlineStr">
        <is>
          <t>Paid</t>
        </is>
      </c>
    </row>
    <row r="273">
      <c r="A273" t="inlineStr">
        <is>
          <t>CLM513315</t>
        </is>
      </c>
      <c r="B273" t="inlineStr">
        <is>
          <t>PT11101</t>
        </is>
      </c>
      <c r="C273" t="inlineStr">
        <is>
          <t>PY01</t>
        </is>
      </c>
      <c r="D273" s="30" t="n">
        <v>45732</v>
      </c>
      <c r="E273" s="35" t="n">
        <v>3647.86</v>
      </c>
      <c r="F273" s="35" t="n">
        <v>1229.17</v>
      </c>
      <c r="G273" s="35" t="n">
        <v>1042.2</v>
      </c>
      <c r="H273" t="inlineStr">
        <is>
          <t>Paid</t>
        </is>
      </c>
    </row>
    <row r="274">
      <c r="A274" t="inlineStr">
        <is>
          <t>CLM513317</t>
        </is>
      </c>
      <c r="B274" t="inlineStr">
        <is>
          <t>PT10749</t>
        </is>
      </c>
      <c r="C274" t="inlineStr">
        <is>
          <t>PY01</t>
        </is>
      </c>
      <c r="D274" s="30" t="n">
        <v>45737</v>
      </c>
      <c r="E274" s="35" t="n">
        <v>37016.76</v>
      </c>
      <c r="F274" s="35" t="n">
        <v>11749.29</v>
      </c>
      <c r="G274" s="35" t="n">
        <v>10745.95</v>
      </c>
      <c r="H274" t="inlineStr">
        <is>
          <t>Paid</t>
        </is>
      </c>
    </row>
    <row r="275">
      <c r="A275" t="inlineStr">
        <is>
          <t>CLM513321</t>
        </is>
      </c>
      <c r="B275" t="inlineStr">
        <is>
          <t>PT10739</t>
        </is>
      </c>
      <c r="C275" t="inlineStr">
        <is>
          <t>PY03</t>
        </is>
      </c>
      <c r="D275" s="30" t="n">
        <v>45732</v>
      </c>
      <c r="E275" s="35" t="n">
        <v>948.53</v>
      </c>
      <c r="F275" s="35" t="n">
        <v>219.93</v>
      </c>
      <c r="G275" s="35" t="n">
        <v>219.93</v>
      </c>
      <c r="H275" t="inlineStr">
        <is>
          <t>Paid</t>
        </is>
      </c>
    </row>
    <row r="276">
      <c r="A276" t="inlineStr">
        <is>
          <t>CLM513323</t>
        </is>
      </c>
      <c r="B276" t="inlineStr">
        <is>
          <t>PT10013</t>
        </is>
      </c>
      <c r="C276" t="inlineStr">
        <is>
          <t>PY02</t>
        </is>
      </c>
      <c r="D276" s="30" t="n">
        <v>45736</v>
      </c>
      <c r="E276" s="35" t="n">
        <v>23812.5</v>
      </c>
      <c r="F276" s="35" t="n">
        <v>8732.08</v>
      </c>
      <c r="G276" s="35" t="n">
        <v>8432.32</v>
      </c>
      <c r="H276" t="inlineStr">
        <is>
          <t>Paid</t>
        </is>
      </c>
    </row>
    <row r="277">
      <c r="A277" t="inlineStr">
        <is>
          <t>CLM513325</t>
        </is>
      </c>
      <c r="B277" t="inlineStr">
        <is>
          <t>PT13492</t>
        </is>
      </c>
      <c r="C277" t="inlineStr">
        <is>
          <t>PY07</t>
        </is>
      </c>
      <c r="D277" s="30" t="n">
        <v>45741</v>
      </c>
      <c r="E277" s="35" t="n">
        <v>59145.9</v>
      </c>
      <c r="F277" s="35" t="n">
        <v>23652.32</v>
      </c>
      <c r="G277" s="35" t="n">
        <v>3050.41</v>
      </c>
      <c r="H277" t="inlineStr">
        <is>
          <t>Partially Paid</t>
        </is>
      </c>
    </row>
    <row r="278">
      <c r="A278" t="inlineStr">
        <is>
          <t>CLM513332</t>
        </is>
      </c>
      <c r="B278" t="inlineStr">
        <is>
          <t>PT12267</t>
        </is>
      </c>
      <c r="C278" t="inlineStr">
        <is>
          <t>PY03</t>
        </is>
      </c>
      <c r="D278" s="30" t="n">
        <v>45732</v>
      </c>
      <c r="E278" s="35" t="n">
        <v>1807.25</v>
      </c>
      <c r="F278" s="35" t="n">
        <v>0</v>
      </c>
      <c r="G278" s="35" t="n">
        <v>0</v>
      </c>
      <c r="H278" t="inlineStr">
        <is>
          <t>Denied</t>
        </is>
      </c>
      <c r="I278" t="inlineStr">
        <is>
          <t>Coding Error</t>
        </is>
      </c>
    </row>
    <row r="279">
      <c r="A279" t="inlineStr">
        <is>
          <t>CLM513347</t>
        </is>
      </c>
      <c r="B279" t="inlineStr">
        <is>
          <t>PT11666</t>
        </is>
      </c>
      <c r="C279" t="inlineStr">
        <is>
          <t>PY02</t>
        </is>
      </c>
      <c r="D279" s="30" t="n">
        <v>45734</v>
      </c>
      <c r="E279" s="35" t="n">
        <v>6454.41</v>
      </c>
      <c r="F279" s="35" t="n">
        <v>1952.08</v>
      </c>
      <c r="G279" s="35" t="n">
        <v>1826.01</v>
      </c>
      <c r="H279" t="inlineStr">
        <is>
          <t>Paid</t>
        </is>
      </c>
    </row>
    <row r="280">
      <c r="A280" t="inlineStr">
        <is>
          <t>CLM513360</t>
        </is>
      </c>
      <c r="B280" t="inlineStr">
        <is>
          <t>PT11394</t>
        </is>
      </c>
      <c r="C280" t="inlineStr">
        <is>
          <t>PY02</t>
        </is>
      </c>
      <c r="D280" s="30" t="n">
        <v>45737</v>
      </c>
      <c r="E280" s="35" t="n">
        <v>18348.99</v>
      </c>
      <c r="F280" s="35" t="n">
        <v>5802.97</v>
      </c>
      <c r="G280" s="35" t="n">
        <v>5645.77</v>
      </c>
      <c r="H280" t="inlineStr">
        <is>
          <t>Paid</t>
        </is>
      </c>
    </row>
    <row r="281">
      <c r="A281" t="inlineStr">
        <is>
          <t>CLM513401</t>
        </is>
      </c>
      <c r="B281" t="inlineStr">
        <is>
          <t>PT12013</t>
        </is>
      </c>
      <c r="C281" t="inlineStr">
        <is>
          <t>PY01</t>
        </is>
      </c>
      <c r="D281" s="30" t="n">
        <v>45734</v>
      </c>
      <c r="E281" s="35" t="n">
        <v>4441</v>
      </c>
      <c r="F281" s="35" t="n">
        <v>1395.51</v>
      </c>
      <c r="G281" s="35" t="n">
        <v>1364.59</v>
      </c>
      <c r="H281" t="inlineStr">
        <is>
          <t>Paid</t>
        </is>
      </c>
    </row>
    <row r="282">
      <c r="A282" t="inlineStr">
        <is>
          <t>CLM513406</t>
        </is>
      </c>
      <c r="B282" t="inlineStr">
        <is>
          <t>PT12209</t>
        </is>
      </c>
      <c r="C282" t="inlineStr">
        <is>
          <t>PY02</t>
        </is>
      </c>
      <c r="D282" s="30" t="n">
        <v>45739</v>
      </c>
      <c r="E282" s="35" t="n">
        <v>20629.79</v>
      </c>
      <c r="F282" s="35" t="n">
        <v>6399.06</v>
      </c>
      <c r="G282" s="35" t="n">
        <v>6157.27</v>
      </c>
      <c r="H282" t="inlineStr">
        <is>
          <t>Paid</t>
        </is>
      </c>
    </row>
    <row r="283">
      <c r="A283" t="inlineStr">
        <is>
          <t>CLM513408</t>
        </is>
      </c>
      <c r="B283" t="inlineStr">
        <is>
          <t>PT12748</t>
        </is>
      </c>
      <c r="C283" t="inlineStr">
        <is>
          <t>PY06</t>
        </is>
      </c>
      <c r="D283" s="30" t="n">
        <v>45735</v>
      </c>
      <c r="E283" s="35" t="n">
        <v>626.54</v>
      </c>
      <c r="F283" s="35" t="n">
        <v>282.88</v>
      </c>
      <c r="G283" s="35" t="n">
        <v>172.12</v>
      </c>
      <c r="H283" t="inlineStr">
        <is>
          <t>Partially Paid</t>
        </is>
      </c>
      <c r="I283" t="inlineStr">
        <is>
          <t>Coding Error</t>
        </is>
      </c>
    </row>
    <row r="284">
      <c r="A284" t="inlineStr">
        <is>
          <t>CLM513444</t>
        </is>
      </c>
      <c r="B284" t="inlineStr">
        <is>
          <t>PT11542</t>
        </is>
      </c>
      <c r="C284" t="inlineStr">
        <is>
          <t>PY02</t>
        </is>
      </c>
      <c r="D284" s="30" t="n">
        <v>45740</v>
      </c>
      <c r="E284" s="35" t="n">
        <v>22022.17</v>
      </c>
      <c r="F284" s="35" t="n">
        <v>7886.39</v>
      </c>
      <c r="G284" s="35" t="n">
        <v>7183.8</v>
      </c>
      <c r="H284" t="inlineStr">
        <is>
          <t>Paid</t>
        </is>
      </c>
    </row>
    <row r="285">
      <c r="A285" t="inlineStr">
        <is>
          <t>CLM513447</t>
        </is>
      </c>
      <c r="B285" t="inlineStr">
        <is>
          <t>PT13234</t>
        </is>
      </c>
      <c r="C285" t="inlineStr">
        <is>
          <t>PY02</t>
        </is>
      </c>
      <c r="D285" s="30" t="n">
        <v>45738</v>
      </c>
      <c r="E285" s="35" t="n">
        <v>16686.37</v>
      </c>
      <c r="F285" s="35" t="n">
        <v>5187.18</v>
      </c>
      <c r="G285" s="35" t="n">
        <v>4889.35</v>
      </c>
      <c r="H285" t="inlineStr">
        <is>
          <t>Paid</t>
        </is>
      </c>
    </row>
    <row r="286">
      <c r="A286" t="inlineStr">
        <is>
          <t>CLM513458</t>
        </is>
      </c>
      <c r="B286" t="inlineStr">
        <is>
          <t>PT13847</t>
        </is>
      </c>
      <c r="C286" t="inlineStr">
        <is>
          <t>PY05</t>
        </is>
      </c>
      <c r="D286" s="30" t="n">
        <v>45738</v>
      </c>
      <c r="E286" s="35" t="n">
        <v>11625.95</v>
      </c>
      <c r="F286" s="35" t="n">
        <v>0</v>
      </c>
      <c r="G286" s="35" t="n">
        <v>0</v>
      </c>
      <c r="H286" t="inlineStr">
        <is>
          <t>Denied</t>
        </is>
      </c>
      <c r="I286" t="inlineStr">
        <is>
          <t>Medical Necessity</t>
        </is>
      </c>
    </row>
    <row r="287">
      <c r="A287" t="inlineStr">
        <is>
          <t>CLM513485</t>
        </is>
      </c>
      <c r="B287" t="inlineStr">
        <is>
          <t>PT11141</t>
        </is>
      </c>
      <c r="C287" t="inlineStr">
        <is>
          <t>PY02</t>
        </is>
      </c>
      <c r="D287" s="30" t="n">
        <v>45740</v>
      </c>
      <c r="E287" s="35" t="n">
        <v>23886.8</v>
      </c>
      <c r="F287" s="35" t="n">
        <v>7147.88</v>
      </c>
      <c r="G287" s="35" t="n">
        <v>6911.27</v>
      </c>
      <c r="H287" t="inlineStr">
        <is>
          <t>Paid</t>
        </is>
      </c>
    </row>
    <row r="288">
      <c r="A288" t="inlineStr">
        <is>
          <t>CLM513503</t>
        </is>
      </c>
      <c r="B288" t="inlineStr">
        <is>
          <t>PT12910</t>
        </is>
      </c>
      <c r="C288" t="inlineStr">
        <is>
          <t>PY05</t>
        </is>
      </c>
      <c r="D288" s="30" t="n">
        <v>45737</v>
      </c>
      <c r="E288" s="35" t="n">
        <v>1468.38</v>
      </c>
      <c r="F288" s="35" t="n">
        <v>696.54</v>
      </c>
      <c r="G288" s="35" t="n">
        <v>651.36</v>
      </c>
      <c r="H288" t="inlineStr">
        <is>
          <t>Paid</t>
        </is>
      </c>
    </row>
    <row r="289">
      <c r="A289" t="inlineStr">
        <is>
          <t>CLM513526</t>
        </is>
      </c>
      <c r="B289" t="inlineStr">
        <is>
          <t>PT10886</t>
        </is>
      </c>
      <c r="C289" t="inlineStr">
        <is>
          <t>PY02</t>
        </is>
      </c>
      <c r="D289" s="30" t="n">
        <v>45738</v>
      </c>
      <c r="E289" s="35" t="n">
        <v>4795.09</v>
      </c>
      <c r="F289" s="35" t="n">
        <v>1899.47</v>
      </c>
      <c r="G289" s="35" t="n">
        <v>1877.87</v>
      </c>
      <c r="H289" t="inlineStr">
        <is>
          <t>Paid</t>
        </is>
      </c>
    </row>
    <row r="290">
      <c r="A290" t="inlineStr">
        <is>
          <t>CLM513542</t>
        </is>
      </c>
      <c r="B290" t="inlineStr">
        <is>
          <t>PT11835</t>
        </is>
      </c>
      <c r="C290" t="inlineStr">
        <is>
          <t>PY05</t>
        </is>
      </c>
      <c r="D290" s="30" t="n">
        <v>45739</v>
      </c>
      <c r="E290" s="35" t="n">
        <v>3096.85</v>
      </c>
      <c r="F290" s="35" t="n">
        <v>1564.93</v>
      </c>
      <c r="G290" s="35" t="n">
        <v>1486.23</v>
      </c>
      <c r="H290" t="inlineStr">
        <is>
          <t>Paid</t>
        </is>
      </c>
    </row>
    <row r="291">
      <c r="A291" t="inlineStr">
        <is>
          <t>CLM513549</t>
        </is>
      </c>
      <c r="B291" t="inlineStr">
        <is>
          <t>PT10177</t>
        </is>
      </c>
      <c r="C291" t="inlineStr">
        <is>
          <t>PY02</t>
        </is>
      </c>
      <c r="D291" s="30" t="n">
        <v>45742</v>
      </c>
      <c r="E291" s="35" t="n">
        <v>18964.59</v>
      </c>
      <c r="F291" s="35" t="n">
        <v>6303.23</v>
      </c>
      <c r="G291" s="35" t="n">
        <v>5923.87</v>
      </c>
      <c r="H291" t="inlineStr">
        <is>
          <t>Paid</t>
        </is>
      </c>
    </row>
    <row r="292">
      <c r="A292" t="inlineStr">
        <is>
          <t>CLM513552</t>
        </is>
      </c>
      <c r="B292" t="inlineStr">
        <is>
          <t>PT10411</t>
        </is>
      </c>
      <c r="C292" t="inlineStr">
        <is>
          <t>PY01</t>
        </is>
      </c>
      <c r="D292" s="30" t="n">
        <v>45742</v>
      </c>
      <c r="E292" s="35" t="n">
        <v>18398.1</v>
      </c>
      <c r="F292" s="35" t="n">
        <v>5772.19</v>
      </c>
      <c r="G292" s="35" t="n">
        <v>3280.89</v>
      </c>
      <c r="H292" t="inlineStr">
        <is>
          <t>Partially Paid</t>
        </is>
      </c>
      <c r="I292" t="inlineStr">
        <is>
          <t>Coding Error</t>
        </is>
      </c>
    </row>
    <row r="293">
      <c r="A293" t="inlineStr">
        <is>
          <t>CLM513587</t>
        </is>
      </c>
      <c r="B293" t="inlineStr">
        <is>
          <t>PT12420</t>
        </is>
      </c>
      <c r="C293" t="inlineStr">
        <is>
          <t>PY05</t>
        </is>
      </c>
      <c r="D293" s="30" t="n">
        <v>45740</v>
      </c>
      <c r="E293" s="35" t="n">
        <v>3228.45</v>
      </c>
      <c r="F293" s="35" t="n">
        <v>1439.83</v>
      </c>
      <c r="G293" s="35" t="n">
        <v>1123.54</v>
      </c>
      <c r="H293" t="inlineStr">
        <is>
          <t>Paid</t>
        </is>
      </c>
    </row>
    <row r="294">
      <c r="A294" t="inlineStr">
        <is>
          <t>CLM513595</t>
        </is>
      </c>
      <c r="B294" t="inlineStr">
        <is>
          <t>PT13638</t>
        </is>
      </c>
      <c r="C294" t="inlineStr">
        <is>
          <t>PY01</t>
        </is>
      </c>
      <c r="D294" s="30" t="n">
        <v>45748</v>
      </c>
      <c r="E294" s="35" t="n">
        <v>58412.34</v>
      </c>
      <c r="F294" s="35" t="n">
        <v>19479.5</v>
      </c>
      <c r="G294" s="35" t="n">
        <v>14576.65</v>
      </c>
      <c r="H294" t="inlineStr">
        <is>
          <t>Partially Paid</t>
        </is>
      </c>
      <c r="I294" t="inlineStr">
        <is>
          <t>Coding Error</t>
        </is>
      </c>
    </row>
    <row r="295">
      <c r="A295" t="inlineStr">
        <is>
          <t>CLM513599</t>
        </is>
      </c>
      <c r="B295" t="inlineStr">
        <is>
          <t>PT13657</t>
        </is>
      </c>
      <c r="C295" t="inlineStr">
        <is>
          <t>PY04</t>
        </is>
      </c>
      <c r="D295" s="30" t="n">
        <v>45741</v>
      </c>
      <c r="E295" s="35" t="n">
        <v>2176.67</v>
      </c>
      <c r="F295" s="35" t="n">
        <v>1071.38</v>
      </c>
      <c r="G295" s="35" t="n">
        <v>1071.38</v>
      </c>
      <c r="H295" t="inlineStr">
        <is>
          <t>Paid</t>
        </is>
      </c>
    </row>
    <row r="296">
      <c r="A296" t="inlineStr">
        <is>
          <t>CLM513602</t>
        </is>
      </c>
      <c r="B296" t="inlineStr">
        <is>
          <t>PT12554</t>
        </is>
      </c>
      <c r="C296" t="inlineStr">
        <is>
          <t>PY01</t>
        </is>
      </c>
      <c r="D296" s="30" t="n">
        <v>45744</v>
      </c>
      <c r="E296" s="35" t="n">
        <v>21960.4</v>
      </c>
      <c r="F296" s="35" t="n">
        <v>6455.34</v>
      </c>
      <c r="G296" s="35" t="n">
        <v>6215.01</v>
      </c>
      <c r="H296" t="inlineStr">
        <is>
          <t>Paid</t>
        </is>
      </c>
    </row>
    <row r="297">
      <c r="A297" t="inlineStr">
        <is>
          <t>CLM513617</t>
        </is>
      </c>
      <c r="B297" t="inlineStr">
        <is>
          <t>PT10062</t>
        </is>
      </c>
      <c r="C297" t="inlineStr">
        <is>
          <t>PY01</t>
        </is>
      </c>
      <c r="D297" s="30" t="n">
        <v>45741</v>
      </c>
      <c r="E297" s="35" t="n">
        <v>790.3</v>
      </c>
      <c r="F297" s="35" t="n">
        <v>279.6</v>
      </c>
      <c r="G297" s="35" t="n">
        <v>248.56</v>
      </c>
      <c r="H297" t="inlineStr">
        <is>
          <t>Paid</t>
        </is>
      </c>
    </row>
    <row r="298">
      <c r="A298" t="inlineStr">
        <is>
          <t>CLM513641</t>
        </is>
      </c>
      <c r="B298" t="inlineStr">
        <is>
          <t>PT13946</t>
        </is>
      </c>
      <c r="C298" t="inlineStr">
        <is>
          <t>PY02</t>
        </is>
      </c>
      <c r="D298" s="30" t="n">
        <v>45743</v>
      </c>
      <c r="E298" s="35" t="n">
        <v>13806.02</v>
      </c>
      <c r="F298" s="35" t="n">
        <v>5316.72</v>
      </c>
      <c r="G298" s="35" t="n">
        <v>5037.36</v>
      </c>
      <c r="H298" t="inlineStr">
        <is>
          <t>Paid</t>
        </is>
      </c>
    </row>
    <row r="299">
      <c r="A299" t="inlineStr">
        <is>
          <t>CLM513655</t>
        </is>
      </c>
      <c r="B299" t="inlineStr">
        <is>
          <t>PT10884</t>
        </is>
      </c>
      <c r="C299" t="inlineStr">
        <is>
          <t>PY02</t>
        </is>
      </c>
      <c r="D299" s="30" t="n">
        <v>45742</v>
      </c>
      <c r="E299" s="35" t="n">
        <v>2013.63</v>
      </c>
      <c r="F299" s="35" t="n">
        <v>0</v>
      </c>
      <c r="G299" s="35" t="n">
        <v>0</v>
      </c>
      <c r="H299" t="inlineStr">
        <is>
          <t>Denied</t>
        </is>
      </c>
      <c r="I299" t="inlineStr">
        <is>
          <t>Eligibility / Coverage</t>
        </is>
      </c>
    </row>
    <row r="300">
      <c r="A300" t="inlineStr">
        <is>
          <t>CLM513673</t>
        </is>
      </c>
      <c r="B300" t="inlineStr">
        <is>
          <t>PT10667</t>
        </is>
      </c>
      <c r="C300" t="inlineStr">
        <is>
          <t>PY03</t>
        </is>
      </c>
      <c r="D300" s="30" t="n">
        <v>45747</v>
      </c>
      <c r="E300" s="35" t="n">
        <v>66562.14999999999</v>
      </c>
      <c r="F300" s="35" t="n">
        <v>0</v>
      </c>
      <c r="G300" s="35" t="n">
        <v>0</v>
      </c>
      <c r="H300" t="inlineStr">
        <is>
          <t>Denied</t>
        </is>
      </c>
      <c r="I300" t="inlineStr">
        <is>
          <t>Coding Error</t>
        </is>
      </c>
    </row>
    <row r="301">
      <c r="A301" t="inlineStr">
        <is>
          <t>CLM513676</t>
        </is>
      </c>
      <c r="B301" t="inlineStr">
        <is>
          <t>PT11523</t>
        </is>
      </c>
      <c r="C301" t="inlineStr">
        <is>
          <t>PY04</t>
        </is>
      </c>
      <c r="D301" s="30" t="n">
        <v>45744</v>
      </c>
      <c r="E301" s="35" t="n">
        <v>7537.84</v>
      </c>
      <c r="F301" s="35" t="n">
        <v>3771.01</v>
      </c>
      <c r="G301" s="35" t="n">
        <v>3245.17</v>
      </c>
      <c r="H301" t="inlineStr">
        <is>
          <t>Paid</t>
        </is>
      </c>
    </row>
    <row r="302">
      <c r="A302" t="inlineStr">
        <is>
          <t>CLM513700</t>
        </is>
      </c>
      <c r="B302" t="inlineStr">
        <is>
          <t>PT12609</t>
        </is>
      </c>
      <c r="C302" t="inlineStr">
        <is>
          <t>PY04</t>
        </is>
      </c>
      <c r="D302" s="30" t="n">
        <v>45743</v>
      </c>
      <c r="E302" s="35" t="n">
        <v>3987.63</v>
      </c>
      <c r="F302" s="35" t="n">
        <v>2006.8</v>
      </c>
      <c r="G302" s="35" t="n">
        <v>1831.71</v>
      </c>
      <c r="H302" t="inlineStr">
        <is>
          <t>Paid</t>
        </is>
      </c>
    </row>
    <row r="303">
      <c r="A303" t="inlineStr">
        <is>
          <t>CLM513701</t>
        </is>
      </c>
      <c r="B303" t="inlineStr">
        <is>
          <t>PT10498</t>
        </is>
      </c>
      <c r="C303" t="inlineStr">
        <is>
          <t>PY04</t>
        </is>
      </c>
      <c r="D303" s="30" t="n">
        <v>45745</v>
      </c>
      <c r="E303" s="35" t="n">
        <v>34170.6</v>
      </c>
      <c r="F303" s="35" t="n">
        <v>18293.93</v>
      </c>
      <c r="G303" s="35" t="n">
        <v>16208.14</v>
      </c>
      <c r="H303" t="inlineStr">
        <is>
          <t>Paid</t>
        </is>
      </c>
    </row>
    <row r="304">
      <c r="A304" t="inlineStr">
        <is>
          <t>CLM513702</t>
        </is>
      </c>
      <c r="B304" t="inlineStr">
        <is>
          <t>PT11242</t>
        </is>
      </c>
      <c r="C304" t="inlineStr">
        <is>
          <t>PY04</t>
        </is>
      </c>
      <c r="D304" s="30" t="n">
        <v>45745</v>
      </c>
      <c r="E304" s="35" t="n">
        <v>8298.379999999999</v>
      </c>
      <c r="F304" s="35" t="n">
        <v>4292.42</v>
      </c>
      <c r="G304" s="35" t="n">
        <v>4258.23</v>
      </c>
      <c r="H304" t="inlineStr">
        <is>
          <t>Paid</t>
        </is>
      </c>
    </row>
    <row r="305">
      <c r="A305" t="inlineStr">
        <is>
          <t>CLM513706</t>
        </is>
      </c>
      <c r="B305" t="inlineStr">
        <is>
          <t>PT12011</t>
        </is>
      </c>
      <c r="C305" t="inlineStr">
        <is>
          <t>PY04</t>
        </is>
      </c>
      <c r="D305" s="30" t="n">
        <v>45744</v>
      </c>
      <c r="E305" s="35" t="n">
        <v>615.24</v>
      </c>
      <c r="F305" s="35" t="n">
        <v>320.42</v>
      </c>
      <c r="G305" s="35" t="n">
        <v>284.47</v>
      </c>
      <c r="H305" t="inlineStr">
        <is>
          <t>Paid</t>
        </is>
      </c>
    </row>
    <row r="306">
      <c r="A306" t="inlineStr">
        <is>
          <t>CLM513724</t>
        </is>
      </c>
      <c r="B306" t="inlineStr">
        <is>
          <t>PT13828</t>
        </is>
      </c>
      <c r="C306" t="inlineStr">
        <is>
          <t>PY01</t>
        </is>
      </c>
      <c r="D306" s="30" t="n">
        <v>45744</v>
      </c>
      <c r="E306" s="35" t="n">
        <v>1376.18</v>
      </c>
      <c r="F306" s="35" t="n">
        <v>441.66</v>
      </c>
      <c r="G306" s="35" t="n">
        <v>423.88</v>
      </c>
      <c r="H306" t="inlineStr">
        <is>
          <t>Paid</t>
        </is>
      </c>
    </row>
    <row r="307">
      <c r="A307" t="inlineStr">
        <is>
          <t>CLM513725</t>
        </is>
      </c>
      <c r="B307" t="inlineStr">
        <is>
          <t>PT13821</t>
        </is>
      </c>
      <c r="C307" t="inlineStr">
        <is>
          <t>PY06</t>
        </is>
      </c>
      <c r="D307" s="30" t="n">
        <v>45744</v>
      </c>
      <c r="E307" s="35" t="n">
        <v>3405.37</v>
      </c>
      <c r="F307" s="35" t="n">
        <v>1716.63</v>
      </c>
      <c r="G307" s="35" t="n">
        <v>1474.16</v>
      </c>
      <c r="H307" t="inlineStr">
        <is>
          <t>Paid</t>
        </is>
      </c>
    </row>
    <row r="308">
      <c r="A308" t="inlineStr">
        <is>
          <t>CLM513741</t>
        </is>
      </c>
      <c r="B308" t="inlineStr">
        <is>
          <t>PT11941</t>
        </is>
      </c>
      <c r="C308" t="inlineStr">
        <is>
          <t>PY01</t>
        </is>
      </c>
      <c r="D308" s="30" t="n">
        <v>45745</v>
      </c>
      <c r="E308" s="35" t="n">
        <v>5897.08</v>
      </c>
      <c r="F308" s="35" t="n">
        <v>1649.65</v>
      </c>
      <c r="G308" s="35" t="n">
        <v>1502.38</v>
      </c>
      <c r="H308" t="inlineStr">
        <is>
          <t>Paid</t>
        </is>
      </c>
    </row>
    <row r="309">
      <c r="A309" t="inlineStr">
        <is>
          <t>CLM513754</t>
        </is>
      </c>
      <c r="B309" t="inlineStr">
        <is>
          <t>PT10411</t>
        </is>
      </c>
      <c r="C309" t="inlineStr">
        <is>
          <t>PY01</t>
        </is>
      </c>
      <c r="D309" s="30" t="n">
        <v>45748</v>
      </c>
      <c r="E309" s="35" t="n">
        <v>17060.24</v>
      </c>
      <c r="F309" s="35" t="n">
        <v>4714.52</v>
      </c>
      <c r="G309" s="35" t="n">
        <v>4218.39</v>
      </c>
      <c r="H309" t="inlineStr">
        <is>
          <t>Paid</t>
        </is>
      </c>
    </row>
    <row r="310">
      <c r="A310" t="inlineStr">
        <is>
          <t>CLM513757</t>
        </is>
      </c>
      <c r="B310" t="inlineStr">
        <is>
          <t>PT12049</t>
        </is>
      </c>
      <c r="C310" t="inlineStr">
        <is>
          <t>PY01</t>
        </is>
      </c>
      <c r="D310" s="30" t="n">
        <v>45746</v>
      </c>
      <c r="E310" s="35" t="n">
        <v>7532.88</v>
      </c>
      <c r="F310" s="35" t="n">
        <v>2510.37</v>
      </c>
      <c r="G310" s="35" t="n">
        <v>2305.83</v>
      </c>
      <c r="H310" t="inlineStr">
        <is>
          <t>Paid</t>
        </is>
      </c>
    </row>
    <row r="311">
      <c r="A311" t="inlineStr">
        <is>
          <t>CLM513763</t>
        </is>
      </c>
      <c r="B311" t="inlineStr">
        <is>
          <t>PT13306</t>
        </is>
      </c>
      <c r="C311" t="inlineStr">
        <is>
          <t>PY05</t>
        </is>
      </c>
      <c r="D311" s="30" t="n">
        <v>45745</v>
      </c>
      <c r="E311" s="35" t="n">
        <v>2421.55</v>
      </c>
      <c r="F311" s="35" t="n">
        <v>1101.49</v>
      </c>
      <c r="G311" s="35" t="n">
        <v>938.98</v>
      </c>
      <c r="H311" t="inlineStr">
        <is>
          <t>Paid</t>
        </is>
      </c>
    </row>
    <row r="312">
      <c r="A312" t="inlineStr">
        <is>
          <t>CLM513782</t>
        </is>
      </c>
      <c r="B312" t="inlineStr">
        <is>
          <t>PT10332</t>
        </is>
      </c>
      <c r="C312" t="inlineStr">
        <is>
          <t>PY01</t>
        </is>
      </c>
      <c r="D312" s="30" t="n">
        <v>45747</v>
      </c>
      <c r="E312" s="35" t="n">
        <v>2931.54</v>
      </c>
      <c r="F312" s="35" t="n">
        <v>934.84</v>
      </c>
      <c r="G312" s="35" t="n">
        <v>838.59</v>
      </c>
      <c r="H312" t="inlineStr">
        <is>
          <t>Paid</t>
        </is>
      </c>
    </row>
    <row r="313">
      <c r="A313" t="inlineStr">
        <is>
          <t>CLM513786</t>
        </is>
      </c>
      <c r="B313" t="inlineStr">
        <is>
          <t>PT13095</t>
        </is>
      </c>
      <c r="C313" t="inlineStr">
        <is>
          <t>PY05</t>
        </is>
      </c>
      <c r="D313" s="30" t="n">
        <v>45755</v>
      </c>
      <c r="E313" s="35" t="n">
        <v>54360.61</v>
      </c>
      <c r="F313" s="35" t="n">
        <v>25760.5</v>
      </c>
      <c r="G313" s="35" t="n">
        <v>23041.15</v>
      </c>
      <c r="H313" t="inlineStr">
        <is>
          <t>Paid</t>
        </is>
      </c>
    </row>
    <row r="314">
      <c r="A314" t="inlineStr">
        <is>
          <t>CLM513802</t>
        </is>
      </c>
      <c r="B314" t="inlineStr">
        <is>
          <t>PT10650</t>
        </is>
      </c>
      <c r="C314" t="inlineStr">
        <is>
          <t>PY02</t>
        </is>
      </c>
      <c r="D314" s="30" t="n">
        <v>45747</v>
      </c>
      <c r="E314" s="35" t="n">
        <v>1793.29</v>
      </c>
      <c r="F314" s="35" t="n">
        <v>625.17</v>
      </c>
      <c r="G314" s="35" t="n">
        <v>556.74</v>
      </c>
      <c r="H314" t="inlineStr">
        <is>
          <t>Paid</t>
        </is>
      </c>
    </row>
    <row r="315">
      <c r="A315" t="inlineStr">
        <is>
          <t>CLM513837</t>
        </is>
      </c>
      <c r="B315" t="inlineStr">
        <is>
          <t>PT12254</t>
        </is>
      </c>
      <c r="C315" t="inlineStr">
        <is>
          <t>PY04</t>
        </is>
      </c>
      <c r="D315" s="30" t="n">
        <v>45751</v>
      </c>
      <c r="E315" s="35" t="n">
        <v>13506.34</v>
      </c>
      <c r="F315" s="35" t="n">
        <v>0</v>
      </c>
      <c r="G315" s="35" t="n">
        <v>0</v>
      </c>
      <c r="H315" t="inlineStr">
        <is>
          <t>Denied</t>
        </is>
      </c>
      <c r="I315" t="inlineStr">
        <is>
          <t>Authorization Required</t>
        </is>
      </c>
    </row>
    <row r="316">
      <c r="A316" t="inlineStr">
        <is>
          <t>CLM513843</t>
        </is>
      </c>
      <c r="B316" t="inlineStr">
        <is>
          <t>PT10031</t>
        </is>
      </c>
      <c r="C316" t="inlineStr">
        <is>
          <t>PY04</t>
        </is>
      </c>
      <c r="D316" s="30" t="n">
        <v>45748</v>
      </c>
      <c r="E316" s="35" t="n">
        <v>1345.81</v>
      </c>
      <c r="F316" s="35" t="n">
        <v>705.73</v>
      </c>
      <c r="G316" s="35" t="n">
        <v>640.88</v>
      </c>
      <c r="H316" t="inlineStr">
        <is>
          <t>Paid</t>
        </is>
      </c>
    </row>
    <row r="317">
      <c r="A317" t="inlineStr">
        <is>
          <t>CLM513854</t>
        </is>
      </c>
      <c r="B317" t="inlineStr">
        <is>
          <t>PT10721</t>
        </is>
      </c>
      <c r="C317" t="inlineStr">
        <is>
          <t>PY01</t>
        </is>
      </c>
      <c r="D317" s="30" t="n">
        <v>45749</v>
      </c>
      <c r="E317" s="35" t="n">
        <v>4290.64</v>
      </c>
      <c r="F317" s="35" t="n">
        <v>1381.57</v>
      </c>
      <c r="G317" s="35" t="n">
        <v>1334.86</v>
      </c>
      <c r="H317" t="inlineStr">
        <is>
          <t>Paid</t>
        </is>
      </c>
    </row>
    <row r="318">
      <c r="A318" t="inlineStr">
        <is>
          <t>CLM513857</t>
        </is>
      </c>
      <c r="B318" t="inlineStr">
        <is>
          <t>PT11372</t>
        </is>
      </c>
      <c r="C318" t="inlineStr">
        <is>
          <t>PY02</t>
        </is>
      </c>
      <c r="D318" s="30" t="n">
        <v>45749</v>
      </c>
      <c r="E318" s="35" t="n">
        <v>1746.41</v>
      </c>
      <c r="F318" s="35" t="n">
        <v>591.3099999999999</v>
      </c>
      <c r="G318" s="35" t="n">
        <v>589.74</v>
      </c>
      <c r="H318" t="inlineStr">
        <is>
          <t>Paid</t>
        </is>
      </c>
    </row>
    <row r="319">
      <c r="A319" t="inlineStr">
        <is>
          <t>CLM513874</t>
        </is>
      </c>
      <c r="B319" t="inlineStr">
        <is>
          <t>PT13116</t>
        </is>
      </c>
      <c r="C319" t="inlineStr">
        <is>
          <t>PY01</t>
        </is>
      </c>
      <c r="D319" s="30" t="n">
        <v>45756</v>
      </c>
      <c r="E319" s="35" t="n">
        <v>17589.73</v>
      </c>
      <c r="F319" s="35" t="n">
        <v>5810</v>
      </c>
      <c r="G319" s="35" t="n">
        <v>5547.84</v>
      </c>
      <c r="H319" t="inlineStr">
        <is>
          <t>Paid</t>
        </is>
      </c>
    </row>
    <row r="320">
      <c r="A320" t="inlineStr">
        <is>
          <t>CLM513883</t>
        </is>
      </c>
      <c r="B320" t="inlineStr">
        <is>
          <t>PT10506</t>
        </is>
      </c>
      <c r="C320" t="inlineStr">
        <is>
          <t>PY05</t>
        </is>
      </c>
      <c r="D320" s="30" t="n">
        <v>45764</v>
      </c>
      <c r="E320" s="35" t="n">
        <v>34781.25</v>
      </c>
      <c r="F320" s="35" t="n">
        <v>15240.92</v>
      </c>
      <c r="G320" s="35" t="n">
        <v>14151.63</v>
      </c>
      <c r="H320" t="inlineStr">
        <is>
          <t>Paid</t>
        </is>
      </c>
    </row>
    <row r="321">
      <c r="A321" t="inlineStr">
        <is>
          <t>CLM513886</t>
        </is>
      </c>
      <c r="B321" t="inlineStr">
        <is>
          <t>PT10721</t>
        </is>
      </c>
      <c r="C321" t="inlineStr">
        <is>
          <t>PY01</t>
        </is>
      </c>
      <c r="D321" s="30" t="n">
        <v>45751</v>
      </c>
      <c r="E321" s="35" t="n">
        <v>34369.86</v>
      </c>
      <c r="F321" s="35" t="n">
        <v>8771.950000000001</v>
      </c>
      <c r="G321" s="35" t="n">
        <v>7793.46</v>
      </c>
      <c r="H321" t="inlineStr">
        <is>
          <t>Paid</t>
        </is>
      </c>
    </row>
    <row r="322">
      <c r="A322" t="inlineStr">
        <is>
          <t>CLM513948</t>
        </is>
      </c>
      <c r="B322" t="inlineStr">
        <is>
          <t>PT13536</t>
        </is>
      </c>
      <c r="C322" t="inlineStr">
        <is>
          <t>PY02</t>
        </is>
      </c>
      <c r="D322" s="30" t="n">
        <v>45756</v>
      </c>
      <c r="E322" s="35" t="n">
        <v>45846.66</v>
      </c>
      <c r="F322" s="35" t="n">
        <v>14655.37</v>
      </c>
      <c r="G322" s="35" t="n">
        <v>13447.98</v>
      </c>
      <c r="H322" t="inlineStr">
        <is>
          <t>Paid</t>
        </is>
      </c>
    </row>
    <row r="323">
      <c r="A323" t="inlineStr">
        <is>
          <t>CLM513949</t>
        </is>
      </c>
      <c r="B323" t="inlineStr">
        <is>
          <t>PT13090</t>
        </is>
      </c>
      <c r="C323" t="inlineStr">
        <is>
          <t>PY01</t>
        </is>
      </c>
      <c r="D323" s="30" t="n">
        <v>45752</v>
      </c>
      <c r="E323" s="35" t="n">
        <v>4053.95</v>
      </c>
      <c r="F323" s="35" t="n">
        <v>1212.96</v>
      </c>
      <c r="G323" s="35" t="n">
        <v>1121.98</v>
      </c>
      <c r="H323" t="inlineStr">
        <is>
          <t>Paid</t>
        </is>
      </c>
    </row>
    <row r="324">
      <c r="A324" t="inlineStr">
        <is>
          <t>CLM513960</t>
        </is>
      </c>
      <c r="B324" t="inlineStr">
        <is>
          <t>PT11536</t>
        </is>
      </c>
      <c r="C324" t="inlineStr">
        <is>
          <t>PY03</t>
        </is>
      </c>
      <c r="D324" s="30" t="n">
        <v>45756</v>
      </c>
      <c r="E324" s="35" t="n">
        <v>13267.93</v>
      </c>
      <c r="F324" s="35" t="n">
        <v>0</v>
      </c>
      <c r="G324" s="35" t="n">
        <v>0</v>
      </c>
      <c r="H324" t="inlineStr">
        <is>
          <t>Denied</t>
        </is>
      </c>
      <c r="I324" t="inlineStr">
        <is>
          <t>Medical Necessity</t>
        </is>
      </c>
    </row>
    <row r="325">
      <c r="A325" t="inlineStr">
        <is>
          <t>CLM513962</t>
        </is>
      </c>
      <c r="B325" t="inlineStr">
        <is>
          <t>PT12858</t>
        </is>
      </c>
      <c r="C325" t="inlineStr">
        <is>
          <t>PY04</t>
        </is>
      </c>
      <c r="D325" s="30" t="n">
        <v>45753</v>
      </c>
      <c r="E325" s="35" t="n">
        <v>1079.68</v>
      </c>
      <c r="F325" s="35" t="n">
        <v>519.21</v>
      </c>
      <c r="G325" s="35" t="n">
        <v>502.48</v>
      </c>
      <c r="H325" t="inlineStr">
        <is>
          <t>Paid</t>
        </is>
      </c>
    </row>
    <row r="326">
      <c r="A326" t="inlineStr">
        <is>
          <t>CLM513970</t>
        </is>
      </c>
      <c r="B326" t="inlineStr">
        <is>
          <t>PT12649</t>
        </is>
      </c>
      <c r="C326" t="inlineStr">
        <is>
          <t>PY06</t>
        </is>
      </c>
      <c r="D326" s="30" t="n">
        <v>45753</v>
      </c>
      <c r="E326" s="35" t="n">
        <v>1064.17</v>
      </c>
      <c r="F326" s="35" t="n">
        <v>537.8</v>
      </c>
      <c r="G326" s="35" t="n">
        <v>482.96</v>
      </c>
      <c r="H326" t="inlineStr">
        <is>
          <t>Paid</t>
        </is>
      </c>
    </row>
    <row r="327">
      <c r="A327" t="inlineStr">
        <is>
          <t>CLM513972</t>
        </is>
      </c>
      <c r="B327" t="inlineStr">
        <is>
          <t>PT10966</t>
        </is>
      </c>
      <c r="C327" t="inlineStr">
        <is>
          <t>PY04</t>
        </is>
      </c>
      <c r="D327" s="30" t="n">
        <v>45753</v>
      </c>
      <c r="E327" s="35" t="n">
        <v>1318.48</v>
      </c>
      <c r="F327" s="35" t="n">
        <v>636.79</v>
      </c>
      <c r="G327" s="35" t="n">
        <v>511.8</v>
      </c>
      <c r="H327" t="inlineStr">
        <is>
          <t>Paid</t>
        </is>
      </c>
    </row>
    <row r="328">
      <c r="A328" t="inlineStr">
        <is>
          <t>CLM513992</t>
        </is>
      </c>
      <c r="B328" t="inlineStr">
        <is>
          <t>PT10537</t>
        </is>
      </c>
      <c r="C328" t="inlineStr">
        <is>
          <t>PY06</t>
        </is>
      </c>
      <c r="D328" s="30" t="n">
        <v>45758</v>
      </c>
      <c r="E328" s="35" t="n">
        <v>13228.22</v>
      </c>
      <c r="F328" s="35" t="n">
        <v>0</v>
      </c>
      <c r="G328" s="35" t="n">
        <v>0</v>
      </c>
      <c r="H328" t="inlineStr">
        <is>
          <t>Appealed</t>
        </is>
      </c>
      <c r="I328" t="inlineStr">
        <is>
          <t>Medical Necessity</t>
        </is>
      </c>
    </row>
    <row r="329">
      <c r="A329" t="inlineStr">
        <is>
          <t>CLM514010</t>
        </is>
      </c>
      <c r="B329" t="inlineStr">
        <is>
          <t>PT10180</t>
        </is>
      </c>
      <c r="C329" t="inlineStr">
        <is>
          <t>PY02</t>
        </is>
      </c>
      <c r="D329" s="30" t="n">
        <v>45757</v>
      </c>
      <c r="E329" s="35" t="n">
        <v>9104.09</v>
      </c>
      <c r="F329" s="35" t="n">
        <v>2899.51</v>
      </c>
      <c r="G329" s="35" t="n">
        <v>2822.9</v>
      </c>
      <c r="H329" t="inlineStr">
        <is>
          <t>Paid</t>
        </is>
      </c>
    </row>
    <row r="330">
      <c r="A330" t="inlineStr">
        <is>
          <t>CLM514024</t>
        </is>
      </c>
      <c r="B330" t="inlineStr">
        <is>
          <t>PT11518</t>
        </is>
      </c>
      <c r="C330" t="inlineStr">
        <is>
          <t>PY04</t>
        </is>
      </c>
      <c r="D330" s="30" t="n">
        <v>45755</v>
      </c>
      <c r="E330" s="35" t="n">
        <v>954.9299999999999</v>
      </c>
      <c r="F330" s="35" t="n">
        <v>490.87</v>
      </c>
      <c r="G330" s="35" t="n">
        <v>467.01</v>
      </c>
      <c r="H330" t="inlineStr">
        <is>
          <t>Paid</t>
        </is>
      </c>
    </row>
    <row r="331">
      <c r="A331" t="inlineStr">
        <is>
          <t>CLM514032</t>
        </is>
      </c>
      <c r="B331" t="inlineStr">
        <is>
          <t>PT11427</t>
        </is>
      </c>
      <c r="C331" t="inlineStr">
        <is>
          <t>PY02</t>
        </is>
      </c>
      <c r="D331" s="30" t="n">
        <v>45759</v>
      </c>
      <c r="E331" s="35" t="n">
        <v>30242.85</v>
      </c>
      <c r="F331" s="35" t="n">
        <v>9598.25</v>
      </c>
      <c r="G331" s="35" t="n">
        <v>9193.66</v>
      </c>
      <c r="H331" t="inlineStr">
        <is>
          <t>Paid</t>
        </is>
      </c>
    </row>
    <row r="332">
      <c r="A332" t="inlineStr">
        <is>
          <t>CLM514037</t>
        </is>
      </c>
      <c r="B332" t="inlineStr">
        <is>
          <t>PT12133</t>
        </is>
      </c>
      <c r="C332" t="inlineStr">
        <is>
          <t>PY02</t>
        </is>
      </c>
      <c r="D332" s="30" t="n">
        <v>45763</v>
      </c>
      <c r="E332" s="35" t="n">
        <v>45071.69</v>
      </c>
      <c r="F332" s="35" t="n">
        <v>15224.08</v>
      </c>
      <c r="G332" s="35" t="n">
        <v>14927.46</v>
      </c>
      <c r="H332" t="inlineStr">
        <is>
          <t>Paid</t>
        </is>
      </c>
    </row>
    <row r="333">
      <c r="A333" t="inlineStr">
        <is>
          <t>CLM514040</t>
        </is>
      </c>
      <c r="B333" t="inlineStr">
        <is>
          <t>PT12410</t>
        </is>
      </c>
      <c r="C333" t="inlineStr">
        <is>
          <t>PY05</t>
        </is>
      </c>
      <c r="D333" s="30" t="n">
        <v>45758</v>
      </c>
      <c r="E333" s="35" t="n">
        <v>65285.36</v>
      </c>
      <c r="F333" s="35" t="n">
        <v>27970.93</v>
      </c>
      <c r="G333" s="35" t="n">
        <v>25898.14</v>
      </c>
      <c r="H333" t="inlineStr">
        <is>
          <t>Paid</t>
        </is>
      </c>
    </row>
    <row r="334">
      <c r="A334" t="inlineStr">
        <is>
          <t>CLM514055</t>
        </is>
      </c>
      <c r="B334" t="inlineStr">
        <is>
          <t>PT12687</t>
        </is>
      </c>
      <c r="C334" t="inlineStr">
        <is>
          <t>PY01</t>
        </is>
      </c>
      <c r="D334" s="30" t="n">
        <v>45762</v>
      </c>
      <c r="E334" s="35" t="n">
        <v>33164.53</v>
      </c>
      <c r="F334" s="35" t="n">
        <v>0</v>
      </c>
      <c r="G334" s="35" t="n">
        <v>0</v>
      </c>
      <c r="H334" t="inlineStr">
        <is>
          <t>Denied</t>
        </is>
      </c>
      <c r="I334" t="inlineStr">
        <is>
          <t>Medical Necessity</t>
        </is>
      </c>
    </row>
    <row r="335">
      <c r="A335" t="inlineStr">
        <is>
          <t>CLM514057</t>
        </is>
      </c>
      <c r="B335" t="inlineStr">
        <is>
          <t>PT12070</t>
        </is>
      </c>
      <c r="C335" t="inlineStr">
        <is>
          <t>PY04</t>
        </is>
      </c>
      <c r="D335" s="30" t="n">
        <v>45763</v>
      </c>
      <c r="E335" s="35" t="n">
        <v>108791.28</v>
      </c>
      <c r="F335" s="35" t="n">
        <v>55864.62</v>
      </c>
      <c r="G335" s="35" t="n">
        <v>50744.07</v>
      </c>
      <c r="H335" t="inlineStr">
        <is>
          <t>Paid</t>
        </is>
      </c>
    </row>
    <row r="336">
      <c r="A336" t="inlineStr">
        <is>
          <t>CLM514059</t>
        </is>
      </c>
      <c r="B336" t="inlineStr">
        <is>
          <t>PT11126</t>
        </is>
      </c>
      <c r="C336" t="inlineStr">
        <is>
          <t>PY06</t>
        </is>
      </c>
      <c r="D336" s="30" t="n">
        <v>45756</v>
      </c>
      <c r="E336" s="35" t="n">
        <v>3312.47</v>
      </c>
      <c r="F336" s="35" t="n">
        <v>1604.1</v>
      </c>
      <c r="G336" s="35" t="n">
        <v>1329.43</v>
      </c>
      <c r="H336" t="inlineStr">
        <is>
          <t>Paid</t>
        </is>
      </c>
    </row>
    <row r="337">
      <c r="A337" t="inlineStr">
        <is>
          <t>CLM514060</t>
        </is>
      </c>
      <c r="B337" t="inlineStr">
        <is>
          <t>PT13277</t>
        </is>
      </c>
      <c r="C337" t="inlineStr">
        <is>
          <t>PY07</t>
        </is>
      </c>
      <c r="D337" s="30" t="n">
        <v>45756</v>
      </c>
      <c r="E337" s="35" t="n">
        <v>735.63</v>
      </c>
      <c r="F337" s="35" t="n">
        <v>307.1</v>
      </c>
      <c r="G337" s="35" t="n">
        <v>185.01</v>
      </c>
      <c r="H337" t="inlineStr">
        <is>
          <t>Partially Paid</t>
        </is>
      </c>
    </row>
    <row r="338">
      <c r="A338" t="inlineStr">
        <is>
          <t>CLM514080</t>
        </is>
      </c>
      <c r="B338" t="inlineStr">
        <is>
          <t>PT11367</t>
        </is>
      </c>
      <c r="C338" t="inlineStr">
        <is>
          <t>PY04</t>
        </is>
      </c>
      <c r="D338" s="30" t="n">
        <v>45757</v>
      </c>
      <c r="E338" s="35" t="n">
        <v>3953.5</v>
      </c>
      <c r="F338" s="35" t="n">
        <v>2197.78</v>
      </c>
      <c r="G338" s="35" t="n">
        <v>2060.2</v>
      </c>
      <c r="H338" t="inlineStr">
        <is>
          <t>Paid</t>
        </is>
      </c>
    </row>
    <row r="339">
      <c r="A339" t="inlineStr">
        <is>
          <t>CLM514090</t>
        </is>
      </c>
      <c r="B339" t="inlineStr">
        <is>
          <t>PT13876</t>
        </is>
      </c>
      <c r="C339" t="inlineStr">
        <is>
          <t>PY02</t>
        </is>
      </c>
      <c r="D339" s="30" t="n">
        <v>45757</v>
      </c>
      <c r="E339" s="35" t="n">
        <v>845.6799999999999</v>
      </c>
      <c r="F339" s="35" t="n">
        <v>301.68</v>
      </c>
      <c r="G339" s="35" t="n">
        <v>274.4</v>
      </c>
      <c r="H339" t="inlineStr">
        <is>
          <t>Paid</t>
        </is>
      </c>
    </row>
    <row r="340">
      <c r="A340" t="inlineStr">
        <is>
          <t>CLM514093</t>
        </is>
      </c>
      <c r="B340" t="inlineStr">
        <is>
          <t>PT10047</t>
        </is>
      </c>
      <c r="C340" t="inlineStr">
        <is>
          <t>PY03</t>
        </is>
      </c>
      <c r="D340" s="30" t="n">
        <v>45757</v>
      </c>
      <c r="E340" s="35" t="n">
        <v>1223.79</v>
      </c>
      <c r="F340" s="35" t="n">
        <v>336.7</v>
      </c>
      <c r="G340" s="35" t="n">
        <v>154.54</v>
      </c>
      <c r="H340" t="inlineStr">
        <is>
          <t>Partially Paid</t>
        </is>
      </c>
      <c r="I340" t="inlineStr">
        <is>
          <t>Medical Necessity</t>
        </is>
      </c>
    </row>
    <row r="341">
      <c r="A341" t="inlineStr">
        <is>
          <t>CLM514097</t>
        </is>
      </c>
      <c r="B341" t="inlineStr">
        <is>
          <t>PT11381</t>
        </is>
      </c>
      <c r="C341" t="inlineStr">
        <is>
          <t>PY04</t>
        </is>
      </c>
      <c r="D341" s="30" t="n">
        <v>45763</v>
      </c>
      <c r="E341" s="35" t="n">
        <v>28998.15</v>
      </c>
      <c r="F341" s="35" t="n">
        <v>14615.76</v>
      </c>
      <c r="G341" s="35" t="n">
        <v>13303.27</v>
      </c>
      <c r="H341" t="inlineStr">
        <is>
          <t>Paid</t>
        </is>
      </c>
    </row>
    <row r="342">
      <c r="A342" t="inlineStr">
        <is>
          <t>CLM514107</t>
        </is>
      </c>
      <c r="B342" t="inlineStr">
        <is>
          <t>PT10788</t>
        </is>
      </c>
      <c r="C342" t="inlineStr">
        <is>
          <t>PY04</t>
        </is>
      </c>
      <c r="D342" s="30" t="n">
        <v>45758</v>
      </c>
      <c r="E342" s="35" t="n">
        <v>3505.09</v>
      </c>
      <c r="F342" s="35" t="n">
        <v>1873.66</v>
      </c>
      <c r="G342" s="35" t="n">
        <v>1695.09</v>
      </c>
      <c r="H342" t="inlineStr">
        <is>
          <t>Paid</t>
        </is>
      </c>
    </row>
    <row r="343">
      <c r="A343" t="inlineStr">
        <is>
          <t>CLM514125</t>
        </is>
      </c>
      <c r="B343" t="inlineStr">
        <is>
          <t>PT10337</t>
        </is>
      </c>
      <c r="C343" t="inlineStr">
        <is>
          <t>PY03</t>
        </is>
      </c>
      <c r="D343" s="30" t="n">
        <v>45760</v>
      </c>
      <c r="E343" s="35" t="n">
        <v>10851.49</v>
      </c>
      <c r="F343" s="35" t="n">
        <v>0</v>
      </c>
      <c r="G343" s="35" t="n">
        <v>0</v>
      </c>
      <c r="H343" t="inlineStr">
        <is>
          <t>Appealed</t>
        </is>
      </c>
      <c r="I343" t="inlineStr">
        <is>
          <t>Eligibility / Coverage</t>
        </is>
      </c>
    </row>
    <row r="344">
      <c r="A344" t="inlineStr">
        <is>
          <t>CLM514130</t>
        </is>
      </c>
      <c r="B344" t="inlineStr">
        <is>
          <t>PT11214</t>
        </is>
      </c>
      <c r="C344" t="inlineStr">
        <is>
          <t>PY05</t>
        </is>
      </c>
      <c r="D344" s="30" t="n">
        <v>45763</v>
      </c>
      <c r="E344" s="35" t="n">
        <v>58213.41</v>
      </c>
      <c r="F344" s="35" t="n">
        <v>27648.73</v>
      </c>
      <c r="G344" s="35" t="n">
        <v>22908.53</v>
      </c>
      <c r="H344" t="inlineStr">
        <is>
          <t>Paid</t>
        </is>
      </c>
    </row>
    <row r="345">
      <c r="A345" t="inlineStr">
        <is>
          <t>CLM514133</t>
        </is>
      </c>
      <c r="B345" t="inlineStr">
        <is>
          <t>PT10672</t>
        </is>
      </c>
      <c r="C345" t="inlineStr">
        <is>
          <t>PY04</t>
        </is>
      </c>
      <c r="D345" s="30" t="n">
        <v>45764</v>
      </c>
      <c r="E345" s="35" t="n">
        <v>20910.69</v>
      </c>
      <c r="F345" s="35" t="n">
        <v>11101.67</v>
      </c>
      <c r="G345" s="35" t="n">
        <v>7099.36</v>
      </c>
      <c r="H345" t="inlineStr">
        <is>
          <t>Partially Paid</t>
        </is>
      </c>
      <c r="I345" t="inlineStr">
        <is>
          <t>Medical Necessity</t>
        </is>
      </c>
    </row>
    <row r="346">
      <c r="A346" t="inlineStr">
        <is>
          <t>CLM514134</t>
        </is>
      </c>
      <c r="B346" t="inlineStr">
        <is>
          <t>PT10789</t>
        </is>
      </c>
      <c r="C346" t="inlineStr">
        <is>
          <t>PY01</t>
        </is>
      </c>
      <c r="D346" s="30" t="n">
        <v>45759</v>
      </c>
      <c r="E346" s="35" t="n">
        <v>794.72</v>
      </c>
      <c r="F346" s="35" t="n">
        <v>287.01</v>
      </c>
      <c r="G346" s="35" t="n">
        <v>282.71</v>
      </c>
      <c r="H346" t="inlineStr">
        <is>
          <t>Paid</t>
        </is>
      </c>
    </row>
    <row r="347">
      <c r="A347" t="inlineStr">
        <is>
          <t>CLM514135</t>
        </is>
      </c>
      <c r="B347" t="inlineStr">
        <is>
          <t>PT13549</t>
        </is>
      </c>
      <c r="C347" t="inlineStr">
        <is>
          <t>PY02</t>
        </is>
      </c>
      <c r="D347" s="30" t="n">
        <v>45760</v>
      </c>
      <c r="E347" s="35" t="n">
        <v>10687.02</v>
      </c>
      <c r="F347" s="35" t="n">
        <v>4001.82</v>
      </c>
      <c r="G347" s="35" t="n">
        <v>4001.82</v>
      </c>
      <c r="H347" t="inlineStr">
        <is>
          <t>Paid</t>
        </is>
      </c>
    </row>
    <row r="348">
      <c r="A348" t="inlineStr">
        <is>
          <t>CLM514157</t>
        </is>
      </c>
      <c r="B348" t="inlineStr">
        <is>
          <t>PT10034</t>
        </is>
      </c>
      <c r="C348" t="inlineStr">
        <is>
          <t>PY01</t>
        </is>
      </c>
      <c r="D348" s="30" t="n">
        <v>45760</v>
      </c>
      <c r="E348" s="35" t="n">
        <v>2515.85</v>
      </c>
      <c r="F348" s="35" t="n">
        <v>0</v>
      </c>
      <c r="G348" s="35" t="n">
        <v>0</v>
      </c>
      <c r="H348" t="inlineStr">
        <is>
          <t>Denied</t>
        </is>
      </c>
      <c r="I348" t="inlineStr">
        <is>
          <t>Authorization Required</t>
        </is>
      </c>
    </row>
    <row r="349">
      <c r="A349" t="inlineStr">
        <is>
          <t>CLM514159</t>
        </is>
      </c>
      <c r="B349" t="inlineStr">
        <is>
          <t>PT12580</t>
        </is>
      </c>
      <c r="C349" t="inlineStr">
        <is>
          <t>PY04</t>
        </is>
      </c>
      <c r="D349" s="30" t="n">
        <v>45760</v>
      </c>
      <c r="E349" s="35" t="n">
        <v>4252.79</v>
      </c>
      <c r="F349" s="35" t="n">
        <v>0</v>
      </c>
      <c r="G349" s="35" t="n">
        <v>0</v>
      </c>
      <c r="H349" t="inlineStr">
        <is>
          <t>Appealed</t>
        </is>
      </c>
      <c r="I349" t="inlineStr">
        <is>
          <t>Duplicate Claim</t>
        </is>
      </c>
    </row>
    <row r="350">
      <c r="A350" t="inlineStr">
        <is>
          <t>CLM514160</t>
        </is>
      </c>
      <c r="B350" t="inlineStr">
        <is>
          <t>PT11838</t>
        </is>
      </c>
      <c r="C350" t="inlineStr">
        <is>
          <t>PY05</t>
        </is>
      </c>
      <c r="D350" s="30" t="n">
        <v>45762</v>
      </c>
      <c r="E350" s="35" t="n">
        <v>12962.8</v>
      </c>
      <c r="F350" s="35" t="n">
        <v>5590.15</v>
      </c>
      <c r="G350" s="35" t="n">
        <v>5070.82</v>
      </c>
      <c r="H350" t="inlineStr">
        <is>
          <t>Paid</t>
        </is>
      </c>
    </row>
    <row r="351">
      <c r="A351" t="inlineStr">
        <is>
          <t>CLM514178</t>
        </is>
      </c>
      <c r="B351" t="inlineStr">
        <is>
          <t>PT13475</t>
        </is>
      </c>
      <c r="C351" t="inlineStr">
        <is>
          <t>PY05</t>
        </is>
      </c>
      <c r="D351" s="30" t="n">
        <v>45761</v>
      </c>
      <c r="E351" s="35" t="n">
        <v>1615.07</v>
      </c>
      <c r="F351" s="35" t="n">
        <v>757.58</v>
      </c>
      <c r="G351" s="35" t="n">
        <v>646.35</v>
      </c>
      <c r="H351" t="inlineStr">
        <is>
          <t>Paid</t>
        </is>
      </c>
    </row>
    <row r="352">
      <c r="A352" t="inlineStr">
        <is>
          <t>CLM514196</t>
        </is>
      </c>
      <c r="B352" t="inlineStr">
        <is>
          <t>PT12905</t>
        </is>
      </c>
      <c r="C352" t="inlineStr">
        <is>
          <t>PY01</t>
        </is>
      </c>
      <c r="D352" s="30" t="n">
        <v>45761</v>
      </c>
      <c r="E352" s="35" t="n">
        <v>1329.52</v>
      </c>
      <c r="F352" s="35" t="n">
        <v>341.65</v>
      </c>
      <c r="G352" s="35" t="n">
        <v>303.12</v>
      </c>
      <c r="H352" t="inlineStr">
        <is>
          <t>Paid</t>
        </is>
      </c>
    </row>
    <row r="353">
      <c r="A353" t="inlineStr">
        <is>
          <t>CLM514199</t>
        </is>
      </c>
      <c r="B353" t="inlineStr">
        <is>
          <t>PT10513</t>
        </is>
      </c>
      <c r="C353" t="inlineStr">
        <is>
          <t>PY04</t>
        </is>
      </c>
      <c r="D353" s="30" t="n">
        <v>45764</v>
      </c>
      <c r="E353" s="35" t="n">
        <v>23441.65</v>
      </c>
      <c r="F353" s="35" t="n">
        <v>10666.27</v>
      </c>
      <c r="G353" s="35" t="n">
        <v>8800.25</v>
      </c>
      <c r="H353" t="inlineStr">
        <is>
          <t>Paid</t>
        </is>
      </c>
    </row>
    <row r="354">
      <c r="A354" t="inlineStr">
        <is>
          <t>CLM514200</t>
        </is>
      </c>
      <c r="B354" t="inlineStr">
        <is>
          <t>PT12963</t>
        </is>
      </c>
      <c r="C354" t="inlineStr">
        <is>
          <t>PY01</t>
        </is>
      </c>
      <c r="D354" s="30" t="n">
        <v>45767</v>
      </c>
      <c r="E354" s="35" t="n">
        <v>31102.22</v>
      </c>
      <c r="F354" s="35" t="n">
        <v>9058.200000000001</v>
      </c>
      <c r="G354" s="35" t="n">
        <v>8782.799999999999</v>
      </c>
      <c r="H354" t="inlineStr">
        <is>
          <t>Paid</t>
        </is>
      </c>
    </row>
    <row r="355">
      <c r="A355" t="inlineStr">
        <is>
          <t>CLM514201</t>
        </is>
      </c>
      <c r="B355" t="inlineStr">
        <is>
          <t>PT12461</t>
        </is>
      </c>
      <c r="C355" t="inlineStr">
        <is>
          <t>PY02</t>
        </is>
      </c>
      <c r="D355" s="30" t="n">
        <v>45762</v>
      </c>
      <c r="E355" s="35" t="n">
        <v>2574.45</v>
      </c>
      <c r="F355" s="35" t="n">
        <v>914.05</v>
      </c>
      <c r="G355" s="35" t="n">
        <v>804.11</v>
      </c>
      <c r="H355" t="inlineStr">
        <is>
          <t>Paid</t>
        </is>
      </c>
    </row>
    <row r="356">
      <c r="A356" t="inlineStr">
        <is>
          <t>CLM514222</t>
        </is>
      </c>
      <c r="B356" t="inlineStr">
        <is>
          <t>PT12641</t>
        </is>
      </c>
      <c r="C356" t="inlineStr">
        <is>
          <t>PY04</t>
        </is>
      </c>
      <c r="D356" s="30" t="n">
        <v>45762</v>
      </c>
      <c r="E356" s="35" t="n">
        <v>1444.54</v>
      </c>
      <c r="F356" s="35" t="n">
        <v>760.8</v>
      </c>
      <c r="G356" s="35" t="n">
        <v>686.9299999999999</v>
      </c>
      <c r="H356" t="inlineStr">
        <is>
          <t>Paid</t>
        </is>
      </c>
    </row>
    <row r="357">
      <c r="A357" t="inlineStr">
        <is>
          <t>CLM514258</t>
        </is>
      </c>
      <c r="B357" t="inlineStr">
        <is>
          <t>PT10721</t>
        </is>
      </c>
      <c r="C357" t="inlineStr">
        <is>
          <t>PY01</t>
        </is>
      </c>
      <c r="D357" s="30" t="n">
        <v>45763</v>
      </c>
      <c r="E357" s="35" t="n">
        <v>3368.49</v>
      </c>
      <c r="F357" s="35" t="n">
        <v>993.27</v>
      </c>
      <c r="G357" s="35" t="n">
        <v>934.84</v>
      </c>
      <c r="H357" t="inlineStr">
        <is>
          <t>Paid</t>
        </is>
      </c>
    </row>
    <row r="358">
      <c r="A358" t="inlineStr">
        <is>
          <t>CLM514267</t>
        </is>
      </c>
      <c r="B358" t="inlineStr">
        <is>
          <t>PT11224</t>
        </is>
      </c>
      <c r="C358" t="inlineStr">
        <is>
          <t>PY01</t>
        </is>
      </c>
      <c r="D358" s="30" t="n">
        <v>45764</v>
      </c>
      <c r="E358" s="35" t="n">
        <v>2506.03</v>
      </c>
      <c r="F358" s="35" t="n">
        <v>0</v>
      </c>
      <c r="G358" s="35" t="n">
        <v>0</v>
      </c>
      <c r="H358" t="inlineStr">
        <is>
          <t>Denied</t>
        </is>
      </c>
      <c r="I358" t="inlineStr">
        <is>
          <t>Duplicate Claim</t>
        </is>
      </c>
    </row>
    <row r="359">
      <c r="A359" t="inlineStr">
        <is>
          <t>CLM514276</t>
        </is>
      </c>
      <c r="B359" t="inlineStr">
        <is>
          <t>PT13126</t>
        </is>
      </c>
      <c r="C359" t="inlineStr">
        <is>
          <t>PY04</t>
        </is>
      </c>
      <c r="D359" s="30" t="n">
        <v>45765</v>
      </c>
      <c r="E359" s="35" t="n">
        <v>8994.450000000001</v>
      </c>
      <c r="F359" s="35" t="n">
        <v>5038.28</v>
      </c>
      <c r="G359" s="35" t="n">
        <v>4768.77</v>
      </c>
      <c r="H359" t="inlineStr">
        <is>
          <t>Paid</t>
        </is>
      </c>
    </row>
    <row r="360">
      <c r="A360" t="inlineStr">
        <is>
          <t>CLM514294</t>
        </is>
      </c>
      <c r="B360" t="inlineStr">
        <is>
          <t>PT12979</t>
        </is>
      </c>
      <c r="C360" t="inlineStr">
        <is>
          <t>PY03</t>
        </is>
      </c>
      <c r="D360" s="30" t="n">
        <v>45767</v>
      </c>
      <c r="E360" s="35" t="n">
        <v>53743.43</v>
      </c>
      <c r="F360" s="35" t="n">
        <v>15224.89</v>
      </c>
      <c r="G360" s="35" t="n">
        <v>15224.89</v>
      </c>
      <c r="H360" t="inlineStr">
        <is>
          <t>Paid</t>
        </is>
      </c>
    </row>
    <row r="361">
      <c r="A361" t="inlineStr">
        <is>
          <t>CLM514298</t>
        </is>
      </c>
      <c r="B361" t="inlineStr">
        <is>
          <t>PT10798</t>
        </is>
      </c>
      <c r="C361" t="inlineStr">
        <is>
          <t>PY06</t>
        </is>
      </c>
      <c r="D361" s="30" t="n">
        <v>45765</v>
      </c>
      <c r="E361" s="35" t="n">
        <v>976.73</v>
      </c>
      <c r="F361" s="35" t="n">
        <v>536.17</v>
      </c>
      <c r="G361" s="35" t="n">
        <v>444.38</v>
      </c>
      <c r="H361" t="inlineStr">
        <is>
          <t>Paid</t>
        </is>
      </c>
    </row>
    <row r="362">
      <c r="A362" t="inlineStr">
        <is>
          <t>CLM514305</t>
        </is>
      </c>
      <c r="B362" t="inlineStr">
        <is>
          <t>PT10219</t>
        </is>
      </c>
      <c r="C362" t="inlineStr">
        <is>
          <t>PY01</t>
        </is>
      </c>
      <c r="D362" s="30" t="n">
        <v>45767</v>
      </c>
      <c r="E362" s="35" t="n">
        <v>10495.25</v>
      </c>
      <c r="F362" s="35" t="n">
        <v>2926.59</v>
      </c>
      <c r="G362" s="35" t="n">
        <v>2640.49</v>
      </c>
      <c r="H362" t="inlineStr">
        <is>
          <t>Paid</t>
        </is>
      </c>
    </row>
    <row r="363">
      <c r="A363" t="inlineStr">
        <is>
          <t>CLM514306</t>
        </is>
      </c>
      <c r="B363" t="inlineStr">
        <is>
          <t>PT11842</t>
        </is>
      </c>
      <c r="C363" t="inlineStr">
        <is>
          <t>PY01</t>
        </is>
      </c>
      <c r="D363" s="30" t="n">
        <v>45768</v>
      </c>
      <c r="E363" s="35" t="n">
        <v>16428.43</v>
      </c>
      <c r="F363" s="35" t="n">
        <v>5231.37</v>
      </c>
      <c r="G363" s="35" t="n">
        <v>4669.74</v>
      </c>
      <c r="H363" t="inlineStr">
        <is>
          <t>Paid</t>
        </is>
      </c>
    </row>
    <row r="364">
      <c r="A364" t="inlineStr">
        <is>
          <t>CLM514314</t>
        </is>
      </c>
      <c r="B364" t="inlineStr">
        <is>
          <t>PT11946</t>
        </is>
      </c>
      <c r="C364" t="inlineStr">
        <is>
          <t>PY05</t>
        </is>
      </c>
      <c r="D364" s="30" t="n">
        <v>45766</v>
      </c>
      <c r="E364" s="35" t="n">
        <v>5416.51</v>
      </c>
      <c r="F364" s="35" t="n">
        <v>2530.2</v>
      </c>
      <c r="G364" s="35" t="n">
        <v>2477.87</v>
      </c>
      <c r="H364" t="inlineStr">
        <is>
          <t>Paid</t>
        </is>
      </c>
    </row>
    <row r="365">
      <c r="A365" t="inlineStr">
        <is>
          <t>CLM514331</t>
        </is>
      </c>
      <c r="B365" t="inlineStr">
        <is>
          <t>PT13751</t>
        </is>
      </c>
      <c r="C365" t="inlineStr">
        <is>
          <t>PY02</t>
        </is>
      </c>
      <c r="D365" s="30" t="n">
        <v>45770</v>
      </c>
      <c r="E365" s="35" t="n">
        <v>54230.09</v>
      </c>
      <c r="F365" s="35" t="n">
        <v>16143.94</v>
      </c>
      <c r="G365" s="35" t="n">
        <v>16023.9</v>
      </c>
      <c r="H365" t="inlineStr">
        <is>
          <t>Paid</t>
        </is>
      </c>
    </row>
    <row r="366">
      <c r="A366" t="inlineStr">
        <is>
          <t>CLM514346</t>
        </is>
      </c>
      <c r="B366" t="inlineStr">
        <is>
          <t>PT10323</t>
        </is>
      </c>
      <c r="C366" t="inlineStr">
        <is>
          <t>PY03</t>
        </is>
      </c>
      <c r="D366" s="30" t="n">
        <v>45767</v>
      </c>
      <c r="E366" s="35" t="n">
        <v>10641</v>
      </c>
      <c r="F366" s="35" t="n">
        <v>0</v>
      </c>
      <c r="G366" s="35" t="n">
        <v>0</v>
      </c>
      <c r="H366" t="inlineStr">
        <is>
          <t>Appealed</t>
        </is>
      </c>
      <c r="I366" t="inlineStr">
        <is>
          <t>Medical Necessity</t>
        </is>
      </c>
    </row>
    <row r="367">
      <c r="A367" t="inlineStr">
        <is>
          <t>CLM514348</t>
        </is>
      </c>
      <c r="B367" t="inlineStr">
        <is>
          <t>PT11878</t>
        </is>
      </c>
      <c r="C367" t="inlineStr">
        <is>
          <t>PY02</t>
        </is>
      </c>
      <c r="D367" s="30" t="n">
        <v>45773</v>
      </c>
      <c r="E367" s="35" t="n">
        <v>73700.32000000001</v>
      </c>
      <c r="F367" s="35" t="n">
        <v>25092.34</v>
      </c>
      <c r="G367" s="35" t="n">
        <v>11030.14</v>
      </c>
      <c r="H367" t="inlineStr">
        <is>
          <t>Partially Paid</t>
        </is>
      </c>
      <c r="I367" t="inlineStr">
        <is>
          <t>Coding Error</t>
        </is>
      </c>
    </row>
    <row r="368">
      <c r="A368" t="inlineStr">
        <is>
          <t>CLM514350</t>
        </is>
      </c>
      <c r="B368" t="inlineStr">
        <is>
          <t>PT13786</t>
        </is>
      </c>
      <c r="C368" t="inlineStr">
        <is>
          <t>PY07</t>
        </is>
      </c>
      <c r="D368" s="30" t="n">
        <v>45770</v>
      </c>
      <c r="E368" s="35" t="n">
        <v>57381.04</v>
      </c>
      <c r="F368" s="35" t="n">
        <v>23888.19</v>
      </c>
      <c r="G368" s="35" t="n">
        <v>15683.99</v>
      </c>
      <c r="H368" t="inlineStr">
        <is>
          <t>Partially Paid</t>
        </is>
      </c>
    </row>
    <row r="369">
      <c r="A369" t="inlineStr">
        <is>
          <t>CLM514356</t>
        </is>
      </c>
      <c r="B369" t="inlineStr">
        <is>
          <t>PT10865</t>
        </is>
      </c>
      <c r="C369" t="inlineStr">
        <is>
          <t>PY01</t>
        </is>
      </c>
      <c r="D369" s="30" t="n">
        <v>45770</v>
      </c>
      <c r="E369" s="35" t="n">
        <v>20225.75</v>
      </c>
      <c r="F369" s="35" t="n">
        <v>0</v>
      </c>
      <c r="G369" s="35" t="n">
        <v>0</v>
      </c>
      <c r="H369" t="inlineStr">
        <is>
          <t>Appealed</t>
        </is>
      </c>
      <c r="I369" t="inlineStr">
        <is>
          <t>Authorization Required</t>
        </is>
      </c>
    </row>
    <row r="370">
      <c r="A370" t="inlineStr">
        <is>
          <t>CLM514363</t>
        </is>
      </c>
      <c r="B370" t="inlineStr">
        <is>
          <t>PT10618</t>
        </is>
      </c>
      <c r="C370" t="inlineStr">
        <is>
          <t>PY01</t>
        </is>
      </c>
      <c r="D370" s="30" t="n">
        <v>45767</v>
      </c>
      <c r="E370" s="35" t="n">
        <v>3242.03</v>
      </c>
      <c r="F370" s="35" t="n">
        <v>1043.86</v>
      </c>
      <c r="G370" s="35" t="n">
        <v>975.13</v>
      </c>
      <c r="H370" t="inlineStr">
        <is>
          <t>Paid</t>
        </is>
      </c>
    </row>
    <row r="371">
      <c r="A371" t="inlineStr">
        <is>
          <t>CLM514381</t>
        </is>
      </c>
      <c r="B371" t="inlineStr">
        <is>
          <t>PT10455</t>
        </is>
      </c>
      <c r="C371" t="inlineStr">
        <is>
          <t>PY05</t>
        </is>
      </c>
      <c r="D371" s="30" t="n">
        <v>45771</v>
      </c>
      <c r="E371" s="35" t="n">
        <v>26039.53</v>
      </c>
      <c r="F371" s="35" t="n">
        <v>12153.32</v>
      </c>
      <c r="G371" s="35" t="n">
        <v>11031.02</v>
      </c>
      <c r="H371" t="inlineStr">
        <is>
          <t>Paid</t>
        </is>
      </c>
    </row>
    <row r="372">
      <c r="A372" t="inlineStr">
        <is>
          <t>CLM514387</t>
        </is>
      </c>
      <c r="B372" t="inlineStr">
        <is>
          <t>PT11188</t>
        </is>
      </c>
      <c r="C372" t="inlineStr">
        <is>
          <t>PY01</t>
        </is>
      </c>
      <c r="D372" s="30" t="n">
        <v>45774</v>
      </c>
      <c r="E372" s="35" t="n">
        <v>28332.51</v>
      </c>
      <c r="F372" s="35" t="n">
        <v>8612.91</v>
      </c>
      <c r="G372" s="35" t="n">
        <v>5631.83</v>
      </c>
      <c r="H372" t="inlineStr">
        <is>
          <t>Partially Paid</t>
        </is>
      </c>
      <c r="I372" t="inlineStr">
        <is>
          <t>Medical Necessity</t>
        </is>
      </c>
    </row>
    <row r="373">
      <c r="A373" t="inlineStr">
        <is>
          <t>CLM514393</t>
        </is>
      </c>
      <c r="B373" t="inlineStr">
        <is>
          <t>PT10181</t>
        </is>
      </c>
      <c r="C373" t="inlineStr">
        <is>
          <t>PY04</t>
        </is>
      </c>
      <c r="D373" s="30" t="n">
        <v>45768</v>
      </c>
      <c r="E373" s="35" t="n">
        <v>637.4400000000001</v>
      </c>
      <c r="F373" s="35" t="n">
        <v>353.08</v>
      </c>
      <c r="G373" s="35" t="n">
        <v>319.51</v>
      </c>
      <c r="H373" t="inlineStr">
        <is>
          <t>Paid</t>
        </is>
      </c>
    </row>
    <row r="374">
      <c r="A374" t="inlineStr">
        <is>
          <t>CLM514400</t>
        </is>
      </c>
      <c r="B374" t="inlineStr">
        <is>
          <t>PT11926</t>
        </is>
      </c>
      <c r="C374" t="inlineStr">
        <is>
          <t>PY02</t>
        </is>
      </c>
      <c r="D374" s="30" t="n">
        <v>45770</v>
      </c>
      <c r="E374" s="35" t="n"/>
      <c r="F374" s="35" t="n">
        <v>0</v>
      </c>
      <c r="G374" s="35" t="n">
        <v>0</v>
      </c>
      <c r="H374" t="inlineStr">
        <is>
          <t>Denied</t>
        </is>
      </c>
      <c r="I374" t="inlineStr">
        <is>
          <t>Coding Error</t>
        </is>
      </c>
    </row>
    <row r="375">
      <c r="A375" t="inlineStr">
        <is>
          <t>CLM514404</t>
        </is>
      </c>
      <c r="B375" t="inlineStr">
        <is>
          <t>PT12537</t>
        </is>
      </c>
      <c r="C375" t="inlineStr">
        <is>
          <t>PY01</t>
        </is>
      </c>
      <c r="D375" s="30" t="n">
        <v>45769</v>
      </c>
      <c r="E375" s="35" t="n">
        <v>1162.49</v>
      </c>
      <c r="F375" s="35" t="n">
        <v>365.54</v>
      </c>
      <c r="G375" s="35" t="n">
        <v>351.22</v>
      </c>
      <c r="H375" t="inlineStr">
        <is>
          <t>Paid</t>
        </is>
      </c>
    </row>
    <row r="376">
      <c r="A376" t="inlineStr">
        <is>
          <t>CLM514426</t>
        </is>
      </c>
      <c r="B376" t="inlineStr">
        <is>
          <t>PT12621</t>
        </is>
      </c>
      <c r="C376" t="inlineStr">
        <is>
          <t>PY03</t>
        </is>
      </c>
      <c r="D376" s="30" t="n">
        <v>45769</v>
      </c>
      <c r="E376" s="35" t="n">
        <v>3512.88</v>
      </c>
      <c r="F376" s="35" t="n">
        <v>946.79</v>
      </c>
      <c r="G376" s="35" t="n">
        <v>946.79</v>
      </c>
      <c r="H376" t="inlineStr">
        <is>
          <t>Paid</t>
        </is>
      </c>
    </row>
    <row r="377">
      <c r="A377" t="inlineStr">
        <is>
          <t>CLM514428</t>
        </is>
      </c>
      <c r="B377" t="inlineStr">
        <is>
          <t>PT11456</t>
        </is>
      </c>
      <c r="C377" t="inlineStr">
        <is>
          <t>PY05</t>
        </is>
      </c>
      <c r="D377" s="30" t="n">
        <v>45769</v>
      </c>
      <c r="E377" s="35" t="n">
        <v>573.51</v>
      </c>
      <c r="F377" s="35" t="n">
        <v>0</v>
      </c>
      <c r="G377" s="35" t="n">
        <v>0</v>
      </c>
      <c r="H377" t="inlineStr">
        <is>
          <t>Denied</t>
        </is>
      </c>
      <c r="I377" t="inlineStr">
        <is>
          <t>Authorization Required</t>
        </is>
      </c>
    </row>
    <row r="378">
      <c r="A378" t="inlineStr">
        <is>
          <t>CLM514433</t>
        </is>
      </c>
      <c r="B378" t="inlineStr">
        <is>
          <t>PT13816</t>
        </is>
      </c>
      <c r="C378" t="inlineStr">
        <is>
          <t>PY02</t>
        </is>
      </c>
      <c r="D378" s="30" t="n">
        <v>45770</v>
      </c>
      <c r="E378" s="35" t="n">
        <v>3378.75</v>
      </c>
      <c r="F378" s="35" t="n">
        <v>1090.21</v>
      </c>
      <c r="G378" s="35" t="n">
        <v>1054.14</v>
      </c>
      <c r="H378" t="inlineStr">
        <is>
          <t>Paid</t>
        </is>
      </c>
    </row>
    <row r="379">
      <c r="A379" t="inlineStr">
        <is>
          <t>CLM514437</t>
        </is>
      </c>
      <c r="B379" t="inlineStr">
        <is>
          <t>PT13384</t>
        </is>
      </c>
      <c r="C379" t="inlineStr">
        <is>
          <t>PY04</t>
        </is>
      </c>
      <c r="D379" s="30" t="n">
        <v>45781</v>
      </c>
      <c r="E379" s="35" t="n">
        <v>41297.66</v>
      </c>
      <c r="F379" s="35" t="n">
        <v>22841.8</v>
      </c>
      <c r="G379" s="35" t="n">
        <v>20996.86</v>
      </c>
      <c r="H379" t="inlineStr">
        <is>
          <t>Paid</t>
        </is>
      </c>
    </row>
    <row r="380">
      <c r="A380" t="inlineStr">
        <is>
          <t>CLM514445</t>
        </is>
      </c>
      <c r="B380" t="inlineStr">
        <is>
          <t>PT10698</t>
        </is>
      </c>
      <c r="C380" t="inlineStr">
        <is>
          <t>PY03</t>
        </is>
      </c>
      <c r="D380" s="30" t="n">
        <v>45775</v>
      </c>
      <c r="E380" s="35" t="n">
        <v>50626.36</v>
      </c>
      <c r="F380" s="35" t="n">
        <v>12863.79</v>
      </c>
      <c r="G380" s="35" t="n">
        <v>12863.79</v>
      </c>
      <c r="H380" t="inlineStr">
        <is>
          <t>Paid</t>
        </is>
      </c>
    </row>
    <row r="381">
      <c r="A381" t="inlineStr">
        <is>
          <t>CLM514454</t>
        </is>
      </c>
      <c r="B381" t="inlineStr">
        <is>
          <t>PT10750</t>
        </is>
      </c>
      <c r="C381" t="inlineStr">
        <is>
          <t>PY01</t>
        </is>
      </c>
      <c r="D381" s="30" t="n">
        <v>45774</v>
      </c>
      <c r="E381" s="35" t="n">
        <v>38401.75</v>
      </c>
      <c r="F381" s="35" t="n">
        <v>11624.55</v>
      </c>
      <c r="G381" s="35" t="n">
        <v>7689.95</v>
      </c>
      <c r="H381" t="inlineStr">
        <is>
          <t>Partially Paid</t>
        </is>
      </c>
      <c r="I381" t="inlineStr">
        <is>
          <t>Medical Necessity</t>
        </is>
      </c>
    </row>
    <row r="382">
      <c r="A382" t="inlineStr">
        <is>
          <t>CLM514455</t>
        </is>
      </c>
      <c r="B382" t="inlineStr">
        <is>
          <t>PT12979</t>
        </is>
      </c>
      <c r="C382" t="inlineStr">
        <is>
          <t>PY03</t>
        </is>
      </c>
      <c r="D382" s="30" t="n">
        <v>45773</v>
      </c>
      <c r="E382" s="35" t="n">
        <v>42195.12</v>
      </c>
      <c r="F382" s="35" t="n">
        <v>10992.19</v>
      </c>
      <c r="G382" s="35" t="n">
        <v>10992.19</v>
      </c>
      <c r="H382" t="inlineStr">
        <is>
          <t>Paid</t>
        </is>
      </c>
    </row>
    <row r="383">
      <c r="A383" t="inlineStr">
        <is>
          <t>CLM514468</t>
        </is>
      </c>
      <c r="B383" t="inlineStr">
        <is>
          <t>PT12453</t>
        </is>
      </c>
      <c r="C383" t="inlineStr">
        <is>
          <t>PY06</t>
        </is>
      </c>
      <c r="D383" s="30" t="n">
        <v>45775</v>
      </c>
      <c r="E383" s="35" t="n">
        <v>26197.62</v>
      </c>
      <c r="F383" s="35" t="n">
        <v>12858.66</v>
      </c>
      <c r="G383" s="35" t="n">
        <v>10782.87</v>
      </c>
      <c r="H383" t="inlineStr">
        <is>
          <t>Paid</t>
        </is>
      </c>
    </row>
    <row r="384">
      <c r="A384" t="inlineStr">
        <is>
          <t>CLM514470</t>
        </is>
      </c>
      <c r="B384" t="inlineStr">
        <is>
          <t>PT11783</t>
        </is>
      </c>
      <c r="C384" t="inlineStr">
        <is>
          <t>PY03</t>
        </is>
      </c>
      <c r="D384" s="30" t="n">
        <v>45773</v>
      </c>
      <c r="E384" s="35" t="n">
        <v>24815.41</v>
      </c>
      <c r="F384" s="35" t="n">
        <v>6807.5</v>
      </c>
      <c r="G384" s="35" t="n">
        <v>6807.5</v>
      </c>
      <c r="H384" t="inlineStr">
        <is>
          <t>Paid</t>
        </is>
      </c>
    </row>
    <row r="385">
      <c r="A385" t="inlineStr">
        <is>
          <t>CLM514472</t>
        </is>
      </c>
      <c r="B385" t="inlineStr">
        <is>
          <t>PT11518</t>
        </is>
      </c>
      <c r="C385" t="inlineStr">
        <is>
          <t>PY04</t>
        </is>
      </c>
      <c r="D385" s="30" t="n">
        <v>45773</v>
      </c>
      <c r="E385" s="35" t="n">
        <v>17207.92</v>
      </c>
      <c r="F385" s="35" t="n">
        <v>0</v>
      </c>
      <c r="G385" s="35" t="n">
        <v>0</v>
      </c>
      <c r="H385" t="inlineStr">
        <is>
          <t>Denied</t>
        </is>
      </c>
      <c r="I385" t="inlineStr">
        <is>
          <t>Eligibility / Coverage</t>
        </is>
      </c>
    </row>
    <row r="386">
      <c r="A386" t="inlineStr">
        <is>
          <t>CLM514476</t>
        </is>
      </c>
      <c r="B386" t="inlineStr">
        <is>
          <t>PT12955</t>
        </is>
      </c>
      <c r="C386" t="inlineStr">
        <is>
          <t>PY02</t>
        </is>
      </c>
      <c r="D386" s="30" t="n">
        <v>45771</v>
      </c>
      <c r="E386" s="35" t="n">
        <v>3732.69</v>
      </c>
      <c r="F386" s="35" t="n">
        <v>1330.23</v>
      </c>
      <c r="G386" s="35" t="n">
        <v>1212.51</v>
      </c>
      <c r="H386" t="inlineStr">
        <is>
          <t>Paid</t>
        </is>
      </c>
    </row>
    <row r="387">
      <c r="A387" t="inlineStr">
        <is>
          <t>CLM514479</t>
        </is>
      </c>
      <c r="B387" t="inlineStr">
        <is>
          <t>PT12749</t>
        </is>
      </c>
      <c r="C387" t="inlineStr">
        <is>
          <t>PY02</t>
        </is>
      </c>
      <c r="D387" s="30" t="n">
        <v>45773</v>
      </c>
      <c r="E387" s="35" t="n">
        <v>14376.05</v>
      </c>
      <c r="F387" s="35" t="n">
        <v>4453.56</v>
      </c>
      <c r="G387" s="35" t="n">
        <v>4327.52</v>
      </c>
      <c r="H387" t="inlineStr">
        <is>
          <t>Paid</t>
        </is>
      </c>
    </row>
    <row r="388">
      <c r="A388" t="inlineStr">
        <is>
          <t>CLM514481</t>
        </is>
      </c>
      <c r="B388" t="inlineStr">
        <is>
          <t>PT10032</t>
        </is>
      </c>
      <c r="C388" t="inlineStr">
        <is>
          <t>PY03</t>
        </is>
      </c>
      <c r="D388" s="30" t="n">
        <v>45772</v>
      </c>
      <c r="E388" s="35" t="n">
        <v>8062.59</v>
      </c>
      <c r="F388" s="35" t="n">
        <v>0</v>
      </c>
      <c r="G388" s="35" t="n">
        <v>0</v>
      </c>
      <c r="H388" t="inlineStr">
        <is>
          <t>Denied</t>
        </is>
      </c>
      <c r="I388" t="inlineStr">
        <is>
          <t>Coding Error</t>
        </is>
      </c>
    </row>
    <row r="389">
      <c r="A389" t="inlineStr">
        <is>
          <t>CLM514492</t>
        </is>
      </c>
      <c r="B389" t="inlineStr">
        <is>
          <t>PT12649</t>
        </is>
      </c>
      <c r="C389" t="inlineStr">
        <is>
          <t>PY06</t>
        </is>
      </c>
      <c r="D389" s="30" t="n">
        <v>45776</v>
      </c>
      <c r="E389" s="35" t="n">
        <v>32623.3</v>
      </c>
      <c r="F389" s="35" t="n">
        <v>19684.76</v>
      </c>
      <c r="G389" s="35" t="n">
        <v>17507.33</v>
      </c>
      <c r="H389" t="inlineStr">
        <is>
          <t>Paid</t>
        </is>
      </c>
    </row>
    <row r="390">
      <c r="A390" t="inlineStr">
        <is>
          <t>CLM514497</t>
        </is>
      </c>
      <c r="B390" t="inlineStr">
        <is>
          <t>PT12122</t>
        </is>
      </c>
      <c r="C390" t="inlineStr">
        <is>
          <t>PY03</t>
        </is>
      </c>
      <c r="D390" s="30" t="n">
        <v>45771</v>
      </c>
      <c r="E390" s="35" t="n">
        <v>5748.85</v>
      </c>
      <c r="F390" s="35" t="n">
        <v>1290.53</v>
      </c>
      <c r="G390" s="35" t="n">
        <v>1290.53</v>
      </c>
      <c r="H390" t="inlineStr">
        <is>
          <t>Paid</t>
        </is>
      </c>
    </row>
    <row r="391">
      <c r="A391" t="inlineStr">
        <is>
          <t>CLM514503</t>
        </is>
      </c>
      <c r="B391" t="inlineStr">
        <is>
          <t>PT13528</t>
        </is>
      </c>
      <c r="C391" t="inlineStr">
        <is>
          <t>PY03</t>
        </is>
      </c>
      <c r="D391" s="30" t="n">
        <v>45771</v>
      </c>
      <c r="E391" s="35" t="n">
        <v>1622.99</v>
      </c>
      <c r="F391" s="35" t="n">
        <v>378.7</v>
      </c>
      <c r="G391" s="35" t="n">
        <v>378.7</v>
      </c>
      <c r="H391" t="inlineStr">
        <is>
          <t>Paid</t>
        </is>
      </c>
    </row>
    <row r="392">
      <c r="A392" t="inlineStr">
        <is>
          <t>CLM514504</t>
        </is>
      </c>
      <c r="B392" t="inlineStr">
        <is>
          <t>PT11312</t>
        </is>
      </c>
      <c r="C392" t="inlineStr">
        <is>
          <t>PY05</t>
        </is>
      </c>
      <c r="D392" s="30" t="n">
        <v>45773</v>
      </c>
      <c r="E392" s="35" t="n">
        <v>6832.69</v>
      </c>
      <c r="F392" s="35" t="n">
        <v>3390.91</v>
      </c>
      <c r="G392" s="35" t="n">
        <v>3092.65</v>
      </c>
      <c r="H392" t="inlineStr">
        <is>
          <t>Paid</t>
        </is>
      </c>
    </row>
    <row r="393">
      <c r="A393" t="inlineStr">
        <is>
          <t>CLM514543</t>
        </is>
      </c>
      <c r="B393" t="inlineStr">
        <is>
          <t>PT12165</t>
        </is>
      </c>
      <c r="C393" t="inlineStr">
        <is>
          <t>PY03</t>
        </is>
      </c>
      <c r="D393" s="30" t="n">
        <v>45773</v>
      </c>
      <c r="E393" s="35" t="n">
        <v>1213.67</v>
      </c>
      <c r="F393" s="35" t="n">
        <v>307.43</v>
      </c>
      <c r="G393" s="35" t="n">
        <v>307.43</v>
      </c>
      <c r="H393" t="inlineStr">
        <is>
          <t>Paid</t>
        </is>
      </c>
    </row>
    <row r="394">
      <c r="A394" t="inlineStr">
        <is>
          <t>CLM514544</t>
        </is>
      </c>
      <c r="B394" t="inlineStr">
        <is>
          <t>PT12963</t>
        </is>
      </c>
      <c r="C394" t="inlineStr">
        <is>
          <t>PY01</t>
        </is>
      </c>
      <c r="D394" s="30" t="n">
        <v>45776</v>
      </c>
      <c r="E394" s="35" t="n">
        <v>13416.9</v>
      </c>
      <c r="F394" s="35" t="n">
        <v>3986.86</v>
      </c>
      <c r="G394" s="35" t="n">
        <v>3912.68</v>
      </c>
      <c r="H394" t="inlineStr">
        <is>
          <t>Paid</t>
        </is>
      </c>
    </row>
    <row r="395">
      <c r="A395" t="inlineStr">
        <is>
          <t>CLM514547</t>
        </is>
      </c>
      <c r="B395" t="inlineStr">
        <is>
          <t>PT11141</t>
        </is>
      </c>
      <c r="C395" t="inlineStr">
        <is>
          <t>PY02</t>
        </is>
      </c>
      <c r="D395" s="30" t="n">
        <v>45774</v>
      </c>
      <c r="E395" s="35" t="n">
        <v>10418.11</v>
      </c>
      <c r="F395" s="35" t="n">
        <v>3575.48</v>
      </c>
      <c r="G395" s="35" t="n">
        <v>3409.96</v>
      </c>
      <c r="H395" t="inlineStr">
        <is>
          <t>Paid</t>
        </is>
      </c>
    </row>
    <row r="396">
      <c r="A396" t="inlineStr">
        <is>
          <t>CLM514548</t>
        </is>
      </c>
      <c r="B396" t="inlineStr">
        <is>
          <t>PT13393</t>
        </is>
      </c>
      <c r="C396" t="inlineStr">
        <is>
          <t>PY06</t>
        </is>
      </c>
      <c r="D396" s="30" t="n">
        <v>45777</v>
      </c>
      <c r="E396" s="35" t="n">
        <v>30969.23</v>
      </c>
      <c r="F396" s="35" t="n">
        <v>17518.88</v>
      </c>
      <c r="G396" s="35" t="n">
        <v>15515.93</v>
      </c>
      <c r="H396" t="inlineStr">
        <is>
          <t>Paid</t>
        </is>
      </c>
    </row>
    <row r="397">
      <c r="A397" t="inlineStr">
        <is>
          <t>CLM514552</t>
        </is>
      </c>
      <c r="B397" t="inlineStr">
        <is>
          <t>PT10473</t>
        </is>
      </c>
      <c r="C397" t="inlineStr">
        <is>
          <t>PY03</t>
        </is>
      </c>
      <c r="D397" s="30" t="n">
        <v>45776</v>
      </c>
      <c r="E397" s="35" t="n">
        <v>9022.57</v>
      </c>
      <c r="F397" s="35" t="n">
        <v>0</v>
      </c>
      <c r="G397" s="35" t="n">
        <v>0</v>
      </c>
      <c r="H397" t="inlineStr">
        <is>
          <t>Appealed</t>
        </is>
      </c>
      <c r="I397" t="inlineStr">
        <is>
          <t>Medical Necessity</t>
        </is>
      </c>
    </row>
    <row r="398">
      <c r="A398" t="inlineStr">
        <is>
          <t>CLM514555</t>
        </is>
      </c>
      <c r="B398" t="inlineStr">
        <is>
          <t>PT13363</t>
        </is>
      </c>
      <c r="C398" t="inlineStr">
        <is>
          <t>PY01</t>
        </is>
      </c>
      <c r="D398" s="30" t="n">
        <v>45778</v>
      </c>
      <c r="E398" s="35" t="n">
        <v>22894.9</v>
      </c>
      <c r="F398" s="35" t="n">
        <v>6822.33</v>
      </c>
      <c r="G398" s="35" t="n">
        <v>6303.61</v>
      </c>
      <c r="H398" t="inlineStr">
        <is>
          <t>Paid</t>
        </is>
      </c>
    </row>
    <row r="399">
      <c r="A399" t="inlineStr">
        <is>
          <t>CLM514558</t>
        </is>
      </c>
      <c r="B399" t="inlineStr">
        <is>
          <t>PT11716</t>
        </is>
      </c>
      <c r="C399" t="inlineStr">
        <is>
          <t>PY02</t>
        </is>
      </c>
      <c r="D399" s="30" t="n">
        <v>45774</v>
      </c>
      <c r="E399" s="35" t="n">
        <v>1356.46</v>
      </c>
      <c r="F399" s="35" t="n">
        <v>462.01</v>
      </c>
      <c r="G399" s="35" t="n">
        <v>438.97</v>
      </c>
      <c r="H399" t="inlineStr">
        <is>
          <t>Paid</t>
        </is>
      </c>
    </row>
    <row r="400">
      <c r="A400" t="inlineStr">
        <is>
          <t>CLM514576</t>
        </is>
      </c>
      <c r="B400" t="inlineStr">
        <is>
          <t>PT10315</t>
        </is>
      </c>
      <c r="C400" t="inlineStr">
        <is>
          <t>PY02</t>
        </is>
      </c>
      <c r="D400" s="30" t="n">
        <v>45775</v>
      </c>
      <c r="E400" s="35" t="n">
        <v>3135.05</v>
      </c>
      <c r="F400" s="35" t="n">
        <v>993.3</v>
      </c>
      <c r="G400" s="35" t="n">
        <v>913.17</v>
      </c>
      <c r="H400" t="inlineStr">
        <is>
          <t>Paid</t>
        </is>
      </c>
    </row>
    <row r="401">
      <c r="A401" t="inlineStr">
        <is>
          <t>CLM514603</t>
        </is>
      </c>
      <c r="B401" t="inlineStr">
        <is>
          <t>PT10667</t>
        </is>
      </c>
      <c r="C401" t="inlineStr">
        <is>
          <t>PY03</t>
        </is>
      </c>
      <c r="D401" s="30" t="n">
        <v>45779</v>
      </c>
      <c r="E401" s="35" t="n">
        <v>8841.790000000001</v>
      </c>
      <c r="F401" s="35" t="n">
        <v>2320.6</v>
      </c>
      <c r="G401" s="35" t="n">
        <v>2320.6</v>
      </c>
      <c r="H401" t="inlineStr">
        <is>
          <t>Paid</t>
        </is>
      </c>
    </row>
    <row r="402">
      <c r="A402" t="inlineStr">
        <is>
          <t>CLM514604</t>
        </is>
      </c>
      <c r="B402" t="inlineStr">
        <is>
          <t>PT12022</t>
        </is>
      </c>
      <c r="C402" t="inlineStr">
        <is>
          <t>PY03</t>
        </is>
      </c>
      <c r="D402" s="30" t="n">
        <v>45776</v>
      </c>
      <c r="E402" s="35" t="n">
        <v>1618.6</v>
      </c>
      <c r="F402" s="35" t="n">
        <v>425.32</v>
      </c>
      <c r="G402" s="35" t="n">
        <v>425.32</v>
      </c>
      <c r="H402" t="inlineStr">
        <is>
          <t>Paid</t>
        </is>
      </c>
    </row>
    <row r="403">
      <c r="A403" t="inlineStr">
        <is>
          <t>CLM514637</t>
        </is>
      </c>
      <c r="B403" t="inlineStr">
        <is>
          <t>PT13671</t>
        </is>
      </c>
      <c r="C403" t="inlineStr">
        <is>
          <t>PY01</t>
        </is>
      </c>
      <c r="D403" s="30" t="n">
        <v>45787</v>
      </c>
      <c r="E403" s="35" t="n">
        <v>46780.26</v>
      </c>
      <c r="F403" s="35" t="n">
        <v>13650.01</v>
      </c>
      <c r="G403" s="35" t="n">
        <v>11684.86</v>
      </c>
      <c r="H403" t="inlineStr">
        <is>
          <t>Paid</t>
        </is>
      </c>
    </row>
    <row r="404">
      <c r="A404" t="inlineStr">
        <is>
          <t>CLM514638</t>
        </is>
      </c>
      <c r="B404" t="inlineStr">
        <is>
          <t>PT11149</t>
        </is>
      </c>
      <c r="C404" t="inlineStr">
        <is>
          <t>PY05</t>
        </is>
      </c>
      <c r="D404" s="30" t="n">
        <v>45777</v>
      </c>
      <c r="E404" s="35" t="n">
        <v>3340.1</v>
      </c>
      <c r="F404" s="35" t="n">
        <v>1505.09</v>
      </c>
      <c r="G404" s="35" t="n">
        <v>1341.77</v>
      </c>
      <c r="H404" t="inlineStr">
        <is>
          <t>Paid</t>
        </is>
      </c>
    </row>
    <row r="405">
      <c r="A405" t="inlineStr">
        <is>
          <t>CLM514644</t>
        </is>
      </c>
      <c r="B405" t="inlineStr">
        <is>
          <t>PT12485</t>
        </is>
      </c>
      <c r="C405" t="inlineStr">
        <is>
          <t>PY01</t>
        </is>
      </c>
      <c r="D405" s="30" t="n">
        <v>45778</v>
      </c>
      <c r="E405" s="35" t="n">
        <v>1432.76</v>
      </c>
      <c r="F405" s="35" t="n">
        <v>392.5</v>
      </c>
      <c r="G405" s="35" t="n">
        <v>360.16</v>
      </c>
      <c r="H405" t="inlineStr">
        <is>
          <t>Paid</t>
        </is>
      </c>
    </row>
    <row r="406">
      <c r="A406" t="inlineStr">
        <is>
          <t>CLM514647</t>
        </is>
      </c>
      <c r="B406" t="inlineStr">
        <is>
          <t>PT11409</t>
        </is>
      </c>
      <c r="C406" t="inlineStr">
        <is>
          <t>PY03</t>
        </is>
      </c>
      <c r="D406" s="30" t="n">
        <v>45778</v>
      </c>
      <c r="E406" s="35" t="n">
        <v>4607.53</v>
      </c>
      <c r="F406" s="35" t="n">
        <v>1136.78</v>
      </c>
      <c r="G406" s="35" t="n">
        <v>1136.78</v>
      </c>
      <c r="H406" t="inlineStr">
        <is>
          <t>Paid</t>
        </is>
      </c>
    </row>
    <row r="407">
      <c r="A407" t="inlineStr">
        <is>
          <t>CLM514652</t>
        </is>
      </c>
      <c r="B407" t="inlineStr">
        <is>
          <t>PT10118</t>
        </is>
      </c>
      <c r="C407" t="inlineStr">
        <is>
          <t>PY04</t>
        </is>
      </c>
      <c r="D407" s="30" t="n">
        <v>45780</v>
      </c>
      <c r="E407" s="35" t="n">
        <v>7431.79</v>
      </c>
      <c r="F407" s="35" t="n">
        <v>3814.18</v>
      </c>
      <c r="G407" s="35" t="n">
        <v>3430.32</v>
      </c>
      <c r="H407" t="inlineStr">
        <is>
          <t>Paid</t>
        </is>
      </c>
    </row>
    <row r="408">
      <c r="A408" t="inlineStr">
        <is>
          <t>CLM514667</t>
        </is>
      </c>
      <c r="B408" t="inlineStr">
        <is>
          <t>PT12355</t>
        </is>
      </c>
      <c r="C408" t="inlineStr">
        <is>
          <t>PY01</t>
        </is>
      </c>
      <c r="D408" s="30" t="n">
        <v>45785</v>
      </c>
      <c r="E408" s="35" t="n">
        <v>48296.67</v>
      </c>
      <c r="F408" s="35" t="n">
        <v>14022.51</v>
      </c>
      <c r="G408" s="35" t="n">
        <v>11646.75</v>
      </c>
      <c r="H408" t="inlineStr">
        <is>
          <t>Paid</t>
        </is>
      </c>
    </row>
    <row r="409">
      <c r="A409" t="inlineStr">
        <is>
          <t>CLM514680</t>
        </is>
      </c>
      <c r="B409" t="inlineStr">
        <is>
          <t>PT13590</t>
        </is>
      </c>
      <c r="C409" t="inlineStr">
        <is>
          <t>PY07</t>
        </is>
      </c>
      <c r="D409" s="30" t="n">
        <v>45779</v>
      </c>
      <c r="E409" s="35" t="n">
        <v>2491.12</v>
      </c>
      <c r="F409" s="35" t="n">
        <v>1002.97</v>
      </c>
      <c r="G409" s="35" t="n">
        <v>0</v>
      </c>
      <c r="H409" t="inlineStr">
        <is>
          <t>Pending</t>
        </is>
      </c>
    </row>
    <row r="410">
      <c r="A410" t="inlineStr">
        <is>
          <t>CLM514688</t>
        </is>
      </c>
      <c r="B410" t="inlineStr">
        <is>
          <t>PT13090</t>
        </is>
      </c>
      <c r="C410" t="inlineStr">
        <is>
          <t>PY01</t>
        </is>
      </c>
      <c r="D410" s="30" t="n">
        <v>45781</v>
      </c>
      <c r="E410" s="35" t="n">
        <v>12205.1</v>
      </c>
      <c r="F410" s="35" t="n">
        <v>3661.94</v>
      </c>
      <c r="G410" s="35" t="n">
        <v>3385.86</v>
      </c>
      <c r="H410" t="inlineStr">
        <is>
          <t>Paid</t>
        </is>
      </c>
    </row>
    <row r="411">
      <c r="A411" t="inlineStr">
        <is>
          <t>CLM514745</t>
        </is>
      </c>
      <c r="B411" t="inlineStr">
        <is>
          <t>PT11188</t>
        </is>
      </c>
      <c r="C411" t="inlineStr">
        <is>
          <t>PY01</t>
        </is>
      </c>
      <c r="D411" s="30" t="n">
        <v>45788</v>
      </c>
      <c r="E411" s="35" t="n">
        <v>25360.94</v>
      </c>
      <c r="F411" s="35" t="n">
        <v>8251.58</v>
      </c>
      <c r="G411" s="35" t="n">
        <v>7785.93</v>
      </c>
      <c r="H411" t="inlineStr">
        <is>
          <t>Paid</t>
        </is>
      </c>
    </row>
    <row r="412">
      <c r="A412" t="inlineStr">
        <is>
          <t>CLM514747</t>
        </is>
      </c>
      <c r="B412" t="inlineStr">
        <is>
          <t>PT10171</t>
        </is>
      </c>
      <c r="C412" t="inlineStr">
        <is>
          <t>PY01</t>
        </is>
      </c>
      <c r="D412" s="30" t="n">
        <v>45784</v>
      </c>
      <c r="E412" s="35" t="n">
        <v>14779.55</v>
      </c>
      <c r="F412" s="35" t="n">
        <v>4885.89</v>
      </c>
      <c r="G412" s="35" t="n">
        <v>1716.91</v>
      </c>
      <c r="H412" t="inlineStr">
        <is>
          <t>Partially Paid</t>
        </is>
      </c>
      <c r="I412" t="inlineStr">
        <is>
          <t>Coding Error</t>
        </is>
      </c>
    </row>
    <row r="413">
      <c r="A413" t="inlineStr">
        <is>
          <t>CLM514753</t>
        </is>
      </c>
      <c r="B413" t="inlineStr">
        <is>
          <t>PT10612</t>
        </is>
      </c>
      <c r="C413" t="inlineStr">
        <is>
          <t>PY01</t>
        </is>
      </c>
      <c r="D413" s="30" t="n">
        <v>45782</v>
      </c>
      <c r="E413" s="35" t="n">
        <v>1543.1</v>
      </c>
      <c r="F413" s="35" t="n">
        <v>486.33</v>
      </c>
      <c r="G413" s="35" t="n">
        <v>433.85</v>
      </c>
      <c r="H413" t="inlineStr">
        <is>
          <t>Paid</t>
        </is>
      </c>
    </row>
    <row r="414">
      <c r="A414" t="inlineStr">
        <is>
          <t>CLM514755</t>
        </is>
      </c>
      <c r="B414" t="inlineStr">
        <is>
          <t>PT12629</t>
        </is>
      </c>
      <c r="C414" t="inlineStr">
        <is>
          <t>PY03</t>
        </is>
      </c>
      <c r="D414" s="30" t="n">
        <v>45783</v>
      </c>
      <c r="E414" s="35" t="n">
        <v>5978.35</v>
      </c>
      <c r="F414" s="35" t="n">
        <v>1587.54</v>
      </c>
      <c r="G414" s="35" t="n">
        <v>1587.54</v>
      </c>
      <c r="H414" t="inlineStr">
        <is>
          <t>Paid</t>
        </is>
      </c>
    </row>
    <row r="415">
      <c r="A415" t="inlineStr">
        <is>
          <t>CLM514765</t>
        </is>
      </c>
      <c r="B415" t="inlineStr">
        <is>
          <t>PT12692</t>
        </is>
      </c>
      <c r="C415" t="inlineStr">
        <is>
          <t>PY03</t>
        </is>
      </c>
      <c r="D415" s="30" t="n">
        <v>45790</v>
      </c>
      <c r="E415" s="35" t="n">
        <v>51250.73</v>
      </c>
      <c r="F415" s="35" t="n">
        <v>13217.54</v>
      </c>
      <c r="G415" s="35" t="n">
        <v>13217.54</v>
      </c>
      <c r="H415" t="inlineStr">
        <is>
          <t>Paid</t>
        </is>
      </c>
    </row>
    <row r="416">
      <c r="A416" t="inlineStr">
        <is>
          <t>CLM514793</t>
        </is>
      </c>
      <c r="B416" t="inlineStr">
        <is>
          <t>PT13209</t>
        </is>
      </c>
      <c r="C416" t="inlineStr">
        <is>
          <t>PY04</t>
        </is>
      </c>
      <c r="D416" s="30" t="n">
        <v>45782</v>
      </c>
      <c r="E416" s="35" t="n">
        <v>1249.54</v>
      </c>
      <c r="F416" s="35" t="n">
        <v>643.23</v>
      </c>
      <c r="G416" s="35" t="n">
        <v>585.78</v>
      </c>
      <c r="H416" t="inlineStr">
        <is>
          <t>Paid</t>
        </is>
      </c>
    </row>
    <row r="417">
      <c r="A417" t="inlineStr">
        <is>
          <t>CLM514794</t>
        </is>
      </c>
      <c r="B417" t="inlineStr">
        <is>
          <t>PT10461</t>
        </is>
      </c>
      <c r="C417" t="inlineStr">
        <is>
          <t>PY01</t>
        </is>
      </c>
      <c r="D417" s="30" t="n">
        <v>45783</v>
      </c>
      <c r="E417" s="35" t="n">
        <v>3837.86</v>
      </c>
      <c r="F417" s="35" t="n">
        <v>1168.89</v>
      </c>
      <c r="G417" s="35" t="n">
        <v>1033.37</v>
      </c>
      <c r="H417" t="inlineStr">
        <is>
          <t>Paid</t>
        </is>
      </c>
    </row>
    <row r="418">
      <c r="A418" t="inlineStr">
        <is>
          <t>CLM514801</t>
        </is>
      </c>
      <c r="B418" t="inlineStr">
        <is>
          <t>PT12518</t>
        </is>
      </c>
      <c r="C418" t="inlineStr">
        <is>
          <t>PY01</t>
        </is>
      </c>
      <c r="D418" s="30" t="n">
        <v>45784</v>
      </c>
      <c r="E418" s="35" t="n">
        <v>8957.35</v>
      </c>
      <c r="F418" s="35" t="n">
        <v>2763.76</v>
      </c>
      <c r="G418" s="35" t="n">
        <v>2547.66</v>
      </c>
      <c r="H418" t="inlineStr">
        <is>
          <t>Paid</t>
        </is>
      </c>
    </row>
    <row r="419">
      <c r="A419" t="inlineStr">
        <is>
          <t>CLM514806</t>
        </is>
      </c>
      <c r="B419" t="inlineStr">
        <is>
          <t>PT13519</t>
        </is>
      </c>
      <c r="C419" t="inlineStr">
        <is>
          <t>PY05</t>
        </is>
      </c>
      <c r="D419" s="30" t="n">
        <v>45784</v>
      </c>
      <c r="E419" s="35" t="n">
        <v>43986.18</v>
      </c>
      <c r="F419" s="35" t="n">
        <v>20865.83</v>
      </c>
      <c r="G419" s="35" t="n">
        <v>16884.06</v>
      </c>
      <c r="H419" t="inlineStr">
        <is>
          <t>Paid</t>
        </is>
      </c>
    </row>
    <row r="420">
      <c r="A420" t="inlineStr">
        <is>
          <t>CLM514823</t>
        </is>
      </c>
      <c r="B420" t="inlineStr">
        <is>
          <t>PT10252</t>
        </is>
      </c>
      <c r="C420" t="inlineStr">
        <is>
          <t>PY05</t>
        </is>
      </c>
      <c r="D420" s="30" t="n">
        <v>45783</v>
      </c>
      <c r="E420" s="35" t="n">
        <v>1202.42</v>
      </c>
      <c r="F420" s="35" t="n">
        <v>646.14</v>
      </c>
      <c r="G420" s="35" t="n">
        <v>570.89</v>
      </c>
      <c r="H420" t="inlineStr">
        <is>
          <t>Paid</t>
        </is>
      </c>
    </row>
    <row r="421">
      <c r="A421" t="inlineStr">
        <is>
          <t>CLM514824</t>
        </is>
      </c>
      <c r="B421" t="inlineStr">
        <is>
          <t>PT13801</t>
        </is>
      </c>
      <c r="C421" t="inlineStr">
        <is>
          <t>PY03</t>
        </is>
      </c>
      <c r="D421" s="30" t="n">
        <v>45783</v>
      </c>
      <c r="E421" s="35" t="n">
        <v>5082.63</v>
      </c>
      <c r="F421" s="35" t="n">
        <v>1322.88</v>
      </c>
      <c r="G421" s="35" t="n">
        <v>1322.88</v>
      </c>
      <c r="H421" t="inlineStr">
        <is>
          <t>Paid</t>
        </is>
      </c>
    </row>
    <row r="422">
      <c r="A422" t="inlineStr">
        <is>
          <t>CLM514837</t>
        </is>
      </c>
      <c r="B422" t="inlineStr">
        <is>
          <t>PT12649</t>
        </is>
      </c>
      <c r="C422" t="inlineStr">
        <is>
          <t>PY06</t>
        </is>
      </c>
      <c r="D422" s="30" t="n">
        <v>45783</v>
      </c>
      <c r="E422" s="35" t="n">
        <v>5497.27</v>
      </c>
      <c r="F422" s="35" t="n">
        <v>3150.32</v>
      </c>
      <c r="G422" s="35" t="n">
        <v>2888.15</v>
      </c>
      <c r="H422" t="inlineStr">
        <is>
          <t>Paid</t>
        </is>
      </c>
    </row>
    <row r="423">
      <c r="A423" t="inlineStr">
        <is>
          <t>CLM514839</t>
        </is>
      </c>
      <c r="B423" t="inlineStr">
        <is>
          <t>PT10198</t>
        </is>
      </c>
      <c r="C423" t="inlineStr">
        <is>
          <t>PY06</t>
        </is>
      </c>
      <c r="D423" s="30" t="n">
        <v>45784</v>
      </c>
      <c r="E423" s="35" t="n">
        <v>2674.39</v>
      </c>
      <c r="F423" s="35" t="n">
        <v>1653.87</v>
      </c>
      <c r="G423" s="35" t="n">
        <v>1455.32</v>
      </c>
      <c r="H423" t="inlineStr">
        <is>
          <t>Paid</t>
        </is>
      </c>
    </row>
    <row r="424">
      <c r="A424" t="inlineStr">
        <is>
          <t>CLM514845</t>
        </is>
      </c>
      <c r="B424" t="inlineStr">
        <is>
          <t>PT10663</t>
        </is>
      </c>
      <c r="C424" t="inlineStr">
        <is>
          <t>PY02</t>
        </is>
      </c>
      <c r="D424" s="30" t="n">
        <v>45786</v>
      </c>
      <c r="E424" s="35" t="n">
        <v>67940.62</v>
      </c>
      <c r="F424" s="35" t="n">
        <v>24426.79</v>
      </c>
      <c r="G424" s="35" t="n">
        <v>12178.84</v>
      </c>
      <c r="H424" t="inlineStr">
        <is>
          <t>Partially Paid</t>
        </is>
      </c>
      <c r="I424" t="inlineStr">
        <is>
          <t>Missing Documentation</t>
        </is>
      </c>
    </row>
    <row r="425">
      <c r="A425" t="inlineStr">
        <is>
          <t>CLM514859</t>
        </is>
      </c>
      <c r="B425" t="inlineStr">
        <is>
          <t>PT12168</t>
        </is>
      </c>
      <c r="C425" t="inlineStr">
        <is>
          <t>PY07</t>
        </is>
      </c>
      <c r="D425" s="30" t="n">
        <v>45784</v>
      </c>
      <c r="E425" s="35" t="n">
        <v>1082.2</v>
      </c>
      <c r="F425" s="35" t="n">
        <v>440.75</v>
      </c>
      <c r="G425" s="35" t="n">
        <v>440.75</v>
      </c>
      <c r="H425" t="inlineStr">
        <is>
          <t>Paid</t>
        </is>
      </c>
    </row>
    <row r="426">
      <c r="A426" t="inlineStr">
        <is>
          <t>CLM514893</t>
        </is>
      </c>
      <c r="B426" t="inlineStr">
        <is>
          <t>PT10993</t>
        </is>
      </c>
      <c r="C426" t="inlineStr">
        <is>
          <t>PY06</t>
        </is>
      </c>
      <c r="D426" s="30" t="n">
        <v>45785</v>
      </c>
      <c r="E426" s="35" t="n">
        <v>1455.47</v>
      </c>
      <c r="F426" s="35" t="n">
        <v>875.11</v>
      </c>
      <c r="G426" s="35" t="n">
        <v>744.3200000000001</v>
      </c>
      <c r="H426" t="inlineStr">
        <is>
          <t>Paid</t>
        </is>
      </c>
    </row>
    <row r="427">
      <c r="A427" t="inlineStr">
        <is>
          <t>CLM514901</t>
        </is>
      </c>
      <c r="B427" t="inlineStr">
        <is>
          <t>PT11860</t>
        </is>
      </c>
      <c r="C427" t="inlineStr">
        <is>
          <t>PY07</t>
        </is>
      </c>
      <c r="D427" s="30" t="n">
        <v>45794</v>
      </c>
      <c r="E427" s="35" t="n">
        <v>25992.82</v>
      </c>
      <c r="F427" s="35" t="n">
        <v>12498.04</v>
      </c>
      <c r="G427" s="35" t="n">
        <v>12498.04</v>
      </c>
      <c r="H427" t="inlineStr">
        <is>
          <t>Paid</t>
        </is>
      </c>
    </row>
    <row r="428">
      <c r="A428" t="inlineStr">
        <is>
          <t>CLM514903</t>
        </is>
      </c>
      <c r="B428" t="inlineStr">
        <is>
          <t>PT13879</t>
        </is>
      </c>
      <c r="C428" t="inlineStr">
        <is>
          <t>PY07</t>
        </is>
      </c>
      <c r="D428" s="30" t="n">
        <v>45786</v>
      </c>
      <c r="E428" s="35" t="n">
        <v>4031.79</v>
      </c>
      <c r="F428" s="35" t="n">
        <v>1506.97</v>
      </c>
      <c r="G428" s="35" t="n">
        <v>1506.97</v>
      </c>
      <c r="H428" t="inlineStr">
        <is>
          <t>Paid</t>
        </is>
      </c>
    </row>
    <row r="429">
      <c r="A429" t="inlineStr">
        <is>
          <t>CLM514929</t>
        </is>
      </c>
      <c r="B429" t="inlineStr">
        <is>
          <t>PT10101</t>
        </is>
      </c>
      <c r="C429" t="inlineStr">
        <is>
          <t>PY02</t>
        </is>
      </c>
      <c r="D429" s="30" t="n">
        <v>45788</v>
      </c>
      <c r="E429" s="35" t="n">
        <v>18234.76</v>
      </c>
      <c r="F429" s="35" t="n">
        <v>6107.51</v>
      </c>
      <c r="G429" s="35" t="n">
        <v>5600.46</v>
      </c>
      <c r="H429" t="inlineStr">
        <is>
          <t>Paid</t>
        </is>
      </c>
    </row>
    <row r="430">
      <c r="A430" t="inlineStr">
        <is>
          <t>CLM514934</t>
        </is>
      </c>
      <c r="B430" t="inlineStr">
        <is>
          <t>PT10589</t>
        </is>
      </c>
      <c r="C430" t="inlineStr">
        <is>
          <t>PY04</t>
        </is>
      </c>
      <c r="D430" s="30" t="n">
        <v>45789</v>
      </c>
      <c r="E430" s="35" t="n">
        <v>8907.540000000001</v>
      </c>
      <c r="F430" s="35" t="n">
        <v>4516.6</v>
      </c>
      <c r="G430" s="35" t="n">
        <v>4166.19</v>
      </c>
      <c r="H430" t="inlineStr">
        <is>
          <t>Paid</t>
        </is>
      </c>
    </row>
    <row r="431">
      <c r="A431" t="inlineStr">
        <is>
          <t>CLM514976</t>
        </is>
      </c>
      <c r="B431" t="inlineStr">
        <is>
          <t>PT13715</t>
        </is>
      </c>
      <c r="C431" t="inlineStr">
        <is>
          <t>PY02</t>
        </is>
      </c>
      <c r="D431" s="30" t="n">
        <v>45792</v>
      </c>
      <c r="E431" s="35" t="n">
        <v>12253.64</v>
      </c>
      <c r="F431" s="35" t="n">
        <v>4071.77</v>
      </c>
      <c r="G431" s="35" t="n">
        <v>3805.21</v>
      </c>
      <c r="H431" t="inlineStr">
        <is>
          <t>Paid</t>
        </is>
      </c>
    </row>
    <row r="432">
      <c r="A432" t="inlineStr">
        <is>
          <t>CLM514992</t>
        </is>
      </c>
      <c r="B432" t="inlineStr">
        <is>
          <t>PT10337</t>
        </is>
      </c>
      <c r="C432" t="inlineStr">
        <is>
          <t>PY03</t>
        </is>
      </c>
      <c r="D432" s="30" t="n">
        <v>45789</v>
      </c>
      <c r="E432" s="35" t="n">
        <v>3779.87</v>
      </c>
      <c r="F432" s="35" t="n">
        <v>898.6799999999999</v>
      </c>
      <c r="G432" s="35" t="n">
        <v>898.6799999999999</v>
      </c>
      <c r="H432" t="inlineStr">
        <is>
          <t>Paid</t>
        </is>
      </c>
    </row>
    <row r="433">
      <c r="A433" t="inlineStr">
        <is>
          <t>CLM515059</t>
        </is>
      </c>
      <c r="B433" t="inlineStr">
        <is>
          <t>PT11289</t>
        </is>
      </c>
      <c r="C433" t="inlineStr">
        <is>
          <t>PY07</t>
        </is>
      </c>
      <c r="D433" s="30" t="n">
        <v>45791</v>
      </c>
      <c r="E433" s="35" t="n">
        <v>3737.21</v>
      </c>
      <c r="F433" s="35" t="n">
        <v>1529.79</v>
      </c>
      <c r="G433" s="35" t="n">
        <v>636.73</v>
      </c>
      <c r="H433" t="inlineStr">
        <is>
          <t>Partially Paid</t>
        </is>
      </c>
    </row>
    <row r="434">
      <c r="A434" t="inlineStr">
        <is>
          <t>CLM515060</t>
        </is>
      </c>
      <c r="B434" t="inlineStr">
        <is>
          <t>PT12896</t>
        </is>
      </c>
      <c r="C434" t="inlineStr">
        <is>
          <t>PY02</t>
        </is>
      </c>
      <c r="D434" s="30" t="n">
        <v>45795</v>
      </c>
      <c r="E434" s="35" t="n">
        <v>22256.82</v>
      </c>
      <c r="F434" s="35" t="n">
        <v>0</v>
      </c>
      <c r="G434" s="35" t="n">
        <v>0</v>
      </c>
      <c r="H434" t="inlineStr">
        <is>
          <t>Denied</t>
        </is>
      </c>
      <c r="I434" t="inlineStr">
        <is>
          <t>Authorization Required</t>
        </is>
      </c>
    </row>
    <row r="435">
      <c r="A435" t="inlineStr">
        <is>
          <t>CLM515131</t>
        </is>
      </c>
      <c r="B435" t="inlineStr">
        <is>
          <t>PT13869</t>
        </is>
      </c>
      <c r="C435" t="inlineStr">
        <is>
          <t>PY01</t>
        </is>
      </c>
      <c r="D435" s="30" t="n">
        <v>45798</v>
      </c>
      <c r="E435" s="35" t="n">
        <v>20781.16</v>
      </c>
      <c r="F435" s="35" t="n">
        <v>6068.07</v>
      </c>
      <c r="G435" s="35" t="n">
        <v>5748.46</v>
      </c>
      <c r="H435" t="inlineStr">
        <is>
          <t>Paid</t>
        </is>
      </c>
    </row>
    <row r="436">
      <c r="A436" t="inlineStr">
        <is>
          <t>CLM515142</t>
        </is>
      </c>
      <c r="B436" t="inlineStr">
        <is>
          <t>PT10009</t>
        </is>
      </c>
      <c r="C436" t="inlineStr">
        <is>
          <t>PY04</t>
        </is>
      </c>
      <c r="D436" s="30" t="n">
        <v>45794</v>
      </c>
      <c r="E436" s="35" t="n">
        <v>4668.34</v>
      </c>
      <c r="F436" s="35" t="n">
        <v>2155.26</v>
      </c>
      <c r="G436" s="35" t="n">
        <v>1785.88</v>
      </c>
      <c r="H436" t="inlineStr">
        <is>
          <t>Paid</t>
        </is>
      </c>
    </row>
    <row r="437">
      <c r="A437" t="inlineStr">
        <is>
          <t>CLM515143</t>
        </is>
      </c>
      <c r="B437" t="inlineStr">
        <is>
          <t>PT11730</t>
        </is>
      </c>
      <c r="C437" t="inlineStr">
        <is>
          <t>PY07</t>
        </is>
      </c>
      <c r="D437" s="30" t="n">
        <v>45794</v>
      </c>
      <c r="E437" s="35" t="n">
        <v>996.95</v>
      </c>
      <c r="F437" s="35" t="n">
        <v>413.14</v>
      </c>
      <c r="G437" s="35" t="n">
        <v>329.86</v>
      </c>
      <c r="H437" t="inlineStr">
        <is>
          <t>Partially Paid</t>
        </is>
      </c>
    </row>
    <row r="438">
      <c r="A438" t="inlineStr">
        <is>
          <t>CLM515163</t>
        </is>
      </c>
      <c r="B438" t="inlineStr">
        <is>
          <t>PT13181</t>
        </is>
      </c>
      <c r="C438" t="inlineStr">
        <is>
          <t>PY01</t>
        </is>
      </c>
      <c r="D438" s="30" t="n">
        <v>45800</v>
      </c>
      <c r="E438" s="35" t="n">
        <v>25704.8</v>
      </c>
      <c r="F438" s="35" t="n">
        <v>7535.88</v>
      </c>
      <c r="G438" s="35" t="n">
        <v>7156.82</v>
      </c>
      <c r="H438" t="inlineStr">
        <is>
          <t>Paid</t>
        </is>
      </c>
    </row>
    <row r="439">
      <c r="A439" t="inlineStr">
        <is>
          <t>CLM515177</t>
        </is>
      </c>
      <c r="B439" t="inlineStr">
        <is>
          <t>PT12695</t>
        </is>
      </c>
      <c r="C439" t="inlineStr">
        <is>
          <t>PY04</t>
        </is>
      </c>
      <c r="D439" s="30" t="n">
        <v>45796</v>
      </c>
      <c r="E439" s="35" t="n">
        <v>2749.1</v>
      </c>
      <c r="F439" s="35" t="n">
        <v>1492.88</v>
      </c>
      <c r="G439" s="35" t="n">
        <v>1283.22</v>
      </c>
      <c r="H439" t="inlineStr">
        <is>
          <t>Paid</t>
        </is>
      </c>
    </row>
    <row r="440">
      <c r="A440" t="inlineStr">
        <is>
          <t>CLM515188</t>
        </is>
      </c>
      <c r="B440" t="inlineStr">
        <is>
          <t>PT13652</t>
        </is>
      </c>
      <c r="C440" t="inlineStr">
        <is>
          <t>PY03</t>
        </is>
      </c>
      <c r="D440" s="30" t="n">
        <v>45797</v>
      </c>
      <c r="E440" s="35" t="n">
        <v>9056.370000000001</v>
      </c>
      <c r="F440" s="35" t="n">
        <v>2245.66</v>
      </c>
      <c r="G440" s="35" t="n">
        <v>2245.66</v>
      </c>
      <c r="H440" t="inlineStr">
        <is>
          <t>Paid</t>
        </is>
      </c>
    </row>
    <row r="441">
      <c r="A441" t="inlineStr">
        <is>
          <t>CLM515206</t>
        </is>
      </c>
      <c r="B441" t="inlineStr">
        <is>
          <t>PT11780</t>
        </is>
      </c>
      <c r="C441" t="inlineStr">
        <is>
          <t>PY06</t>
        </is>
      </c>
      <c r="D441" s="30" t="n">
        <v>45796</v>
      </c>
      <c r="E441" s="35" t="n">
        <v>1233.33</v>
      </c>
      <c r="F441" s="35" t="n">
        <v>703.77</v>
      </c>
      <c r="G441" s="35" t="n">
        <v>657.39</v>
      </c>
      <c r="H441" t="inlineStr">
        <is>
          <t>Paid</t>
        </is>
      </c>
    </row>
    <row r="442">
      <c r="A442" t="inlineStr">
        <is>
          <t>CLM515224</t>
        </is>
      </c>
      <c r="B442" t="inlineStr">
        <is>
          <t>PT12133</t>
        </is>
      </c>
      <c r="C442" t="inlineStr">
        <is>
          <t>PY02</t>
        </is>
      </c>
      <c r="D442" s="30" t="n">
        <v>45797</v>
      </c>
      <c r="E442" s="35" t="n">
        <v>716.8200000000001</v>
      </c>
      <c r="F442" s="35" t="n">
        <v>240.21</v>
      </c>
      <c r="G442" s="35" t="n">
        <v>239.92</v>
      </c>
      <c r="H442" t="inlineStr">
        <is>
          <t>Paid</t>
        </is>
      </c>
    </row>
    <row r="443">
      <c r="A443" t="inlineStr">
        <is>
          <t>CLM515228</t>
        </is>
      </c>
      <c r="B443" t="inlineStr">
        <is>
          <t>PT11842</t>
        </is>
      </c>
      <c r="C443" t="inlineStr">
        <is>
          <t>PY01</t>
        </is>
      </c>
      <c r="D443" s="30" t="n">
        <v>45801</v>
      </c>
      <c r="E443" s="35" t="n">
        <v>19889.6</v>
      </c>
      <c r="F443" s="35" t="n">
        <v>0</v>
      </c>
      <c r="G443" s="35" t="n">
        <v>0</v>
      </c>
      <c r="H443" t="inlineStr">
        <is>
          <t>Appealed</t>
        </is>
      </c>
      <c r="I443" t="inlineStr">
        <is>
          <t>Authorization Required</t>
        </is>
      </c>
    </row>
    <row r="444">
      <c r="A444" t="inlineStr">
        <is>
          <t>CLM515235</t>
        </is>
      </c>
      <c r="B444" t="inlineStr">
        <is>
          <t>PT11496</t>
        </is>
      </c>
      <c r="C444" t="inlineStr">
        <is>
          <t>PY01</t>
        </is>
      </c>
      <c r="D444" s="30" t="n">
        <v>45797</v>
      </c>
      <c r="E444" s="35" t="n">
        <v>1397.77</v>
      </c>
      <c r="F444" s="35" t="n">
        <v>443.08</v>
      </c>
      <c r="G444" s="35" t="n">
        <v>373.94</v>
      </c>
      <c r="H444" t="inlineStr">
        <is>
          <t>Paid</t>
        </is>
      </c>
    </row>
    <row r="445">
      <c r="A445" t="inlineStr">
        <is>
          <t>CLM515245</t>
        </is>
      </c>
      <c r="B445" t="inlineStr">
        <is>
          <t>PT13324</t>
        </is>
      </c>
      <c r="C445" t="inlineStr">
        <is>
          <t>PY05</t>
        </is>
      </c>
      <c r="D445" s="30" t="n">
        <v>45798</v>
      </c>
      <c r="E445" s="35" t="n">
        <v>8019.71</v>
      </c>
      <c r="F445" s="35" t="n">
        <v>4097.51</v>
      </c>
      <c r="G445" s="35" t="n">
        <v>3804.56</v>
      </c>
      <c r="H445" t="inlineStr">
        <is>
          <t>Paid</t>
        </is>
      </c>
    </row>
    <row r="446">
      <c r="A446" t="inlineStr">
        <is>
          <t>CLM515250</t>
        </is>
      </c>
      <c r="B446" t="inlineStr">
        <is>
          <t>PT11473</t>
        </is>
      </c>
      <c r="C446" t="inlineStr">
        <is>
          <t>PY07</t>
        </is>
      </c>
      <c r="D446" s="30" t="n">
        <v>45797</v>
      </c>
      <c r="E446" s="35" t="n">
        <v>1176.33</v>
      </c>
      <c r="F446" s="35" t="n">
        <v>461.12</v>
      </c>
      <c r="G446" s="35" t="n">
        <v>234.07</v>
      </c>
      <c r="H446" t="inlineStr">
        <is>
          <t>Partially Paid</t>
        </is>
      </c>
    </row>
    <row r="447">
      <c r="A447" t="inlineStr">
        <is>
          <t>CLM515251</t>
        </is>
      </c>
      <c r="B447" t="inlineStr">
        <is>
          <t>PT12420</t>
        </is>
      </c>
      <c r="C447" t="inlineStr">
        <is>
          <t>PY05</t>
        </is>
      </c>
      <c r="D447" s="30" t="n">
        <v>45800</v>
      </c>
      <c r="E447" s="35" t="n">
        <v>14965.47</v>
      </c>
      <c r="F447" s="35" t="n">
        <v>0</v>
      </c>
      <c r="G447" s="35" t="n">
        <v>0</v>
      </c>
      <c r="H447" t="inlineStr">
        <is>
          <t>Denied</t>
        </is>
      </c>
      <c r="I447" t="inlineStr">
        <is>
          <t>Medical Necessity</t>
        </is>
      </c>
    </row>
    <row r="448">
      <c r="A448" t="inlineStr">
        <is>
          <t>CLM515263</t>
        </is>
      </c>
      <c r="B448" t="inlineStr">
        <is>
          <t>PT12274</t>
        </is>
      </c>
      <c r="C448" t="inlineStr">
        <is>
          <t>PY03</t>
        </is>
      </c>
      <c r="D448" s="30" t="n">
        <v>45798</v>
      </c>
      <c r="E448" s="35" t="n">
        <v>4258.93</v>
      </c>
      <c r="F448" s="35" t="n">
        <v>947.3099999999999</v>
      </c>
      <c r="G448" s="35" t="n">
        <v>947.3099999999999</v>
      </c>
      <c r="H448" t="inlineStr">
        <is>
          <t>Paid</t>
        </is>
      </c>
    </row>
    <row r="449">
      <c r="A449" t="inlineStr">
        <is>
          <t>CLM515266</t>
        </is>
      </c>
      <c r="B449" t="inlineStr">
        <is>
          <t>PT13861</t>
        </is>
      </c>
      <c r="C449" t="inlineStr">
        <is>
          <t>PY04</t>
        </is>
      </c>
      <c r="D449" s="30" t="n">
        <v>45812</v>
      </c>
      <c r="E449" s="35" t="n">
        <v>127008.94</v>
      </c>
      <c r="F449" s="35" t="n">
        <v>60735</v>
      </c>
      <c r="G449" s="35" t="n">
        <v>51971.62</v>
      </c>
      <c r="H449" t="inlineStr">
        <is>
          <t>Paid</t>
        </is>
      </c>
    </row>
    <row r="450">
      <c r="A450" t="inlineStr">
        <is>
          <t>CLM515272</t>
        </is>
      </c>
      <c r="B450" t="inlineStr">
        <is>
          <t>PT13751</t>
        </is>
      </c>
      <c r="C450" t="inlineStr">
        <is>
          <t>PY02</t>
        </is>
      </c>
      <c r="D450" s="30" t="n">
        <v>45798</v>
      </c>
      <c r="E450" s="35" t="n">
        <v>898.03</v>
      </c>
      <c r="F450" s="35" t="n">
        <v>275.31</v>
      </c>
      <c r="G450" s="35" t="n">
        <v>261.28</v>
      </c>
      <c r="H450" t="inlineStr">
        <is>
          <t>Paid</t>
        </is>
      </c>
    </row>
    <row r="451">
      <c r="A451" t="inlineStr">
        <is>
          <t>CLM515285</t>
        </is>
      </c>
      <c r="B451" t="inlineStr">
        <is>
          <t>PT10118</t>
        </is>
      </c>
      <c r="C451" t="inlineStr">
        <is>
          <t>PY04</t>
        </is>
      </c>
      <c r="D451" s="30" t="n">
        <v>45806</v>
      </c>
      <c r="E451" s="35" t="n">
        <v>30618.7</v>
      </c>
      <c r="F451" s="35" t="n">
        <v>15407.2</v>
      </c>
      <c r="G451" s="35" t="n">
        <v>14610.54</v>
      </c>
      <c r="H451" t="inlineStr">
        <is>
          <t>Paid</t>
        </is>
      </c>
    </row>
    <row r="452">
      <c r="A452" t="inlineStr">
        <is>
          <t>CLM515292</t>
        </is>
      </c>
      <c r="B452" t="inlineStr">
        <is>
          <t>PT10063</t>
        </is>
      </c>
      <c r="C452" t="inlineStr">
        <is>
          <t>PY02</t>
        </is>
      </c>
      <c r="D452" s="30" t="n">
        <v>45799</v>
      </c>
      <c r="E452" s="35" t="inlineStr">
        <is>
          <t>VOID</t>
        </is>
      </c>
      <c r="F452" s="35" t="n">
        <v>594.22</v>
      </c>
      <c r="G452" s="35" t="n">
        <v>543.8099999999999</v>
      </c>
      <c r="H452" t="inlineStr">
        <is>
          <t>Paid</t>
        </is>
      </c>
    </row>
    <row r="453">
      <c r="A453" t="inlineStr">
        <is>
          <t>CLM515301</t>
        </is>
      </c>
      <c r="B453" t="inlineStr">
        <is>
          <t>PT12989</t>
        </is>
      </c>
      <c r="C453" t="inlineStr">
        <is>
          <t>PY04</t>
        </is>
      </c>
      <c r="D453" s="30" t="n">
        <v>45799</v>
      </c>
      <c r="E453" s="35" t="n">
        <v>3081.65</v>
      </c>
      <c r="F453" s="35" t="n">
        <v>1536.99</v>
      </c>
      <c r="G453" s="35" t="n">
        <v>1437.5</v>
      </c>
      <c r="H453" t="inlineStr">
        <is>
          <t>Paid</t>
        </is>
      </c>
    </row>
    <row r="454">
      <c r="A454" t="inlineStr">
        <is>
          <t>CLM515308</t>
        </is>
      </c>
      <c r="B454" t="inlineStr">
        <is>
          <t>PT13819</t>
        </is>
      </c>
      <c r="C454" t="inlineStr">
        <is>
          <t>PY01</t>
        </is>
      </c>
      <c r="D454" s="30" t="n">
        <v>45804</v>
      </c>
      <c r="E454" s="35" t="n">
        <v>18422.73</v>
      </c>
      <c r="F454" s="35" t="n">
        <v>5730.02</v>
      </c>
      <c r="G454" s="35" t="n">
        <v>5150.71</v>
      </c>
      <c r="H454" t="inlineStr">
        <is>
          <t>Paid</t>
        </is>
      </c>
    </row>
    <row r="455">
      <c r="A455" t="inlineStr">
        <is>
          <t>CLM515310</t>
        </is>
      </c>
      <c r="B455" t="inlineStr">
        <is>
          <t>PT10519</t>
        </is>
      </c>
      <c r="C455" t="inlineStr">
        <is>
          <t>PY02</t>
        </is>
      </c>
      <c r="D455" s="30" t="n">
        <v>45800</v>
      </c>
      <c r="E455" s="35" t="n">
        <v>1098.82</v>
      </c>
      <c r="F455" s="35" t="n">
        <v>365.55</v>
      </c>
      <c r="G455" s="35" t="n">
        <v>336.14</v>
      </c>
      <c r="H455" t="inlineStr">
        <is>
          <t>Paid</t>
        </is>
      </c>
    </row>
    <row r="456">
      <c r="A456" t="inlineStr">
        <is>
          <t>CLM515316</t>
        </is>
      </c>
      <c r="B456" t="inlineStr">
        <is>
          <t>PT11188</t>
        </is>
      </c>
      <c r="C456" t="inlineStr">
        <is>
          <t>PY01</t>
        </is>
      </c>
      <c r="D456" s="30" t="n">
        <v>45800</v>
      </c>
      <c r="E456" s="35" t="n">
        <v>3418.06</v>
      </c>
      <c r="F456" s="35" t="n">
        <v>1063.69</v>
      </c>
      <c r="G456" s="35" t="n">
        <v>996.4299999999999</v>
      </c>
      <c r="H456" t="inlineStr">
        <is>
          <t>Paid</t>
        </is>
      </c>
    </row>
    <row r="457">
      <c r="A457" t="inlineStr">
        <is>
          <t>CLM515318</t>
        </is>
      </c>
      <c r="B457" t="inlineStr">
        <is>
          <t>PT10422</t>
        </is>
      </c>
      <c r="C457" t="inlineStr">
        <is>
          <t>PY01</t>
        </is>
      </c>
      <c r="D457" s="30" t="n">
        <v>45800</v>
      </c>
      <c r="E457" s="35" t="n">
        <v>1469.96</v>
      </c>
      <c r="F457" s="35" t="n">
        <v>451.57</v>
      </c>
      <c r="G457" s="35" t="n">
        <v>428.53</v>
      </c>
      <c r="H457" t="inlineStr">
        <is>
          <t>Paid</t>
        </is>
      </c>
    </row>
    <row r="458">
      <c r="A458" t="inlineStr">
        <is>
          <t>CLM515322</t>
        </is>
      </c>
      <c r="B458" t="inlineStr">
        <is>
          <t>PT12399</t>
        </is>
      </c>
      <c r="C458" t="inlineStr">
        <is>
          <t>PY02</t>
        </is>
      </c>
      <c r="D458" s="30" t="n">
        <v>45802</v>
      </c>
      <c r="E458" s="35" t="n">
        <v>17672.22</v>
      </c>
      <c r="F458" s="35" t="n">
        <v>0</v>
      </c>
      <c r="G458" s="35" t="n">
        <v>0</v>
      </c>
      <c r="H458" t="inlineStr">
        <is>
          <t>Denied</t>
        </is>
      </c>
      <c r="I458" t="inlineStr">
        <is>
          <t>Duplicate Claim</t>
        </is>
      </c>
    </row>
    <row r="459">
      <c r="A459" t="inlineStr">
        <is>
          <t>CLM515328</t>
        </is>
      </c>
      <c r="B459" t="inlineStr">
        <is>
          <t>PT11437</t>
        </is>
      </c>
      <c r="C459" t="inlineStr">
        <is>
          <t>PY02</t>
        </is>
      </c>
      <c r="D459" s="30" t="n">
        <v>45802</v>
      </c>
      <c r="E459" s="35" t="n">
        <v>11758.71</v>
      </c>
      <c r="F459" s="35" t="n">
        <v>0</v>
      </c>
      <c r="G459" s="35" t="n">
        <v>0</v>
      </c>
      <c r="H459" t="inlineStr">
        <is>
          <t>Denied</t>
        </is>
      </c>
      <c r="I459" t="inlineStr">
        <is>
          <t>Eligibility / Coverage</t>
        </is>
      </c>
    </row>
    <row r="460">
      <c r="A460" t="inlineStr">
        <is>
          <t>CLM515335</t>
        </is>
      </c>
      <c r="B460" t="inlineStr">
        <is>
          <t>PT10101</t>
        </is>
      </c>
      <c r="C460" t="inlineStr">
        <is>
          <t>PY02</t>
        </is>
      </c>
      <c r="D460" s="30" t="n">
        <v>45800</v>
      </c>
      <c r="E460" s="35" t="n">
        <v>1451.85</v>
      </c>
      <c r="F460" s="35" t="n">
        <v>465.89</v>
      </c>
      <c r="G460" s="35" t="n">
        <v>428.21</v>
      </c>
      <c r="H460" t="inlineStr">
        <is>
          <t>Paid</t>
        </is>
      </c>
    </row>
    <row r="461">
      <c r="A461" t="inlineStr">
        <is>
          <t>CLM515340</t>
        </is>
      </c>
      <c r="B461" t="inlineStr">
        <is>
          <t>PT10755</t>
        </is>
      </c>
      <c r="C461" t="inlineStr">
        <is>
          <t>PY04</t>
        </is>
      </c>
      <c r="D461" s="30" t="n">
        <v>45801</v>
      </c>
      <c r="E461" s="35" t="n">
        <v>629.85</v>
      </c>
      <c r="F461" s="35" t="n">
        <v>294.8</v>
      </c>
      <c r="G461" s="35" t="n">
        <v>277.01</v>
      </c>
      <c r="H461" t="inlineStr">
        <is>
          <t>Paid</t>
        </is>
      </c>
    </row>
    <row r="462">
      <c r="A462" t="inlineStr">
        <is>
          <t>CLM515342</t>
        </is>
      </c>
      <c r="B462" t="inlineStr">
        <is>
          <t>PT11045</t>
        </is>
      </c>
      <c r="C462" t="inlineStr">
        <is>
          <t>PY04</t>
        </is>
      </c>
      <c r="D462" s="30" t="n">
        <v>45806</v>
      </c>
      <c r="E462" s="35" t="n">
        <v>28868.03</v>
      </c>
      <c r="F462" s="35" t="n">
        <v>15038.07</v>
      </c>
      <c r="G462" s="35" t="n">
        <v>13233.16</v>
      </c>
      <c r="H462" t="inlineStr">
        <is>
          <t>Paid</t>
        </is>
      </c>
    </row>
    <row r="463">
      <c r="A463" t="inlineStr">
        <is>
          <t>CLM515351</t>
        </is>
      </c>
      <c r="B463" t="inlineStr">
        <is>
          <t>PT12369</t>
        </is>
      </c>
      <c r="C463" t="inlineStr">
        <is>
          <t>PY04</t>
        </is>
      </c>
      <c r="D463" s="30" t="n">
        <v>45808</v>
      </c>
      <c r="E463" s="35" t="n">
        <v>29729.12</v>
      </c>
      <c r="F463" s="35" t="n">
        <v>14027.03</v>
      </c>
      <c r="G463" s="35" t="n">
        <v>12510.76</v>
      </c>
      <c r="H463" t="inlineStr">
        <is>
          <t>Paid</t>
        </is>
      </c>
    </row>
    <row r="464">
      <c r="A464" t="inlineStr">
        <is>
          <t>CLM515354</t>
        </is>
      </c>
      <c r="B464" t="inlineStr">
        <is>
          <t>PT11548</t>
        </is>
      </c>
      <c r="C464" t="inlineStr">
        <is>
          <t>PY05</t>
        </is>
      </c>
      <c r="D464" s="30" t="n">
        <v>45807</v>
      </c>
      <c r="E464" s="35" t="n">
        <v>68783.67</v>
      </c>
      <c r="F464" s="35" t="n">
        <v>34763.16</v>
      </c>
      <c r="G464" s="35" t="n">
        <v>32194.55</v>
      </c>
      <c r="H464" t="inlineStr">
        <is>
          <t>Paid</t>
        </is>
      </c>
    </row>
    <row r="465">
      <c r="A465" t="inlineStr">
        <is>
          <t>CLM515375</t>
        </is>
      </c>
      <c r="B465" t="inlineStr">
        <is>
          <t>PT11798</t>
        </is>
      </c>
      <c r="C465" t="inlineStr">
        <is>
          <t>PY02</t>
        </is>
      </c>
      <c r="D465" s="30" t="n">
        <v>45807</v>
      </c>
      <c r="E465" s="35" t="n">
        <v>30976.92</v>
      </c>
      <c r="F465" s="35" t="n">
        <v>8478</v>
      </c>
      <c r="G465" s="35" t="n">
        <v>8440.49</v>
      </c>
      <c r="H465" t="inlineStr">
        <is>
          <t>Paid</t>
        </is>
      </c>
    </row>
    <row r="466">
      <c r="A466" t="inlineStr">
        <is>
          <t>CLM515380</t>
        </is>
      </c>
      <c r="B466" t="inlineStr">
        <is>
          <t>PT10606</t>
        </is>
      </c>
      <c r="C466" t="inlineStr">
        <is>
          <t>PY01</t>
        </is>
      </c>
      <c r="D466" s="30" t="n">
        <v>45803</v>
      </c>
      <c r="E466" s="35" t="n">
        <v>1446.42</v>
      </c>
      <c r="F466" s="35" t="n">
        <v>467.91</v>
      </c>
      <c r="G466" s="35" t="n">
        <v>443.31</v>
      </c>
      <c r="H466" t="inlineStr">
        <is>
          <t>Paid</t>
        </is>
      </c>
    </row>
    <row r="467">
      <c r="A467" t="inlineStr">
        <is>
          <t>CLM515385</t>
        </is>
      </c>
      <c r="B467" t="inlineStr">
        <is>
          <t>PT13149</t>
        </is>
      </c>
      <c r="C467" t="inlineStr">
        <is>
          <t>PY02</t>
        </is>
      </c>
      <c r="D467" s="30" t="n">
        <v>45806</v>
      </c>
      <c r="E467" s="35" t="n">
        <v>10971.39</v>
      </c>
      <c r="F467" s="35" t="n">
        <v>0</v>
      </c>
      <c r="G467" s="35" t="n">
        <v>0</v>
      </c>
      <c r="H467" t="inlineStr">
        <is>
          <t>Denied</t>
        </is>
      </c>
      <c r="I467" t="inlineStr">
        <is>
          <t>Medical Necessity</t>
        </is>
      </c>
    </row>
    <row r="468">
      <c r="A468" t="inlineStr">
        <is>
          <t>CLM515401</t>
        </is>
      </c>
      <c r="B468" t="inlineStr">
        <is>
          <t>PT10177</t>
        </is>
      </c>
      <c r="C468" t="inlineStr">
        <is>
          <t>PY02</t>
        </is>
      </c>
      <c r="D468" s="30" t="n">
        <v>45803</v>
      </c>
      <c r="E468" s="35" t="n">
        <v>4526</v>
      </c>
      <c r="F468" s="35" t="n">
        <v>1498.42</v>
      </c>
      <c r="G468" s="35" t="n">
        <v>1446.43</v>
      </c>
      <c r="H468" t="inlineStr">
        <is>
          <t>Paid</t>
        </is>
      </c>
    </row>
    <row r="469">
      <c r="A469" t="inlineStr">
        <is>
          <t>CLM515405</t>
        </is>
      </c>
      <c r="B469" t="inlineStr">
        <is>
          <t>PT12649</t>
        </is>
      </c>
      <c r="C469" t="inlineStr">
        <is>
          <t>PY06</t>
        </is>
      </c>
      <c r="D469" s="30" t="n">
        <v>45804</v>
      </c>
      <c r="E469" s="35" t="n">
        <v>828.85</v>
      </c>
      <c r="F469" s="35" t="n">
        <v>428.38</v>
      </c>
      <c r="G469" s="35" t="n">
        <v>390.48</v>
      </c>
      <c r="H469" t="inlineStr">
        <is>
          <t>Paid</t>
        </is>
      </c>
    </row>
    <row r="470">
      <c r="A470" t="inlineStr">
        <is>
          <t>CLM515412</t>
        </is>
      </c>
      <c r="B470" t="inlineStr">
        <is>
          <t>PT13724</t>
        </is>
      </c>
      <c r="C470" t="inlineStr">
        <is>
          <t>PY03</t>
        </is>
      </c>
      <c r="D470" s="30" t="n">
        <v>45804</v>
      </c>
      <c r="E470" s="35" t="n">
        <v>3312.38</v>
      </c>
      <c r="F470" s="35" t="n">
        <v>816.8</v>
      </c>
      <c r="G470" s="35" t="n">
        <v>816.8</v>
      </c>
      <c r="H470" t="inlineStr">
        <is>
          <t>Paid</t>
        </is>
      </c>
    </row>
    <row r="471">
      <c r="A471" t="inlineStr">
        <is>
          <t>CLM515433</t>
        </is>
      </c>
      <c r="B471" t="inlineStr">
        <is>
          <t>PT12426</t>
        </is>
      </c>
      <c r="C471" t="inlineStr">
        <is>
          <t>PY01</t>
        </is>
      </c>
      <c r="D471" s="30" t="n">
        <v>45807</v>
      </c>
      <c r="E471" s="35" t="n">
        <v>44077.84</v>
      </c>
      <c r="F471" s="35" t="n">
        <v>13053.26</v>
      </c>
      <c r="G471" s="35" t="n">
        <v>12171.62</v>
      </c>
      <c r="H471" t="inlineStr">
        <is>
          <t>Paid</t>
        </is>
      </c>
    </row>
    <row r="472">
      <c r="A472" t="inlineStr">
        <is>
          <t>CLM515435</t>
        </is>
      </c>
      <c r="B472" t="inlineStr">
        <is>
          <t>PT12860</t>
        </is>
      </c>
      <c r="C472" t="inlineStr">
        <is>
          <t>PY07</t>
        </is>
      </c>
      <c r="D472" s="30" t="n">
        <v>45813</v>
      </c>
      <c r="E472" s="35" t="n">
        <v>98218.00999999999</v>
      </c>
      <c r="F472" s="35" t="n">
        <v>38749.13</v>
      </c>
      <c r="G472" s="35" t="n">
        <v>0</v>
      </c>
      <c r="H472" t="inlineStr">
        <is>
          <t>Pending</t>
        </is>
      </c>
    </row>
    <row r="473">
      <c r="A473" t="inlineStr">
        <is>
          <t>CLM515466</t>
        </is>
      </c>
      <c r="B473" t="inlineStr">
        <is>
          <t>PT12159</t>
        </is>
      </c>
      <c r="C473" t="inlineStr">
        <is>
          <t>PY05</t>
        </is>
      </c>
      <c r="D473" s="30" t="n">
        <v>45810</v>
      </c>
      <c r="E473" s="35" t="n">
        <v>18069.81</v>
      </c>
      <c r="F473" s="35" t="n">
        <v>7920.58</v>
      </c>
      <c r="G473" s="35" t="n">
        <v>6047.38</v>
      </c>
      <c r="H473" t="inlineStr">
        <is>
          <t>Partially Paid</t>
        </is>
      </c>
      <c r="I473" t="inlineStr">
        <is>
          <t>Medical Necessity</t>
        </is>
      </c>
    </row>
    <row r="474">
      <c r="A474" t="inlineStr">
        <is>
          <t>CLM515472</t>
        </is>
      </c>
      <c r="B474" t="inlineStr">
        <is>
          <t>PT12274</t>
        </is>
      </c>
      <c r="C474" t="inlineStr">
        <is>
          <t>PY03</t>
        </is>
      </c>
      <c r="D474" s="30" t="n">
        <v>45810</v>
      </c>
      <c r="E474" s="35" t="n">
        <v>48337.74</v>
      </c>
      <c r="F474" s="35" t="n">
        <v>12611.62</v>
      </c>
      <c r="G474" s="35" t="n">
        <v>9350.84</v>
      </c>
      <c r="H474" t="inlineStr">
        <is>
          <t>Partially Paid</t>
        </is>
      </c>
      <c r="I474" t="inlineStr">
        <is>
          <t>Coding Error</t>
        </is>
      </c>
    </row>
    <row r="475">
      <c r="A475" t="inlineStr">
        <is>
          <t>CLM515474</t>
        </is>
      </c>
      <c r="B475" t="inlineStr">
        <is>
          <t>PT11139</t>
        </is>
      </c>
      <c r="C475" t="inlineStr">
        <is>
          <t>PY04</t>
        </is>
      </c>
      <c r="D475" s="30" t="n">
        <v>45809</v>
      </c>
      <c r="E475" s="35" t="n">
        <v>16711.15</v>
      </c>
      <c r="F475" s="35" t="n">
        <v>8386.129999999999</v>
      </c>
      <c r="G475" s="35" t="n">
        <v>7629.85</v>
      </c>
      <c r="H475" t="inlineStr">
        <is>
          <t>Paid</t>
        </is>
      </c>
    </row>
    <row r="476">
      <c r="A476" t="inlineStr">
        <is>
          <t>CLM515475</t>
        </is>
      </c>
      <c r="B476" t="inlineStr">
        <is>
          <t>PT13715</t>
        </is>
      </c>
      <c r="C476" t="inlineStr">
        <is>
          <t>PY02</t>
        </is>
      </c>
      <c r="D476" s="30" t="n">
        <v>45806</v>
      </c>
      <c r="E476" s="35" t="n">
        <v>3381.93</v>
      </c>
      <c r="F476" s="35" t="n">
        <v>1053.99</v>
      </c>
      <c r="G476" s="35" t="n">
        <v>990.08</v>
      </c>
      <c r="H476" t="inlineStr">
        <is>
          <t>Paid</t>
        </is>
      </c>
    </row>
    <row r="477">
      <c r="A477" t="inlineStr">
        <is>
          <t>CLM515500</t>
        </is>
      </c>
      <c r="B477" t="inlineStr">
        <is>
          <t>PT10187</t>
        </is>
      </c>
      <c r="C477" t="inlineStr">
        <is>
          <t>PY04</t>
        </is>
      </c>
      <c r="D477" s="30" t="n">
        <v>45809</v>
      </c>
      <c r="E477" s="35" t="n">
        <v>71241.27</v>
      </c>
      <c r="F477" s="35" t="n">
        <v>37598.14</v>
      </c>
      <c r="G477" s="35" t="n">
        <v>33598.42</v>
      </c>
      <c r="H477" t="inlineStr">
        <is>
          <t>Paid</t>
        </is>
      </c>
    </row>
    <row r="478">
      <c r="A478" t="inlineStr">
        <is>
          <t>CLM515521</t>
        </is>
      </c>
      <c r="B478" t="inlineStr">
        <is>
          <t>PT11941</t>
        </is>
      </c>
      <c r="C478" t="inlineStr">
        <is>
          <t>PY01</t>
        </is>
      </c>
      <c r="D478" s="30" t="n">
        <v>45813</v>
      </c>
      <c r="E478" s="35" t="n">
        <v>40900.85</v>
      </c>
      <c r="F478" s="35" t="n">
        <v>12168.63</v>
      </c>
      <c r="G478" s="35" t="n">
        <v>10995.16</v>
      </c>
      <c r="H478" t="inlineStr">
        <is>
          <t>Paid</t>
        </is>
      </c>
    </row>
    <row r="479">
      <c r="A479" t="inlineStr">
        <is>
          <t>CLM515535</t>
        </is>
      </c>
      <c r="B479" t="inlineStr">
        <is>
          <t>PT12410</t>
        </is>
      </c>
      <c r="C479" t="inlineStr">
        <is>
          <t>PY05</t>
        </is>
      </c>
      <c r="D479" s="30" t="n">
        <v>45808</v>
      </c>
      <c r="E479" s="35" t="n">
        <v>3475.58</v>
      </c>
      <c r="F479" s="35" t="n">
        <v>1698.69</v>
      </c>
      <c r="G479" s="35" t="n">
        <v>1604.81</v>
      </c>
      <c r="H479" t="inlineStr">
        <is>
          <t>Paid</t>
        </is>
      </c>
    </row>
    <row r="480">
      <c r="A480" t="inlineStr">
        <is>
          <t>CLM515549</t>
        </is>
      </c>
      <c r="B480" t="inlineStr">
        <is>
          <t>PT11427</t>
        </is>
      </c>
      <c r="C480" t="inlineStr">
        <is>
          <t>PY02</t>
        </is>
      </c>
      <c r="D480" s="30" t="n">
        <v>45809</v>
      </c>
      <c r="E480" s="35" t="n">
        <v>7537.81</v>
      </c>
      <c r="F480" s="35" t="n">
        <v>2984.22</v>
      </c>
      <c r="G480" s="35" t="n">
        <v>2842.59</v>
      </c>
      <c r="H480" t="inlineStr">
        <is>
          <t>Paid</t>
        </is>
      </c>
    </row>
    <row r="481">
      <c r="A481" t="inlineStr">
        <is>
          <t>CLM515550</t>
        </is>
      </c>
      <c r="B481" t="inlineStr">
        <is>
          <t>PT10398</t>
        </is>
      </c>
      <c r="C481" t="inlineStr">
        <is>
          <t>PY01</t>
        </is>
      </c>
      <c r="D481" s="30" t="n">
        <v>45809</v>
      </c>
      <c r="E481" s="35" t="n">
        <v>6284.26</v>
      </c>
      <c r="F481" s="35" t="n">
        <v>2074.56</v>
      </c>
      <c r="G481" s="35" t="n">
        <v>1127.56</v>
      </c>
      <c r="H481" t="inlineStr">
        <is>
          <t>Partially Paid</t>
        </is>
      </c>
      <c r="I481" t="inlineStr">
        <is>
          <t>Coding Error</t>
        </is>
      </c>
    </row>
    <row r="482">
      <c r="A482" t="inlineStr">
        <is>
          <t>CLM515553</t>
        </is>
      </c>
      <c r="B482" t="inlineStr">
        <is>
          <t>PT12955</t>
        </is>
      </c>
      <c r="C482" t="inlineStr">
        <is>
          <t>PY02</t>
        </is>
      </c>
      <c r="D482" s="30" t="n">
        <v>45811</v>
      </c>
      <c r="E482" s="35" t="n">
        <v>12969.78</v>
      </c>
      <c r="F482" s="35" t="n">
        <v>0</v>
      </c>
      <c r="G482" s="35" t="n">
        <v>0</v>
      </c>
      <c r="H482" t="inlineStr">
        <is>
          <t>Denied</t>
        </is>
      </c>
      <c r="I482" t="inlineStr">
        <is>
          <t>Duplicate Claim</t>
        </is>
      </c>
    </row>
    <row r="483">
      <c r="A483" t="inlineStr">
        <is>
          <t>CLM515558</t>
        </is>
      </c>
      <c r="B483" t="inlineStr">
        <is>
          <t>PT12537</t>
        </is>
      </c>
      <c r="C483" t="inlineStr">
        <is>
          <t>PY01</t>
        </is>
      </c>
      <c r="D483" s="30" t="n">
        <v>45809</v>
      </c>
      <c r="E483" s="35" t="n">
        <v>1729.41</v>
      </c>
      <c r="F483" s="35" t="n">
        <v>547.54</v>
      </c>
      <c r="G483" s="35" t="n">
        <v>547.54</v>
      </c>
      <c r="H483" t="inlineStr">
        <is>
          <t>Paid</t>
        </is>
      </c>
    </row>
    <row r="484">
      <c r="A484" t="inlineStr">
        <is>
          <t>CLM515582</t>
        </is>
      </c>
      <c r="B484" t="inlineStr">
        <is>
          <t>PT12917</t>
        </is>
      </c>
      <c r="C484" t="inlineStr">
        <is>
          <t>PY01</t>
        </is>
      </c>
      <c r="D484" s="30" t="n">
        <v>45814</v>
      </c>
      <c r="E484" s="35" t="n">
        <v>14712.69</v>
      </c>
      <c r="F484" s="35" t="n">
        <v>4786.49</v>
      </c>
      <c r="G484" s="35" t="n">
        <v>4472.38</v>
      </c>
      <c r="H484" t="inlineStr">
        <is>
          <t>Paid</t>
        </is>
      </c>
    </row>
    <row r="485">
      <c r="A485" t="inlineStr">
        <is>
          <t>CLM515619</t>
        </is>
      </c>
      <c r="B485" t="inlineStr">
        <is>
          <t>PT10074</t>
        </is>
      </c>
      <c r="C485" t="inlineStr">
        <is>
          <t>PY02</t>
        </is>
      </c>
      <c r="D485" s="30" t="n">
        <v>45814</v>
      </c>
      <c r="E485" s="35" t="n">
        <v>12145.84</v>
      </c>
      <c r="F485" s="35" t="n">
        <v>3625.87</v>
      </c>
      <c r="G485" s="35" t="n">
        <v>3369.3</v>
      </c>
      <c r="H485" t="inlineStr">
        <is>
          <t>Paid</t>
        </is>
      </c>
    </row>
    <row r="486">
      <c r="A486" t="inlineStr">
        <is>
          <t>CLM515622</t>
        </is>
      </c>
      <c r="B486" t="inlineStr">
        <is>
          <t>PT12410</t>
        </is>
      </c>
      <c r="C486" t="inlineStr">
        <is>
          <t>PY05</t>
        </is>
      </c>
      <c r="D486" s="30" t="n">
        <v>45811</v>
      </c>
      <c r="E486" s="35" t="n">
        <v>3914.4</v>
      </c>
      <c r="F486" s="35" t="n">
        <v>1941.73</v>
      </c>
      <c r="G486" s="35" t="n">
        <v>1681.55</v>
      </c>
      <c r="H486" t="inlineStr">
        <is>
          <t>Paid</t>
        </is>
      </c>
    </row>
    <row r="487">
      <c r="A487" t="inlineStr">
        <is>
          <t>CLM515653</t>
        </is>
      </c>
      <c r="B487" t="inlineStr">
        <is>
          <t>PT13311</t>
        </is>
      </c>
      <c r="C487" t="inlineStr">
        <is>
          <t>PY03</t>
        </is>
      </c>
      <c r="D487" s="30" t="n">
        <v>45812</v>
      </c>
      <c r="E487" s="35" t="n">
        <v>5024.51</v>
      </c>
      <c r="F487" s="35" t="n">
        <v>1077.65</v>
      </c>
      <c r="G487" s="35" t="n">
        <v>955.66</v>
      </c>
      <c r="H487" t="inlineStr">
        <is>
          <t>Partially Paid</t>
        </is>
      </c>
      <c r="I487" t="inlineStr">
        <is>
          <t>Medical Necessity</t>
        </is>
      </c>
    </row>
    <row r="488">
      <c r="A488" t="inlineStr">
        <is>
          <t>CLM515658</t>
        </is>
      </c>
      <c r="B488" t="inlineStr">
        <is>
          <t>PT11716</t>
        </is>
      </c>
      <c r="C488" t="inlineStr">
        <is>
          <t>PY02</t>
        </is>
      </c>
      <c r="D488" s="30" t="n">
        <v>45817</v>
      </c>
      <c r="E488" s="35" t="n">
        <v>23375.25</v>
      </c>
      <c r="F488" s="35" t="n">
        <v>0</v>
      </c>
      <c r="G488" s="35" t="n">
        <v>0</v>
      </c>
      <c r="H488" t="inlineStr">
        <is>
          <t>Appealed</t>
        </is>
      </c>
      <c r="I488" t="inlineStr">
        <is>
          <t>Medical Necessity</t>
        </is>
      </c>
    </row>
    <row r="489">
      <c r="A489" t="inlineStr">
        <is>
          <t>CLM515659</t>
        </is>
      </c>
      <c r="B489" t="inlineStr">
        <is>
          <t>PT10893</t>
        </is>
      </c>
      <c r="C489" t="inlineStr">
        <is>
          <t>PY03</t>
        </is>
      </c>
      <c r="D489" s="30" t="n">
        <v>45812</v>
      </c>
      <c r="E489" s="35" t="n">
        <v>628.36</v>
      </c>
      <c r="F489" s="35" t="n">
        <v>166.33</v>
      </c>
      <c r="G489" s="35" t="n">
        <v>166.33</v>
      </c>
      <c r="H489" t="inlineStr">
        <is>
          <t>Paid</t>
        </is>
      </c>
    </row>
    <row r="490">
      <c r="A490" t="inlineStr">
        <is>
          <t>CLM515691</t>
        </is>
      </c>
      <c r="B490" t="inlineStr">
        <is>
          <t>PT13492</t>
        </is>
      </c>
      <c r="C490" t="inlineStr">
        <is>
          <t>PY07</t>
        </is>
      </c>
      <c r="D490" s="30" t="n">
        <v>45818</v>
      </c>
      <c r="E490" s="35" t="n">
        <v>57649.11</v>
      </c>
      <c r="F490" s="35" t="n">
        <v>22889.3</v>
      </c>
      <c r="G490" s="35" t="n">
        <v>4748.38</v>
      </c>
      <c r="H490" t="inlineStr">
        <is>
          <t>Partially Paid</t>
        </is>
      </c>
    </row>
    <row r="491">
      <c r="A491" t="inlineStr">
        <is>
          <t>CLM515693</t>
        </is>
      </c>
      <c r="B491" t="inlineStr">
        <is>
          <t>PT10044</t>
        </is>
      </c>
      <c r="C491" t="inlineStr">
        <is>
          <t>PY04</t>
        </is>
      </c>
      <c r="D491" s="30" t="n">
        <v>45818</v>
      </c>
      <c r="E491" s="35" t="n">
        <v>20438.37</v>
      </c>
      <c r="F491" s="35" t="n">
        <v>11329.23</v>
      </c>
      <c r="G491" s="35" t="n">
        <v>8490.09</v>
      </c>
      <c r="H491" t="inlineStr">
        <is>
          <t>Paid</t>
        </is>
      </c>
    </row>
    <row r="492">
      <c r="A492" t="inlineStr">
        <is>
          <t>CLM515697</t>
        </is>
      </c>
      <c r="B492" t="inlineStr">
        <is>
          <t>PT11837</t>
        </is>
      </c>
      <c r="C492" t="inlineStr">
        <is>
          <t>PY06</t>
        </is>
      </c>
      <c r="D492" s="30" t="n">
        <v>45814</v>
      </c>
      <c r="E492" s="35" t="n">
        <v>737.29</v>
      </c>
      <c r="F492" s="35" t="n">
        <v>416.37</v>
      </c>
      <c r="G492" s="35" t="n">
        <v>326.38</v>
      </c>
      <c r="H492" t="inlineStr">
        <is>
          <t>Partially Paid</t>
        </is>
      </c>
      <c r="I492" t="inlineStr">
        <is>
          <t>Missing Documentation</t>
        </is>
      </c>
    </row>
    <row r="493">
      <c r="A493" t="inlineStr">
        <is>
          <t>CLM515718</t>
        </is>
      </c>
      <c r="B493" t="inlineStr">
        <is>
          <t>PT11348</t>
        </is>
      </c>
      <c r="C493" t="inlineStr">
        <is>
          <t>PY05</t>
        </is>
      </c>
      <c r="D493" s="30" t="n">
        <v>45815</v>
      </c>
      <c r="E493" s="35" t="n">
        <v>8703.92</v>
      </c>
      <c r="F493" s="35" t="n">
        <v>4125.46</v>
      </c>
      <c r="G493" s="35" t="n">
        <v>1940.91</v>
      </c>
      <c r="H493" t="inlineStr">
        <is>
          <t>Partially Paid</t>
        </is>
      </c>
      <c r="I493" t="inlineStr">
        <is>
          <t>Medical Necessity</t>
        </is>
      </c>
    </row>
    <row r="494">
      <c r="A494" t="inlineStr">
        <is>
          <t>CLM515729</t>
        </is>
      </c>
      <c r="B494" t="inlineStr">
        <is>
          <t>PT12636</t>
        </is>
      </c>
      <c r="C494" t="inlineStr">
        <is>
          <t>PY01</t>
        </is>
      </c>
      <c r="D494" s="30" t="n">
        <v>45817</v>
      </c>
      <c r="E494" s="35" t="n">
        <v>14950.97</v>
      </c>
      <c r="F494" s="35" t="n">
        <v>4480.06</v>
      </c>
      <c r="G494" s="35" t="n">
        <v>4145.56</v>
      </c>
      <c r="H494" t="inlineStr">
        <is>
          <t>Paid</t>
        </is>
      </c>
    </row>
    <row r="495">
      <c r="A495" t="inlineStr">
        <is>
          <t>CLM515730</t>
        </is>
      </c>
      <c r="B495" t="inlineStr">
        <is>
          <t>PT10971</t>
        </is>
      </c>
      <c r="C495" t="inlineStr">
        <is>
          <t>PY04</t>
        </is>
      </c>
      <c r="D495" s="30" t="n">
        <v>45815</v>
      </c>
      <c r="E495" s="35" t="n">
        <v>1360.58</v>
      </c>
      <c r="F495" s="35" t="n">
        <v>741.26</v>
      </c>
      <c r="G495" s="35" t="n">
        <v>660.67</v>
      </c>
      <c r="H495" t="inlineStr">
        <is>
          <t>Paid</t>
        </is>
      </c>
    </row>
    <row r="496">
      <c r="A496" t="inlineStr">
        <is>
          <t>CLM515731</t>
        </is>
      </c>
      <c r="B496" t="inlineStr">
        <is>
          <t>PT12076</t>
        </is>
      </c>
      <c r="C496" t="inlineStr">
        <is>
          <t>PY06</t>
        </is>
      </c>
      <c r="D496" s="30" t="n">
        <v>45815</v>
      </c>
      <c r="E496" s="35" t="n">
        <v>3469.59</v>
      </c>
      <c r="F496" s="35" t="n">
        <v>0</v>
      </c>
      <c r="G496" s="35" t="n">
        <v>0</v>
      </c>
      <c r="H496" t="inlineStr">
        <is>
          <t>Appealed</t>
        </is>
      </c>
      <c r="I496" t="inlineStr">
        <is>
          <t>Eligibility / Coverage</t>
        </is>
      </c>
    </row>
    <row r="497">
      <c r="A497" t="inlineStr">
        <is>
          <t>CLM515740</t>
        </is>
      </c>
      <c r="B497" t="inlineStr">
        <is>
          <t>PT10258</t>
        </is>
      </c>
      <c r="C497" t="inlineStr">
        <is>
          <t>PY02</t>
        </is>
      </c>
      <c r="D497" s="30" t="n">
        <v>45816</v>
      </c>
      <c r="E497" s="35" t="n">
        <v>4389.08</v>
      </c>
      <c r="F497" s="35" t="n">
        <v>1659.08</v>
      </c>
      <c r="G497" s="35" t="n">
        <v>1501.92</v>
      </c>
      <c r="H497" t="inlineStr">
        <is>
          <t>Paid</t>
        </is>
      </c>
    </row>
    <row r="498">
      <c r="A498" t="inlineStr">
        <is>
          <t>CLM515741</t>
        </is>
      </c>
      <c r="B498" t="inlineStr">
        <is>
          <t>PT11920</t>
        </is>
      </c>
      <c r="C498" t="inlineStr">
        <is>
          <t>PY03</t>
        </is>
      </c>
      <c r="D498" s="30" t="n">
        <v>45816</v>
      </c>
      <c r="E498" s="35" t="n">
        <v>1208.42</v>
      </c>
      <c r="F498" s="35" t="n">
        <v>323.24</v>
      </c>
      <c r="G498" s="35" t="n">
        <v>323.24</v>
      </c>
      <c r="H498" t="inlineStr">
        <is>
          <t>Paid</t>
        </is>
      </c>
    </row>
    <row r="499">
      <c r="A499" t="inlineStr">
        <is>
          <t>CLM515743</t>
        </is>
      </c>
      <c r="B499" t="inlineStr">
        <is>
          <t>PT13657</t>
        </is>
      </c>
      <c r="C499" t="inlineStr">
        <is>
          <t>PY04</t>
        </is>
      </c>
      <c r="D499" s="30" t="n">
        <v>45816</v>
      </c>
      <c r="E499" s="35" t="n">
        <v>1425.49</v>
      </c>
      <c r="F499" s="35" t="n">
        <v>677.36</v>
      </c>
      <c r="G499" s="35" t="n">
        <v>652.71</v>
      </c>
      <c r="H499" t="inlineStr">
        <is>
          <t>Paid</t>
        </is>
      </c>
    </row>
    <row r="500">
      <c r="A500" t="inlineStr">
        <is>
          <t>CLM515746</t>
        </is>
      </c>
      <c r="B500" t="inlineStr">
        <is>
          <t>PT11889</t>
        </is>
      </c>
      <c r="C500" t="inlineStr">
        <is>
          <t>PY04</t>
        </is>
      </c>
      <c r="D500" s="30" t="n">
        <v>45816</v>
      </c>
      <c r="E500" s="35" t="n">
        <v>1746.34</v>
      </c>
      <c r="F500" s="35" t="n">
        <v>873.76</v>
      </c>
      <c r="G500" s="35" t="n">
        <v>706.5599999999999</v>
      </c>
      <c r="H500" t="inlineStr">
        <is>
          <t>Paid</t>
        </is>
      </c>
    </row>
    <row r="501">
      <c r="A501" t="inlineStr">
        <is>
          <t>CLM515748</t>
        </is>
      </c>
      <c r="B501" t="inlineStr">
        <is>
          <t>PT10438</t>
        </is>
      </c>
      <c r="C501" t="inlineStr">
        <is>
          <t>PY04</t>
        </is>
      </c>
      <c r="D501" s="30" t="n">
        <v>45816</v>
      </c>
      <c r="E501" s="35" t="n">
        <v>3422.97</v>
      </c>
      <c r="F501" s="35" t="n">
        <v>1990.1</v>
      </c>
      <c r="G501" s="35" t="n">
        <v>1766.23</v>
      </c>
      <c r="H501" t="inlineStr">
        <is>
          <t>Paid</t>
        </is>
      </c>
    </row>
    <row r="502">
      <c r="A502" t="inlineStr">
        <is>
          <t>CLM515754</t>
        </is>
      </c>
      <c r="B502" t="inlineStr">
        <is>
          <t>PT13330</t>
        </is>
      </c>
      <c r="C502" t="inlineStr">
        <is>
          <t>PY01</t>
        </is>
      </c>
      <c r="D502" s="30" t="n">
        <v>45816</v>
      </c>
      <c r="E502" s="35" t="n">
        <v>1334.55</v>
      </c>
      <c r="F502" s="35" t="n">
        <v>437.25</v>
      </c>
      <c r="G502" s="35" t="n">
        <v>410.15</v>
      </c>
      <c r="H502" t="inlineStr">
        <is>
          <t>Paid</t>
        </is>
      </c>
    </row>
    <row r="503">
      <c r="A503" t="inlineStr">
        <is>
          <t>CLM515774</t>
        </is>
      </c>
      <c r="B503" t="inlineStr">
        <is>
          <t>PT11301</t>
        </is>
      </c>
      <c r="C503" t="inlineStr">
        <is>
          <t>PY04</t>
        </is>
      </c>
      <c r="D503" s="30" t="n">
        <v>45817</v>
      </c>
      <c r="E503" s="35" t="n">
        <v>2263.13</v>
      </c>
      <c r="F503" s="35" t="n">
        <v>1111.65</v>
      </c>
      <c r="G503" s="35" t="n">
        <v>1005.96</v>
      </c>
      <c r="H503" t="inlineStr">
        <is>
          <t>Paid</t>
        </is>
      </c>
    </row>
    <row r="504">
      <c r="A504" t="inlineStr">
        <is>
          <t>CLM515794</t>
        </is>
      </c>
      <c r="B504" t="inlineStr">
        <is>
          <t>PT10986</t>
        </is>
      </c>
      <c r="C504" t="inlineStr">
        <is>
          <t>PY07</t>
        </is>
      </c>
      <c r="D504" s="30" t="n">
        <v>45818</v>
      </c>
      <c r="E504" s="35" t="n">
        <v>584.91</v>
      </c>
      <c r="F504" s="35" t="n">
        <v>258.17</v>
      </c>
      <c r="G504" s="35" t="n">
        <v>0</v>
      </c>
      <c r="H504" t="inlineStr">
        <is>
          <t>Pending</t>
        </is>
      </c>
    </row>
    <row r="505">
      <c r="A505" t="inlineStr">
        <is>
          <t>CLM515801</t>
        </is>
      </c>
      <c r="B505" t="inlineStr">
        <is>
          <t>PT11401</t>
        </is>
      </c>
      <c r="C505" t="inlineStr">
        <is>
          <t>PY04</t>
        </is>
      </c>
      <c r="D505" s="30" t="n">
        <v>45818</v>
      </c>
      <c r="E505" s="35" t="n">
        <v>1509.08</v>
      </c>
      <c r="F505" s="35" t="n">
        <v>796.49</v>
      </c>
      <c r="G505" s="35" t="n">
        <v>762.98</v>
      </c>
      <c r="H505" t="inlineStr">
        <is>
          <t>Paid</t>
        </is>
      </c>
    </row>
    <row r="506">
      <c r="A506" t="inlineStr">
        <is>
          <t>CLM515804</t>
        </is>
      </c>
      <c r="B506" t="inlineStr">
        <is>
          <t>PT10966</t>
        </is>
      </c>
      <c r="C506" t="inlineStr">
        <is>
          <t>PY04</t>
        </is>
      </c>
      <c r="D506" s="30" t="n">
        <v>45818</v>
      </c>
      <c r="E506" s="35" t="n">
        <v>1554.43</v>
      </c>
      <c r="F506" s="35" t="n">
        <v>782.2</v>
      </c>
      <c r="G506" s="35" t="n">
        <v>689.96</v>
      </c>
      <c r="H506" t="inlineStr">
        <is>
          <t>Paid</t>
        </is>
      </c>
    </row>
    <row r="507">
      <c r="A507" t="inlineStr">
        <is>
          <t>CLM515820</t>
        </is>
      </c>
      <c r="B507" t="inlineStr">
        <is>
          <t>PT13847</t>
        </is>
      </c>
      <c r="C507" t="inlineStr">
        <is>
          <t>PY05</t>
        </is>
      </c>
      <c r="D507" s="30" t="n">
        <v>45819</v>
      </c>
      <c r="E507" s="35" t="n">
        <v>8395.559999999999</v>
      </c>
      <c r="F507" s="35" t="n">
        <v>3588.79</v>
      </c>
      <c r="G507" s="35" t="n">
        <v>3008.55</v>
      </c>
      <c r="H507" t="inlineStr">
        <is>
          <t>Paid</t>
        </is>
      </c>
    </row>
    <row r="508">
      <c r="A508" t="inlineStr">
        <is>
          <t>CLM515823</t>
        </is>
      </c>
      <c r="B508" t="inlineStr">
        <is>
          <t>PT10101</t>
        </is>
      </c>
      <c r="C508" t="inlineStr">
        <is>
          <t>PY02</t>
        </is>
      </c>
      <c r="D508" s="30" t="n">
        <v>45819</v>
      </c>
      <c r="E508" s="35" t="n">
        <v>5814.92</v>
      </c>
      <c r="F508" s="35" t="n">
        <v>1842.75</v>
      </c>
      <c r="G508" s="35" t="n">
        <v>1842.75</v>
      </c>
      <c r="H508" t="inlineStr">
        <is>
          <t>Paid</t>
        </is>
      </c>
    </row>
    <row r="509">
      <c r="A509" t="inlineStr">
        <is>
          <t>CLM515838</t>
        </is>
      </c>
      <c r="B509" t="inlineStr">
        <is>
          <t>PT13377</t>
        </is>
      </c>
      <c r="C509" t="inlineStr">
        <is>
          <t>PY07</t>
        </is>
      </c>
      <c r="D509" s="30" t="n">
        <v>45819</v>
      </c>
      <c r="E509" s="35" t="n">
        <v>1323.96</v>
      </c>
      <c r="F509" s="35" t="n">
        <v>477.22</v>
      </c>
      <c r="G509" s="35" t="n">
        <v>216.48</v>
      </c>
      <c r="H509" t="inlineStr">
        <is>
          <t>Partially Paid</t>
        </is>
      </c>
    </row>
    <row r="510">
      <c r="A510" t="inlineStr">
        <is>
          <t>CLM515839</t>
        </is>
      </c>
      <c r="B510" t="inlineStr">
        <is>
          <t>PT11492</t>
        </is>
      </c>
      <c r="C510" t="inlineStr">
        <is>
          <t>PY02</t>
        </is>
      </c>
      <c r="D510" s="30" t="n">
        <v>45824</v>
      </c>
      <c r="E510" s="35" t="n">
        <v>72484.13</v>
      </c>
      <c r="F510" s="35" t="n">
        <v>24047.89</v>
      </c>
      <c r="G510" s="35" t="n">
        <v>22385</v>
      </c>
      <c r="H510" t="inlineStr">
        <is>
          <t>Paid</t>
        </is>
      </c>
    </row>
    <row r="511">
      <c r="A511" t="inlineStr">
        <is>
          <t>CLM515846</t>
        </is>
      </c>
      <c r="B511" t="inlineStr">
        <is>
          <t>PT12870</t>
        </is>
      </c>
      <c r="C511" t="inlineStr">
        <is>
          <t>PY01</t>
        </is>
      </c>
      <c r="D511" s="30" t="n">
        <v>45825</v>
      </c>
      <c r="E511" s="35" t="n">
        <v>39410.95</v>
      </c>
      <c r="F511" s="35" t="n">
        <v>11494.92</v>
      </c>
      <c r="G511" s="35" t="n">
        <v>10765.33</v>
      </c>
      <c r="H511" t="inlineStr">
        <is>
          <t>Paid</t>
        </is>
      </c>
    </row>
    <row r="512">
      <c r="A512" t="inlineStr">
        <is>
          <t>CLM515848</t>
        </is>
      </c>
      <c r="B512" t="inlineStr">
        <is>
          <t>PT11842</t>
        </is>
      </c>
      <c r="C512" t="inlineStr">
        <is>
          <t>PY01</t>
        </is>
      </c>
      <c r="D512" s="30" t="n">
        <v>45819</v>
      </c>
      <c r="E512" s="35" t="n">
        <v>2714.53</v>
      </c>
      <c r="F512" s="35" t="n">
        <v>825.99</v>
      </c>
      <c r="G512" s="35" t="n">
        <v>774.51</v>
      </c>
      <c r="H512" t="inlineStr">
        <is>
          <t>Paid</t>
        </is>
      </c>
    </row>
    <row r="513">
      <c r="A513" t="inlineStr">
        <is>
          <t>CLM515853</t>
        </is>
      </c>
      <c r="B513" t="inlineStr">
        <is>
          <t>PT13786</t>
        </is>
      </c>
      <c r="C513" t="inlineStr">
        <is>
          <t>PY07</t>
        </is>
      </c>
      <c r="D513" s="30" t="n">
        <v>45820</v>
      </c>
      <c r="E513" s="35" t="n">
        <v>1734.5</v>
      </c>
      <c r="F513" s="35" t="n">
        <v>755.8</v>
      </c>
      <c r="G513" s="35" t="n">
        <v>100.51</v>
      </c>
      <c r="H513" t="inlineStr">
        <is>
          <t>Partially Paid</t>
        </is>
      </c>
    </row>
    <row r="514">
      <c r="A514" t="inlineStr">
        <is>
          <t>CLM515855</t>
        </is>
      </c>
      <c r="B514" t="inlineStr">
        <is>
          <t>PT10721</t>
        </is>
      </c>
      <c r="C514" t="inlineStr">
        <is>
          <t>PY01</t>
        </is>
      </c>
      <c r="D514" s="30" t="n">
        <v>45821</v>
      </c>
      <c r="E514" s="35" t="n">
        <v>43890.86</v>
      </c>
      <c r="F514" s="35" t="n">
        <v>14178.12</v>
      </c>
      <c r="G514" s="35" t="n">
        <v>12894.34</v>
      </c>
      <c r="H514" t="inlineStr">
        <is>
          <t>Paid</t>
        </is>
      </c>
    </row>
    <row r="515">
      <c r="A515" t="inlineStr">
        <is>
          <t>CLM515870</t>
        </is>
      </c>
      <c r="B515" t="inlineStr">
        <is>
          <t>PT11937</t>
        </is>
      </c>
      <c r="C515" t="inlineStr">
        <is>
          <t>PY07</t>
        </is>
      </c>
      <c r="D515" s="30" t="n">
        <v>45820</v>
      </c>
      <c r="E515" s="35" t="n">
        <v>2131.66</v>
      </c>
      <c r="F515" s="35" t="n">
        <v>894.03</v>
      </c>
      <c r="G515" s="35" t="n">
        <v>0</v>
      </c>
      <c r="H515" t="inlineStr">
        <is>
          <t>Pending</t>
        </is>
      </c>
    </row>
    <row r="516">
      <c r="A516" t="inlineStr">
        <is>
          <t>CLM515884</t>
        </is>
      </c>
      <c r="B516" t="inlineStr">
        <is>
          <t>PT10532</t>
        </is>
      </c>
      <c r="C516" t="inlineStr">
        <is>
          <t>PY04</t>
        </is>
      </c>
      <c r="D516" s="30" t="n">
        <v>45820</v>
      </c>
      <c r="E516" s="35" t="n">
        <v>1402.12</v>
      </c>
      <c r="F516" s="35" t="n">
        <v>780.83</v>
      </c>
      <c r="G516" s="35" t="n">
        <v>723.51</v>
      </c>
      <c r="H516" t="inlineStr">
        <is>
          <t>Paid</t>
        </is>
      </c>
    </row>
    <row r="517">
      <c r="A517" t="inlineStr">
        <is>
          <t>CLM515889</t>
        </is>
      </c>
      <c r="B517" t="inlineStr">
        <is>
          <t>PT13135</t>
        </is>
      </c>
      <c r="C517" t="inlineStr">
        <is>
          <t>PY06</t>
        </is>
      </c>
      <c r="D517" s="30" t="n">
        <v>45821</v>
      </c>
      <c r="E517" s="35" t="n">
        <v>3049.19</v>
      </c>
      <c r="F517" s="35" t="n">
        <v>1679.11</v>
      </c>
      <c r="G517" s="35" t="n">
        <v>1479.77</v>
      </c>
      <c r="H517" t="inlineStr">
        <is>
          <t>Paid</t>
        </is>
      </c>
    </row>
    <row r="518">
      <c r="A518" t="inlineStr">
        <is>
          <t>CLM515905</t>
        </is>
      </c>
      <c r="B518" t="inlineStr">
        <is>
          <t>PT11260</t>
        </is>
      </c>
      <c r="C518" t="inlineStr">
        <is>
          <t>PY03</t>
        </is>
      </c>
      <c r="D518" s="30" t="n">
        <v>45821</v>
      </c>
      <c r="E518" s="35" t="n">
        <v>1412.22</v>
      </c>
      <c r="F518" s="35" t="n">
        <v>341.26</v>
      </c>
      <c r="G518" s="35" t="n">
        <v>341.26</v>
      </c>
      <c r="H518" t="inlineStr">
        <is>
          <t>Paid</t>
        </is>
      </c>
    </row>
    <row r="519">
      <c r="A519" t="inlineStr">
        <is>
          <t>CLM515913</t>
        </is>
      </c>
      <c r="B519" t="inlineStr">
        <is>
          <t>PT13652</t>
        </is>
      </c>
      <c r="C519" t="inlineStr">
        <is>
          <t>PY03</t>
        </is>
      </c>
      <c r="D519" s="30" t="n">
        <v>45823</v>
      </c>
      <c r="E519" s="35" t="n">
        <v>15056.17</v>
      </c>
      <c r="F519" s="35" t="n">
        <v>3629.84</v>
      </c>
      <c r="G519" s="35" t="n">
        <v>3629.84</v>
      </c>
      <c r="H519" t="inlineStr">
        <is>
          <t>Paid</t>
        </is>
      </c>
    </row>
    <row r="520">
      <c r="A520" t="inlineStr">
        <is>
          <t>CLM515914</t>
        </is>
      </c>
      <c r="B520" t="inlineStr">
        <is>
          <t>PT12274</t>
        </is>
      </c>
      <c r="C520" t="inlineStr">
        <is>
          <t>PY03</t>
        </is>
      </c>
      <c r="D520" s="30" t="n">
        <v>45822</v>
      </c>
      <c r="E520" s="35" t="n">
        <v>3674</v>
      </c>
      <c r="F520" s="35" t="n">
        <v>993.66</v>
      </c>
      <c r="G520" s="35" t="n">
        <v>993.66</v>
      </c>
      <c r="H520" t="inlineStr">
        <is>
          <t>Paid</t>
        </is>
      </c>
    </row>
    <row r="521">
      <c r="A521" t="inlineStr">
        <is>
          <t>CLM515918</t>
        </is>
      </c>
      <c r="B521" t="inlineStr">
        <is>
          <t>PT10219</t>
        </is>
      </c>
      <c r="C521" t="inlineStr">
        <is>
          <t>PY01</t>
        </is>
      </c>
      <c r="D521" s="30" t="n">
        <v>45823</v>
      </c>
      <c r="E521" s="35" t="n">
        <v>5139.37</v>
      </c>
      <c r="F521" s="35" t="n">
        <v>1497.43</v>
      </c>
      <c r="G521" s="35" t="n">
        <v>1406.69</v>
      </c>
      <c r="H521" t="inlineStr">
        <is>
          <t>Paid</t>
        </is>
      </c>
    </row>
    <row r="522">
      <c r="A522" t="inlineStr">
        <is>
          <t>CLM515922</t>
        </is>
      </c>
      <c r="B522" t="inlineStr">
        <is>
          <t>PT10078</t>
        </is>
      </c>
      <c r="C522" t="inlineStr">
        <is>
          <t>PY03</t>
        </is>
      </c>
      <c r="D522" s="30" t="n">
        <v>45822</v>
      </c>
      <c r="E522" s="35" t="n">
        <v>1447.01</v>
      </c>
      <c r="F522" s="35" t="n">
        <v>327.65</v>
      </c>
      <c r="G522" s="35" t="n">
        <v>327.65</v>
      </c>
      <c r="H522" t="inlineStr">
        <is>
          <t>Paid</t>
        </is>
      </c>
    </row>
    <row r="523">
      <c r="A523" t="inlineStr">
        <is>
          <t>CLM515926</t>
        </is>
      </c>
      <c r="B523" t="inlineStr">
        <is>
          <t>PT12362</t>
        </is>
      </c>
      <c r="C523" t="inlineStr">
        <is>
          <t>PY03</t>
        </is>
      </c>
      <c r="D523" s="30" t="n">
        <v>45822</v>
      </c>
      <c r="E523" s="35" t="n">
        <v>4329.45</v>
      </c>
      <c r="F523" s="35" t="n">
        <v>1126.57</v>
      </c>
      <c r="G523" s="35" t="n">
        <v>1126.57</v>
      </c>
      <c r="H523" t="inlineStr">
        <is>
          <t>Paid</t>
        </is>
      </c>
    </row>
    <row r="524">
      <c r="A524" t="inlineStr">
        <is>
          <t>CLM515928</t>
        </is>
      </c>
      <c r="B524" t="inlineStr">
        <is>
          <t>PT13035</t>
        </is>
      </c>
      <c r="C524" t="inlineStr">
        <is>
          <t>PY01</t>
        </is>
      </c>
      <c r="D524" s="30" t="n">
        <v>45825</v>
      </c>
      <c r="E524" s="35" t="n">
        <v>16485.73</v>
      </c>
      <c r="F524" s="35" t="n">
        <v>5254.35</v>
      </c>
      <c r="G524" s="35" t="n">
        <v>4654.07</v>
      </c>
      <c r="H524" t="inlineStr">
        <is>
          <t>Paid</t>
        </is>
      </c>
    </row>
    <row r="525">
      <c r="A525" t="inlineStr">
        <is>
          <t>CLM515931</t>
        </is>
      </c>
      <c r="B525" t="inlineStr">
        <is>
          <t>PT10104</t>
        </is>
      </c>
      <c r="C525" t="inlineStr">
        <is>
          <t>PY03</t>
        </is>
      </c>
      <c r="D525" s="30" t="n">
        <v>45822</v>
      </c>
      <c r="E525" s="35" t="n">
        <v>5551.63</v>
      </c>
      <c r="F525" s="35" t="n">
        <v>1289.56</v>
      </c>
      <c r="G525" s="35" t="n">
        <v>1289.56</v>
      </c>
      <c r="H525" t="inlineStr">
        <is>
          <t>Paid</t>
        </is>
      </c>
    </row>
    <row r="526">
      <c r="A526" t="inlineStr">
        <is>
          <t>CLM515935</t>
        </is>
      </c>
      <c r="B526" t="inlineStr">
        <is>
          <t>PT10662</t>
        </is>
      </c>
      <c r="C526" t="inlineStr">
        <is>
          <t>PY01</t>
        </is>
      </c>
      <c r="D526" s="30" t="n">
        <v>45822</v>
      </c>
      <c r="E526" s="35" t="n">
        <v>6873.85</v>
      </c>
      <c r="F526" s="35" t="n">
        <v>2060.95</v>
      </c>
      <c r="G526" s="35" t="n">
        <v>1919.22</v>
      </c>
      <c r="H526" t="inlineStr">
        <is>
          <t>Paid</t>
        </is>
      </c>
    </row>
    <row r="527">
      <c r="A527" t="inlineStr">
        <is>
          <t>CLM515937</t>
        </is>
      </c>
      <c r="B527" t="inlineStr">
        <is>
          <t>PT11548</t>
        </is>
      </c>
      <c r="C527" t="inlineStr">
        <is>
          <t>PY05</t>
        </is>
      </c>
      <c r="D527" s="30" t="n">
        <v>45826</v>
      </c>
      <c r="E527" s="35" t="n">
        <v>17471.2</v>
      </c>
      <c r="F527" s="35" t="n">
        <v>8972</v>
      </c>
      <c r="G527" s="35" t="n">
        <v>8032.5</v>
      </c>
      <c r="H527" t="inlineStr">
        <is>
          <t>Paid</t>
        </is>
      </c>
    </row>
    <row r="528">
      <c r="A528" t="inlineStr">
        <is>
          <t>CLM515944</t>
        </is>
      </c>
      <c r="B528" t="inlineStr">
        <is>
          <t>PT13458</t>
        </is>
      </c>
      <c r="C528" t="inlineStr">
        <is>
          <t>PY02</t>
        </is>
      </c>
      <c r="D528" s="30" t="n">
        <v>45823</v>
      </c>
      <c r="E528" s="35" t="n">
        <v>3450.37</v>
      </c>
      <c r="F528" s="35" t="n">
        <v>0</v>
      </c>
      <c r="G528" s="35" t="n">
        <v>0</v>
      </c>
      <c r="H528" t="inlineStr">
        <is>
          <t>Appealed</t>
        </is>
      </c>
      <c r="I528" t="inlineStr">
        <is>
          <t>Authorization Required</t>
        </is>
      </c>
    </row>
    <row r="529">
      <c r="A529" t="inlineStr">
        <is>
          <t>CLM515951</t>
        </is>
      </c>
      <c r="B529" t="inlineStr">
        <is>
          <t>PT10063</t>
        </is>
      </c>
      <c r="C529" t="inlineStr">
        <is>
          <t>PY02</t>
        </is>
      </c>
      <c r="D529" s="30" t="n">
        <v>45823</v>
      </c>
      <c r="E529" s="35" t="n">
        <v>4564.19</v>
      </c>
      <c r="F529" s="35" t="n">
        <v>1361.74</v>
      </c>
      <c r="G529" s="35" t="n">
        <v>1271.19</v>
      </c>
      <c r="H529" t="inlineStr">
        <is>
          <t>Paid</t>
        </is>
      </c>
    </row>
    <row r="530">
      <c r="A530" t="inlineStr">
        <is>
          <t>CLM515954</t>
        </is>
      </c>
      <c r="B530" t="inlineStr">
        <is>
          <t>PT12410</t>
        </is>
      </c>
      <c r="C530" t="inlineStr">
        <is>
          <t>PY05</t>
        </is>
      </c>
      <c r="D530" s="30" t="n">
        <v>45823</v>
      </c>
      <c r="E530" s="35" t="n">
        <v>819.1</v>
      </c>
      <c r="F530" s="35" t="n">
        <v>387.3</v>
      </c>
      <c r="G530" s="35" t="n">
        <v>349.83</v>
      </c>
      <c r="H530" t="inlineStr">
        <is>
          <t>Paid</t>
        </is>
      </c>
    </row>
    <row r="531">
      <c r="A531" t="inlineStr">
        <is>
          <t>CLM515971</t>
        </is>
      </c>
      <c r="B531" t="inlineStr">
        <is>
          <t>PT11524</t>
        </is>
      </c>
      <c r="C531" t="inlineStr">
        <is>
          <t>PY08</t>
        </is>
      </c>
      <c r="D531" s="30" t="n">
        <v>45824</v>
      </c>
      <c r="E531" s="35" t="n">
        <v>4824.81</v>
      </c>
      <c r="F531" s="35" t="n">
        <v>3026.67</v>
      </c>
      <c r="G531" s="35" t="n">
        <v>3026.67</v>
      </c>
      <c r="H531" t="inlineStr">
        <is>
          <t>Paid</t>
        </is>
      </c>
    </row>
    <row r="532">
      <c r="A532" t="inlineStr">
        <is>
          <t>CLM515985</t>
        </is>
      </c>
      <c r="B532" t="inlineStr">
        <is>
          <t>PT11716</t>
        </is>
      </c>
      <c r="C532" t="inlineStr">
        <is>
          <t>PY02</t>
        </is>
      </c>
      <c r="D532" s="30" t="n">
        <v>45827</v>
      </c>
      <c r="E532" s="35" t="n">
        <v>20912.24</v>
      </c>
      <c r="F532" s="35" t="n">
        <v>6916.59</v>
      </c>
      <c r="G532" s="35" t="n">
        <v>2736.5</v>
      </c>
      <c r="H532" t="inlineStr">
        <is>
          <t>Partially Paid</t>
        </is>
      </c>
      <c r="I532" t="inlineStr">
        <is>
          <t>Medical Necessity</t>
        </is>
      </c>
    </row>
    <row r="533">
      <c r="A533" t="inlineStr">
        <is>
          <t>CLM515988</t>
        </is>
      </c>
      <c r="B533" t="inlineStr">
        <is>
          <t>PT13008</t>
        </is>
      </c>
      <c r="C533" t="inlineStr">
        <is>
          <t>PY07</t>
        </is>
      </c>
      <c r="D533" s="30" t="n">
        <v>45827</v>
      </c>
      <c r="E533" s="35" t="n">
        <v>13568.23</v>
      </c>
      <c r="F533" s="35" t="n">
        <v>4789.02</v>
      </c>
      <c r="G533" s="35" t="n">
        <v>0</v>
      </c>
      <c r="H533" t="inlineStr">
        <is>
          <t>Pending</t>
        </is>
      </c>
    </row>
    <row r="534">
      <c r="A534" t="inlineStr">
        <is>
          <t>CLM515990</t>
        </is>
      </c>
      <c r="B534" t="inlineStr">
        <is>
          <t>PT12444</t>
        </is>
      </c>
      <c r="C534" t="inlineStr">
        <is>
          <t>PY04</t>
        </is>
      </c>
      <c r="D534" s="30" t="n">
        <v>45825</v>
      </c>
      <c r="E534" s="35" t="n">
        <v>2828.39</v>
      </c>
      <c r="F534" s="35" t="n">
        <v>1610.52</v>
      </c>
      <c r="G534" s="35" t="n">
        <v>1303.99</v>
      </c>
      <c r="H534" t="inlineStr">
        <is>
          <t>Paid</t>
        </is>
      </c>
    </row>
    <row r="535">
      <c r="A535" t="inlineStr">
        <is>
          <t>CLM516012</t>
        </is>
      </c>
      <c r="B535" t="inlineStr">
        <is>
          <t>PT11835</t>
        </is>
      </c>
      <c r="C535" t="inlineStr">
        <is>
          <t>PY05</t>
        </is>
      </c>
      <c r="D535" s="30" t="n">
        <v>45825</v>
      </c>
      <c r="E535" s="35" t="n">
        <v>2940.26</v>
      </c>
      <c r="F535" s="35" t="n">
        <v>1337.97</v>
      </c>
      <c r="G535" s="35" t="n">
        <v>1145.3</v>
      </c>
      <c r="H535" t="inlineStr">
        <is>
          <t>Paid</t>
        </is>
      </c>
    </row>
    <row r="536">
      <c r="A536" t="inlineStr">
        <is>
          <t>CLM516020</t>
        </is>
      </c>
      <c r="B536" t="inlineStr">
        <is>
          <t>PT13661</t>
        </is>
      </c>
      <c r="C536" t="inlineStr">
        <is>
          <t>PY04</t>
        </is>
      </c>
      <c r="D536" s="30" t="n">
        <v>45835</v>
      </c>
      <c r="E536" s="35" t="n">
        <v>54267.63</v>
      </c>
      <c r="F536" s="35" t="n">
        <v>30719.28</v>
      </c>
      <c r="G536" s="35" t="n">
        <v>25981.39</v>
      </c>
      <c r="H536" t="inlineStr">
        <is>
          <t>Paid</t>
        </is>
      </c>
    </row>
    <row r="537">
      <c r="A537" t="inlineStr">
        <is>
          <t>CLM516024</t>
        </is>
      </c>
      <c r="B537" t="inlineStr">
        <is>
          <t>PT12513</t>
        </is>
      </c>
      <c r="C537" t="inlineStr">
        <is>
          <t>PY02</t>
        </is>
      </c>
      <c r="D537" s="30" t="n">
        <v>45826</v>
      </c>
      <c r="E537" s="35" t="n">
        <v>4296.5</v>
      </c>
      <c r="F537" s="35" t="n">
        <v>1582.52</v>
      </c>
      <c r="G537" s="35" t="n">
        <v>1521.03</v>
      </c>
      <c r="H537" t="inlineStr">
        <is>
          <t>Paid</t>
        </is>
      </c>
    </row>
    <row r="538">
      <c r="A538" t="inlineStr">
        <is>
          <t>CLM516027</t>
        </is>
      </c>
      <c r="B538" t="inlineStr">
        <is>
          <t>PT10966</t>
        </is>
      </c>
      <c r="C538" t="inlineStr">
        <is>
          <t>PY04</t>
        </is>
      </c>
      <c r="D538" s="30" t="n">
        <v>45826</v>
      </c>
      <c r="E538" s="35" t="n">
        <v>3138.88</v>
      </c>
      <c r="F538" s="35" t="n">
        <v>0</v>
      </c>
      <c r="G538" s="35" t="n">
        <v>0</v>
      </c>
      <c r="H538" t="inlineStr">
        <is>
          <t>Denied</t>
        </is>
      </c>
      <c r="I538" t="inlineStr">
        <is>
          <t>Timely Filing</t>
        </is>
      </c>
    </row>
    <row r="539">
      <c r="A539" t="inlineStr">
        <is>
          <t>CLM516045</t>
        </is>
      </c>
      <c r="B539" t="inlineStr">
        <is>
          <t>PT11310</t>
        </is>
      </c>
      <c r="C539" t="inlineStr">
        <is>
          <t>PY01</t>
        </is>
      </c>
      <c r="D539" s="30" t="n">
        <v>45826</v>
      </c>
      <c r="E539" s="35" t="n">
        <v>3109.35</v>
      </c>
      <c r="F539" s="35" t="n">
        <v>1013.84</v>
      </c>
      <c r="G539" s="35" t="n">
        <v>988.27</v>
      </c>
      <c r="H539" t="inlineStr">
        <is>
          <t>Paid</t>
        </is>
      </c>
    </row>
    <row r="540">
      <c r="A540" t="inlineStr">
        <is>
          <t>CLM516047</t>
        </is>
      </c>
      <c r="B540" t="inlineStr">
        <is>
          <t>PT12826</t>
        </is>
      </c>
      <c r="C540" t="inlineStr">
        <is>
          <t>PY01</t>
        </is>
      </c>
      <c r="D540" s="30" t="n">
        <v>45831</v>
      </c>
      <c r="E540" s="35" t="n">
        <v>24397.28</v>
      </c>
      <c r="F540" s="35" t="n">
        <v>0</v>
      </c>
      <c r="G540" s="35" t="n">
        <v>0</v>
      </c>
      <c r="H540" t="inlineStr">
        <is>
          <t>Denied</t>
        </is>
      </c>
      <c r="I540" t="inlineStr">
        <is>
          <t>Authorization Required</t>
        </is>
      </c>
    </row>
    <row r="541">
      <c r="A541" t="inlineStr">
        <is>
          <t>CLM516053</t>
        </is>
      </c>
      <c r="B541" t="inlineStr">
        <is>
          <t>PT13177</t>
        </is>
      </c>
      <c r="C541" t="inlineStr">
        <is>
          <t>PY01</t>
        </is>
      </c>
      <c r="D541" s="30" t="n">
        <v>45832</v>
      </c>
      <c r="E541" s="35" t="n">
        <v>36645.35</v>
      </c>
      <c r="F541" s="35" t="n">
        <v>12381.46</v>
      </c>
      <c r="G541" s="35" t="n">
        <v>10710.04</v>
      </c>
      <c r="H541" t="inlineStr">
        <is>
          <t>Paid</t>
        </is>
      </c>
    </row>
    <row r="542">
      <c r="A542" t="inlineStr">
        <is>
          <t>CLM516067</t>
        </is>
      </c>
      <c r="B542" t="inlineStr">
        <is>
          <t>PT10463</t>
        </is>
      </c>
      <c r="C542" t="inlineStr">
        <is>
          <t>PY02</t>
        </is>
      </c>
      <c r="D542" s="30" t="n">
        <v>45827</v>
      </c>
      <c r="E542" s="35" t="n">
        <v>642.78</v>
      </c>
      <c r="F542" s="35" t="n">
        <v>222.88</v>
      </c>
      <c r="G542" s="35" t="n">
        <v>179.79</v>
      </c>
      <c r="H542" t="inlineStr">
        <is>
          <t>Partially Paid</t>
        </is>
      </c>
      <c r="I542" t="inlineStr">
        <is>
          <t>Medical Necessity</t>
        </is>
      </c>
    </row>
    <row r="543">
      <c r="A543" t="inlineStr">
        <is>
          <t>CLM516070</t>
        </is>
      </c>
      <c r="B543" t="inlineStr">
        <is>
          <t>PT12818</t>
        </is>
      </c>
      <c r="C543" t="inlineStr">
        <is>
          <t>PY02</t>
        </is>
      </c>
      <c r="D543" s="30" t="n">
        <v>45832</v>
      </c>
      <c r="E543" s="35" t="n">
        <v>55943.42</v>
      </c>
      <c r="F543" s="35" t="n">
        <v>16526.74</v>
      </c>
      <c r="G543" s="35" t="n">
        <v>15436.26</v>
      </c>
      <c r="H543" t="inlineStr">
        <is>
          <t>Paid</t>
        </is>
      </c>
    </row>
    <row r="544">
      <c r="A544" t="inlineStr">
        <is>
          <t>CLM516092</t>
        </is>
      </c>
      <c r="B544" t="inlineStr">
        <is>
          <t>PT11753</t>
        </is>
      </c>
      <c r="C544" t="inlineStr">
        <is>
          <t>PY03</t>
        </is>
      </c>
      <c r="D544" s="30" t="n">
        <v>45830</v>
      </c>
      <c r="E544" s="35" t="n">
        <v>14637.44</v>
      </c>
      <c r="F544" s="35" t="n">
        <v>3285.71</v>
      </c>
      <c r="G544" s="35" t="n">
        <v>3285.71</v>
      </c>
      <c r="H544" t="inlineStr">
        <is>
          <t>Paid</t>
        </is>
      </c>
    </row>
    <row r="545">
      <c r="A545" t="inlineStr">
        <is>
          <t>CLM516095</t>
        </is>
      </c>
      <c r="B545" t="inlineStr">
        <is>
          <t>PT12295</t>
        </is>
      </c>
      <c r="C545" t="inlineStr">
        <is>
          <t>PY01</t>
        </is>
      </c>
      <c r="D545" s="30" t="n">
        <v>45828</v>
      </c>
      <c r="E545" s="35" t="n">
        <v>2584.15</v>
      </c>
      <c r="F545" s="35" t="n">
        <v>810.25</v>
      </c>
      <c r="G545" s="35" t="n">
        <v>715.64</v>
      </c>
      <c r="H545" t="inlineStr">
        <is>
          <t>Paid</t>
        </is>
      </c>
    </row>
    <row r="546">
      <c r="A546" t="inlineStr">
        <is>
          <t>CLM516113</t>
        </is>
      </c>
      <c r="B546" t="inlineStr">
        <is>
          <t>PT10181</t>
        </is>
      </c>
      <c r="C546" t="inlineStr">
        <is>
          <t>PY04</t>
        </is>
      </c>
      <c r="D546" s="30" t="n">
        <v>45828</v>
      </c>
      <c r="E546" s="35" t="n">
        <v>2870.37</v>
      </c>
      <c r="F546" s="35" t="n">
        <v>1449.22</v>
      </c>
      <c r="G546" s="35" t="n">
        <v>1360.8</v>
      </c>
      <c r="H546" t="inlineStr">
        <is>
          <t>Paid</t>
        </is>
      </c>
    </row>
    <row r="547">
      <c r="A547" t="inlineStr">
        <is>
          <t>CLM516129</t>
        </is>
      </c>
      <c r="B547" t="inlineStr">
        <is>
          <t>PT10037</t>
        </is>
      </c>
      <c r="C547" t="inlineStr">
        <is>
          <t>PY02</t>
        </is>
      </c>
      <c r="D547" s="30" t="n">
        <v>45831</v>
      </c>
      <c r="E547" s="35" t="n">
        <v>13840.33</v>
      </c>
      <c r="F547" s="35" t="n">
        <v>4756.94</v>
      </c>
      <c r="G547" s="35" t="n">
        <v>4523.24</v>
      </c>
      <c r="H547" t="inlineStr">
        <is>
          <t>Paid</t>
        </is>
      </c>
    </row>
    <row r="548">
      <c r="A548" t="inlineStr">
        <is>
          <t>CLM516134</t>
        </is>
      </c>
      <c r="B548" t="inlineStr">
        <is>
          <t>PT10622</t>
        </is>
      </c>
      <c r="C548" t="inlineStr">
        <is>
          <t>PY03</t>
        </is>
      </c>
      <c r="D548" s="30" t="n">
        <v>45831</v>
      </c>
      <c r="E548" s="35" t="n">
        <v>21772.61</v>
      </c>
      <c r="F548" s="35" t="n">
        <v>5099.97</v>
      </c>
      <c r="G548" s="35" t="n">
        <v>5099.97</v>
      </c>
      <c r="H548" t="inlineStr">
        <is>
          <t>Paid</t>
        </is>
      </c>
    </row>
    <row r="549">
      <c r="A549" t="inlineStr">
        <is>
          <t>CLM516144</t>
        </is>
      </c>
      <c r="B549" t="inlineStr">
        <is>
          <t>PT11252</t>
        </is>
      </c>
      <c r="C549" t="inlineStr">
        <is>
          <t>PY01</t>
        </is>
      </c>
      <c r="D549" s="30" t="n">
        <v>45830</v>
      </c>
      <c r="E549" s="35" t="n">
        <v>522.4299999999999</v>
      </c>
      <c r="F549" s="35" t="n">
        <v>151.55</v>
      </c>
      <c r="G549" s="35" t="n">
        <v>130.81</v>
      </c>
      <c r="H549" t="inlineStr">
        <is>
          <t>Paid</t>
        </is>
      </c>
    </row>
    <row r="550">
      <c r="A550" t="inlineStr">
        <is>
          <t>CLM516145</t>
        </is>
      </c>
      <c r="B550" t="inlineStr">
        <is>
          <t>PT10547</t>
        </is>
      </c>
      <c r="C550" t="inlineStr">
        <is>
          <t>PY04</t>
        </is>
      </c>
      <c r="D550" s="30" t="n">
        <v>45834</v>
      </c>
      <c r="E550" s="35" t="n">
        <v>13899.24</v>
      </c>
      <c r="F550" s="35" t="n">
        <v>7150.96</v>
      </c>
      <c r="G550" s="35" t="n">
        <v>6796.54</v>
      </c>
      <c r="H550" t="inlineStr">
        <is>
          <t>Paid</t>
        </is>
      </c>
    </row>
    <row r="551">
      <c r="A551" t="inlineStr">
        <is>
          <t>CLM516150</t>
        </is>
      </c>
      <c r="B551" t="inlineStr">
        <is>
          <t>PT11727</t>
        </is>
      </c>
      <c r="C551" t="inlineStr">
        <is>
          <t>PY06</t>
        </is>
      </c>
      <c r="D551" s="30" t="n">
        <v>45830</v>
      </c>
      <c r="E551" s="35" t="n">
        <v>2354.76</v>
      </c>
      <c r="F551" s="35" t="n">
        <v>1305.65</v>
      </c>
      <c r="G551" s="35" t="n">
        <v>1238.4</v>
      </c>
      <c r="H551" t="inlineStr">
        <is>
          <t>Paid</t>
        </is>
      </c>
    </row>
    <row r="552">
      <c r="A552" t="inlineStr">
        <is>
          <t>CLM516163</t>
        </is>
      </c>
      <c r="B552" t="inlineStr">
        <is>
          <t>PT10686</t>
        </is>
      </c>
      <c r="C552" t="inlineStr">
        <is>
          <t>PY05</t>
        </is>
      </c>
      <c r="D552" s="30" t="n">
        <v>45832</v>
      </c>
      <c r="E552" s="35" t="n">
        <v>9819.91</v>
      </c>
      <c r="F552" s="35" t="n">
        <v>4846</v>
      </c>
      <c r="G552" s="35" t="n">
        <v>4204.6</v>
      </c>
      <c r="H552" t="inlineStr">
        <is>
          <t>Paid</t>
        </is>
      </c>
    </row>
    <row r="553">
      <c r="A553" t="inlineStr">
        <is>
          <t>CLM516190</t>
        </is>
      </c>
      <c r="B553" t="inlineStr">
        <is>
          <t>PT12026</t>
        </is>
      </c>
      <c r="C553" t="inlineStr">
        <is>
          <t>PY02</t>
        </is>
      </c>
      <c r="D553" s="30" t="n">
        <v>45836</v>
      </c>
      <c r="E553" s="35" t="n">
        <v>20782.29</v>
      </c>
      <c r="F553" s="35" t="n">
        <v>6448.82</v>
      </c>
      <c r="G553" s="35" t="n">
        <v>6094.35</v>
      </c>
      <c r="H553" t="inlineStr">
        <is>
          <t>Paid</t>
        </is>
      </c>
    </row>
    <row r="554">
      <c r="A554" t="inlineStr">
        <is>
          <t>CLM516192</t>
        </is>
      </c>
      <c r="B554" t="inlineStr">
        <is>
          <t>PT12469</t>
        </is>
      </c>
      <c r="C554" t="inlineStr">
        <is>
          <t>PY01</t>
        </is>
      </c>
      <c r="D554" s="30" t="n">
        <v>45831</v>
      </c>
      <c r="E554" s="35" t="n">
        <v>3609.75</v>
      </c>
      <c r="F554" s="35" t="n">
        <v>1070.29</v>
      </c>
      <c r="G554" s="35" t="n">
        <v>973.42</v>
      </c>
      <c r="H554" t="inlineStr">
        <is>
          <t>Paid</t>
        </is>
      </c>
    </row>
    <row r="555">
      <c r="A555" t="inlineStr">
        <is>
          <t>CLM516194</t>
        </is>
      </c>
      <c r="B555" t="inlineStr">
        <is>
          <t>PT10814</t>
        </is>
      </c>
      <c r="C555" t="inlineStr">
        <is>
          <t>PY08</t>
        </is>
      </c>
      <c r="D555" s="30" t="n">
        <v>45831</v>
      </c>
      <c r="E555" s="35" t="n">
        <v>1745.16</v>
      </c>
      <c r="F555" s="35" t="n">
        <v>1103.97</v>
      </c>
      <c r="G555" s="35" t="n">
        <v>1103.97</v>
      </c>
      <c r="H555" t="inlineStr">
        <is>
          <t>Paid</t>
        </is>
      </c>
    </row>
    <row r="556">
      <c r="A556" t="inlineStr">
        <is>
          <t>CLM516197</t>
        </is>
      </c>
      <c r="B556" t="inlineStr">
        <is>
          <t>PT11534</t>
        </is>
      </c>
      <c r="C556" t="inlineStr">
        <is>
          <t>PY04</t>
        </is>
      </c>
      <c r="D556" s="30" t="n">
        <v>45836</v>
      </c>
      <c r="E556" s="35" t="n">
        <v>45852.8</v>
      </c>
      <c r="F556" s="35" t="n">
        <v>25467.91</v>
      </c>
      <c r="G556" s="35" t="n">
        <v>22588.67</v>
      </c>
      <c r="H556" t="inlineStr">
        <is>
          <t>Paid</t>
        </is>
      </c>
    </row>
    <row r="557">
      <c r="A557" t="inlineStr">
        <is>
          <t>CLM516208</t>
        </is>
      </c>
      <c r="B557" t="inlineStr">
        <is>
          <t>PT12483</t>
        </is>
      </c>
      <c r="C557" t="inlineStr">
        <is>
          <t>PY04</t>
        </is>
      </c>
      <c r="D557" s="30" t="n">
        <v>45832</v>
      </c>
      <c r="E557" s="35" t="n">
        <v>1653.06</v>
      </c>
      <c r="F557" s="35" t="n">
        <v>827.51</v>
      </c>
      <c r="G557" s="35" t="n">
        <v>631.55</v>
      </c>
      <c r="H557" t="inlineStr">
        <is>
          <t>Partially Paid</t>
        </is>
      </c>
      <c r="I557" t="inlineStr">
        <is>
          <t>Coding Error</t>
        </is>
      </c>
    </row>
    <row r="558">
      <c r="A558" t="inlineStr">
        <is>
          <t>CLM516209</t>
        </is>
      </c>
      <c r="B558" t="inlineStr">
        <is>
          <t>PT12409</t>
        </is>
      </c>
      <c r="C558" t="inlineStr">
        <is>
          <t>PY04</t>
        </is>
      </c>
      <c r="D558" s="30" t="n">
        <v>45832</v>
      </c>
      <c r="E558" s="35" t="n">
        <v>1285.74</v>
      </c>
      <c r="F558" s="35" t="n">
        <v>664.53</v>
      </c>
      <c r="G558" s="35" t="n">
        <v>578.66</v>
      </c>
      <c r="H558" t="inlineStr">
        <is>
          <t>Paid</t>
        </is>
      </c>
    </row>
    <row r="559">
      <c r="A559" t="inlineStr">
        <is>
          <t>CLM516211</t>
        </is>
      </c>
      <c r="B559" t="inlineStr">
        <is>
          <t>PT13601</t>
        </is>
      </c>
      <c r="C559" t="inlineStr">
        <is>
          <t>PY03</t>
        </is>
      </c>
      <c r="D559" s="30" t="n">
        <v>45832</v>
      </c>
      <c r="E559" s="35" t="n">
        <v>3445.81</v>
      </c>
      <c r="F559" s="35" t="n">
        <v>0</v>
      </c>
      <c r="G559" s="35" t="n">
        <v>0</v>
      </c>
      <c r="H559" t="inlineStr">
        <is>
          <t>Denied</t>
        </is>
      </c>
      <c r="I559" t="inlineStr">
        <is>
          <t>Authorization Required</t>
        </is>
      </c>
    </row>
    <row r="560">
      <c r="A560" t="inlineStr">
        <is>
          <t>CLM516232</t>
        </is>
      </c>
      <c r="B560" t="inlineStr">
        <is>
          <t>PT12264</t>
        </is>
      </c>
      <c r="C560" t="inlineStr">
        <is>
          <t>PY01</t>
        </is>
      </c>
      <c r="D560" s="30" t="n">
        <v>45832</v>
      </c>
      <c r="E560" s="35" t="n">
        <v>6384.9</v>
      </c>
      <c r="F560" s="35" t="n">
        <v>1991.6</v>
      </c>
      <c r="G560" s="35" t="n">
        <v>1851.38</v>
      </c>
      <c r="H560" t="inlineStr">
        <is>
          <t>Paid</t>
        </is>
      </c>
    </row>
    <row r="561">
      <c r="A561" t="inlineStr">
        <is>
          <t>CLM516236</t>
        </is>
      </c>
      <c r="B561" t="inlineStr">
        <is>
          <t>PT13571</t>
        </is>
      </c>
      <c r="C561" t="inlineStr">
        <is>
          <t>PY07</t>
        </is>
      </c>
      <c r="D561" s="30" t="n">
        <v>45835</v>
      </c>
      <c r="E561" s="35" t="n">
        <v>24504.15</v>
      </c>
      <c r="F561" s="35" t="n">
        <v>10343.54</v>
      </c>
      <c r="G561" s="35" t="n">
        <v>10343.54</v>
      </c>
      <c r="H561" t="inlineStr">
        <is>
          <t>Paid</t>
        </is>
      </c>
    </row>
    <row r="562">
      <c r="A562" t="inlineStr">
        <is>
          <t>CLM516249</t>
        </is>
      </c>
      <c r="B562" t="inlineStr">
        <is>
          <t>PT12963</t>
        </is>
      </c>
      <c r="C562" t="inlineStr">
        <is>
          <t>PY01</t>
        </is>
      </c>
      <c r="D562" s="30" t="n">
        <v>45840</v>
      </c>
      <c r="E562" s="35" t="n">
        <v>22695.75</v>
      </c>
      <c r="F562" s="35" t="n">
        <v>7607.09</v>
      </c>
      <c r="G562" s="35" t="n">
        <v>7600.84</v>
      </c>
      <c r="H562" t="inlineStr">
        <is>
          <t>Paid</t>
        </is>
      </c>
    </row>
    <row r="563">
      <c r="A563" t="inlineStr">
        <is>
          <t>CLM516265</t>
        </is>
      </c>
      <c r="B563" t="inlineStr">
        <is>
          <t>PT12299</t>
        </is>
      </c>
      <c r="C563" t="inlineStr">
        <is>
          <t>PY02</t>
        </is>
      </c>
      <c r="D563" s="30" t="n">
        <v>45842</v>
      </c>
      <c r="E563" s="35" t="n">
        <v>84006.09</v>
      </c>
      <c r="F563" s="35" t="n">
        <v>29497.77</v>
      </c>
      <c r="G563" s="35" t="n">
        <v>28181.39</v>
      </c>
      <c r="H563" t="inlineStr">
        <is>
          <t>Paid</t>
        </is>
      </c>
    </row>
    <row r="564">
      <c r="A564" t="inlineStr">
        <is>
          <t>CLM516275</t>
        </is>
      </c>
      <c r="B564" t="inlineStr">
        <is>
          <t>PT11437</t>
        </is>
      </c>
      <c r="C564" t="inlineStr">
        <is>
          <t>PY02</t>
        </is>
      </c>
      <c r="D564" s="30" t="n">
        <v>45836</v>
      </c>
      <c r="E564" s="35" t="n">
        <v>9851.059999999999</v>
      </c>
      <c r="F564" s="35" t="n">
        <v>3105.05</v>
      </c>
      <c r="G564" s="35" t="n">
        <v>2815.46</v>
      </c>
      <c r="H564" t="inlineStr">
        <is>
          <t>Paid</t>
        </is>
      </c>
    </row>
    <row r="565">
      <c r="A565" t="inlineStr">
        <is>
          <t>CLM516303</t>
        </is>
      </c>
      <c r="B565" t="inlineStr">
        <is>
          <t>PT11641</t>
        </is>
      </c>
      <c r="C565" t="inlineStr">
        <is>
          <t>PY06</t>
        </is>
      </c>
      <c r="D565" s="30" t="n">
        <v>45835</v>
      </c>
      <c r="E565" s="35" t="n">
        <v>1071.48</v>
      </c>
      <c r="F565" s="35" t="n">
        <v>622.8200000000001</v>
      </c>
      <c r="G565" s="35" t="n">
        <v>574.3</v>
      </c>
      <c r="H565" t="inlineStr">
        <is>
          <t>Paid</t>
        </is>
      </c>
    </row>
    <row r="566">
      <c r="A566" t="inlineStr">
        <is>
          <t>CLM516309</t>
        </is>
      </c>
      <c r="B566" t="inlineStr">
        <is>
          <t>PT13311</t>
        </is>
      </c>
      <c r="C566" t="inlineStr">
        <is>
          <t>PY03</t>
        </is>
      </c>
      <c r="D566" s="30" t="n">
        <v>45838</v>
      </c>
      <c r="E566" s="35" t="n">
        <v>14721.37</v>
      </c>
      <c r="F566" s="35" t="n">
        <v>0</v>
      </c>
      <c r="G566" s="35" t="n">
        <v>0</v>
      </c>
      <c r="H566" t="inlineStr">
        <is>
          <t>Denied</t>
        </is>
      </c>
      <c r="I566" t="inlineStr">
        <is>
          <t>Authorization Required</t>
        </is>
      </c>
    </row>
    <row r="567">
      <c r="A567" t="inlineStr">
        <is>
          <t>CLM516314</t>
        </is>
      </c>
      <c r="B567" t="inlineStr">
        <is>
          <t>PT12453</t>
        </is>
      </c>
      <c r="C567" t="inlineStr">
        <is>
          <t>PY06</t>
        </is>
      </c>
      <c r="D567" s="30" t="n">
        <v>45835</v>
      </c>
      <c r="E567" s="35" t="n">
        <v>4811.16</v>
      </c>
      <c r="F567" s="35" t="n">
        <v>2783.41</v>
      </c>
      <c r="G567" s="35" t="n">
        <v>2547.26</v>
      </c>
      <c r="H567" t="inlineStr">
        <is>
          <t>Paid</t>
        </is>
      </c>
    </row>
    <row r="568">
      <c r="A568" t="inlineStr">
        <is>
          <t>CLM516321</t>
        </is>
      </c>
      <c r="B568" t="inlineStr">
        <is>
          <t>PT11348</t>
        </is>
      </c>
      <c r="C568" t="inlineStr">
        <is>
          <t>PY05</t>
        </is>
      </c>
      <c r="D568" s="30" t="n">
        <v>45849</v>
      </c>
      <c r="E568" s="35" t="n">
        <v>118752.41</v>
      </c>
      <c r="F568" s="35" t="n">
        <v>62935.92</v>
      </c>
      <c r="G568" s="35" t="n">
        <v>52209.23</v>
      </c>
      <c r="H568" t="inlineStr">
        <is>
          <t>Paid</t>
        </is>
      </c>
    </row>
    <row r="569">
      <c r="A569" t="inlineStr">
        <is>
          <t>CLM516340</t>
        </is>
      </c>
      <c r="B569" t="inlineStr">
        <is>
          <t>PT13170</t>
        </is>
      </c>
      <c r="C569" t="inlineStr">
        <is>
          <t>PY03</t>
        </is>
      </c>
      <c r="D569" s="30" t="n">
        <v>45836</v>
      </c>
      <c r="E569" s="35" t="n">
        <v>796.62</v>
      </c>
      <c r="F569" s="35" t="n">
        <v>207.06</v>
      </c>
      <c r="G569" s="35" t="n">
        <v>207.06</v>
      </c>
      <c r="H569" t="inlineStr">
        <is>
          <t>Paid</t>
        </is>
      </c>
    </row>
    <row r="570">
      <c r="A570" t="inlineStr">
        <is>
          <t>CLM516348</t>
        </is>
      </c>
      <c r="B570" t="inlineStr">
        <is>
          <t>PT10663</t>
        </is>
      </c>
      <c r="C570" t="inlineStr">
        <is>
          <t>PY02</t>
        </is>
      </c>
      <c r="D570" s="30" t="n">
        <v>45839</v>
      </c>
      <c r="E570" s="35" t="n">
        <v>19018.42</v>
      </c>
      <c r="F570" s="35" t="n">
        <v>5754.95</v>
      </c>
      <c r="G570" s="35" t="n">
        <v>5348.67</v>
      </c>
      <c r="H570" t="inlineStr">
        <is>
          <t>Paid</t>
        </is>
      </c>
    </row>
    <row r="571">
      <c r="A571" t="inlineStr">
        <is>
          <t>CLM516353</t>
        </is>
      </c>
      <c r="B571" t="inlineStr">
        <is>
          <t>PT12054</t>
        </is>
      </c>
      <c r="C571" t="inlineStr">
        <is>
          <t>PY04</t>
        </is>
      </c>
      <c r="D571" s="30" t="n">
        <v>45836</v>
      </c>
      <c r="E571" s="35" t="n">
        <v>1688.43</v>
      </c>
      <c r="F571" s="35" t="n">
        <v>848.85</v>
      </c>
      <c r="G571" s="35" t="n">
        <v>770.4</v>
      </c>
      <c r="H571" t="inlineStr">
        <is>
          <t>Paid</t>
        </is>
      </c>
    </row>
    <row r="572">
      <c r="A572" t="inlineStr">
        <is>
          <t>CLM516354</t>
        </is>
      </c>
      <c r="B572" t="inlineStr">
        <is>
          <t>PT10686</t>
        </is>
      </c>
      <c r="C572" t="inlineStr">
        <is>
          <t>PY05</t>
        </is>
      </c>
      <c r="D572" s="30" t="n">
        <v>45840</v>
      </c>
      <c r="E572" s="35" t="n">
        <v>41309.14</v>
      </c>
      <c r="F572" s="35" t="n">
        <v>18205.15</v>
      </c>
      <c r="G572" s="35" t="n">
        <v>17623.89</v>
      </c>
      <c r="H572" t="inlineStr">
        <is>
          <t>Paid</t>
        </is>
      </c>
    </row>
    <row r="573">
      <c r="A573" t="inlineStr">
        <is>
          <t>CLM516359</t>
        </is>
      </c>
      <c r="B573" t="inlineStr">
        <is>
          <t>PT13522</t>
        </is>
      </c>
      <c r="C573" t="inlineStr">
        <is>
          <t>PY05</t>
        </is>
      </c>
      <c r="D573" s="30" t="n">
        <v>45837</v>
      </c>
      <c r="E573" s="35" t="n">
        <v>755.5599999999999</v>
      </c>
      <c r="F573" s="35" t="n">
        <v>347.74</v>
      </c>
      <c r="G573" s="35" t="n">
        <v>308.66</v>
      </c>
      <c r="H573" t="inlineStr">
        <is>
          <t>Paid</t>
        </is>
      </c>
    </row>
    <row r="574">
      <c r="A574" t="inlineStr">
        <is>
          <t>CLM516366</t>
        </is>
      </c>
      <c r="B574" t="inlineStr">
        <is>
          <t>PT11409</t>
        </is>
      </c>
      <c r="C574" t="inlineStr">
        <is>
          <t>PY03</t>
        </is>
      </c>
      <c r="D574" s="30" t="n">
        <v>45837</v>
      </c>
      <c r="E574" s="35" t="n">
        <v>970.08</v>
      </c>
      <c r="F574" s="35" t="n">
        <v>236.07</v>
      </c>
      <c r="G574" s="35" t="n">
        <v>236.07</v>
      </c>
      <c r="H574" t="inlineStr">
        <is>
          <t>Paid</t>
        </is>
      </c>
    </row>
    <row r="575">
      <c r="A575" t="inlineStr">
        <is>
          <t>CLM516367</t>
        </is>
      </c>
      <c r="B575" t="inlineStr">
        <is>
          <t>PT12982</t>
        </is>
      </c>
      <c r="C575" t="inlineStr">
        <is>
          <t>PY02</t>
        </is>
      </c>
      <c r="D575" s="30" t="n">
        <v>45844</v>
      </c>
      <c r="E575" s="35" t="n">
        <v>92192.25</v>
      </c>
      <c r="F575" s="35" t="n">
        <v>0</v>
      </c>
      <c r="G575" s="35" t="n">
        <v>0</v>
      </c>
      <c r="H575" t="inlineStr">
        <is>
          <t>Denied</t>
        </is>
      </c>
      <c r="I575" t="inlineStr">
        <is>
          <t>Coding Error</t>
        </is>
      </c>
    </row>
    <row r="576">
      <c r="A576" t="inlineStr">
        <is>
          <t>CLM516368</t>
        </is>
      </c>
      <c r="B576" t="inlineStr">
        <is>
          <t>PT13090</t>
        </is>
      </c>
      <c r="C576" t="inlineStr">
        <is>
          <t>PY01</t>
        </is>
      </c>
      <c r="D576" s="30" t="n">
        <v>45839</v>
      </c>
      <c r="E576" s="35" t="n">
        <v>12146.59</v>
      </c>
      <c r="F576" s="35" t="n">
        <v>3720.7</v>
      </c>
      <c r="G576" s="35" t="n">
        <v>3396.94</v>
      </c>
      <c r="H576" t="inlineStr">
        <is>
          <t>Paid</t>
        </is>
      </c>
    </row>
    <row r="577">
      <c r="A577" t="inlineStr">
        <is>
          <t>CLM516394</t>
        </is>
      </c>
      <c r="B577" t="inlineStr">
        <is>
          <t>PT10891</t>
        </is>
      </c>
      <c r="C577" t="inlineStr">
        <is>
          <t>PY01</t>
        </is>
      </c>
      <c r="D577" s="30" t="n">
        <v>45838</v>
      </c>
      <c r="E577" s="35" t="n">
        <v>1757.02</v>
      </c>
      <c r="F577" s="35" t="n">
        <v>583.36</v>
      </c>
      <c r="G577" s="35" t="n">
        <v>575.67</v>
      </c>
      <c r="H577" t="inlineStr">
        <is>
          <t>Paid</t>
        </is>
      </c>
    </row>
    <row r="578">
      <c r="A578" t="inlineStr">
        <is>
          <t>CLM516407</t>
        </is>
      </c>
      <c r="B578" t="inlineStr">
        <is>
          <t>PT11447</t>
        </is>
      </c>
      <c r="C578" t="inlineStr">
        <is>
          <t>PY06</t>
        </is>
      </c>
      <c r="D578" s="30" t="n">
        <v>45840</v>
      </c>
      <c r="E578" s="35" t="n">
        <v>7532.77</v>
      </c>
      <c r="F578" s="35" t="n">
        <v>4120.14</v>
      </c>
      <c r="G578" s="35" t="n">
        <v>3840.97</v>
      </c>
      <c r="H578" t="inlineStr">
        <is>
          <t>Paid</t>
        </is>
      </c>
    </row>
    <row r="579">
      <c r="A579" t="inlineStr">
        <is>
          <t>CLM516424</t>
        </is>
      </c>
      <c r="B579" t="inlineStr">
        <is>
          <t>PT13801</t>
        </is>
      </c>
      <c r="C579" t="inlineStr">
        <is>
          <t>PY03</t>
        </is>
      </c>
      <c r="D579" s="30" t="n">
        <v>45839</v>
      </c>
      <c r="E579" s="35" t="n">
        <v>3141.47</v>
      </c>
      <c r="F579" s="35" t="n">
        <v>753.6799999999999</v>
      </c>
      <c r="G579" s="35" t="n">
        <v>753.6799999999999</v>
      </c>
      <c r="H579" t="inlineStr">
        <is>
          <t>Paid</t>
        </is>
      </c>
    </row>
    <row r="580">
      <c r="A580" t="inlineStr">
        <is>
          <t>CLM516432</t>
        </is>
      </c>
      <c r="B580" t="inlineStr">
        <is>
          <t>PT12732</t>
        </is>
      </c>
      <c r="C580" t="inlineStr">
        <is>
          <t>PY02</t>
        </is>
      </c>
      <c r="D580" s="30" t="n">
        <v>45839</v>
      </c>
      <c r="E580" s="35" t="n">
        <v>3245.57</v>
      </c>
      <c r="F580" s="35" t="n">
        <v>1064.69</v>
      </c>
      <c r="G580" s="35" t="n">
        <v>972.59</v>
      </c>
      <c r="H580" t="inlineStr">
        <is>
          <t>Paid</t>
        </is>
      </c>
    </row>
    <row r="581">
      <c r="A581" t="inlineStr">
        <is>
          <t>CLM516437</t>
        </is>
      </c>
      <c r="B581" t="inlineStr">
        <is>
          <t>PT12059</t>
        </is>
      </c>
      <c r="C581" t="inlineStr">
        <is>
          <t>PY01</t>
        </is>
      </c>
      <c r="D581" s="30" t="n">
        <v>45840</v>
      </c>
      <c r="E581" s="35" t="n">
        <v>3426</v>
      </c>
      <c r="F581" s="35" t="n">
        <v>1035.08</v>
      </c>
      <c r="G581" s="35" t="n">
        <v>901.84</v>
      </c>
      <c r="H581" t="inlineStr">
        <is>
          <t>Paid</t>
        </is>
      </c>
    </row>
    <row r="582">
      <c r="A582" t="inlineStr">
        <is>
          <t>CLM516438</t>
        </is>
      </c>
      <c r="B582" t="inlineStr">
        <is>
          <t>PT10475</t>
        </is>
      </c>
      <c r="C582" t="inlineStr">
        <is>
          <t>PY06</t>
        </is>
      </c>
      <c r="D582" s="30" t="n">
        <v>45845</v>
      </c>
      <c r="E582" s="35" t="n">
        <v>55605.82</v>
      </c>
      <c r="F582" s="35" t="n">
        <v>27315.07</v>
      </c>
      <c r="G582" s="35" t="n">
        <v>24123.81</v>
      </c>
      <c r="H582" t="inlineStr">
        <is>
          <t>Paid</t>
        </is>
      </c>
    </row>
    <row r="583">
      <c r="A583" t="inlineStr">
        <is>
          <t>CLM516439</t>
        </is>
      </c>
      <c r="B583" t="inlineStr">
        <is>
          <t>PT13661</t>
        </is>
      </c>
      <c r="C583" t="inlineStr">
        <is>
          <t>PY04</t>
        </is>
      </c>
      <c r="D583" s="30" t="n">
        <v>45846</v>
      </c>
      <c r="E583" s="35" t="n">
        <v>32084.08</v>
      </c>
      <c r="F583" s="35" t="n">
        <v>16587.96</v>
      </c>
      <c r="G583" s="35" t="n">
        <v>14459.84</v>
      </c>
      <c r="H583" t="inlineStr">
        <is>
          <t>Paid</t>
        </is>
      </c>
    </row>
    <row r="584">
      <c r="A584" t="inlineStr">
        <is>
          <t>CLM516442</t>
        </is>
      </c>
      <c r="B584" t="inlineStr">
        <is>
          <t>PT13116</t>
        </is>
      </c>
      <c r="C584" t="inlineStr">
        <is>
          <t>PY01</t>
        </is>
      </c>
      <c r="D584" s="30" t="n">
        <v>45845</v>
      </c>
      <c r="E584" s="35" t="n">
        <v>94705.94</v>
      </c>
      <c r="F584" s="35" t="n">
        <v>32685.43</v>
      </c>
      <c r="G584" s="35" t="n">
        <v>28403.94</v>
      </c>
      <c r="H584" t="inlineStr">
        <is>
          <t>Paid</t>
        </is>
      </c>
    </row>
    <row r="585">
      <c r="A585" t="inlineStr">
        <is>
          <t>CLM516443</t>
        </is>
      </c>
      <c r="B585" t="inlineStr">
        <is>
          <t>PT11122</t>
        </is>
      </c>
      <c r="C585" t="inlineStr">
        <is>
          <t>PY06</t>
        </is>
      </c>
      <c r="D585" s="30" t="n">
        <v>45840</v>
      </c>
      <c r="E585" s="35" t="n">
        <v>2634.03</v>
      </c>
      <c r="F585" s="35" t="n">
        <v>0</v>
      </c>
      <c r="G585" s="35" t="n">
        <v>0</v>
      </c>
      <c r="H585" t="inlineStr">
        <is>
          <t>Denied</t>
        </is>
      </c>
      <c r="I585" t="inlineStr">
        <is>
          <t>Coding Error</t>
        </is>
      </c>
    </row>
    <row r="586">
      <c r="A586" t="inlineStr">
        <is>
          <t>CLM516456</t>
        </is>
      </c>
      <c r="B586" t="inlineStr">
        <is>
          <t>PT12279</t>
        </is>
      </c>
      <c r="C586" t="inlineStr">
        <is>
          <t>PY01</t>
        </is>
      </c>
      <c r="D586" s="30" t="n">
        <v>45845</v>
      </c>
      <c r="E586" s="35" t="n">
        <v>16074.14</v>
      </c>
      <c r="F586" s="35" t="n">
        <v>4996.54</v>
      </c>
      <c r="G586" s="35" t="n">
        <v>4671.83</v>
      </c>
      <c r="H586" t="inlineStr">
        <is>
          <t>Paid</t>
        </is>
      </c>
    </row>
    <row r="587">
      <c r="A587" t="inlineStr">
        <is>
          <t>CLM516466</t>
        </is>
      </c>
      <c r="B587" t="inlineStr">
        <is>
          <t>PT12355</t>
        </is>
      </c>
      <c r="C587" t="inlineStr">
        <is>
          <t>PY01</t>
        </is>
      </c>
      <c r="D587" s="30" t="n">
        <v>45855</v>
      </c>
      <c r="E587" s="35" t="n">
        <v>104303.79</v>
      </c>
      <c r="F587" s="35" t="n">
        <v>30167.78</v>
      </c>
      <c r="G587" s="35" t="n">
        <v>26537.42</v>
      </c>
      <c r="H587" t="inlineStr">
        <is>
          <t>Paid</t>
        </is>
      </c>
    </row>
    <row r="588">
      <c r="A588" t="inlineStr">
        <is>
          <t>CLM516470</t>
        </is>
      </c>
      <c r="B588" t="inlineStr">
        <is>
          <t>PT12444</t>
        </is>
      </c>
      <c r="C588" t="inlineStr">
        <is>
          <t>PY04</t>
        </is>
      </c>
      <c r="D588" s="30" t="n">
        <v>45841</v>
      </c>
      <c r="E588" s="35" t="n">
        <v>3569.57</v>
      </c>
      <c r="F588" s="35" t="n">
        <v>1781.45</v>
      </c>
      <c r="G588" s="35" t="n">
        <v>1643.95</v>
      </c>
      <c r="H588" t="inlineStr">
        <is>
          <t>Paid</t>
        </is>
      </c>
    </row>
    <row r="589">
      <c r="A589" t="inlineStr">
        <is>
          <t>CLM516487</t>
        </is>
      </c>
      <c r="B589" t="inlineStr">
        <is>
          <t>PT12277</t>
        </is>
      </c>
      <c r="C589" t="inlineStr">
        <is>
          <t>PY02</t>
        </is>
      </c>
      <c r="D589" s="30" t="n">
        <v>45841</v>
      </c>
      <c r="E589" s="35" t="n">
        <v>2655.91</v>
      </c>
      <c r="F589" s="35" t="n">
        <v>837.72</v>
      </c>
      <c r="G589" s="35" t="n">
        <v>763.4</v>
      </c>
      <c r="H589" t="inlineStr">
        <is>
          <t>Paid</t>
        </is>
      </c>
    </row>
    <row r="590">
      <c r="A590" t="inlineStr">
        <is>
          <t>CLM516510</t>
        </is>
      </c>
      <c r="B590" t="inlineStr">
        <is>
          <t>PT13168</t>
        </is>
      </c>
      <c r="C590" t="inlineStr">
        <is>
          <t>PY04</t>
        </is>
      </c>
      <c r="D590" s="30" t="n">
        <v>45845</v>
      </c>
      <c r="E590" s="35" t="n">
        <v>13743.64</v>
      </c>
      <c r="F590" s="35" t="n">
        <v>6506.06</v>
      </c>
      <c r="G590" s="35" t="n">
        <v>6371.66</v>
      </c>
      <c r="H590" t="inlineStr">
        <is>
          <t>Paid</t>
        </is>
      </c>
    </row>
    <row r="591">
      <c r="A591" t="inlineStr">
        <is>
          <t>CLM516524</t>
        </is>
      </c>
      <c r="B591" t="inlineStr">
        <is>
          <t>PT12401</t>
        </is>
      </c>
      <c r="C591" t="inlineStr">
        <is>
          <t>PY02</t>
        </is>
      </c>
      <c r="D591" s="30" t="n">
        <v>45846</v>
      </c>
      <c r="E591" s="35" t="n">
        <v>48061.71</v>
      </c>
      <c r="F591" s="35" t="n">
        <v>0</v>
      </c>
      <c r="G591" s="35" t="n">
        <v>0</v>
      </c>
      <c r="H591" t="inlineStr">
        <is>
          <t>Appealed</t>
        </is>
      </c>
      <c r="I591" t="inlineStr">
        <is>
          <t>Coding Error</t>
        </is>
      </c>
    </row>
    <row r="592">
      <c r="A592" t="inlineStr">
        <is>
          <t>CLM516526</t>
        </is>
      </c>
      <c r="B592" t="inlineStr">
        <is>
          <t>PT12247</t>
        </is>
      </c>
      <c r="C592" t="inlineStr">
        <is>
          <t>PY03</t>
        </is>
      </c>
      <c r="D592" s="30" t="n">
        <v>45842</v>
      </c>
      <c r="E592" s="35" t="n">
        <v>575.67</v>
      </c>
      <c r="F592" s="35" t="n">
        <v>0</v>
      </c>
      <c r="G592" s="35" t="n">
        <v>0</v>
      </c>
      <c r="H592" t="inlineStr">
        <is>
          <t>Denied</t>
        </is>
      </c>
      <c r="I592" t="inlineStr">
        <is>
          <t>Eligibility / Coverage</t>
        </is>
      </c>
    </row>
    <row r="593">
      <c r="A593" t="inlineStr">
        <is>
          <t>CLM516531</t>
        </is>
      </c>
      <c r="B593" t="inlineStr">
        <is>
          <t>PT11200</t>
        </is>
      </c>
      <c r="C593" t="inlineStr">
        <is>
          <t>PY03</t>
        </is>
      </c>
      <c r="D593" s="30" t="n">
        <v>45843</v>
      </c>
      <c r="E593" s="35" t="n">
        <v>638.03</v>
      </c>
      <c r="F593" s="35" t="n">
        <v>160.55</v>
      </c>
      <c r="G593" s="35" t="n">
        <v>160.55</v>
      </c>
      <c r="H593" t="inlineStr">
        <is>
          <t>Paid</t>
        </is>
      </c>
    </row>
    <row r="594">
      <c r="A594" t="inlineStr">
        <is>
          <t>CLM516540</t>
        </is>
      </c>
      <c r="B594" t="inlineStr">
        <is>
          <t>PT12299</t>
        </is>
      </c>
      <c r="C594" t="inlineStr">
        <is>
          <t>PY02</t>
        </is>
      </c>
      <c r="D594" s="30" t="n">
        <v>45856</v>
      </c>
      <c r="E594" s="35" t="n">
        <v>107346.74</v>
      </c>
      <c r="F594" s="35" t="n">
        <v>31780.82</v>
      </c>
      <c r="G594" s="35" t="n">
        <v>30439.8</v>
      </c>
      <c r="H594" t="inlineStr">
        <is>
          <t>Paid</t>
        </is>
      </c>
    </row>
    <row r="595">
      <c r="A595" t="inlineStr">
        <is>
          <t>CLM516543</t>
        </is>
      </c>
      <c r="B595" t="inlineStr">
        <is>
          <t>PT12976</t>
        </is>
      </c>
      <c r="C595" t="inlineStr">
        <is>
          <t>PY01</t>
        </is>
      </c>
      <c r="D595" s="30" t="n">
        <v>45849</v>
      </c>
      <c r="E595" s="35" t="n">
        <v>22195.32</v>
      </c>
      <c r="F595" s="35" t="n">
        <v>6814.52</v>
      </c>
      <c r="G595" s="35" t="n">
        <v>6104.3</v>
      </c>
      <c r="H595" t="inlineStr">
        <is>
          <t>Paid</t>
        </is>
      </c>
    </row>
    <row r="596">
      <c r="A596" t="inlineStr">
        <is>
          <t>CLM516544</t>
        </is>
      </c>
      <c r="B596" t="inlineStr">
        <is>
          <t>PT11603</t>
        </is>
      </c>
      <c r="C596" t="inlineStr">
        <is>
          <t>PY03</t>
        </is>
      </c>
      <c r="D596" s="30" t="n">
        <v>45844</v>
      </c>
      <c r="E596" s="35" t="n">
        <v>5205.83</v>
      </c>
      <c r="F596" s="35" t="n">
        <v>1175.12</v>
      </c>
      <c r="G596" s="35" t="n">
        <v>1175.12</v>
      </c>
      <c r="H596" t="inlineStr">
        <is>
          <t>Paid</t>
        </is>
      </c>
    </row>
    <row r="597">
      <c r="A597" t="inlineStr">
        <is>
          <t>CLM516545</t>
        </is>
      </c>
      <c r="B597" t="inlineStr">
        <is>
          <t>PT12910</t>
        </is>
      </c>
      <c r="C597" t="inlineStr">
        <is>
          <t>PY05</t>
        </is>
      </c>
      <c r="D597" s="30" t="n">
        <v>45845</v>
      </c>
      <c r="E597" s="35" t="n">
        <v>7783.08</v>
      </c>
      <c r="F597" s="35" t="n">
        <v>3733.44</v>
      </c>
      <c r="G597" s="35" t="n">
        <v>3302.28</v>
      </c>
      <c r="H597" t="inlineStr">
        <is>
          <t>Paid</t>
        </is>
      </c>
    </row>
    <row r="598">
      <c r="A598" t="inlineStr">
        <is>
          <t>CLM516546</t>
        </is>
      </c>
      <c r="B598" t="inlineStr">
        <is>
          <t>PT11753</t>
        </is>
      </c>
      <c r="C598" t="inlineStr">
        <is>
          <t>PY03</t>
        </is>
      </c>
      <c r="D598" s="30" t="n">
        <v>45844</v>
      </c>
      <c r="E598" s="35" t="n">
        <v>2622.34</v>
      </c>
      <c r="F598" s="35" t="n">
        <v>0</v>
      </c>
      <c r="G598" s="35" t="n">
        <v>0</v>
      </c>
      <c r="H598" t="inlineStr">
        <is>
          <t>Denied</t>
        </is>
      </c>
      <c r="I598" t="inlineStr">
        <is>
          <t>Medical Necessity</t>
        </is>
      </c>
    </row>
    <row r="599">
      <c r="A599" t="inlineStr">
        <is>
          <t>CLM516549</t>
        </is>
      </c>
      <c r="B599" t="inlineStr">
        <is>
          <t>PT12636</t>
        </is>
      </c>
      <c r="C599" t="inlineStr">
        <is>
          <t>PY01</t>
        </is>
      </c>
      <c r="D599" s="30" t="n">
        <v>45846</v>
      </c>
      <c r="E599" s="35" t="n">
        <v>25466.96</v>
      </c>
      <c r="F599" s="35" t="n">
        <v>6716.35</v>
      </c>
      <c r="G599" s="35" t="n">
        <v>6140.55</v>
      </c>
      <c r="H599" t="inlineStr">
        <is>
          <t>Paid</t>
        </is>
      </c>
    </row>
    <row r="600">
      <c r="A600" t="inlineStr">
        <is>
          <t>CLM516589</t>
        </is>
      </c>
      <c r="B600" t="inlineStr">
        <is>
          <t>PT11138</t>
        </is>
      </c>
      <c r="C600" t="inlineStr">
        <is>
          <t>PY06</t>
        </is>
      </c>
      <c r="D600" s="30" t="n">
        <v>45845</v>
      </c>
      <c r="E600" s="35" t="n">
        <v>1837.54</v>
      </c>
      <c r="F600" s="35" t="n">
        <v>1074.42</v>
      </c>
      <c r="G600" s="35" t="n">
        <v>930.63</v>
      </c>
      <c r="H600" t="inlineStr">
        <is>
          <t>Paid</t>
        </is>
      </c>
    </row>
    <row r="601">
      <c r="A601" t="inlineStr">
        <is>
          <t>CLM516591</t>
        </is>
      </c>
      <c r="B601" t="inlineStr">
        <is>
          <t>PT10659</t>
        </is>
      </c>
      <c r="C601" t="inlineStr">
        <is>
          <t>PY03</t>
        </is>
      </c>
      <c r="D601" s="30" t="n">
        <v>45850</v>
      </c>
      <c r="E601" s="35" t="n">
        <v>20979.61</v>
      </c>
      <c r="F601" s="35" t="n">
        <v>5479.54</v>
      </c>
      <c r="G601" s="35" t="n">
        <v>3920.52</v>
      </c>
      <c r="H601" t="inlineStr">
        <is>
          <t>Partially Paid</t>
        </is>
      </c>
      <c r="I601" t="inlineStr">
        <is>
          <t>Medical Necessity</t>
        </is>
      </c>
    </row>
    <row r="602">
      <c r="A602" t="inlineStr">
        <is>
          <t>CLM516597</t>
        </is>
      </c>
      <c r="B602" t="inlineStr">
        <is>
          <t>PT10804</t>
        </is>
      </c>
      <c r="C602" t="inlineStr">
        <is>
          <t>PY04</t>
        </is>
      </c>
      <c r="D602" s="30" t="n">
        <v>45846</v>
      </c>
      <c r="E602" s="35" t="n">
        <v>1467.54</v>
      </c>
      <c r="F602" s="35" t="n">
        <v>724.73</v>
      </c>
      <c r="G602" s="35" t="n">
        <v>626.28</v>
      </c>
      <c r="H602" t="inlineStr">
        <is>
          <t>Paid</t>
        </is>
      </c>
    </row>
    <row r="603">
      <c r="A603" t="inlineStr">
        <is>
          <t>CLM516636</t>
        </is>
      </c>
      <c r="B603" t="inlineStr">
        <is>
          <t>PT13672</t>
        </is>
      </c>
      <c r="C603" t="inlineStr">
        <is>
          <t>PY02</t>
        </is>
      </c>
      <c r="D603" s="30" t="n">
        <v>45850</v>
      </c>
      <c r="E603" s="35" t="n">
        <v>15946.42</v>
      </c>
      <c r="F603" s="35" t="n">
        <v>5001.72</v>
      </c>
      <c r="G603" s="35" t="n">
        <v>4838.14</v>
      </c>
      <c r="H603" t="inlineStr">
        <is>
          <t>Paid</t>
        </is>
      </c>
    </row>
    <row r="604">
      <c r="A604" t="inlineStr">
        <is>
          <t>CLM516655</t>
        </is>
      </c>
      <c r="B604" t="inlineStr">
        <is>
          <t>PT10840</t>
        </is>
      </c>
      <c r="C604" t="inlineStr">
        <is>
          <t>PY01</t>
        </is>
      </c>
      <c r="D604" s="30" t="n">
        <v>45847</v>
      </c>
      <c r="E604" s="35" t="n">
        <v>832.1</v>
      </c>
      <c r="F604" s="35" t="n">
        <v>252.44</v>
      </c>
      <c r="G604" s="35" t="n">
        <v>241.96</v>
      </c>
      <c r="H604" t="inlineStr">
        <is>
          <t>Paid</t>
        </is>
      </c>
    </row>
    <row r="605">
      <c r="A605" t="inlineStr">
        <is>
          <t>CLM516666</t>
        </is>
      </c>
      <c r="B605" t="inlineStr">
        <is>
          <t>PT12955</t>
        </is>
      </c>
      <c r="C605" t="inlineStr">
        <is>
          <t>PY02</t>
        </is>
      </c>
      <c r="D605" s="30" t="n">
        <v>45850</v>
      </c>
      <c r="E605" s="35" t="n">
        <v>60409.7</v>
      </c>
      <c r="F605" s="35" t="n">
        <v>19794.89</v>
      </c>
      <c r="G605" s="35" t="n">
        <v>18019.46</v>
      </c>
      <c r="H605" t="inlineStr">
        <is>
          <t>Paid</t>
        </is>
      </c>
    </row>
    <row r="606">
      <c r="A606" t="inlineStr">
        <is>
          <t>CLM516668</t>
        </is>
      </c>
      <c r="B606" t="inlineStr">
        <is>
          <t>PT13245</t>
        </is>
      </c>
      <c r="C606" t="inlineStr">
        <is>
          <t>PY02</t>
        </is>
      </c>
      <c r="D606" s="30" t="n">
        <v>45855</v>
      </c>
      <c r="E606" s="35" t="n">
        <v>99761.34</v>
      </c>
      <c r="F606" s="35" t="n">
        <v>0</v>
      </c>
      <c r="G606" s="35" t="n">
        <v>0</v>
      </c>
      <c r="H606" t="inlineStr">
        <is>
          <t>Denied</t>
        </is>
      </c>
      <c r="I606" t="inlineStr">
        <is>
          <t>Medical Necessity</t>
        </is>
      </c>
    </row>
    <row r="607">
      <c r="A607" t="inlineStr">
        <is>
          <t>CLM516690</t>
        </is>
      </c>
      <c r="B607" t="inlineStr">
        <is>
          <t>PT11774</t>
        </is>
      </c>
      <c r="C607" t="inlineStr">
        <is>
          <t>PY06</t>
        </is>
      </c>
      <c r="D607" s="30" t="n">
        <v>45848</v>
      </c>
      <c r="E607" s="35" t="n">
        <v>2399.49</v>
      </c>
      <c r="F607" s="35" t="n">
        <v>1430.28</v>
      </c>
      <c r="G607" s="35" t="n">
        <v>1346.19</v>
      </c>
      <c r="H607" t="inlineStr">
        <is>
          <t>Paid</t>
        </is>
      </c>
    </row>
    <row r="608">
      <c r="A608" t="inlineStr">
        <is>
          <t>CLM516698</t>
        </is>
      </c>
      <c r="B608" t="inlineStr">
        <is>
          <t>PT13619</t>
        </is>
      </c>
      <c r="C608" t="inlineStr">
        <is>
          <t>PY05</t>
        </is>
      </c>
      <c r="D608" s="30" t="n">
        <v>45858</v>
      </c>
      <c r="E608" s="35" t="n">
        <v>49219.83</v>
      </c>
      <c r="F608" s="35" t="n">
        <v>0</v>
      </c>
      <c r="G608" s="35" t="n">
        <v>0</v>
      </c>
      <c r="H608" t="inlineStr">
        <is>
          <t>Appealed</t>
        </is>
      </c>
      <c r="I608" t="inlineStr">
        <is>
          <t>Medical Necessity</t>
        </is>
      </c>
    </row>
    <row r="609">
      <c r="A609" t="inlineStr">
        <is>
          <t>CLM516704</t>
        </is>
      </c>
      <c r="B609" t="inlineStr">
        <is>
          <t>PT13821</t>
        </is>
      </c>
      <c r="C609" t="inlineStr">
        <is>
          <t>PY08</t>
        </is>
      </c>
      <c r="D609" s="30" t="n">
        <v>45848</v>
      </c>
      <c r="E609" s="35" t="n">
        <v>1252.29</v>
      </c>
      <c r="F609" s="35" t="n">
        <v>685.86</v>
      </c>
      <c r="G609" s="35" t="n">
        <v>685.86</v>
      </c>
      <c r="H609" t="inlineStr">
        <is>
          <t>Paid</t>
        </is>
      </c>
    </row>
    <row r="610">
      <c r="A610" t="inlineStr">
        <is>
          <t>CLM516707</t>
        </is>
      </c>
      <c r="B610" t="inlineStr">
        <is>
          <t>PT10736</t>
        </is>
      </c>
      <c r="C610" t="inlineStr">
        <is>
          <t>PY04</t>
        </is>
      </c>
      <c r="D610" s="30" t="n">
        <v>45849</v>
      </c>
      <c r="E610" s="35" t="n">
        <v>1653.8</v>
      </c>
      <c r="F610" s="35" t="n">
        <v>835.6900000000001</v>
      </c>
      <c r="G610" s="35" t="n">
        <v>789.1799999999999</v>
      </c>
      <c r="H610" t="inlineStr">
        <is>
          <t>Paid</t>
        </is>
      </c>
    </row>
    <row r="611">
      <c r="A611" t="inlineStr">
        <is>
          <t>CLM516725</t>
        </is>
      </c>
      <c r="B611" t="inlineStr">
        <is>
          <t>PT12891</t>
        </is>
      </c>
      <c r="C611" t="inlineStr">
        <is>
          <t>PY01</t>
        </is>
      </c>
      <c r="D611" s="30" t="n">
        <v>45851</v>
      </c>
      <c r="E611" s="35" t="n">
        <v>14309.11</v>
      </c>
      <c r="F611" s="35" t="n">
        <v>4619.67</v>
      </c>
      <c r="G611" s="35" t="n">
        <v>3960.33</v>
      </c>
      <c r="H611" t="inlineStr">
        <is>
          <t>Paid</t>
        </is>
      </c>
    </row>
    <row r="612">
      <c r="A612" t="inlineStr">
        <is>
          <t>CLM516727</t>
        </is>
      </c>
      <c r="B612" t="inlineStr">
        <is>
          <t>PT13042</t>
        </is>
      </c>
      <c r="C612" t="inlineStr">
        <is>
          <t>PY04</t>
        </is>
      </c>
      <c r="D612" s="30" t="n">
        <v>45849</v>
      </c>
      <c r="E612" s="35" t="n">
        <v>3421.6</v>
      </c>
      <c r="F612" s="35" t="n">
        <v>1756.99</v>
      </c>
      <c r="G612" s="35" t="n">
        <v>1428.88</v>
      </c>
      <c r="H612" t="inlineStr">
        <is>
          <t>Paid</t>
        </is>
      </c>
    </row>
    <row r="613">
      <c r="A613" t="inlineStr">
        <is>
          <t>CLM516733</t>
        </is>
      </c>
      <c r="B613" t="inlineStr">
        <is>
          <t>PT13889</t>
        </is>
      </c>
      <c r="C613" t="inlineStr">
        <is>
          <t>PY07</t>
        </is>
      </c>
      <c r="D613" s="30" t="n">
        <v>45849</v>
      </c>
      <c r="E613" s="35" t="n">
        <v>3428.33</v>
      </c>
      <c r="F613" s="35" t="n">
        <v>1436.9</v>
      </c>
      <c r="G613" s="35" t="n">
        <v>791.08</v>
      </c>
      <c r="H613" t="inlineStr">
        <is>
          <t>Partially Paid</t>
        </is>
      </c>
    </row>
    <row r="614">
      <c r="A614" t="inlineStr">
        <is>
          <t>CLM516748</t>
        </is>
      </c>
      <c r="B614" t="inlineStr">
        <is>
          <t>PT10306</t>
        </is>
      </c>
      <c r="C614" t="inlineStr">
        <is>
          <t>PY02</t>
        </is>
      </c>
      <c r="D614" s="30" t="n">
        <v>45850</v>
      </c>
      <c r="E614" s="35" t="n">
        <v>1601.11</v>
      </c>
      <c r="F614" s="35" t="n">
        <v>535</v>
      </c>
      <c r="G614" s="35" t="n">
        <v>526.92</v>
      </c>
      <c r="H614" t="inlineStr">
        <is>
          <t>Paid</t>
        </is>
      </c>
    </row>
    <row r="615">
      <c r="A615" t="inlineStr">
        <is>
          <t>CLM516758</t>
        </is>
      </c>
      <c r="B615" t="inlineStr">
        <is>
          <t>PT10328</t>
        </is>
      </c>
      <c r="C615" t="inlineStr">
        <is>
          <t>PY04</t>
        </is>
      </c>
      <c r="D615" s="30" t="n">
        <v>45851</v>
      </c>
      <c r="E615" s="35" t="n">
        <v>1258.65</v>
      </c>
      <c r="F615" s="35" t="n">
        <v>710.16</v>
      </c>
      <c r="G615" s="35" t="n">
        <v>364.28</v>
      </c>
      <c r="H615" t="inlineStr">
        <is>
          <t>Partially Paid</t>
        </is>
      </c>
      <c r="I615" t="inlineStr">
        <is>
          <t>Medical Necessity</t>
        </is>
      </c>
    </row>
    <row r="616">
      <c r="A616" t="inlineStr">
        <is>
          <t>CLM516764</t>
        </is>
      </c>
      <c r="B616" t="inlineStr">
        <is>
          <t>PT11367</t>
        </is>
      </c>
      <c r="C616" t="inlineStr">
        <is>
          <t>PY04</t>
        </is>
      </c>
      <c r="D616" s="30" t="n">
        <v>45854</v>
      </c>
      <c r="E616" s="35" t="n">
        <v>41726.04</v>
      </c>
      <c r="F616" s="35" t="n">
        <v>23569.96</v>
      </c>
      <c r="G616" s="35" t="n">
        <v>21020.13</v>
      </c>
      <c r="H616" t="inlineStr">
        <is>
          <t>Paid</t>
        </is>
      </c>
    </row>
    <row r="617">
      <c r="A617" t="inlineStr">
        <is>
          <t>CLM516805</t>
        </is>
      </c>
      <c r="B617" t="inlineStr">
        <is>
          <t>PT13306</t>
        </is>
      </c>
      <c r="C617" t="inlineStr">
        <is>
          <t>PY05</t>
        </is>
      </c>
      <c r="D617" s="30" t="n">
        <v>45857</v>
      </c>
      <c r="E617" s="35" t="n">
        <v>25163.49</v>
      </c>
      <c r="F617" s="35" t="n">
        <v>12589.96</v>
      </c>
      <c r="G617" s="35" t="n">
        <v>11897.49</v>
      </c>
      <c r="H617" t="inlineStr">
        <is>
          <t>Paid</t>
        </is>
      </c>
    </row>
    <row r="618">
      <c r="A618" t="inlineStr">
        <is>
          <t>CLM516832</t>
        </is>
      </c>
      <c r="B618" t="inlineStr">
        <is>
          <t>PT12586</t>
        </is>
      </c>
      <c r="C618" t="inlineStr">
        <is>
          <t>PY06</t>
        </is>
      </c>
      <c r="D618" s="30" t="n">
        <v>45860</v>
      </c>
      <c r="E618" s="35" t="n">
        <v>67847.60000000001</v>
      </c>
      <c r="F618" s="35" t="n">
        <v>0</v>
      </c>
      <c r="G618" s="35" t="n">
        <v>0</v>
      </c>
      <c r="H618" t="inlineStr">
        <is>
          <t>Denied</t>
        </is>
      </c>
      <c r="I618" t="inlineStr">
        <is>
          <t>Authorization Required</t>
        </is>
      </c>
    </row>
    <row r="619">
      <c r="A619" t="inlineStr">
        <is>
          <t>CLM516859</t>
        </is>
      </c>
      <c r="B619" t="inlineStr">
        <is>
          <t>PT11128</t>
        </is>
      </c>
      <c r="C619" t="inlineStr">
        <is>
          <t>PY04</t>
        </is>
      </c>
      <c r="D619" s="30" t="n">
        <v>45854</v>
      </c>
      <c r="E619" s="35" t="n">
        <v>3003.81</v>
      </c>
      <c r="F619" s="35" t="n">
        <v>1507.04</v>
      </c>
      <c r="G619" s="35" t="n">
        <v>1273.89</v>
      </c>
      <c r="H619" t="inlineStr">
        <is>
          <t>Paid</t>
        </is>
      </c>
    </row>
    <row r="620">
      <c r="A620" t="inlineStr">
        <is>
          <t>CLM516861</t>
        </is>
      </c>
      <c r="B620" t="inlineStr">
        <is>
          <t>PT10864</t>
        </is>
      </c>
      <c r="C620" t="inlineStr">
        <is>
          <t>PY03</t>
        </is>
      </c>
      <c r="D620" s="30" t="n">
        <v>45855</v>
      </c>
      <c r="E620" s="35" t="n">
        <v>8318.879999999999</v>
      </c>
      <c r="F620" s="35" t="n">
        <v>1980.19</v>
      </c>
      <c r="G620" s="35" t="n">
        <v>1980.19</v>
      </c>
      <c r="H620" t="inlineStr">
        <is>
          <t>Paid</t>
        </is>
      </c>
    </row>
    <row r="621">
      <c r="A621" t="inlineStr">
        <is>
          <t>CLM516862</t>
        </is>
      </c>
      <c r="B621" t="inlineStr">
        <is>
          <t>PT12328</t>
        </is>
      </c>
      <c r="C621" t="inlineStr">
        <is>
          <t>PY04</t>
        </is>
      </c>
      <c r="D621" s="30" t="n">
        <v>45855</v>
      </c>
      <c r="E621" s="35" t="n">
        <v>7587.13</v>
      </c>
      <c r="F621" s="35" t="n">
        <v>4226.84</v>
      </c>
      <c r="G621" s="35" t="n">
        <v>3824.99</v>
      </c>
      <c r="H621" t="inlineStr">
        <is>
          <t>Paid</t>
        </is>
      </c>
    </row>
    <row r="622">
      <c r="A622" t="inlineStr">
        <is>
          <t>CLM516864</t>
        </is>
      </c>
      <c r="B622" t="inlineStr">
        <is>
          <t>PT11529</t>
        </is>
      </c>
      <c r="C622" t="inlineStr">
        <is>
          <t>PY04</t>
        </is>
      </c>
      <c r="D622" s="30" t="n">
        <v>45855</v>
      </c>
      <c r="E622" s="35" t="n">
        <v>3855.5</v>
      </c>
      <c r="F622" s="35" t="n">
        <v>1927.95</v>
      </c>
      <c r="G622" s="35" t="n">
        <v>902.36</v>
      </c>
      <c r="H622" t="inlineStr">
        <is>
          <t>Partially Paid</t>
        </is>
      </c>
      <c r="I622" t="inlineStr">
        <is>
          <t>Medical Necessity</t>
        </is>
      </c>
    </row>
    <row r="623">
      <c r="A623" t="inlineStr">
        <is>
          <t>CLM516898</t>
        </is>
      </c>
      <c r="B623" t="inlineStr">
        <is>
          <t>PT11265</t>
        </is>
      </c>
      <c r="C623" t="inlineStr">
        <is>
          <t>PY06</t>
        </is>
      </c>
      <c r="D623" s="30" t="n">
        <v>45862</v>
      </c>
      <c r="E623" s="35" t="n">
        <v>30722.69</v>
      </c>
      <c r="F623" s="35" t="n">
        <v>17673.53</v>
      </c>
      <c r="G623" s="35" t="n">
        <v>12380.95</v>
      </c>
      <c r="H623" t="inlineStr">
        <is>
          <t>Partially Paid</t>
        </is>
      </c>
      <c r="I623" t="inlineStr">
        <is>
          <t>Missing Documentation</t>
        </is>
      </c>
    </row>
    <row r="624">
      <c r="A624" t="inlineStr">
        <is>
          <t>CLM516911</t>
        </is>
      </c>
      <c r="B624" t="inlineStr">
        <is>
          <t>PT13760</t>
        </is>
      </c>
      <c r="C624" t="inlineStr">
        <is>
          <t>PY05</t>
        </is>
      </c>
      <c r="D624" s="30" t="n">
        <v>45856</v>
      </c>
      <c r="E624" s="35" t="n">
        <v>3532.9</v>
      </c>
      <c r="F624" s="35" t="n">
        <v>1704.7</v>
      </c>
      <c r="G624" s="35" t="n">
        <v>1588.82</v>
      </c>
      <c r="H624" t="inlineStr">
        <is>
          <t>Paid</t>
        </is>
      </c>
    </row>
    <row r="625">
      <c r="A625" t="inlineStr">
        <is>
          <t>CLM516912</t>
        </is>
      </c>
      <c r="B625" t="inlineStr">
        <is>
          <t>PT12822</t>
        </is>
      </c>
      <c r="C625" t="inlineStr">
        <is>
          <t>PY03</t>
        </is>
      </c>
      <c r="D625" s="30" t="n">
        <v>45863</v>
      </c>
      <c r="E625" s="35" t="n">
        <v>72492.96000000001</v>
      </c>
      <c r="F625" s="35" t="n">
        <v>17923.1</v>
      </c>
      <c r="G625" s="35" t="n">
        <v>17923.1</v>
      </c>
      <c r="H625" t="inlineStr">
        <is>
          <t>Paid</t>
        </is>
      </c>
    </row>
    <row r="626">
      <c r="A626" t="inlineStr">
        <is>
          <t>CLM516916</t>
        </is>
      </c>
      <c r="B626" t="inlineStr">
        <is>
          <t>PT10219</t>
        </is>
      </c>
      <c r="C626" t="inlineStr">
        <is>
          <t>PY01</t>
        </is>
      </c>
      <c r="D626" s="30" t="n">
        <v>45857</v>
      </c>
      <c r="E626" s="35" t="n">
        <v>3294.11</v>
      </c>
      <c r="F626" s="35" t="n">
        <v>1001.71</v>
      </c>
      <c r="G626" s="35" t="n">
        <v>1001.71</v>
      </c>
      <c r="H626" t="inlineStr">
        <is>
          <t>Paid</t>
        </is>
      </c>
    </row>
    <row r="627">
      <c r="A627" t="inlineStr">
        <is>
          <t>CLM516926</t>
        </is>
      </c>
      <c r="B627" t="inlineStr">
        <is>
          <t>PT13940</t>
        </is>
      </c>
      <c r="C627" t="inlineStr">
        <is>
          <t>PY05</t>
        </is>
      </c>
      <c r="D627" s="30" t="n">
        <v>45857</v>
      </c>
      <c r="E627" s="35" t="n">
        <v>4759.45</v>
      </c>
      <c r="F627" s="35" t="n">
        <v>1867.9</v>
      </c>
      <c r="G627" s="35" t="n">
        <v>1663.14</v>
      </c>
      <c r="H627" t="inlineStr">
        <is>
          <t>Paid</t>
        </is>
      </c>
    </row>
    <row r="628">
      <c r="A628" t="inlineStr">
        <is>
          <t>CLM516949</t>
        </is>
      </c>
      <c r="B628" t="inlineStr">
        <is>
          <t>PT11110</t>
        </is>
      </c>
      <c r="C628" t="inlineStr">
        <is>
          <t>PY04</t>
        </is>
      </c>
      <c r="D628" s="30" t="n">
        <v>45858</v>
      </c>
      <c r="E628" s="35" t="n">
        <v>1950.94</v>
      </c>
      <c r="F628" s="35" t="n">
        <v>1105.55</v>
      </c>
      <c r="G628" s="35" t="n">
        <v>1010.66</v>
      </c>
      <c r="H628" t="inlineStr">
        <is>
          <t>Paid</t>
        </is>
      </c>
    </row>
    <row r="629">
      <c r="A629" t="inlineStr">
        <is>
          <t>CLM516956</t>
        </is>
      </c>
      <c r="B629" t="inlineStr">
        <is>
          <t>PT11582</t>
        </is>
      </c>
      <c r="C629" t="inlineStr">
        <is>
          <t>PY02</t>
        </is>
      </c>
      <c r="D629" s="30" t="n">
        <v>45861</v>
      </c>
      <c r="E629" s="35" t="n">
        <v>12848.86</v>
      </c>
      <c r="F629" s="35" t="n">
        <v>3748.96</v>
      </c>
      <c r="G629" s="35" t="n">
        <v>3424.78</v>
      </c>
      <c r="H629" t="inlineStr">
        <is>
          <t>Paid</t>
        </is>
      </c>
    </row>
    <row r="630">
      <c r="A630" t="inlineStr">
        <is>
          <t>CLM516959</t>
        </is>
      </c>
      <c r="B630" t="inlineStr">
        <is>
          <t>PT10225</t>
        </is>
      </c>
      <c r="C630" t="inlineStr">
        <is>
          <t>PY03</t>
        </is>
      </c>
      <c r="D630" s="30" t="n">
        <v>45859</v>
      </c>
      <c r="E630" s="35" t="n">
        <v>2281.57</v>
      </c>
      <c r="F630" s="35" t="n">
        <v>551.95</v>
      </c>
      <c r="G630" s="35" t="n">
        <v>551.95</v>
      </c>
      <c r="H630" t="inlineStr">
        <is>
          <t>Paid</t>
        </is>
      </c>
    </row>
    <row r="631">
      <c r="A631" t="inlineStr">
        <is>
          <t>CLM516968</t>
        </is>
      </c>
      <c r="B631" t="inlineStr">
        <is>
          <t>PT12508</t>
        </is>
      </c>
      <c r="C631" t="inlineStr">
        <is>
          <t>PY04</t>
        </is>
      </c>
      <c r="D631" s="30" t="n">
        <v>45865</v>
      </c>
      <c r="E631" s="35" t="n">
        <v>39776.43</v>
      </c>
      <c r="F631" s="35" t="n">
        <v>22385.95</v>
      </c>
      <c r="G631" s="35" t="n">
        <v>21208.8</v>
      </c>
      <c r="H631" t="inlineStr">
        <is>
          <t>Paid</t>
        </is>
      </c>
    </row>
    <row r="632">
      <c r="A632" t="inlineStr">
        <is>
          <t>CLM516987</t>
        </is>
      </c>
      <c r="B632" t="inlineStr">
        <is>
          <t>PT12316</t>
        </is>
      </c>
      <c r="C632" t="inlineStr">
        <is>
          <t>PY02</t>
        </is>
      </c>
      <c r="D632" s="30" t="n">
        <v>45859</v>
      </c>
      <c r="E632" s="35" t="n">
        <v>1068.77</v>
      </c>
      <c r="F632" s="35" t="n">
        <v>349.97</v>
      </c>
      <c r="G632" s="35" t="n">
        <v>334.65</v>
      </c>
      <c r="H632" t="inlineStr">
        <is>
          <t>Paid</t>
        </is>
      </c>
    </row>
    <row r="633">
      <c r="A633" t="inlineStr">
        <is>
          <t>CLM517015</t>
        </is>
      </c>
      <c r="B633" t="inlineStr">
        <is>
          <t>PT12575</t>
        </is>
      </c>
      <c r="C633" t="inlineStr">
        <is>
          <t>PY03</t>
        </is>
      </c>
      <c r="D633" s="30" t="n">
        <v>45860</v>
      </c>
      <c r="E633" s="35" t="n">
        <v>674.6900000000001</v>
      </c>
      <c r="F633" s="35" t="n">
        <v>146.03</v>
      </c>
      <c r="G633" s="35" t="n">
        <v>146.03</v>
      </c>
      <c r="H633" t="inlineStr">
        <is>
          <t>Paid</t>
        </is>
      </c>
    </row>
    <row r="634">
      <c r="A634" t="inlineStr">
        <is>
          <t>CLM517022</t>
        </is>
      </c>
      <c r="B634" t="inlineStr">
        <is>
          <t>PT13991</t>
        </is>
      </c>
      <c r="C634" t="inlineStr">
        <is>
          <t>PY02</t>
        </is>
      </c>
      <c r="D634" s="30" t="n">
        <v>45862</v>
      </c>
      <c r="E634" s="35" t="n">
        <v>8814.49</v>
      </c>
      <c r="F634" s="35" t="n">
        <v>0</v>
      </c>
      <c r="G634" s="35" t="n">
        <v>0</v>
      </c>
      <c r="H634" t="inlineStr">
        <is>
          <t>Denied</t>
        </is>
      </c>
      <c r="I634" t="inlineStr">
        <is>
          <t>Medical Necessity</t>
        </is>
      </c>
    </row>
    <row r="635">
      <c r="A635" t="inlineStr">
        <is>
          <t>CLM517024</t>
        </is>
      </c>
      <c r="B635" t="inlineStr">
        <is>
          <t>PT12387</t>
        </is>
      </c>
      <c r="C635" t="inlineStr">
        <is>
          <t>PY03</t>
        </is>
      </c>
      <c r="D635" s="30" t="n">
        <v>45860</v>
      </c>
      <c r="E635" s="35" t="n">
        <v>1313.4</v>
      </c>
      <c r="F635" s="35" t="n">
        <v>319.94</v>
      </c>
      <c r="G635" s="35" t="n">
        <v>319.94</v>
      </c>
      <c r="H635" t="inlineStr">
        <is>
          <t>Paid</t>
        </is>
      </c>
    </row>
    <row r="636">
      <c r="A636" t="inlineStr">
        <is>
          <t>CLM517029</t>
        </is>
      </c>
      <c r="B636" t="inlineStr">
        <is>
          <t>PT13889</t>
        </is>
      </c>
      <c r="C636" t="inlineStr">
        <is>
          <t>PY07</t>
        </is>
      </c>
      <c r="D636" s="30" t="n">
        <v>45861</v>
      </c>
      <c r="E636" s="35" t="n">
        <v>9130.23</v>
      </c>
      <c r="F636" s="35" t="n">
        <v>3309.59</v>
      </c>
      <c r="G636" s="35" t="n">
        <v>3309.59</v>
      </c>
      <c r="H636" t="inlineStr">
        <is>
          <t>Paid</t>
        </is>
      </c>
    </row>
    <row r="637">
      <c r="A637" t="inlineStr">
        <is>
          <t>CLM517050</t>
        </is>
      </c>
      <c r="B637" t="inlineStr">
        <is>
          <t>PT11755</t>
        </is>
      </c>
      <c r="C637" t="inlineStr">
        <is>
          <t>PY06</t>
        </is>
      </c>
      <c r="D637" s="30" t="n">
        <v>45861</v>
      </c>
      <c r="E637" s="35" t="n">
        <v>1284.89</v>
      </c>
      <c r="F637" s="35" t="n">
        <v>637.52</v>
      </c>
      <c r="G637" s="35" t="n">
        <v>578.73</v>
      </c>
      <c r="H637" t="inlineStr">
        <is>
          <t>Paid</t>
        </is>
      </c>
    </row>
    <row r="638">
      <c r="A638" t="inlineStr">
        <is>
          <t>CLM517059</t>
        </is>
      </c>
      <c r="B638" t="inlineStr">
        <is>
          <t>PT11518</t>
        </is>
      </c>
      <c r="C638" t="inlineStr">
        <is>
          <t>PY04</t>
        </is>
      </c>
      <c r="D638" s="30" t="n">
        <v>45861</v>
      </c>
      <c r="E638" s="35" t="n">
        <v>1051.8</v>
      </c>
      <c r="F638" s="35" t="n">
        <v>519.46</v>
      </c>
      <c r="G638" s="35" t="n">
        <v>208.46</v>
      </c>
      <c r="H638" t="inlineStr">
        <is>
          <t>Partially Paid</t>
        </is>
      </c>
      <c r="I638" t="inlineStr">
        <is>
          <t>Coding Error</t>
        </is>
      </c>
    </row>
    <row r="639">
      <c r="A639" t="inlineStr">
        <is>
          <t>CLM517073</t>
        </is>
      </c>
      <c r="B639" t="inlineStr">
        <is>
          <t>PT10698</t>
        </is>
      </c>
      <c r="C639" t="inlineStr">
        <is>
          <t>PY03</t>
        </is>
      </c>
      <c r="D639" s="30" t="n">
        <v>45866</v>
      </c>
      <c r="E639" s="35" t="n">
        <v>16630.33</v>
      </c>
      <c r="F639" s="35" t="n">
        <v>3950.07</v>
      </c>
      <c r="G639" s="35" t="n">
        <v>3950.07</v>
      </c>
      <c r="H639" t="inlineStr">
        <is>
          <t>Paid</t>
        </is>
      </c>
    </row>
    <row r="640">
      <c r="A640" t="inlineStr">
        <is>
          <t>CLM517098</t>
        </is>
      </c>
      <c r="B640" t="inlineStr">
        <is>
          <t>PT12554</t>
        </is>
      </c>
      <c r="C640" t="inlineStr">
        <is>
          <t>PY01</t>
        </is>
      </c>
      <c r="D640" s="30" t="n">
        <v>45869</v>
      </c>
      <c r="E640" s="35" t="n">
        <v>77752.89999999999</v>
      </c>
      <c r="F640" s="35" t="n">
        <v>0</v>
      </c>
      <c r="G640" s="35" t="n">
        <v>0</v>
      </c>
      <c r="H640" t="inlineStr">
        <is>
          <t>Denied</t>
        </is>
      </c>
      <c r="I640" t="inlineStr">
        <is>
          <t>Medical Necessity</t>
        </is>
      </c>
    </row>
    <row r="641">
      <c r="A641" t="inlineStr">
        <is>
          <t>CLM517113</t>
        </is>
      </c>
      <c r="B641" t="inlineStr">
        <is>
          <t>PT12206</t>
        </is>
      </c>
      <c r="C641" t="inlineStr">
        <is>
          <t>PY03</t>
        </is>
      </c>
      <c r="D641" s="30" t="n">
        <v>45867</v>
      </c>
      <c r="E641" s="35" t="n">
        <v>17326.66</v>
      </c>
      <c r="F641" s="35" t="n">
        <v>0</v>
      </c>
      <c r="G641" s="35" t="n">
        <v>0</v>
      </c>
      <c r="H641" t="inlineStr">
        <is>
          <t>Denied</t>
        </is>
      </c>
      <c r="I641" t="inlineStr">
        <is>
          <t>Medical Necessity</t>
        </is>
      </c>
    </row>
    <row r="642">
      <c r="A642" t="inlineStr">
        <is>
          <t>CLM517114</t>
        </is>
      </c>
      <c r="B642" t="inlineStr">
        <is>
          <t>PT13530</t>
        </is>
      </c>
      <c r="C642" t="inlineStr">
        <is>
          <t>PY01</t>
        </is>
      </c>
      <c r="D642" s="30" t="n">
        <v>45863</v>
      </c>
      <c r="E642" s="35" t="n">
        <v>5493.46</v>
      </c>
      <c r="F642" s="35" t="n">
        <v>1694.02</v>
      </c>
      <c r="G642" s="35" t="n">
        <v>1684.6</v>
      </c>
      <c r="H642" t="inlineStr">
        <is>
          <t>Paid</t>
        </is>
      </c>
    </row>
    <row r="643">
      <c r="A643" t="inlineStr">
        <is>
          <t>CLM517119</t>
        </is>
      </c>
      <c r="B643" t="inlineStr">
        <is>
          <t>PT11253</t>
        </is>
      </c>
      <c r="C643" t="inlineStr">
        <is>
          <t>PY01</t>
        </is>
      </c>
      <c r="D643" s="30" t="n">
        <v>45881</v>
      </c>
      <c r="E643" s="35" t="n">
        <v>177720.25</v>
      </c>
      <c r="F643" s="35" t="n">
        <v>56970.02</v>
      </c>
      <c r="G643" s="35" t="n">
        <v>49094.51</v>
      </c>
      <c r="H643" t="inlineStr">
        <is>
          <t>Paid</t>
        </is>
      </c>
    </row>
    <row r="644">
      <c r="A644" t="inlineStr">
        <is>
          <t>CLM517123</t>
        </is>
      </c>
      <c r="B644" t="inlineStr">
        <is>
          <t>PT10471</t>
        </is>
      </c>
      <c r="C644" t="inlineStr">
        <is>
          <t>PY05</t>
        </is>
      </c>
      <c r="D644" s="30" t="n">
        <v>45863</v>
      </c>
      <c r="E644" s="35" t="n">
        <v>2413.35</v>
      </c>
      <c r="F644" s="35" t="n">
        <v>1145.63</v>
      </c>
      <c r="G644" s="35" t="n">
        <v>435.05</v>
      </c>
      <c r="H644" t="inlineStr">
        <is>
          <t>Partially Paid</t>
        </is>
      </c>
      <c r="I644" t="inlineStr">
        <is>
          <t>Coding Error</t>
        </is>
      </c>
    </row>
    <row r="645">
      <c r="A645" t="inlineStr">
        <is>
          <t>CLM517131</t>
        </is>
      </c>
      <c r="B645" t="inlineStr">
        <is>
          <t>PT10299</t>
        </is>
      </c>
      <c r="C645" t="inlineStr">
        <is>
          <t>PY06</t>
        </is>
      </c>
      <c r="D645" s="30" t="n">
        <v>45863</v>
      </c>
      <c r="E645" s="35" t="n">
        <v>1120.37</v>
      </c>
      <c r="F645" s="35" t="n">
        <v>668.49</v>
      </c>
      <c r="G645" s="35" t="n">
        <v>616.58</v>
      </c>
      <c r="H645" t="inlineStr">
        <is>
          <t>Paid</t>
        </is>
      </c>
    </row>
    <row r="646">
      <c r="A646" t="inlineStr">
        <is>
          <t>CLM517135</t>
        </is>
      </c>
      <c r="B646" t="inlineStr">
        <is>
          <t>PT11903</t>
        </is>
      </c>
      <c r="C646" t="inlineStr">
        <is>
          <t>PY05</t>
        </is>
      </c>
      <c r="D646" s="30" t="n">
        <v>45864</v>
      </c>
      <c r="E646" s="35" t="n">
        <v>3457.31</v>
      </c>
      <c r="F646" s="35" t="n">
        <v>1742.12</v>
      </c>
      <c r="G646" s="35" t="n">
        <v>1681.74</v>
      </c>
      <c r="H646" t="inlineStr">
        <is>
          <t>Paid</t>
        </is>
      </c>
    </row>
    <row r="647">
      <c r="A647" t="inlineStr">
        <is>
          <t>CLM517142</t>
        </is>
      </c>
      <c r="B647" t="inlineStr">
        <is>
          <t>PT10460</t>
        </is>
      </c>
      <c r="C647" t="inlineStr">
        <is>
          <t>PY04</t>
        </is>
      </c>
      <c r="D647" s="30" t="n">
        <v>45864</v>
      </c>
      <c r="E647" s="35" t="n">
        <v>3391.43</v>
      </c>
      <c r="F647" s="35" t="n">
        <v>1750.07</v>
      </c>
      <c r="G647" s="35" t="n">
        <v>1588.87</v>
      </c>
      <c r="H647" t="inlineStr">
        <is>
          <t>Paid</t>
        </is>
      </c>
    </row>
    <row r="648">
      <c r="A648" t="inlineStr">
        <is>
          <t>CLM517148</t>
        </is>
      </c>
      <c r="B648" t="inlineStr">
        <is>
          <t>PT12346</t>
        </is>
      </c>
      <c r="C648" t="inlineStr">
        <is>
          <t>PY04</t>
        </is>
      </c>
      <c r="D648" s="30" t="n">
        <v>45865</v>
      </c>
      <c r="E648" s="35" t="n">
        <v>1815.01</v>
      </c>
      <c r="F648" s="35" t="n">
        <v>892.91</v>
      </c>
      <c r="G648" s="35" t="n">
        <v>790.0599999999999</v>
      </c>
      <c r="H648" t="inlineStr">
        <is>
          <t>Paid</t>
        </is>
      </c>
    </row>
    <row r="649">
      <c r="A649" t="inlineStr">
        <is>
          <t>CLM517175</t>
        </is>
      </c>
      <c r="B649" t="inlineStr">
        <is>
          <t>PT12212</t>
        </is>
      </c>
      <c r="C649" t="inlineStr">
        <is>
          <t>PY03</t>
        </is>
      </c>
      <c r="D649" s="30" t="n">
        <v>45866</v>
      </c>
      <c r="E649" s="35" t="n">
        <v>3741.64</v>
      </c>
      <c r="F649" s="35" t="n">
        <v>866.47</v>
      </c>
      <c r="G649" s="35" t="n">
        <v>866.47</v>
      </c>
      <c r="H649" t="inlineStr">
        <is>
          <t>Paid</t>
        </is>
      </c>
    </row>
    <row r="650">
      <c r="A650" t="inlineStr">
        <is>
          <t>CLM517179</t>
        </is>
      </c>
      <c r="B650" t="inlineStr">
        <is>
          <t>PT10398</t>
        </is>
      </c>
      <c r="C650" t="inlineStr">
        <is>
          <t>PY01</t>
        </is>
      </c>
      <c r="D650" s="30" t="n">
        <v>45866</v>
      </c>
      <c r="E650" s="35" t="n">
        <v>3371.86</v>
      </c>
      <c r="F650" s="35" t="n">
        <v>1035.57</v>
      </c>
      <c r="G650" s="35" t="n">
        <v>973.64</v>
      </c>
      <c r="H650" t="inlineStr">
        <is>
          <t>Paid</t>
        </is>
      </c>
    </row>
    <row r="651">
      <c r="A651" t="inlineStr">
        <is>
          <t>CLM517187</t>
        </is>
      </c>
      <c r="B651" t="inlineStr">
        <is>
          <t>PT13889</t>
        </is>
      </c>
      <c r="C651" t="inlineStr">
        <is>
          <t>PY07</t>
        </is>
      </c>
      <c r="D651" s="30" t="n">
        <v>45866</v>
      </c>
      <c r="E651" s="35" t="n">
        <v>1163.32</v>
      </c>
      <c r="F651" s="35" t="n">
        <v>482.4</v>
      </c>
      <c r="G651" s="35" t="n">
        <v>0</v>
      </c>
      <c r="H651" t="inlineStr">
        <is>
          <t>Pending</t>
        </is>
      </c>
    </row>
    <row r="652">
      <c r="A652" t="inlineStr">
        <is>
          <t>CLM517194</t>
        </is>
      </c>
      <c r="B652" t="inlineStr">
        <is>
          <t>PT11712</t>
        </is>
      </c>
      <c r="C652" t="inlineStr">
        <is>
          <t>PY01</t>
        </is>
      </c>
      <c r="D652" s="30" t="n">
        <v>45872</v>
      </c>
      <c r="E652" s="35" t="n">
        <v>92239.59</v>
      </c>
      <c r="F652" s="35" t="n">
        <v>29685.19</v>
      </c>
      <c r="G652" s="35" t="n">
        <v>27349.49</v>
      </c>
      <c r="H652" t="inlineStr">
        <is>
          <t>Paid</t>
        </is>
      </c>
    </row>
    <row r="653">
      <c r="A653" t="inlineStr">
        <is>
          <t>CLM517204</t>
        </is>
      </c>
      <c r="B653" t="inlineStr">
        <is>
          <t>PT13116</t>
        </is>
      </c>
      <c r="C653" t="inlineStr">
        <is>
          <t>PY01</t>
        </is>
      </c>
      <c r="D653" s="30" t="n">
        <v>45867</v>
      </c>
      <c r="E653" s="35" t="n">
        <v>1567.1</v>
      </c>
      <c r="F653" s="35" t="n">
        <v>476.97</v>
      </c>
      <c r="G653" s="35" t="n">
        <v>426.18</v>
      </c>
      <c r="H653" t="inlineStr">
        <is>
          <t>Paid</t>
        </is>
      </c>
    </row>
    <row r="654">
      <c r="A654" t="inlineStr">
        <is>
          <t>CLM517223</t>
        </is>
      </c>
      <c r="B654" t="inlineStr">
        <is>
          <t>PT10667</t>
        </is>
      </c>
      <c r="C654" t="inlineStr">
        <is>
          <t>PY03</t>
        </is>
      </c>
      <c r="D654" s="30" t="n">
        <v>45882</v>
      </c>
      <c r="E654" s="35" t="n">
        <v>237627.21</v>
      </c>
      <c r="F654" s="35" t="n">
        <v>53260.01</v>
      </c>
      <c r="G654" s="35" t="n">
        <v>53260.01</v>
      </c>
      <c r="H654" t="inlineStr">
        <is>
          <t>Paid</t>
        </is>
      </c>
    </row>
    <row r="655">
      <c r="A655" t="inlineStr">
        <is>
          <t>CLM517234</t>
        </is>
      </c>
      <c r="B655" t="inlineStr">
        <is>
          <t>PT10750</t>
        </is>
      </c>
      <c r="C655" t="inlineStr">
        <is>
          <t>PY01</t>
        </is>
      </c>
      <c r="D655" s="30" t="n">
        <v>45868</v>
      </c>
      <c r="E655" s="35" t="n">
        <v>3411.75</v>
      </c>
      <c r="F655" s="35" t="n">
        <v>1085.79</v>
      </c>
      <c r="G655" s="35" t="n">
        <v>998.63</v>
      </c>
      <c r="H655" t="inlineStr">
        <is>
          <t>Paid</t>
        </is>
      </c>
    </row>
    <row r="656">
      <c r="A656" t="inlineStr">
        <is>
          <t>CLM517245</t>
        </is>
      </c>
      <c r="B656" t="inlineStr">
        <is>
          <t>PT10205</t>
        </is>
      </c>
      <c r="C656" t="inlineStr">
        <is>
          <t>PY02</t>
        </is>
      </c>
      <c r="D656" s="30" t="n">
        <v>45871</v>
      </c>
      <c r="E656" s="35" t="n">
        <v>15001.84</v>
      </c>
      <c r="F656" s="35" t="n">
        <v>5431.8</v>
      </c>
      <c r="G656" s="35" t="n">
        <v>5431.8</v>
      </c>
      <c r="H656" t="inlineStr">
        <is>
          <t>Paid</t>
        </is>
      </c>
    </row>
    <row r="657">
      <c r="A657" t="inlineStr">
        <is>
          <t>CLM517255</t>
        </is>
      </c>
      <c r="B657" t="inlineStr">
        <is>
          <t>PT12513</t>
        </is>
      </c>
      <c r="C657" t="inlineStr">
        <is>
          <t>PY02</t>
        </is>
      </c>
      <c r="D657" s="30" t="n">
        <v>45868</v>
      </c>
      <c r="E657" s="35" t="n">
        <v>2125.52</v>
      </c>
      <c r="F657" s="35" t="n">
        <v>709.52</v>
      </c>
      <c r="G657" s="35" t="n">
        <v>642.16</v>
      </c>
      <c r="H657" t="inlineStr">
        <is>
          <t>Paid</t>
        </is>
      </c>
    </row>
    <row r="658">
      <c r="A658" t="inlineStr">
        <is>
          <t>CLM517263</t>
        </is>
      </c>
      <c r="B658" t="inlineStr">
        <is>
          <t>PT13853</t>
        </is>
      </c>
      <c r="C658" t="inlineStr">
        <is>
          <t>PY02</t>
        </is>
      </c>
      <c r="D658" s="30" t="n">
        <v>45869</v>
      </c>
      <c r="E658" s="35" t="n">
        <v>4877.96</v>
      </c>
      <c r="F658" s="35" t="n">
        <v>1684.16</v>
      </c>
      <c r="G658" s="35" t="n">
        <v>999.3200000000001</v>
      </c>
      <c r="H658" t="inlineStr">
        <is>
          <t>Partially Paid</t>
        </is>
      </c>
      <c r="I658" t="inlineStr">
        <is>
          <t>Medical Necessity</t>
        </is>
      </c>
    </row>
    <row r="659">
      <c r="A659" t="inlineStr">
        <is>
          <t>CLM517272</t>
        </is>
      </c>
      <c r="B659" t="inlineStr">
        <is>
          <t>PT10947</t>
        </is>
      </c>
      <c r="C659" t="inlineStr">
        <is>
          <t>PY02</t>
        </is>
      </c>
      <c r="D659" s="30" t="n">
        <v>45869</v>
      </c>
      <c r="E659" s="35" t="n">
        <v>3302.77</v>
      </c>
      <c r="F659" s="35" t="n">
        <v>1015.81</v>
      </c>
      <c r="G659" s="35" t="n">
        <v>935.51</v>
      </c>
      <c r="H659" t="inlineStr">
        <is>
          <t>Paid</t>
        </is>
      </c>
    </row>
    <row r="660">
      <c r="A660" t="inlineStr">
        <is>
          <t>CLM517279</t>
        </is>
      </c>
      <c r="B660" t="inlineStr">
        <is>
          <t>PT12162</t>
        </is>
      </c>
      <c r="C660" t="inlineStr">
        <is>
          <t>PY04</t>
        </is>
      </c>
      <c r="D660" s="30" t="n">
        <v>45874</v>
      </c>
      <c r="E660" s="35" t="n">
        <v>18536.3</v>
      </c>
      <c r="F660" s="35" t="n">
        <v>9503.84</v>
      </c>
      <c r="G660" s="35" t="n">
        <v>8989.5</v>
      </c>
      <c r="H660" t="inlineStr">
        <is>
          <t>Paid</t>
        </is>
      </c>
    </row>
    <row r="661">
      <c r="A661" t="inlineStr">
        <is>
          <t>CLM517318</t>
        </is>
      </c>
      <c r="B661" t="inlineStr">
        <is>
          <t>PT11832</t>
        </is>
      </c>
      <c r="C661" t="inlineStr">
        <is>
          <t>PY03</t>
        </is>
      </c>
      <c r="D661" s="30" t="n">
        <v>45870</v>
      </c>
      <c r="E661" s="35" t="n">
        <v>1397.23</v>
      </c>
      <c r="F661" s="35" t="n">
        <v>323.86</v>
      </c>
      <c r="G661" s="35" t="n">
        <v>323.86</v>
      </c>
      <c r="H661" t="inlineStr">
        <is>
          <t>Paid</t>
        </is>
      </c>
    </row>
    <row r="662">
      <c r="A662" t="inlineStr">
        <is>
          <t>CLM517320</t>
        </is>
      </c>
      <c r="B662" t="inlineStr">
        <is>
          <t>PT10547</t>
        </is>
      </c>
      <c r="C662" t="inlineStr">
        <is>
          <t>PY04</t>
        </is>
      </c>
      <c r="D662" s="30" t="n">
        <v>45871</v>
      </c>
      <c r="E662" s="35" t="n">
        <v>2719.39</v>
      </c>
      <c r="F662" s="35" t="n">
        <v>1426.1</v>
      </c>
      <c r="G662" s="35" t="n">
        <v>1205.5</v>
      </c>
      <c r="H662" t="inlineStr">
        <is>
          <t>Paid</t>
        </is>
      </c>
    </row>
    <row r="663">
      <c r="A663" t="inlineStr">
        <is>
          <t>CLM517326</t>
        </is>
      </c>
      <c r="B663" t="inlineStr">
        <is>
          <t>PT12554</t>
        </is>
      </c>
      <c r="C663" t="inlineStr">
        <is>
          <t>PY01</t>
        </is>
      </c>
      <c r="D663" s="30" t="n">
        <v>45877</v>
      </c>
      <c r="E663" s="35" t="n">
        <v>24781.9</v>
      </c>
      <c r="F663" s="35" t="n">
        <v>7981.35</v>
      </c>
      <c r="G663" s="35" t="n">
        <v>7084.52</v>
      </c>
      <c r="H663" t="inlineStr">
        <is>
          <t>Paid</t>
        </is>
      </c>
    </row>
    <row r="664">
      <c r="A664" t="inlineStr">
        <is>
          <t>CLM517331</t>
        </is>
      </c>
      <c r="B664" t="inlineStr">
        <is>
          <t>PT11688</t>
        </is>
      </c>
      <c r="C664" t="inlineStr">
        <is>
          <t>PY02</t>
        </is>
      </c>
      <c r="D664" s="30" t="n">
        <v>45871</v>
      </c>
      <c r="E664" s="35" t="n">
        <v>1285.33</v>
      </c>
      <c r="F664" s="35" t="n">
        <v>389.24</v>
      </c>
      <c r="G664" s="35" t="n">
        <v>343.19</v>
      </c>
      <c r="H664" t="inlineStr">
        <is>
          <t>Paid</t>
        </is>
      </c>
    </row>
    <row r="665">
      <c r="A665" t="inlineStr">
        <is>
          <t>CLM517335</t>
        </is>
      </c>
      <c r="B665" t="inlineStr">
        <is>
          <t>PT11534</t>
        </is>
      </c>
      <c r="C665" t="inlineStr">
        <is>
          <t>PY04</t>
        </is>
      </c>
      <c r="D665" s="30" t="n">
        <v>45873</v>
      </c>
      <c r="E665" s="35" t="n">
        <v>9762.77</v>
      </c>
      <c r="F665" s="35" t="n">
        <v>5443.69</v>
      </c>
      <c r="G665" s="35" t="n">
        <v>5356</v>
      </c>
      <c r="H665" t="inlineStr">
        <is>
          <t>Paid</t>
        </is>
      </c>
    </row>
    <row r="666">
      <c r="A666" t="inlineStr">
        <is>
          <t>CLM517336</t>
        </is>
      </c>
      <c r="B666" t="inlineStr">
        <is>
          <t>PT12201</t>
        </is>
      </c>
      <c r="C666" t="inlineStr">
        <is>
          <t>PY03</t>
        </is>
      </c>
      <c r="D666" s="30" t="n">
        <v>45872</v>
      </c>
      <c r="E666" s="35" t="n">
        <v>3931.17</v>
      </c>
      <c r="F666" s="35" t="n">
        <v>1045.21</v>
      </c>
      <c r="G666" s="35" t="n">
        <v>1045.21</v>
      </c>
      <c r="H666" t="inlineStr">
        <is>
          <t>Paid</t>
        </is>
      </c>
    </row>
    <row r="667">
      <c r="A667" t="inlineStr">
        <is>
          <t>CLM517337</t>
        </is>
      </c>
      <c r="B667" t="inlineStr">
        <is>
          <t>PT11611</t>
        </is>
      </c>
      <c r="C667" t="inlineStr">
        <is>
          <t>PY06</t>
        </is>
      </c>
      <c r="D667" s="30" t="n">
        <v>45875</v>
      </c>
      <c r="E667" s="35" t="n">
        <v>60313.2</v>
      </c>
      <c r="F667" s="35" t="n">
        <v>30417.1</v>
      </c>
      <c r="G667" s="35" t="n">
        <v>26442.58</v>
      </c>
      <c r="H667" t="inlineStr">
        <is>
          <t>Paid</t>
        </is>
      </c>
    </row>
    <row r="668">
      <c r="A668" t="inlineStr">
        <is>
          <t>CLM517344</t>
        </is>
      </c>
      <c r="B668" t="inlineStr">
        <is>
          <t>PT11902</t>
        </is>
      </c>
      <c r="C668" t="inlineStr">
        <is>
          <t>PY01</t>
        </is>
      </c>
      <c r="D668" s="30" t="n">
        <v>45872</v>
      </c>
      <c r="E668" s="35" t="n">
        <v>4668.92</v>
      </c>
      <c r="F668" s="35" t="n">
        <v>1367.95</v>
      </c>
      <c r="G668" s="35" t="n">
        <v>1246.99</v>
      </c>
      <c r="H668" t="inlineStr">
        <is>
          <t>Paid</t>
        </is>
      </c>
    </row>
    <row r="669">
      <c r="A669" t="inlineStr">
        <is>
          <t>CLM517351</t>
        </is>
      </c>
      <c r="B669" t="inlineStr">
        <is>
          <t>PT10750</t>
        </is>
      </c>
      <c r="C669" t="inlineStr">
        <is>
          <t>PY01</t>
        </is>
      </c>
      <c r="D669" s="30" t="n">
        <v>45877</v>
      </c>
      <c r="E669" s="35" t="n">
        <v>81832.74000000001</v>
      </c>
      <c r="F669" s="35" t="n">
        <v>24286.08</v>
      </c>
      <c r="G669" s="35" t="n">
        <v>21500.17</v>
      </c>
      <c r="H669" t="inlineStr">
        <is>
          <t>Paid</t>
        </is>
      </c>
    </row>
    <row r="670">
      <c r="A670" t="inlineStr">
        <is>
          <t>CLM517387</t>
        </is>
      </c>
      <c r="B670" t="inlineStr">
        <is>
          <t>PT10475</t>
        </is>
      </c>
      <c r="C670" t="inlineStr">
        <is>
          <t>PY06</t>
        </is>
      </c>
      <c r="D670" s="30" t="n">
        <v>45874</v>
      </c>
      <c r="E670" s="35" t="n">
        <v>887.0700000000001</v>
      </c>
      <c r="F670" s="35" t="n">
        <v>528.49</v>
      </c>
      <c r="G670" s="35" t="n">
        <v>488.04</v>
      </c>
      <c r="H670" t="inlineStr">
        <is>
          <t>Paid</t>
        </is>
      </c>
    </row>
    <row r="671">
      <c r="A671" t="inlineStr">
        <is>
          <t>CLM517398</t>
        </is>
      </c>
      <c r="B671" t="inlineStr">
        <is>
          <t>PT13323</t>
        </is>
      </c>
      <c r="C671" t="inlineStr">
        <is>
          <t>PY04</t>
        </is>
      </c>
      <c r="D671" s="30" t="n">
        <v>45874</v>
      </c>
      <c r="E671" s="35" t="n">
        <v>2881.71</v>
      </c>
      <c r="F671" s="35" t="n">
        <v>1521.99</v>
      </c>
      <c r="G671" s="35" t="n">
        <v>1452.72</v>
      </c>
      <c r="H671" t="inlineStr">
        <is>
          <t>Paid</t>
        </is>
      </c>
    </row>
    <row r="672">
      <c r="A672" t="inlineStr">
        <is>
          <t>CLM517414</t>
        </is>
      </c>
      <c r="B672" t="inlineStr">
        <is>
          <t>PT11231</t>
        </is>
      </c>
      <c r="C672" t="inlineStr">
        <is>
          <t>PY04</t>
        </is>
      </c>
      <c r="D672" s="30" t="n">
        <v>45875</v>
      </c>
      <c r="E672" s="35" t="n">
        <v>1722.15</v>
      </c>
      <c r="F672" s="35" t="n">
        <v>775.35</v>
      </c>
      <c r="G672" s="35" t="n">
        <v>726.8200000000001</v>
      </c>
      <c r="H672" t="inlineStr">
        <is>
          <t>Paid</t>
        </is>
      </c>
    </row>
    <row r="673">
      <c r="A673" t="inlineStr">
        <is>
          <t>CLM517438</t>
        </is>
      </c>
      <c r="B673" t="inlineStr">
        <is>
          <t>PT12203</t>
        </is>
      </c>
      <c r="C673" t="inlineStr">
        <is>
          <t>PY02</t>
        </is>
      </c>
      <c r="D673" s="30" t="n">
        <v>45876</v>
      </c>
      <c r="E673" s="35" t="n">
        <v>9827.700000000001</v>
      </c>
      <c r="F673" s="35" t="n">
        <v>0</v>
      </c>
      <c r="G673" s="35" t="n">
        <v>0</v>
      </c>
      <c r="H673" t="inlineStr">
        <is>
          <t>Denied</t>
        </is>
      </c>
      <c r="I673" t="inlineStr">
        <is>
          <t>Medical Necessity</t>
        </is>
      </c>
    </row>
    <row r="674">
      <c r="A674" t="inlineStr">
        <is>
          <t>CLM517442</t>
        </is>
      </c>
      <c r="B674" t="inlineStr">
        <is>
          <t>PT10886</t>
        </is>
      </c>
      <c r="C674" t="inlineStr">
        <is>
          <t>PY02</t>
        </is>
      </c>
      <c r="D674" s="30" t="n">
        <v>45875</v>
      </c>
      <c r="E674" s="35" t="n">
        <v>3676.96</v>
      </c>
      <c r="F674" s="35" t="n">
        <v>1224.67</v>
      </c>
      <c r="G674" s="35" t="n">
        <v>1158.76</v>
      </c>
      <c r="H674" t="inlineStr">
        <is>
          <t>Paid</t>
        </is>
      </c>
    </row>
    <row r="675">
      <c r="A675" t="inlineStr">
        <is>
          <t>CLM517443</t>
        </is>
      </c>
      <c r="B675" t="inlineStr">
        <is>
          <t>PT13311</t>
        </is>
      </c>
      <c r="C675" t="inlineStr">
        <is>
          <t>PY03</t>
        </is>
      </c>
      <c r="D675" s="30" t="n">
        <v>45876</v>
      </c>
      <c r="E675" s="35" t="n">
        <v>1612.69</v>
      </c>
      <c r="F675" s="35" t="n">
        <v>341.06</v>
      </c>
      <c r="G675" s="35" t="n">
        <v>341.06</v>
      </c>
      <c r="H675" t="inlineStr">
        <is>
          <t>Paid</t>
        </is>
      </c>
    </row>
    <row r="676">
      <c r="A676" t="inlineStr">
        <is>
          <t>CLM517447</t>
        </is>
      </c>
      <c r="B676" t="inlineStr">
        <is>
          <t>PT11242</t>
        </is>
      </c>
      <c r="C676" t="inlineStr">
        <is>
          <t>PY04</t>
        </is>
      </c>
      <c r="D676" s="30" t="n">
        <v>45876</v>
      </c>
      <c r="E676" s="35" t="n">
        <v>1528.48</v>
      </c>
      <c r="F676" s="35" t="n">
        <v>819</v>
      </c>
      <c r="G676" s="35" t="n">
        <v>676.77</v>
      </c>
      <c r="H676" t="inlineStr">
        <is>
          <t>Paid</t>
        </is>
      </c>
    </row>
    <row r="677">
      <c r="A677" t="inlineStr">
        <is>
          <t>CLM517468</t>
        </is>
      </c>
      <c r="B677" t="inlineStr">
        <is>
          <t>PT11138</t>
        </is>
      </c>
      <c r="C677" t="inlineStr">
        <is>
          <t>PY06</t>
        </is>
      </c>
      <c r="D677" s="30" t="n">
        <v>45881</v>
      </c>
      <c r="E677" s="35" t="n">
        <v>62121.76</v>
      </c>
      <c r="F677" s="35" t="n">
        <v>35077.17</v>
      </c>
      <c r="G677" s="35" t="n">
        <v>32939.87</v>
      </c>
      <c r="H677" t="inlineStr">
        <is>
          <t>Paid</t>
        </is>
      </c>
    </row>
    <row r="678">
      <c r="A678" t="inlineStr">
        <is>
          <t>CLM517477</t>
        </is>
      </c>
      <c r="B678" t="inlineStr">
        <is>
          <t>PT12703</t>
        </is>
      </c>
      <c r="C678" t="inlineStr">
        <is>
          <t>PY02</t>
        </is>
      </c>
      <c r="D678" s="30" t="n">
        <v>45880</v>
      </c>
      <c r="E678" s="35" t="n">
        <v>23627.42</v>
      </c>
      <c r="F678" s="35" t="n">
        <v>8405.17</v>
      </c>
      <c r="G678" s="35" t="n">
        <v>7667.77</v>
      </c>
      <c r="H678" t="inlineStr">
        <is>
          <t>Paid</t>
        </is>
      </c>
    </row>
    <row r="679">
      <c r="A679" t="inlineStr">
        <is>
          <t>CLM517486</t>
        </is>
      </c>
      <c r="B679" t="inlineStr">
        <is>
          <t>PT13853</t>
        </is>
      </c>
      <c r="C679" t="inlineStr">
        <is>
          <t>PY02</t>
        </is>
      </c>
      <c r="D679" s="30" t="n">
        <v>45877</v>
      </c>
      <c r="E679" s="35" t="n">
        <v>1021.04</v>
      </c>
      <c r="F679" s="35" t="n">
        <v>0</v>
      </c>
      <c r="G679" s="35" t="n">
        <v>0</v>
      </c>
      <c r="H679" t="inlineStr">
        <is>
          <t>Denied</t>
        </is>
      </c>
      <c r="I679" t="inlineStr">
        <is>
          <t>Missing Documentation</t>
        </is>
      </c>
    </row>
    <row r="680">
      <c r="A680" t="inlineStr">
        <is>
          <t>CLM517498</t>
        </is>
      </c>
      <c r="B680" t="inlineStr">
        <is>
          <t>PT10067</t>
        </is>
      </c>
      <c r="C680" t="inlineStr">
        <is>
          <t>PY02</t>
        </is>
      </c>
      <c r="D680" s="30" t="n">
        <v>45882</v>
      </c>
      <c r="E680" s="35" t="n">
        <v>63758.14</v>
      </c>
      <c r="F680" s="35" t="n">
        <v>23556.48</v>
      </c>
      <c r="G680" s="35" t="n">
        <v>21655.36</v>
      </c>
      <c r="H680" t="inlineStr">
        <is>
          <t>Paid</t>
        </is>
      </c>
    </row>
    <row r="681">
      <c r="A681" t="inlineStr">
        <is>
          <t>CLM517519</t>
        </is>
      </c>
      <c r="B681" t="inlineStr">
        <is>
          <t>PT11386</t>
        </is>
      </c>
      <c r="C681" t="inlineStr">
        <is>
          <t>PY06</t>
        </is>
      </c>
      <c r="D681" s="30" t="n">
        <v>45879</v>
      </c>
      <c r="E681" s="35" t="n">
        <v>1232.68</v>
      </c>
      <c r="F681" s="35" t="n">
        <v>0</v>
      </c>
      <c r="G681" s="35" t="n">
        <v>0</v>
      </c>
      <c r="H681" t="inlineStr">
        <is>
          <t>Denied</t>
        </is>
      </c>
      <c r="I681" t="inlineStr">
        <is>
          <t>Timely Filing</t>
        </is>
      </c>
    </row>
    <row r="682">
      <c r="A682" t="inlineStr">
        <is>
          <t>CLM517523</t>
        </is>
      </c>
      <c r="B682" t="inlineStr">
        <is>
          <t>PT13575</t>
        </is>
      </c>
      <c r="C682" t="inlineStr">
        <is>
          <t>PY03</t>
        </is>
      </c>
      <c r="D682" s="30" t="n">
        <v>45883</v>
      </c>
      <c r="E682" s="35" t="n">
        <v>19335.42</v>
      </c>
      <c r="F682" s="35" t="n">
        <v>4524.4</v>
      </c>
      <c r="G682" s="35" t="n">
        <v>4524.4</v>
      </c>
      <c r="H682" t="inlineStr">
        <is>
          <t>Paid</t>
        </is>
      </c>
    </row>
    <row r="683">
      <c r="A683" t="inlineStr">
        <is>
          <t>CLM517529</t>
        </is>
      </c>
      <c r="B683" t="inlineStr">
        <is>
          <t>PT12449</t>
        </is>
      </c>
      <c r="C683" t="inlineStr">
        <is>
          <t>PY04</t>
        </is>
      </c>
      <c r="D683" s="30" t="n">
        <v>45898</v>
      </c>
      <c r="E683" s="35" t="n">
        <v>250917.29</v>
      </c>
      <c r="F683" s="35" t="n">
        <v>126710.33</v>
      </c>
      <c r="G683" s="35" t="n">
        <v>104953.59</v>
      </c>
      <c r="H683" t="inlineStr">
        <is>
          <t>Paid</t>
        </is>
      </c>
    </row>
    <row r="684">
      <c r="A684" t="inlineStr">
        <is>
          <t>CLM517531</t>
        </is>
      </c>
      <c r="B684" t="inlineStr">
        <is>
          <t>PT12774</t>
        </is>
      </c>
      <c r="C684" t="inlineStr">
        <is>
          <t>PY05</t>
        </is>
      </c>
      <c r="D684" s="30" t="n">
        <v>45883</v>
      </c>
      <c r="E684" s="35" t="n">
        <v>13291.83</v>
      </c>
      <c r="F684" s="35" t="n">
        <v>5590.02</v>
      </c>
      <c r="G684" s="35" t="n">
        <v>4186.74</v>
      </c>
      <c r="H684" t="inlineStr">
        <is>
          <t>Partially Paid</t>
        </is>
      </c>
      <c r="I684" t="inlineStr">
        <is>
          <t>Coding Error</t>
        </is>
      </c>
    </row>
    <row r="685">
      <c r="A685" t="inlineStr">
        <is>
          <t>CLM517533</t>
        </is>
      </c>
      <c r="B685" t="inlineStr">
        <is>
          <t>PT10607</t>
        </is>
      </c>
      <c r="C685" t="inlineStr">
        <is>
          <t>PY03</t>
        </is>
      </c>
      <c r="D685" s="30" t="n">
        <v>45880</v>
      </c>
      <c r="E685" s="35" t="n">
        <v>1976.59</v>
      </c>
      <c r="F685" s="35" t="n">
        <v>454.84</v>
      </c>
      <c r="G685" s="35" t="n">
        <v>454.84</v>
      </c>
      <c r="H685" t="inlineStr">
        <is>
          <t>Paid</t>
        </is>
      </c>
    </row>
    <row r="686">
      <c r="A686" t="inlineStr">
        <is>
          <t>CLM517549</t>
        </is>
      </c>
      <c r="B686" t="inlineStr">
        <is>
          <t>PT11727</t>
        </is>
      </c>
      <c r="C686" t="inlineStr">
        <is>
          <t>PY06</t>
        </is>
      </c>
      <c r="D686" s="30" t="n">
        <v>45880</v>
      </c>
      <c r="E686" s="35" t="n">
        <v>3121.4</v>
      </c>
      <c r="F686" s="35" t="n">
        <v>1813.27</v>
      </c>
      <c r="G686" s="35" t="n">
        <v>1502.97</v>
      </c>
      <c r="H686" t="inlineStr">
        <is>
          <t>Paid</t>
        </is>
      </c>
    </row>
    <row r="687">
      <c r="A687" t="inlineStr">
        <is>
          <t>CLM517550</t>
        </is>
      </c>
      <c r="B687" t="inlineStr">
        <is>
          <t>PT10676</t>
        </is>
      </c>
      <c r="C687" t="inlineStr">
        <is>
          <t>PY01</t>
        </is>
      </c>
      <c r="D687" s="30" t="n">
        <v>45883</v>
      </c>
      <c r="E687" s="35" t="n">
        <v>11351.36</v>
      </c>
      <c r="F687" s="35" t="n">
        <v>3462.53</v>
      </c>
      <c r="G687" s="35" t="n">
        <v>3177.91</v>
      </c>
      <c r="H687" t="inlineStr">
        <is>
          <t>Paid</t>
        </is>
      </c>
    </row>
    <row r="688">
      <c r="A688" t="inlineStr">
        <is>
          <t>CLM517555</t>
        </is>
      </c>
      <c r="B688" t="inlineStr">
        <is>
          <t>PT12725</t>
        </is>
      </c>
      <c r="C688" t="inlineStr">
        <is>
          <t>PY03</t>
        </is>
      </c>
      <c r="D688" s="30" t="n">
        <v>45885</v>
      </c>
      <c r="E688" s="35" t="n">
        <v>39110.36</v>
      </c>
      <c r="F688" s="35" t="n">
        <v>9219.950000000001</v>
      </c>
      <c r="G688" s="35" t="n">
        <v>9219.950000000001</v>
      </c>
      <c r="H688" t="inlineStr">
        <is>
          <t>Paid</t>
        </is>
      </c>
    </row>
    <row r="689">
      <c r="A689" t="inlineStr">
        <is>
          <t>CLM517557</t>
        </is>
      </c>
      <c r="B689" t="inlineStr">
        <is>
          <t>PT12316</t>
        </is>
      </c>
      <c r="C689" t="inlineStr">
        <is>
          <t>PY02</t>
        </is>
      </c>
      <c r="D689" s="30" t="n">
        <v>45880</v>
      </c>
      <c r="E689" s="35" t="n">
        <v>719.64</v>
      </c>
      <c r="F689" s="35" t="n">
        <v>254.03</v>
      </c>
      <c r="G689" s="35" t="n">
        <v>247.32</v>
      </c>
      <c r="H689" t="inlineStr">
        <is>
          <t>Paid</t>
        </is>
      </c>
    </row>
    <row r="690">
      <c r="A690" t="inlineStr">
        <is>
          <t>CLM517559</t>
        </is>
      </c>
      <c r="B690" t="inlineStr">
        <is>
          <t>PT13365</t>
        </is>
      </c>
      <c r="C690" t="inlineStr">
        <is>
          <t>PY03</t>
        </is>
      </c>
      <c r="D690" s="30" t="n">
        <v>45883</v>
      </c>
      <c r="E690" s="35" t="n">
        <v>21838.98</v>
      </c>
      <c r="F690" s="35" t="n">
        <v>5673.54</v>
      </c>
      <c r="G690" s="35" t="n">
        <v>5673.54</v>
      </c>
      <c r="H690" t="inlineStr">
        <is>
          <t>Paid</t>
        </is>
      </c>
    </row>
    <row r="691">
      <c r="A691" t="inlineStr">
        <is>
          <t>CLM517560</t>
        </is>
      </c>
      <c r="B691" t="inlineStr">
        <is>
          <t>PT11303</t>
        </is>
      </c>
      <c r="C691" t="inlineStr">
        <is>
          <t>PY03</t>
        </is>
      </c>
      <c r="D691" s="30" t="n">
        <v>45881</v>
      </c>
      <c r="E691" s="35" t="n">
        <v>3716.32</v>
      </c>
      <c r="F691" s="35" t="n">
        <v>836.86</v>
      </c>
      <c r="G691" s="35" t="n">
        <v>836.86</v>
      </c>
      <c r="H691" t="inlineStr">
        <is>
          <t>Paid</t>
        </is>
      </c>
    </row>
    <row r="692">
      <c r="A692" t="inlineStr">
        <is>
          <t>CLM517572</t>
        </is>
      </c>
      <c r="B692" t="inlineStr">
        <is>
          <t>PT11712</t>
        </is>
      </c>
      <c r="C692" t="inlineStr">
        <is>
          <t>PY01</t>
        </is>
      </c>
      <c r="D692" s="30" t="n">
        <v>45881</v>
      </c>
      <c r="E692" s="35" t="n">
        <v>1451.56</v>
      </c>
      <c r="F692" s="35" t="n">
        <v>457.18</v>
      </c>
      <c r="G692" s="35" t="n">
        <v>409.03</v>
      </c>
      <c r="H692" t="inlineStr">
        <is>
          <t>Paid</t>
        </is>
      </c>
    </row>
    <row r="693">
      <c r="A693" t="inlineStr">
        <is>
          <t>CLM517594</t>
        </is>
      </c>
      <c r="B693" t="inlineStr">
        <is>
          <t>PT10409</t>
        </is>
      </c>
      <c r="C693" t="inlineStr">
        <is>
          <t>PY01</t>
        </is>
      </c>
      <c r="D693" s="30" t="n">
        <v>45881</v>
      </c>
      <c r="E693" s="35" t="n">
        <v>7181.64</v>
      </c>
      <c r="F693" s="35" t="n">
        <v>2115.85</v>
      </c>
      <c r="G693" s="35" t="n">
        <v>1818.43</v>
      </c>
      <c r="H693" t="inlineStr">
        <is>
          <t>Paid</t>
        </is>
      </c>
    </row>
    <row r="694">
      <c r="A694" t="inlineStr">
        <is>
          <t>CLM517595</t>
        </is>
      </c>
      <c r="B694" t="inlineStr">
        <is>
          <t>PT12588</t>
        </is>
      </c>
      <c r="C694" t="inlineStr">
        <is>
          <t>PY06</t>
        </is>
      </c>
      <c r="D694" s="30" t="n">
        <v>45881</v>
      </c>
      <c r="E694" s="35" t="n">
        <v>3325.66</v>
      </c>
      <c r="F694" s="35" t="n">
        <v>1773.61</v>
      </c>
      <c r="G694" s="35" t="n">
        <v>1755.34</v>
      </c>
      <c r="H694" t="inlineStr">
        <is>
          <t>Paid</t>
        </is>
      </c>
    </row>
    <row r="695">
      <c r="A695" t="inlineStr">
        <is>
          <t>CLM517602</t>
        </is>
      </c>
      <c r="B695" t="inlineStr">
        <is>
          <t>PT11301</t>
        </is>
      </c>
      <c r="C695" t="inlineStr">
        <is>
          <t>PY04</t>
        </is>
      </c>
      <c r="D695" s="30" t="n">
        <v>45885</v>
      </c>
      <c r="E695" s="35" t="n">
        <v>52096.49</v>
      </c>
      <c r="F695" s="35" t="n">
        <v>30007.45</v>
      </c>
      <c r="G695" s="35" t="n">
        <v>28890.82</v>
      </c>
      <c r="H695" t="inlineStr">
        <is>
          <t>Paid</t>
        </is>
      </c>
    </row>
    <row r="696">
      <c r="A696" t="inlineStr">
        <is>
          <t>CLM517625</t>
        </is>
      </c>
      <c r="B696" t="inlineStr">
        <is>
          <t>PT13968</t>
        </is>
      </c>
      <c r="C696" t="inlineStr">
        <is>
          <t>PY01</t>
        </is>
      </c>
      <c r="D696" s="30" t="n">
        <v>45889</v>
      </c>
      <c r="E696" s="35" t="n">
        <v>75343.89</v>
      </c>
      <c r="F696" s="35" t="n">
        <v>22603.7</v>
      </c>
      <c r="G696" s="35" t="n">
        <v>19631.78</v>
      </c>
      <c r="H696" t="inlineStr">
        <is>
          <t>Paid</t>
        </is>
      </c>
    </row>
    <row r="697">
      <c r="A697" t="inlineStr">
        <is>
          <t>CLM517627</t>
        </is>
      </c>
      <c r="B697" t="inlineStr">
        <is>
          <t>PT11446</t>
        </is>
      </c>
      <c r="C697" t="inlineStr">
        <is>
          <t>PY03</t>
        </is>
      </c>
      <c r="D697" s="30" t="n">
        <v>45882</v>
      </c>
      <c r="E697" s="35" t="n">
        <v>3293.05</v>
      </c>
      <c r="F697" s="35" t="n">
        <v>781.85</v>
      </c>
      <c r="G697" s="35" t="n">
        <v>781.85</v>
      </c>
      <c r="H697" t="inlineStr">
        <is>
          <t>Paid</t>
        </is>
      </c>
    </row>
    <row r="698">
      <c r="A698" t="inlineStr">
        <is>
          <t>CLM517631</t>
        </is>
      </c>
      <c r="B698" t="inlineStr">
        <is>
          <t>PT12101</t>
        </is>
      </c>
      <c r="C698" t="inlineStr">
        <is>
          <t>PY05</t>
        </is>
      </c>
      <c r="D698" s="30" t="n">
        <v>45891</v>
      </c>
      <c r="E698" s="35" t="n">
        <v>107839.86</v>
      </c>
      <c r="F698" s="35" t="n">
        <v>0</v>
      </c>
      <c r="G698" s="35" t="n">
        <v>0</v>
      </c>
      <c r="H698" t="inlineStr">
        <is>
          <t>Appealed</t>
        </is>
      </c>
      <c r="I698" t="inlineStr">
        <is>
          <t>Authorization Required</t>
        </is>
      </c>
    </row>
    <row r="699">
      <c r="A699" t="inlineStr">
        <is>
          <t>CLM517642</t>
        </is>
      </c>
      <c r="B699" t="inlineStr">
        <is>
          <t>PT12059</t>
        </is>
      </c>
      <c r="C699" t="inlineStr">
        <is>
          <t>PY01</t>
        </is>
      </c>
      <c r="D699" s="30" t="n">
        <v>45883</v>
      </c>
      <c r="E699" s="35" t="n">
        <v>3723.02</v>
      </c>
      <c r="F699" s="35" t="n">
        <v>1254.81</v>
      </c>
      <c r="G699" s="35" t="n">
        <v>1162.84</v>
      </c>
      <c r="H699" t="inlineStr">
        <is>
          <t>Paid</t>
        </is>
      </c>
    </row>
    <row r="700">
      <c r="A700" t="inlineStr">
        <is>
          <t>CLM517654</t>
        </is>
      </c>
      <c r="B700" t="inlineStr">
        <is>
          <t>PT11138</t>
        </is>
      </c>
      <c r="C700" t="inlineStr">
        <is>
          <t>PY06</t>
        </is>
      </c>
      <c r="D700" s="30" t="n">
        <v>45888</v>
      </c>
      <c r="E700" s="35" t="n">
        <v>68789.14999999999</v>
      </c>
      <c r="F700" s="35" t="n">
        <v>36328.33</v>
      </c>
      <c r="G700" s="35" t="n">
        <v>31619.27</v>
      </c>
      <c r="H700" t="inlineStr">
        <is>
          <t>Paid</t>
        </is>
      </c>
    </row>
    <row r="701">
      <c r="A701" t="inlineStr">
        <is>
          <t>CLM517660</t>
        </is>
      </c>
      <c r="B701" t="inlineStr">
        <is>
          <t>PT10658</t>
        </is>
      </c>
      <c r="C701" t="inlineStr">
        <is>
          <t>PY03</t>
        </is>
      </c>
      <c r="D701" s="30" t="n">
        <v>45888</v>
      </c>
      <c r="E701" s="35" t="n">
        <v>25007.19</v>
      </c>
      <c r="F701" s="35" t="n">
        <v>6197.62</v>
      </c>
      <c r="G701" s="35" t="n">
        <v>6197.62</v>
      </c>
      <c r="H701" t="inlineStr">
        <is>
          <t>Paid</t>
        </is>
      </c>
    </row>
    <row r="702">
      <c r="A702" t="inlineStr">
        <is>
          <t>CLM517663</t>
        </is>
      </c>
      <c r="B702" t="inlineStr">
        <is>
          <t>PT13323</t>
        </is>
      </c>
      <c r="C702" t="inlineStr">
        <is>
          <t>PY08</t>
        </is>
      </c>
      <c r="D702" s="30" t="n">
        <v>45884</v>
      </c>
      <c r="E702" s="35" t="n"/>
      <c r="F702" s="35" t="n">
        <v>787.78</v>
      </c>
      <c r="G702" s="35" t="n">
        <v>787.78</v>
      </c>
      <c r="H702" t="inlineStr">
        <is>
          <t>Paid</t>
        </is>
      </c>
    </row>
    <row r="703">
      <c r="A703" t="inlineStr">
        <is>
          <t>CLM517683</t>
        </is>
      </c>
      <c r="B703" t="inlineStr">
        <is>
          <t>PT10681</t>
        </is>
      </c>
      <c r="C703" t="inlineStr">
        <is>
          <t>PY01</t>
        </is>
      </c>
      <c r="D703" s="30" t="n">
        <v>45894</v>
      </c>
      <c r="E703" s="35" t="n">
        <v>50079.33</v>
      </c>
      <c r="F703" s="35" t="n">
        <v>14786.83</v>
      </c>
      <c r="G703" s="35" t="n">
        <v>12948.65</v>
      </c>
      <c r="H703" t="inlineStr">
        <is>
          <t>Paid</t>
        </is>
      </c>
    </row>
    <row r="704">
      <c r="A704" t="inlineStr">
        <is>
          <t>CLM517687</t>
        </is>
      </c>
      <c r="B704" t="inlineStr">
        <is>
          <t>PT11308</t>
        </is>
      </c>
      <c r="C704" t="inlineStr">
        <is>
          <t>PY04</t>
        </is>
      </c>
      <c r="D704" s="30" t="n">
        <v>45884</v>
      </c>
      <c r="E704" s="35" t="n">
        <v>2927.76</v>
      </c>
      <c r="F704" s="35" t="n">
        <v>0</v>
      </c>
      <c r="G704" s="35" t="n">
        <v>0</v>
      </c>
      <c r="H704" t="inlineStr">
        <is>
          <t>Denied</t>
        </is>
      </c>
      <c r="I704" t="inlineStr">
        <is>
          <t>Authorization Required</t>
        </is>
      </c>
    </row>
    <row r="705">
      <c r="A705" t="inlineStr">
        <is>
          <t>CLM517695</t>
        </is>
      </c>
      <c r="B705" t="inlineStr">
        <is>
          <t>PT13726</t>
        </is>
      </c>
      <c r="C705" t="inlineStr">
        <is>
          <t>PY01</t>
        </is>
      </c>
      <c r="D705" s="30" t="n">
        <v>45889</v>
      </c>
      <c r="E705" s="35" t="n">
        <v>12912.59</v>
      </c>
      <c r="F705" s="35" t="n">
        <v>4160.29</v>
      </c>
      <c r="G705" s="35" t="n">
        <v>3911.29</v>
      </c>
      <c r="H705" t="inlineStr">
        <is>
          <t>Paid</t>
        </is>
      </c>
    </row>
    <row r="706">
      <c r="A706" t="inlineStr">
        <is>
          <t>CLM517701</t>
        </is>
      </c>
      <c r="B706" t="inlineStr">
        <is>
          <t>PT13259</t>
        </is>
      </c>
      <c r="C706" t="inlineStr">
        <is>
          <t>PY03</t>
        </is>
      </c>
      <c r="D706" s="30" t="n">
        <v>45885</v>
      </c>
      <c r="E706" s="35" t="n">
        <v>558.84</v>
      </c>
      <c r="F706" s="35" t="n">
        <v>133.95</v>
      </c>
      <c r="G706" s="35" t="n">
        <v>133.95</v>
      </c>
      <c r="H706" t="inlineStr">
        <is>
          <t>Paid</t>
        </is>
      </c>
    </row>
    <row r="707">
      <c r="A707" t="inlineStr">
        <is>
          <t>CLM517709</t>
        </is>
      </c>
      <c r="B707" t="inlineStr">
        <is>
          <t>PT11124</t>
        </is>
      </c>
      <c r="C707" t="inlineStr">
        <is>
          <t>PY05</t>
        </is>
      </c>
      <c r="D707" s="30" t="n">
        <v>45886</v>
      </c>
      <c r="E707" s="35" t="n">
        <v>734.04</v>
      </c>
      <c r="F707" s="35" t="n">
        <v>383.34</v>
      </c>
      <c r="G707" s="35" t="n">
        <v>339.09</v>
      </c>
      <c r="H707" t="inlineStr">
        <is>
          <t>Paid</t>
        </is>
      </c>
    </row>
    <row r="708">
      <c r="A708" t="inlineStr">
        <is>
          <t>CLM517725</t>
        </is>
      </c>
      <c r="B708" t="inlineStr">
        <is>
          <t>PT12279</t>
        </is>
      </c>
      <c r="C708" t="inlineStr">
        <is>
          <t>PY01</t>
        </is>
      </c>
      <c r="D708" s="30" t="n">
        <v>45887</v>
      </c>
      <c r="E708" s="35" t="n">
        <v>2647.77</v>
      </c>
      <c r="F708" s="35" t="n">
        <v>762.04</v>
      </c>
      <c r="G708" s="35" t="n">
        <v>707.4400000000001</v>
      </c>
      <c r="H708" t="inlineStr">
        <is>
          <t>Paid</t>
        </is>
      </c>
    </row>
    <row r="709">
      <c r="A709" t="inlineStr">
        <is>
          <t>CLM517727</t>
        </is>
      </c>
      <c r="B709" t="inlineStr">
        <is>
          <t>PT13458</t>
        </is>
      </c>
      <c r="C709" t="inlineStr">
        <is>
          <t>PY02</t>
        </is>
      </c>
      <c r="D709" s="30" t="n">
        <v>45892</v>
      </c>
      <c r="E709" s="35" t="n">
        <v>14800.66</v>
      </c>
      <c r="F709" s="35" t="n">
        <v>5359.62</v>
      </c>
      <c r="G709" s="35" t="n">
        <v>5054.77</v>
      </c>
      <c r="H709" t="inlineStr">
        <is>
          <t>Paid</t>
        </is>
      </c>
    </row>
    <row r="710">
      <c r="A710" t="inlineStr">
        <is>
          <t>CLM517748</t>
        </is>
      </c>
      <c r="B710" t="inlineStr">
        <is>
          <t>PT12254</t>
        </is>
      </c>
      <c r="C710" t="inlineStr">
        <is>
          <t>PY04</t>
        </is>
      </c>
      <c r="D710" s="30" t="n">
        <v>45887</v>
      </c>
      <c r="E710" s="35" t="n">
        <v>650.04</v>
      </c>
      <c r="F710" s="35" t="n">
        <v>312.04</v>
      </c>
      <c r="G710" s="35" t="n">
        <v>272.99</v>
      </c>
      <c r="H710" t="inlineStr">
        <is>
          <t>Paid</t>
        </is>
      </c>
    </row>
    <row r="711">
      <c r="A711" t="inlineStr">
        <is>
          <t>CLM517762</t>
        </is>
      </c>
      <c r="B711" t="inlineStr">
        <is>
          <t>PT13090</t>
        </is>
      </c>
      <c r="C711" t="inlineStr">
        <is>
          <t>PY01</t>
        </is>
      </c>
      <c r="D711" s="30" t="n">
        <v>45893</v>
      </c>
      <c r="E711" s="35" t="n">
        <v>20384.39</v>
      </c>
      <c r="F711" s="35" t="n">
        <v>5946.47</v>
      </c>
      <c r="G711" s="35" t="n">
        <v>5368.92</v>
      </c>
      <c r="H711" t="inlineStr">
        <is>
          <t>Paid</t>
        </is>
      </c>
    </row>
    <row r="712">
      <c r="A712" t="inlineStr">
        <is>
          <t>CLM517780</t>
        </is>
      </c>
      <c r="B712" t="inlineStr">
        <is>
          <t>PT11252</t>
        </is>
      </c>
      <c r="C712" t="inlineStr">
        <is>
          <t>PY01</t>
        </is>
      </c>
      <c r="D712" s="30" t="n">
        <v>45891</v>
      </c>
      <c r="E712" s="35" t="n">
        <v>17442.22</v>
      </c>
      <c r="F712" s="35" t="n">
        <v>5975.87</v>
      </c>
      <c r="G712" s="35" t="n">
        <v>5238.01</v>
      </c>
      <c r="H712" t="inlineStr">
        <is>
          <t>Paid</t>
        </is>
      </c>
    </row>
    <row r="713">
      <c r="A713" t="inlineStr">
        <is>
          <t>CLM517784</t>
        </is>
      </c>
      <c r="B713" t="inlineStr">
        <is>
          <t>PT11534</t>
        </is>
      </c>
      <c r="C713" t="inlineStr">
        <is>
          <t>PY04</t>
        </is>
      </c>
      <c r="D713" s="30" t="n">
        <v>45891</v>
      </c>
      <c r="E713" s="35" t="n">
        <v>36768.72</v>
      </c>
      <c r="F713" s="35" t="n">
        <v>0</v>
      </c>
      <c r="G713" s="35" t="n">
        <v>0</v>
      </c>
      <c r="H713" t="inlineStr">
        <is>
          <t>Appealed</t>
        </is>
      </c>
      <c r="I713" t="inlineStr">
        <is>
          <t>Medical Necessity</t>
        </is>
      </c>
    </row>
    <row r="714">
      <c r="A714" t="inlineStr">
        <is>
          <t>CLM517795</t>
        </is>
      </c>
      <c r="B714" t="inlineStr">
        <is>
          <t>PT11200</t>
        </is>
      </c>
      <c r="C714" t="inlineStr">
        <is>
          <t>PY03</t>
        </is>
      </c>
      <c r="D714" s="30" t="n">
        <v>45889</v>
      </c>
      <c r="E714" s="35" t="n">
        <v>2941.6</v>
      </c>
      <c r="F714" s="35" t="n">
        <v>691.38</v>
      </c>
      <c r="G714" s="35" t="n">
        <v>691.38</v>
      </c>
      <c r="H714" t="inlineStr">
        <is>
          <t>Paid</t>
        </is>
      </c>
    </row>
    <row r="715">
      <c r="A715" t="inlineStr">
        <is>
          <t>CLM517803</t>
        </is>
      </c>
      <c r="B715" t="inlineStr">
        <is>
          <t>PT12595</t>
        </is>
      </c>
      <c r="C715" t="inlineStr">
        <is>
          <t>PY02</t>
        </is>
      </c>
      <c r="D715" s="30" t="n">
        <v>45889</v>
      </c>
      <c r="E715" s="35" t="n">
        <v>736.51</v>
      </c>
      <c r="F715" s="35" t="n">
        <v>244.9</v>
      </c>
      <c r="G715" s="35" t="n">
        <v>232.34</v>
      </c>
      <c r="H715" t="inlineStr">
        <is>
          <t>Paid</t>
        </is>
      </c>
    </row>
    <row r="716">
      <c r="A716" t="inlineStr">
        <is>
          <t>CLM517812</t>
        </is>
      </c>
      <c r="B716" t="inlineStr">
        <is>
          <t>PT11308</t>
        </is>
      </c>
      <c r="C716" t="inlineStr">
        <is>
          <t>PY04</t>
        </is>
      </c>
      <c r="D716" s="30" t="n">
        <v>45889</v>
      </c>
      <c r="E716" s="35" t="n">
        <v>540.04</v>
      </c>
      <c r="F716" s="35" t="n">
        <v>290.59</v>
      </c>
      <c r="G716" s="35" t="n">
        <v>245.51</v>
      </c>
      <c r="H716" t="inlineStr">
        <is>
          <t>Paid</t>
        </is>
      </c>
    </row>
    <row r="717">
      <c r="A717" t="inlineStr">
        <is>
          <t>CLM517825</t>
        </is>
      </c>
      <c r="B717" t="inlineStr">
        <is>
          <t>PT10253</t>
        </is>
      </c>
      <c r="C717" t="inlineStr">
        <is>
          <t>PY03</t>
        </is>
      </c>
      <c r="D717" s="30" t="n">
        <v>45890</v>
      </c>
      <c r="E717" s="35" t="n">
        <v>1740.23</v>
      </c>
      <c r="F717" s="35" t="n">
        <v>389.92</v>
      </c>
      <c r="G717" s="35" t="n">
        <v>389.92</v>
      </c>
      <c r="H717" t="inlineStr">
        <is>
          <t>Paid</t>
        </is>
      </c>
    </row>
    <row r="718">
      <c r="A718" t="inlineStr">
        <is>
          <t>CLM517838</t>
        </is>
      </c>
      <c r="B718" t="inlineStr">
        <is>
          <t>PT11443</t>
        </is>
      </c>
      <c r="C718" t="inlineStr">
        <is>
          <t>PY03</t>
        </is>
      </c>
      <c r="D718" s="30" t="n">
        <v>45890</v>
      </c>
      <c r="E718" s="35" t="n">
        <v>2752.04</v>
      </c>
      <c r="F718" s="35" t="n">
        <v>675.02</v>
      </c>
      <c r="G718" s="35" t="n">
        <v>675.02</v>
      </c>
      <c r="H718" t="inlineStr">
        <is>
          <t>Paid</t>
        </is>
      </c>
    </row>
    <row r="719">
      <c r="A719" t="inlineStr">
        <is>
          <t>CLM517845</t>
        </is>
      </c>
      <c r="B719" t="inlineStr">
        <is>
          <t>PT11941</t>
        </is>
      </c>
      <c r="C719" t="inlineStr">
        <is>
          <t>PY01</t>
        </is>
      </c>
      <c r="D719" s="30" t="n">
        <v>45891</v>
      </c>
      <c r="E719" s="35" t="n">
        <v>3383.47</v>
      </c>
      <c r="F719" s="35" t="n">
        <v>1121.2</v>
      </c>
      <c r="G719" s="35" t="n">
        <v>1084.32</v>
      </c>
      <c r="H719" t="inlineStr">
        <is>
          <t>Paid</t>
        </is>
      </c>
    </row>
    <row r="720">
      <c r="A720" t="inlineStr">
        <is>
          <t>CLM517856</t>
        </is>
      </c>
      <c r="B720" t="inlineStr">
        <is>
          <t>PT12963</t>
        </is>
      </c>
      <c r="C720" t="inlineStr">
        <is>
          <t>PY01</t>
        </is>
      </c>
      <c r="D720" s="30" t="n">
        <v>45891</v>
      </c>
      <c r="E720" s="35" t="n">
        <v>1071.27</v>
      </c>
      <c r="F720" s="35" t="n">
        <v>317.86</v>
      </c>
      <c r="G720" s="35" t="n">
        <v>283.63</v>
      </c>
      <c r="H720" t="inlineStr">
        <is>
          <t>Paid</t>
        </is>
      </c>
    </row>
    <row r="721">
      <c r="A721" t="inlineStr">
        <is>
          <t>CLM517859</t>
        </is>
      </c>
      <c r="B721" t="inlineStr">
        <is>
          <t>PT13561</t>
        </is>
      </c>
      <c r="C721" t="inlineStr">
        <is>
          <t>PY04</t>
        </is>
      </c>
      <c r="D721" s="30" t="n">
        <v>45891</v>
      </c>
      <c r="E721" s="35" t="n">
        <v>4164.72</v>
      </c>
      <c r="F721" s="35" t="n">
        <v>1907.8</v>
      </c>
      <c r="G721" s="35" t="n">
        <v>1620.01</v>
      </c>
      <c r="H721" t="inlineStr">
        <is>
          <t>Paid</t>
        </is>
      </c>
    </row>
    <row r="722">
      <c r="A722" t="inlineStr">
        <is>
          <t>CLM517873</t>
        </is>
      </c>
      <c r="B722" t="inlineStr">
        <is>
          <t>PT12081</t>
        </is>
      </c>
      <c r="C722" t="inlineStr">
        <is>
          <t>PY01</t>
        </is>
      </c>
      <c r="D722" s="30" t="n">
        <v>45893</v>
      </c>
      <c r="E722" s="35" t="n">
        <v>9651.33</v>
      </c>
      <c r="F722" s="35" t="n">
        <v>3007.76</v>
      </c>
      <c r="G722" s="35" t="n">
        <v>2672.23</v>
      </c>
      <c r="H722" t="inlineStr">
        <is>
          <t>Paid</t>
        </is>
      </c>
    </row>
    <row r="723">
      <c r="A723" t="inlineStr">
        <is>
          <t>CLM517879</t>
        </is>
      </c>
      <c r="B723" t="inlineStr">
        <is>
          <t>PT11194</t>
        </is>
      </c>
      <c r="C723" t="inlineStr">
        <is>
          <t>PY01</t>
        </is>
      </c>
      <c r="D723" s="30" t="n">
        <v>45892</v>
      </c>
      <c r="E723" s="35" t="n">
        <v>3417.1</v>
      </c>
      <c r="F723" s="35" t="n">
        <v>978.51</v>
      </c>
      <c r="G723" s="35" t="n">
        <v>647.05</v>
      </c>
      <c r="H723" t="inlineStr">
        <is>
          <t>Partially Paid</t>
        </is>
      </c>
      <c r="I723" t="inlineStr">
        <is>
          <t>Coding Error</t>
        </is>
      </c>
    </row>
    <row r="724">
      <c r="A724" t="inlineStr">
        <is>
          <t>CLM517884</t>
        </is>
      </c>
      <c r="B724" t="inlineStr">
        <is>
          <t>PT13116</t>
        </is>
      </c>
      <c r="C724" t="inlineStr">
        <is>
          <t>PY01</t>
        </is>
      </c>
      <c r="D724" s="30" t="n">
        <v>45892</v>
      </c>
      <c r="E724" s="35" t="n">
        <v>1417.6</v>
      </c>
      <c r="F724" s="35" t="n">
        <v>415.92</v>
      </c>
      <c r="G724" s="35" t="n">
        <v>382.1</v>
      </c>
      <c r="H724" t="inlineStr">
        <is>
          <t>Paid</t>
        </is>
      </c>
    </row>
    <row r="725">
      <c r="A725" t="inlineStr">
        <is>
          <t>CLM517892</t>
        </is>
      </c>
      <c r="B725" t="inlineStr">
        <is>
          <t>PT12952</t>
        </is>
      </c>
      <c r="C725" t="inlineStr">
        <is>
          <t>PY06</t>
        </is>
      </c>
      <c r="D725" s="30" t="n">
        <v>45894</v>
      </c>
      <c r="E725" s="35" t="n">
        <v>5122.88</v>
      </c>
      <c r="F725" s="35" t="n">
        <v>2820.21</v>
      </c>
      <c r="G725" s="35" t="n">
        <v>1327.89</v>
      </c>
      <c r="H725" t="inlineStr">
        <is>
          <t>Partially Paid</t>
        </is>
      </c>
      <c r="I725" t="inlineStr">
        <is>
          <t>Missing Documentation</t>
        </is>
      </c>
    </row>
    <row r="726">
      <c r="A726" t="inlineStr">
        <is>
          <t>CLM517894</t>
        </is>
      </c>
      <c r="B726" t="inlineStr">
        <is>
          <t>PT12387</t>
        </is>
      </c>
      <c r="C726" t="inlineStr">
        <is>
          <t>PY03</t>
        </is>
      </c>
      <c r="D726" s="30" t="n">
        <v>45892</v>
      </c>
      <c r="E726" s="35" t="n">
        <v>2415.71</v>
      </c>
      <c r="F726" s="35" t="n">
        <v>544.2</v>
      </c>
      <c r="G726" s="35" t="n">
        <v>544.2</v>
      </c>
      <c r="H726" t="inlineStr">
        <is>
          <t>Paid</t>
        </is>
      </c>
    </row>
    <row r="727">
      <c r="A727" t="inlineStr">
        <is>
          <t>CLM517917</t>
        </is>
      </c>
      <c r="B727" t="inlineStr">
        <is>
          <t>PT12381</t>
        </is>
      </c>
      <c r="C727" t="inlineStr">
        <is>
          <t>PY04</t>
        </is>
      </c>
      <c r="D727" s="30" t="n">
        <v>45894</v>
      </c>
      <c r="E727" s="35" t="n">
        <v>786.01</v>
      </c>
      <c r="F727" s="35" t="n">
        <v>414.45</v>
      </c>
      <c r="G727" s="35" t="n">
        <v>364.56</v>
      </c>
      <c r="H727" t="inlineStr">
        <is>
          <t>Paid</t>
        </is>
      </c>
    </row>
    <row r="728">
      <c r="A728" t="inlineStr">
        <is>
          <t>CLM517940</t>
        </is>
      </c>
      <c r="B728" t="inlineStr">
        <is>
          <t>PT11204</t>
        </is>
      </c>
      <c r="C728" t="inlineStr">
        <is>
          <t>PY02</t>
        </is>
      </c>
      <c r="D728" s="30" t="n">
        <v>45894</v>
      </c>
      <c r="E728" s="35" t="n">
        <v>3768</v>
      </c>
      <c r="F728" s="35" t="n">
        <v>1314.31</v>
      </c>
      <c r="G728" s="35" t="n">
        <v>1214.79</v>
      </c>
      <c r="H728" t="inlineStr">
        <is>
          <t>Paid</t>
        </is>
      </c>
    </row>
    <row r="729">
      <c r="A729" t="inlineStr">
        <is>
          <t>CLM517947</t>
        </is>
      </c>
      <c r="B729" t="inlineStr">
        <is>
          <t>PT11902</t>
        </is>
      </c>
      <c r="C729" t="inlineStr">
        <is>
          <t>PY01</t>
        </is>
      </c>
      <c r="D729" s="30" t="n">
        <v>45895</v>
      </c>
      <c r="E729" s="35" t="n">
        <v>4521.7</v>
      </c>
      <c r="F729" s="35" t="n">
        <v>1502.93</v>
      </c>
      <c r="G729" s="35" t="n">
        <v>1332.83</v>
      </c>
      <c r="H729" t="inlineStr">
        <is>
          <t>Paid</t>
        </is>
      </c>
    </row>
    <row r="730">
      <c r="A730" t="inlineStr">
        <is>
          <t>CLM517954</t>
        </is>
      </c>
      <c r="B730" t="inlineStr">
        <is>
          <t>PT10968</t>
        </is>
      </c>
      <c r="C730" t="inlineStr">
        <is>
          <t>PY01</t>
        </is>
      </c>
      <c r="D730" s="30" t="n">
        <v>45900</v>
      </c>
      <c r="E730" s="35" t="n">
        <v>39694.57</v>
      </c>
      <c r="F730" s="35" t="n">
        <v>11993.12</v>
      </c>
      <c r="G730" s="35" t="n">
        <v>10434.75</v>
      </c>
      <c r="H730" t="inlineStr">
        <is>
          <t>Paid</t>
        </is>
      </c>
    </row>
    <row r="731">
      <c r="A731" t="inlineStr">
        <is>
          <t>CLM517956</t>
        </is>
      </c>
      <c r="B731" t="inlineStr">
        <is>
          <t>PT10471</t>
        </is>
      </c>
      <c r="C731" t="inlineStr">
        <is>
          <t>PY05</t>
        </is>
      </c>
      <c r="D731" s="30" t="n">
        <v>45899</v>
      </c>
      <c r="E731" s="35" t="n">
        <v>13366.89</v>
      </c>
      <c r="F731" s="35" t="n">
        <v>6178.08</v>
      </c>
      <c r="G731" s="35" t="n">
        <v>5673.39</v>
      </c>
      <c r="H731" t="inlineStr">
        <is>
          <t>Paid</t>
        </is>
      </c>
    </row>
    <row r="732">
      <c r="A732" t="inlineStr">
        <is>
          <t>CLM517982</t>
        </is>
      </c>
      <c r="B732" t="inlineStr">
        <is>
          <t>PT11253</t>
        </is>
      </c>
      <c r="C732" t="inlineStr">
        <is>
          <t>PY01</t>
        </is>
      </c>
      <c r="D732" s="30" t="n">
        <v>45898</v>
      </c>
      <c r="E732" s="35" t="n">
        <v>17008.45</v>
      </c>
      <c r="F732" s="35" t="n">
        <v>5715.47</v>
      </c>
      <c r="G732" s="35" t="n">
        <v>5419.39</v>
      </c>
      <c r="H732" t="inlineStr">
        <is>
          <t>Paid</t>
        </is>
      </c>
    </row>
    <row r="733">
      <c r="A733" t="inlineStr">
        <is>
          <t>CLM517987</t>
        </is>
      </c>
      <c r="B733" t="inlineStr">
        <is>
          <t>PT11752</t>
        </is>
      </c>
      <c r="C733" t="inlineStr">
        <is>
          <t>PY03</t>
        </is>
      </c>
      <c r="D733" s="30" t="n">
        <v>45896</v>
      </c>
      <c r="E733" s="35" t="n">
        <v>2772.87</v>
      </c>
      <c r="F733" s="35" t="n">
        <v>631.12</v>
      </c>
      <c r="G733" s="35" t="n">
        <v>631.12</v>
      </c>
      <c r="H733" t="inlineStr">
        <is>
          <t>Paid</t>
        </is>
      </c>
    </row>
    <row r="734">
      <c r="A734" t="inlineStr">
        <is>
          <t>CLM517988</t>
        </is>
      </c>
      <c r="B734" t="inlineStr">
        <is>
          <t>PT12254</t>
        </is>
      </c>
      <c r="C734" t="inlineStr">
        <is>
          <t>PY04</t>
        </is>
      </c>
      <c r="D734" s="30" t="n">
        <v>45896</v>
      </c>
      <c r="E734" s="35" t="n">
        <v>4782.03</v>
      </c>
      <c r="F734" s="35" t="n">
        <v>0</v>
      </c>
      <c r="G734" s="35" t="n">
        <v>0</v>
      </c>
      <c r="H734" t="inlineStr">
        <is>
          <t>Denied</t>
        </is>
      </c>
      <c r="I734" t="inlineStr">
        <is>
          <t>Timely Filing</t>
        </is>
      </c>
    </row>
    <row r="735">
      <c r="A735" t="inlineStr">
        <is>
          <t>CLM517995</t>
        </is>
      </c>
      <c r="B735" t="inlineStr">
        <is>
          <t>PT12787</t>
        </is>
      </c>
      <c r="C735" t="inlineStr">
        <is>
          <t>PY03</t>
        </is>
      </c>
      <c r="D735" s="30" t="n">
        <v>45897</v>
      </c>
      <c r="E735" s="35" t="n">
        <v>3577.76</v>
      </c>
      <c r="F735" s="35" t="n">
        <v>834.73</v>
      </c>
      <c r="G735" s="35" t="n">
        <v>375.47</v>
      </c>
      <c r="H735" t="inlineStr">
        <is>
          <t>Partially Paid</t>
        </is>
      </c>
      <c r="I735" t="inlineStr">
        <is>
          <t>Coding Error</t>
        </is>
      </c>
    </row>
    <row r="736">
      <c r="A736" t="inlineStr">
        <is>
          <t>CLM517997</t>
        </is>
      </c>
      <c r="B736" t="inlineStr">
        <is>
          <t>PT10461</t>
        </is>
      </c>
      <c r="C736" t="inlineStr">
        <is>
          <t>PY01</t>
        </is>
      </c>
      <c r="D736" s="30" t="n">
        <v>45897</v>
      </c>
      <c r="E736" s="35" t="n">
        <v>1152.83</v>
      </c>
      <c r="F736" s="35" t="n">
        <v>292.55</v>
      </c>
      <c r="G736" s="35" t="n">
        <v>247.96</v>
      </c>
      <c r="H736" t="inlineStr">
        <is>
          <t>Paid</t>
        </is>
      </c>
    </row>
    <row r="737">
      <c r="A737" t="inlineStr">
        <is>
          <t>CLM518022</t>
        </is>
      </c>
      <c r="B737" t="inlineStr">
        <is>
          <t>PT11254</t>
        </is>
      </c>
      <c r="C737" t="inlineStr">
        <is>
          <t>PY06</t>
        </is>
      </c>
      <c r="D737" s="30" t="n">
        <v>45898</v>
      </c>
      <c r="E737" s="35" t="n">
        <v>2984.37</v>
      </c>
      <c r="F737" s="35" t="n">
        <v>1603.94</v>
      </c>
      <c r="G737" s="35" t="n">
        <v>1037.49</v>
      </c>
      <c r="H737" t="inlineStr">
        <is>
          <t>Partially Paid</t>
        </is>
      </c>
      <c r="I737" t="inlineStr">
        <is>
          <t>Coding Error</t>
        </is>
      </c>
    </row>
    <row r="738">
      <c r="A738" t="inlineStr">
        <is>
          <t>CLM518032</t>
        </is>
      </c>
      <c r="B738" t="inlineStr">
        <is>
          <t>PT13461</t>
        </is>
      </c>
      <c r="C738" t="inlineStr">
        <is>
          <t>PY06</t>
        </is>
      </c>
      <c r="D738" s="30" t="n">
        <v>45898</v>
      </c>
      <c r="E738" s="35" t="n">
        <v>1805.59</v>
      </c>
      <c r="F738" s="35" t="n">
        <v>995.15</v>
      </c>
      <c r="G738" s="35" t="n">
        <v>908.13</v>
      </c>
      <c r="H738" t="inlineStr">
        <is>
          <t>Paid</t>
        </is>
      </c>
    </row>
    <row r="739">
      <c r="A739" t="inlineStr">
        <is>
          <t>CLM518046</t>
        </is>
      </c>
      <c r="B739" t="inlineStr">
        <is>
          <t>PT13310</t>
        </is>
      </c>
      <c r="C739" t="inlineStr">
        <is>
          <t>PY04</t>
        </is>
      </c>
      <c r="D739" s="30" t="n">
        <v>45900</v>
      </c>
      <c r="E739" s="35" t="n">
        <v>6163.28</v>
      </c>
      <c r="F739" s="35" t="n">
        <v>3527.37</v>
      </c>
      <c r="G739" s="35" t="n">
        <v>2994.82</v>
      </c>
      <c r="H739" t="inlineStr">
        <is>
          <t>Paid</t>
        </is>
      </c>
    </row>
    <row r="740">
      <c r="A740" t="inlineStr">
        <is>
          <t>CLM518053</t>
        </is>
      </c>
      <c r="B740" t="inlineStr">
        <is>
          <t>PT12007</t>
        </is>
      </c>
      <c r="C740" t="inlineStr">
        <is>
          <t>PY02</t>
        </is>
      </c>
      <c r="D740" s="30" t="n">
        <v>45899</v>
      </c>
      <c r="E740" s="35" t="n">
        <v>1419.39</v>
      </c>
      <c r="F740" s="35" t="n">
        <v>520.83</v>
      </c>
      <c r="G740" s="35" t="n">
        <v>493.51</v>
      </c>
      <c r="H740" t="inlineStr">
        <is>
          <t>Paid</t>
        </is>
      </c>
    </row>
    <row r="741">
      <c r="A741" t="inlineStr">
        <is>
          <t>CLM518054</t>
        </is>
      </c>
      <c r="B741" t="inlineStr">
        <is>
          <t>PT13472</t>
        </is>
      </c>
      <c r="C741" t="inlineStr">
        <is>
          <t>PY03</t>
        </is>
      </c>
      <c r="D741" s="30" t="n">
        <v>45899</v>
      </c>
      <c r="E741" s="35" t="n">
        <v>4256.3</v>
      </c>
      <c r="F741" s="35" t="n">
        <v>1010.54</v>
      </c>
      <c r="G741" s="35" t="n">
        <v>1010.54</v>
      </c>
      <c r="H741" t="inlineStr">
        <is>
          <t>Paid</t>
        </is>
      </c>
    </row>
    <row r="742">
      <c r="A742" t="inlineStr">
        <is>
          <t>CLM518066</t>
        </is>
      </c>
      <c r="B742" t="inlineStr">
        <is>
          <t>PT12461</t>
        </is>
      </c>
      <c r="C742" t="inlineStr">
        <is>
          <t>PY02</t>
        </is>
      </c>
      <c r="D742" s="30" t="n">
        <v>45901</v>
      </c>
      <c r="E742" s="35" t="n">
        <v>13994.29</v>
      </c>
      <c r="F742" s="35" t="n">
        <v>4222.87</v>
      </c>
      <c r="G742" s="35" t="n">
        <v>3723.71</v>
      </c>
      <c r="H742" t="inlineStr">
        <is>
          <t>Paid</t>
        </is>
      </c>
    </row>
    <row r="743">
      <c r="A743" t="inlineStr">
        <is>
          <t>CLM518068</t>
        </is>
      </c>
      <c r="B743" t="inlineStr">
        <is>
          <t>PT13090</t>
        </is>
      </c>
      <c r="C743" t="inlineStr">
        <is>
          <t>PY01</t>
        </is>
      </c>
      <c r="D743" s="30" t="n">
        <v>45904</v>
      </c>
      <c r="E743" s="35" t="n">
        <v>14178.47</v>
      </c>
      <c r="F743" s="35" t="n">
        <v>4296.54</v>
      </c>
      <c r="G743" s="35" t="n">
        <v>4157.78</v>
      </c>
      <c r="H743" t="inlineStr">
        <is>
          <t>Paid</t>
        </is>
      </c>
    </row>
    <row r="744">
      <c r="A744" t="inlineStr">
        <is>
          <t>CLM518072</t>
        </is>
      </c>
      <c r="B744" t="inlineStr">
        <is>
          <t>PT12081</t>
        </is>
      </c>
      <c r="C744" t="inlineStr">
        <is>
          <t>PY01</t>
        </is>
      </c>
      <c r="D744" s="30" t="n">
        <v>45900</v>
      </c>
      <c r="E744" s="35" t="n">
        <v>6415.26</v>
      </c>
      <c r="F744" s="35" t="n">
        <v>1833.67</v>
      </c>
      <c r="G744" s="35" t="n">
        <v>1734.82</v>
      </c>
      <c r="H744" t="inlineStr">
        <is>
          <t>Paid</t>
        </is>
      </c>
    </row>
    <row r="745">
      <c r="A745" t="inlineStr">
        <is>
          <t>CLM518073</t>
        </is>
      </c>
      <c r="B745" t="inlineStr">
        <is>
          <t>PT11152</t>
        </is>
      </c>
      <c r="C745" t="inlineStr">
        <is>
          <t>PY03</t>
        </is>
      </c>
      <c r="D745" s="30" t="n">
        <v>45900</v>
      </c>
      <c r="E745" s="35" t="n">
        <v>1381.79</v>
      </c>
      <c r="F745" s="35" t="n">
        <v>309.12</v>
      </c>
      <c r="G745" s="35" t="n">
        <v>309.12</v>
      </c>
      <c r="H745" t="inlineStr">
        <is>
          <t>Paid</t>
        </is>
      </c>
    </row>
    <row r="746">
      <c r="A746" t="inlineStr">
        <is>
          <t>CLM518079</t>
        </is>
      </c>
      <c r="B746" t="inlineStr">
        <is>
          <t>PT10943</t>
        </is>
      </c>
      <c r="C746" t="inlineStr">
        <is>
          <t>PY02</t>
        </is>
      </c>
      <c r="D746" s="30" t="n">
        <v>45907</v>
      </c>
      <c r="E746" s="35" t="n">
        <v>48239.36</v>
      </c>
      <c r="F746" s="35" t="n">
        <v>13393.55</v>
      </c>
      <c r="G746" s="35" t="n">
        <v>0</v>
      </c>
      <c r="H746" t="inlineStr">
        <is>
          <t>Pending</t>
        </is>
      </c>
    </row>
    <row r="747">
      <c r="A747" t="inlineStr">
        <is>
          <t>CLM518086</t>
        </is>
      </c>
      <c r="B747" t="inlineStr">
        <is>
          <t>PT13660</t>
        </is>
      </c>
      <c r="C747" t="inlineStr">
        <is>
          <t>PY04</t>
        </is>
      </c>
      <c r="D747" s="30" t="n">
        <v>45901</v>
      </c>
      <c r="E747" s="35" t="n">
        <v>865.33</v>
      </c>
      <c r="F747" s="35" t="n">
        <v>497.19</v>
      </c>
      <c r="G747" s="35" t="n">
        <v>450.29</v>
      </c>
      <c r="H747" t="inlineStr">
        <is>
          <t>Paid</t>
        </is>
      </c>
    </row>
    <row r="748">
      <c r="A748" t="inlineStr">
        <is>
          <t>CLM518108</t>
        </is>
      </c>
      <c r="B748" t="inlineStr">
        <is>
          <t>PT13181</t>
        </is>
      </c>
      <c r="C748" t="inlineStr">
        <is>
          <t>PY01</t>
        </is>
      </c>
      <c r="D748" s="30" t="n">
        <v>45901</v>
      </c>
      <c r="E748" s="35" t="n">
        <v>799.0700000000001</v>
      </c>
      <c r="F748" s="35" t="n">
        <v>242.43</v>
      </c>
      <c r="G748" s="35" t="n">
        <v>224.24</v>
      </c>
      <c r="H748" t="inlineStr">
        <is>
          <t>Paid</t>
        </is>
      </c>
    </row>
    <row r="749">
      <c r="A749" t="inlineStr">
        <is>
          <t>CLM518109</t>
        </is>
      </c>
      <c r="B749" t="inlineStr">
        <is>
          <t>PT12509</t>
        </is>
      </c>
      <c r="C749" t="inlineStr">
        <is>
          <t>PY01</t>
        </is>
      </c>
      <c r="D749" s="30" t="n">
        <v>45904</v>
      </c>
      <c r="E749" s="35" t="n">
        <v>16761.02</v>
      </c>
      <c r="F749" s="35" t="n">
        <v>5862.54</v>
      </c>
      <c r="G749" s="35" t="n">
        <v>4985.05</v>
      </c>
      <c r="H749" t="inlineStr">
        <is>
          <t>Paid</t>
        </is>
      </c>
    </row>
    <row r="750">
      <c r="A750" t="inlineStr">
        <is>
          <t>CLM518110</t>
        </is>
      </c>
      <c r="B750" t="inlineStr">
        <is>
          <t>PT10632</t>
        </is>
      </c>
      <c r="C750" t="inlineStr">
        <is>
          <t>PY05</t>
        </is>
      </c>
      <c r="D750" s="30" t="n">
        <v>45901</v>
      </c>
      <c r="E750" s="35" t="n">
        <v>773.1900000000001</v>
      </c>
      <c r="F750" s="35" t="n">
        <v>357.87</v>
      </c>
      <c r="G750" s="35" t="n">
        <v>315.63</v>
      </c>
      <c r="H750" t="inlineStr">
        <is>
          <t>Paid</t>
        </is>
      </c>
    </row>
    <row r="751">
      <c r="A751" t="inlineStr">
        <is>
          <t>CLM518119</t>
        </is>
      </c>
      <c r="B751" t="inlineStr">
        <is>
          <t>PT10886</t>
        </is>
      </c>
      <c r="C751" t="inlineStr">
        <is>
          <t>PY02</t>
        </is>
      </c>
      <c r="D751" s="30" t="n">
        <v>45901</v>
      </c>
      <c r="E751" s="35" t="n">
        <v>3251.24</v>
      </c>
      <c r="F751" s="35" t="n">
        <v>1042.66</v>
      </c>
      <c r="G751" s="35" t="n">
        <v>1002.89</v>
      </c>
      <c r="H751" t="inlineStr">
        <is>
          <t>Paid</t>
        </is>
      </c>
    </row>
    <row r="752">
      <c r="A752" t="inlineStr">
        <is>
          <t>CLM518120</t>
        </is>
      </c>
      <c r="B752" t="inlineStr">
        <is>
          <t>PT11756</t>
        </is>
      </c>
      <c r="C752" t="inlineStr">
        <is>
          <t>PY04</t>
        </is>
      </c>
      <c r="D752" s="30" t="n">
        <v>45901</v>
      </c>
      <c r="E752" s="35" t="n">
        <v>1287.69</v>
      </c>
      <c r="F752" s="35" t="n">
        <v>0</v>
      </c>
      <c r="G752" s="35" t="n">
        <v>0</v>
      </c>
      <c r="H752" t="inlineStr">
        <is>
          <t>Denied</t>
        </is>
      </c>
      <c r="I752" t="inlineStr">
        <is>
          <t>Coding Error</t>
        </is>
      </c>
    </row>
    <row r="753">
      <c r="A753" t="inlineStr">
        <is>
          <t>CLM518124</t>
        </is>
      </c>
      <c r="B753" t="inlineStr">
        <is>
          <t>PT10949</t>
        </is>
      </c>
      <c r="C753" t="inlineStr">
        <is>
          <t>PY01</t>
        </is>
      </c>
      <c r="D753" s="30" t="n">
        <v>45902</v>
      </c>
      <c r="E753" s="35" t="n">
        <v>2943.94</v>
      </c>
      <c r="F753" s="35" t="n">
        <v>856.89</v>
      </c>
      <c r="G753" s="35" t="n">
        <v>562.13</v>
      </c>
      <c r="H753" t="inlineStr">
        <is>
          <t>Partially Paid</t>
        </is>
      </c>
      <c r="I753" t="inlineStr">
        <is>
          <t>Missing Documentation</t>
        </is>
      </c>
    </row>
    <row r="754">
      <c r="A754" t="inlineStr">
        <is>
          <t>CLM518129</t>
        </is>
      </c>
      <c r="B754" t="inlineStr">
        <is>
          <t>PT13473</t>
        </is>
      </c>
      <c r="C754" t="inlineStr">
        <is>
          <t>PY05</t>
        </is>
      </c>
      <c r="D754" s="30" t="n">
        <v>45905</v>
      </c>
      <c r="E754" s="35" t="n">
        <v>16642.86</v>
      </c>
      <c r="F754" s="35" t="n">
        <v>7671.74</v>
      </c>
      <c r="G754" s="35" t="n">
        <v>6784</v>
      </c>
      <c r="H754" t="inlineStr">
        <is>
          <t>Paid</t>
        </is>
      </c>
    </row>
    <row r="755">
      <c r="A755" t="inlineStr">
        <is>
          <t>CLM518146</t>
        </is>
      </c>
      <c r="B755" t="inlineStr">
        <is>
          <t>PT10628</t>
        </is>
      </c>
      <c r="C755" t="inlineStr">
        <is>
          <t>PY02</t>
        </is>
      </c>
      <c r="D755" s="30" t="n">
        <v>45902</v>
      </c>
      <c r="E755" s="35" t="n">
        <v>6280.16</v>
      </c>
      <c r="F755" s="35" t="n">
        <v>1941.67</v>
      </c>
      <c r="G755" s="35" t="n">
        <v>1757.93</v>
      </c>
      <c r="H755" t="inlineStr">
        <is>
          <t>Paid</t>
        </is>
      </c>
    </row>
    <row r="756">
      <c r="A756" t="inlineStr">
        <is>
          <t>CLM518151</t>
        </is>
      </c>
      <c r="B756" t="inlineStr">
        <is>
          <t>PT12963</t>
        </is>
      </c>
      <c r="C756" t="inlineStr">
        <is>
          <t>PY01</t>
        </is>
      </c>
      <c r="D756" s="30" t="n">
        <v>45902</v>
      </c>
      <c r="E756" s="35" t="n">
        <v>4464.56</v>
      </c>
      <c r="F756" s="35" t="n">
        <v>1305.45</v>
      </c>
      <c r="G756" s="35" t="n">
        <v>1230</v>
      </c>
      <c r="H756" t="inlineStr">
        <is>
          <t>Paid</t>
        </is>
      </c>
    </row>
    <row r="757">
      <c r="A757" t="inlineStr">
        <is>
          <t>CLM518153</t>
        </is>
      </c>
      <c r="B757" t="inlineStr">
        <is>
          <t>PT13751</t>
        </is>
      </c>
      <c r="C757" t="inlineStr">
        <is>
          <t>PY02</t>
        </is>
      </c>
      <c r="D757" s="30" t="n">
        <v>45903</v>
      </c>
      <c r="E757" s="35" t="n">
        <v>3671.88</v>
      </c>
      <c r="F757" s="35" t="n">
        <v>1192.01</v>
      </c>
      <c r="G757" s="35" t="n">
        <v>1108.76</v>
      </c>
      <c r="H757" t="inlineStr">
        <is>
          <t>Paid</t>
        </is>
      </c>
    </row>
    <row r="758">
      <c r="A758" t="inlineStr">
        <is>
          <t>CLM518160</t>
        </is>
      </c>
      <c r="B758" t="inlineStr">
        <is>
          <t>PT12149</t>
        </is>
      </c>
      <c r="C758" t="inlineStr">
        <is>
          <t>PY01</t>
        </is>
      </c>
      <c r="D758" s="30" t="n">
        <v>45903</v>
      </c>
      <c r="E758" s="35" t="n">
        <v>1232.2</v>
      </c>
      <c r="F758" s="35" t="n">
        <v>0</v>
      </c>
      <c r="G758" s="35" t="n">
        <v>0</v>
      </c>
      <c r="H758" t="inlineStr">
        <is>
          <t>Appealed</t>
        </is>
      </c>
      <c r="I758" t="inlineStr">
        <is>
          <t>Medical Necessity</t>
        </is>
      </c>
    </row>
    <row r="759">
      <c r="A759" t="inlineStr">
        <is>
          <t>CLM518177</t>
        </is>
      </c>
      <c r="B759" t="inlineStr">
        <is>
          <t>PT13330</t>
        </is>
      </c>
      <c r="C759" t="inlineStr">
        <is>
          <t>PY01</t>
        </is>
      </c>
      <c r="D759" s="30" t="n">
        <v>45903</v>
      </c>
      <c r="E759" s="35" t="n">
        <v>849.49</v>
      </c>
      <c r="F759" s="35" t="n">
        <v>289.94</v>
      </c>
      <c r="G759" s="35" t="n">
        <v>263.74</v>
      </c>
      <c r="H759" t="inlineStr">
        <is>
          <t>Paid</t>
        </is>
      </c>
    </row>
    <row r="760">
      <c r="A760" t="inlineStr">
        <is>
          <t>CLM518193</t>
        </is>
      </c>
      <c r="B760" t="inlineStr">
        <is>
          <t>PT11753</t>
        </is>
      </c>
      <c r="C760" t="inlineStr">
        <is>
          <t>PY03</t>
        </is>
      </c>
      <c r="D760" s="30" t="n">
        <v>45909</v>
      </c>
      <c r="E760" s="35" t="n">
        <v>32814.31</v>
      </c>
      <c r="F760" s="35" t="n">
        <v>0</v>
      </c>
      <c r="G760" s="35" t="n">
        <v>0</v>
      </c>
      <c r="H760" t="inlineStr">
        <is>
          <t>Denied</t>
        </is>
      </c>
      <c r="I760" t="inlineStr">
        <is>
          <t>Authorization Required</t>
        </is>
      </c>
    </row>
    <row r="761">
      <c r="A761" t="inlineStr">
        <is>
          <t>CLM518207</t>
        </is>
      </c>
      <c r="B761" t="inlineStr">
        <is>
          <t>PT13785</t>
        </is>
      </c>
      <c r="C761" t="inlineStr">
        <is>
          <t>PY02</t>
        </is>
      </c>
      <c r="D761" s="30" t="n">
        <v>45908</v>
      </c>
      <c r="E761" s="35" t="n">
        <v>32680.68</v>
      </c>
      <c r="F761" s="35" t="n">
        <v>11334.51</v>
      </c>
      <c r="G761" s="35" t="n">
        <v>10650.66</v>
      </c>
      <c r="H761" t="inlineStr">
        <is>
          <t>Paid</t>
        </is>
      </c>
    </row>
    <row r="762">
      <c r="A762" t="inlineStr">
        <is>
          <t>CLM518227</t>
        </is>
      </c>
      <c r="B762" t="inlineStr">
        <is>
          <t>PT13571</t>
        </is>
      </c>
      <c r="C762" t="inlineStr">
        <is>
          <t>PY07</t>
        </is>
      </c>
      <c r="D762" s="30" t="n">
        <v>45908</v>
      </c>
      <c r="E762" s="35" t="n">
        <v>10391.37</v>
      </c>
      <c r="F762" s="35" t="n">
        <v>4106.54</v>
      </c>
      <c r="G762" s="35" t="n">
        <v>4106.54</v>
      </c>
      <c r="H762" t="inlineStr">
        <is>
          <t>Paid</t>
        </is>
      </c>
    </row>
    <row r="763">
      <c r="A763" t="inlineStr">
        <is>
          <t>CLM518237</t>
        </is>
      </c>
      <c r="B763" t="inlineStr">
        <is>
          <t>PT13610</t>
        </is>
      </c>
      <c r="C763" t="inlineStr">
        <is>
          <t>PY01</t>
        </is>
      </c>
      <c r="D763" s="30" t="n">
        <v>45907</v>
      </c>
      <c r="E763" s="35" t="n">
        <v>13390.67</v>
      </c>
      <c r="F763" s="35" t="n">
        <v>4137.45</v>
      </c>
      <c r="G763" s="35" t="n">
        <v>3736.18</v>
      </c>
      <c r="H763" t="inlineStr">
        <is>
          <t>Paid</t>
        </is>
      </c>
    </row>
    <row r="764">
      <c r="A764" t="inlineStr">
        <is>
          <t>CLM518261</t>
        </is>
      </c>
      <c r="B764" t="inlineStr">
        <is>
          <t>PT10866</t>
        </is>
      </c>
      <c r="C764" t="inlineStr">
        <is>
          <t>PY08</t>
        </is>
      </c>
      <c r="D764" s="30" t="n">
        <v>45906</v>
      </c>
      <c r="E764" s="35" t="n">
        <v>871.22</v>
      </c>
      <c r="F764" s="35" t="n">
        <v>490.15</v>
      </c>
      <c r="G764" s="35" t="n">
        <v>490.15</v>
      </c>
      <c r="H764" t="inlineStr">
        <is>
          <t>Paid</t>
        </is>
      </c>
    </row>
    <row r="765">
      <c r="A765" t="inlineStr">
        <is>
          <t>CLM518266</t>
        </is>
      </c>
      <c r="B765" t="inlineStr">
        <is>
          <t>PT10219</t>
        </is>
      </c>
      <c r="C765" t="inlineStr">
        <is>
          <t>PY01</t>
        </is>
      </c>
      <c r="D765" s="30" t="n">
        <v>45907</v>
      </c>
      <c r="E765" s="35" t="n">
        <v>6621.64</v>
      </c>
      <c r="F765" s="35" t="n">
        <v>1994.46</v>
      </c>
      <c r="G765" s="35" t="n">
        <v>1949.13</v>
      </c>
      <c r="H765" t="inlineStr">
        <is>
          <t>Paid</t>
        </is>
      </c>
    </row>
    <row r="766">
      <c r="A766" t="inlineStr">
        <is>
          <t>CLM518278</t>
        </is>
      </c>
      <c r="B766" t="inlineStr">
        <is>
          <t>PT12872</t>
        </is>
      </c>
      <c r="C766" t="inlineStr">
        <is>
          <t>PY03</t>
        </is>
      </c>
      <c r="D766" s="30" t="n">
        <v>45907</v>
      </c>
      <c r="E766" s="35" t="n">
        <v>2839.71</v>
      </c>
      <c r="F766" s="35" t="n">
        <v>0</v>
      </c>
      <c r="G766" s="35" t="n">
        <v>0</v>
      </c>
      <c r="H766" t="inlineStr">
        <is>
          <t>Appealed</t>
        </is>
      </c>
      <c r="I766" t="inlineStr">
        <is>
          <t>Medical Necessity</t>
        </is>
      </c>
    </row>
    <row r="767">
      <c r="A767" t="inlineStr">
        <is>
          <t>CLM518315</t>
        </is>
      </c>
      <c r="B767" t="inlineStr">
        <is>
          <t>PT12498</t>
        </is>
      </c>
      <c r="C767" t="inlineStr">
        <is>
          <t>PY03</t>
        </is>
      </c>
      <c r="D767" s="30" t="n">
        <v>45909</v>
      </c>
      <c r="E767" s="35" t="n">
        <v>6273.26</v>
      </c>
      <c r="F767" s="35" t="n">
        <v>1523.56</v>
      </c>
      <c r="G767" s="35" t="n">
        <v>1523.56</v>
      </c>
      <c r="H767" t="inlineStr">
        <is>
          <t>Paid</t>
        </is>
      </c>
    </row>
    <row r="768">
      <c r="A768" t="inlineStr">
        <is>
          <t>CLM518338</t>
        </is>
      </c>
      <c r="B768" t="inlineStr">
        <is>
          <t>PT11605</t>
        </is>
      </c>
      <c r="C768" t="inlineStr">
        <is>
          <t>PY04</t>
        </is>
      </c>
      <c r="D768" s="30" t="n">
        <v>45910</v>
      </c>
      <c r="E768" s="35" t="n">
        <v>8696.209999999999</v>
      </c>
      <c r="F768" s="35" t="n">
        <v>4671.41</v>
      </c>
      <c r="G768" s="35" t="n">
        <v>4216.79</v>
      </c>
      <c r="H768" t="inlineStr">
        <is>
          <t>Paid</t>
        </is>
      </c>
    </row>
    <row r="769">
      <c r="A769" t="inlineStr">
        <is>
          <t>CLM518345</t>
        </is>
      </c>
      <c r="B769" t="inlineStr">
        <is>
          <t>PT13768</t>
        </is>
      </c>
      <c r="C769" t="inlineStr">
        <is>
          <t>PY03</t>
        </is>
      </c>
      <c r="D769" s="30" t="n">
        <v>45910</v>
      </c>
      <c r="E769" s="35" t="n">
        <v>1415.09</v>
      </c>
      <c r="F769" s="35" t="n">
        <v>362.13</v>
      </c>
      <c r="G769" s="35" t="n">
        <v>362.13</v>
      </c>
      <c r="H769" t="inlineStr">
        <is>
          <t>Paid</t>
        </is>
      </c>
    </row>
    <row r="770">
      <c r="A770" t="inlineStr">
        <is>
          <t>CLM518348</t>
        </is>
      </c>
      <c r="B770" t="inlineStr">
        <is>
          <t>PT13144</t>
        </is>
      </c>
      <c r="C770" t="inlineStr">
        <is>
          <t>PY03</t>
        </is>
      </c>
      <c r="D770" s="30" t="n">
        <v>45915</v>
      </c>
      <c r="E770" s="35" t="n">
        <v>21080.47</v>
      </c>
      <c r="F770" s="35" t="n">
        <v>4728.04</v>
      </c>
      <c r="G770" s="35" t="n">
        <v>4728.04</v>
      </c>
      <c r="H770" t="inlineStr">
        <is>
          <t>Paid</t>
        </is>
      </c>
    </row>
    <row r="771">
      <c r="A771" t="inlineStr">
        <is>
          <t>CLM518374</t>
        </is>
      </c>
      <c r="B771" t="inlineStr">
        <is>
          <t>PT11752</t>
        </is>
      </c>
      <c r="C771" t="inlineStr">
        <is>
          <t>PY03</t>
        </is>
      </c>
      <c r="D771" s="30" t="n">
        <v>45912</v>
      </c>
      <c r="E771" s="35" t="n">
        <v>14704.04</v>
      </c>
      <c r="F771" s="35" t="n">
        <v>3412.09</v>
      </c>
      <c r="G771" s="35" t="n">
        <v>3412.09</v>
      </c>
      <c r="H771" t="inlineStr">
        <is>
          <t>Paid</t>
        </is>
      </c>
    </row>
    <row r="772">
      <c r="A772" t="inlineStr">
        <is>
          <t>CLM518418</t>
        </is>
      </c>
      <c r="B772" t="inlineStr">
        <is>
          <t>PT10718</t>
        </is>
      </c>
      <c r="C772" t="inlineStr">
        <is>
          <t>PY03</t>
        </is>
      </c>
      <c r="D772" s="30" t="n">
        <v>45912</v>
      </c>
      <c r="E772" s="35" t="n">
        <v>1257.83</v>
      </c>
      <c r="F772" s="35" t="n">
        <v>324.01</v>
      </c>
      <c r="G772" s="35" t="n">
        <v>324.01</v>
      </c>
      <c r="H772" t="inlineStr">
        <is>
          <t>Paid</t>
        </is>
      </c>
    </row>
    <row r="773">
      <c r="A773" t="inlineStr">
        <is>
          <t>CLM518433</t>
        </is>
      </c>
      <c r="B773" t="inlineStr">
        <is>
          <t>PT10460</t>
        </is>
      </c>
      <c r="C773" t="inlineStr">
        <is>
          <t>PY04</t>
        </is>
      </c>
      <c r="D773" s="30" t="n">
        <v>45912</v>
      </c>
      <c r="E773" s="35" t="n">
        <v>1630.56</v>
      </c>
      <c r="F773" s="35" t="n">
        <v>815.8099999999999</v>
      </c>
      <c r="G773" s="35" t="n">
        <v>679.88</v>
      </c>
      <c r="H773" t="inlineStr">
        <is>
          <t>Paid</t>
        </is>
      </c>
    </row>
    <row r="774">
      <c r="A774" t="inlineStr">
        <is>
          <t>CLM518456</t>
        </is>
      </c>
      <c r="B774" t="inlineStr">
        <is>
          <t>PT13473</t>
        </is>
      </c>
      <c r="C774" t="inlineStr">
        <is>
          <t>PY05</t>
        </is>
      </c>
      <c r="D774" s="30" t="n">
        <v>45917</v>
      </c>
      <c r="E774" s="35" t="n">
        <v>17933.18</v>
      </c>
      <c r="F774" s="35" t="n">
        <v>8121.83</v>
      </c>
      <c r="G774" s="35" t="n">
        <v>7637.27</v>
      </c>
      <c r="H774" t="inlineStr">
        <is>
          <t>Paid</t>
        </is>
      </c>
    </row>
    <row r="775">
      <c r="A775" t="inlineStr">
        <is>
          <t>CLM518460</t>
        </is>
      </c>
      <c r="B775" t="inlineStr">
        <is>
          <t>PT11663</t>
        </is>
      </c>
      <c r="C775" t="inlineStr">
        <is>
          <t>PY03</t>
        </is>
      </c>
      <c r="D775" s="30" t="n">
        <v>45914</v>
      </c>
      <c r="E775" s="35" t="n">
        <v>1281.11</v>
      </c>
      <c r="F775" s="35" t="n">
        <v>327.44</v>
      </c>
      <c r="G775" s="35" t="n">
        <v>327.44</v>
      </c>
      <c r="H775" t="inlineStr">
        <is>
          <t>Paid</t>
        </is>
      </c>
    </row>
    <row r="776">
      <c r="A776" t="inlineStr">
        <is>
          <t>CLM518475</t>
        </is>
      </c>
      <c r="B776" t="inlineStr">
        <is>
          <t>PT12922</t>
        </is>
      </c>
      <c r="C776" t="inlineStr">
        <is>
          <t>PY01</t>
        </is>
      </c>
      <c r="D776" s="30" t="n">
        <v>45921</v>
      </c>
      <c r="E776" s="35" t="n">
        <v>49963.78</v>
      </c>
      <c r="F776" s="35" t="n">
        <v>16243.88</v>
      </c>
      <c r="G776" s="35" t="n">
        <v>15082.52</v>
      </c>
      <c r="H776" t="inlineStr">
        <is>
          <t>Paid</t>
        </is>
      </c>
    </row>
    <row r="777">
      <c r="A777" t="inlineStr">
        <is>
          <t>CLM518489</t>
        </is>
      </c>
      <c r="B777" t="inlineStr">
        <is>
          <t>PT10606</t>
        </is>
      </c>
      <c r="C777" t="inlineStr">
        <is>
          <t>PY01</t>
        </is>
      </c>
      <c r="D777" s="30" t="n">
        <v>45915</v>
      </c>
      <c r="E777" s="35" t="n">
        <v>1205.7</v>
      </c>
      <c r="F777" s="35" t="n">
        <v>380.56</v>
      </c>
      <c r="G777" s="35" t="n">
        <v>369.21</v>
      </c>
      <c r="H777" t="inlineStr">
        <is>
          <t>Paid</t>
        </is>
      </c>
    </row>
    <row r="778">
      <c r="A778" t="inlineStr">
        <is>
          <t>CLM518507</t>
        </is>
      </c>
      <c r="B778" t="inlineStr">
        <is>
          <t>PT10471</t>
        </is>
      </c>
      <c r="C778" t="inlineStr">
        <is>
          <t>PY05</t>
        </is>
      </c>
      <c r="D778" s="30" t="n">
        <v>45919</v>
      </c>
      <c r="E778" s="35" t="n">
        <v>15839.95</v>
      </c>
      <c r="F778" s="35" t="n">
        <v>0</v>
      </c>
      <c r="G778" s="35" t="n">
        <v>0</v>
      </c>
      <c r="H778" t="inlineStr">
        <is>
          <t>Denied</t>
        </is>
      </c>
      <c r="I778" t="inlineStr">
        <is>
          <t>Authorization Required</t>
        </is>
      </c>
    </row>
    <row r="779">
      <c r="A779" t="inlineStr">
        <is>
          <t>CLM518522</t>
        </is>
      </c>
      <c r="B779" t="inlineStr">
        <is>
          <t>PT12209</t>
        </is>
      </c>
      <c r="C779" t="inlineStr">
        <is>
          <t>PY02</t>
        </is>
      </c>
      <c r="D779" s="30" t="n">
        <v>45923</v>
      </c>
      <c r="E779" s="35" t="n">
        <v>30536.49</v>
      </c>
      <c r="F779" s="35" t="n">
        <v>9746.719999999999</v>
      </c>
      <c r="G779" s="35" t="n">
        <v>9590.139999999999</v>
      </c>
      <c r="H779" t="inlineStr">
        <is>
          <t>Paid</t>
        </is>
      </c>
    </row>
    <row r="780">
      <c r="A780" t="inlineStr">
        <is>
          <t>CLM518538</t>
        </is>
      </c>
      <c r="B780" t="inlineStr">
        <is>
          <t>PT13330</t>
        </is>
      </c>
      <c r="C780" t="inlineStr">
        <is>
          <t>PY01</t>
        </is>
      </c>
      <c r="D780" s="30" t="n">
        <v>45920</v>
      </c>
      <c r="E780" s="35" t="n">
        <v>13972.03</v>
      </c>
      <c r="F780" s="35" t="n">
        <v>3868.18</v>
      </c>
      <c r="G780" s="35" t="n">
        <v>3647.87</v>
      </c>
      <c r="H780" t="inlineStr">
        <is>
          <t>Paid</t>
        </is>
      </c>
    </row>
    <row r="781">
      <c r="A781" t="inlineStr">
        <is>
          <t>CLM518550</t>
        </is>
      </c>
      <c r="B781" t="inlineStr">
        <is>
          <t>PT12058</t>
        </is>
      </c>
      <c r="C781" t="inlineStr">
        <is>
          <t>PY01</t>
        </is>
      </c>
      <c r="D781" s="30" t="n">
        <v>45917</v>
      </c>
      <c r="E781" s="35" t="n">
        <v>1821.85</v>
      </c>
      <c r="F781" s="35" t="n">
        <v>560.6900000000001</v>
      </c>
      <c r="G781" s="35" t="n">
        <v>203.2</v>
      </c>
      <c r="H781" t="inlineStr">
        <is>
          <t>Partially Paid</t>
        </is>
      </c>
      <c r="I781" t="inlineStr">
        <is>
          <t>Medical Necessity</t>
        </is>
      </c>
    </row>
    <row r="782">
      <c r="A782" t="inlineStr">
        <is>
          <t>CLM518554</t>
        </is>
      </c>
      <c r="B782" t="inlineStr">
        <is>
          <t>PT13002</t>
        </is>
      </c>
      <c r="C782" t="inlineStr">
        <is>
          <t>PY04</t>
        </is>
      </c>
      <c r="D782" s="30" t="n">
        <v>45918</v>
      </c>
      <c r="E782" s="35" t="n">
        <v>4569.08</v>
      </c>
      <c r="F782" s="35" t="n">
        <v>2100.06</v>
      </c>
      <c r="G782" s="35" t="n">
        <v>1774.74</v>
      </c>
      <c r="H782" t="inlineStr">
        <is>
          <t>Paid</t>
        </is>
      </c>
    </row>
    <row r="783">
      <c r="A783" t="inlineStr">
        <is>
          <t>CLM518579</t>
        </is>
      </c>
      <c r="B783" t="inlineStr">
        <is>
          <t>PT11535</t>
        </is>
      </c>
      <c r="C783" t="inlineStr">
        <is>
          <t>PY05</t>
        </is>
      </c>
      <c r="D783" s="30" t="n">
        <v>45918</v>
      </c>
      <c r="E783" s="35" t="n">
        <v>2037.69</v>
      </c>
      <c r="F783" s="35" t="n">
        <v>958.95</v>
      </c>
      <c r="G783" s="35" t="n">
        <v>845.15</v>
      </c>
      <c r="H783" t="inlineStr">
        <is>
          <t>Paid</t>
        </is>
      </c>
    </row>
    <row r="784">
      <c r="A784" t="inlineStr">
        <is>
          <t>CLM518606</t>
        </is>
      </c>
      <c r="B784" t="inlineStr">
        <is>
          <t>PT10606</t>
        </is>
      </c>
      <c r="C784" t="inlineStr">
        <is>
          <t>PY01</t>
        </is>
      </c>
      <c r="D784" s="30" t="n">
        <v>45920</v>
      </c>
      <c r="E784" s="35" t="n">
        <v>3997.01</v>
      </c>
      <c r="F784" s="35" t="n">
        <v>1145.28</v>
      </c>
      <c r="G784" s="35" t="n">
        <v>1072.34</v>
      </c>
      <c r="H784" t="inlineStr">
        <is>
          <t>Paid</t>
        </is>
      </c>
    </row>
    <row r="785">
      <c r="A785" t="inlineStr">
        <is>
          <t>CLM518613</t>
        </is>
      </c>
      <c r="B785" t="inlineStr">
        <is>
          <t>PT10644</t>
        </is>
      </c>
      <c r="C785" t="inlineStr">
        <is>
          <t>PY01</t>
        </is>
      </c>
      <c r="D785" s="30" t="n">
        <v>45920</v>
      </c>
      <c r="E785" s="35" t="n">
        <v>623.65</v>
      </c>
      <c r="F785" s="35" t="n">
        <v>214.73</v>
      </c>
      <c r="G785" s="35" t="n">
        <v>188.08</v>
      </c>
      <c r="H785" t="inlineStr">
        <is>
          <t>Paid</t>
        </is>
      </c>
    </row>
    <row r="786">
      <c r="A786" t="inlineStr">
        <is>
          <t>CLM518614</t>
        </is>
      </c>
      <c r="B786" t="inlineStr">
        <is>
          <t>PT12311</t>
        </is>
      </c>
      <c r="C786" t="inlineStr">
        <is>
          <t>PY03</t>
        </is>
      </c>
      <c r="D786" s="30" t="n">
        <v>45920</v>
      </c>
      <c r="E786" s="35" t="n">
        <v>979.67</v>
      </c>
      <c r="F786" s="35" t="n">
        <v>240.66</v>
      </c>
      <c r="G786" s="35" t="n">
        <v>0</v>
      </c>
      <c r="H786" t="inlineStr">
        <is>
          <t>Pending</t>
        </is>
      </c>
    </row>
    <row r="787">
      <c r="A787" t="inlineStr">
        <is>
          <t>CLM518616</t>
        </is>
      </c>
      <c r="B787" t="inlineStr">
        <is>
          <t>PT12081</t>
        </is>
      </c>
      <c r="C787" t="inlineStr">
        <is>
          <t>PY01</t>
        </is>
      </c>
      <c r="D787" s="30" t="n">
        <v>45922</v>
      </c>
      <c r="E787" s="35" t="n">
        <v>12325.85</v>
      </c>
      <c r="F787" s="35" t="n">
        <v>3457.51</v>
      </c>
      <c r="G787" s="35" t="n">
        <v>2993.46</v>
      </c>
      <c r="H787" t="inlineStr">
        <is>
          <t>Paid</t>
        </is>
      </c>
    </row>
    <row r="788">
      <c r="A788" t="inlineStr">
        <is>
          <t>CLM518621</t>
        </is>
      </c>
      <c r="B788" t="inlineStr">
        <is>
          <t>PT10034</t>
        </is>
      </c>
      <c r="C788" t="inlineStr">
        <is>
          <t>PY01</t>
        </is>
      </c>
      <c r="D788" s="30" t="n">
        <v>45920</v>
      </c>
      <c r="E788" s="35" t="n">
        <v>1119.07</v>
      </c>
      <c r="F788" s="35" t="n">
        <v>328.18</v>
      </c>
      <c r="G788" s="35" t="n">
        <v>286.54</v>
      </c>
      <c r="H788" t="inlineStr">
        <is>
          <t>Paid</t>
        </is>
      </c>
    </row>
    <row r="789">
      <c r="A789" t="inlineStr">
        <is>
          <t>CLM518622</t>
        </is>
      </c>
      <c r="B789" t="inlineStr">
        <is>
          <t>PT10611</t>
        </is>
      </c>
      <c r="C789" t="inlineStr">
        <is>
          <t>PY03</t>
        </is>
      </c>
      <c r="D789" s="30" t="n">
        <v>45922</v>
      </c>
      <c r="E789" s="35" t="n">
        <v>21412.72</v>
      </c>
      <c r="F789" s="35" t="n">
        <v>5995.59</v>
      </c>
      <c r="G789" s="35" t="n">
        <v>5995.59</v>
      </c>
      <c r="H789" t="inlineStr">
        <is>
          <t>Paid</t>
        </is>
      </c>
    </row>
    <row r="790">
      <c r="A790" t="inlineStr">
        <is>
          <t>CLM518628</t>
        </is>
      </c>
      <c r="B790" t="inlineStr">
        <is>
          <t>PT10866</t>
        </is>
      </c>
      <c r="C790" t="inlineStr">
        <is>
          <t>PY05</t>
        </is>
      </c>
      <c r="D790" s="30" t="n">
        <v>45921</v>
      </c>
      <c r="E790" s="35" t="n">
        <v>2999.68</v>
      </c>
      <c r="F790" s="35" t="n">
        <v>1381.33</v>
      </c>
      <c r="G790" s="35" t="n">
        <v>1167.51</v>
      </c>
      <c r="H790" t="inlineStr">
        <is>
          <t>Paid</t>
        </is>
      </c>
    </row>
    <row r="791">
      <c r="A791" t="inlineStr">
        <is>
          <t>CLM518631</t>
        </is>
      </c>
      <c r="B791" t="inlineStr">
        <is>
          <t>PT12139</t>
        </is>
      </c>
      <c r="C791" t="inlineStr">
        <is>
          <t>PY03</t>
        </is>
      </c>
      <c r="D791" s="30" t="n">
        <v>45925</v>
      </c>
      <c r="E791" s="35" t="n">
        <v>21975.22</v>
      </c>
      <c r="F791" s="35" t="n">
        <v>5148.54</v>
      </c>
      <c r="G791" s="35" t="n">
        <v>5148.54</v>
      </c>
      <c r="H791" t="inlineStr">
        <is>
          <t>Paid</t>
        </is>
      </c>
    </row>
    <row r="792">
      <c r="A792" t="inlineStr">
        <is>
          <t>CLM518647</t>
        </is>
      </c>
      <c r="B792" t="inlineStr">
        <is>
          <t>PT13148</t>
        </is>
      </c>
      <c r="C792" t="inlineStr">
        <is>
          <t>PY03</t>
        </is>
      </c>
      <c r="D792" s="30" t="n">
        <v>45925</v>
      </c>
      <c r="E792" s="35" t="n">
        <v>16971.24</v>
      </c>
      <c r="F792" s="35" t="n">
        <v>4244.1</v>
      </c>
      <c r="G792" s="35" t="n">
        <v>4244.1</v>
      </c>
      <c r="H792" t="inlineStr">
        <is>
          <t>Paid</t>
        </is>
      </c>
    </row>
    <row r="793">
      <c r="A793" t="inlineStr">
        <is>
          <t>CLM518657</t>
        </is>
      </c>
      <c r="B793" t="inlineStr">
        <is>
          <t>PT13571</t>
        </is>
      </c>
      <c r="C793" t="inlineStr">
        <is>
          <t>PY07</t>
        </is>
      </c>
      <c r="D793" s="30" t="n">
        <v>45925</v>
      </c>
      <c r="E793" s="35" t="n">
        <v>13991.44</v>
      </c>
      <c r="F793" s="35" t="n">
        <v>5790.46</v>
      </c>
      <c r="G793" s="35" t="n">
        <v>4523.85</v>
      </c>
      <c r="H793" t="inlineStr">
        <is>
          <t>Partially Paid</t>
        </is>
      </c>
    </row>
    <row r="794">
      <c r="A794" t="inlineStr">
        <is>
          <t>CLM518660</t>
        </is>
      </c>
      <c r="B794" t="inlineStr">
        <is>
          <t>PT10659</t>
        </is>
      </c>
      <c r="C794" t="inlineStr">
        <is>
          <t>PY03</t>
        </is>
      </c>
      <c r="D794" s="30" t="n">
        <v>45925</v>
      </c>
      <c r="E794" s="35" t="n">
        <v>48486.25</v>
      </c>
      <c r="F794" s="35" t="n">
        <v>12867.24</v>
      </c>
      <c r="G794" s="35" t="n">
        <v>12867.24</v>
      </c>
      <c r="H794" t="inlineStr">
        <is>
          <t>Paid</t>
        </is>
      </c>
    </row>
    <row r="795">
      <c r="A795" t="inlineStr">
        <is>
          <t>CLM518675</t>
        </is>
      </c>
      <c r="B795" t="inlineStr">
        <is>
          <t>PT10966</t>
        </is>
      </c>
      <c r="C795" t="inlineStr">
        <is>
          <t>PY04</t>
        </is>
      </c>
      <c r="D795" s="30" t="n">
        <v>45926</v>
      </c>
      <c r="E795" s="35" t="n">
        <v>45830.61</v>
      </c>
      <c r="F795" s="35" t="n">
        <v>20224.35</v>
      </c>
      <c r="G795" s="35" t="n">
        <v>18613.87</v>
      </c>
      <c r="H795" t="inlineStr">
        <is>
          <t>Paid</t>
        </is>
      </c>
    </row>
    <row r="796">
      <c r="A796" t="inlineStr">
        <is>
          <t>CLM518687</t>
        </is>
      </c>
      <c r="B796" t="inlineStr">
        <is>
          <t>PT13324</t>
        </is>
      </c>
      <c r="C796" t="inlineStr">
        <is>
          <t>PY05</t>
        </is>
      </c>
      <c r="D796" s="30" t="n">
        <v>45923</v>
      </c>
      <c r="E796" s="35" t="n">
        <v>4585.04</v>
      </c>
      <c r="F796" s="35" t="n">
        <v>2239.26</v>
      </c>
      <c r="G796" s="35" t="n">
        <v>1937.9</v>
      </c>
      <c r="H796" t="inlineStr">
        <is>
          <t>Paid</t>
        </is>
      </c>
    </row>
    <row r="797">
      <c r="A797" t="inlineStr">
        <is>
          <t>CLM518704</t>
        </is>
      </c>
      <c r="B797" t="inlineStr">
        <is>
          <t>PT11289</t>
        </is>
      </c>
      <c r="C797" t="inlineStr">
        <is>
          <t>PY07</t>
        </is>
      </c>
      <c r="D797" s="30" t="n">
        <v>45923</v>
      </c>
      <c r="E797" s="35" t="n">
        <v>1472.43</v>
      </c>
      <c r="F797" s="35" t="n">
        <v>670.95</v>
      </c>
      <c r="G797" s="35" t="n">
        <v>102.53</v>
      </c>
      <c r="H797" t="inlineStr">
        <is>
          <t>Partially Paid</t>
        </is>
      </c>
    </row>
    <row r="798">
      <c r="A798" t="inlineStr">
        <is>
          <t>CLM518707</t>
        </is>
      </c>
      <c r="B798" t="inlineStr">
        <is>
          <t>PT11688</t>
        </is>
      </c>
      <c r="C798" t="inlineStr">
        <is>
          <t>PY02</t>
        </is>
      </c>
      <c r="D798" s="30" t="n">
        <v>45923</v>
      </c>
      <c r="E798" s="35" t="n">
        <v>4405.02</v>
      </c>
      <c r="F798" s="35" t="n">
        <v>1438.21</v>
      </c>
      <c r="G798" s="35" t="n">
        <v>1337.75</v>
      </c>
      <c r="H798" t="inlineStr">
        <is>
          <t>Paid</t>
        </is>
      </c>
    </row>
    <row r="799">
      <c r="A799" t="inlineStr">
        <is>
          <t>CLM518714</t>
        </is>
      </c>
      <c r="B799" t="inlineStr">
        <is>
          <t>PT11427</t>
        </is>
      </c>
      <c r="C799" t="inlineStr">
        <is>
          <t>PY02</t>
        </is>
      </c>
      <c r="D799" s="30" t="n">
        <v>45924</v>
      </c>
      <c r="E799" s="35" t="n">
        <v>6763.44</v>
      </c>
      <c r="F799" s="35" t="n">
        <v>2193.3</v>
      </c>
      <c r="G799" s="35" t="n">
        <v>2019.74</v>
      </c>
      <c r="H799" t="inlineStr">
        <is>
          <t>Paid</t>
        </is>
      </c>
    </row>
    <row r="800">
      <c r="A800" t="inlineStr">
        <is>
          <t>CLM518716</t>
        </is>
      </c>
      <c r="B800" t="inlineStr">
        <is>
          <t>PT11421</t>
        </is>
      </c>
      <c r="C800" t="inlineStr">
        <is>
          <t>PY05</t>
        </is>
      </c>
      <c r="D800" s="30" t="n">
        <v>45924</v>
      </c>
      <c r="E800" s="35" t="n">
        <v>1401.86</v>
      </c>
      <c r="F800" s="35" t="n">
        <v>650.6799999999999</v>
      </c>
      <c r="G800" s="35" t="n">
        <v>510.54</v>
      </c>
      <c r="H800" t="inlineStr">
        <is>
          <t>Paid</t>
        </is>
      </c>
    </row>
    <row r="801">
      <c r="A801" t="inlineStr">
        <is>
          <t>CLM518720</t>
        </is>
      </c>
      <c r="B801" t="inlineStr">
        <is>
          <t>PT11101</t>
        </is>
      </c>
      <c r="C801" t="inlineStr">
        <is>
          <t>PY01</t>
        </is>
      </c>
      <c r="D801" s="30" t="n">
        <v>45924</v>
      </c>
      <c r="E801" s="35" t="n">
        <v>3931.99</v>
      </c>
      <c r="F801" s="35" t="n">
        <v>1243.31</v>
      </c>
      <c r="G801" s="35" t="n">
        <v>1163.75</v>
      </c>
      <c r="H801" t="inlineStr">
        <is>
          <t>Paid</t>
        </is>
      </c>
    </row>
    <row r="802">
      <c r="A802" t="inlineStr">
        <is>
          <t>CLM518732</t>
        </is>
      </c>
      <c r="B802" t="inlineStr">
        <is>
          <t>PT12992</t>
        </is>
      </c>
      <c r="C802" t="inlineStr">
        <is>
          <t>PY03</t>
        </is>
      </c>
      <c r="D802" s="30" t="n">
        <v>45924</v>
      </c>
      <c r="E802" s="35" t="n">
        <v>1857</v>
      </c>
      <c r="F802" s="35" t="n">
        <v>0</v>
      </c>
      <c r="G802" s="35" t="n">
        <v>0</v>
      </c>
      <c r="H802" t="inlineStr">
        <is>
          <t>Appealed</t>
        </is>
      </c>
      <c r="I802" t="inlineStr">
        <is>
          <t>Coding Error</t>
        </is>
      </c>
    </row>
    <row r="803">
      <c r="A803" t="inlineStr">
        <is>
          <t>CLM518750</t>
        </is>
      </c>
      <c r="B803" t="inlineStr">
        <is>
          <t>PT11068</t>
        </is>
      </c>
      <c r="C803" t="inlineStr">
        <is>
          <t>PY04</t>
        </is>
      </c>
      <c r="D803" s="30" t="n">
        <v>45925</v>
      </c>
      <c r="E803" s="35" t="n">
        <v>2504.39</v>
      </c>
      <c r="F803" s="35" t="n">
        <v>1252.92</v>
      </c>
      <c r="G803" s="35" t="n">
        <v>1138.45</v>
      </c>
      <c r="H803" t="inlineStr">
        <is>
          <t>Paid</t>
        </is>
      </c>
    </row>
    <row r="804">
      <c r="A804" t="inlineStr">
        <is>
          <t>CLM518758</t>
        </is>
      </c>
      <c r="B804" t="inlineStr">
        <is>
          <t>PT12355</t>
        </is>
      </c>
      <c r="C804" t="inlineStr">
        <is>
          <t>PY01</t>
        </is>
      </c>
      <c r="D804" s="30" t="n">
        <v>45932</v>
      </c>
      <c r="E804" s="35" t="n">
        <v>63619.53</v>
      </c>
      <c r="F804" s="35" t="n">
        <v>20199.4</v>
      </c>
      <c r="G804" s="35" t="n">
        <v>17328.75</v>
      </c>
      <c r="H804" t="inlineStr">
        <is>
          <t>Paid</t>
        </is>
      </c>
    </row>
    <row r="805">
      <c r="A805" t="inlineStr">
        <is>
          <t>CLM518759</t>
        </is>
      </c>
      <c r="B805" t="inlineStr">
        <is>
          <t>PT10471</t>
        </is>
      </c>
      <c r="C805" t="inlineStr">
        <is>
          <t>PY05</t>
        </is>
      </c>
      <c r="D805" s="30" t="n">
        <v>45925</v>
      </c>
      <c r="E805" s="35" t="n">
        <v>4750.59</v>
      </c>
      <c r="F805" s="35" t="n">
        <v>2234.97</v>
      </c>
      <c r="G805" s="35" t="n">
        <v>2012.85</v>
      </c>
      <c r="H805" t="inlineStr">
        <is>
          <t>Paid</t>
        </is>
      </c>
    </row>
    <row r="806">
      <c r="A806" t="inlineStr">
        <is>
          <t>CLM518783</t>
        </is>
      </c>
      <c r="B806" t="inlineStr">
        <is>
          <t>PT12740</t>
        </is>
      </c>
      <c r="C806" t="inlineStr">
        <is>
          <t>PY05</t>
        </is>
      </c>
      <c r="D806" s="30" t="n">
        <v>45927</v>
      </c>
      <c r="E806" s="35" t="n">
        <v>4365.34</v>
      </c>
      <c r="F806" s="35" t="n">
        <v>2272.47</v>
      </c>
      <c r="G806" s="35" t="n">
        <v>2050.7</v>
      </c>
      <c r="H806" t="inlineStr">
        <is>
          <t>Paid</t>
        </is>
      </c>
    </row>
    <row r="807">
      <c r="A807" t="inlineStr">
        <is>
          <t>CLM518787</t>
        </is>
      </c>
      <c r="B807" t="inlineStr">
        <is>
          <t>PT10591</t>
        </is>
      </c>
      <c r="C807" t="inlineStr">
        <is>
          <t>PY01</t>
        </is>
      </c>
      <c r="D807" s="30" t="n">
        <v>45926</v>
      </c>
      <c r="E807" s="35" t="n">
        <v>4873.47</v>
      </c>
      <c r="F807" s="35" t="n">
        <v>1495.16</v>
      </c>
      <c r="G807" s="35" t="n">
        <v>1435</v>
      </c>
      <c r="H807" t="inlineStr">
        <is>
          <t>Paid</t>
        </is>
      </c>
    </row>
    <row r="808">
      <c r="A808" t="inlineStr">
        <is>
          <t>CLM518798</t>
        </is>
      </c>
      <c r="B808" t="inlineStr">
        <is>
          <t>PT11937</t>
        </is>
      </c>
      <c r="C808" t="inlineStr">
        <is>
          <t>PY07</t>
        </is>
      </c>
      <c r="D808" s="30" t="n">
        <v>45928</v>
      </c>
      <c r="E808" s="35" t="n">
        <v>7104.62</v>
      </c>
      <c r="F808" s="35" t="n">
        <v>2769.78</v>
      </c>
      <c r="G808" s="35" t="n">
        <v>0</v>
      </c>
      <c r="H808" t="inlineStr">
        <is>
          <t>Pending</t>
        </is>
      </c>
    </row>
    <row r="809">
      <c r="A809" t="inlineStr">
        <is>
          <t>CLM518804</t>
        </is>
      </c>
      <c r="B809" t="inlineStr">
        <is>
          <t>PT12691</t>
        </is>
      </c>
      <c r="C809" t="inlineStr">
        <is>
          <t>PY07</t>
        </is>
      </c>
      <c r="D809" s="30" t="n">
        <v>45928</v>
      </c>
      <c r="E809" s="35" t="n">
        <v>3235.95</v>
      </c>
      <c r="F809" s="35" t="n">
        <v>1141</v>
      </c>
      <c r="G809" s="35" t="n">
        <v>0</v>
      </c>
      <c r="H809" t="inlineStr">
        <is>
          <t>Pending</t>
        </is>
      </c>
    </row>
    <row r="810">
      <c r="A810" t="inlineStr">
        <is>
          <t>CLM518805</t>
        </is>
      </c>
      <c r="B810" t="inlineStr">
        <is>
          <t>PT12945</t>
        </is>
      </c>
      <c r="C810" t="inlineStr">
        <is>
          <t>PY03</t>
        </is>
      </c>
      <c r="D810" s="30" t="n">
        <v>45929</v>
      </c>
      <c r="E810" s="35" t="n">
        <v>9170.33</v>
      </c>
      <c r="F810" s="35" t="n">
        <v>0</v>
      </c>
      <c r="G810" s="35" t="n">
        <v>0</v>
      </c>
      <c r="H810" t="inlineStr">
        <is>
          <t>Denied</t>
        </is>
      </c>
      <c r="I810" t="inlineStr">
        <is>
          <t>Medical Necessity</t>
        </is>
      </c>
    </row>
    <row r="811">
      <c r="A811" t="inlineStr">
        <is>
          <t>CLM518815</t>
        </is>
      </c>
      <c r="B811" t="inlineStr">
        <is>
          <t>PT10844</t>
        </is>
      </c>
      <c r="C811" t="inlineStr">
        <is>
          <t>PY04</t>
        </is>
      </c>
      <c r="D811" s="30" t="n">
        <v>45928</v>
      </c>
      <c r="E811" s="35" t="n">
        <v>2681.96</v>
      </c>
      <c r="F811" s="35" t="n">
        <v>1455.39</v>
      </c>
      <c r="G811" s="35" t="n">
        <v>1332.83</v>
      </c>
      <c r="H811" t="inlineStr">
        <is>
          <t>Paid</t>
        </is>
      </c>
    </row>
    <row r="812">
      <c r="A812" t="inlineStr">
        <is>
          <t>CLM518822</t>
        </is>
      </c>
      <c r="B812" t="inlineStr">
        <is>
          <t>PT12575</t>
        </is>
      </c>
      <c r="C812" t="inlineStr">
        <is>
          <t>PY03</t>
        </is>
      </c>
      <c r="D812" s="30" t="n">
        <v>45928</v>
      </c>
      <c r="E812" s="35" t="n">
        <v>1669.26</v>
      </c>
      <c r="F812" s="35" t="n">
        <v>383.98</v>
      </c>
      <c r="G812" s="35" t="n">
        <v>383.98</v>
      </c>
      <c r="H812" t="inlineStr">
        <is>
          <t>Paid</t>
        </is>
      </c>
    </row>
    <row r="813">
      <c r="A813" t="inlineStr">
        <is>
          <t>CLM518825</t>
        </is>
      </c>
      <c r="B813" t="inlineStr">
        <is>
          <t>PT10523</t>
        </is>
      </c>
      <c r="C813" t="inlineStr">
        <is>
          <t>PY01</t>
        </is>
      </c>
      <c r="D813" s="30" t="n">
        <v>45929</v>
      </c>
      <c r="E813" s="35" t="n">
        <v>4491.81</v>
      </c>
      <c r="F813" s="35" t="n">
        <v>1426.99</v>
      </c>
      <c r="G813" s="35" t="n">
        <v>1322.82</v>
      </c>
      <c r="H813" t="inlineStr">
        <is>
          <t>Paid</t>
        </is>
      </c>
    </row>
    <row r="814">
      <c r="A814" t="inlineStr">
        <is>
          <t>CLM518830</t>
        </is>
      </c>
      <c r="B814" t="inlineStr">
        <is>
          <t>PT10043</t>
        </is>
      </c>
      <c r="C814" t="inlineStr">
        <is>
          <t>PY05</t>
        </is>
      </c>
      <c r="D814" s="30" t="n">
        <v>45934</v>
      </c>
      <c r="E814" s="35" t="n">
        <v>36206.72</v>
      </c>
      <c r="F814" s="35" t="n">
        <v>17195.55</v>
      </c>
      <c r="G814" s="35" t="n">
        <v>15018.92</v>
      </c>
      <c r="H814" t="inlineStr">
        <is>
          <t>Paid</t>
        </is>
      </c>
    </row>
    <row r="815">
      <c r="A815" t="inlineStr">
        <is>
          <t>CLM518837</t>
        </is>
      </c>
      <c r="B815" t="inlineStr">
        <is>
          <t>PT12979</t>
        </is>
      </c>
      <c r="C815" t="inlineStr">
        <is>
          <t>PY03</t>
        </is>
      </c>
      <c r="D815" s="30" t="n">
        <v>45929</v>
      </c>
      <c r="E815" s="35" t="n">
        <v>2574.5</v>
      </c>
      <c r="F815" s="35" t="n">
        <v>619.66</v>
      </c>
      <c r="G815" s="35" t="n">
        <v>371.83</v>
      </c>
      <c r="H815" t="inlineStr">
        <is>
          <t>Partially Paid</t>
        </is>
      </c>
      <c r="I815" t="inlineStr">
        <is>
          <t>Coding Error</t>
        </is>
      </c>
    </row>
    <row r="816">
      <c r="A816" t="inlineStr">
        <is>
          <t>CLM518847</t>
        </is>
      </c>
      <c r="B816" t="inlineStr">
        <is>
          <t>PT11655</t>
        </is>
      </c>
      <c r="C816" t="inlineStr">
        <is>
          <t>PY06</t>
        </is>
      </c>
      <c r="D816" s="30" t="n">
        <v>45929</v>
      </c>
      <c r="E816" s="35" t="n">
        <v>3828.05</v>
      </c>
      <c r="F816" s="35" t="n">
        <v>1969.86</v>
      </c>
      <c r="G816" s="35" t="n">
        <v>1825.11</v>
      </c>
      <c r="H816" t="inlineStr">
        <is>
          <t>Paid</t>
        </is>
      </c>
    </row>
    <row r="817">
      <c r="A817" t="inlineStr">
        <is>
          <t>CLM518848</t>
        </is>
      </c>
      <c r="B817" t="inlineStr">
        <is>
          <t>PT10662</t>
        </is>
      </c>
      <c r="C817" t="inlineStr">
        <is>
          <t>PY01</t>
        </is>
      </c>
      <c r="D817" s="30" t="n">
        <v>45934</v>
      </c>
      <c r="E817" s="35" t="n">
        <v>30614.39</v>
      </c>
      <c r="F817" s="35" t="n">
        <v>0</v>
      </c>
      <c r="G817" s="35" t="n">
        <v>0</v>
      </c>
      <c r="H817" t="inlineStr">
        <is>
          <t>Denied</t>
        </is>
      </c>
      <c r="I817" t="inlineStr">
        <is>
          <t>Authorization Required</t>
        </is>
      </c>
    </row>
    <row r="818">
      <c r="A818" t="inlineStr">
        <is>
          <t>CLM518852</t>
        </is>
      </c>
      <c r="B818" t="inlineStr">
        <is>
          <t>PT10101</t>
        </is>
      </c>
      <c r="C818" t="inlineStr">
        <is>
          <t>PY02</t>
        </is>
      </c>
      <c r="D818" s="30" t="n">
        <v>45930</v>
      </c>
      <c r="E818" s="35" t="n">
        <v>1217.01</v>
      </c>
      <c r="F818" s="35" t="n">
        <v>398.82</v>
      </c>
      <c r="G818" s="35" t="n">
        <v>366.66</v>
      </c>
      <c r="H818" t="inlineStr">
        <is>
          <t>Paid</t>
        </is>
      </c>
    </row>
    <row r="819">
      <c r="A819" t="inlineStr">
        <is>
          <t>CLM518853</t>
        </is>
      </c>
      <c r="B819" t="inlineStr">
        <is>
          <t>PT12917</t>
        </is>
      </c>
      <c r="C819" t="inlineStr">
        <is>
          <t>PY01</t>
        </is>
      </c>
      <c r="D819" s="30" t="n">
        <v>45938</v>
      </c>
      <c r="E819" s="35" t="n">
        <v>28547.9</v>
      </c>
      <c r="F819" s="35" t="n">
        <v>0</v>
      </c>
      <c r="G819" s="35" t="n">
        <v>0</v>
      </c>
      <c r="H819" t="inlineStr">
        <is>
          <t>Denied</t>
        </is>
      </c>
      <c r="I819" t="inlineStr">
        <is>
          <t>Duplicate Claim</t>
        </is>
      </c>
    </row>
    <row r="820">
      <c r="A820" t="inlineStr">
        <is>
          <t>CLM518876</t>
        </is>
      </c>
      <c r="B820" t="inlineStr">
        <is>
          <t>PT11529</t>
        </is>
      </c>
      <c r="C820" t="inlineStr">
        <is>
          <t>PY04</t>
        </is>
      </c>
      <c r="D820" s="30" t="n">
        <v>45930</v>
      </c>
      <c r="E820" s="35" t="n">
        <v>6020.48</v>
      </c>
      <c r="F820" s="35" t="n">
        <v>2750.89</v>
      </c>
      <c r="G820" s="35" t="n">
        <v>2466.41</v>
      </c>
      <c r="H820" t="inlineStr">
        <is>
          <t>Paid</t>
        </is>
      </c>
    </row>
    <row r="821">
      <c r="A821" t="inlineStr">
        <is>
          <t>CLM518893</t>
        </is>
      </c>
      <c r="B821" t="inlineStr">
        <is>
          <t>PT10933</t>
        </is>
      </c>
      <c r="C821" t="inlineStr">
        <is>
          <t>PY05</t>
        </is>
      </c>
      <c r="D821" s="30" t="n">
        <v>45931</v>
      </c>
      <c r="E821" s="35" t="n">
        <v>1523.34</v>
      </c>
      <c r="F821" s="35" t="n">
        <v>702.9299999999999</v>
      </c>
      <c r="G821" s="35" t="n">
        <v>620.76</v>
      </c>
      <c r="H821" t="inlineStr">
        <is>
          <t>Paid</t>
        </is>
      </c>
    </row>
    <row r="822">
      <c r="A822" t="inlineStr">
        <is>
          <t>CLM518906</t>
        </is>
      </c>
      <c r="B822" t="inlineStr">
        <is>
          <t>PT12469</t>
        </is>
      </c>
      <c r="C822" t="inlineStr">
        <is>
          <t>PY01</t>
        </is>
      </c>
      <c r="D822" s="30" t="n">
        <v>45931</v>
      </c>
      <c r="E822" s="35" t="n">
        <v>5305.45</v>
      </c>
      <c r="F822" s="35" t="n">
        <v>1670.67</v>
      </c>
      <c r="G822" s="35" t="n">
        <v>1599.37</v>
      </c>
      <c r="H822" t="inlineStr">
        <is>
          <t>Paid</t>
        </is>
      </c>
    </row>
    <row r="823">
      <c r="A823" t="inlineStr">
        <is>
          <t>CLM518913</t>
        </is>
      </c>
      <c r="B823" t="inlineStr">
        <is>
          <t>PT13233</t>
        </is>
      </c>
      <c r="C823" t="inlineStr">
        <is>
          <t>PY03</t>
        </is>
      </c>
      <c r="D823" s="30" t="n">
        <v>45931</v>
      </c>
      <c r="E823" s="35" t="n">
        <v>3516.48</v>
      </c>
      <c r="F823" s="35" t="n">
        <v>0</v>
      </c>
      <c r="G823" s="35" t="n">
        <v>0</v>
      </c>
      <c r="H823" t="inlineStr">
        <is>
          <t>Denied</t>
        </is>
      </c>
      <c r="I823" t="inlineStr">
        <is>
          <t>Eligibility / Coverage</t>
        </is>
      </c>
    </row>
    <row r="824">
      <c r="A824" t="inlineStr">
        <is>
          <t>CLM518928</t>
        </is>
      </c>
      <c r="B824" t="inlineStr">
        <is>
          <t>PT11941</t>
        </is>
      </c>
      <c r="C824" t="inlineStr">
        <is>
          <t>PY01</t>
        </is>
      </c>
      <c r="D824" s="30" t="n">
        <v>45932</v>
      </c>
      <c r="E824" s="35" t="n">
        <v>4126.46</v>
      </c>
      <c r="F824" s="35" t="n">
        <v>1339.84</v>
      </c>
      <c r="G824" s="35" t="n">
        <v>1193.83</v>
      </c>
      <c r="H824" t="inlineStr">
        <is>
          <t>Paid</t>
        </is>
      </c>
    </row>
    <row r="825">
      <c r="A825" t="inlineStr">
        <is>
          <t>CLM518940</t>
        </is>
      </c>
      <c r="B825" t="inlineStr">
        <is>
          <t>PT12703</t>
        </is>
      </c>
      <c r="C825" t="inlineStr">
        <is>
          <t>PY02</t>
        </is>
      </c>
      <c r="D825" s="30" t="n">
        <v>45932</v>
      </c>
      <c r="E825" s="35" t="n">
        <v>1452.42</v>
      </c>
      <c r="F825" s="35" t="n">
        <v>488.17</v>
      </c>
      <c r="G825" s="35" t="n">
        <v>444.87</v>
      </c>
      <c r="H825" t="inlineStr">
        <is>
          <t>Paid</t>
        </is>
      </c>
    </row>
    <row r="826">
      <c r="A826" t="inlineStr">
        <is>
          <t>CLM518945</t>
        </is>
      </c>
      <c r="B826" t="inlineStr">
        <is>
          <t>PT10171</t>
        </is>
      </c>
      <c r="C826" t="inlineStr">
        <is>
          <t>PY01</t>
        </is>
      </c>
      <c r="D826" s="30" t="n">
        <v>45932</v>
      </c>
      <c r="E826" s="35" t="n">
        <v>959.3200000000001</v>
      </c>
      <c r="F826" s="35" t="n">
        <v>281.97</v>
      </c>
      <c r="G826" s="35" t="n">
        <v>258.89</v>
      </c>
      <c r="H826" t="inlineStr">
        <is>
          <t>Paid</t>
        </is>
      </c>
    </row>
    <row r="827">
      <c r="A827" t="inlineStr">
        <is>
          <t>CLM518954</t>
        </is>
      </c>
      <c r="B827" t="inlineStr">
        <is>
          <t>PT12910</t>
        </is>
      </c>
      <c r="C827" t="inlineStr">
        <is>
          <t>PY05</t>
        </is>
      </c>
      <c r="D827" s="30" t="n">
        <v>45937</v>
      </c>
      <c r="E827" s="35" t="n">
        <v>22351.56</v>
      </c>
      <c r="F827" s="35" t="n">
        <v>10755.2</v>
      </c>
      <c r="G827" s="35" t="n">
        <v>9193.549999999999</v>
      </c>
      <c r="H827" t="inlineStr">
        <is>
          <t>Paid</t>
        </is>
      </c>
    </row>
    <row r="828">
      <c r="A828" t="inlineStr">
        <is>
          <t>CLM518958</t>
        </is>
      </c>
      <c r="B828" t="inlineStr">
        <is>
          <t>PT12229</t>
        </is>
      </c>
      <c r="C828" t="inlineStr">
        <is>
          <t>PY05</t>
        </is>
      </c>
      <c r="D828" s="30" t="n">
        <v>45933</v>
      </c>
      <c r="E828" s="35" t="n">
        <v>1046.72</v>
      </c>
      <c r="F828" s="35" t="n">
        <v>516.21</v>
      </c>
      <c r="G828" s="35" t="n">
        <v>244.79</v>
      </c>
      <c r="H828" t="inlineStr">
        <is>
          <t>Partially Paid</t>
        </is>
      </c>
      <c r="I828" t="inlineStr">
        <is>
          <t>Coding Error</t>
        </is>
      </c>
    </row>
    <row r="829">
      <c r="A829" t="inlineStr">
        <is>
          <t>CLM518962</t>
        </is>
      </c>
      <c r="B829" t="inlineStr">
        <is>
          <t>PT13672</t>
        </is>
      </c>
      <c r="C829" t="inlineStr">
        <is>
          <t>PY02</t>
        </is>
      </c>
      <c r="D829" s="30" t="n">
        <v>45933</v>
      </c>
      <c r="E829" s="35" t="n">
        <v>5528.21</v>
      </c>
      <c r="F829" s="35" t="n">
        <v>0</v>
      </c>
      <c r="G829" s="35" t="n">
        <v>0</v>
      </c>
      <c r="H829" t="inlineStr">
        <is>
          <t>Denied</t>
        </is>
      </c>
      <c r="I829" t="inlineStr">
        <is>
          <t>Authorization Required</t>
        </is>
      </c>
    </row>
    <row r="830">
      <c r="A830" t="inlineStr">
        <is>
          <t>CLM518980</t>
        </is>
      </c>
      <c r="B830" t="inlineStr">
        <is>
          <t>PT13745</t>
        </is>
      </c>
      <c r="C830" t="inlineStr">
        <is>
          <t>PY06</t>
        </is>
      </c>
      <c r="D830" s="30" t="n">
        <v>45934</v>
      </c>
      <c r="E830" s="35" t="n">
        <v>4750.7</v>
      </c>
      <c r="F830" s="35" t="n">
        <v>2656.29</v>
      </c>
      <c r="G830" s="35" t="n">
        <v>2164.34</v>
      </c>
      <c r="H830" t="inlineStr">
        <is>
          <t>Paid</t>
        </is>
      </c>
    </row>
    <row r="831">
      <c r="A831" t="inlineStr">
        <is>
          <t>CLM518987</t>
        </is>
      </c>
      <c r="B831" t="inlineStr">
        <is>
          <t>PT12485</t>
        </is>
      </c>
      <c r="C831" t="inlineStr">
        <is>
          <t>PY01</t>
        </is>
      </c>
      <c r="D831" s="30" t="n">
        <v>45934</v>
      </c>
      <c r="E831" s="35" t="n">
        <v>2228.91</v>
      </c>
      <c r="F831" s="35" t="n">
        <v>695.05</v>
      </c>
      <c r="G831" s="35" t="n">
        <v>627.8</v>
      </c>
      <c r="H831" t="inlineStr">
        <is>
          <t>Paid</t>
        </is>
      </c>
    </row>
    <row r="832">
      <c r="A832" t="inlineStr">
        <is>
          <t>CLM518998</t>
        </is>
      </c>
      <c r="B832" t="inlineStr">
        <is>
          <t>PT13988</t>
        </is>
      </c>
      <c r="C832" t="inlineStr">
        <is>
          <t>PY02</t>
        </is>
      </c>
      <c r="D832" s="30" t="n">
        <v>45935</v>
      </c>
      <c r="E832" s="35" t="n">
        <v>21051.79</v>
      </c>
      <c r="F832" s="35" t="n">
        <v>6871.33</v>
      </c>
      <c r="G832" s="35" t="n">
        <v>6395.21</v>
      </c>
      <c r="H832" t="inlineStr">
        <is>
          <t>Paid</t>
        </is>
      </c>
    </row>
    <row r="833">
      <c r="A833" t="inlineStr">
        <is>
          <t>CLM519005</t>
        </is>
      </c>
      <c r="B833" t="inlineStr">
        <is>
          <t>PT13806</t>
        </is>
      </c>
      <c r="C833" t="inlineStr">
        <is>
          <t>PY02</t>
        </is>
      </c>
      <c r="D833" s="30" t="n">
        <v>45935</v>
      </c>
      <c r="E833" s="35" t="n">
        <v>1418.07</v>
      </c>
      <c r="F833" s="35" t="n">
        <v>486.61</v>
      </c>
      <c r="G833" s="35" t="n">
        <v>452.14</v>
      </c>
      <c r="H833" t="inlineStr">
        <is>
          <t>Paid</t>
        </is>
      </c>
    </row>
    <row r="834">
      <c r="A834" t="inlineStr">
        <is>
          <t>CLM519010</t>
        </is>
      </c>
      <c r="B834" t="inlineStr">
        <is>
          <t>PT11910</t>
        </is>
      </c>
      <c r="C834" t="inlineStr">
        <is>
          <t>PY02</t>
        </is>
      </c>
      <c r="D834" s="30" t="n">
        <v>45935</v>
      </c>
      <c r="E834" s="35" t="n">
        <v>1276.73</v>
      </c>
      <c r="F834" s="35" t="n">
        <v>387.33</v>
      </c>
      <c r="G834" s="35" t="n">
        <v>355.99</v>
      </c>
      <c r="H834" t="inlineStr">
        <is>
          <t>Paid</t>
        </is>
      </c>
    </row>
    <row r="835">
      <c r="A835" t="inlineStr">
        <is>
          <t>CLM519013</t>
        </is>
      </c>
      <c r="B835" t="inlineStr">
        <is>
          <t>PT11373</t>
        </is>
      </c>
      <c r="C835" t="inlineStr">
        <is>
          <t>PY01</t>
        </is>
      </c>
      <c r="D835" s="30" t="n">
        <v>45935</v>
      </c>
      <c r="E835" s="35" t="n">
        <v>4294.05</v>
      </c>
      <c r="F835" s="35" t="n">
        <v>1527.55</v>
      </c>
      <c r="G835" s="35" t="n">
        <v>1431.03</v>
      </c>
      <c r="H835" t="inlineStr">
        <is>
          <t>Paid</t>
        </is>
      </c>
    </row>
    <row r="836">
      <c r="A836" t="inlineStr">
        <is>
          <t>CLM519014</t>
        </is>
      </c>
      <c r="B836" t="inlineStr">
        <is>
          <t>PT10998</t>
        </is>
      </c>
      <c r="C836" t="inlineStr">
        <is>
          <t>PY06</t>
        </is>
      </c>
      <c r="D836" s="30" t="n">
        <v>45937</v>
      </c>
      <c r="E836" s="35" t="n">
        <v>6233.59</v>
      </c>
      <c r="F836" s="35" t="n">
        <v>4315.46</v>
      </c>
      <c r="G836" s="35" t="n">
        <v>3651.97</v>
      </c>
      <c r="H836" t="inlineStr">
        <is>
          <t>Paid</t>
        </is>
      </c>
    </row>
    <row r="837">
      <c r="A837" t="inlineStr">
        <is>
          <t>CLM519021</t>
        </is>
      </c>
      <c r="B837" t="inlineStr">
        <is>
          <t>PT10606</t>
        </is>
      </c>
      <c r="C837" t="inlineStr">
        <is>
          <t>PY01</t>
        </is>
      </c>
      <c r="D837" s="30" t="n">
        <v>45937</v>
      </c>
      <c r="E837" s="35" t="n">
        <v>7669.52</v>
      </c>
      <c r="F837" s="35" t="n">
        <v>2609.35</v>
      </c>
      <c r="G837" s="35" t="n">
        <v>2385.94</v>
      </c>
      <c r="H837" t="inlineStr">
        <is>
          <t>Paid</t>
        </is>
      </c>
    </row>
    <row r="838">
      <c r="A838" t="inlineStr">
        <is>
          <t>CLM519029</t>
        </is>
      </c>
      <c r="B838" t="inlineStr">
        <is>
          <t>PT13215</t>
        </is>
      </c>
      <c r="C838" t="inlineStr">
        <is>
          <t>PY02</t>
        </is>
      </c>
      <c r="D838" s="30" t="n">
        <v>45936</v>
      </c>
      <c r="E838" s="35" t="n">
        <v>4188.5</v>
      </c>
      <c r="F838" s="35" t="n">
        <v>1308.36</v>
      </c>
      <c r="G838" s="35" t="n">
        <v>1141.03</v>
      </c>
      <c r="H838" t="inlineStr">
        <is>
          <t>Paid</t>
        </is>
      </c>
    </row>
    <row r="839">
      <c r="A839" t="inlineStr">
        <is>
          <t>CLM519035</t>
        </is>
      </c>
      <c r="B839" t="inlineStr">
        <is>
          <t>PT11143</t>
        </is>
      </c>
      <c r="C839" t="inlineStr">
        <is>
          <t>PY03</t>
        </is>
      </c>
      <c r="D839" s="30" t="n">
        <v>45943</v>
      </c>
      <c r="E839" s="35" t="n">
        <v>65777.14999999999</v>
      </c>
      <c r="F839" s="35" t="n">
        <v>16498.06</v>
      </c>
      <c r="G839" s="35" t="n">
        <v>16498.06</v>
      </c>
      <c r="H839" t="inlineStr">
        <is>
          <t>Paid</t>
        </is>
      </c>
    </row>
    <row r="840">
      <c r="A840" t="inlineStr">
        <is>
          <t>CLM519066</t>
        </is>
      </c>
      <c r="B840" t="inlineStr">
        <is>
          <t>PT10933</t>
        </is>
      </c>
      <c r="C840" t="inlineStr">
        <is>
          <t>PY05</t>
        </is>
      </c>
      <c r="D840" s="30" t="n">
        <v>45937</v>
      </c>
      <c r="E840" s="35" t="n">
        <v>3141.94</v>
      </c>
      <c r="F840" s="35" t="n">
        <v>1343.67</v>
      </c>
      <c r="G840" s="35" t="n">
        <v>1146.25</v>
      </c>
      <c r="H840" t="inlineStr">
        <is>
          <t>Paid</t>
        </is>
      </c>
    </row>
    <row r="841">
      <c r="A841" t="inlineStr">
        <is>
          <t>CLM519068</t>
        </is>
      </c>
      <c r="B841" t="inlineStr">
        <is>
          <t>PT10043</t>
        </is>
      </c>
      <c r="C841" t="inlineStr">
        <is>
          <t>PY05</t>
        </is>
      </c>
      <c r="D841" s="30" t="n">
        <v>45939</v>
      </c>
      <c r="E841" s="35" t="n">
        <v>15658.95</v>
      </c>
      <c r="F841" s="35" t="n">
        <v>7277.1</v>
      </c>
      <c r="G841" s="35" t="n">
        <v>6623.04</v>
      </c>
      <c r="H841" t="inlineStr">
        <is>
          <t>Paid</t>
        </is>
      </c>
    </row>
    <row r="842">
      <c r="A842" t="inlineStr">
        <is>
          <t>CLM519070</t>
        </is>
      </c>
      <c r="B842" t="inlineStr">
        <is>
          <t>PT13249</t>
        </is>
      </c>
      <c r="C842" t="inlineStr">
        <is>
          <t>PY02</t>
        </is>
      </c>
      <c r="D842" s="30" t="n">
        <v>45937</v>
      </c>
      <c r="E842" s="35" t="n">
        <v>4647.61</v>
      </c>
      <c r="F842" s="35" t="n">
        <v>1699.42</v>
      </c>
      <c r="G842" s="35" t="n">
        <v>1612.78</v>
      </c>
      <c r="H842" t="inlineStr">
        <is>
          <t>Paid</t>
        </is>
      </c>
    </row>
    <row r="843">
      <c r="A843" t="inlineStr">
        <is>
          <t>CLM519072</t>
        </is>
      </c>
      <c r="B843" t="inlineStr">
        <is>
          <t>PT12041</t>
        </is>
      </c>
      <c r="C843" t="inlineStr">
        <is>
          <t>PY06</t>
        </is>
      </c>
      <c r="D843" s="30" t="n">
        <v>45941</v>
      </c>
      <c r="E843" s="35" t="n">
        <v>21983.01</v>
      </c>
      <c r="F843" s="35" t="n">
        <v>11529.79</v>
      </c>
      <c r="G843" s="35" t="n">
        <v>10093.32</v>
      </c>
      <c r="H843" t="inlineStr">
        <is>
          <t>Paid</t>
        </is>
      </c>
    </row>
    <row r="844">
      <c r="A844" t="inlineStr">
        <is>
          <t>CLM519087</t>
        </is>
      </c>
      <c r="B844" t="inlineStr">
        <is>
          <t>PT12867</t>
        </is>
      </c>
      <c r="C844" t="inlineStr">
        <is>
          <t>PY01</t>
        </is>
      </c>
      <c r="D844" s="30" t="n">
        <v>45940</v>
      </c>
      <c r="E844" s="35" t="n">
        <v>9196.389999999999</v>
      </c>
      <c r="F844" s="35" t="n">
        <v>2974.95</v>
      </c>
      <c r="G844" s="35" t="n">
        <v>2689.01</v>
      </c>
      <c r="H844" t="inlineStr">
        <is>
          <t>Paid</t>
        </is>
      </c>
    </row>
    <row r="845">
      <c r="A845" t="inlineStr">
        <is>
          <t>CLM519104</t>
        </is>
      </c>
      <c r="B845" t="inlineStr">
        <is>
          <t>PT12998</t>
        </is>
      </c>
      <c r="C845" t="inlineStr">
        <is>
          <t>PY05</t>
        </is>
      </c>
      <c r="D845" s="30" t="n">
        <v>45938</v>
      </c>
      <c r="E845" s="35" t="n">
        <v>3747.54</v>
      </c>
      <c r="F845" s="35" t="n">
        <v>1788.56</v>
      </c>
      <c r="G845" s="35" t="n">
        <v>1759.18</v>
      </c>
      <c r="H845" t="inlineStr">
        <is>
          <t>Paid</t>
        </is>
      </c>
    </row>
    <row r="846">
      <c r="A846" t="inlineStr">
        <is>
          <t>CLM519108</t>
        </is>
      </c>
      <c r="B846" t="inlineStr">
        <is>
          <t>PT12609</t>
        </is>
      </c>
      <c r="C846" t="inlineStr">
        <is>
          <t>PY04</t>
        </is>
      </c>
      <c r="D846" s="30" t="n">
        <v>45938</v>
      </c>
      <c r="E846" s="35" t="n">
        <v>1148.4</v>
      </c>
      <c r="F846" s="35" t="n">
        <v>576.67</v>
      </c>
      <c r="G846" s="35" t="n">
        <v>543.73</v>
      </c>
      <c r="H846" t="inlineStr">
        <is>
          <t>Paid</t>
        </is>
      </c>
    </row>
    <row r="847">
      <c r="A847" t="inlineStr">
        <is>
          <t>CLM519125</t>
        </is>
      </c>
      <c r="B847" t="inlineStr">
        <is>
          <t>PT12687</t>
        </is>
      </c>
      <c r="C847" t="inlineStr">
        <is>
          <t>PY01</t>
        </is>
      </c>
      <c r="D847" s="30" t="n">
        <v>45945</v>
      </c>
      <c r="E847" s="35" t="n">
        <v>46641.33</v>
      </c>
      <c r="F847" s="35" t="n">
        <v>17996.49</v>
      </c>
      <c r="G847" s="35" t="n">
        <v>0</v>
      </c>
      <c r="H847" t="inlineStr">
        <is>
          <t>Pending</t>
        </is>
      </c>
    </row>
    <row r="848">
      <c r="A848" t="inlineStr">
        <is>
          <t>CLM519126</t>
        </is>
      </c>
      <c r="B848" t="inlineStr">
        <is>
          <t>PT12535</t>
        </is>
      </c>
      <c r="C848" t="inlineStr">
        <is>
          <t>PY06</t>
        </is>
      </c>
      <c r="D848" s="30" t="n">
        <v>45939</v>
      </c>
      <c r="E848" s="35" t="n">
        <v>1347.73</v>
      </c>
      <c r="F848" s="35" t="n">
        <v>758.26</v>
      </c>
      <c r="G848" s="35" t="n">
        <v>708.2</v>
      </c>
      <c r="H848" t="inlineStr">
        <is>
          <t>Paid</t>
        </is>
      </c>
    </row>
    <row r="849">
      <c r="A849" t="inlineStr">
        <is>
          <t>CLM519150</t>
        </is>
      </c>
      <c r="B849" t="inlineStr">
        <is>
          <t>PT10473</t>
        </is>
      </c>
      <c r="C849" t="inlineStr">
        <is>
          <t>PY03</t>
        </is>
      </c>
      <c r="D849" s="30" t="n">
        <v>45940</v>
      </c>
      <c r="E849" s="35" t="n">
        <v>1362.63</v>
      </c>
      <c r="F849" s="35" t="n">
        <v>275.77</v>
      </c>
      <c r="G849" s="35" t="n">
        <v>275.77</v>
      </c>
      <c r="H849" t="inlineStr">
        <is>
          <t>Paid</t>
        </is>
      </c>
    </row>
    <row r="850">
      <c r="A850" t="inlineStr">
        <is>
          <t>CLM519156</t>
        </is>
      </c>
      <c r="B850" t="inlineStr">
        <is>
          <t>PT10755</t>
        </is>
      </c>
      <c r="C850" t="inlineStr">
        <is>
          <t>PY04</t>
        </is>
      </c>
      <c r="D850" s="30" t="n">
        <v>45940</v>
      </c>
      <c r="E850" s="35" t="n">
        <v>985.26</v>
      </c>
      <c r="F850" s="35" t="n">
        <v>482.49</v>
      </c>
      <c r="G850" s="35" t="n">
        <v>231.27</v>
      </c>
      <c r="H850" t="inlineStr">
        <is>
          <t>Partially Paid</t>
        </is>
      </c>
      <c r="I850" t="inlineStr">
        <is>
          <t>Coding Error</t>
        </is>
      </c>
    </row>
    <row r="851">
      <c r="A851" t="inlineStr">
        <is>
          <t>CLM519173</t>
        </is>
      </c>
      <c r="B851" t="inlineStr">
        <is>
          <t>PT13821</t>
        </is>
      </c>
      <c r="C851" t="inlineStr">
        <is>
          <t>PY06</t>
        </is>
      </c>
      <c r="D851" s="30" t="n">
        <v>45944</v>
      </c>
      <c r="E851" s="35" t="n">
        <v>31608.74</v>
      </c>
      <c r="F851" s="35" t="n">
        <v>16120.5</v>
      </c>
      <c r="G851" s="35" t="n">
        <v>14733.24</v>
      </c>
      <c r="H851" t="inlineStr">
        <is>
          <t>Paid</t>
        </is>
      </c>
    </row>
    <row r="852">
      <c r="A852" t="inlineStr">
        <is>
          <t>CLM519187</t>
        </is>
      </c>
      <c r="B852" t="inlineStr">
        <is>
          <t>PT12216</t>
        </is>
      </c>
      <c r="C852" t="inlineStr">
        <is>
          <t>PY03</t>
        </is>
      </c>
      <c r="D852" s="30" t="n">
        <v>45941</v>
      </c>
      <c r="E852" s="35" t="n">
        <v>1740.12</v>
      </c>
      <c r="F852" s="35" t="n">
        <v>455.02</v>
      </c>
      <c r="G852" s="35" t="n">
        <v>455.02</v>
      </c>
      <c r="H852" t="inlineStr">
        <is>
          <t>Paid</t>
        </is>
      </c>
    </row>
    <row r="853">
      <c r="A853" t="inlineStr">
        <is>
          <t>CLM519190</t>
        </is>
      </c>
      <c r="B853" t="inlineStr">
        <is>
          <t>PT11876</t>
        </is>
      </c>
      <c r="C853" t="inlineStr">
        <is>
          <t>PY03</t>
        </is>
      </c>
      <c r="D853" s="30" t="n">
        <v>45942</v>
      </c>
      <c r="E853" s="35" t="n">
        <v>7848.68</v>
      </c>
      <c r="F853" s="35" t="n">
        <v>1937.52</v>
      </c>
      <c r="G853" s="35" t="n">
        <v>1937.52</v>
      </c>
      <c r="H853" t="inlineStr">
        <is>
          <t>Paid</t>
        </is>
      </c>
    </row>
    <row r="854">
      <c r="A854" t="inlineStr">
        <is>
          <t>CLM519195</t>
        </is>
      </c>
      <c r="B854" t="inlineStr">
        <is>
          <t>PT10703</t>
        </is>
      </c>
      <c r="C854" t="inlineStr">
        <is>
          <t>PY03</t>
        </is>
      </c>
      <c r="D854" s="30" t="n">
        <v>45943</v>
      </c>
      <c r="E854" s="35" t="n">
        <v>8538.84</v>
      </c>
      <c r="F854" s="35" t="n">
        <v>2213.21</v>
      </c>
      <c r="G854" s="35" t="n">
        <v>2213.21</v>
      </c>
      <c r="H854" t="inlineStr">
        <is>
          <t>Paid</t>
        </is>
      </c>
    </row>
    <row r="855">
      <c r="A855" t="inlineStr">
        <is>
          <t>CLM519200</t>
        </is>
      </c>
      <c r="B855" t="inlineStr">
        <is>
          <t>PT12458</t>
        </is>
      </c>
      <c r="C855" t="inlineStr">
        <is>
          <t>PY07</t>
        </is>
      </c>
      <c r="D855" s="30" t="n">
        <v>45943</v>
      </c>
      <c r="E855" s="35" t="n">
        <v>5683.77</v>
      </c>
      <c r="F855" s="35" t="n">
        <v>2246.31</v>
      </c>
      <c r="G855" s="35" t="n">
        <v>0</v>
      </c>
      <c r="H855" t="inlineStr">
        <is>
          <t>Pending</t>
        </is>
      </c>
    </row>
    <row r="856">
      <c r="A856" t="inlineStr">
        <is>
          <t>CLM519201</t>
        </is>
      </c>
      <c r="B856" t="inlineStr">
        <is>
          <t>PT13760</t>
        </is>
      </c>
      <c r="C856" t="inlineStr">
        <is>
          <t>PY05</t>
        </is>
      </c>
      <c r="D856" s="30" t="n">
        <v>45945</v>
      </c>
      <c r="E856" s="35" t="n">
        <v>81054.78</v>
      </c>
      <c r="F856" s="35" t="n">
        <v>38288.14</v>
      </c>
      <c r="G856" s="35" t="n">
        <v>31727.44</v>
      </c>
      <c r="H856" t="inlineStr">
        <is>
          <t>Paid</t>
        </is>
      </c>
    </row>
    <row r="857">
      <c r="A857" t="inlineStr">
        <is>
          <t>CLM519202</t>
        </is>
      </c>
      <c r="B857" t="inlineStr">
        <is>
          <t>PT13475</t>
        </is>
      </c>
      <c r="C857" t="inlineStr">
        <is>
          <t>PY05</t>
        </is>
      </c>
      <c r="D857" s="30" t="n">
        <v>45942</v>
      </c>
      <c r="E857" s="35" t="n">
        <v>3148.83</v>
      </c>
      <c r="F857" s="35" t="n">
        <v>1374.78</v>
      </c>
      <c r="G857" s="35" t="n">
        <v>1255.72</v>
      </c>
      <c r="H857" t="inlineStr">
        <is>
          <t>Paid</t>
        </is>
      </c>
    </row>
    <row r="858">
      <c r="A858" t="inlineStr">
        <is>
          <t>CLM519283</t>
        </is>
      </c>
      <c r="B858" t="inlineStr">
        <is>
          <t>PT10906</t>
        </is>
      </c>
      <c r="C858" t="inlineStr">
        <is>
          <t>PY04</t>
        </is>
      </c>
      <c r="D858" s="30" t="n">
        <v>45946</v>
      </c>
      <c r="E858" s="35" t="n">
        <v>11392.74</v>
      </c>
      <c r="F858" s="35" t="n">
        <v>5568.63</v>
      </c>
      <c r="G858" s="35" t="n">
        <v>5133.78</v>
      </c>
      <c r="H858" t="inlineStr">
        <is>
          <t>Paid</t>
        </is>
      </c>
    </row>
    <row r="859">
      <c r="A859" t="inlineStr">
        <is>
          <t>CLM519284</t>
        </is>
      </c>
      <c r="B859" t="inlineStr">
        <is>
          <t>PT12209</t>
        </is>
      </c>
      <c r="C859" t="inlineStr">
        <is>
          <t>PY02</t>
        </is>
      </c>
      <c r="D859" s="30" t="n">
        <v>45944</v>
      </c>
      <c r="E859" s="35" t="n">
        <v>3251.7</v>
      </c>
      <c r="F859" s="35" t="n">
        <v>0</v>
      </c>
      <c r="G859" s="35" t="n">
        <v>0</v>
      </c>
      <c r="H859" t="inlineStr">
        <is>
          <t>Denied</t>
        </is>
      </c>
      <c r="I859" t="inlineStr">
        <is>
          <t>Medical Necessity</t>
        </is>
      </c>
    </row>
    <row r="860">
      <c r="A860" t="inlineStr">
        <is>
          <t>CLM519291</t>
        </is>
      </c>
      <c r="B860" t="inlineStr">
        <is>
          <t>PT10083</t>
        </is>
      </c>
      <c r="C860" t="inlineStr">
        <is>
          <t>PY08</t>
        </is>
      </c>
      <c r="D860" s="30" t="n">
        <v>45945</v>
      </c>
      <c r="E860" s="35" t="n">
        <v>3393.1</v>
      </c>
      <c r="F860" s="35" t="n">
        <v>1915.85</v>
      </c>
      <c r="G860" s="35" t="n">
        <v>1915.85</v>
      </c>
      <c r="H860" t="inlineStr">
        <is>
          <t>Paid</t>
        </is>
      </c>
    </row>
    <row r="861">
      <c r="A861" t="inlineStr">
        <is>
          <t>CLM519309</t>
        </is>
      </c>
      <c r="B861" t="inlineStr">
        <is>
          <t>PT10966</t>
        </is>
      </c>
      <c r="C861" t="inlineStr">
        <is>
          <t>PY04</t>
        </is>
      </c>
      <c r="D861" s="30" t="n">
        <v>45948</v>
      </c>
      <c r="E861" s="35" t="n">
        <v>14941.67</v>
      </c>
      <c r="F861" s="35" t="n">
        <v>7202.89</v>
      </c>
      <c r="G861" s="35" t="n">
        <v>6597.64</v>
      </c>
      <c r="H861" t="inlineStr">
        <is>
          <t>Paid</t>
        </is>
      </c>
    </row>
    <row r="862">
      <c r="A862" t="inlineStr">
        <is>
          <t>CLM519362</t>
        </is>
      </c>
      <c r="B862" t="inlineStr">
        <is>
          <t>PT11371</t>
        </is>
      </c>
      <c r="C862" t="inlineStr">
        <is>
          <t>PY01</t>
        </is>
      </c>
      <c r="D862" s="30" t="n">
        <v>45951</v>
      </c>
      <c r="E862" s="35" t="n">
        <v>31943.83</v>
      </c>
      <c r="F862" s="35" t="n">
        <v>10842.47</v>
      </c>
      <c r="G862" s="35" t="n">
        <v>9666.290000000001</v>
      </c>
      <c r="H862" t="inlineStr">
        <is>
          <t>Paid</t>
        </is>
      </c>
    </row>
    <row r="863">
      <c r="A863" t="inlineStr">
        <is>
          <t>CLM519375</t>
        </is>
      </c>
      <c r="B863" t="inlineStr">
        <is>
          <t>PT11101</t>
        </is>
      </c>
      <c r="C863" t="inlineStr">
        <is>
          <t>PY01</t>
        </is>
      </c>
      <c r="D863" s="30" t="n">
        <v>45951</v>
      </c>
      <c r="E863" s="35" t="n">
        <v>27361.76</v>
      </c>
      <c r="F863" s="35" t="n">
        <v>8685.379999999999</v>
      </c>
      <c r="G863" s="35" t="n">
        <v>7665.01</v>
      </c>
      <c r="H863" t="inlineStr">
        <is>
          <t>Paid</t>
        </is>
      </c>
    </row>
    <row r="864">
      <c r="A864" t="inlineStr">
        <is>
          <t>CLM519379</t>
        </is>
      </c>
      <c r="B864" t="inlineStr">
        <is>
          <t>PT13324</t>
        </is>
      </c>
      <c r="C864" t="inlineStr">
        <is>
          <t>PY05</t>
        </is>
      </c>
      <c r="D864" s="30" t="n">
        <v>45951</v>
      </c>
      <c r="E864" s="35" t="n">
        <v>23281.2</v>
      </c>
      <c r="F864" s="35" t="n">
        <v>9593.040000000001</v>
      </c>
      <c r="G864" s="35" t="n">
        <v>0</v>
      </c>
      <c r="H864" t="inlineStr">
        <is>
          <t>Pending</t>
        </is>
      </c>
    </row>
    <row r="865">
      <c r="A865" t="inlineStr">
        <is>
          <t>CLM519381</t>
        </is>
      </c>
      <c r="B865" t="inlineStr">
        <is>
          <t>PT11538</t>
        </is>
      </c>
      <c r="C865" t="inlineStr">
        <is>
          <t>PY05</t>
        </is>
      </c>
      <c r="D865" s="30" t="n">
        <v>45947</v>
      </c>
      <c r="E865" s="35" t="n">
        <v>2738.78</v>
      </c>
      <c r="F865" s="35" t="n">
        <v>1312.33</v>
      </c>
      <c r="G865" s="35" t="n">
        <v>1248.45</v>
      </c>
      <c r="H865" t="inlineStr">
        <is>
          <t>Paid</t>
        </is>
      </c>
    </row>
    <row r="866">
      <c r="A866" t="inlineStr">
        <is>
          <t>CLM519384</t>
        </is>
      </c>
      <c r="B866" t="inlineStr">
        <is>
          <t>PT12649</t>
        </is>
      </c>
      <c r="C866" t="inlineStr">
        <is>
          <t>PY06</t>
        </is>
      </c>
      <c r="D866" s="30" t="n">
        <v>45948</v>
      </c>
      <c r="E866" s="35" t="n">
        <v>2235.75</v>
      </c>
      <c r="F866" s="35" t="n">
        <v>1371.66</v>
      </c>
      <c r="G866" s="35" t="n">
        <v>1265.4</v>
      </c>
      <c r="H866" t="inlineStr">
        <is>
          <t>Paid</t>
        </is>
      </c>
    </row>
    <row r="867">
      <c r="A867" t="inlineStr">
        <is>
          <t>CLM519386</t>
        </is>
      </c>
      <c r="B867" t="inlineStr">
        <is>
          <t>PT12221</t>
        </is>
      </c>
      <c r="C867" t="inlineStr">
        <is>
          <t>PY03</t>
        </is>
      </c>
      <c r="D867" s="30" t="n">
        <v>45949</v>
      </c>
      <c r="E867" s="35" t="n">
        <v>10714.76</v>
      </c>
      <c r="F867" s="35" t="n">
        <v>2660.51</v>
      </c>
      <c r="G867" s="35" t="n">
        <v>0</v>
      </c>
      <c r="H867" t="inlineStr">
        <is>
          <t>Pending</t>
        </is>
      </c>
    </row>
    <row r="868">
      <c r="A868" t="inlineStr">
        <is>
          <t>CLM519399</t>
        </is>
      </c>
      <c r="B868" t="inlineStr">
        <is>
          <t>PT10476</t>
        </is>
      </c>
      <c r="C868" t="inlineStr">
        <is>
          <t>PY03</t>
        </is>
      </c>
      <c r="D868" s="30" t="n">
        <v>45949</v>
      </c>
      <c r="E868" s="35" t="n">
        <v>9673.799999999999</v>
      </c>
      <c r="F868" s="35" t="n">
        <v>2226.82</v>
      </c>
      <c r="G868" s="35" t="n">
        <v>2226.82</v>
      </c>
      <c r="H868" t="inlineStr">
        <is>
          <t>Paid</t>
        </is>
      </c>
    </row>
    <row r="869">
      <c r="A869" t="inlineStr">
        <is>
          <t>CLM519405</t>
        </is>
      </c>
      <c r="B869" t="inlineStr">
        <is>
          <t>PT13482</t>
        </is>
      </c>
      <c r="C869" t="inlineStr">
        <is>
          <t>PY02</t>
        </is>
      </c>
      <c r="D869" s="30" t="n">
        <v>45952</v>
      </c>
      <c r="E869" s="35" t="n">
        <v>18297.3</v>
      </c>
      <c r="F869" s="35" t="n">
        <v>6166.19</v>
      </c>
      <c r="G869" s="35" t="n">
        <v>5926.86</v>
      </c>
      <c r="H869" t="inlineStr">
        <is>
          <t>Paid</t>
        </is>
      </c>
    </row>
    <row r="870">
      <c r="A870" t="inlineStr">
        <is>
          <t>CLM519406</t>
        </is>
      </c>
      <c r="B870" t="inlineStr">
        <is>
          <t>PT10686</t>
        </is>
      </c>
      <c r="C870" t="inlineStr">
        <is>
          <t>PY05</t>
        </is>
      </c>
      <c r="D870" s="30" t="n">
        <v>45954</v>
      </c>
      <c r="E870" s="35" t="n">
        <v>53999.92</v>
      </c>
      <c r="F870" s="35" t="n">
        <v>29542.48</v>
      </c>
      <c r="G870" s="35" t="n">
        <v>25011.01</v>
      </c>
      <c r="H870" t="inlineStr">
        <is>
          <t>Paid</t>
        </is>
      </c>
    </row>
    <row r="871">
      <c r="A871" t="inlineStr">
        <is>
          <t>CLM519409</t>
        </is>
      </c>
      <c r="B871" t="inlineStr">
        <is>
          <t>PT10461</t>
        </is>
      </c>
      <c r="C871" t="inlineStr">
        <is>
          <t>PY01</t>
        </is>
      </c>
      <c r="D871" s="30" t="n">
        <v>45949</v>
      </c>
      <c r="E871" s="35" t="n">
        <v>3586.93</v>
      </c>
      <c r="F871" s="35" t="n">
        <v>1224.6</v>
      </c>
      <c r="G871" s="35" t="n">
        <v>1048.38</v>
      </c>
      <c r="H871" t="inlineStr">
        <is>
          <t>Paid</t>
        </is>
      </c>
    </row>
    <row r="872">
      <c r="A872" t="inlineStr">
        <is>
          <t>CLM519416</t>
        </is>
      </c>
      <c r="B872" t="inlineStr">
        <is>
          <t>PT12615</t>
        </is>
      </c>
      <c r="C872" t="inlineStr">
        <is>
          <t>PY03</t>
        </is>
      </c>
      <c r="D872" s="30" t="n">
        <v>45950</v>
      </c>
      <c r="E872" s="35" t="n">
        <v>7142.86</v>
      </c>
      <c r="F872" s="35" t="n">
        <v>1478.99</v>
      </c>
      <c r="G872" s="35" t="n">
        <v>1478.99</v>
      </c>
      <c r="H872" t="inlineStr">
        <is>
          <t>Paid</t>
        </is>
      </c>
    </row>
    <row r="873">
      <c r="A873" t="inlineStr">
        <is>
          <t>CLM519419</t>
        </is>
      </c>
      <c r="B873" t="inlineStr">
        <is>
          <t>PT12138</t>
        </is>
      </c>
      <c r="C873" t="inlineStr">
        <is>
          <t>PY01</t>
        </is>
      </c>
      <c r="D873" s="30" t="n">
        <v>45954</v>
      </c>
      <c r="E873" s="35" t="n">
        <v>16780.94</v>
      </c>
      <c r="F873" s="35" t="n">
        <v>5103.48</v>
      </c>
      <c r="G873" s="35" t="n">
        <v>4649.12</v>
      </c>
      <c r="H873" t="inlineStr">
        <is>
          <t>Paid</t>
        </is>
      </c>
    </row>
    <row r="874">
      <c r="A874" t="inlineStr">
        <is>
          <t>CLM519446</t>
        </is>
      </c>
      <c r="B874" t="inlineStr">
        <is>
          <t>PT10063</t>
        </is>
      </c>
      <c r="C874" t="inlineStr">
        <is>
          <t>PY02</t>
        </is>
      </c>
      <c r="D874" s="30" t="n">
        <v>45956</v>
      </c>
      <c r="E874" s="35" t="n">
        <v>20792.61</v>
      </c>
      <c r="F874" s="35" t="n">
        <v>7588.87</v>
      </c>
      <c r="G874" s="35" t="n">
        <v>7175.56</v>
      </c>
      <c r="H874" t="inlineStr">
        <is>
          <t>Paid</t>
        </is>
      </c>
    </row>
    <row r="875">
      <c r="A875" t="inlineStr">
        <is>
          <t>CLM519450</t>
        </is>
      </c>
      <c r="B875" t="inlineStr">
        <is>
          <t>PT13932</t>
        </is>
      </c>
      <c r="C875" t="inlineStr">
        <is>
          <t>PY03</t>
        </is>
      </c>
      <c r="D875" s="30" t="n">
        <v>45951</v>
      </c>
      <c r="E875" s="35" t="n">
        <v>734.55</v>
      </c>
      <c r="F875" s="35" t="n">
        <v>0</v>
      </c>
      <c r="G875" s="35" t="n">
        <v>0</v>
      </c>
      <c r="H875" t="inlineStr">
        <is>
          <t>Denied</t>
        </is>
      </c>
      <c r="I875" t="inlineStr">
        <is>
          <t>Authorization Required</t>
        </is>
      </c>
    </row>
    <row r="876">
      <c r="A876" t="inlineStr">
        <is>
          <t>CLM519501</t>
        </is>
      </c>
      <c r="B876" t="inlineStr">
        <is>
          <t>PT11210</t>
        </is>
      </c>
      <c r="C876" t="inlineStr">
        <is>
          <t>PY03</t>
        </is>
      </c>
      <c r="D876" s="30" t="n">
        <v>45953</v>
      </c>
      <c r="E876" s="35" t="n">
        <v>14415.39</v>
      </c>
      <c r="F876" s="35" t="n">
        <v>3495.04</v>
      </c>
      <c r="G876" s="35" t="n">
        <v>3495.04</v>
      </c>
      <c r="H876" t="inlineStr">
        <is>
          <t>Paid</t>
        </is>
      </c>
    </row>
    <row r="877">
      <c r="A877" t="inlineStr">
        <is>
          <t>CLM519508</t>
        </is>
      </c>
      <c r="B877" t="inlineStr">
        <is>
          <t>PT10254</t>
        </is>
      </c>
      <c r="C877" t="inlineStr">
        <is>
          <t>PY06</t>
        </is>
      </c>
      <c r="D877" s="30" t="n">
        <v>45952</v>
      </c>
      <c r="E877" s="35" t="n">
        <v>3266.96</v>
      </c>
      <c r="F877" s="35" t="n">
        <v>1924.15</v>
      </c>
      <c r="G877" s="35" t="n">
        <v>1637.03</v>
      </c>
      <c r="H877" t="inlineStr">
        <is>
          <t>Paid</t>
        </is>
      </c>
    </row>
    <row r="878">
      <c r="A878" t="inlineStr">
        <is>
          <t>CLM519516</t>
        </is>
      </c>
      <c r="B878" t="inlineStr">
        <is>
          <t>PT13516</t>
        </is>
      </c>
      <c r="C878" t="inlineStr">
        <is>
          <t>PY01</t>
        </is>
      </c>
      <c r="D878" s="30" t="n">
        <v>45955</v>
      </c>
      <c r="E878" s="35" t="n">
        <v>12721.05</v>
      </c>
      <c r="F878" s="35" t="n">
        <v>3863.53</v>
      </c>
      <c r="G878" s="35" t="n">
        <v>3505.96</v>
      </c>
      <c r="H878" t="inlineStr">
        <is>
          <t>Paid</t>
        </is>
      </c>
    </row>
    <row r="879">
      <c r="A879" t="inlineStr">
        <is>
          <t>CLM519517</t>
        </is>
      </c>
      <c r="B879" t="inlineStr">
        <is>
          <t>PT11265</t>
        </is>
      </c>
      <c r="C879" t="inlineStr">
        <is>
          <t>PY06</t>
        </is>
      </c>
      <c r="D879" s="30" t="n">
        <v>45953</v>
      </c>
      <c r="E879" s="35" t="n">
        <v>3491.35</v>
      </c>
      <c r="F879" s="35" t="n">
        <v>0</v>
      </c>
      <c r="G879" s="35" t="n">
        <v>0</v>
      </c>
      <c r="H879" t="inlineStr">
        <is>
          <t>Denied</t>
        </is>
      </c>
      <c r="I879" t="inlineStr">
        <is>
          <t>Timely Filing</t>
        </is>
      </c>
    </row>
    <row r="880">
      <c r="A880" t="inlineStr">
        <is>
          <t>CLM519521</t>
        </is>
      </c>
      <c r="B880" t="inlineStr">
        <is>
          <t>PT10025</t>
        </is>
      </c>
      <c r="C880" t="inlineStr">
        <is>
          <t>PY03</t>
        </is>
      </c>
      <c r="D880" s="30" t="n">
        <v>45957</v>
      </c>
      <c r="E880" s="35" t="n">
        <v>26458.11</v>
      </c>
      <c r="F880" s="35" t="n">
        <v>5600.29</v>
      </c>
      <c r="G880" s="35" t="n">
        <v>5600.29</v>
      </c>
      <c r="H880" t="inlineStr">
        <is>
          <t>Paid</t>
        </is>
      </c>
    </row>
    <row r="881">
      <c r="A881" t="inlineStr">
        <is>
          <t>CLM519542</t>
        </is>
      </c>
      <c r="B881" t="inlineStr">
        <is>
          <t>PT10789</t>
        </is>
      </c>
      <c r="C881" t="inlineStr">
        <is>
          <t>PY01</t>
        </is>
      </c>
      <c r="D881" s="30" t="n">
        <v>45953</v>
      </c>
      <c r="E881" s="35" t="n">
        <v>684.88</v>
      </c>
      <c r="F881" s="35" t="n">
        <v>219.58</v>
      </c>
      <c r="G881" s="35" t="n">
        <v>219.58</v>
      </c>
      <c r="H881" t="inlineStr">
        <is>
          <t>Paid</t>
        </is>
      </c>
    </row>
    <row r="882">
      <c r="A882" t="inlineStr">
        <is>
          <t>CLM519547</t>
        </is>
      </c>
      <c r="B882" t="inlineStr">
        <is>
          <t>PT10319</t>
        </is>
      </c>
      <c r="C882" t="inlineStr">
        <is>
          <t>PY01</t>
        </is>
      </c>
      <c r="D882" s="30" t="n">
        <v>45953</v>
      </c>
      <c r="E882" s="35" t="n">
        <v>1575.69</v>
      </c>
      <c r="F882" s="35" t="n">
        <v>517.27</v>
      </c>
      <c r="G882" s="35" t="n">
        <v>453.24</v>
      </c>
      <c r="H882" t="inlineStr">
        <is>
          <t>Paid</t>
        </is>
      </c>
    </row>
    <row r="883">
      <c r="A883" t="inlineStr">
        <is>
          <t>CLM519566</t>
        </is>
      </c>
      <c r="B883" t="inlineStr">
        <is>
          <t>PT13779</t>
        </is>
      </c>
      <c r="C883" t="inlineStr">
        <is>
          <t>PY04</t>
        </is>
      </c>
      <c r="D883" s="30" t="n">
        <v>45955</v>
      </c>
      <c r="E883" s="35" t="n">
        <v>12123.76</v>
      </c>
      <c r="F883" s="35" t="n">
        <v>6344.11</v>
      </c>
      <c r="G883" s="35" t="n">
        <v>5327.31</v>
      </c>
      <c r="H883" t="inlineStr">
        <is>
          <t>Paid</t>
        </is>
      </c>
    </row>
    <row r="884">
      <c r="A884" t="inlineStr">
        <is>
          <t>CLM519572</t>
        </is>
      </c>
      <c r="B884" t="inlineStr">
        <is>
          <t>PT10101</t>
        </is>
      </c>
      <c r="C884" t="inlineStr">
        <is>
          <t>PY02</t>
        </is>
      </c>
      <c r="D884" s="30" t="n">
        <v>45954</v>
      </c>
      <c r="E884" s="35" t="n">
        <v>1349.82</v>
      </c>
      <c r="F884" s="35" t="n">
        <v>457.67</v>
      </c>
      <c r="G884" s="35" t="n">
        <v>423.78</v>
      </c>
      <c r="H884" t="inlineStr">
        <is>
          <t>Paid</t>
        </is>
      </c>
    </row>
    <row r="885">
      <c r="A885" t="inlineStr">
        <is>
          <t>CLM519586</t>
        </is>
      </c>
      <c r="B885" t="inlineStr">
        <is>
          <t>PT12822</t>
        </is>
      </c>
      <c r="C885" t="inlineStr">
        <is>
          <t>PY03</t>
        </is>
      </c>
      <c r="D885" s="30" t="n">
        <v>45955</v>
      </c>
      <c r="E885" s="35" t="n">
        <v>7176.71</v>
      </c>
      <c r="F885" s="35" t="n">
        <v>1731.61</v>
      </c>
      <c r="G885" s="35" t="n">
        <v>1731.61</v>
      </c>
      <c r="H885" t="inlineStr">
        <is>
          <t>Paid</t>
        </is>
      </c>
    </row>
    <row r="886">
      <c r="A886" t="inlineStr">
        <is>
          <t>CLM519588</t>
        </is>
      </c>
      <c r="B886" t="inlineStr">
        <is>
          <t>PT10788</t>
        </is>
      </c>
      <c r="C886" t="inlineStr">
        <is>
          <t>PY04</t>
        </is>
      </c>
      <c r="D886" s="30" t="n">
        <v>45955</v>
      </c>
      <c r="E886" s="35" t="n">
        <v>4227.46</v>
      </c>
      <c r="F886" s="35" t="n">
        <v>2306.44</v>
      </c>
      <c r="G886" s="35" t="n">
        <v>2166.24</v>
      </c>
      <c r="H886" t="inlineStr">
        <is>
          <t>Paid</t>
        </is>
      </c>
    </row>
    <row r="887">
      <c r="A887" t="inlineStr">
        <is>
          <t>CLM519591</t>
        </is>
      </c>
      <c r="B887" t="inlineStr">
        <is>
          <t>PT13370</t>
        </is>
      </c>
      <c r="C887" t="inlineStr">
        <is>
          <t>PY04</t>
        </is>
      </c>
      <c r="D887" s="30" t="n">
        <v>45955</v>
      </c>
      <c r="E887" s="35" t="n">
        <v>1140.25</v>
      </c>
      <c r="F887" s="35" t="n">
        <v>573.73</v>
      </c>
      <c r="G887" s="35" t="n">
        <v>500.58</v>
      </c>
      <c r="H887" t="inlineStr">
        <is>
          <t>Paid</t>
        </is>
      </c>
    </row>
    <row r="888">
      <c r="A888" t="inlineStr">
        <is>
          <t>CLM519605</t>
        </is>
      </c>
      <c r="B888" t="inlineStr">
        <is>
          <t>PT12872</t>
        </is>
      </c>
      <c r="C888" t="inlineStr">
        <is>
          <t>PY03</t>
        </is>
      </c>
      <c r="D888" s="30" t="n">
        <v>45956</v>
      </c>
      <c r="E888" s="35" t="n">
        <v>3241.83</v>
      </c>
      <c r="F888" s="35" t="n">
        <v>856.21</v>
      </c>
      <c r="G888" s="35" t="n">
        <v>856.21</v>
      </c>
      <c r="H888" t="inlineStr">
        <is>
          <t>Paid</t>
        </is>
      </c>
    </row>
    <row r="889">
      <c r="A889" t="inlineStr">
        <is>
          <t>CLM519613</t>
        </is>
      </c>
      <c r="B889" t="inlineStr">
        <is>
          <t>PT11289</t>
        </is>
      </c>
      <c r="C889" t="inlineStr">
        <is>
          <t>PY07</t>
        </is>
      </c>
      <c r="D889" s="30" t="n">
        <v>45959</v>
      </c>
      <c r="E889" s="35" t="n">
        <v>14776.77</v>
      </c>
      <c r="F889" s="35" t="n">
        <v>5970.18</v>
      </c>
      <c r="G889" s="35" t="n">
        <v>0</v>
      </c>
      <c r="H889" t="inlineStr">
        <is>
          <t>Pending</t>
        </is>
      </c>
    </row>
    <row r="890">
      <c r="A890" t="inlineStr">
        <is>
          <t>CLM519616</t>
        </is>
      </c>
      <c r="B890" t="inlineStr">
        <is>
          <t>PT12891</t>
        </is>
      </c>
      <c r="C890" t="inlineStr">
        <is>
          <t>PY01</t>
        </is>
      </c>
      <c r="D890" s="30" t="n">
        <v>45957</v>
      </c>
      <c r="E890" s="35" t="n">
        <v>2925.42</v>
      </c>
      <c r="F890" s="35" t="n">
        <v>899.55</v>
      </c>
      <c r="G890" s="35" t="n">
        <v>814.78</v>
      </c>
      <c r="H890" t="inlineStr">
        <is>
          <t>Paid</t>
        </is>
      </c>
    </row>
    <row r="891">
      <c r="A891" t="inlineStr">
        <is>
          <t>CLM519623</t>
        </is>
      </c>
      <c r="B891" t="inlineStr">
        <is>
          <t>PT13821</t>
        </is>
      </c>
      <c r="C891" t="inlineStr">
        <is>
          <t>PY06</t>
        </is>
      </c>
      <c r="D891" s="30" t="n">
        <v>45959</v>
      </c>
      <c r="E891" s="35" t="n">
        <v>18152.48</v>
      </c>
      <c r="F891" s="35" t="n">
        <v>9935.559999999999</v>
      </c>
      <c r="G891" s="35" t="n">
        <v>8823.26</v>
      </c>
      <c r="H891" t="inlineStr">
        <is>
          <t>Paid</t>
        </is>
      </c>
    </row>
    <row r="892">
      <c r="A892" t="inlineStr">
        <is>
          <t>CLM519626</t>
        </is>
      </c>
      <c r="B892" t="inlineStr">
        <is>
          <t>PT11258</t>
        </is>
      </c>
      <c r="C892" t="inlineStr">
        <is>
          <t>PY03</t>
        </is>
      </c>
      <c r="D892" s="30" t="n">
        <v>45960</v>
      </c>
      <c r="E892" s="35" t="n">
        <v>39733.82</v>
      </c>
      <c r="F892" s="35" t="n">
        <v>9911.18</v>
      </c>
      <c r="G892" s="35" t="n">
        <v>9911.18</v>
      </c>
      <c r="H892" t="inlineStr">
        <is>
          <t>Paid</t>
        </is>
      </c>
    </row>
    <row r="893">
      <c r="A893" t="inlineStr">
        <is>
          <t>CLM519632</t>
        </is>
      </c>
      <c r="B893" t="inlineStr">
        <is>
          <t>PT10550</t>
        </is>
      </c>
      <c r="C893" t="inlineStr">
        <is>
          <t>PY01</t>
        </is>
      </c>
      <c r="D893" s="30" t="n">
        <v>45957</v>
      </c>
      <c r="E893" s="35" t="n">
        <v>2656.1</v>
      </c>
      <c r="F893" s="35" t="n">
        <v>923.05</v>
      </c>
      <c r="G893" s="35" t="n">
        <v>756.4299999999999</v>
      </c>
      <c r="H893" t="inlineStr">
        <is>
          <t>Paid</t>
        </is>
      </c>
    </row>
    <row r="894">
      <c r="A894" t="inlineStr">
        <is>
          <t>CLM519683</t>
        </is>
      </c>
      <c r="B894" t="inlineStr">
        <is>
          <t>PT10495</t>
        </is>
      </c>
      <c r="C894" t="inlineStr">
        <is>
          <t>PY01</t>
        </is>
      </c>
      <c r="D894" s="30" t="n">
        <v>45964</v>
      </c>
      <c r="E894" s="35" t="n">
        <v>23908.34</v>
      </c>
      <c r="F894" s="35" t="n">
        <v>7942.17</v>
      </c>
      <c r="G894" s="35" t="n">
        <v>4590.73</v>
      </c>
      <c r="H894" t="inlineStr">
        <is>
          <t>Partially Paid</t>
        </is>
      </c>
      <c r="I894" t="inlineStr">
        <is>
          <t>Missing Documentation</t>
        </is>
      </c>
    </row>
    <row r="895">
      <c r="A895" t="inlineStr">
        <is>
          <t>CLM519703</t>
        </is>
      </c>
      <c r="B895" t="inlineStr">
        <is>
          <t>PT10025</t>
        </is>
      </c>
      <c r="C895" t="inlineStr">
        <is>
          <t>PY03</t>
        </is>
      </c>
      <c r="D895" s="30" t="n">
        <v>45962</v>
      </c>
      <c r="E895" s="35" t="n">
        <v>13626.09</v>
      </c>
      <c r="F895" s="35" t="n">
        <v>3176.73</v>
      </c>
      <c r="G895" s="35" t="n">
        <v>3176.73</v>
      </c>
      <c r="H895" t="inlineStr">
        <is>
          <t>Paid</t>
        </is>
      </c>
    </row>
    <row r="896">
      <c r="A896" t="inlineStr">
        <is>
          <t>CLM519705</t>
        </is>
      </c>
      <c r="B896" t="inlineStr">
        <is>
          <t>PT12026</t>
        </is>
      </c>
      <c r="C896" t="inlineStr">
        <is>
          <t>PY02</t>
        </is>
      </c>
      <c r="D896" s="30" t="n">
        <v>45969</v>
      </c>
      <c r="E896" s="35" t="n">
        <v>86189.97</v>
      </c>
      <c r="F896" s="35" t="n">
        <v>26096.43</v>
      </c>
      <c r="G896" s="35" t="n">
        <v>25694.98</v>
      </c>
      <c r="H896" t="inlineStr">
        <is>
          <t>Paid</t>
        </is>
      </c>
    </row>
    <row r="897">
      <c r="A897" t="inlineStr">
        <is>
          <t>CLM519720</t>
        </is>
      </c>
      <c r="B897" t="inlineStr">
        <is>
          <t>PT12139</t>
        </is>
      </c>
      <c r="C897" t="inlineStr">
        <is>
          <t>PY03</t>
        </is>
      </c>
      <c r="D897" s="30" t="n">
        <v>45962</v>
      </c>
      <c r="E897" s="35" t="n">
        <v>10105.65</v>
      </c>
      <c r="F897" s="35" t="n">
        <v>2431.52</v>
      </c>
      <c r="G897" s="35" t="n">
        <v>2431.52</v>
      </c>
      <c r="H897" t="inlineStr">
        <is>
          <t>Paid</t>
        </is>
      </c>
    </row>
    <row r="898">
      <c r="A898" t="inlineStr">
        <is>
          <t>CLM519723</t>
        </is>
      </c>
      <c r="B898" t="inlineStr">
        <is>
          <t>PT10236</t>
        </is>
      </c>
      <c r="C898" t="inlineStr">
        <is>
          <t>PY04</t>
        </is>
      </c>
      <c r="D898" s="30" t="n">
        <v>45960</v>
      </c>
      <c r="E898" s="35" t="n">
        <v>1187.8</v>
      </c>
      <c r="F898" s="35" t="n">
        <v>0</v>
      </c>
      <c r="G898" s="35" t="n">
        <v>0</v>
      </c>
      <c r="H898" t="inlineStr">
        <is>
          <t>Denied</t>
        </is>
      </c>
      <c r="I898" t="inlineStr">
        <is>
          <t>Medical Necessity</t>
        </is>
      </c>
    </row>
    <row r="899">
      <c r="A899" t="inlineStr">
        <is>
          <t>CLM519767</t>
        </is>
      </c>
      <c r="B899" t="inlineStr">
        <is>
          <t>PT10801</t>
        </is>
      </c>
      <c r="C899" t="inlineStr">
        <is>
          <t>PY06</t>
        </is>
      </c>
      <c r="D899" s="30" t="n">
        <v>45961</v>
      </c>
      <c r="E899" s="35" t="n">
        <v>2141.04</v>
      </c>
      <c r="F899" s="35" t="n">
        <v>1180.28</v>
      </c>
      <c r="G899" s="35" t="n">
        <v>1046.33</v>
      </c>
      <c r="H899" t="inlineStr">
        <is>
          <t>Paid</t>
        </is>
      </c>
    </row>
    <row r="900">
      <c r="A900" t="inlineStr">
        <is>
          <t>CLM519787</t>
        </is>
      </c>
      <c r="B900" t="inlineStr">
        <is>
          <t>PT12060</t>
        </is>
      </c>
      <c r="C900" t="inlineStr">
        <is>
          <t>PY06</t>
        </is>
      </c>
      <c r="D900" s="30" t="n">
        <v>45961</v>
      </c>
      <c r="E900" s="35" t="n">
        <v>1288.83</v>
      </c>
      <c r="F900" s="35" t="n">
        <v>723.3</v>
      </c>
      <c r="G900" s="35" t="n">
        <v>654.98</v>
      </c>
      <c r="H900" t="inlineStr">
        <is>
          <t>Paid</t>
        </is>
      </c>
    </row>
    <row r="901">
      <c r="A901" t="inlineStr">
        <is>
          <t>CLM519790</t>
        </is>
      </c>
      <c r="B901" t="inlineStr">
        <is>
          <t>PT10369</t>
        </is>
      </c>
      <c r="C901" t="inlineStr">
        <is>
          <t>PY01</t>
        </is>
      </c>
      <c r="D901" s="30" t="n">
        <v>45964</v>
      </c>
      <c r="E901" s="35" t="n">
        <v>39473.29</v>
      </c>
      <c r="F901" s="35" t="n">
        <v>9687.16</v>
      </c>
      <c r="G901" s="35" t="n">
        <v>7899.06</v>
      </c>
      <c r="H901" t="inlineStr">
        <is>
          <t>Partially Paid</t>
        </is>
      </c>
      <c r="I901" t="inlineStr">
        <is>
          <t>Medical Necessity</t>
        </is>
      </c>
    </row>
    <row r="902">
      <c r="A902" t="inlineStr">
        <is>
          <t>CLM519804</t>
        </is>
      </c>
      <c r="B902" t="inlineStr">
        <is>
          <t>PT12860</t>
        </is>
      </c>
      <c r="C902" t="inlineStr">
        <is>
          <t>PY07</t>
        </is>
      </c>
      <c r="D902" s="30" t="n">
        <v>45966</v>
      </c>
      <c r="E902" s="35" t="n">
        <v>27848.13</v>
      </c>
      <c r="F902" s="35" t="n">
        <v>11067.96</v>
      </c>
      <c r="G902" s="35" t="n">
        <v>0</v>
      </c>
      <c r="H902" t="inlineStr">
        <is>
          <t>Pending</t>
        </is>
      </c>
    </row>
    <row r="903">
      <c r="A903" t="inlineStr">
        <is>
          <t>CLM519806</t>
        </is>
      </c>
      <c r="B903" t="inlineStr">
        <is>
          <t>PT10005</t>
        </is>
      </c>
      <c r="C903" t="inlineStr">
        <is>
          <t>PY01</t>
        </is>
      </c>
      <c r="D903" s="30" t="n">
        <v>45964</v>
      </c>
      <c r="E903" s="35" t="n">
        <v>21105.03</v>
      </c>
      <c r="F903" s="35" t="n">
        <v>0</v>
      </c>
      <c r="G903" s="35" t="n">
        <v>0</v>
      </c>
      <c r="H903" t="inlineStr">
        <is>
          <t>Appealed</t>
        </is>
      </c>
      <c r="I903" t="inlineStr">
        <is>
          <t>Authorization Required</t>
        </is>
      </c>
    </row>
    <row r="904">
      <c r="A904" t="inlineStr">
        <is>
          <t>CLM519808</t>
        </is>
      </c>
      <c r="B904" t="inlineStr">
        <is>
          <t>PT12166</t>
        </is>
      </c>
      <c r="C904" t="inlineStr">
        <is>
          <t>PY01</t>
        </is>
      </c>
      <c r="D904" s="30" t="n">
        <v>45962</v>
      </c>
      <c r="E904" s="35" t="n">
        <v>1240.22</v>
      </c>
      <c r="F904" s="35" t="n">
        <v>377.21</v>
      </c>
      <c r="G904" s="35" t="n">
        <v>350.76</v>
      </c>
      <c r="H904" t="inlineStr">
        <is>
          <t>Paid</t>
        </is>
      </c>
    </row>
    <row r="905">
      <c r="A905" t="inlineStr">
        <is>
          <t>CLM519812</t>
        </is>
      </c>
      <c r="B905" t="inlineStr">
        <is>
          <t>PT10749</t>
        </is>
      </c>
      <c r="C905" t="inlineStr">
        <is>
          <t>PY01</t>
        </is>
      </c>
      <c r="D905" s="30" t="n">
        <v>45963</v>
      </c>
      <c r="E905" s="35" t="n">
        <v>8321.85</v>
      </c>
      <c r="F905" s="35" t="n">
        <v>2616.5</v>
      </c>
      <c r="G905" s="35" t="n">
        <v>2286.8</v>
      </c>
      <c r="H905" t="inlineStr">
        <is>
          <t>Paid</t>
        </is>
      </c>
    </row>
    <row r="906">
      <c r="A906" t="inlineStr">
        <is>
          <t>CLM519820</t>
        </is>
      </c>
      <c r="B906" t="inlineStr">
        <is>
          <t>PT11231</t>
        </is>
      </c>
      <c r="C906" t="inlineStr">
        <is>
          <t>PY04</t>
        </is>
      </c>
      <c r="D906" s="30" t="n">
        <v>45963</v>
      </c>
      <c r="E906" s="35" t="n">
        <v>940.8099999999999</v>
      </c>
      <c r="F906" s="35" t="n">
        <v>498.79</v>
      </c>
      <c r="G906" s="35" t="n">
        <v>451.55</v>
      </c>
      <c r="H906" t="inlineStr">
        <is>
          <t>Paid</t>
        </is>
      </c>
    </row>
    <row r="907">
      <c r="A907" t="inlineStr">
        <is>
          <t>CLM519822</t>
        </is>
      </c>
      <c r="B907" t="inlineStr">
        <is>
          <t>PT13940</t>
        </is>
      </c>
      <c r="C907" t="inlineStr">
        <is>
          <t>PY05</t>
        </is>
      </c>
      <c r="D907" s="30" t="n">
        <v>45964</v>
      </c>
      <c r="E907" s="35" t="n">
        <v>5834.29</v>
      </c>
      <c r="F907" s="35" t="n">
        <v>2750.87</v>
      </c>
      <c r="G907" s="35" t="n">
        <v>2431.08</v>
      </c>
      <c r="H907" t="inlineStr">
        <is>
          <t>Paid</t>
        </is>
      </c>
    </row>
    <row r="908">
      <c r="A908" t="inlineStr">
        <is>
          <t>CLM519823</t>
        </is>
      </c>
      <c r="B908" t="inlineStr">
        <is>
          <t>PT12896</t>
        </is>
      </c>
      <c r="C908" t="inlineStr">
        <is>
          <t>PY02</t>
        </is>
      </c>
      <c r="D908" s="30" t="n">
        <v>45968</v>
      </c>
      <c r="E908" s="35" t="n">
        <v>16070.33</v>
      </c>
      <c r="F908" s="35" t="n">
        <v>5328.74</v>
      </c>
      <c r="G908" s="35" t="n">
        <v>4715.27</v>
      </c>
      <c r="H908" t="inlineStr">
        <is>
          <t>Paid</t>
        </is>
      </c>
    </row>
    <row r="909">
      <c r="A909" t="inlineStr">
        <is>
          <t>CLM519827</t>
        </is>
      </c>
      <c r="B909" t="inlineStr">
        <is>
          <t>PT12749</t>
        </is>
      </c>
      <c r="C909" t="inlineStr">
        <is>
          <t>PY02</t>
        </is>
      </c>
      <c r="D909" s="30" t="n">
        <v>45968</v>
      </c>
      <c r="E909" s="35" t="n">
        <v>29649.02</v>
      </c>
      <c r="F909" s="35" t="n">
        <v>10263.42</v>
      </c>
      <c r="G909" s="35" t="n">
        <v>9129.860000000001</v>
      </c>
      <c r="H909" t="inlineStr">
        <is>
          <t>Paid</t>
        </is>
      </c>
    </row>
    <row r="910">
      <c r="A910" t="inlineStr">
        <is>
          <t>CLM519845</t>
        </is>
      </c>
      <c r="B910" t="inlineStr">
        <is>
          <t>PT12938</t>
        </is>
      </c>
      <c r="C910" t="inlineStr">
        <is>
          <t>PY01</t>
        </is>
      </c>
      <c r="D910" s="30" t="n">
        <v>45964</v>
      </c>
      <c r="E910" s="35" t="n">
        <v>4630.67</v>
      </c>
      <c r="F910" s="35" t="n">
        <v>1533.76</v>
      </c>
      <c r="G910" s="35" t="n">
        <v>1352.41</v>
      </c>
      <c r="H910" t="inlineStr">
        <is>
          <t>Paid</t>
        </is>
      </c>
    </row>
    <row r="911">
      <c r="A911" t="inlineStr">
        <is>
          <t>CLM519867</t>
        </is>
      </c>
      <c r="B911" t="inlineStr">
        <is>
          <t>PT11243</t>
        </is>
      </c>
      <c r="C911" t="inlineStr">
        <is>
          <t>PY07</t>
        </is>
      </c>
      <c r="D911" s="30" t="n">
        <v>45964</v>
      </c>
      <c r="E911" s="35" t="n">
        <v>3121.97</v>
      </c>
      <c r="F911" s="35" t="n">
        <v>1134.1</v>
      </c>
      <c r="G911" s="35" t="n">
        <v>1134.1</v>
      </c>
      <c r="H911" t="inlineStr">
        <is>
          <t>Paid</t>
        </is>
      </c>
    </row>
    <row r="912">
      <c r="A912" t="inlineStr">
        <is>
          <t>CLM519868</t>
        </is>
      </c>
      <c r="B912" t="inlineStr">
        <is>
          <t>PT12735</t>
        </is>
      </c>
      <c r="C912" t="inlineStr">
        <is>
          <t>PY03</t>
        </is>
      </c>
      <c r="D912" s="30" t="n">
        <v>45965</v>
      </c>
      <c r="E912" s="35" t="n">
        <v>5203.02</v>
      </c>
      <c r="F912" s="35" t="n">
        <v>1169.2</v>
      </c>
      <c r="G912" s="35" t="n">
        <v>1169.2</v>
      </c>
      <c r="H912" t="inlineStr">
        <is>
          <t>Paid</t>
        </is>
      </c>
    </row>
    <row r="913">
      <c r="A913" t="inlineStr">
        <is>
          <t>CLM519894</t>
        </is>
      </c>
      <c r="B913" t="inlineStr">
        <is>
          <t>PT11783</t>
        </is>
      </c>
      <c r="C913" t="inlineStr">
        <is>
          <t>PY03</t>
        </is>
      </c>
      <c r="D913" s="30" t="n">
        <v>45965</v>
      </c>
      <c r="E913" s="35" t="n">
        <v>4957.19</v>
      </c>
      <c r="F913" s="35" t="n">
        <v>1182.84</v>
      </c>
      <c r="G913" s="35" t="n">
        <v>1003.82</v>
      </c>
      <c r="H913" t="inlineStr">
        <is>
          <t>Partially Paid</t>
        </is>
      </c>
      <c r="I913" t="inlineStr">
        <is>
          <t>Medical Necessity</t>
        </is>
      </c>
    </row>
    <row r="914">
      <c r="A914" t="inlineStr">
        <is>
          <t>CLM519896</t>
        </is>
      </c>
      <c r="B914" t="inlineStr">
        <is>
          <t>PT10978</t>
        </is>
      </c>
      <c r="C914" t="inlineStr">
        <is>
          <t>PY05</t>
        </is>
      </c>
      <c r="D914" s="30" t="n">
        <v>45967</v>
      </c>
      <c r="E914" s="35" t="n">
        <v>19086.22</v>
      </c>
      <c r="F914" s="35" t="n">
        <v>9302.57</v>
      </c>
      <c r="G914" s="35" t="n">
        <v>8459.950000000001</v>
      </c>
      <c r="H914" t="inlineStr">
        <is>
          <t>Paid</t>
        </is>
      </c>
    </row>
    <row r="915">
      <c r="A915" t="inlineStr">
        <is>
          <t>CLM519899</t>
        </is>
      </c>
      <c r="B915" t="inlineStr">
        <is>
          <t>PT12802</t>
        </is>
      </c>
      <c r="C915" t="inlineStr">
        <is>
          <t>PY06</t>
        </is>
      </c>
      <c r="D915" s="30" t="n">
        <v>45965</v>
      </c>
      <c r="E915" s="35" t="n">
        <v>3711.28</v>
      </c>
      <c r="F915" s="35" t="n">
        <v>0</v>
      </c>
      <c r="G915" s="35" t="n">
        <v>0</v>
      </c>
      <c r="H915" t="inlineStr">
        <is>
          <t>Denied</t>
        </is>
      </c>
      <c r="I915" t="inlineStr">
        <is>
          <t>Medical Necessity</t>
        </is>
      </c>
    </row>
    <row r="916">
      <c r="A916" t="inlineStr">
        <is>
          <t>CLM519944</t>
        </is>
      </c>
      <c r="B916" t="inlineStr">
        <is>
          <t>PT10786</t>
        </is>
      </c>
      <c r="C916" t="inlineStr">
        <is>
          <t>PY07</t>
        </is>
      </c>
      <c r="D916" s="30" t="n">
        <v>45966</v>
      </c>
      <c r="E916" s="35" t="n">
        <v>681.71</v>
      </c>
      <c r="F916" s="35" t="n">
        <v>311.3</v>
      </c>
      <c r="G916" s="35" t="n">
        <v>0</v>
      </c>
      <c r="H916" t="inlineStr">
        <is>
          <t>Pending</t>
        </is>
      </c>
    </row>
    <row r="917">
      <c r="A917" t="inlineStr">
        <is>
          <t>CLM519952</t>
        </is>
      </c>
      <c r="B917" t="inlineStr">
        <is>
          <t>PT10601</t>
        </is>
      </c>
      <c r="C917" t="inlineStr">
        <is>
          <t>PY05</t>
        </is>
      </c>
      <c r="D917" s="30" t="n">
        <v>45966</v>
      </c>
      <c r="E917" s="35" t="n">
        <v>1281.04</v>
      </c>
      <c r="F917" s="35" t="n">
        <v>654.71</v>
      </c>
      <c r="G917" s="35" t="n">
        <v>546.87</v>
      </c>
      <c r="H917" t="inlineStr">
        <is>
          <t>Paid</t>
        </is>
      </c>
    </row>
    <row r="918">
      <c r="A918" t="inlineStr">
        <is>
          <t>CLM519959</t>
        </is>
      </c>
      <c r="B918" t="inlineStr">
        <is>
          <t>PT11381</t>
        </is>
      </c>
      <c r="C918" t="inlineStr">
        <is>
          <t>PY04</t>
        </is>
      </c>
      <c r="D918" s="30" t="n">
        <v>45967</v>
      </c>
      <c r="E918" s="35" t="n">
        <v>3842.88</v>
      </c>
      <c r="F918" s="35" t="n">
        <v>1884.85</v>
      </c>
      <c r="G918" s="35" t="n">
        <v>1627.66</v>
      </c>
      <c r="H918" t="inlineStr">
        <is>
          <t>Paid</t>
        </is>
      </c>
    </row>
    <row r="919">
      <c r="A919" t="inlineStr">
        <is>
          <t>CLM519968</t>
        </is>
      </c>
      <c r="B919" t="inlineStr">
        <is>
          <t>PT10956</t>
        </is>
      </c>
      <c r="C919" t="inlineStr">
        <is>
          <t>PY04</t>
        </is>
      </c>
      <c r="D919" s="30" t="n">
        <v>45974</v>
      </c>
      <c r="E919" s="35" t="n">
        <v>59838.18</v>
      </c>
      <c r="F919" s="35" t="n">
        <v>26208.97</v>
      </c>
      <c r="G919" s="35" t="n">
        <v>10587.81</v>
      </c>
      <c r="H919" t="inlineStr">
        <is>
          <t>Partially Paid</t>
        </is>
      </c>
      <c r="I919" t="inlineStr">
        <is>
          <t>Coding Error</t>
        </is>
      </c>
    </row>
    <row r="920">
      <c r="A920" t="inlineStr">
        <is>
          <t>CLM519973</t>
        </is>
      </c>
      <c r="B920" t="inlineStr">
        <is>
          <t>PT11456</t>
        </is>
      </c>
      <c r="C920" t="inlineStr">
        <is>
          <t>PY05</t>
        </is>
      </c>
      <c r="D920" s="30" t="n">
        <v>45971</v>
      </c>
      <c r="E920" s="35" t="n">
        <v>18362.37</v>
      </c>
      <c r="F920" s="35" t="n">
        <v>9445.23</v>
      </c>
      <c r="G920" s="35" t="n">
        <v>7860.75</v>
      </c>
      <c r="H920" t="inlineStr">
        <is>
          <t>Paid</t>
        </is>
      </c>
    </row>
    <row r="921">
      <c r="A921" t="inlineStr">
        <is>
          <t>CLM519981</t>
        </is>
      </c>
      <c r="B921" t="inlineStr">
        <is>
          <t>PT12242</t>
        </is>
      </c>
      <c r="C921" t="inlineStr">
        <is>
          <t>PY02</t>
        </is>
      </c>
      <c r="D921" s="30" t="n">
        <v>45967</v>
      </c>
      <c r="E921" s="35" t="n">
        <v>5464.68</v>
      </c>
      <c r="F921" s="35" t="n">
        <v>1643.08</v>
      </c>
      <c r="G921" s="35" t="n">
        <v>1502.57</v>
      </c>
      <c r="H921" t="inlineStr">
        <is>
          <t>Paid</t>
        </is>
      </c>
    </row>
    <row r="922">
      <c r="A922" t="inlineStr">
        <is>
          <t>CLM519984</t>
        </is>
      </c>
      <c r="B922" t="inlineStr">
        <is>
          <t>PT10398</t>
        </is>
      </c>
      <c r="C922" t="inlineStr">
        <is>
          <t>PY01</t>
        </is>
      </c>
      <c r="D922" s="30" t="n">
        <v>45967</v>
      </c>
      <c r="E922" s="35" t="n">
        <v>3662.42</v>
      </c>
      <c r="F922" s="35" t="n">
        <v>1022.43</v>
      </c>
      <c r="G922" s="35" t="n">
        <v>902.29</v>
      </c>
      <c r="H922" t="inlineStr">
        <is>
          <t>Paid</t>
        </is>
      </c>
    </row>
    <row r="923">
      <c r="A923" t="inlineStr">
        <is>
          <t>CLM520004</t>
        </is>
      </c>
      <c r="B923" t="inlineStr">
        <is>
          <t>PT10662</t>
        </is>
      </c>
      <c r="C923" t="inlineStr">
        <is>
          <t>PY01</t>
        </is>
      </c>
      <c r="D923" s="30" t="n">
        <v>45971</v>
      </c>
      <c r="E923" s="35" t="n">
        <v>20121.22</v>
      </c>
      <c r="F923" s="35" t="n">
        <v>0</v>
      </c>
      <c r="G923" s="35" t="n">
        <v>0</v>
      </c>
      <c r="H923" t="inlineStr">
        <is>
          <t>Denied</t>
        </is>
      </c>
      <c r="I923" t="inlineStr">
        <is>
          <t>Eligibility / Coverage</t>
        </is>
      </c>
    </row>
    <row r="924">
      <c r="A924" t="inlineStr">
        <is>
          <t>CLM520009</t>
        </is>
      </c>
      <c r="B924" t="inlineStr">
        <is>
          <t>PT12060</t>
        </is>
      </c>
      <c r="C924" t="inlineStr">
        <is>
          <t>PY06</t>
        </is>
      </c>
      <c r="D924" s="30" t="n">
        <v>45973</v>
      </c>
      <c r="E924" s="35" t="n">
        <v>23633.97</v>
      </c>
      <c r="F924" s="35" t="n">
        <v>12877.14</v>
      </c>
      <c r="G924" s="35" t="n">
        <v>11638.4</v>
      </c>
      <c r="H924" t="inlineStr">
        <is>
          <t>Paid</t>
        </is>
      </c>
    </row>
    <row r="925">
      <c r="A925" t="inlineStr">
        <is>
          <t>CLM520010</t>
        </is>
      </c>
      <c r="B925" t="inlineStr">
        <is>
          <t>PT13601</t>
        </is>
      </c>
      <c r="C925" t="inlineStr">
        <is>
          <t>PY03</t>
        </is>
      </c>
      <c r="D925" s="30" t="n">
        <v>45968</v>
      </c>
      <c r="E925" s="35" t="n">
        <v>1487.76</v>
      </c>
      <c r="F925" s="35" t="n">
        <v>389.77</v>
      </c>
      <c r="G925" s="35" t="n">
        <v>0</v>
      </c>
      <c r="H925" t="inlineStr">
        <is>
          <t>Pending</t>
        </is>
      </c>
    </row>
    <row r="926">
      <c r="A926" t="inlineStr">
        <is>
          <t>CLM520017</t>
        </is>
      </c>
      <c r="B926" t="inlineStr">
        <is>
          <t>PT12081</t>
        </is>
      </c>
      <c r="C926" t="inlineStr">
        <is>
          <t>PY01</t>
        </is>
      </c>
      <c r="D926" s="30" t="n">
        <v>45969</v>
      </c>
      <c r="E926" s="35" t="n">
        <v>6016.69</v>
      </c>
      <c r="F926" s="35" t="n">
        <v>1897.54</v>
      </c>
      <c r="G926" s="35" t="n">
        <v>1714.44</v>
      </c>
      <c r="H926" t="inlineStr">
        <is>
          <t>Paid</t>
        </is>
      </c>
    </row>
    <row r="927">
      <c r="A927" t="inlineStr">
        <is>
          <t>CLM520026</t>
        </is>
      </c>
      <c r="B927" t="inlineStr">
        <is>
          <t>PT12026</t>
        </is>
      </c>
      <c r="C927" t="inlineStr">
        <is>
          <t>PY02</t>
        </is>
      </c>
      <c r="D927" s="30" t="n">
        <v>45969</v>
      </c>
      <c r="E927" s="35" t="n">
        <v>652.23</v>
      </c>
      <c r="F927" s="35" t="n">
        <v>219.44</v>
      </c>
      <c r="G927" s="35" t="n">
        <v>167.81</v>
      </c>
      <c r="H927" t="inlineStr">
        <is>
          <t>Partially Paid</t>
        </is>
      </c>
      <c r="I927" t="inlineStr">
        <is>
          <t>Coding Error</t>
        </is>
      </c>
    </row>
    <row r="928">
      <c r="A928" t="inlineStr">
        <is>
          <t>CLM520034</t>
        </is>
      </c>
      <c r="B928" t="inlineStr">
        <is>
          <t>PT10891</t>
        </is>
      </c>
      <c r="C928" t="inlineStr">
        <is>
          <t>PY01</t>
        </is>
      </c>
      <c r="D928" s="30" t="n">
        <v>45972</v>
      </c>
      <c r="E928" s="35" t="n">
        <v>27643.14</v>
      </c>
      <c r="F928" s="35" t="n">
        <v>0</v>
      </c>
      <c r="G928" s="35" t="n">
        <v>0</v>
      </c>
      <c r="H928" t="inlineStr">
        <is>
          <t>Denied</t>
        </is>
      </c>
      <c r="I928" t="inlineStr">
        <is>
          <t>Coding Error</t>
        </is>
      </c>
    </row>
    <row r="929">
      <c r="A929" t="inlineStr">
        <is>
          <t>CLM520036</t>
        </is>
      </c>
      <c r="B929" t="inlineStr">
        <is>
          <t>PT13110</t>
        </is>
      </c>
      <c r="C929" t="inlineStr">
        <is>
          <t>PY02</t>
        </is>
      </c>
      <c r="D929" s="30" t="n">
        <v>45970</v>
      </c>
      <c r="E929" s="35" t="n">
        <v>3973.75</v>
      </c>
      <c r="F929" s="35" t="n">
        <v>1224.03</v>
      </c>
      <c r="G929" s="35" t="n">
        <v>1178.37</v>
      </c>
      <c r="H929" t="inlineStr">
        <is>
          <t>Paid</t>
        </is>
      </c>
    </row>
    <row r="930">
      <c r="A930" t="inlineStr">
        <is>
          <t>CLM520064</t>
        </is>
      </c>
      <c r="B930" t="inlineStr">
        <is>
          <t>PT12519</t>
        </is>
      </c>
      <c r="C930" t="inlineStr">
        <is>
          <t>PY07</t>
        </is>
      </c>
      <c r="D930" s="30" t="n">
        <v>45976</v>
      </c>
      <c r="E930" s="35" t="n">
        <v>21126.59</v>
      </c>
      <c r="F930" s="35" t="n">
        <v>8276.91</v>
      </c>
      <c r="G930" s="35" t="n">
        <v>0</v>
      </c>
      <c r="H930" t="inlineStr">
        <is>
          <t>Pending</t>
        </is>
      </c>
    </row>
    <row r="931">
      <c r="A931" t="inlineStr">
        <is>
          <t>CLM520100</t>
        </is>
      </c>
      <c r="B931" t="inlineStr">
        <is>
          <t>PT11412</t>
        </is>
      </c>
      <c r="C931" t="inlineStr">
        <is>
          <t>PY01</t>
        </is>
      </c>
      <c r="D931" s="30" t="n">
        <v>45976</v>
      </c>
      <c r="E931" s="35" t="n">
        <v>31058.6</v>
      </c>
      <c r="F931" s="35" t="n">
        <v>9707.73</v>
      </c>
      <c r="G931" s="35" t="n">
        <v>9200.809999999999</v>
      </c>
      <c r="H931" t="inlineStr">
        <is>
          <t>Paid</t>
        </is>
      </c>
    </row>
    <row r="932">
      <c r="A932" t="inlineStr">
        <is>
          <t>CLM520102</t>
        </is>
      </c>
      <c r="B932" t="inlineStr">
        <is>
          <t>PT13179</t>
        </is>
      </c>
      <c r="C932" t="inlineStr">
        <is>
          <t>PY05</t>
        </is>
      </c>
      <c r="D932" s="30" t="n">
        <v>45972</v>
      </c>
      <c r="E932" s="35" t="n">
        <v>4343.07</v>
      </c>
      <c r="F932" s="35" t="n">
        <v>2142.06</v>
      </c>
      <c r="G932" s="35" t="n">
        <v>0</v>
      </c>
      <c r="H932" t="inlineStr">
        <is>
          <t>Pending</t>
        </is>
      </c>
    </row>
    <row r="933">
      <c r="A933" t="inlineStr">
        <is>
          <t>CLM520108</t>
        </is>
      </c>
      <c r="B933" t="inlineStr">
        <is>
          <t>PT12206</t>
        </is>
      </c>
      <c r="C933" t="inlineStr">
        <is>
          <t>PY03</t>
        </is>
      </c>
      <c r="D933" s="30" t="n">
        <v>45980</v>
      </c>
      <c r="E933" s="35" t="n">
        <v>109816.98</v>
      </c>
      <c r="F933" s="35" t="n">
        <v>25818.62</v>
      </c>
      <c r="G933" s="35" t="n">
        <v>0</v>
      </c>
      <c r="H933" t="inlineStr">
        <is>
          <t>Pending</t>
        </is>
      </c>
    </row>
    <row r="934">
      <c r="A934" t="inlineStr">
        <is>
          <t>CLM520152</t>
        </is>
      </c>
      <c r="B934" t="inlineStr">
        <is>
          <t>PT10932</t>
        </is>
      </c>
      <c r="C934" t="inlineStr">
        <is>
          <t>PY05</t>
        </is>
      </c>
      <c r="D934" s="30" t="n">
        <v>45973</v>
      </c>
      <c r="E934" s="35" t="n">
        <v>3759.52</v>
      </c>
      <c r="F934" s="35" t="n">
        <v>0</v>
      </c>
      <c r="G934" s="35" t="n">
        <v>0</v>
      </c>
      <c r="H934" t="inlineStr">
        <is>
          <t>Denied</t>
        </is>
      </c>
      <c r="I934" t="inlineStr">
        <is>
          <t>Medical Necessity</t>
        </is>
      </c>
    </row>
    <row r="935">
      <c r="A935" t="inlineStr">
        <is>
          <t>CLM520153</t>
        </is>
      </c>
      <c r="B935" t="inlineStr">
        <is>
          <t>PT11401</t>
        </is>
      </c>
      <c r="C935" t="inlineStr">
        <is>
          <t>PY04</t>
        </is>
      </c>
      <c r="D935" s="30" t="n">
        <v>45973</v>
      </c>
      <c r="E935" s="35" t="n">
        <v>710.0599999999999</v>
      </c>
      <c r="F935" s="35" t="n">
        <v>356.9</v>
      </c>
      <c r="G935" s="35" t="n">
        <v>303.25</v>
      </c>
      <c r="H935" t="inlineStr">
        <is>
          <t>Paid</t>
        </is>
      </c>
    </row>
    <row r="936">
      <c r="A936" t="inlineStr">
        <is>
          <t>CLM520154</t>
        </is>
      </c>
      <c r="B936" t="inlineStr">
        <is>
          <t>PT11188</t>
        </is>
      </c>
      <c r="C936" t="inlineStr">
        <is>
          <t>PY01</t>
        </is>
      </c>
      <c r="D936" s="30" t="n">
        <v>45973</v>
      </c>
      <c r="E936" s="35" t="n">
        <v>3991.17</v>
      </c>
      <c r="F936" s="35" t="n">
        <v>1172.76</v>
      </c>
      <c r="G936" s="35" t="n">
        <v>1062.77</v>
      </c>
      <c r="H936" t="inlineStr">
        <is>
          <t>Paid</t>
        </is>
      </c>
    </row>
    <row r="937">
      <c r="A937" t="inlineStr">
        <is>
          <t>CLM520170</t>
        </is>
      </c>
      <c r="B937" t="inlineStr">
        <is>
          <t>PT12166</t>
        </is>
      </c>
      <c r="C937" t="inlineStr">
        <is>
          <t>PY01</t>
        </is>
      </c>
      <c r="D937" s="30" t="n">
        <v>45979</v>
      </c>
      <c r="E937" s="35" t="n">
        <v>23372.99</v>
      </c>
      <c r="F937" s="35" t="n">
        <v>7101.38</v>
      </c>
      <c r="G937" s="35" t="n">
        <v>6965.29</v>
      </c>
      <c r="H937" t="inlineStr">
        <is>
          <t>Paid</t>
        </is>
      </c>
    </row>
    <row r="938">
      <c r="A938" t="inlineStr">
        <is>
          <t>CLM520171</t>
        </is>
      </c>
      <c r="B938" t="inlineStr">
        <is>
          <t>PT11485</t>
        </is>
      </c>
      <c r="C938" t="inlineStr">
        <is>
          <t>PY05</t>
        </is>
      </c>
      <c r="D938" s="30" t="n">
        <v>45974</v>
      </c>
      <c r="E938" s="35" t="n">
        <v>7316.63</v>
      </c>
      <c r="F938" s="35" t="n">
        <v>3324.17</v>
      </c>
      <c r="G938" s="35" t="n">
        <v>3143.49</v>
      </c>
      <c r="H938" t="inlineStr">
        <is>
          <t>Paid</t>
        </is>
      </c>
    </row>
    <row r="939">
      <c r="A939" t="inlineStr">
        <is>
          <t>CLM520179</t>
        </is>
      </c>
      <c r="B939" t="inlineStr">
        <is>
          <t>PT12299</t>
        </is>
      </c>
      <c r="C939" t="inlineStr">
        <is>
          <t>PY02</t>
        </is>
      </c>
      <c r="D939" s="30" t="n">
        <v>45975</v>
      </c>
      <c r="E939" s="35" t="n">
        <v>7554.93</v>
      </c>
      <c r="F939" s="35" t="n">
        <v>0</v>
      </c>
      <c r="G939" s="35" t="n">
        <v>0</v>
      </c>
      <c r="H939" t="inlineStr">
        <is>
          <t>Denied</t>
        </is>
      </c>
      <c r="I939" t="inlineStr">
        <is>
          <t>Authorization Required</t>
        </is>
      </c>
    </row>
    <row r="940">
      <c r="A940" t="inlineStr">
        <is>
          <t>CLM520183</t>
        </is>
      </c>
      <c r="B940" t="inlineStr">
        <is>
          <t>PT12896</t>
        </is>
      </c>
      <c r="C940" t="inlineStr">
        <is>
          <t>PY02</t>
        </is>
      </c>
      <c r="D940" s="30" t="n">
        <v>45976</v>
      </c>
      <c r="E940" s="35" t="n">
        <v>12145.75</v>
      </c>
      <c r="F940" s="35" t="n">
        <v>3945.32</v>
      </c>
      <c r="G940" s="35" t="n">
        <v>0</v>
      </c>
      <c r="H940" t="inlineStr">
        <is>
          <t>Pending</t>
        </is>
      </c>
    </row>
    <row r="941">
      <c r="A941" t="inlineStr">
        <is>
          <t>CLM520210</t>
        </is>
      </c>
      <c r="B941" t="inlineStr">
        <is>
          <t>PT11591</t>
        </is>
      </c>
      <c r="C941" t="inlineStr">
        <is>
          <t>PY06</t>
        </is>
      </c>
      <c r="D941" s="30" t="n">
        <v>45974</v>
      </c>
      <c r="E941" s="35" t="n">
        <v>1337.73</v>
      </c>
      <c r="F941" s="35" t="n">
        <v>799.16</v>
      </c>
      <c r="G941" s="35" t="n">
        <v>771.61</v>
      </c>
      <c r="H941" t="inlineStr">
        <is>
          <t>Paid</t>
        </is>
      </c>
    </row>
    <row r="942">
      <c r="A942" t="inlineStr">
        <is>
          <t>CLM520212</t>
        </is>
      </c>
      <c r="B942" t="inlineStr">
        <is>
          <t>PT12161</t>
        </is>
      </c>
      <c r="C942" t="inlineStr">
        <is>
          <t>PY06</t>
        </is>
      </c>
      <c r="D942" s="30" t="n">
        <v>45976</v>
      </c>
      <c r="E942" s="35" t="n">
        <v>44532.56</v>
      </c>
      <c r="F942" s="35" t="n">
        <v>22586.5</v>
      </c>
      <c r="G942" s="35" t="n">
        <v>19427.51</v>
      </c>
      <c r="H942" t="inlineStr">
        <is>
          <t>Paid</t>
        </is>
      </c>
    </row>
    <row r="943">
      <c r="A943" t="inlineStr">
        <is>
          <t>CLM520240</t>
        </is>
      </c>
      <c r="B943" t="inlineStr">
        <is>
          <t>PT10062</t>
        </is>
      </c>
      <c r="C943" t="inlineStr">
        <is>
          <t>PY01</t>
        </is>
      </c>
      <c r="D943" s="30" t="n">
        <v>45976</v>
      </c>
      <c r="E943" s="35" t="n">
        <v>3273.12</v>
      </c>
      <c r="F943" s="35" t="n">
        <v>992.76</v>
      </c>
      <c r="G943" s="35" t="n">
        <v>892.9299999999999</v>
      </c>
      <c r="H943" t="inlineStr">
        <is>
          <t>Paid</t>
        </is>
      </c>
    </row>
    <row r="944">
      <c r="A944" t="inlineStr">
        <is>
          <t>CLM520258</t>
        </is>
      </c>
      <c r="B944" t="inlineStr">
        <is>
          <t>PT12735</t>
        </is>
      </c>
      <c r="C944" t="inlineStr">
        <is>
          <t>PY03</t>
        </is>
      </c>
      <c r="D944" s="30" t="n">
        <v>45977</v>
      </c>
      <c r="E944" s="35" t="n">
        <v>2556.57</v>
      </c>
      <c r="F944" s="35" t="n">
        <v>0</v>
      </c>
      <c r="G944" s="35" t="n">
        <v>0</v>
      </c>
      <c r="H944" t="inlineStr">
        <is>
          <t>Denied</t>
        </is>
      </c>
      <c r="I944" t="inlineStr">
        <is>
          <t>Coding Error</t>
        </is>
      </c>
    </row>
    <row r="945">
      <c r="A945" t="inlineStr">
        <is>
          <t>CLM520259</t>
        </is>
      </c>
      <c r="B945" t="inlineStr">
        <is>
          <t>PT12851</t>
        </is>
      </c>
      <c r="C945" t="inlineStr">
        <is>
          <t>PY01</t>
        </is>
      </c>
      <c r="D945" s="30" t="n">
        <v>45981</v>
      </c>
      <c r="E945" s="35" t="n">
        <v>23680.65</v>
      </c>
      <c r="F945" s="35" t="n">
        <v>0</v>
      </c>
      <c r="G945" s="35" t="n">
        <v>0</v>
      </c>
      <c r="H945" t="inlineStr">
        <is>
          <t>Denied</t>
        </is>
      </c>
      <c r="I945" t="inlineStr">
        <is>
          <t>Authorization Required</t>
        </is>
      </c>
    </row>
    <row r="946">
      <c r="A946" t="inlineStr">
        <is>
          <t>CLM520277</t>
        </is>
      </c>
      <c r="B946" t="inlineStr">
        <is>
          <t>PT11926</t>
        </is>
      </c>
      <c r="C946" t="inlineStr">
        <is>
          <t>PY02</t>
        </is>
      </c>
      <c r="D946" s="30" t="n">
        <v>45981</v>
      </c>
      <c r="E946" s="35" t="n">
        <v>30895.23</v>
      </c>
      <c r="F946" s="35" t="n">
        <v>10011.16</v>
      </c>
      <c r="G946" s="35" t="n">
        <v>0</v>
      </c>
      <c r="H946" t="inlineStr">
        <is>
          <t>Pending</t>
        </is>
      </c>
    </row>
    <row r="947">
      <c r="A947" t="inlineStr">
        <is>
          <t>CLM520279</t>
        </is>
      </c>
      <c r="B947" t="inlineStr">
        <is>
          <t>PT11141</t>
        </is>
      </c>
      <c r="C947" t="inlineStr">
        <is>
          <t>PY02</t>
        </is>
      </c>
      <c r="D947" s="30" t="n">
        <v>45978</v>
      </c>
      <c r="E947" s="35" t="n">
        <v>3260.7</v>
      </c>
      <c r="F947" s="35" t="n">
        <v>0</v>
      </c>
      <c r="G947" s="35" t="n">
        <v>0</v>
      </c>
      <c r="H947" t="inlineStr">
        <is>
          <t>Denied</t>
        </is>
      </c>
      <c r="I947" t="inlineStr">
        <is>
          <t>Authorization Required</t>
        </is>
      </c>
    </row>
    <row r="948">
      <c r="A948" t="inlineStr">
        <is>
          <t>CLM520282</t>
        </is>
      </c>
      <c r="B948" t="inlineStr">
        <is>
          <t>PT10568</t>
        </is>
      </c>
      <c r="C948" t="inlineStr">
        <is>
          <t>PY02</t>
        </is>
      </c>
      <c r="D948" s="30" t="n">
        <v>45978</v>
      </c>
      <c r="E948" s="35" t="n">
        <v>3303.32</v>
      </c>
      <c r="F948" s="35" t="n">
        <v>0</v>
      </c>
      <c r="G948" s="35" t="n">
        <v>0</v>
      </c>
      <c r="H948" t="inlineStr">
        <is>
          <t>Denied</t>
        </is>
      </c>
      <c r="I948" t="inlineStr">
        <is>
          <t>Coding Error</t>
        </is>
      </c>
    </row>
    <row r="949">
      <c r="A949" t="inlineStr">
        <is>
          <t>CLM520287</t>
        </is>
      </c>
      <c r="B949" t="inlineStr">
        <is>
          <t>PT11443</t>
        </is>
      </c>
      <c r="C949" t="inlineStr">
        <is>
          <t>PY03</t>
        </is>
      </c>
      <c r="D949" s="30" t="n">
        <v>45978</v>
      </c>
      <c r="E949" s="35" t="n">
        <v>1495.18</v>
      </c>
      <c r="F949" s="35" t="n">
        <v>323.73</v>
      </c>
      <c r="G949" s="35" t="n">
        <v>323.73</v>
      </c>
      <c r="H949" t="inlineStr">
        <is>
          <t>Paid</t>
        </is>
      </c>
    </row>
    <row r="950">
      <c r="A950" t="inlineStr">
        <is>
          <t>CLM520308</t>
        </is>
      </c>
      <c r="B950" t="inlineStr">
        <is>
          <t>PT10074</t>
        </is>
      </c>
      <c r="C950" t="inlineStr">
        <is>
          <t>PY02</t>
        </is>
      </c>
      <c r="D950" s="30" t="n">
        <v>45978</v>
      </c>
      <c r="E950" s="35" t="n">
        <v>3950.84</v>
      </c>
      <c r="F950" s="35" t="n">
        <v>1286.2</v>
      </c>
      <c r="G950" s="35" t="n">
        <v>1258.42</v>
      </c>
      <c r="H950" t="inlineStr">
        <is>
          <t>Paid</t>
        </is>
      </c>
    </row>
    <row r="951">
      <c r="A951" t="inlineStr">
        <is>
          <t>CLM520312</t>
        </is>
      </c>
      <c r="B951" t="inlineStr">
        <is>
          <t>PT10537</t>
        </is>
      </c>
      <c r="C951" t="inlineStr">
        <is>
          <t>PY06</t>
        </is>
      </c>
      <c r="D951" s="30" t="n">
        <v>45980</v>
      </c>
      <c r="E951" s="35" t="n">
        <v>14827.28</v>
      </c>
      <c r="F951" s="35" t="n">
        <v>7993.29</v>
      </c>
      <c r="G951" s="35" t="n">
        <v>7238.6</v>
      </c>
      <c r="H951" t="inlineStr">
        <is>
          <t>Paid</t>
        </is>
      </c>
    </row>
    <row r="952">
      <c r="A952" t="inlineStr">
        <is>
          <t>CLM520318</t>
        </is>
      </c>
      <c r="B952" t="inlineStr">
        <is>
          <t>PT13560</t>
        </is>
      </c>
      <c r="C952" t="inlineStr">
        <is>
          <t>PY02</t>
        </is>
      </c>
      <c r="D952" s="30" t="n">
        <v>45978</v>
      </c>
      <c r="E952" s="35" t="inlineStr">
        <is>
          <t>N/A</t>
        </is>
      </c>
      <c r="F952" s="35" t="n">
        <v>0</v>
      </c>
      <c r="G952" s="35" t="n">
        <v>0</v>
      </c>
      <c r="H952" t="inlineStr">
        <is>
          <t>Denied</t>
        </is>
      </c>
      <c r="I952" t="inlineStr">
        <is>
          <t>Medical Necessity</t>
        </is>
      </c>
    </row>
    <row r="953">
      <c r="A953" t="inlineStr">
        <is>
          <t>CLM520321</t>
        </is>
      </c>
      <c r="B953" t="inlineStr">
        <is>
          <t>PT10774</t>
        </is>
      </c>
      <c r="C953" t="inlineStr">
        <is>
          <t>PY01</t>
        </is>
      </c>
      <c r="D953" s="30" t="n">
        <v>45979</v>
      </c>
      <c r="E953" s="35" t="n">
        <v>3591.48</v>
      </c>
      <c r="F953" s="35" t="n">
        <v>1149.26</v>
      </c>
      <c r="G953" s="35" t="n">
        <v>1003.26</v>
      </c>
      <c r="H953" t="inlineStr">
        <is>
          <t>Paid</t>
        </is>
      </c>
    </row>
    <row r="954">
      <c r="A954" t="inlineStr">
        <is>
          <t>CLM520324</t>
        </is>
      </c>
      <c r="B954" t="inlineStr">
        <is>
          <t>PT12494</t>
        </is>
      </c>
      <c r="C954" t="inlineStr">
        <is>
          <t>PY03</t>
        </is>
      </c>
      <c r="D954" s="30" t="n">
        <v>45979</v>
      </c>
      <c r="E954" s="35" t="n">
        <v>43350.27</v>
      </c>
      <c r="F954" s="35" t="n">
        <v>10968.3</v>
      </c>
      <c r="G954" s="35" t="n">
        <v>10968.3</v>
      </c>
      <c r="H954" t="inlineStr">
        <is>
          <t>Paid</t>
        </is>
      </c>
    </row>
    <row r="955">
      <c r="A955" t="inlineStr">
        <is>
          <t>CLM520350</t>
        </is>
      </c>
      <c r="B955" t="inlineStr">
        <is>
          <t>PT10177</t>
        </is>
      </c>
      <c r="C955" t="inlineStr">
        <is>
          <t>PY02</t>
        </is>
      </c>
      <c r="D955" s="30" t="n">
        <v>45979</v>
      </c>
      <c r="E955" s="35" t="n">
        <v>3950.15</v>
      </c>
      <c r="F955" s="35" t="n">
        <v>1373.57</v>
      </c>
      <c r="G955" s="35" t="n">
        <v>0</v>
      </c>
      <c r="H955" t="inlineStr">
        <is>
          <t>Pending</t>
        </is>
      </c>
    </row>
    <row r="956">
      <c r="A956" t="inlineStr">
        <is>
          <t>CLM520376</t>
        </is>
      </c>
      <c r="B956" t="inlineStr">
        <is>
          <t>PT11274</t>
        </is>
      </c>
      <c r="C956" t="inlineStr">
        <is>
          <t>PY01</t>
        </is>
      </c>
      <c r="D956" s="30" t="n">
        <v>45980</v>
      </c>
      <c r="E956" s="35" t="n">
        <v>2639.84</v>
      </c>
      <c r="F956" s="35" t="n">
        <v>869.04</v>
      </c>
      <c r="G956" s="35" t="n">
        <v>812.2</v>
      </c>
      <c r="H956" t="inlineStr">
        <is>
          <t>Paid</t>
        </is>
      </c>
    </row>
    <row r="957">
      <c r="A957" t="inlineStr">
        <is>
          <t>CLM520396</t>
        </is>
      </c>
      <c r="B957" t="inlineStr">
        <is>
          <t>PT11816</t>
        </is>
      </c>
      <c r="C957" t="inlineStr">
        <is>
          <t>PY01</t>
        </is>
      </c>
      <c r="D957" s="30" t="n">
        <v>45980</v>
      </c>
      <c r="E957" s="35" t="n">
        <v>1124.36</v>
      </c>
      <c r="F957" s="35" t="n">
        <v>363.06</v>
      </c>
      <c r="G957" s="35" t="n">
        <v>316.54</v>
      </c>
      <c r="H957" t="inlineStr">
        <is>
          <t>Paid</t>
        </is>
      </c>
    </row>
    <row r="958">
      <c r="A958" t="inlineStr">
        <is>
          <t>CLM520397</t>
        </is>
      </c>
      <c r="B958" t="inlineStr">
        <is>
          <t>PT10510</t>
        </is>
      </c>
      <c r="C958" t="inlineStr">
        <is>
          <t>PY04</t>
        </is>
      </c>
      <c r="D958" s="30" t="n">
        <v>45984</v>
      </c>
      <c r="E958" s="35" t="n">
        <v>20298.29</v>
      </c>
      <c r="F958" s="35" t="n">
        <v>11241.16</v>
      </c>
      <c r="G958" s="35" t="n">
        <v>10100.95</v>
      </c>
      <c r="H958" t="inlineStr">
        <is>
          <t>Paid</t>
        </is>
      </c>
    </row>
    <row r="959">
      <c r="A959" t="inlineStr">
        <is>
          <t>CLM520417</t>
        </is>
      </c>
      <c r="B959" t="inlineStr">
        <is>
          <t>PT12123</t>
        </is>
      </c>
      <c r="C959" t="inlineStr">
        <is>
          <t>PY04</t>
        </is>
      </c>
      <c r="D959" s="30" t="n">
        <v>45981</v>
      </c>
      <c r="E959" s="35" t="n">
        <v>747.1900000000001</v>
      </c>
      <c r="F959" s="35" t="n">
        <v>384.93</v>
      </c>
      <c r="G959" s="35" t="n">
        <v>336.21</v>
      </c>
      <c r="H959" t="inlineStr">
        <is>
          <t>Paid</t>
        </is>
      </c>
    </row>
    <row r="960">
      <c r="A960" t="inlineStr">
        <is>
          <t>CLM520443</t>
        </is>
      </c>
      <c r="B960" t="inlineStr">
        <is>
          <t>PT12929</t>
        </is>
      </c>
      <c r="C960" t="inlineStr">
        <is>
          <t>PY03</t>
        </is>
      </c>
      <c r="D960" s="30" t="n">
        <v>45982</v>
      </c>
      <c r="E960" s="35" t="n">
        <v>1740.17</v>
      </c>
      <c r="F960" s="35" t="n">
        <v>403.76</v>
      </c>
      <c r="G960" s="35" t="n">
        <v>0</v>
      </c>
      <c r="H960" t="inlineStr">
        <is>
          <t>Pending</t>
        </is>
      </c>
    </row>
    <row r="961">
      <c r="A961" t="inlineStr">
        <is>
          <t>CLM520444</t>
        </is>
      </c>
      <c r="B961" t="inlineStr">
        <is>
          <t>PT10463</t>
        </is>
      </c>
      <c r="C961" t="inlineStr">
        <is>
          <t>PY02</t>
        </is>
      </c>
      <c r="D961" s="30" t="n">
        <v>45982</v>
      </c>
      <c r="E961" s="35" t="n">
        <v>2788.17</v>
      </c>
      <c r="F961" s="35" t="n">
        <v>844.35</v>
      </c>
      <c r="G961" s="35" t="n">
        <v>813.3200000000001</v>
      </c>
      <c r="H961" t="inlineStr">
        <is>
          <t>Paid</t>
        </is>
      </c>
    </row>
    <row r="962">
      <c r="A962" t="inlineStr">
        <is>
          <t>CLM520452</t>
        </is>
      </c>
      <c r="B962" t="inlineStr">
        <is>
          <t>PT11433</t>
        </is>
      </c>
      <c r="C962" t="inlineStr">
        <is>
          <t>PY01</t>
        </is>
      </c>
      <c r="D962" s="30" t="n">
        <v>45982</v>
      </c>
      <c r="E962" s="35" t="n">
        <v>4629.22</v>
      </c>
      <c r="F962" s="35" t="n">
        <v>1537.03</v>
      </c>
      <c r="G962" s="35" t="n">
        <v>1331.91</v>
      </c>
      <c r="H962" t="inlineStr">
        <is>
          <t>Paid</t>
        </is>
      </c>
    </row>
    <row r="963">
      <c r="A963" t="inlineStr">
        <is>
          <t>CLM520461</t>
        </is>
      </c>
      <c r="B963" t="inlineStr">
        <is>
          <t>PT12641</t>
        </is>
      </c>
      <c r="C963" t="inlineStr">
        <is>
          <t>PY04</t>
        </is>
      </c>
      <c r="D963" s="30" t="n">
        <v>45982</v>
      </c>
      <c r="E963" s="35" t="n">
        <v>1226.27</v>
      </c>
      <c r="F963" s="35" t="n">
        <v>588.17</v>
      </c>
      <c r="G963" s="35" t="n">
        <v>526.73</v>
      </c>
      <c r="H963" t="inlineStr">
        <is>
          <t>Paid</t>
        </is>
      </c>
    </row>
    <row r="964">
      <c r="A964" t="inlineStr">
        <is>
          <t>CLM520471</t>
        </is>
      </c>
      <c r="B964" t="inlineStr">
        <is>
          <t>PT10460</t>
        </is>
      </c>
      <c r="C964" t="inlineStr">
        <is>
          <t>PY04</t>
        </is>
      </c>
      <c r="D964" s="30" t="n">
        <v>45982</v>
      </c>
      <c r="E964" s="35" t="n">
        <v>2747.29</v>
      </c>
      <c r="F964" s="35" t="n">
        <v>1425.34</v>
      </c>
      <c r="G964" s="35" t="n">
        <v>1264.63</v>
      </c>
      <c r="H964" t="inlineStr">
        <is>
          <t>Paid</t>
        </is>
      </c>
    </row>
    <row r="965">
      <c r="A965" t="inlineStr">
        <is>
          <t>CLM520472</t>
        </is>
      </c>
      <c r="B965" t="inlineStr">
        <is>
          <t>PT11188</t>
        </is>
      </c>
      <c r="C965" t="inlineStr">
        <is>
          <t>PY01</t>
        </is>
      </c>
      <c r="D965" s="30" t="n">
        <v>45982</v>
      </c>
      <c r="E965" s="35" t="n">
        <v>3413.47</v>
      </c>
      <c r="F965" s="35" t="n">
        <v>0</v>
      </c>
      <c r="G965" s="35" t="n">
        <v>0</v>
      </c>
      <c r="H965" t="inlineStr">
        <is>
          <t>Denied</t>
        </is>
      </c>
      <c r="I965" t="inlineStr">
        <is>
          <t>Medical Necessity</t>
        </is>
      </c>
    </row>
    <row r="966">
      <c r="A966" t="inlineStr">
        <is>
          <t>CLM520474</t>
        </is>
      </c>
      <c r="B966" t="inlineStr">
        <is>
          <t>PT13628</t>
        </is>
      </c>
      <c r="C966" t="inlineStr">
        <is>
          <t>PY07</t>
        </is>
      </c>
      <c r="D966" s="30" t="n">
        <v>45982</v>
      </c>
      <c r="E966" s="35" t="n">
        <v>1659.7</v>
      </c>
      <c r="F966" s="35" t="n">
        <v>663.39</v>
      </c>
      <c r="G966" s="35" t="n">
        <v>0</v>
      </c>
      <c r="H966" t="inlineStr">
        <is>
          <t>Pending</t>
        </is>
      </c>
    </row>
    <row r="967">
      <c r="A967" t="inlineStr">
        <is>
          <t>CLM520486</t>
        </is>
      </c>
      <c r="B967" t="inlineStr">
        <is>
          <t>PT10866</t>
        </is>
      </c>
      <c r="C967" t="inlineStr">
        <is>
          <t>PY05</t>
        </is>
      </c>
      <c r="D967" s="30" t="n">
        <v>45986</v>
      </c>
      <c r="E967" s="35" t="n">
        <v>34534.37</v>
      </c>
      <c r="F967" s="35" t="n">
        <v>16252.66</v>
      </c>
      <c r="G967" s="35" t="n">
        <v>13986.09</v>
      </c>
      <c r="H967" t="inlineStr">
        <is>
          <t>Paid</t>
        </is>
      </c>
    </row>
    <row r="968">
      <c r="A968" t="inlineStr">
        <is>
          <t>CLM520508</t>
        </is>
      </c>
      <c r="B968" t="inlineStr">
        <is>
          <t>PT13217</t>
        </is>
      </c>
      <c r="C968" t="inlineStr">
        <is>
          <t>PY03</t>
        </is>
      </c>
      <c r="D968" s="30" t="n">
        <v>45986</v>
      </c>
      <c r="E968" s="35" t="n">
        <v>4946.09</v>
      </c>
      <c r="F968" s="35" t="n">
        <v>1395.86</v>
      </c>
      <c r="G968" s="35" t="n">
        <v>0</v>
      </c>
      <c r="H968" t="inlineStr">
        <is>
          <t>Pending</t>
        </is>
      </c>
    </row>
    <row r="969">
      <c r="A969" t="inlineStr">
        <is>
          <t>CLM520509</t>
        </is>
      </c>
      <c r="B969" t="inlineStr">
        <is>
          <t>PT12774</t>
        </is>
      </c>
      <c r="C969" t="inlineStr">
        <is>
          <t>PY05</t>
        </is>
      </c>
      <c r="D969" s="30" t="n">
        <v>45984</v>
      </c>
      <c r="E969" s="35" t="n">
        <v>1029.62</v>
      </c>
      <c r="F969" s="35" t="n">
        <v>496.37</v>
      </c>
      <c r="G969" s="35" t="n">
        <v>463.71</v>
      </c>
      <c r="H969" t="inlineStr">
        <is>
          <t>Paid</t>
        </is>
      </c>
    </row>
    <row r="970">
      <c r="A970" t="inlineStr">
        <is>
          <t>CLM520513</t>
        </is>
      </c>
      <c r="B970" t="inlineStr">
        <is>
          <t>PT13575</t>
        </is>
      </c>
      <c r="C970" t="inlineStr">
        <is>
          <t>PY03</t>
        </is>
      </c>
      <c r="D970" s="30" t="n">
        <v>45985</v>
      </c>
      <c r="E970" s="35" t="n">
        <v>880.88</v>
      </c>
      <c r="F970" s="35" t="n">
        <v>219.61</v>
      </c>
      <c r="G970" s="35" t="n">
        <v>219.61</v>
      </c>
      <c r="H970" t="inlineStr">
        <is>
          <t>Paid</t>
        </is>
      </c>
    </row>
    <row r="971">
      <c r="A971" t="inlineStr">
        <is>
          <t>CLM520534</t>
        </is>
      </c>
      <c r="B971" t="inlineStr">
        <is>
          <t>PT10387</t>
        </is>
      </c>
      <c r="C971" t="inlineStr">
        <is>
          <t>PY03</t>
        </is>
      </c>
      <c r="D971" s="30" t="n">
        <v>45989</v>
      </c>
      <c r="E971" s="35" t="n">
        <v>54144.63</v>
      </c>
      <c r="F971" s="35" t="n">
        <v>12743.88</v>
      </c>
      <c r="G971" s="35" t="n">
        <v>0</v>
      </c>
      <c r="H971" t="inlineStr">
        <is>
          <t>Pending</t>
        </is>
      </c>
    </row>
    <row r="972">
      <c r="A972" t="inlineStr">
        <is>
          <t>CLM520535</t>
        </is>
      </c>
      <c r="B972" t="inlineStr">
        <is>
          <t>PT13009</t>
        </is>
      </c>
      <c r="C972" t="inlineStr">
        <is>
          <t>PY04</t>
        </is>
      </c>
      <c r="D972" s="30" t="n">
        <v>45988</v>
      </c>
      <c r="E972" s="35" t="n">
        <v>19446.16</v>
      </c>
      <c r="F972" s="35" t="n">
        <v>9294.700000000001</v>
      </c>
      <c r="G972" s="35" t="n">
        <v>0</v>
      </c>
      <c r="H972" t="inlineStr">
        <is>
          <t>Pending</t>
        </is>
      </c>
    </row>
    <row r="973">
      <c r="A973" t="inlineStr">
        <is>
          <t>CLM520537</t>
        </is>
      </c>
      <c r="B973" t="inlineStr">
        <is>
          <t>PT12285</t>
        </is>
      </c>
      <c r="C973" t="inlineStr">
        <is>
          <t>PY05</t>
        </is>
      </c>
      <c r="D973" s="30" t="n">
        <v>45986</v>
      </c>
      <c r="E973" s="35" t="n">
        <v>6882.14</v>
      </c>
      <c r="F973" s="35" t="n">
        <v>3068.55</v>
      </c>
      <c r="G973" s="35" t="n">
        <v>2756.38</v>
      </c>
      <c r="H973" t="inlineStr">
        <is>
          <t>Paid</t>
        </is>
      </c>
    </row>
    <row r="974">
      <c r="A974" t="inlineStr">
        <is>
          <t>CLM520548</t>
        </is>
      </c>
      <c r="B974" t="inlineStr">
        <is>
          <t>PT12989</t>
        </is>
      </c>
      <c r="C974" t="inlineStr">
        <is>
          <t>PY04</t>
        </is>
      </c>
      <c r="D974" s="30" t="n">
        <v>45985</v>
      </c>
      <c r="E974" s="35" t="n">
        <v>2889.53</v>
      </c>
      <c r="F974" s="35" t="n">
        <v>1469.81</v>
      </c>
      <c r="G974" s="35" t="n">
        <v>1334.35</v>
      </c>
      <c r="H974" t="inlineStr">
        <is>
          <t>Paid</t>
        </is>
      </c>
    </row>
    <row r="975">
      <c r="A975" t="inlineStr">
        <is>
          <t>CLM520550</t>
        </is>
      </c>
      <c r="B975" t="inlineStr">
        <is>
          <t>PT10181</t>
        </is>
      </c>
      <c r="C975" t="inlineStr">
        <is>
          <t>PY04</t>
        </is>
      </c>
      <c r="D975" s="30" t="n">
        <v>45985</v>
      </c>
      <c r="E975" s="35" t="n">
        <v>1156.96</v>
      </c>
      <c r="F975" s="35" t="n">
        <v>556.98</v>
      </c>
      <c r="G975" s="35" t="n">
        <v>492.85</v>
      </c>
      <c r="H975" t="inlineStr">
        <is>
          <t>Paid</t>
        </is>
      </c>
    </row>
    <row r="976">
      <c r="A976" t="inlineStr">
        <is>
          <t>CLM520553</t>
        </is>
      </c>
      <c r="B976" t="inlineStr">
        <is>
          <t>PT10219</t>
        </is>
      </c>
      <c r="C976" t="inlineStr">
        <is>
          <t>PY01</t>
        </is>
      </c>
      <c r="D976" s="30" t="n">
        <v>45989</v>
      </c>
      <c r="E976" s="35" t="n">
        <v>26215.38</v>
      </c>
      <c r="F976" s="35" t="n">
        <v>9003.74</v>
      </c>
      <c r="G976" s="35" t="n">
        <v>9003.74</v>
      </c>
      <c r="H976" t="inlineStr">
        <is>
          <t>Paid</t>
        </is>
      </c>
    </row>
    <row r="977">
      <c r="A977" t="inlineStr">
        <is>
          <t>CLM520555</t>
        </is>
      </c>
      <c r="B977" t="inlineStr">
        <is>
          <t>PT10943</t>
        </is>
      </c>
      <c r="C977" t="inlineStr">
        <is>
          <t>PY02</t>
        </is>
      </c>
      <c r="D977" s="30" t="n">
        <v>45986</v>
      </c>
      <c r="E977" s="35" t="n">
        <v>3002.09</v>
      </c>
      <c r="F977" s="35" t="n">
        <v>984.29</v>
      </c>
      <c r="G977" s="35" t="n">
        <v>895.86</v>
      </c>
      <c r="H977" t="inlineStr">
        <is>
          <t>Paid</t>
        </is>
      </c>
    </row>
    <row r="978">
      <c r="A978" t="inlineStr">
        <is>
          <t>CLM520557</t>
        </is>
      </c>
      <c r="B978" t="inlineStr">
        <is>
          <t>PT12105</t>
        </is>
      </c>
      <c r="C978" t="inlineStr">
        <is>
          <t>PY02</t>
        </is>
      </c>
      <c r="D978" s="30" t="n">
        <v>45986</v>
      </c>
      <c r="E978" s="35" t="n">
        <v>1722.98</v>
      </c>
      <c r="F978" s="35" t="n">
        <v>562.54</v>
      </c>
      <c r="G978" s="35" t="n">
        <v>0</v>
      </c>
      <c r="H978" t="inlineStr">
        <is>
          <t>Pending</t>
        </is>
      </c>
    </row>
    <row r="979">
      <c r="A979" t="inlineStr">
        <is>
          <t>CLM520574</t>
        </is>
      </c>
      <c r="B979" t="inlineStr">
        <is>
          <t>PT11832</t>
        </is>
      </c>
      <c r="C979" t="inlineStr">
        <is>
          <t>PY03</t>
        </is>
      </c>
      <c r="D979" s="30" t="n">
        <v>45986</v>
      </c>
      <c r="E979" s="35" t="n">
        <v>2997.87</v>
      </c>
      <c r="F979" s="35" t="n">
        <v>722.51</v>
      </c>
      <c r="G979" s="35" t="n">
        <v>0</v>
      </c>
      <c r="H979" t="inlineStr">
        <is>
          <t>Pending</t>
        </is>
      </c>
    </row>
    <row r="980">
      <c r="A980" t="inlineStr">
        <is>
          <t>CLM520590</t>
        </is>
      </c>
      <c r="B980" t="inlineStr">
        <is>
          <t>PT12314</t>
        </is>
      </c>
      <c r="C980" t="inlineStr">
        <is>
          <t>PY04</t>
        </is>
      </c>
      <c r="D980" s="30" t="n">
        <v>45987</v>
      </c>
      <c r="E980" s="35" t="n">
        <v>2797.15</v>
      </c>
      <c r="F980" s="35" t="n">
        <v>1294.26</v>
      </c>
      <c r="G980" s="35" t="n">
        <v>1177.18</v>
      </c>
      <c r="H980" t="inlineStr">
        <is>
          <t>Paid</t>
        </is>
      </c>
    </row>
    <row r="981">
      <c r="A981" t="inlineStr">
        <is>
          <t>CLM520631</t>
        </is>
      </c>
      <c r="B981" t="inlineStr">
        <is>
          <t>PT12893</t>
        </is>
      </c>
      <c r="C981" t="inlineStr">
        <is>
          <t>PY04</t>
        </is>
      </c>
      <c r="D981" s="30" t="n">
        <v>45988</v>
      </c>
      <c r="E981" s="35" t="n">
        <v>1485.39</v>
      </c>
      <c r="F981" s="35" t="n">
        <v>0</v>
      </c>
      <c r="G981" s="35" t="n">
        <v>0</v>
      </c>
      <c r="H981" t="inlineStr">
        <is>
          <t>Denied</t>
        </is>
      </c>
      <c r="I981" t="inlineStr">
        <is>
          <t>Missing Documentation</t>
        </is>
      </c>
    </row>
    <row r="982">
      <c r="A982" t="inlineStr">
        <is>
          <t>CLM520635</t>
        </is>
      </c>
      <c r="B982" t="inlineStr">
        <is>
          <t>PT10010</t>
        </is>
      </c>
      <c r="C982" t="inlineStr">
        <is>
          <t>PY08</t>
        </is>
      </c>
      <c r="D982" s="30" t="n">
        <v>45988</v>
      </c>
      <c r="E982" s="35" t="n">
        <v>1132.51</v>
      </c>
      <c r="F982" s="35" t="n">
        <v>649.7</v>
      </c>
      <c r="G982" s="35" t="n">
        <v>0</v>
      </c>
      <c r="H982" t="inlineStr">
        <is>
          <t>Pending</t>
        </is>
      </c>
    </row>
    <row r="983">
      <c r="A983" t="inlineStr">
        <is>
          <t>CLM520656</t>
        </is>
      </c>
      <c r="B983" t="inlineStr">
        <is>
          <t>PT13116</t>
        </is>
      </c>
      <c r="C983" t="inlineStr">
        <is>
          <t>PY01</t>
        </is>
      </c>
      <c r="D983" s="30" t="n">
        <v>45992</v>
      </c>
      <c r="E983" s="35" t="n">
        <v>13865</v>
      </c>
      <c r="F983" s="35" t="n">
        <v>0</v>
      </c>
      <c r="G983" s="35" t="n">
        <v>0</v>
      </c>
      <c r="H983" t="inlineStr">
        <is>
          <t>Denied</t>
        </is>
      </c>
      <c r="I983" t="inlineStr">
        <is>
          <t>Authorization Required</t>
        </is>
      </c>
    </row>
    <row r="984">
      <c r="A984" t="inlineStr">
        <is>
          <t>CLM520689</t>
        </is>
      </c>
      <c r="B984" t="inlineStr">
        <is>
          <t>PT12695</t>
        </is>
      </c>
      <c r="C984" t="inlineStr">
        <is>
          <t>PY04</t>
        </is>
      </c>
      <c r="D984" s="30" t="n">
        <v>45989</v>
      </c>
      <c r="E984" s="35" t="n">
        <v>4522.66</v>
      </c>
      <c r="F984" s="35" t="n">
        <v>2482.88</v>
      </c>
      <c r="G984" s="35" t="n">
        <v>2198.35</v>
      </c>
      <c r="H984" t="inlineStr">
        <is>
          <t>Paid</t>
        </is>
      </c>
    </row>
    <row r="985">
      <c r="A985" t="inlineStr">
        <is>
          <t>CLM520698</t>
        </is>
      </c>
      <c r="B985" t="inlineStr">
        <is>
          <t>PT13427</t>
        </is>
      </c>
      <c r="C985" t="inlineStr">
        <is>
          <t>PY04</t>
        </is>
      </c>
      <c r="D985" s="30" t="n">
        <v>45990</v>
      </c>
      <c r="E985" s="35" t="n">
        <v>3828.75</v>
      </c>
      <c r="F985" s="35" t="n">
        <v>2285.14</v>
      </c>
      <c r="G985" s="35" t="n">
        <v>2017.53</v>
      </c>
      <c r="H985" t="inlineStr">
        <is>
          <t>Paid</t>
        </is>
      </c>
    </row>
    <row r="986">
      <c r="A986" t="inlineStr">
        <is>
          <t>CLM520703</t>
        </is>
      </c>
      <c r="B986" t="inlineStr">
        <is>
          <t>PT13869</t>
        </is>
      </c>
      <c r="C986" t="inlineStr">
        <is>
          <t>PY01</t>
        </is>
      </c>
      <c r="D986" s="30" t="n">
        <v>45990</v>
      </c>
      <c r="E986" s="35" t="n">
        <v>4265.36</v>
      </c>
      <c r="F986" s="35" t="n">
        <v>1356.75</v>
      </c>
      <c r="G986" s="35" t="n">
        <v>1153.95</v>
      </c>
      <c r="H986" t="inlineStr">
        <is>
          <t>Paid</t>
        </is>
      </c>
    </row>
    <row r="987">
      <c r="A987" t="inlineStr">
        <is>
          <t>CLM520711</t>
        </is>
      </c>
      <c r="B987" t="inlineStr">
        <is>
          <t>PT12563</t>
        </is>
      </c>
      <c r="C987" t="inlineStr">
        <is>
          <t>PY05</t>
        </is>
      </c>
      <c r="D987" s="30" t="n">
        <v>45994</v>
      </c>
      <c r="E987" s="35" t="n">
        <v>35196.3</v>
      </c>
      <c r="F987" s="35" t="n">
        <v>18101.93</v>
      </c>
      <c r="G987" s="35" t="n">
        <v>15935.73</v>
      </c>
      <c r="H987" t="inlineStr">
        <is>
          <t>Paid</t>
        </is>
      </c>
    </row>
    <row r="988">
      <c r="A988" t="inlineStr">
        <is>
          <t>CLM520715</t>
        </is>
      </c>
      <c r="B988" t="inlineStr">
        <is>
          <t>PT13702</t>
        </is>
      </c>
      <c r="C988" t="inlineStr">
        <is>
          <t>PY05</t>
        </is>
      </c>
      <c r="D988" s="30" t="n">
        <v>45991</v>
      </c>
      <c r="E988" s="35" t="n">
        <v>4452.1</v>
      </c>
      <c r="F988" s="35" t="n">
        <v>2459.35</v>
      </c>
      <c r="G988" s="35" t="n">
        <v>0</v>
      </c>
      <c r="H988" t="inlineStr">
        <is>
          <t>Pending</t>
        </is>
      </c>
    </row>
    <row r="989">
      <c r="A989" t="inlineStr">
        <is>
          <t>CLM520717</t>
        </is>
      </c>
      <c r="B989" t="inlineStr">
        <is>
          <t>PT10475</t>
        </is>
      </c>
      <c r="C989" t="inlineStr">
        <is>
          <t>PY06</t>
        </is>
      </c>
      <c r="D989" s="30" t="n">
        <v>45991</v>
      </c>
      <c r="E989" s="35" t="n">
        <v>1492.24</v>
      </c>
      <c r="F989" s="35" t="n">
        <v>883.7</v>
      </c>
      <c r="G989" s="35" t="n">
        <v>829.5700000000001</v>
      </c>
      <c r="H989" t="inlineStr">
        <is>
          <t>Paid</t>
        </is>
      </c>
    </row>
    <row r="990">
      <c r="A990" t="inlineStr">
        <is>
          <t>CLM520725</t>
        </is>
      </c>
      <c r="B990" t="inlineStr">
        <is>
          <t>PT13519</t>
        </is>
      </c>
      <c r="C990" t="inlineStr">
        <is>
          <t>PY05</t>
        </is>
      </c>
      <c r="D990" s="30" t="n">
        <v>45995</v>
      </c>
      <c r="E990" s="35" t="n">
        <v>14006.22</v>
      </c>
      <c r="F990" s="35" t="n">
        <v>7059.28</v>
      </c>
      <c r="G990" s="35" t="n">
        <v>5722.77</v>
      </c>
      <c r="H990" t="inlineStr">
        <is>
          <t>Paid</t>
        </is>
      </c>
    </row>
    <row r="991">
      <c r="A991" t="inlineStr">
        <is>
          <t>CLM520751</t>
        </is>
      </c>
      <c r="B991" t="inlineStr">
        <is>
          <t>PT12989</t>
        </is>
      </c>
      <c r="C991" t="inlineStr">
        <is>
          <t>PY04</t>
        </is>
      </c>
      <c r="D991" s="30" t="n">
        <v>45998</v>
      </c>
      <c r="E991" s="35" t="n">
        <v>23667.85</v>
      </c>
      <c r="F991" s="35" t="n">
        <v>11237.69</v>
      </c>
      <c r="G991" s="35" t="n">
        <v>0</v>
      </c>
      <c r="H991" t="inlineStr">
        <is>
          <t>Pending</t>
        </is>
      </c>
    </row>
    <row r="992">
      <c r="A992" t="inlineStr">
        <is>
          <t>CLM520760</t>
        </is>
      </c>
      <c r="B992" t="inlineStr">
        <is>
          <t>PT11168</t>
        </is>
      </c>
      <c r="C992" t="inlineStr">
        <is>
          <t>PY01</t>
        </is>
      </c>
      <c r="D992" s="30" t="n">
        <v>45992</v>
      </c>
      <c r="E992" s="35" t="n">
        <v>1410.74</v>
      </c>
      <c r="F992" s="35" t="n">
        <v>437.41</v>
      </c>
      <c r="G992" s="35" t="n">
        <v>383.81</v>
      </c>
      <c r="H992" t="inlineStr">
        <is>
          <t>Paid</t>
        </is>
      </c>
    </row>
    <row r="993">
      <c r="A993" t="inlineStr">
        <is>
          <t>CLM520771</t>
        </is>
      </c>
      <c r="B993" t="inlineStr">
        <is>
          <t>PT12187</t>
        </is>
      </c>
      <c r="C993" t="inlineStr">
        <is>
          <t>PY02</t>
        </is>
      </c>
      <c r="D993" s="30" t="n">
        <v>45992</v>
      </c>
      <c r="E993" s="35" t="n">
        <v>2451.32</v>
      </c>
      <c r="F993" s="35" t="n">
        <v>866.46</v>
      </c>
      <c r="G993" s="35" t="n">
        <v>803.87</v>
      </c>
      <c r="H993" t="inlineStr">
        <is>
          <t>Paid</t>
        </is>
      </c>
    </row>
    <row r="994">
      <c r="A994" t="inlineStr">
        <is>
          <t>CLM520772</t>
        </is>
      </c>
      <c r="B994" t="inlineStr">
        <is>
          <t>PT13601</t>
        </is>
      </c>
      <c r="C994" t="inlineStr">
        <is>
          <t>PY03</t>
        </is>
      </c>
      <c r="D994" s="30" t="n">
        <v>45992</v>
      </c>
      <c r="E994" s="35" t="n">
        <v>1022.28</v>
      </c>
      <c r="F994" s="35" t="n">
        <v>261.79</v>
      </c>
      <c r="G994" s="35" t="n">
        <v>0</v>
      </c>
      <c r="H994" t="inlineStr">
        <is>
          <t>Pending</t>
        </is>
      </c>
    </row>
    <row r="995">
      <c r="A995" t="inlineStr">
        <is>
          <t>CLM520776</t>
        </is>
      </c>
      <c r="B995" t="inlineStr">
        <is>
          <t>PT11247</t>
        </is>
      </c>
      <c r="C995" t="inlineStr">
        <is>
          <t>PY04</t>
        </is>
      </c>
      <c r="D995" s="30" t="n">
        <v>45993</v>
      </c>
      <c r="E995" s="35" t="n">
        <v>5273.54</v>
      </c>
      <c r="F995" s="35" t="n">
        <v>2848.51</v>
      </c>
      <c r="G995" s="35" t="n">
        <v>2447.16</v>
      </c>
      <c r="H995" t="inlineStr">
        <is>
          <t>Paid</t>
        </is>
      </c>
    </row>
    <row r="996">
      <c r="A996" t="inlineStr">
        <is>
          <t>CLM520785</t>
        </is>
      </c>
      <c r="B996" t="inlineStr">
        <is>
          <t>PT10969</t>
        </is>
      </c>
      <c r="C996" t="inlineStr">
        <is>
          <t>PY03</t>
        </is>
      </c>
      <c r="D996" s="30" t="n">
        <v>45994</v>
      </c>
      <c r="E996" s="35" t="n">
        <v>13446.07</v>
      </c>
      <c r="F996" s="35" t="n">
        <v>3668.2</v>
      </c>
      <c r="G996" s="35" t="n">
        <v>0</v>
      </c>
      <c r="H996" t="inlineStr">
        <is>
          <t>Pending</t>
        </is>
      </c>
    </row>
    <row r="997">
      <c r="A997" t="inlineStr">
        <is>
          <t>CLM520813</t>
        </is>
      </c>
      <c r="B997" t="inlineStr">
        <is>
          <t>PT12307</t>
        </is>
      </c>
      <c r="C997" t="inlineStr">
        <is>
          <t>PY01</t>
        </is>
      </c>
      <c r="D997" s="30" t="n">
        <v>45993</v>
      </c>
      <c r="E997" s="35" t="n">
        <v>633.41</v>
      </c>
      <c r="F997" s="35" t="n">
        <v>204.88</v>
      </c>
      <c r="G997" s="35" t="n">
        <v>165.05</v>
      </c>
      <c r="H997" t="inlineStr">
        <is>
          <t>Paid</t>
        </is>
      </c>
    </row>
    <row r="998">
      <c r="A998" t="inlineStr">
        <is>
          <t>CLM520815</t>
        </is>
      </c>
      <c r="B998" t="inlineStr">
        <is>
          <t>PT10460</t>
        </is>
      </c>
      <c r="C998" t="inlineStr">
        <is>
          <t>PY04</t>
        </is>
      </c>
      <c r="D998" s="30" t="n">
        <v>45996</v>
      </c>
      <c r="E998" s="35" t="n">
        <v>46456.88</v>
      </c>
      <c r="F998" s="35" t="n">
        <v>0</v>
      </c>
      <c r="G998" s="35" t="n">
        <v>0</v>
      </c>
      <c r="H998" t="inlineStr">
        <is>
          <t>Denied</t>
        </is>
      </c>
      <c r="I998" t="inlineStr">
        <is>
          <t>Medical Necessity</t>
        </is>
      </c>
    </row>
    <row r="999">
      <c r="A999" t="inlineStr">
        <is>
          <t>CLM520819</t>
        </is>
      </c>
      <c r="B999" t="inlineStr">
        <is>
          <t>PT11673</t>
        </is>
      </c>
      <c r="C999" t="inlineStr">
        <is>
          <t>PY01</t>
        </is>
      </c>
      <c r="D999" s="30" t="n">
        <v>45993</v>
      </c>
      <c r="E999" s="35" t="n">
        <v>700.37</v>
      </c>
      <c r="F999" s="35" t="n">
        <v>234.98</v>
      </c>
      <c r="G999" s="35" t="n">
        <v>208.98</v>
      </c>
      <c r="H999" t="inlineStr">
        <is>
          <t>Paid</t>
        </is>
      </c>
    </row>
    <row r="1000">
      <c r="A1000" t="inlineStr">
        <is>
          <t>CLM520823</t>
        </is>
      </c>
      <c r="B1000" t="inlineStr">
        <is>
          <t>PT10523</t>
        </is>
      </c>
      <c r="C1000" t="inlineStr">
        <is>
          <t>PY01</t>
        </is>
      </c>
      <c r="D1000" s="30" t="n">
        <v>45994</v>
      </c>
      <c r="E1000" s="35" t="n">
        <v>7056.64</v>
      </c>
      <c r="F1000" s="35" t="n">
        <v>0</v>
      </c>
      <c r="G1000" s="35" t="n">
        <v>0</v>
      </c>
      <c r="H1000" t="inlineStr">
        <is>
          <t>Denied</t>
        </is>
      </c>
      <c r="I1000" t="inlineStr">
        <is>
          <t>Authorization Required</t>
        </is>
      </c>
    </row>
    <row r="1001">
      <c r="A1001" t="inlineStr">
        <is>
          <t>CLM520832</t>
        </is>
      </c>
      <c r="B1001" t="inlineStr">
        <is>
          <t>PT13632</t>
        </is>
      </c>
      <c r="C1001" t="inlineStr">
        <is>
          <t>PY02</t>
        </is>
      </c>
      <c r="D1001" s="30" t="n">
        <v>45997</v>
      </c>
      <c r="E1001" s="35" t="n">
        <v>7130.02</v>
      </c>
      <c r="F1001" s="35" t="n">
        <v>0</v>
      </c>
      <c r="G1001" s="35" t="n">
        <v>0</v>
      </c>
      <c r="H1001" t="inlineStr">
        <is>
          <t>Denied</t>
        </is>
      </c>
      <c r="I1001" t="inlineStr">
        <is>
          <t>Medical Necessity</t>
        </is>
      </c>
    </row>
    <row r="1002">
      <c r="A1002" t="inlineStr">
        <is>
          <t>CLM520838</t>
        </is>
      </c>
      <c r="B1002" t="inlineStr">
        <is>
          <t>PT13672</t>
        </is>
      </c>
      <c r="C1002" t="inlineStr">
        <is>
          <t>PY02</t>
        </is>
      </c>
      <c r="D1002" s="30" t="n">
        <v>45997</v>
      </c>
      <c r="E1002" s="35" t="n">
        <v>13541.03</v>
      </c>
      <c r="F1002" s="35" t="n">
        <v>4215.64</v>
      </c>
      <c r="G1002" s="35" t="n">
        <v>0</v>
      </c>
      <c r="H1002" t="inlineStr">
        <is>
          <t>Pending</t>
        </is>
      </c>
    </row>
    <row r="1003">
      <c r="A1003" t="inlineStr">
        <is>
          <t>CLM520849</t>
        </is>
      </c>
      <c r="B1003" t="inlineStr">
        <is>
          <t>PT10668</t>
        </is>
      </c>
      <c r="C1003" t="inlineStr">
        <is>
          <t>PY02</t>
        </is>
      </c>
      <c r="D1003" s="30" t="n">
        <v>46003</v>
      </c>
      <c r="E1003" s="35" t="n">
        <v>81476.33</v>
      </c>
      <c r="F1003" s="35" t="n">
        <v>24479.13</v>
      </c>
      <c r="G1003" s="35" t="n">
        <v>0</v>
      </c>
      <c r="H1003" t="inlineStr">
        <is>
          <t>Pending</t>
        </is>
      </c>
    </row>
    <row r="1004">
      <c r="A1004" t="inlineStr">
        <is>
          <t>CLM520868</t>
        </is>
      </c>
      <c r="B1004" t="inlineStr">
        <is>
          <t>PT12677</t>
        </is>
      </c>
      <c r="C1004" t="inlineStr">
        <is>
          <t>PY02</t>
        </is>
      </c>
      <c r="D1004" s="30" t="n">
        <v>45996</v>
      </c>
      <c r="E1004" s="35" t="n">
        <v>10172.33</v>
      </c>
      <c r="F1004" s="35" t="n">
        <v>3214.47</v>
      </c>
      <c r="G1004" s="35" t="n">
        <v>0</v>
      </c>
      <c r="H1004" t="inlineStr">
        <is>
          <t>Pending</t>
        </is>
      </c>
    </row>
    <row r="1005">
      <c r="A1005" t="inlineStr">
        <is>
          <t>CLM520878</t>
        </is>
      </c>
      <c r="B1005" t="inlineStr">
        <is>
          <t>PT10032</t>
        </is>
      </c>
      <c r="C1005" t="inlineStr">
        <is>
          <t>PY03</t>
        </is>
      </c>
      <c r="D1005" s="30" t="n">
        <v>45995</v>
      </c>
      <c r="E1005" s="35" t="n">
        <v>717.2</v>
      </c>
      <c r="F1005" s="35" t="n">
        <v>177.72</v>
      </c>
      <c r="G1005" s="35" t="n">
        <v>0</v>
      </c>
      <c r="H1005" t="inlineStr">
        <is>
          <t>Pending</t>
        </is>
      </c>
    </row>
    <row r="1006">
      <c r="A1006" t="inlineStr">
        <is>
          <t>CLM520895</t>
        </is>
      </c>
      <c r="B1006" t="inlineStr">
        <is>
          <t>PT13853</t>
        </is>
      </c>
      <c r="C1006" t="inlineStr">
        <is>
          <t>PY02</t>
        </is>
      </c>
      <c r="D1006" s="30" t="n">
        <v>45997</v>
      </c>
      <c r="E1006" s="35" t="n">
        <v>5595.17</v>
      </c>
      <c r="F1006" s="35" t="n">
        <v>1638.72</v>
      </c>
      <c r="G1006" s="35" t="n">
        <v>1468.77</v>
      </c>
      <c r="H1006" t="inlineStr">
        <is>
          <t>Paid</t>
        </is>
      </c>
    </row>
    <row r="1007">
      <c r="A1007" t="inlineStr">
        <is>
          <t>CLM520939</t>
        </is>
      </c>
      <c r="B1007" t="inlineStr">
        <is>
          <t>PT12826</t>
        </is>
      </c>
      <c r="C1007" t="inlineStr">
        <is>
          <t>PY01</t>
        </is>
      </c>
      <c r="D1007" s="30" t="n">
        <v>45996</v>
      </c>
      <c r="E1007" s="35" t="n">
        <v>599.9</v>
      </c>
      <c r="F1007" s="35" t="n">
        <v>0</v>
      </c>
      <c r="G1007" s="35" t="n">
        <v>0</v>
      </c>
      <c r="H1007" t="inlineStr">
        <is>
          <t>Denied</t>
        </is>
      </c>
      <c r="I1007" t="inlineStr">
        <is>
          <t>Coding Error</t>
        </is>
      </c>
    </row>
    <row r="1008">
      <c r="A1008" t="inlineStr">
        <is>
          <t>CLM520960</t>
        </is>
      </c>
      <c r="B1008" t="inlineStr">
        <is>
          <t>PT12890</t>
        </is>
      </c>
      <c r="C1008" t="inlineStr">
        <is>
          <t>PY03</t>
        </is>
      </c>
      <c r="D1008" s="30" t="n">
        <v>46003</v>
      </c>
      <c r="E1008" s="35" t="n">
        <v>22387.41</v>
      </c>
      <c r="F1008" s="35" t="n">
        <v>5108.31</v>
      </c>
      <c r="G1008" s="35" t="n">
        <v>0</v>
      </c>
      <c r="H1008" t="inlineStr">
        <is>
          <t>Pending</t>
        </is>
      </c>
    </row>
    <row r="1009">
      <c r="A1009" t="inlineStr">
        <is>
          <t>CLM520972</t>
        </is>
      </c>
      <c r="B1009" t="inlineStr">
        <is>
          <t>PT10721</t>
        </is>
      </c>
      <c r="C1009" t="inlineStr">
        <is>
          <t>PY01</t>
        </is>
      </c>
      <c r="D1009" s="30" t="n">
        <v>45999</v>
      </c>
      <c r="E1009" s="35" t="n">
        <v>7153.48</v>
      </c>
      <c r="F1009" s="35" t="n">
        <v>2150.83</v>
      </c>
      <c r="G1009" s="35" t="n">
        <v>1983.77</v>
      </c>
      <c r="H1009" t="inlineStr">
        <is>
          <t>Paid</t>
        </is>
      </c>
    </row>
    <row r="1010">
      <c r="A1010" t="inlineStr">
        <is>
          <t>CLM520979</t>
        </is>
      </c>
      <c r="B1010" t="inlineStr">
        <is>
          <t>PT11149</t>
        </is>
      </c>
      <c r="C1010" t="inlineStr">
        <is>
          <t>PY05</t>
        </is>
      </c>
      <c r="D1010" s="30" t="n">
        <v>46007</v>
      </c>
      <c r="E1010" s="35" t="n">
        <v>19712.53</v>
      </c>
      <c r="F1010" s="35" t="n">
        <v>9797.959999999999</v>
      </c>
      <c r="G1010" s="35" t="n">
        <v>0</v>
      </c>
      <c r="H1010" t="inlineStr">
        <is>
          <t>Pending</t>
        </is>
      </c>
    </row>
    <row r="1011">
      <c r="A1011" t="inlineStr">
        <is>
          <t>CLM520980</t>
        </is>
      </c>
      <c r="B1011" t="inlineStr">
        <is>
          <t>PT12770</t>
        </is>
      </c>
      <c r="C1011" t="inlineStr">
        <is>
          <t>PY04</t>
        </is>
      </c>
      <c r="D1011" s="30" t="n">
        <v>45998</v>
      </c>
      <c r="E1011" s="35" t="n">
        <v>951.78</v>
      </c>
      <c r="F1011" s="35" t="n">
        <v>439.79</v>
      </c>
      <c r="G1011" s="35" t="n">
        <v>0</v>
      </c>
      <c r="H1011" t="inlineStr">
        <is>
          <t>Pending</t>
        </is>
      </c>
    </row>
    <row r="1012">
      <c r="A1012" t="inlineStr">
        <is>
          <t>CLM520984</t>
        </is>
      </c>
      <c r="B1012" t="inlineStr">
        <is>
          <t>PT11122</t>
        </is>
      </c>
      <c r="C1012" t="inlineStr">
        <is>
          <t>PY06</t>
        </is>
      </c>
      <c r="D1012" s="30" t="n">
        <v>46004</v>
      </c>
      <c r="E1012" s="35" t="n">
        <v>83073.25999999999</v>
      </c>
      <c r="F1012" s="35" t="n">
        <v>47904.98</v>
      </c>
      <c r="G1012" s="35" t="n">
        <v>0</v>
      </c>
      <c r="H1012" t="inlineStr">
        <is>
          <t>Pending</t>
        </is>
      </c>
    </row>
    <row r="1013">
      <c r="A1013" t="inlineStr">
        <is>
          <t>CLM520987</t>
        </is>
      </c>
      <c r="B1013" t="inlineStr">
        <is>
          <t>PT13305</t>
        </is>
      </c>
      <c r="C1013" t="inlineStr">
        <is>
          <t>PY04</t>
        </is>
      </c>
      <c r="D1013" s="30" t="n">
        <v>45999</v>
      </c>
      <c r="E1013" s="35" t="n">
        <v>12214.16</v>
      </c>
      <c r="F1013" s="35" t="n">
        <v>6435.73</v>
      </c>
      <c r="G1013" s="35" t="n">
        <v>0</v>
      </c>
      <c r="H1013" t="inlineStr">
        <is>
          <t>Pending</t>
        </is>
      </c>
    </row>
    <row r="1014">
      <c r="A1014" t="inlineStr">
        <is>
          <t>CLM520988</t>
        </is>
      </c>
      <c r="B1014" t="inlineStr">
        <is>
          <t>PT10532</t>
        </is>
      </c>
      <c r="C1014" t="inlineStr">
        <is>
          <t>PY04</t>
        </is>
      </c>
      <c r="D1014" s="30" t="n">
        <v>45999</v>
      </c>
      <c r="E1014" s="35" t="n">
        <v>8042.91</v>
      </c>
      <c r="F1014" s="35" t="n">
        <v>4106.8</v>
      </c>
      <c r="G1014" s="35" t="n">
        <v>0</v>
      </c>
      <c r="H1014" t="inlineStr">
        <is>
          <t>Pending</t>
        </is>
      </c>
    </row>
    <row r="1015">
      <c r="A1015" t="inlineStr">
        <is>
          <t>CLM520989</t>
        </is>
      </c>
      <c r="B1015" t="inlineStr">
        <is>
          <t>PT12485</t>
        </is>
      </c>
      <c r="C1015" t="inlineStr">
        <is>
          <t>PY01</t>
        </is>
      </c>
      <c r="D1015" s="30" t="n">
        <v>45998</v>
      </c>
      <c r="E1015" s="35" t="n">
        <v>576.3</v>
      </c>
      <c r="F1015" s="35" t="n">
        <v>167.97</v>
      </c>
      <c r="G1015" s="35" t="n">
        <v>159.54</v>
      </c>
      <c r="H1015" t="inlineStr">
        <is>
          <t>Paid</t>
        </is>
      </c>
    </row>
    <row r="1016">
      <c r="A1016" t="inlineStr">
        <is>
          <t>CLM520990</t>
        </is>
      </c>
      <c r="B1016" t="inlineStr">
        <is>
          <t>PT10971</t>
        </is>
      </c>
      <c r="C1016" t="inlineStr">
        <is>
          <t>PY04</t>
        </is>
      </c>
      <c r="D1016" s="30" t="n">
        <v>45998</v>
      </c>
      <c r="E1016" s="35" t="n">
        <v>2348.9</v>
      </c>
      <c r="F1016" s="35" t="n">
        <v>1211.36</v>
      </c>
      <c r="G1016" s="35" t="n">
        <v>1133.16</v>
      </c>
      <c r="H1016" t="inlineStr">
        <is>
          <t>Paid</t>
        </is>
      </c>
    </row>
    <row r="1017">
      <c r="A1017" t="inlineStr">
        <is>
          <t>CLM520991</t>
        </is>
      </c>
      <c r="B1017" t="inlineStr">
        <is>
          <t>PT11968</t>
        </is>
      </c>
      <c r="C1017" t="inlineStr">
        <is>
          <t>PY03</t>
        </is>
      </c>
      <c r="D1017" s="30" t="n">
        <v>46001</v>
      </c>
      <c r="E1017" s="35" t="n">
        <v>14029.79</v>
      </c>
      <c r="F1017" s="35" t="n">
        <v>3630.15</v>
      </c>
      <c r="G1017" s="35" t="n">
        <v>0</v>
      </c>
      <c r="H1017" t="inlineStr">
        <is>
          <t>Pending</t>
        </is>
      </c>
    </row>
    <row r="1018">
      <c r="A1018" t="inlineStr">
        <is>
          <t>CLM520995</t>
        </is>
      </c>
      <c r="B1018" t="inlineStr">
        <is>
          <t>PT10299</t>
        </is>
      </c>
      <c r="C1018" t="inlineStr">
        <is>
          <t>PY06</t>
        </is>
      </c>
      <c r="D1018" s="30" t="n">
        <v>45999</v>
      </c>
      <c r="E1018" s="35" t="n">
        <v>4593.42</v>
      </c>
      <c r="F1018" s="35" t="n">
        <v>2298.25</v>
      </c>
      <c r="G1018" s="35" t="n">
        <v>2132.13</v>
      </c>
      <c r="H1018" t="inlineStr">
        <is>
          <t>Paid</t>
        </is>
      </c>
    </row>
    <row r="1019">
      <c r="A1019" t="inlineStr">
        <is>
          <t>CLM521011</t>
        </is>
      </c>
      <c r="B1019" t="inlineStr">
        <is>
          <t>PT12963</t>
        </is>
      </c>
      <c r="C1019" t="inlineStr">
        <is>
          <t>PY01</t>
        </is>
      </c>
      <c r="D1019" s="30" t="n">
        <v>45999</v>
      </c>
      <c r="E1019" s="35" t="n">
        <v>4474.8</v>
      </c>
      <c r="F1019" s="35" t="n">
        <v>1383.49</v>
      </c>
      <c r="G1019" s="35" t="n">
        <v>1281.24</v>
      </c>
      <c r="H1019" t="inlineStr">
        <is>
          <t>Paid</t>
        </is>
      </c>
    </row>
    <row r="1020">
      <c r="A1020" t="inlineStr">
        <is>
          <t>CLM521044</t>
        </is>
      </c>
      <c r="B1020" t="inlineStr">
        <is>
          <t>PT10815</t>
        </is>
      </c>
      <c r="C1020" t="inlineStr">
        <is>
          <t>PY01</t>
        </is>
      </c>
      <c r="D1020" s="30" t="n">
        <v>46007</v>
      </c>
      <c r="E1020" s="35" t="n">
        <v>35394.82</v>
      </c>
      <c r="F1020" s="35" t="n">
        <v>10782.96</v>
      </c>
      <c r="G1020" s="35" t="n">
        <v>0</v>
      </c>
      <c r="H1020" t="inlineStr">
        <is>
          <t>Pending</t>
        </is>
      </c>
    </row>
    <row r="1021">
      <c r="A1021" t="inlineStr">
        <is>
          <t>CLM521056</t>
        </is>
      </c>
      <c r="B1021" t="inlineStr">
        <is>
          <t>PT10886</t>
        </is>
      </c>
      <c r="C1021" t="inlineStr">
        <is>
          <t>PY02</t>
        </is>
      </c>
      <c r="D1021" s="30" t="n">
        <v>46000</v>
      </c>
      <c r="E1021" s="35" t="n">
        <v>4401.62</v>
      </c>
      <c r="F1021" s="35" t="n">
        <v>1469.98</v>
      </c>
      <c r="G1021" s="35" t="n">
        <v>0</v>
      </c>
      <c r="H1021" t="inlineStr">
        <is>
          <t>Pending</t>
        </is>
      </c>
    </row>
    <row r="1022">
      <c r="A1022" t="inlineStr">
        <is>
          <t>CLM521060</t>
        </is>
      </c>
      <c r="B1022" t="inlineStr">
        <is>
          <t>PT12454</t>
        </is>
      </c>
      <c r="C1022" t="inlineStr">
        <is>
          <t>PY02</t>
        </is>
      </c>
      <c r="D1022" s="30" t="n">
        <v>46001</v>
      </c>
      <c r="E1022" s="35" t="n">
        <v>25758.46</v>
      </c>
      <c r="F1022" s="35" t="n">
        <v>8234.18</v>
      </c>
      <c r="G1022" s="35" t="n">
        <v>0</v>
      </c>
      <c r="H1022" t="inlineStr">
        <is>
          <t>Pending</t>
        </is>
      </c>
    </row>
    <row r="1023">
      <c r="A1023" t="inlineStr">
        <is>
          <t>CLM521096</t>
        </is>
      </c>
      <c r="B1023" t="inlineStr">
        <is>
          <t>PT10177</t>
        </is>
      </c>
      <c r="C1023" t="inlineStr">
        <is>
          <t>PY02</t>
        </is>
      </c>
      <c r="D1023" s="30" t="n">
        <v>46007</v>
      </c>
      <c r="E1023" s="35" t="n">
        <v>61917.79</v>
      </c>
      <c r="F1023" s="35" t="n">
        <v>0</v>
      </c>
      <c r="G1023" s="35" t="n">
        <v>0</v>
      </c>
      <c r="H1023" t="inlineStr">
        <is>
          <t>Denied</t>
        </is>
      </c>
      <c r="I1023" t="inlineStr">
        <is>
          <t>Coding Error</t>
        </is>
      </c>
    </row>
    <row r="1024">
      <c r="A1024" t="inlineStr">
        <is>
          <t>CLM521097</t>
        </is>
      </c>
      <c r="B1024" t="inlineStr">
        <is>
          <t>PT11816</t>
        </is>
      </c>
      <c r="C1024" t="inlineStr">
        <is>
          <t>PY01</t>
        </is>
      </c>
      <c r="D1024" s="30" t="n">
        <v>46007</v>
      </c>
      <c r="E1024" s="35" t="n">
        <v>31927.49</v>
      </c>
      <c r="F1024" s="35" t="n">
        <v>10407.99</v>
      </c>
      <c r="G1024" s="35" t="n">
        <v>0</v>
      </c>
      <c r="H1024" t="inlineStr">
        <is>
          <t>Pending</t>
        </is>
      </c>
    </row>
    <row r="1025">
      <c r="A1025" t="inlineStr">
        <is>
          <t>CLM521101</t>
        </is>
      </c>
      <c r="B1025" t="inlineStr">
        <is>
          <t>PT13575</t>
        </is>
      </c>
      <c r="C1025" t="inlineStr">
        <is>
          <t>PY03</t>
        </is>
      </c>
      <c r="D1025" s="30" t="n">
        <v>46010</v>
      </c>
      <c r="E1025" s="35" t="n">
        <v>84630.88</v>
      </c>
      <c r="F1025" s="35" t="n">
        <v>21335.54</v>
      </c>
      <c r="G1025" s="35" t="n">
        <v>0</v>
      </c>
      <c r="H1025" t="inlineStr">
        <is>
          <t>Pending</t>
        </is>
      </c>
    </row>
    <row r="1026">
      <c r="A1026" t="inlineStr">
        <is>
          <t>CLM521127</t>
        </is>
      </c>
      <c r="B1026" t="inlineStr">
        <is>
          <t>PT13869</t>
        </is>
      </c>
      <c r="C1026" t="inlineStr">
        <is>
          <t>PY01</t>
        </is>
      </c>
      <c r="D1026" s="30" t="n">
        <v>46001</v>
      </c>
      <c r="E1026" s="35" t="n">
        <v>1699.65</v>
      </c>
      <c r="F1026" s="35" t="n">
        <v>547.71</v>
      </c>
      <c r="G1026" s="35" t="n">
        <v>475.65</v>
      </c>
      <c r="H1026" t="inlineStr">
        <is>
          <t>Paid</t>
        </is>
      </c>
    </row>
    <row r="1027">
      <c r="A1027" t="inlineStr">
        <is>
          <t>CLM521130</t>
        </is>
      </c>
      <c r="B1027" t="inlineStr">
        <is>
          <t>PT12024</t>
        </is>
      </c>
      <c r="C1027" t="inlineStr">
        <is>
          <t>PY01</t>
        </is>
      </c>
      <c r="D1027" s="30" t="n">
        <v>46002</v>
      </c>
      <c r="E1027" s="35" t="n">
        <v>8652.98</v>
      </c>
      <c r="F1027" s="35" t="n">
        <v>2620.49</v>
      </c>
      <c r="G1027" s="35" t="n">
        <v>2438.07</v>
      </c>
      <c r="H1027" t="inlineStr">
        <is>
          <t>Paid</t>
        </is>
      </c>
    </row>
    <row r="1028">
      <c r="A1028" t="inlineStr">
        <is>
          <t>CLM521142</t>
        </is>
      </c>
      <c r="B1028" t="inlineStr">
        <is>
          <t>PT13806</t>
        </is>
      </c>
      <c r="C1028" t="inlineStr">
        <is>
          <t>PY02</t>
        </is>
      </c>
      <c r="D1028" s="30" t="n">
        <v>46002</v>
      </c>
      <c r="E1028" s="35" t="n">
        <v>6454.28</v>
      </c>
      <c r="F1028" s="35" t="n">
        <v>2291.05</v>
      </c>
      <c r="G1028" s="35" t="n">
        <v>0</v>
      </c>
      <c r="H1028" t="inlineStr">
        <is>
          <t>Pending</t>
        </is>
      </c>
    </row>
    <row r="1029">
      <c r="A1029" t="inlineStr">
        <is>
          <t>CLM521176</t>
        </is>
      </c>
      <c r="B1029" t="inlineStr">
        <is>
          <t>PT11968</t>
        </is>
      </c>
      <c r="C1029" t="inlineStr">
        <is>
          <t>PY03</t>
        </is>
      </c>
      <c r="D1029" s="30" t="n">
        <v>46008</v>
      </c>
      <c r="E1029" s="35" t="n">
        <v>27429.55</v>
      </c>
      <c r="F1029" s="35" t="n">
        <v>6504.34</v>
      </c>
      <c r="G1029" s="35" t="n">
        <v>0</v>
      </c>
      <c r="H1029" t="inlineStr">
        <is>
          <t>Pending</t>
        </is>
      </c>
    </row>
    <row r="1030">
      <c r="A1030" t="inlineStr">
        <is>
          <t>CLM521190</t>
        </is>
      </c>
      <c r="B1030" t="inlineStr">
        <is>
          <t>PT10606</t>
        </is>
      </c>
      <c r="C1030" t="inlineStr">
        <is>
          <t>PY01</t>
        </is>
      </c>
      <c r="D1030" s="30" t="n">
        <v>46005</v>
      </c>
      <c r="E1030" s="35" t="n">
        <v>12983.44</v>
      </c>
      <c r="F1030" s="35" t="n">
        <v>3598.18</v>
      </c>
      <c r="G1030" s="35" t="n">
        <v>3405.76</v>
      </c>
      <c r="H1030" t="inlineStr">
        <is>
          <t>Paid</t>
        </is>
      </c>
    </row>
    <row r="1031">
      <c r="A1031" t="inlineStr">
        <is>
          <t>CLM521192</t>
        </is>
      </c>
      <c r="B1031" t="inlineStr">
        <is>
          <t>PT11034</t>
        </is>
      </c>
      <c r="C1031" t="inlineStr">
        <is>
          <t>PY04</t>
        </is>
      </c>
      <c r="D1031" s="30" t="n">
        <v>46007</v>
      </c>
      <c r="E1031" s="35" t="n">
        <v>22449.38</v>
      </c>
      <c r="F1031" s="35" t="n">
        <v>13327.01</v>
      </c>
      <c r="G1031" s="35" t="n">
        <v>0</v>
      </c>
      <c r="H1031" t="inlineStr">
        <is>
          <t>Pending</t>
        </is>
      </c>
    </row>
    <row r="1032">
      <c r="A1032" t="inlineStr">
        <is>
          <t>CLM521207</t>
        </is>
      </c>
      <c r="B1032" t="inlineStr">
        <is>
          <t>PT13330</t>
        </is>
      </c>
      <c r="C1032" t="inlineStr">
        <is>
          <t>PY01</t>
        </is>
      </c>
      <c r="D1032" s="30" t="n">
        <v>46003</v>
      </c>
      <c r="E1032" s="35" t="n">
        <v>1384.34</v>
      </c>
      <c r="F1032" s="35" t="n">
        <v>432.03</v>
      </c>
      <c r="G1032" s="35" t="n">
        <v>0</v>
      </c>
      <c r="H1032" t="inlineStr">
        <is>
          <t>Pending</t>
        </is>
      </c>
    </row>
    <row r="1033">
      <c r="A1033" t="inlineStr">
        <is>
          <t>CLM521208</t>
        </is>
      </c>
      <c r="B1033" t="inlineStr">
        <is>
          <t>PT11214</t>
        </is>
      </c>
      <c r="C1033" t="inlineStr">
        <is>
          <t>PY05</t>
        </is>
      </c>
      <c r="D1033" s="30" t="n">
        <v>46007</v>
      </c>
      <c r="E1033" s="35" t="n">
        <v>94173.35000000001</v>
      </c>
      <c r="F1033" s="35" t="n">
        <v>45427.01</v>
      </c>
      <c r="G1033" s="35" t="n">
        <v>0</v>
      </c>
      <c r="H1033" t="inlineStr">
        <is>
          <t>Pending</t>
        </is>
      </c>
    </row>
    <row r="1034">
      <c r="A1034" t="inlineStr">
        <is>
          <t>CLM521218</t>
        </is>
      </c>
      <c r="B1034" t="inlineStr">
        <is>
          <t>PT11115</t>
        </is>
      </c>
      <c r="C1034" t="inlineStr">
        <is>
          <t>PY02</t>
        </is>
      </c>
      <c r="D1034" s="30" t="n">
        <v>46008</v>
      </c>
      <c r="E1034" s="35" t="n">
        <v>20848.01</v>
      </c>
      <c r="F1034" s="35" t="n">
        <v>0</v>
      </c>
      <c r="G1034" s="35" t="n">
        <v>0</v>
      </c>
      <c r="H1034" t="inlineStr">
        <is>
          <t>Denied</t>
        </is>
      </c>
      <c r="I1034" t="inlineStr">
        <is>
          <t>Authorization Required</t>
        </is>
      </c>
    </row>
    <row r="1035">
      <c r="A1035" t="inlineStr">
        <is>
          <t>CLM521224</t>
        </is>
      </c>
      <c r="B1035" t="inlineStr">
        <is>
          <t>PT11548</t>
        </is>
      </c>
      <c r="C1035" t="inlineStr">
        <is>
          <t>PY05</t>
        </is>
      </c>
      <c r="D1035" s="30" t="n">
        <v>46004</v>
      </c>
      <c r="E1035" s="35" t="n">
        <v>3339.3</v>
      </c>
      <c r="F1035" s="35" t="n">
        <v>1458.12</v>
      </c>
      <c r="G1035" s="35" t="n">
        <v>0</v>
      </c>
      <c r="H1035" t="inlineStr">
        <is>
          <t>Pending</t>
        </is>
      </c>
    </row>
    <row r="1036">
      <c r="A1036" t="inlineStr">
        <is>
          <t>CLM521226</t>
        </is>
      </c>
      <c r="B1036" t="inlineStr">
        <is>
          <t>PT11518</t>
        </is>
      </c>
      <c r="C1036" t="inlineStr">
        <is>
          <t>PY04</t>
        </is>
      </c>
      <c r="D1036" s="30" t="n">
        <v>46004</v>
      </c>
      <c r="E1036" s="35" t="n">
        <v>5949.66</v>
      </c>
      <c r="F1036" s="35" t="n">
        <v>3475.1</v>
      </c>
      <c r="G1036" s="35" t="n">
        <v>0</v>
      </c>
      <c r="H1036" t="inlineStr">
        <is>
          <t>Pending</t>
        </is>
      </c>
    </row>
    <row r="1037">
      <c r="A1037" t="inlineStr">
        <is>
          <t>CLM521231</t>
        </is>
      </c>
      <c r="B1037" t="inlineStr">
        <is>
          <t>PT12426</t>
        </is>
      </c>
      <c r="C1037" t="inlineStr">
        <is>
          <t>PY01</t>
        </is>
      </c>
      <c r="D1037" s="30" t="n">
        <v>46004</v>
      </c>
      <c r="E1037" s="35" t="n">
        <v>1430.81</v>
      </c>
      <c r="F1037" s="35" t="n">
        <v>525.86</v>
      </c>
      <c r="G1037" s="35" t="n">
        <v>479.7</v>
      </c>
      <c r="H1037" t="inlineStr">
        <is>
          <t>Paid</t>
        </is>
      </c>
    </row>
    <row r="1038">
      <c r="A1038" t="inlineStr">
        <is>
          <t>CLM521241</t>
        </is>
      </c>
      <c r="B1038" t="inlineStr">
        <is>
          <t>PT13682</t>
        </is>
      </c>
      <c r="C1038" t="inlineStr">
        <is>
          <t>PY03</t>
        </is>
      </c>
      <c r="D1038" s="30" t="n">
        <v>46005</v>
      </c>
      <c r="E1038" s="35" t="n">
        <v>1945.4</v>
      </c>
      <c r="F1038" s="35" t="n">
        <v>488.71</v>
      </c>
      <c r="G1038" s="35" t="n">
        <v>0</v>
      </c>
      <c r="H1038" t="inlineStr">
        <is>
          <t>Pending</t>
        </is>
      </c>
    </row>
    <row r="1039">
      <c r="A1039" t="inlineStr">
        <is>
          <t>CLM521243</t>
        </is>
      </c>
      <c r="B1039" t="inlineStr">
        <is>
          <t>PT12544</t>
        </is>
      </c>
      <c r="C1039" t="inlineStr">
        <is>
          <t>PY03</t>
        </is>
      </c>
      <c r="D1039" s="30" t="n">
        <v>46005</v>
      </c>
      <c r="E1039" s="35" t="n">
        <v>3740.7</v>
      </c>
      <c r="F1039" s="35" t="n">
        <v>975.97</v>
      </c>
      <c r="G1039" s="35" t="n">
        <v>0</v>
      </c>
      <c r="H1039" t="inlineStr">
        <is>
          <t>Pending</t>
        </is>
      </c>
    </row>
    <row r="1040">
      <c r="A1040" t="inlineStr">
        <is>
          <t>CLM521258</t>
        </is>
      </c>
      <c r="B1040" t="inlineStr">
        <is>
          <t>PT11727</t>
        </is>
      </c>
      <c r="C1040" t="inlineStr">
        <is>
          <t>PY06</t>
        </is>
      </c>
      <c r="D1040" s="30" t="n">
        <v>46006</v>
      </c>
      <c r="E1040" s="35" t="n">
        <v>9020.440000000001</v>
      </c>
      <c r="F1040" s="35" t="n">
        <v>5342.02</v>
      </c>
      <c r="G1040" s="35" t="n">
        <v>0</v>
      </c>
      <c r="H1040" t="inlineStr">
        <is>
          <t>Pending</t>
        </is>
      </c>
    </row>
    <row r="1041">
      <c r="A1041" t="inlineStr">
        <is>
          <t>CLM521267</t>
        </is>
      </c>
      <c r="B1041" t="inlineStr">
        <is>
          <t>PT13158</t>
        </is>
      </c>
      <c r="C1041" t="inlineStr">
        <is>
          <t>PY07</t>
        </is>
      </c>
      <c r="D1041" s="30" t="n">
        <v>46006</v>
      </c>
      <c r="E1041" s="35" t="n">
        <v>722.3</v>
      </c>
      <c r="F1041" s="35" t="n">
        <v>263.4</v>
      </c>
      <c r="G1041" s="35" t="n">
        <v>0</v>
      </c>
      <c r="H1041" t="inlineStr">
        <is>
          <t>Pending</t>
        </is>
      </c>
    </row>
    <row r="1042">
      <c r="A1042" t="inlineStr">
        <is>
          <t>CLM521272</t>
        </is>
      </c>
      <c r="B1042" t="inlineStr">
        <is>
          <t>PT10495</t>
        </is>
      </c>
      <c r="C1042" t="inlineStr">
        <is>
          <t>PY01</t>
        </is>
      </c>
      <c r="D1042" s="30" t="n">
        <v>46006</v>
      </c>
      <c r="E1042" s="35" t="n">
        <v>2102.1</v>
      </c>
      <c r="F1042" s="35" t="n">
        <v>634.84</v>
      </c>
      <c r="G1042" s="35" t="n">
        <v>0</v>
      </c>
      <c r="H1042" t="inlineStr">
        <is>
          <t>Pending</t>
        </is>
      </c>
    </row>
    <row r="1043">
      <c r="A1043" t="inlineStr">
        <is>
          <t>CLM521287</t>
        </is>
      </c>
      <c r="B1043" t="inlineStr">
        <is>
          <t>PT11937</t>
        </is>
      </c>
      <c r="C1043" t="inlineStr">
        <is>
          <t>PY07</t>
        </is>
      </c>
      <c r="D1043" s="30" t="n">
        <v>46010</v>
      </c>
      <c r="E1043" s="35" t="n">
        <v>35873.97</v>
      </c>
      <c r="F1043" s="35" t="n">
        <v>14550.79</v>
      </c>
      <c r="G1043" s="35" t="n">
        <v>0</v>
      </c>
      <c r="H1043" t="inlineStr">
        <is>
          <t>Pending</t>
        </is>
      </c>
    </row>
    <row r="1044">
      <c r="A1044" t="inlineStr">
        <is>
          <t>CLM521289</t>
        </is>
      </c>
      <c r="B1044" t="inlineStr">
        <is>
          <t>PT12893</t>
        </is>
      </c>
      <c r="C1044" t="inlineStr">
        <is>
          <t>PY04</t>
        </is>
      </c>
      <c r="D1044" s="30" t="n">
        <v>46006</v>
      </c>
      <c r="E1044" s="35" t="n">
        <v>1384.69</v>
      </c>
      <c r="F1044" s="35" t="n">
        <v>708.8099999999999</v>
      </c>
      <c r="G1044" s="35" t="n">
        <v>0</v>
      </c>
      <c r="H1044" t="inlineStr">
        <is>
          <t>Pending</t>
        </is>
      </c>
    </row>
    <row r="1045">
      <c r="A1045" t="inlineStr">
        <is>
          <t>CLM521294</t>
        </is>
      </c>
      <c r="B1045" t="inlineStr">
        <is>
          <t>PT11101</t>
        </is>
      </c>
      <c r="C1045" t="inlineStr">
        <is>
          <t>PY01</t>
        </is>
      </c>
      <c r="D1045" s="30" t="n">
        <v>46008</v>
      </c>
      <c r="E1045" s="35" t="n">
        <v>8676.209999999999</v>
      </c>
      <c r="F1045" s="35" t="n">
        <v>2677.53</v>
      </c>
      <c r="G1045" s="35" t="n">
        <v>0</v>
      </c>
      <c r="H1045" t="inlineStr">
        <is>
          <t>Pending</t>
        </is>
      </c>
    </row>
    <row r="1046">
      <c r="A1046" t="inlineStr">
        <is>
          <t>CLM521334</t>
        </is>
      </c>
      <c r="B1046" t="inlineStr">
        <is>
          <t>PT12159</t>
        </is>
      </c>
      <c r="C1046" t="inlineStr">
        <is>
          <t>PY05</t>
        </is>
      </c>
      <c r="D1046" s="30" t="n">
        <v>46011</v>
      </c>
      <c r="E1046" s="35" t="n">
        <v>19715.09</v>
      </c>
      <c r="F1046" s="35" t="n">
        <v>9428.370000000001</v>
      </c>
      <c r="G1046" s="35" t="n">
        <v>0</v>
      </c>
      <c r="H1046" t="inlineStr">
        <is>
          <t>Pending</t>
        </is>
      </c>
    </row>
    <row r="1047">
      <c r="A1047" t="inlineStr">
        <is>
          <t>CLM521335</t>
        </is>
      </c>
      <c r="B1047" t="inlineStr">
        <is>
          <t>PT11977</t>
        </is>
      </c>
      <c r="C1047" t="inlineStr">
        <is>
          <t>PY04</t>
        </is>
      </c>
      <c r="D1047" s="30" t="n">
        <v>46009</v>
      </c>
      <c r="E1047" s="35" t="n">
        <v>11799.13</v>
      </c>
      <c r="F1047" s="35" t="n">
        <v>6574.42</v>
      </c>
      <c r="G1047" s="35" t="n">
        <v>0</v>
      </c>
      <c r="H1047" t="inlineStr">
        <is>
          <t>Pending</t>
        </is>
      </c>
    </row>
    <row r="1048">
      <c r="A1048" t="inlineStr">
        <is>
          <t>CLM521337</t>
        </is>
      </c>
      <c r="B1048" t="inlineStr">
        <is>
          <t>PT12983</t>
        </is>
      </c>
      <c r="C1048" t="inlineStr">
        <is>
          <t>PY01</t>
        </is>
      </c>
      <c r="D1048" s="30" t="n">
        <v>46007</v>
      </c>
      <c r="E1048" s="35" t="n">
        <v>1230.52</v>
      </c>
      <c r="F1048" s="35" t="n">
        <v>411.72</v>
      </c>
      <c r="G1048" s="35" t="n">
        <v>0</v>
      </c>
      <c r="H1048" t="inlineStr">
        <is>
          <t>Pending</t>
        </is>
      </c>
    </row>
    <row r="1049">
      <c r="A1049" t="inlineStr">
        <is>
          <t>CLM521339</t>
        </is>
      </c>
      <c r="B1049" t="inlineStr">
        <is>
          <t>PT10337</t>
        </is>
      </c>
      <c r="C1049" t="inlineStr">
        <is>
          <t>PY03</t>
        </is>
      </c>
      <c r="D1049" s="30" t="n">
        <v>46008</v>
      </c>
      <c r="E1049" s="35" t="n">
        <v>7322.07</v>
      </c>
      <c r="F1049" s="35" t="n">
        <v>1834.34</v>
      </c>
      <c r="G1049" s="35" t="n">
        <v>0</v>
      </c>
      <c r="H1049" t="inlineStr">
        <is>
          <t>Pending</t>
        </is>
      </c>
    </row>
    <row r="1050">
      <c r="A1050" t="inlineStr">
        <is>
          <t>CLM521373</t>
        </is>
      </c>
      <c r="B1050" t="inlineStr">
        <is>
          <t>PT12026</t>
        </is>
      </c>
      <c r="C1050" t="inlineStr">
        <is>
          <t>PY02</t>
        </is>
      </c>
      <c r="D1050" s="30" t="n">
        <v>46009</v>
      </c>
      <c r="E1050" s="35" t="n">
        <v>5616.68</v>
      </c>
      <c r="F1050" s="35" t="n">
        <v>1800.23</v>
      </c>
      <c r="G1050" s="35" t="n">
        <v>0</v>
      </c>
      <c r="H1050" t="inlineStr">
        <is>
          <t>Pending</t>
        </is>
      </c>
    </row>
    <row r="1051">
      <c r="A1051" t="inlineStr">
        <is>
          <t>CLM521385</t>
        </is>
      </c>
      <c r="B1051" t="inlineStr">
        <is>
          <t>PT12210</t>
        </is>
      </c>
      <c r="C1051" t="inlineStr">
        <is>
          <t>PY05</t>
        </is>
      </c>
      <c r="D1051" s="30" t="n">
        <v>46009</v>
      </c>
      <c r="E1051" s="35" t="n">
        <v>7249.25</v>
      </c>
      <c r="F1051" s="35" t="n">
        <v>3100.24</v>
      </c>
      <c r="G1051" s="35" t="n">
        <v>0</v>
      </c>
      <c r="H1051" t="inlineStr">
        <is>
          <t>Pending</t>
        </is>
      </c>
    </row>
    <row r="1052">
      <c r="A1052" t="inlineStr">
        <is>
          <t>CLM521387</t>
        </is>
      </c>
      <c r="B1052" t="inlineStr">
        <is>
          <t>PT12851</t>
        </is>
      </c>
      <c r="C1052" t="inlineStr">
        <is>
          <t>PY01</t>
        </is>
      </c>
      <c r="D1052" s="30" t="n">
        <v>46009</v>
      </c>
      <c r="E1052" s="35" t="n">
        <v>2424.82</v>
      </c>
      <c r="F1052" s="35" t="n">
        <v>854.91</v>
      </c>
      <c r="G1052" s="35" t="n">
        <v>0</v>
      </c>
      <c r="H1052" t="inlineStr">
        <is>
          <t>Pending</t>
        </is>
      </c>
    </row>
    <row r="1053">
      <c r="A1053" t="inlineStr">
        <is>
          <t>CLM521432</t>
        </is>
      </c>
      <c r="B1053" t="inlineStr">
        <is>
          <t>PT13940</t>
        </is>
      </c>
      <c r="C1053" t="inlineStr">
        <is>
          <t>PY05</t>
        </is>
      </c>
      <c r="D1053" s="30" t="n">
        <v>46010</v>
      </c>
      <c r="E1053" s="35" t="n">
        <v>1853.25</v>
      </c>
      <c r="F1053" s="35" t="n">
        <v>876.4299999999999</v>
      </c>
      <c r="G1053" s="35" t="n">
        <v>0</v>
      </c>
      <c r="H1053" t="inlineStr">
        <is>
          <t>Pending</t>
        </is>
      </c>
    </row>
    <row r="1054">
      <c r="A1054" t="inlineStr">
        <is>
          <t>CLM521434</t>
        </is>
      </c>
      <c r="B1054" t="inlineStr">
        <is>
          <t>PT12829</t>
        </is>
      </c>
      <c r="C1054" t="inlineStr">
        <is>
          <t>PY07</t>
        </is>
      </c>
      <c r="D1054" s="30" t="n">
        <v>46010</v>
      </c>
      <c r="E1054" s="35" t="n">
        <v>1626.9</v>
      </c>
      <c r="F1054" s="35" t="n">
        <v>645.6900000000001</v>
      </c>
      <c r="G1054" s="35" t="n">
        <v>0</v>
      </c>
      <c r="H1054" t="inlineStr">
        <is>
          <t>Pending</t>
        </is>
      </c>
    </row>
    <row r="1055">
      <c r="A1055" t="inlineStr">
        <is>
          <t>CLM521461</t>
        </is>
      </c>
      <c r="B1055" t="inlineStr">
        <is>
          <t>PT12325</t>
        </is>
      </c>
      <c r="C1055" t="inlineStr">
        <is>
          <t>PY04</t>
        </is>
      </c>
      <c r="D1055" s="30" t="n">
        <v>46018</v>
      </c>
      <c r="E1055" s="35" t="n">
        <v>73370.84</v>
      </c>
      <c r="F1055" s="35" t="n">
        <v>37010.25</v>
      </c>
      <c r="G1055" s="35" t="n">
        <v>0</v>
      </c>
      <c r="H1055" t="inlineStr">
        <is>
          <t>Pending</t>
        </is>
      </c>
    </row>
    <row r="1056">
      <c r="A1056" t="inlineStr">
        <is>
          <t>CLM521462</t>
        </is>
      </c>
      <c r="B1056" t="inlineStr">
        <is>
          <t>PT10384</t>
        </is>
      </c>
      <c r="C1056" t="inlineStr">
        <is>
          <t>PY03</t>
        </is>
      </c>
      <c r="D1056" s="30" t="n">
        <v>46010</v>
      </c>
      <c r="E1056" s="35" t="n">
        <v>1267.02</v>
      </c>
      <c r="F1056" s="35" t="n">
        <v>318.93</v>
      </c>
      <c r="G1056" s="35" t="n">
        <v>0</v>
      </c>
      <c r="H1056" t="inlineStr">
        <is>
          <t>Pending</t>
        </is>
      </c>
    </row>
    <row r="1057">
      <c r="A1057" t="inlineStr">
        <is>
          <t>CLM521463</t>
        </is>
      </c>
      <c r="B1057" t="inlineStr">
        <is>
          <t>PT11496</t>
        </is>
      </c>
      <c r="C1057" t="inlineStr">
        <is>
          <t>PY01</t>
        </is>
      </c>
      <c r="D1057" s="30" t="n">
        <v>46011</v>
      </c>
      <c r="E1057" s="35" t="n">
        <v>8469.129999999999</v>
      </c>
      <c r="F1057" s="35" t="n">
        <v>2836.13</v>
      </c>
      <c r="G1057" s="35" t="n">
        <v>0</v>
      </c>
      <c r="H1057" t="inlineStr">
        <is>
          <t>Pending</t>
        </is>
      </c>
    </row>
    <row r="1058">
      <c r="A1058" t="inlineStr">
        <is>
          <t>CLM521464</t>
        </is>
      </c>
      <c r="B1058" t="inlineStr">
        <is>
          <t>PT13473</t>
        </is>
      </c>
      <c r="C1058" t="inlineStr">
        <is>
          <t>PY05</t>
        </is>
      </c>
      <c r="D1058" s="30" t="n">
        <v>46011</v>
      </c>
      <c r="E1058" s="35" t="n">
        <v>3710.87</v>
      </c>
      <c r="F1058" s="35" t="n">
        <v>1532.49</v>
      </c>
      <c r="G1058" s="35" t="n">
        <v>0</v>
      </c>
      <c r="H1058" t="inlineStr">
        <is>
          <t>Pending</t>
        </is>
      </c>
    </row>
    <row r="1059">
      <c r="A1059" t="inlineStr">
        <is>
          <t>CLM521469</t>
        </is>
      </c>
      <c r="B1059" t="inlineStr">
        <is>
          <t>PT10052</t>
        </is>
      </c>
      <c r="C1059" t="inlineStr">
        <is>
          <t>PY04</t>
        </is>
      </c>
      <c r="D1059" s="30" t="n">
        <v>46011</v>
      </c>
      <c r="E1059" s="35" t="n">
        <v>6037.18</v>
      </c>
      <c r="F1059" s="35" t="n">
        <v>3521.08</v>
      </c>
      <c r="G1059" s="35" t="n">
        <v>0</v>
      </c>
      <c r="H1059" t="inlineStr">
        <is>
          <t>Pending</t>
        </is>
      </c>
    </row>
    <row r="1060">
      <c r="A1060" t="inlineStr">
        <is>
          <t>CLM521473</t>
        </is>
      </c>
      <c r="B1060" t="inlineStr">
        <is>
          <t>PT10786</t>
        </is>
      </c>
      <c r="C1060" t="inlineStr">
        <is>
          <t>PY07</t>
        </is>
      </c>
      <c r="D1060" s="30" t="n">
        <v>46013</v>
      </c>
      <c r="E1060" s="35" t="n">
        <v>9131.07</v>
      </c>
      <c r="F1060" s="35" t="n">
        <v>3622.87</v>
      </c>
      <c r="G1060" s="35" t="n">
        <v>0</v>
      </c>
      <c r="H1060" t="inlineStr">
        <is>
          <t>Pending</t>
        </is>
      </c>
    </row>
    <row r="1061">
      <c r="A1061" t="inlineStr">
        <is>
          <t>CLM521489</t>
        </is>
      </c>
      <c r="B1061" t="inlineStr">
        <is>
          <t>PT12945</t>
        </is>
      </c>
      <c r="C1061" t="inlineStr">
        <is>
          <t>PY03</t>
        </is>
      </c>
      <c r="D1061" s="30" t="n">
        <v>46020</v>
      </c>
      <c r="E1061" s="35" t="n">
        <v>35772.47</v>
      </c>
      <c r="F1061" s="35" t="n">
        <v>9102.34</v>
      </c>
      <c r="G1061" s="35" t="n">
        <v>0</v>
      </c>
      <c r="H1061" t="inlineStr">
        <is>
          <t>Pending</t>
        </is>
      </c>
    </row>
    <row r="1062">
      <c r="A1062" t="inlineStr">
        <is>
          <t>CLM521491</t>
        </is>
      </c>
      <c r="B1062" t="inlineStr">
        <is>
          <t>PT12649</t>
        </is>
      </c>
      <c r="C1062" t="inlineStr">
        <is>
          <t>PY06</t>
        </is>
      </c>
      <c r="D1062" s="30" t="n">
        <v>46012</v>
      </c>
      <c r="E1062" s="35" t="n">
        <v>1343.62</v>
      </c>
      <c r="F1062" s="35" t="n">
        <v>825.4</v>
      </c>
      <c r="G1062" s="35" t="n">
        <v>0</v>
      </c>
      <c r="H1062" t="inlineStr">
        <is>
          <t>Pending</t>
        </is>
      </c>
    </row>
    <row r="1063">
      <c r="A1063" t="inlineStr">
        <is>
          <t>CLM521493</t>
        </is>
      </c>
      <c r="B1063" t="inlineStr">
        <is>
          <t>PT12464</t>
        </is>
      </c>
      <c r="C1063" t="inlineStr">
        <is>
          <t>PY07</t>
        </is>
      </c>
      <c r="D1063" s="30" t="n">
        <v>46016</v>
      </c>
      <c r="E1063" s="35" t="n">
        <v>20372.3</v>
      </c>
      <c r="F1063" s="35" t="n">
        <v>7984.28</v>
      </c>
      <c r="G1063" s="35" t="n">
        <v>0</v>
      </c>
      <c r="H1063" t="inlineStr">
        <is>
          <t>Pending</t>
        </is>
      </c>
    </row>
    <row r="1064">
      <c r="A1064" t="inlineStr">
        <is>
          <t>CLM521496</t>
        </is>
      </c>
      <c r="B1064" t="inlineStr">
        <is>
          <t>PT10032</t>
        </is>
      </c>
      <c r="C1064" t="inlineStr">
        <is>
          <t>PY03</t>
        </is>
      </c>
      <c r="D1064" s="30" t="n">
        <v>46012</v>
      </c>
      <c r="E1064" s="35" t="n">
        <v>1681.93</v>
      </c>
      <c r="F1064" s="35" t="n">
        <v>456.22</v>
      </c>
      <c r="G1064" s="35" t="n">
        <v>0</v>
      </c>
      <c r="H1064" t="inlineStr">
        <is>
          <t>Pending</t>
        </is>
      </c>
    </row>
    <row r="1065">
      <c r="A1065" t="inlineStr">
        <is>
          <t>CLM521509</t>
        </is>
      </c>
      <c r="B1065" t="inlineStr">
        <is>
          <t>PT11542</t>
        </is>
      </c>
      <c r="C1065" t="inlineStr">
        <is>
          <t>PY02</t>
        </is>
      </c>
      <c r="D1065" s="30" t="n">
        <v>46013</v>
      </c>
      <c r="E1065" s="35" t="n">
        <v>1775.83</v>
      </c>
      <c r="F1065" s="35" t="n">
        <v>571.84</v>
      </c>
      <c r="G1065" s="35" t="n">
        <v>0</v>
      </c>
      <c r="H1065" t="inlineStr">
        <is>
          <t>Pending</t>
        </is>
      </c>
    </row>
    <row r="1066">
      <c r="A1066" t="inlineStr">
        <is>
          <t>CLM521526</t>
        </is>
      </c>
      <c r="B1066" t="inlineStr">
        <is>
          <t>PT11720</t>
        </is>
      </c>
      <c r="C1066" t="inlineStr">
        <is>
          <t>PY05</t>
        </is>
      </c>
      <c r="D1066" s="30" t="n">
        <v>46018</v>
      </c>
      <c r="E1066" s="35" t="n">
        <v>60033.52</v>
      </c>
      <c r="F1066" s="35" t="n">
        <v>27898.08</v>
      </c>
      <c r="G1066" s="35" t="n">
        <v>0</v>
      </c>
      <c r="H1066" t="inlineStr">
        <is>
          <t>Pending</t>
        </is>
      </c>
    </row>
    <row r="1067">
      <c r="A1067" t="inlineStr">
        <is>
          <t>CLM521549</t>
        </is>
      </c>
      <c r="B1067" t="inlineStr">
        <is>
          <t>PT13280</t>
        </is>
      </c>
      <c r="C1067" t="inlineStr">
        <is>
          <t>PY06</t>
        </is>
      </c>
      <c r="D1067" s="30" t="n">
        <v>46016</v>
      </c>
      <c r="E1067" s="35" t="n">
        <v>38016.04</v>
      </c>
      <c r="F1067" s="35" t="n">
        <v>22395.05</v>
      </c>
      <c r="G1067" s="35" t="n">
        <v>0</v>
      </c>
      <c r="H1067" t="inlineStr">
        <is>
          <t>Pending</t>
        </is>
      </c>
    </row>
    <row r="1068">
      <c r="A1068" t="inlineStr">
        <is>
          <t>CLM521552</t>
        </is>
      </c>
      <c r="B1068" t="inlineStr">
        <is>
          <t>PT12274</t>
        </is>
      </c>
      <c r="C1068" t="inlineStr">
        <is>
          <t>PY03</t>
        </is>
      </c>
      <c r="D1068" s="30" t="n">
        <v>46013</v>
      </c>
      <c r="E1068" s="35" t="n">
        <v>3292.12</v>
      </c>
      <c r="F1068" s="35" t="n">
        <v>0</v>
      </c>
      <c r="G1068" s="35" t="n">
        <v>0</v>
      </c>
      <c r="H1068" t="inlineStr">
        <is>
          <t>Denied</t>
        </is>
      </c>
      <c r="I1068" t="inlineStr">
        <is>
          <t>Eligibility / Coverage</t>
        </is>
      </c>
    </row>
    <row r="1069">
      <c r="A1069" t="inlineStr">
        <is>
          <t>CLM521553</t>
        </is>
      </c>
      <c r="B1069" t="inlineStr">
        <is>
          <t>PT12732</t>
        </is>
      </c>
      <c r="C1069" t="inlineStr">
        <is>
          <t>PY02</t>
        </is>
      </c>
      <c r="D1069" s="30" t="n">
        <v>46013</v>
      </c>
      <c r="E1069" s="35" t="n">
        <v>8593.17</v>
      </c>
      <c r="F1069" s="35" t="n">
        <v>2796.96</v>
      </c>
      <c r="G1069" s="35" t="n">
        <v>0</v>
      </c>
      <c r="H1069" t="inlineStr">
        <is>
          <t>Pending</t>
        </is>
      </c>
    </row>
    <row r="1070">
      <c r="A1070" t="inlineStr">
        <is>
          <t>CLM521603</t>
        </is>
      </c>
      <c r="B1070" t="inlineStr">
        <is>
          <t>PT12635</t>
        </is>
      </c>
      <c r="C1070" t="inlineStr">
        <is>
          <t>PY03</t>
        </is>
      </c>
      <c r="D1070" s="30" t="n">
        <v>46015</v>
      </c>
      <c r="E1070" s="35" t="n">
        <v>1236.46</v>
      </c>
      <c r="F1070" s="35" t="n">
        <v>278.63</v>
      </c>
      <c r="G1070" s="35" t="n">
        <v>0</v>
      </c>
      <c r="H1070" t="inlineStr">
        <is>
          <t>Pending</t>
        </is>
      </c>
    </row>
    <row r="1071">
      <c r="A1071" t="inlineStr">
        <is>
          <t>CLM521606</t>
        </is>
      </c>
      <c r="B1071" t="inlineStr">
        <is>
          <t>PT12399</t>
        </is>
      </c>
      <c r="C1071" t="inlineStr">
        <is>
          <t>PY02</t>
        </is>
      </c>
      <c r="D1071" s="30" t="n">
        <v>46016</v>
      </c>
      <c r="E1071" s="35" t="n">
        <v>7703.45</v>
      </c>
      <c r="F1071" s="35" t="n">
        <v>0</v>
      </c>
      <c r="G1071" s="35" t="n">
        <v>0</v>
      </c>
      <c r="H1071" t="inlineStr">
        <is>
          <t>Denied</t>
        </is>
      </c>
      <c r="I1071" t="inlineStr">
        <is>
          <t>Missing Documentation</t>
        </is>
      </c>
    </row>
    <row r="1072">
      <c r="A1072" t="inlineStr">
        <is>
          <t>CLM521625</t>
        </is>
      </c>
      <c r="B1072" t="inlineStr">
        <is>
          <t>PT11240</t>
        </is>
      </c>
      <c r="C1072" t="inlineStr">
        <is>
          <t>PY05</t>
        </is>
      </c>
      <c r="D1072" s="30" t="n">
        <v>46021</v>
      </c>
      <c r="E1072" s="35" t="n">
        <v>18798.72</v>
      </c>
      <c r="F1072" s="35" t="n">
        <v>9050.33</v>
      </c>
      <c r="G1072" s="35" t="n">
        <v>0</v>
      </c>
      <c r="H1072" t="inlineStr">
        <is>
          <t>Pending</t>
        </is>
      </c>
    </row>
    <row r="1073">
      <c r="A1073" t="inlineStr">
        <is>
          <t>CLM521641</t>
        </is>
      </c>
      <c r="B1073" t="inlineStr">
        <is>
          <t>PT11717</t>
        </is>
      </c>
      <c r="C1073" t="inlineStr">
        <is>
          <t>PY03</t>
        </is>
      </c>
      <c r="D1073" s="30" t="n">
        <v>46016</v>
      </c>
      <c r="E1073" s="35" t="n">
        <v>11015.45</v>
      </c>
      <c r="F1073" s="35" t="n">
        <v>0</v>
      </c>
      <c r="G1073" s="35" t="n">
        <v>0</v>
      </c>
      <c r="H1073" t="inlineStr">
        <is>
          <t>Denied</t>
        </is>
      </c>
      <c r="I1073" t="inlineStr">
        <is>
          <t>Authorization Required</t>
        </is>
      </c>
    </row>
    <row r="1074">
      <c r="A1074" t="inlineStr">
        <is>
          <t>CLM521643</t>
        </is>
      </c>
      <c r="B1074" t="inlineStr">
        <is>
          <t>PT10384</t>
        </is>
      </c>
      <c r="C1074" t="inlineStr">
        <is>
          <t>PY03</t>
        </is>
      </c>
      <c r="D1074" s="30" t="n">
        <v>46017</v>
      </c>
      <c r="E1074" s="35" t="n">
        <v>9991.26</v>
      </c>
      <c r="F1074" s="35" t="n">
        <v>2400.97</v>
      </c>
      <c r="G1074" s="35" t="n">
        <v>0</v>
      </c>
      <c r="H1074" t="inlineStr">
        <is>
          <t>Pending</t>
        </is>
      </c>
    </row>
    <row r="1075">
      <c r="A1075" t="inlineStr">
        <is>
          <t>CLM521644</t>
        </is>
      </c>
      <c r="B1075" t="inlineStr">
        <is>
          <t>PT10611</t>
        </is>
      </c>
      <c r="C1075" t="inlineStr">
        <is>
          <t>PY03</t>
        </is>
      </c>
      <c r="D1075" s="30" t="n">
        <v>46021</v>
      </c>
      <c r="E1075" s="35" t="n">
        <v>26817.21</v>
      </c>
      <c r="F1075" s="35" t="n">
        <v>6669.9</v>
      </c>
      <c r="G1075" s="35" t="n">
        <v>0</v>
      </c>
      <c r="H1075" t="inlineStr">
        <is>
          <t>Pending</t>
        </is>
      </c>
    </row>
    <row r="1076">
      <c r="A1076" t="inlineStr">
        <is>
          <t>CLM521646</t>
        </is>
      </c>
      <c r="B1076" t="inlineStr">
        <is>
          <t>PT12362</t>
        </is>
      </c>
      <c r="C1076" t="inlineStr">
        <is>
          <t>PY03</t>
        </is>
      </c>
      <c r="D1076" s="30" t="n">
        <v>46016</v>
      </c>
      <c r="E1076" s="35" t="n">
        <v>678.21</v>
      </c>
      <c r="F1076" s="35" t="n">
        <v>150.79</v>
      </c>
      <c r="G1076" s="35" t="n">
        <v>0</v>
      </c>
      <c r="H1076" t="inlineStr">
        <is>
          <t>Pending</t>
        </is>
      </c>
    </row>
    <row r="1077">
      <c r="A1077" t="inlineStr">
        <is>
          <t>CLM521665</t>
        </is>
      </c>
      <c r="B1077" t="inlineStr">
        <is>
          <t>PT10786</t>
        </is>
      </c>
      <c r="C1077" t="inlineStr">
        <is>
          <t>PY07</t>
        </is>
      </c>
      <c r="D1077" s="30" t="n">
        <v>46016</v>
      </c>
      <c r="E1077" s="35" t="n">
        <v>1466.45</v>
      </c>
      <c r="F1077" s="35" t="n">
        <v>573.74</v>
      </c>
      <c r="G1077" s="35" t="n">
        <v>0</v>
      </c>
      <c r="H1077" t="inlineStr">
        <is>
          <t>Pending</t>
        </is>
      </c>
    </row>
    <row r="1078">
      <c r="A1078" t="inlineStr">
        <is>
          <t>CLM521676</t>
        </is>
      </c>
      <c r="B1078" t="inlineStr">
        <is>
          <t>PT12586</t>
        </is>
      </c>
      <c r="C1078" t="inlineStr">
        <is>
          <t>PY06</t>
        </is>
      </c>
      <c r="D1078" s="30" t="n">
        <v>46018</v>
      </c>
      <c r="E1078" s="35" t="n">
        <v>11572.62</v>
      </c>
      <c r="F1078" s="35" t="n">
        <v>5995.25</v>
      </c>
      <c r="G1078" s="35" t="n">
        <v>0</v>
      </c>
      <c r="H1078" t="inlineStr">
        <is>
          <t>Pending</t>
        </is>
      </c>
    </row>
    <row r="1079">
      <c r="A1079" t="inlineStr">
        <is>
          <t>CLM521677</t>
        </is>
      </c>
      <c r="B1079" t="inlineStr">
        <is>
          <t>PT11068</t>
        </is>
      </c>
      <c r="C1079" t="inlineStr">
        <is>
          <t>PY04</t>
        </is>
      </c>
      <c r="D1079" s="30" t="n">
        <v>46016</v>
      </c>
      <c r="E1079" s="35" t="n">
        <v>526.21</v>
      </c>
      <c r="F1079" s="35" t="n">
        <v>256.47</v>
      </c>
      <c r="G1079" s="35" t="n">
        <v>0</v>
      </c>
      <c r="H1079" t="inlineStr">
        <is>
          <t>Pending</t>
        </is>
      </c>
    </row>
    <row r="1080">
      <c r="A1080" t="inlineStr">
        <is>
          <t>CLM521681</t>
        </is>
      </c>
      <c r="B1080" t="inlineStr">
        <is>
          <t>PT11246</t>
        </is>
      </c>
      <c r="C1080" t="inlineStr">
        <is>
          <t>PY05</t>
        </is>
      </c>
      <c r="D1080" s="30" t="n">
        <v>46018</v>
      </c>
      <c r="E1080" s="35" t="n">
        <v>6856.53</v>
      </c>
      <c r="F1080" s="35" t="n">
        <v>0</v>
      </c>
      <c r="G1080" s="35" t="n">
        <v>0</v>
      </c>
      <c r="H1080" t="inlineStr">
        <is>
          <t>Denied</t>
        </is>
      </c>
      <c r="I1080" t="inlineStr">
        <is>
          <t>Eligibility / Coverage</t>
        </is>
      </c>
    </row>
    <row r="1081">
      <c r="A1081" t="inlineStr">
        <is>
          <t>CLM521693</t>
        </is>
      </c>
      <c r="B1081" t="inlineStr">
        <is>
          <t>PT12860</t>
        </is>
      </c>
      <c r="C1081" t="inlineStr">
        <is>
          <t>PY07</t>
        </is>
      </c>
      <c r="D1081" s="30" t="n">
        <v>46020</v>
      </c>
      <c r="E1081" s="35" t="n">
        <v>27034.35</v>
      </c>
      <c r="F1081" s="35" t="n">
        <v>12624.59</v>
      </c>
      <c r="G1081" s="35" t="n">
        <v>0</v>
      </c>
      <c r="H1081" t="inlineStr">
        <is>
          <t>Pending</t>
        </is>
      </c>
    </row>
    <row r="1082">
      <c r="A1082" t="inlineStr">
        <is>
          <t>CLM521701</t>
        </is>
      </c>
      <c r="B1082" t="inlineStr">
        <is>
          <t>PT11783</t>
        </is>
      </c>
      <c r="C1082" t="inlineStr">
        <is>
          <t>PY03</t>
        </is>
      </c>
      <c r="D1082" s="30" t="n">
        <v>46017</v>
      </c>
      <c r="E1082" s="35" t="n">
        <v>1436.04</v>
      </c>
      <c r="F1082" s="35" t="n">
        <v>352.84</v>
      </c>
      <c r="G1082" s="35" t="n">
        <v>0</v>
      </c>
      <c r="H1082" t="inlineStr">
        <is>
          <t>Pending</t>
        </is>
      </c>
    </row>
    <row r="1083">
      <c r="A1083" t="inlineStr">
        <is>
          <t>CLM521725</t>
        </is>
      </c>
      <c r="B1083" t="inlineStr">
        <is>
          <t>PT13031</t>
        </is>
      </c>
      <c r="C1083" t="inlineStr">
        <is>
          <t>PY04</t>
        </is>
      </c>
      <c r="D1083" s="30" t="n">
        <v>46018</v>
      </c>
      <c r="E1083" s="35" t="n">
        <v>2832.22</v>
      </c>
      <c r="F1083" s="35" t="n">
        <v>1318.05</v>
      </c>
      <c r="G1083" s="35" t="n">
        <v>0</v>
      </c>
      <c r="H1083" t="inlineStr">
        <is>
          <t>Pending</t>
        </is>
      </c>
    </row>
    <row r="1084">
      <c r="A1084" t="inlineStr">
        <is>
          <t>CLM521736</t>
        </is>
      </c>
      <c r="B1084" t="inlineStr">
        <is>
          <t>PT11427</t>
        </is>
      </c>
      <c r="C1084" t="inlineStr">
        <is>
          <t>PY02</t>
        </is>
      </c>
      <c r="D1084" s="30" t="n">
        <v>46019</v>
      </c>
      <c r="E1084" s="35" t="n">
        <v>9738.610000000001</v>
      </c>
      <c r="F1084" s="35" t="n">
        <v>3259.27</v>
      </c>
      <c r="G1084" s="35" t="n">
        <v>0</v>
      </c>
      <c r="H1084" t="inlineStr">
        <is>
          <t>Pending</t>
        </is>
      </c>
    </row>
    <row r="1085">
      <c r="A1085" t="inlineStr">
        <is>
          <t>CLM521742</t>
        </is>
      </c>
      <c r="B1085" t="inlineStr">
        <is>
          <t>PT12485</t>
        </is>
      </c>
      <c r="C1085" t="inlineStr">
        <is>
          <t>PY01</t>
        </is>
      </c>
      <c r="D1085" s="30" t="n">
        <v>46020</v>
      </c>
      <c r="E1085" s="35" t="n">
        <v>6132.94</v>
      </c>
      <c r="F1085" s="35" t="n">
        <v>1759.29</v>
      </c>
      <c r="G1085" s="35" t="n">
        <v>0</v>
      </c>
      <c r="H1085" t="inlineStr">
        <is>
          <t>Pending</t>
        </is>
      </c>
    </row>
    <row r="1086">
      <c r="A1086" t="inlineStr">
        <is>
          <t>CLM521745</t>
        </is>
      </c>
      <c r="B1086" t="inlineStr">
        <is>
          <t>PT10422</t>
        </is>
      </c>
      <c r="C1086" t="inlineStr">
        <is>
          <t>PY01</t>
        </is>
      </c>
      <c r="D1086" s="30" t="n">
        <v>46019</v>
      </c>
      <c r="E1086" s="35" t="n">
        <v>1526.47</v>
      </c>
      <c r="F1086" s="35" t="n">
        <v>501.61</v>
      </c>
      <c r="G1086" s="35" t="n">
        <v>0</v>
      </c>
      <c r="H1086" t="inlineStr">
        <is>
          <t>Pending</t>
        </is>
      </c>
    </row>
    <row r="1087">
      <c r="A1087" t="inlineStr">
        <is>
          <t>CLM521771</t>
        </is>
      </c>
      <c r="B1087" t="inlineStr">
        <is>
          <t>PT13107</t>
        </is>
      </c>
      <c r="C1087" t="inlineStr">
        <is>
          <t>PY06</t>
        </is>
      </c>
      <c r="D1087" s="30" t="n">
        <v>46020</v>
      </c>
      <c r="E1087" s="35" t="n">
        <v>3346.46</v>
      </c>
      <c r="F1087" s="35" t="n">
        <v>1792.62</v>
      </c>
      <c r="G1087" s="35" t="n">
        <v>0</v>
      </c>
      <c r="H1087" t="inlineStr">
        <is>
          <t>Pending</t>
        </is>
      </c>
    </row>
    <row r="1088">
      <c r="A1088" t="inlineStr">
        <is>
          <t>CLM521782</t>
        </is>
      </c>
      <c r="B1088" t="inlineStr">
        <is>
          <t>PT12687</t>
        </is>
      </c>
      <c r="C1088" t="inlineStr">
        <is>
          <t>PY01</t>
        </is>
      </c>
      <c r="D1088" s="30" t="n">
        <v>46020</v>
      </c>
      <c r="E1088" s="35" t="n">
        <v>1880.42</v>
      </c>
      <c r="F1088" s="35" t="n">
        <v>543.3200000000001</v>
      </c>
      <c r="G1088" s="35" t="n">
        <v>0</v>
      </c>
      <c r="H1088" t="inlineStr">
        <is>
          <t>Pending</t>
        </is>
      </c>
    </row>
    <row r="1089">
      <c r="A1089" t="inlineStr">
        <is>
          <t>CLM521784</t>
        </is>
      </c>
      <c r="B1089" t="inlineStr">
        <is>
          <t>PT12166</t>
        </is>
      </c>
      <c r="C1089" t="inlineStr">
        <is>
          <t>PY01</t>
        </is>
      </c>
      <c r="D1089" s="30" t="n">
        <v>46020</v>
      </c>
      <c r="E1089" s="35" t="n">
        <v>1147.32</v>
      </c>
      <c r="F1089" s="35" t="n">
        <v>0</v>
      </c>
      <c r="G1089" s="35" t="n">
        <v>0</v>
      </c>
      <c r="H1089" t="inlineStr">
        <is>
          <t>Denied</t>
        </is>
      </c>
      <c r="I1089" t="inlineStr">
        <is>
          <t>Coding Error</t>
        </is>
      </c>
    </row>
    <row r="1090">
      <c r="A1090" t="inlineStr">
        <is>
          <t>CLM521792</t>
        </is>
      </c>
      <c r="B1090" t="inlineStr">
        <is>
          <t>PT10855</t>
        </is>
      </c>
      <c r="C1090" t="inlineStr">
        <is>
          <t>PY01</t>
        </is>
      </c>
      <c r="D1090" s="30" t="n">
        <v>46020</v>
      </c>
      <c r="E1090" s="35" t="n">
        <v>1202.82</v>
      </c>
      <c r="F1090" s="35" t="n">
        <v>0</v>
      </c>
      <c r="G1090" s="35" t="n">
        <v>0</v>
      </c>
      <c r="H1090" t="inlineStr">
        <is>
          <t>Denied</t>
        </is>
      </c>
      <c r="I1090" t="inlineStr">
        <is>
          <t>Coding Error</t>
        </is>
      </c>
    </row>
    <row r="1091">
      <c r="A1091" t="inlineStr">
        <is>
          <t>CLM521813</t>
        </is>
      </c>
      <c r="B1091" t="inlineStr">
        <is>
          <t>PT12054</t>
        </is>
      </c>
      <c r="C1091" t="inlineStr">
        <is>
          <t>PY04</t>
        </is>
      </c>
      <c r="D1091" s="30" t="n">
        <v>46021</v>
      </c>
      <c r="E1091" s="35" t="n">
        <v>2566.74</v>
      </c>
      <c r="F1091" s="35" t="n">
        <v>1409.35</v>
      </c>
      <c r="G1091" s="35" t="n">
        <v>0</v>
      </c>
      <c r="H1091" t="inlineStr">
        <is>
          <t>Pending</t>
        </is>
      </c>
    </row>
    <row r="1092">
      <c r="A1092" t="inlineStr">
        <is>
          <t>CLM521820</t>
        </is>
      </c>
      <c r="B1092" t="inlineStr">
        <is>
          <t>PT11452</t>
        </is>
      </c>
      <c r="C1092" t="inlineStr">
        <is>
          <t>PY04</t>
        </is>
      </c>
      <c r="D1092" s="30" t="n">
        <v>46021</v>
      </c>
      <c r="E1092" s="35" t="n">
        <v>4342.82</v>
      </c>
      <c r="F1092" s="35" t="n">
        <v>2131.8</v>
      </c>
      <c r="G1092" s="35" t="n">
        <v>0</v>
      </c>
      <c r="H1092" t="inlineStr">
        <is>
          <t>Pending</t>
        </is>
      </c>
    </row>
    <row r="1093">
      <c r="A1093" t="inlineStr">
        <is>
          <t>CLM521821</t>
        </is>
      </c>
      <c r="B1093" t="inlineStr">
        <is>
          <t>PT10591</t>
        </is>
      </c>
      <c r="C1093" t="inlineStr">
        <is>
          <t>PY01</t>
        </is>
      </c>
      <c r="D1093" s="30" t="n">
        <v>46021</v>
      </c>
      <c r="E1093" s="35" t="n">
        <v>3409.25</v>
      </c>
      <c r="F1093" s="35" t="n">
        <v>1080.56</v>
      </c>
      <c r="G1093" s="35" t="n">
        <v>0</v>
      </c>
      <c r="H1093" t="inlineStr">
        <is>
          <t>Pending</t>
        </is>
      </c>
    </row>
    <row r="1094">
      <c r="A1094" t="inlineStr">
        <is>
          <t>CLM521852</t>
        </is>
      </c>
      <c r="B1094" t="inlineStr">
        <is>
          <t>PT13353</t>
        </is>
      </c>
      <c r="C1094" t="inlineStr">
        <is>
          <t>PY03</t>
        </is>
      </c>
      <c r="D1094" s="30" t="n">
        <v>46022</v>
      </c>
      <c r="E1094" s="35" t="n">
        <v>3763.89</v>
      </c>
      <c r="F1094" s="35" t="n">
        <v>819</v>
      </c>
      <c r="G1094" s="35" t="n">
        <v>0</v>
      </c>
      <c r="H1094" t="inlineStr">
        <is>
          <t>Pending</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9"/>
  <sheetViews>
    <sheetView tabSelected="0" workbookViewId="0">
      <pane ySplit="1" topLeftCell="A2" activePane="bottomLeft" state="frozen"/>
      <selection pane="bottomLeft" activeCell="A1" sqref="A1"/>
    </sheetView>
  </sheetViews>
  <sheetFormatPr baseColWidth="8" defaultRowHeight="15"/>
  <cols>
    <col width="9" customWidth="1" min="1" max="1"/>
    <col width="31" customWidth="1" min="2" max="2"/>
    <col width="20" customWidth="1" min="3" max="3"/>
  </cols>
  <sheetData>
    <row r="1">
      <c r="A1" s="28" t="inlineStr">
        <is>
          <t>PayerID</t>
        </is>
      </c>
      <c r="B1" s="28" t="inlineStr">
        <is>
          <t>PayerName</t>
        </is>
      </c>
      <c r="C1" s="28" t="inlineStr">
        <is>
          <t>PayerType</t>
        </is>
      </c>
    </row>
    <row r="2">
      <c r="A2" t="inlineStr">
        <is>
          <t>PY01</t>
        </is>
      </c>
      <c r="B2" t="inlineStr">
        <is>
          <t>Medicare</t>
        </is>
      </c>
      <c r="C2" t="inlineStr">
        <is>
          <t>Government</t>
        </is>
      </c>
    </row>
    <row r="3">
      <c r="A3" t="inlineStr">
        <is>
          <t>PY02</t>
        </is>
      </c>
      <c r="B3" t="inlineStr">
        <is>
          <t>Silverline Medicare Advantage</t>
        </is>
      </c>
      <c r="C3" t="inlineStr">
        <is>
          <t>Medicare Advantage</t>
        </is>
      </c>
    </row>
    <row r="4">
      <c r="A4" t="inlineStr">
        <is>
          <t>PY03</t>
        </is>
      </c>
      <c r="B4" t="inlineStr">
        <is>
          <t>State Medicaid</t>
        </is>
      </c>
      <c r="C4" t="inlineStr">
        <is>
          <t>Government</t>
        </is>
      </c>
    </row>
    <row r="5">
      <c r="A5" t="inlineStr">
        <is>
          <t>PY04</t>
        </is>
      </c>
      <c r="B5" t="inlineStr">
        <is>
          <t>Keystone Health Partners</t>
        </is>
      </c>
      <c r="C5" t="inlineStr">
        <is>
          <t>Commercial</t>
        </is>
      </c>
    </row>
    <row r="6">
      <c r="A6" t="inlineStr">
        <is>
          <t>PY05</t>
        </is>
      </c>
      <c r="B6" t="inlineStr">
        <is>
          <t>Evergreen Mutual Insurance</t>
        </is>
      </c>
      <c r="C6" t="inlineStr">
        <is>
          <t>Commercial</t>
        </is>
      </c>
    </row>
    <row r="7">
      <c r="A7" t="inlineStr">
        <is>
          <t>PY06</t>
        </is>
      </c>
      <c r="B7" t="inlineStr">
        <is>
          <t>Summit Choice PPO</t>
        </is>
      </c>
      <c r="C7" t="inlineStr">
        <is>
          <t>Commercial</t>
        </is>
      </c>
    </row>
    <row r="8">
      <c r="A8" t="inlineStr">
        <is>
          <t>PY07</t>
        </is>
      </c>
      <c r="B8" t="inlineStr">
        <is>
          <t>Self-Pay</t>
        </is>
      </c>
      <c r="C8" t="inlineStr">
        <is>
          <t>Self-Pay</t>
        </is>
      </c>
    </row>
    <row r="9">
      <c r="A9" t="inlineStr">
        <is>
          <t>PY08</t>
        </is>
      </c>
      <c r="B9" t="inlineStr">
        <is>
          <t>Workers' Compensation</t>
        </is>
      </c>
      <c r="C9" t="inlineStr">
        <is>
          <t>Workers' Comp</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548235"/>
    <outlinePr summaryBelow="1" summaryRight="1"/>
    <pageSetUpPr fitToPage="1"/>
  </sheetPr>
  <dimension ref="A1:C7"/>
  <sheetViews>
    <sheetView tabSelected="0" workbookViewId="0">
      <selection activeCell="A1" sqref="A1"/>
    </sheetView>
  </sheetViews>
  <sheetFormatPr baseColWidth="8" defaultRowHeight="15"/>
  <cols>
    <col width="52" customWidth="1" min="1" max="1"/>
    <col width="34" customWidth="1" min="2" max="2"/>
    <col width="32" customWidth="1" min="3" max="3"/>
  </cols>
  <sheetData>
    <row r="1">
      <c r="A1" s="36" t="inlineStr">
        <is>
          <t>Output: your macros write their results here</t>
        </is>
      </c>
    </row>
    <row r="2" ht="32" customHeight="1">
      <c r="A2" s="37" t="inlineStr">
        <is>
          <t>Don't type in column B. Run the macro named in column C and it fills the green cell. The gray cells on the Practice sheet read these cells.</t>
        </is>
      </c>
    </row>
    <row r="3">
      <c r="A3" s="38" t="inlineStr">
        <is>
          <t>Result</t>
        </is>
      </c>
      <c r="B3" s="38" t="inlineStr">
        <is>
          <t>Value</t>
        </is>
      </c>
      <c r="C3" s="38" t="inlineStr">
        <is>
          <t>Written by (task)</t>
        </is>
      </c>
    </row>
    <row r="4">
      <c r="A4" s="19" t="inlineStr">
        <is>
          <t>Number of different denial reasons (blanks ignored)</t>
        </is>
      </c>
      <c r="B4" s="39" t="n"/>
      <c r="C4" s="19" t="inlineStr">
        <is>
          <t>CountDenialReasons (task 8)</t>
        </is>
      </c>
    </row>
    <row r="5">
      <c r="A5" s="19" t="inlineStr">
        <is>
          <t>Number of different patients on the Claims sheet</t>
        </is>
      </c>
      <c r="B5" s="39" t="n"/>
      <c r="C5" s="19" t="inlineStr">
        <is>
          <t>CountDistinctPatients (task 9)</t>
        </is>
      </c>
    </row>
    <row r="6">
      <c r="A6" s="19" t="inlineStr">
        <is>
          <t>Payer with the most Denied claims (PayerName)</t>
        </is>
      </c>
      <c r="B6" s="39" t="n"/>
      <c r="C6" s="19" t="inlineStr">
        <is>
          <t>TopDeniedPayer (task 10)</t>
        </is>
      </c>
    </row>
    <row r="7">
      <c r="A7" s="19" t="inlineStr">
        <is>
          <t>…its number of Denied claims</t>
        </is>
      </c>
      <c r="B7" s="39" t="n"/>
      <c r="C7" s="19" t="inlineStr">
        <is>
          <t>TopDeniedPayer (task 10)</t>
        </is>
      </c>
    </row>
  </sheetData>
  <mergeCells count="1">
    <mergeCell ref="A2:C2"/>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7030A0"/>
    <outlinePr summaryBelow="1" summaryRight="1"/>
    <pageSetUpPr fitToPage="1"/>
  </sheetPr>
  <dimension ref="A1:A64"/>
  <sheetViews>
    <sheetView tabSelected="0" workbookViewId="0">
      <selection activeCell="A1" sqref="A1"/>
    </sheetView>
  </sheetViews>
  <sheetFormatPr baseColWidth="8" defaultRowHeight="15"/>
  <cols>
    <col width="100" customWidth="1" min="1" max="1"/>
  </cols>
  <sheetData>
    <row r="1">
      <c r="A1" s="36" t="inlineStr">
        <is>
          <t>Snippets for the predict-the-output tasks</t>
        </is>
      </c>
    </row>
    <row r="2" ht="62" customHeight="1">
      <c r="A2" s="37" t="inlineStr">
        <is>
          <t>Read the code and type your prediction on the Practice sheet first. Then import starter/Snippets.bas, click inside the Sub, and press F5 to run it (Mac: Run → Run Sub/UserForm). Debug.Print writes to the Immediate window: press Ctrl + G on Windows, or choose View → Immediate Window on a Mac. Snippet D stops with a run-time error on purpose: note the number, then click End.</t>
        </is>
      </c>
    </row>
    <row r="4">
      <c r="A4" s="40" t="inlineStr">
        <is>
          <t>Snippet A (task 7): ByVal vs ByRef. Run: SnippetA</t>
        </is>
      </c>
    </row>
    <row r="5">
      <c r="A5" s="41" t="inlineStr">
        <is>
          <t>Sub AddFeeByVal(ByVal amount As Double)</t>
        </is>
      </c>
    </row>
    <row r="6">
      <c r="A6" s="41" t="inlineStr">
        <is>
          <t xml:space="preserve">    amount = amount + 25</t>
        </is>
      </c>
    </row>
    <row r="7">
      <c r="A7" s="41" t="inlineStr">
        <is>
          <t>End Sub</t>
        </is>
      </c>
    </row>
    <row r="8">
      <c r="A8" s="41" t="n"/>
    </row>
    <row r="9">
      <c r="A9" s="41" t="inlineStr">
        <is>
          <t>Sub AddFeeByRef(ByRef amount As Double)</t>
        </is>
      </c>
    </row>
    <row r="10">
      <c r="A10" s="41" t="inlineStr">
        <is>
          <t xml:space="preserve">    amount = amount + 25</t>
        </is>
      </c>
    </row>
    <row r="11">
      <c r="A11" s="41" t="inlineStr">
        <is>
          <t>End Sub</t>
        </is>
      </c>
    </row>
    <row r="12">
      <c r="A12" s="41" t="n"/>
    </row>
    <row r="13">
      <c r="A13" s="41" t="inlineStr">
        <is>
          <t>Sub SnippetA()</t>
        </is>
      </c>
    </row>
    <row r="14">
      <c r="A14" s="41" t="inlineStr">
        <is>
          <t xml:space="preserve">    Dim charge As Double</t>
        </is>
      </c>
    </row>
    <row r="15">
      <c r="A15" s="41" t="inlineStr">
        <is>
          <t xml:space="preserve">    charge = 100</t>
        </is>
      </c>
    </row>
    <row r="16">
      <c r="A16" s="41" t="inlineStr">
        <is>
          <t xml:space="preserve">    AddFeeByVal charge</t>
        </is>
      </c>
    </row>
    <row r="17">
      <c r="A17" s="41" t="inlineStr">
        <is>
          <t xml:space="preserve">    AddFeeByRef charge</t>
        </is>
      </c>
    </row>
    <row r="18">
      <c r="A18" s="41" t="inlineStr">
        <is>
          <t xml:space="preserve">    AddFeeByRef (charge)</t>
        </is>
      </c>
    </row>
    <row r="19">
      <c r="A19" s="41" t="inlineStr">
        <is>
          <t xml:space="preserve">    Debug.Print charge</t>
        </is>
      </c>
    </row>
    <row r="20">
      <c r="A20" s="41" t="inlineStr">
        <is>
          <t>End Sub</t>
        </is>
      </c>
    </row>
    <row r="22">
      <c r="A22" s="40" t="inlineStr">
        <is>
          <t>Snippet B (task 11): an error handler inside a loop. Run: SnippetB</t>
        </is>
      </c>
    </row>
    <row r="23">
      <c r="A23" s="41" t="inlineStr">
        <is>
          <t>Sub SnippetB()</t>
        </is>
      </c>
    </row>
    <row r="24">
      <c r="A24" s="41" t="inlineStr">
        <is>
          <t xml:space="preserve">    Dim readings As Variant, i As Long, total As Long</t>
        </is>
      </c>
    </row>
    <row r="25">
      <c r="A25" s="41" t="inlineStr">
        <is>
          <t xml:space="preserve">    readings = Array("120", "abc", "95", "", "88")</t>
        </is>
      </c>
    </row>
    <row r="26">
      <c r="A26" s="41" t="inlineStr">
        <is>
          <t xml:space="preserve">    On Error GoTo BadReading</t>
        </is>
      </c>
    </row>
    <row r="27">
      <c r="A27" s="41" t="inlineStr">
        <is>
          <t xml:space="preserve">    For i = LBound(readings) To UBound(readings)</t>
        </is>
      </c>
    </row>
    <row r="28">
      <c r="A28" s="41" t="inlineStr">
        <is>
          <t xml:space="preserve">        total = total + CLng(readings(i))</t>
        </is>
      </c>
    </row>
    <row r="29">
      <c r="A29" s="41" t="inlineStr">
        <is>
          <t xml:space="preserve">    Next i</t>
        </is>
      </c>
    </row>
    <row r="30">
      <c r="A30" s="41" t="inlineStr">
        <is>
          <t xml:space="preserve">    Debug.Print "Total:"; total</t>
        </is>
      </c>
    </row>
    <row r="31">
      <c r="A31" s="41" t="inlineStr">
        <is>
          <t xml:space="preserve">    Exit Sub</t>
        </is>
      </c>
    </row>
    <row r="32">
      <c r="A32" s="41" t="inlineStr">
        <is>
          <t>BadReading:</t>
        </is>
      </c>
    </row>
    <row r="33">
      <c r="A33" s="41" t="inlineStr">
        <is>
          <t xml:space="preserve">    Debug.Print "Skipped item"; i; "- error"; Err.Number</t>
        </is>
      </c>
    </row>
    <row r="34">
      <c r="A34" s="41" t="inlineStr">
        <is>
          <t xml:space="preserve">    Resume Next</t>
        </is>
      </c>
    </row>
    <row r="35">
      <c r="A35" s="41" t="inlineStr">
        <is>
          <t>End Sub</t>
        </is>
      </c>
    </row>
    <row r="37">
      <c r="A37" s="40" t="inlineStr">
        <is>
          <t>Snippet C (task 12): On Error Resume Next. Run: SnippetC</t>
        </is>
      </c>
    </row>
    <row r="38">
      <c r="A38" s="41" t="inlineStr">
        <is>
          <t>Sub SnippetC()</t>
        </is>
      </c>
    </row>
    <row r="39">
      <c r="A39" s="41" t="inlineStr">
        <is>
          <t xml:space="preserve">    Dim readings As Variant, i As Long, reading As Long, total As Long</t>
        </is>
      </c>
    </row>
    <row r="40">
      <c r="A40" s="41" t="inlineStr">
        <is>
          <t xml:space="preserve">    readings = Array("120", "abc", "95", "", "88")</t>
        </is>
      </c>
    </row>
    <row r="41">
      <c r="A41" s="41" t="inlineStr">
        <is>
          <t xml:space="preserve">    On Error Resume Next</t>
        </is>
      </c>
    </row>
    <row r="42">
      <c r="A42" s="41" t="inlineStr">
        <is>
          <t xml:space="preserve">    For i = LBound(readings) To UBound(readings)</t>
        </is>
      </c>
    </row>
    <row r="43">
      <c r="A43" s="41" t="inlineStr">
        <is>
          <t xml:space="preserve">        reading = CLng(readings(i))</t>
        </is>
      </c>
    </row>
    <row r="44">
      <c r="A44" s="41" t="inlineStr">
        <is>
          <t xml:space="preserve">        total = total + reading</t>
        </is>
      </c>
    </row>
    <row r="45">
      <c r="A45" s="41" t="inlineStr">
        <is>
          <t xml:space="preserve">    Next i</t>
        </is>
      </c>
    </row>
    <row r="46">
      <c r="A46" s="41" t="inlineStr">
        <is>
          <t xml:space="preserve">    On Error GoTo 0</t>
        </is>
      </c>
    </row>
    <row r="47">
      <c r="A47" s="41" t="inlineStr">
        <is>
          <t xml:space="preserve">    Debug.Print "Total:"; total</t>
        </is>
      </c>
    </row>
    <row r="48">
      <c r="A48" s="41" t="inlineStr">
        <is>
          <t>End Sub</t>
        </is>
      </c>
    </row>
    <row r="50">
      <c r="A50" s="40" t="inlineStr">
        <is>
          <t>Snippet D (task 13): two ways to call MATCH from VBA. Run: SnippetD</t>
        </is>
      </c>
    </row>
    <row r="51">
      <c r="A51" s="41" t="inlineStr">
        <is>
          <t>Sub SnippetD()</t>
        </is>
      </c>
    </row>
    <row r="52">
      <c r="A52" s="41" t="inlineStr">
        <is>
          <t xml:space="preserve">    Dim payerList As Range, pos As Variant</t>
        </is>
      </c>
    </row>
    <row r="53">
      <c r="A53" s="41" t="inlineStr">
        <is>
          <t xml:space="preserve">    Set payerList = ThisWorkbook.Worksheets("Payers").Range("A2:A9")</t>
        </is>
      </c>
    </row>
    <row r="54">
      <c r="A54" s="41" t="n"/>
    </row>
    <row r="55">
      <c r="A55" s="41" t="inlineStr">
        <is>
          <t xml:space="preserve">    pos = Application.Match("PY09", payerList, 0)</t>
        </is>
      </c>
    </row>
    <row r="56">
      <c r="A56" s="41" t="inlineStr">
        <is>
          <t xml:space="preserve">    If IsError(pos) Then</t>
        </is>
      </c>
    </row>
    <row r="57">
      <c r="A57" s="41" t="inlineStr">
        <is>
          <t xml:space="preserve">        Debug.Print "Application.Match: not found"</t>
        </is>
      </c>
    </row>
    <row r="58">
      <c r="A58" s="41" t="inlineStr">
        <is>
          <t xml:space="preserve">    Else</t>
        </is>
      </c>
    </row>
    <row r="59">
      <c r="A59" s="41" t="inlineStr">
        <is>
          <t xml:space="preserve">        Debug.Print "Application.Match: row"; pos</t>
        </is>
      </c>
    </row>
    <row r="60">
      <c r="A60" s="41" t="inlineStr">
        <is>
          <t xml:space="preserve">    End If</t>
        </is>
      </c>
    </row>
    <row r="61">
      <c r="A61" s="41" t="n"/>
    </row>
    <row r="62">
      <c r="A62" s="41" t="inlineStr">
        <is>
          <t xml:space="preserve">    pos = Application.WorksheetFunction.Match("PY09", payerList, 0)</t>
        </is>
      </c>
    </row>
    <row r="63">
      <c r="A63" s="41" t="inlineStr">
        <is>
          <t xml:space="preserve">    Debug.Print "WorksheetFunction.Match: row"; pos</t>
        </is>
      </c>
    </row>
    <row r="64">
      <c r="A64" s="41" t="inlineStr">
        <is>
          <t>End Sub</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5.4 · Bonus: a one-click payer scorecard</t>
        </is>
      </c>
    </row>
    <row r="2" ht="169" customHeight="1">
      <c r="A2" s="14" t="inlineStr">
        <is>
          <t>Cedar Ridge's revenue-cycle director wants a payer scorecard she can rebuild with one click every month. Write BuildPayerSummary (start from starter/PayerSummary.bas) so that it does five things:
1. If the Claims or Payers sheet is missing, it shows a friendly message and stops without a run-time error.
2. It reads the Claims table into an array and uses a Scripting.Dictionary keyed by PayerID (Mac: a Collection plus arrays) to work out four numbers for each payer: Claims (number of rows), Billed (sum of BilledAmount), Paid (sum of PaidAmount), and Denied (rows with ClaimStatus "Denied").
3. It skips, and counts, every row whose BilledAmount or PaidAmount is not a number. A blank cell is not a number, and a skipped row is left out of every column.
4. It writes a sheet named PayerSummary, clearing it first if it already exists. Row 1 holds the headers PayerID, PayerName, Claims, Billed, Paid, Denied, DenialRate (Denied ÷ Claims). Below it go one row per payer, sorted by Billed from largest to smallest, and then a TOTAL row: the word TOTAL in column A, the totals in C:F, and the overall rate in G. Two rows below TOTAL, column A holds the text Rows skipped and column B holds the count.
5. It restores ScreenUpdating and Calculation even when an error stops the macro.</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"&amp;COUNTIF(E6:E10,"✔*")&amp;" of 4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B1</t>
        </is>
      </c>
      <c r="B6" s="19" t="inlineStr">
        <is>
          <t>Run BuildPayerSummary. Which payer has the third-highest billed charges? (It's the PayerName in cell B4 of PayerSummary, and the gray cell reads it.)</t>
        </is>
      </c>
      <c r="C6" s="20" t="inlineStr">
        <is>
          <t>Range.Sort with Key1:=the Billed header cell, Order1:=xlDescending, Header:=xlYes</t>
        </is>
      </c>
      <c r="D6" cm="1" s="27">
        <f t="array" ref="D6">IFERROR(IF(INDIRECT("'PayerSummary'!B4")="","",INDIRECT("'PayerSummary'!B4")),"")</f>
        <v/>
      </c>
      <c r="E6" s="22">
        <f>IF(IFERROR(D6="",FALSE),"",IF(IFERROR(OR(LOWER(TRIM(D6&amp;""))=LOWER(TRIM('Bonus Key'!$C$5&amp;"")),LOWER(TRIM(D6&amp;""))="py04"),FALSE),"✔ Correct","✘ Not yet"))</f>
        <v/>
      </c>
    </row>
    <row r="7" ht="36" customHeight="1">
      <c r="A7" s="18" t="inlineStr">
        <is>
          <t>B2</t>
        </is>
      </c>
      <c r="B7" s="19" t="inlineStr">
        <is>
          <t>What DenialRate does your PayerSummary show for Silverline Medicare Advantage? (The gray cell finds Silverline's row on PayerSummary and reads column G.)</t>
        </is>
      </c>
      <c r="C7" s="20" t="inlineStr">
        <is>
          <t>The array-in-a-dictionary pattern: copy it out, change it, put it back</t>
        </is>
      </c>
      <c r="D7" cm="1" s="42">
        <f t="array" ref="D7">IFERROR(INDEX(INDIRECT("'PayerSummary'!G1:G40"),MATCH("Silverline Medicare Advantage",INDIRECT("'PayerSummary'!B1:B40"),0)),"")</f>
        <v/>
      </c>
      <c r="E7" s="22">
        <f>IF(IFERROR(D7="",FALSE),"",IF(IFERROR(AND(ISNUMBER(D7),OR(ABS(D7-'Bonus Key'!$C$6)&lt;=0.00051,ABS(D7-'Bonus Key'!$C$6*100)&lt;=0.051000000000000004)),FALSE),"✔ Correct","✘ Not yet"))</f>
        <v/>
      </c>
    </row>
    <row r="8" ht="36" customHeight="1">
      <c r="A8" s="18" t="inlineStr">
        <is>
          <t>B3</t>
        </is>
      </c>
      <c r="B8" s="19" t="inlineStr">
        <is>
          <t>What total Paid does the TOTAL row of PayerSummary show? (The gray cell reads column E of the TOTAL row, and the check compares it to the cent.)</t>
        </is>
      </c>
      <c r="C8" s="20" t="inlineStr">
        <is>
          <t>Accumulate the totals in the same loop that fills the output array</t>
        </is>
      </c>
      <c r="D8" cm="1" s="43">
        <f t="array" ref="D8">IFERROR(INDEX(INDIRECT("'PayerSummary'!E1:E40"),MATCH("TOTAL",INDIRECT("'PayerSummary'!A1:A40"),0)),"")</f>
        <v/>
      </c>
      <c r="E8" s="22">
        <f>IF(IFERROR(D8="",FALSE),"",IF(IFERROR(AND(ISNUMBER(D8),OR(ABS(D8-'Bonus Key'!$C$7)&lt;=0.0051)),FALSE),"✔ Correct","✘ Not yet"))</f>
        <v/>
      </c>
    </row>
    <row r="9" ht="36" customHeight="1">
      <c r="A9" s="18" t="inlineStr">
        <is>
          <t>B4</t>
        </is>
      </c>
      <c r="B9" s="19" t="inlineStr">
        <is>
          <t>How many claim rows did your macro skip because BilledAmount or PaidAmount was not a number? (The gray cell reads the number next to 'Rows skipped'.)</t>
        </is>
      </c>
      <c r="C9" s="20" t="inlineStr">
        <is>
          <t>A blank cell read into an array is Empty, and VarType(Empty) is vbEmpty</t>
        </is>
      </c>
      <c r="D9" cm="1" s="23">
        <f t="array" ref="D9">IFERROR(INDEX(INDIRECT("'PayerSummary'!B1:B40"),MATCH("Rows skipped",INDIRECT("'PayerSummary'!A1:A40"),0)),"")</f>
        <v/>
      </c>
      <c r="E9" s="22">
        <f>IF(IFERROR(D9="",FALSE),"",IF(IFERROR(AND(ISNUMBER(D9),OR(ABS(D9-'Bonus Key'!$C$8)&lt;=0.0001)),FALSE),"✔ Correct","✘ Not yet"))</f>
        <v/>
      </c>
    </row>
    <row r="10" ht="111" customHeight="1">
      <c r="A10" s="18" t="inlineStr">
        <is>
          <t>B5</t>
        </is>
      </c>
      <c r="B10" s="19" t="inlineStr">
        <is>
          <t>Test the error handling. (1) Rename the Claims sheet to Claims_old and run BuildPayerSummary: you should get your friendly message, not a run-time error. (2) Rename it back. (3) Temporarily change the header text in the Claims sheet's BilledAmount cell (E1) to Billed and run the macro again: the Fail handler should report the missing column, and Formulas → Calculation Options should still show Automatic afterwards. (4) Put the header back and run the macro once more.</t>
        </is>
      </c>
      <c r="C10" s="20" t="inlineStr">
        <is>
          <t>Check before you change settings, and clean up in one place</t>
        </is>
      </c>
      <c r="D10" s="44" t="n"/>
      <c r="E10" s="22" t="inlineStr">
        <is>
          <t>See key</t>
        </is>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45" t="inlineStr">
        <is>
          <t>🔑 Answer Key — Lesson 5.4</t>
        </is>
      </c>
    </row>
    <row r="2" ht="32" customHeight="1">
      <c r="A2" s="37" t="inlineStr">
        <is>
          <t>Spoiler alert — try every task before reading this sheet. Column C is the value the Check column compares against. Column D is a sample solution; column E is that same formula, live, proving it works.</t>
        </is>
      </c>
    </row>
    <row r="4">
      <c r="A4" s="46" t="inlineStr">
        <is>
          <t>#</t>
        </is>
      </c>
      <c r="B4" s="46" t="inlineStr">
        <is>
          <t>Task</t>
        </is>
      </c>
      <c r="C4" s="46" t="inlineStr">
        <is>
          <t>Answer</t>
        </is>
      </c>
      <c r="D4" s="46" t="inlineStr">
        <is>
          <t>Sample solution</t>
        </is>
      </c>
      <c r="E4" s="46" t="inlineStr">
        <is>
          <t>Live result</t>
        </is>
      </c>
      <c r="F4" s="46" t="inlineStr">
        <is>
          <t>Explanation</t>
        </is>
      </c>
    </row>
    <row r="5" ht="321" customHeight="1">
      <c r="A5" s="18" t="inlineStr">
        <is>
          <t>1</t>
        </is>
      </c>
      <c r="B5" s="19" t="inlineStr">
        <is>
          <t>Write BMI(weightLb, heightIn) in a standard module (start from starter/HealthUDFs.bas). BMI = 703 × weight in pounds ÷ (height in inches)². It must return #VALUE! for a blank or text input and #NUM! for a zero or negative one. In the yellow cell, call it for the first patient on the Patients sheet (row 2, PT10002). Keep full precision. The check accepts 2 decimal places.</t>
        </is>
      </c>
      <c r="C5" s="47" t="n">
        <v>33.20587341984269</v>
      </c>
      <c r="D5" s="48" t="inlineStr">
        <is>
          <t>' In the yellow cell: =BMI(Patients!G2,Patients!F2)
' Tasks 1-2: body-mass index = 703 x weight (lb) / height (in) ^ 2
Public Function BMI(weightLb As Variant, heightIn As Variant) As Variant
    Dim w As Variant, h As Variant
    w = ArgValue(weightLb)
    h = ArgValue(heightIn)
    If Not IsNumberValue(w) Or Not IsNumberValue(h) Then
        BMI = CVErr(xlErrValue)            ' blank or text input: #VALUE!
    ElseIf w &lt;= 0 Or h &lt;= 0 Then
        BMI = CVErr(xlErrNum)              ' impossible measurement: #NUM!
    Else
        BMI = 703 * w / h ^ 2
    End If
End Function</t>
        </is>
      </c>
      <c r="E5" cm="1" s="49">
        <f t="array" ref="E5">703*Patients!G2/Patients!F2^2</f>
        <v/>
      </c>
      <c r="F5" s="19" t="inlineStr">
        <is>
          <t>A Function hands back a value by assigning it to its own name (BMI = …). Because it's Public and sits in a standard module, Excel lists it with the built-in functions, so =BMI( works in any cell. The return type is Variant so the same function can return a number or an error value made by CVErr. The two helpers come from the starter module: ArgValue turns a cell reference into its value, and IsNumberValue rejects blanks and text. Brenda Peterson weighs 180.4 lb at 61.8 in, so BMI = 703 × 180.4 ÷ 61.8² ≈ 33.21. If the cell shows #NAME?, the function isn't in a standard module of *this* workbook, or macros are disabled.</t>
        </is>
      </c>
    </row>
    <row r="6" ht="141" customHeight="1">
      <c r="A6" s="18" t="inlineStr">
        <is>
          <t>2</t>
        </is>
      </c>
      <c r="B6" s="19" t="inlineStr">
        <is>
          <t>Fill the yellow BMI column on the Patients sheet with your BMI function for every patient. Don't round inside the function: the column's number format already shows 1 decimal place. The gray cell counts the patients whose unrounded BMI is 30 or more (the usual adult obesity threshold).</t>
        </is>
      </c>
      <c r="C6" s="50" t="n">
        <v>258</v>
      </c>
      <c r="D6" s="48" t="inlineStr">
        <is>
          <t>=BMI([@WeightLb],[@HeightIn])</t>
        </is>
      </c>
      <c r="E6" cm="1" s="51">
        <f t="array" ref="E6">SUMPRODUCT(--(703*'Patients'!$G$2:$G$592/'Patients'!$F$2:$F$592^2&gt;=30))</f>
        <v/>
      </c>
      <c r="F6" s="19" t="inlineStr">
        <is>
          <t>Type the formula in H2 (or =BMI(G2,F2), which does the same). A UDF behaves like any other function: write it once in the first row and the Excel Table copies it down as a calculated column, so each of the 591 rows recalculates whenever its height or weight changes. That's the payoff of a UDF over a macro, because a macro would write values once and go stale. The key's live formula does the same math with SUMPRODUCT, which shows a UDF is a convenience: anything it does with simple arithmetic you could also do with a formula.</t>
        </is>
      </c>
    </row>
    <row r="7" ht="409" customHeight="1">
      <c r="A7" s="18" t="inlineStr">
        <is>
          <t>3</t>
        </is>
      </c>
      <c r="B7" s="19" t="inlineStr">
        <is>
          <t>Write AGEAT(dob, [asOf]): a person's age in completed years on the asOf date, or on today's date when asOf is left out (use IsMissing). Then fill the yellow AgeAtAdmit column on the Encounters sheet with each patient's age on the admission date. The gray cell averages your column, and the check compares that average to 2 decimal places.</t>
        </is>
      </c>
      <c r="C7" s="47" t="n">
        <v>60.07722772277228</v>
      </c>
      <c r="D7" s="48" t="inlineStr">
        <is>
          <t>' In the AgeAtAdmit column (G2): =AGEAT([@DOB],[@AdmitDateTime])
' Task 3: age in completed years on asOf. Leave asOf out to use today's date.
Public Function AGEAT(dob As Variant, Optional asOf As Variant) As Variant
    Dim birthValue As Variant, refValue As Variant
    Dim birth As Date, refDate As Date, years As Long
    birthValue = ArgValue(dob)
    If IsMissing(asOf) Then
        refValue = Date                    ' second argument left out: today
        Application.Volatile               ' today changes, so recalculate every time
    Else
        refValue = ArgValue(asOf)
    End If
    If Not IsNumberValue(birthValue) Or Not IsNumberValue(refValue) Then
        AGEAT = CVErr(xlErrValue)
        Exit Function
    End If
    birth = CDate(birthValue)
    refDate = CDate(refValue)
    If refDate &lt; birth Then
        AGEAT = CVErr(xlErrNum)            ' asOf is before the date of birth
        Exit Function
    End If
    years = Year(refDate) - Year(birth)
    ' Birthday still to come in the asOf year? Then the person is a year younger.
    If DateSerial(Year(refDate), Month(birth), Day(birth)) &gt; refDate Then years = years - 1
    AGEAT = years
End Function</t>
        </is>
      </c>
      <c r="E7" cm="1" s="49">
        <f t="array" ref="E7">SUMPRODUCT(YEAR('Encounters'!$E$2:$E$506)-YEAR('Encounters'!$D$2:$D$506)-(MONTH('Encounters'!$E$2:$E$506)*100+DAY('Encounters'!$E$2:$E$506)&lt;MONTH('Encounters'!$D$2:$D$506)*100+DAY('Encounters'!$D$2:$D$506)))/ROWS('Encounters'!$D$2:$D$506)</f>
        <v/>
      </c>
      <c r="F7" s="19" t="inlineStr">
        <is>
          <t>IsMissing works only on an Optional Variant argument, which is why asOf is declared As Variant. The tricky part is the birthday: Year(asOf) - Year(dob) counts calendar years, so it's one too high whenever the birthday falls later in the year than the admission. DateSerial(Year(asOf), Month(dob), Day(dob)) builds this year's birthday. If that's after asOf, subtract 1. DateDiff("yyyy", dob, asOf) has the same flaw because it counts year boundaries, not birthdays. On this data it is wrong for 272 of 505 stays and gives an average of 60.62 instead of 60.08.</t>
        </is>
      </c>
    </row>
    <row r="8" ht="366" customHeight="1">
      <c r="A8" s="18" t="inlineStr">
        <is>
          <t>4</t>
        </is>
      </c>
      <c r="B8" s="19" t="inlineStr">
        <is>
          <t>Write LOSDAYS(admitDateTime, dischargeDateTime): the number of midnights between admission and discharge, or #VALUE! when an input isn't a date or the discharge date-time is earlier than the admission date-time. Fill the yellow LOSDays column on the Encounters sheet. The gray cell adds up your column and skips error cells. What is the total?</t>
        </is>
      </c>
      <c r="C8" s="50" t="n">
        <v>1926</v>
      </c>
      <c r="D8" s="48" t="inlineStr">
        <is>
          <t>' In the LOSDays column (H2): =LOSDAYS([@AdmitDateTime],[@DischargeDateTime])
' Tasks 4-5: length of stay = midnights between admission and discharge.
' #VALUE! when an input isn't a date or the discharge is before the admission.
Public Function LOSDAYS(admitDateTime As Variant, dischargeDateTime As Variant) As Variant
    Dim a As Variant, d As Variant
    a = ArgValue(admitDateTime)
    d = ArgValue(dischargeDateTime)
    If Not IsNumberValue(a) Or Not IsNumberValue(d) Then
        LOSDAYS = CVErr(xlErrValue)
    ElseIf CDate(d) &lt; CDate(a) Then
        LOSDAYS = CVErr(xlErrValue)        ' discharge before admission: a data-entry error
    Else
        LOSDAYS = DateDiff("d", CDate(a), CDate(d))   ' "d" counts the midnights crossed
    End If
End Function</t>
        </is>
      </c>
      <c r="E8" cm="1" s="51">
        <f t="array" ref="E8">SUMPRODUCT(('Encounters'!$F$2:$F$506&gt;='Encounters'!$E$2:$E$506)*(INT('Encounters'!$F$2:$F$506)-INT('Encounters'!$E$2:$E$506)))</f>
        <v/>
      </c>
      <c r="F8" s="19" t="inlineStr">
        <is>
          <t>DateDiff("d", admit, discharge) counts the calendar-day boundaries crossed, so a patient admitted at 23:00 and discharged at 01:00 the next morning has a stay of 1 midnight, which is how inpatient days are counted. Returning CVErr(xlErrValue) makes the bad rows impossible to miss, and it keeps them out of totals: the gray cell uses AGGREGATE(9,6,…) (9 = SUM, 6 = ignore error values). If you had returned 0 or a negative number instead, it would have silently dragged the total down.</t>
        </is>
      </c>
    </row>
    <row r="9" ht="156" customHeight="1">
      <c r="A9" s="18" t="inlineStr">
        <is>
          <t>5</t>
        </is>
      </c>
      <c r="B9" s="19" t="inlineStr">
        <is>
          <t>How many rows does your LOSDays column flag with #VALUE!? The gray cell counts them. (Each one is a data-entry error to send back to Health Information Management.)</t>
        </is>
      </c>
      <c r="C9" s="50" t="n">
        <v>4</v>
      </c>
      <c r="D9" s="48" t="inlineStr">
        <is>
          <t>=COUNTIF(tblEncounters[LOSDays],"#VALUE!")</t>
        </is>
      </c>
      <c r="E9" cm="1" s="51">
        <f t="array" ref="E9">SUMPRODUCT(--('Encounters'!$F$2:$F$506&lt;'Encounters'!$E$2:$E$506))</f>
        <v/>
      </c>
      <c r="F9" s="19" t="inlineStr">
        <is>
          <t>Nothing new to type here: the gray cell already holds this formula. COUNTIF can count one specific error value when you give the error's text as the criteria. Three discharges were keyed with the year 2024, and one same-day stay has its discharge time keyed 12 hours early (an AM/PM slip). Compare full date-times, not just dates: a check like DateValue(d) &lt; DateValue(a) finds only 3 of the 4 problems, because the AM/PM slip has the right date. The check counts #VALUE! only, so a function that returns #N/A or #NUM! for these rows shows ✘.</t>
        </is>
      </c>
    </row>
    <row r="10" ht="409" customHeight="1">
      <c r="A10" s="18" t="inlineStr">
        <is>
          <t>6</t>
        </is>
      </c>
      <c r="B10" s="19" t="inlineStr">
        <is>
          <t>Write DENIALRATE(statusRange, [statusToCount]): the share of non-blank cells in statusRange whose text equals statusToCount (ignoring case). statusToCount is Optional and defaults to "Denied". Return #DIV/0! if the range has no non-blank cells. In the yellow cell, call DENIALRATE on the ClaimStatus column of the Claims sheet and leave out the second argument. The cell is already formatted as a percentage.</t>
        </is>
      </c>
      <c r="C10" s="52" t="n">
        <v>0.07685269899359561</v>
      </c>
      <c r="D10" s="48" t="inlineStr">
        <is>
          <t>' In the yellow cell: =DENIALRATE(tblClaims[ClaimStatus])
' (or =DENIALRATE(Claims!H2:H1094))
' Task 6: share of non-blank cells in statusRange that equal statusToCount.
Public Function DENIALRATE(statusRange As Range, Optional statusToCount As String = "Denied") As Variant
    Dim cell As Range, total As Long, hits As Long
    For Each cell In statusRange.Cells
        If Not IsEmpty(cell.Value) And Not IsError(cell.Value) Then
            total = total + 1
            If StrComp(Trim$(CStr(cell.Value)), statusToCount, vbTextCompare) = 0 Then hits = hits + 1
        End If
    Next cell
    If total = 0 Then
        DENIALRATE = CVErr(xlErrDiv0)      ' nothing to divide by: #DIV/0!
    Else
        DENIALRATE = hits / total
    End If
End Function</t>
        </is>
      </c>
      <c r="E10" cm="1" s="53">
        <f t="array" ref="E10">COUNTIF('Claims'!$H$2:$H$1094,"Denied")/COUNTA('Claims'!$H$2:$H$1094)</f>
        <v/>
      </c>
      <c r="F10" s="19" t="inlineStr">
        <is>
          <t>A typed Optional argument gets its default in the declaration (= "Denied"), so you don't need IsMissing. Declaring statusRange As Range lets you loop over its cells, and it means Excel returns #VALUE! by itself if someone passes a plain number. 84 of 1,093 claims are Denied. Because statusToCount is a parameter, the same function answers other questions too: =DENIALRATE(tblClaims[ClaimStatus],"Pending") gives the pending rate. The key's live cell uses COUNTIF/COUNTA because your UDF isn't in the downloaded .xlsx.</t>
        </is>
      </c>
    </row>
    <row r="11" ht="111" customHeight="1">
      <c r="A11" s="18" t="inlineStr">
        <is>
          <t>7</t>
        </is>
      </c>
      <c r="B11" s="19" t="inlineStr">
        <is>
          <t>Snippet A on the Snippets sheet passes a $100 charge to AddFeeByVal and AddFeeByRef. What number does Debug.Print charge show? Predict first, then run it to check.</t>
        </is>
      </c>
      <c r="C11" s="50" t="n">
        <v>125</v>
      </c>
      <c r="D11" s="48" t="inlineStr">
        <is>
          <t>Trace it: `AddFeeByVal charge` adds 25 to a **copy** (charge stays 100). `AddFeeByRef charge` adds 25 to the caller's variable itself (125). `AddFeeByRef (charge)` looks the same, but the parentheses turn `charge` into an expression, so VBA passes a temporary copy and charge stays **125**.</t>
        </is>
      </c>
      <c r="E11" s="18" t="inlineStr">
        <is>
          <t>—</t>
        </is>
      </c>
      <c r="F11" s="19" t="inlineStr">
        <is>
          <t>VBA passes arguments ByRef by default, so a procedure can change the caller's variable. Write ByVal when a procedure must not do that. The parentheses trap catches experienced developers: when you call a Sub without Call, wrapping one argument in parentheses evaluates it first and passes the result, which silently turns ByRef into ByVal. Call Subs without parentheses, or use Call AddFeeByRef(charge).</t>
        </is>
      </c>
    </row>
    <row r="12" ht="409" customHeight="1">
      <c r="A12" s="18" t="inlineStr">
        <is>
          <t>8</t>
        </is>
      </c>
      <c r="B12" s="19" t="inlineStr">
        <is>
          <t>Complete CountDenialReasons in starter/ClaimDictionaries.bas: add every non-blank DenialReason on the Claims sheet to a Collection, using the reason itself as the key, so each reason is kept once. The macro writes the Collection's Count to Output!B4, and the gray cell reads it.</t>
        </is>
      </c>
      <c r="C12" s="50" t="n">
        <v>7</v>
      </c>
      <c r="D12" s="48" t="inlineStr">
        <is>
          <t>' Task 8: how many different denial reasons? A Collection refuses a duplicate
' key, so adding every reason with Key:=reason keeps exactly one of each.
Public Sub CountDenialReasons()
    Dim ws As Worksheet, claims As Variant
    Dim reasonCol As Long, r As Long, reason As String
    Dim reasons As Collection
    Set ws = ThisWorkbook.Worksheets("Claims")
    claims = ws.Range("A1").CurrentRegion.Value        ' header + data in one 2-D array
    reasonCol = HeaderColumn(ws, "DenialReason")
    Set reasons = New Collection
    For r = 2 To UBound(claims, 1)
        reason = Trim$(CStr(claims(r, reasonCol)))     ' a blank cell becomes ""
        If Len(reason) &gt; 0 Then AddIfNew reasons, reason
    Next r
    ThisWorkbook.Worksheets("Output").Range("B4").Value = reasons.Count
End Sub
' Adds keyText to a Collection once. Returns False if it was already there.
Private Function AddIfNew(col As Collection, ByVal keyText As String) As Boolean
    On Error Resume Next
    col.Add Item:=keyText, Key:=keyText    ' error 457 if the key already exists
    AddIfNew = (Err.Number = 0)
    On Error GoTo 0
End Function</t>
        </is>
      </c>
      <c r="E12" cm="1" s="51">
        <f t="array" ref="E12">ROWS(_xlfn.UNIQUE(_xlfn._xlws.FILTER('Claims'!$I$2:$I$1094,'Claims'!$I$2:$I$1094&lt;&gt;"")))</f>
        <v/>
      </c>
      <c r="F12" s="19" t="inlineStr">
        <is>
          <t>A Collection key must be unique, so adding a duplicate key raises run-time error 457. AddIfNew traps that error with On Error Resume Next, reads Err.Number, and switches trapping off again straight away with On Error GoTo 0. The 7 reasons are: Authorization Required, Coding Error, Duplicate Claim, Eligibility / Coverage, Medical Necessity, Missing Documentation, Timely Filing. Skipping blanks matters: most claims have no denial reason, and counting the empty string as a reason would give 8.</t>
        </is>
      </c>
    </row>
    <row r="13" ht="409" customHeight="1">
      <c r="A13" s="18" t="inlineStr">
        <is>
          <t>9</t>
        </is>
      </c>
      <c r="B13" s="19" t="inlineStr">
        <is>
          <t>Complete CountDistinctPatients: add every PatientID on the Claims sheet to a Scripting.Dictionary (Mac: a Collection) once, then write the number of keys to Output!B5. How many different patients had a claim?</t>
        </is>
      </c>
      <c r="C13" s="50" t="n">
        <v>631</v>
      </c>
      <c r="D13" s="48" t="inlineStr">
        <is>
          <t>' Task 9: how many different patients have a claim? Dictionary keys are unique.
Public Sub CountDistinctPatients()
    Dim ws As Worksheet, claims As Variant
    Dim patientCol As Long, r As Long
    Dim patients As Object                             ' late-bound Scripting.Dictionary
    Set ws = ThisWorkbook.Worksheets("Claims")
    claims = ws.Range("A1").CurrentRegion.Value
    patientCol = HeaderColumn(ws, "PatientID")
    Set patients = CreateObject("Scripting.Dictionary")
    For r = 2 To UBound(claims, 1)
        If Not patients.Exists(claims(r, patientCol)) Then
            patients.Add claims(r, patientCol), 1
        End If
    Next r
    ThisWorkbook.Worksheets("Output").Range("B5").Value = patients.Count
End Sub</t>
        </is>
      </c>
      <c r="E13" cm="1" s="51">
        <f t="array" ref="E13">ROWS(_xlfn.UNIQUE('Claims'!$B$2:$B$1094))</f>
        <v/>
      </c>
      <c r="F13" s="19" t="inlineStr">
        <is>
          <t>.Exists asks whether a key is already in the dictionary, so each PatientID is added once and .Count is the number of different patients. 1,093 claims come from 631 patients because 265 patients had more than one claim. Dim patients As Object with CreateObject is late binding: it needs no reference to the Scripting Runtime library, so the file works on any Windows PC. In Microsoft 365 the key's =ROWS(UNIQUE(…)) gives the same answer, but the dictionary pattern scales to jobs a formula can't do, like the bonus.</t>
        </is>
      </c>
    </row>
    <row r="14" ht="409" customHeight="1">
      <c r="A14" s="18" t="inlineStr">
        <is>
          <t>10</t>
        </is>
      </c>
      <c r="B14" s="19" t="inlineStr">
        <is>
          <t>Complete TopDeniedPayer: build one dictionary that maps PayerID → PayerName (from the Payers sheet) and another that counts the claims with ClaimStatus "Denied" for each PayerID (Mac: a Collection for the names, and SlotFor plus an array for the counts). Write the PayerName with the most denied claims to Output!B6 and its count to Output!B7. The gray cell reads B6.</t>
        </is>
      </c>
      <c r="C14" s="50" t="inlineStr">
        <is>
          <t>Silverline Medicare Advantage</t>
        </is>
      </c>
      <c r="D14" s="48" t="inlineStr">
        <is>
          <t>' Task 10: which payer has the most Denied claims? Two dictionaries:
' one to look up payer names, one to count.
Public Sub TopDeniedPayer()
    Dim wsClaims As Worksheet, claims As Variant, payers As Variant
    Dim payerCol As Long, statusCol As Long, r As Long
    Dim payerNames As Object, deniedCount As Object
    Dim payerID As Variant, bestID As String, bestCount As Long
    ' 1. Lookup dictionary: PayerID -&gt; PayerName
    Set payerNames = CreateObject("Scripting.Dictionary")
    payers = ThisWorkbook.Worksheets("Payers").Range("A1").CurrentRegion.Value
    For r = 2 To UBound(payers, 1)
        payerNames(payers(r, 1)) = payers(r, 2)        ' assigning to a new key adds it
    Next r
    ' 2. Counting dictionary: PayerID -&gt; number of Denied claims
    Set wsClaims = ThisWorkbook.Worksheets("Claims")
    claims = wsClaims.Range("A1").CurrentRegion.Value
    payerCol = HeaderColumn(wsClaims, "PayerID")
    statusCol = HeaderColumn(wsClaims, "ClaimStatus")
    Set deniedCount = CreateObject("Scripting.Dictionary")
    For r = 2 To UBound(claims, 1)
        If claims(r, statusCol) = "Denied" Then
            ' Reading a key that isn't there returns Empty (and adds it); Empty + 1 = 1
            deniedCount(claims(r, payerCol)) = deniedCount(claims(r, payerCol)) + 1
        End If
    Next r
    ' 3. Keep the largest count (on a tie, the payer seen first wins)
    For Each payerID In deniedCount.Keys
        If deniedCount(payerID) &gt; bestCount Then
            bestCount = deniedCount(payerID)
            bestID = payerID
        End If
    Next payerID
    With ThisWorkbook.Worksheets("Output")
        .Range("B6").Value = payerNames(bestID)
        .Range("B7").Value = bestCount
    End With
End Sub</t>
        </is>
      </c>
      <c r="E14" cm="1" s="51">
        <f t="array" ref="E14">INDEX('Payers'!$B$2:$B$9,MATCH(MAX(COUNTIFS('Claims'!$C$2:$C$1094,'Payers'!$A$2:$A$9,'Claims'!$H$2:$H$1094,"Denied")),COUNTIFS('Claims'!$C$2:$C$1094,'Payers'!$A$2:$A$9,'Claims'!$H$2:$H$1094,"Denied"),0))</f>
        <v/>
      </c>
      <c r="F14" s="19" t="inlineStr">
        <is>
          <t>deniedCount(id) = deniedCount(id) + 1 is the counting pattern: reading a key that isn't there yet returns Empty (and quietly adds the key), and Empty + 1 = 1. Then one loop over .Keys keeps the largest count. The lookup dictionary replaces a VLOOKUP inside the loop. Note that the payer with the most claims overall is Medicare (270 claims), but the most *denials* come from Silverline Medicare Advantage: 22 of its 180 claims.</t>
        </is>
      </c>
    </row>
    <row r="15" ht="111" customHeight="1">
      <c r="A15" s="18" t="inlineStr">
        <is>
          <t>11</t>
        </is>
      </c>
      <c r="B15" s="19" t="inlineStr">
        <is>
          <t>Snippet B reads five blood-glucose readings typed as text and adds them up, with an error handler that skips bad entries. What total does the last line print? Predict first, then run it to check.</t>
        </is>
      </c>
      <c r="C15" s="50" t="n">
        <v>303</v>
      </c>
      <c r="D15" s="48" t="inlineStr">
        <is>
          <t>CLng fails (run-time error 13, Type mismatch) on "abc" and on the empty string. Each time, VBA jumps to BadReading, prints a line, and `Resume Next` continues with the statement **after** the one that failed, which is `Next i`. So the bad items add nothing: 120 + 95 + 88 = **303**.</t>
        </is>
      </c>
      <c r="E15" s="18" t="inlineStr">
        <is>
          <t>—</t>
        </is>
      </c>
      <c r="F15" s="19" t="inlineStr">
        <is>
          <t>On Error GoTo label sends any run-time error to the handler, and the Exit Sub before the label keeps normal runs out of it. Inside the handler, Err.Number says what went wrong (13 = Type mismatch). Resume Next skips the failing statement, Resume retries it (an endless loop here, because "abc" never becomes a number), and Resume SomeLabel continues at a label.</t>
        </is>
      </c>
    </row>
    <row r="16" ht="96" customHeight="1">
      <c r="A16" s="18" t="inlineStr">
        <is>
          <t>12</t>
        </is>
      </c>
      <c r="B16" s="19" t="inlineStr">
        <is>
          <t>Snippet C reads the same five values with On Error Resume Next instead of a handler. What total does it print? Predict first, then run it to check.</t>
        </is>
      </c>
      <c r="C16" s="50" t="n">
        <v>518</v>
      </c>
      <c r="D16" s="48" t="inlineStr">
        <is>
          <t>When `CLng("abc")` fails, the assignment never happens, so `reading` still holds 120 from the line before, and it's added again. The same thing happens for "" (reading is still 95). 120 + 120 + 95 + 95 + 88 = **518**.</t>
        </is>
      </c>
      <c r="E16" s="18" t="inlineStr">
        <is>
          <t>—</t>
        </is>
      </c>
      <c r="F16" s="19" t="inlineStr">
        <is>
          <t>On Error Resume Next doesn't fix an error. It hides it. The variable keeps its previous value and the code carries on with wrong data: here 215 phantom units of glucose. Keep Resume Next to the one line you expect might fail, check Err.Number right after it, and switch back with On Error GoTo 0. AddIfNew in task 8 follows that pattern.</t>
        </is>
      </c>
    </row>
    <row r="17" ht="111" customHeight="1">
      <c r="A17" s="18" t="inlineStr">
        <is>
          <t>13</t>
        </is>
      </c>
      <c r="B17" s="19" t="inlineStr">
        <is>
          <t>Snippet D looks up a payer ID that doesn't exist (PY09), first with Application.Match and then with Application.WorksheetFunction.Match. The first prints a message. The second stops the macro with a run-time error. Type the error number. Predict first, then run it to check.</t>
        </is>
      </c>
      <c r="C17" s="50" t="n">
        <v>1004</v>
      </c>
      <c r="D17" s="48" t="inlineStr">
        <is>
          <t>`Application.Match` returns the error **value** Error 2042 (#N/A), which `IsError` detects, so the code prints "Application.Match: not found". `WorksheetFunction.Match` raises a run-time **error** instead: **1004**, *Unable to get the Match property of the WorksheetFunction class*.</t>
        </is>
      </c>
      <c r="E17" s="18" t="inlineStr">
        <is>
          <t>—</t>
        </is>
      </c>
      <c r="F17" s="19" t="inlineStr">
        <is>
          <t>Both call Excel's MATCH, but they report failure differently. Use Application.Match (result in a Variant, then IsError) when "not found" is a normal outcome, as in the HeaderColumn helper. WorksheetFunction.Match only makes sense when a miss is a real error that your handler should catch. The same split applies to VLOOKUP, INDEX, and the other lookup functions.</t>
        </is>
      </c>
    </row>
  </sheetData>
  <mergeCells count="1">
    <mergeCell ref="A2:F2"/>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45" t="inlineStr">
        <is>
          <t>🔑 Bonus Key — Lesson 5.4</t>
        </is>
      </c>
    </row>
    <row r="2" ht="32" customHeight="1">
      <c r="A2" s="37" t="inlineStr">
        <is>
          <t>Spoiler alert — try every task before reading this sheet. Column C is the value the Check column compares against. Column D is a sample solution; column E is that same formula, live, proving it works.</t>
        </is>
      </c>
    </row>
    <row r="4">
      <c r="A4" s="46" t="inlineStr">
        <is>
          <t>#</t>
        </is>
      </c>
      <c r="B4" s="46" t="inlineStr">
        <is>
          <t>Task</t>
        </is>
      </c>
      <c r="C4" s="46" t="inlineStr">
        <is>
          <t>Answer</t>
        </is>
      </c>
      <c r="D4" s="46" t="inlineStr">
        <is>
          <t>Sample solution</t>
        </is>
      </c>
      <c r="E4" s="46" t="inlineStr">
        <is>
          <t>Live result</t>
        </is>
      </c>
      <c r="F4" s="46" t="inlineStr">
        <is>
          <t>Explanation</t>
        </is>
      </c>
    </row>
    <row r="5" ht="409" customHeight="1">
      <c r="A5" s="18" t="inlineStr">
        <is>
          <t>B1</t>
        </is>
      </c>
      <c r="B5" s="19" t="inlineStr">
        <is>
          <t>Run BuildPayerSummary. Which payer has the third-highest billed charges? (It's the PayerName in cell B4 of PayerSummary, and the gray cell reads it.)</t>
        </is>
      </c>
      <c r="C5" s="50" t="inlineStr">
        <is>
          <t>Keystone Health Partners</t>
        </is>
      </c>
      <c r="D5" s="48" t="inlineStr">
        <is>
          <t>Public Sub BuildPayerSummary()
    Dim wsClaims As Worksheet, wsOut As Worksheet
    Dim claims As Variant, payers As Variant, outData() As Variant
    Dim payerNames As Object, stats As Object
    Dim colPayer As Long, colBilled As Long, colPaid As Long, colStatus As Long
    Dim r As Long, n As Long, totalRow As Long, skipped As Long
    Dim payerID As Variant, s As Variant
    Dim totClaims As Long, totDenied As Long, totBilled As Double, totPaid As Double
    Dim prevCalc As Long
    ' 1. Check first: a friendly message beats a crash
    If Not SheetExists("Claims") Or Not SheetExists("Payers") Then
        MsgBox "BuildPayerSummary needs a sheet named 'Claims' and a sheet named 'Payers'." &amp; vbNewLine &amp; _
               "One of them is missing or has been renamed. Fix that, then run the macro again.", _
               vbExclamation, "Payer summary"
        Exit Sub
    End If
    ' 2. From here on, any run-time error jumps to Fail, which restores Excel's settings
    prevCalc = Application.Calculation
    On Error GoTo Fail
    Application.ScreenUpdating = False
    Application.Calculation = xlCalculationManual
    Set wsClaims = ThisWorkbook.Worksheets("Claims")
    claims = wsClaims.Range("A1").CurrentRegion.Value2     ' Value2: plain numbers, no Currency/Date types
    colPayer = HeaderColumn(wsClaims, "PayerID")
    colBilled = HeaderColumn(wsClaims, "BilledAmount")
    colPaid = HeaderColumn(wsClaims, "PaidAmount")
    colStatus = HeaderColumn(wsClaims, "ClaimStatus")
    payers = ThisWorkbook.Worksheets("Payers").Range("A1").CurrentRegion.Value2
    ' 3. Lookup dictionary: PayerID -&gt; PayerName
    Set payerNames = CreateObject("Scripting.Dictionary")
    For r = 2 To UBound(payers, 1)
        payerNames(payers(r, 1)) = payers(r, 2)
    Next r
    ' 4. One pass over the claims: PayerID -&gt; Array(claims, billed, paid, denied)
    Set stats = CreateObject("Scripting.Dictionary")
    For r = 2 To UBound(claims, 1)
        If IsNumberValue(claims(r, colBilled)) And IsNumberValue(claims(r, colPaid)) Then
            payerID = claims(r, colPayer)
            If Not stats.Exists(payerID) Then stats.Add payerID, Array(0, 0, 0, 0)
            s = stats(payerID)                 ' copy the array out of the dictionary...
            s(0) = s(0) + 1
            s(1) = s(1) + claims(r, colBilled)
            s(2) = s(2) + claims(r, colPaid)
            If claims(r, colStatus) = "Denied" Then s(3) = s(3) + 1
            stats(payerID) = s                 ' ...and put it back: stats(payerID)(0) = 1 would not stick
        Else
            skipped = skipped + 1              ' blank or text amount
        End If
    Next r
    n = stats.Count
    If n = 0 Then Err.Raise vbObjectError + 514, "BuildPayerSummary", "No claim rows with numeric amounts were found."
    ' 5. Header + one row per payer, built in memory, plus the running totals
    ReDim outData(1 To n + 1, 1 To 7)
    outData(1, 1) = "PayerID": outData(1, 2) = "PayerName": outData(1, 3) = "Claims"
    outData(1, 4) = "Billed": outData(1, 5) = "Paid": outData(1, 6) = "Denied": outData(1, 7) = "DenialRate"
    r = 1
    For Each payerID In stats.Keys
        r = r + 1
        s = stats(payerID)
        outData(r, 1) = payerID
        If payerNames.Exists(payerID) Then
            outData(r, 2) = payerNames(payerID)
        Else
            outData(r, 2) = "(unknown payer)"
        End If
        outData(r, 3) = s(0): outData(r, 4) = s(1): outData(r, 5) = s(2): outData(r, 6) = s(3)
        outData(r, 7) = s(3) / s(0)
        totClaims = totClaims + s(0): totBilled = totBilled + s(1)
        totPaid = totPaid + s(2): totDenied = totDenied + s(3)
    Next payerID
    ' 6. A fresh output sheet: clear it if it exists, add it if it doesn't
    If SheetExists(OUT_SHEET) Then
        Set wsOut = ThisWorkbook.Worksheets(OUT_SHEET)
        wsOut.Cells.Clear
    Else
        Set wsOut = ThisWorkbook.Worksheets.Add(After:=ThisWorkbook.Worksheets("Payers"))
        wsOut.Name = OUT_SHEET
    End If
    ' 7. Write the block in one go, sort the payer rows by Billed (largest
    '    first), then add the TOTAL row and the skipped-rows line
    With wsOut
        .Range("A1").Resize(n + 1, 7).Value = outData
        .Range("A1").Resize(n + 1, 7).Sort Key1:=.Range("D1"), Order1:=xlDescending, Header:=xlYes
        totalRow = n + 2
        .Cells(totalRow, 1).Value = "TOTAL"
        .Cells(totalRow, 3).Value = totClaims
        .Cells(totalRow, 4).Value = totBilled
        .Cells(totalRow, 5).Value = totPaid
        .Cells(totalRow, 6).Value = totDenied
        .Cells(totalRow, 7).Value = totDenied / totClaims
        .Cells(totalRow + 2, 1).Value = "Rows skipped"
        .Cells(totalRow + 2, 2).Value = skipped
        .Range("D:E").NumberFormat = "#,##0.00"
        .Range("G:G").NumberFormat = "0.0%"
        .Rows(1).Font.Bold = True
        .Rows(totalRow).Font.Bold = True
        .Columns("A:G").AutoFit
    End With
CleanExit:
    On Error Resume Next                   ' cleanup must never raise an error of its own
    Application.Calculation = prevCalc
    Application.ScreenUpdating = True
    Exit Sub
Fail:
    MsgBox "BuildPayerSummary stopped: " &amp; Err.Description &amp; " (error " &amp; Err.Number &amp; ")", _
           vbCritical, "Payer summary"
    Resume CleanExit
End Sub
' ---------------------------------------------------------------------
' Helpers
' ---------------------------------------------------------------------
' True if this workbook has a sheet with that name.
Private Function SheetExists(ByVal sheetName As String) As Boolean
    Dim ws As Worksheet
    On Error Resume Next
    Set ws = ThisWorkbook.Worksheets(sheetName)    ' error 9 if there is no such sheet
    On Error GoTo 0
    SheetExists = Not ws Is Nothing
End Function
' Column number of a header in row 1. Raises a clear error if it is missing.
Private Function HeaderColumn(ws As Worksheet, ByVal headerText As String) As Long
    Dim pos As Variant
    pos = Application.Match(headerText, ws.Rows(1), 0)
    If IsError(pos) Then
        Err.Raise vbObjectError + 513, "HeaderColumn", _
                  "Column '" &amp; headerText &amp; "' was not found on sheet '" &amp; ws.Name &amp; "'."
    End If
    HeaderColumn = CLng(pos)
End Function
' True for real numbers (a blank cell or text is not a number).
Private Function IsNumberValue(v As Variant) As Boolean
    Select Case VarType(v)
        Case vbInteger, vbLong, vbSingle, vbDouble, vbCurrency, vbDecimal, vbByte
            IsNumberValue = True
        Case Else
            IsNumberValue = False
    End Select
End Function</t>
        </is>
      </c>
      <c r="E5" cm="1" s="51">
        <f t="array" ref="E5">INDEX(_xlfn.SORTBY('Payers'!$B$2:$B$9,SUMIFS('Claims'!$E$2:$E$1094,'Claims'!$C$2:$C$1094,'Payers'!$A$2:$A$9),-1),3)</f>
        <v/>
      </c>
      <c r="F5" s="19" t="inlineStr">
        <is>
          <t>The dictionary loop collects the totals in whatever order payers first appear. Sorting the written block, header excluded, puts the biggest payers on top: Medicare, Silverline Medicare Advantage, Keystone Health Partners. Third place is close (Keystone Health Partners billed 2,552,628.44 against 2,544,075.24 for State Medicaid), so an unsorted or wrongly sorted table shows ✘. The macro writes the whole block with one .Value = outData assignment, which is much faster than writing cell by cell. Mac: the Collection version is in solutions/PayerSummaryMac_Solution.bas.</t>
        </is>
      </c>
    </row>
    <row r="6" ht="126" customHeight="1">
      <c r="A6" s="18" t="inlineStr">
        <is>
          <t>B2</t>
        </is>
      </c>
      <c r="B6" s="19" t="inlineStr">
        <is>
          <t>What DenialRate does your PayerSummary show for Silverline Medicare Advantage? (The gray cell finds Silverline's row on PayerSummary and reads column G.)</t>
        </is>
      </c>
      <c r="C6" s="52" t="n">
        <v>0.1129943502824859</v>
      </c>
      <c r="D6" s="48" t="inlineStr">
        <is>
          <t>Read it from PayerSummary column G. Formula cross-check (blank and text amounts excluded): `=COUNTIFS(tblClaims[PayerID],"PY02",tblClaims[ClaimStatus],"Denied",tblClaims[BilledAmount],"&gt;=0")/COUNTIFS(tblClaims[PayerID],"PY02",tblClaims[BilledAmount],"&gt;=0")`</t>
        </is>
      </c>
      <c r="E6" cm="1" s="53">
        <f t="array" ref="E6">COUNTIFS('Claims'!$C$2:$C$1094,"PY02",'Claims'!$H$2:$H$1094,"Denied",'Claims'!$E$2:$E$1094,"&gt;=0")/COUNTIFS('Claims'!$C$2:$C$1094,"PY02",'Claims'!$E$2:$E$1094,"&gt;=0")</f>
        <v/>
      </c>
      <c r="F6" s="19" t="inlineStr">
        <is>
          <t>Silverline has 20 denied claims out of 177 kept rows. One Silverline denial has a blank BilledAmount. IsNumeric(Empty) returns True, so a macro that tests amounts with IsNumeric keeps that row and reports 11.8% instead of 11.3%. Test the type with VarType instead, as IsNumberValue does. Also watch the array trap: stats(id)(0) = stats(id)(0) + 1 changes a temporary copy and the dictionary never sees it. Copy the array out, change it, and assign it back.</t>
        </is>
      </c>
    </row>
    <row r="7" ht="96" customHeight="1">
      <c r="A7" s="18" t="inlineStr">
        <is>
          <t>B3</t>
        </is>
      </c>
      <c r="B7" s="19" t="inlineStr">
        <is>
          <t>What total Paid does the TOTAL row of PayerSummary show? (The gray cell reads column E of the TOTAL row, and the check compares it to the cent.)</t>
        </is>
      </c>
      <c r="C7" s="54" t="n">
        <v>4440116.72</v>
      </c>
      <c r="D7" s="48" t="inlineStr">
        <is>
          <t>Read it from the TOTAL row, column E. Formula cross-check: `=SUMIFS(tblClaims[PaidAmount],tblClaims[BilledAmount],"&gt;=0")`</t>
        </is>
      </c>
      <c r="E7" cm="1" s="55">
        <f t="array" ref="E7">SUMIFS('Claims'!$G$2:$G$1094,'Claims'!$E$2:$E$1094,"&gt;=0")</f>
        <v/>
      </c>
      <c r="F7" s="19" t="inlineStr">
        <is>
          <t>The macro adds each payer's figures to running totals while it builds the output array, then writes the TOTAL row after sorting, so the sort can't move it. It covers 1,088 claims and $16,722,301.02 billed. Writing the TOTAL row before sorting is a classic bug: Range.Sort would treat it as a payer and sort it to the top.</t>
        </is>
      </c>
    </row>
    <row r="8" ht="111" customHeight="1">
      <c r="A8" s="18" t="inlineStr">
        <is>
          <t>B4</t>
        </is>
      </c>
      <c r="B8" s="19" t="inlineStr">
        <is>
          <t>How many claim rows did your macro skip because BilledAmount or PaidAmount was not a number? (The gray cell reads the number next to 'Rows skipped'.)</t>
        </is>
      </c>
      <c r="C8" s="50" t="n">
        <v>5</v>
      </c>
      <c r="D8" s="48" t="inlineStr">
        <is>
          <t>Read it from the cell next to *Rows skipped*. Formula cross-check: `=ROWS(tblClaims[BilledAmount])-COUNT(tblClaims[BilledAmount])`</t>
        </is>
      </c>
      <c r="E8" cm="1" s="51">
        <f t="array" ref="E8">ROWS('Claims'!$E$2:$E$1094)-COUNT('Claims'!$E$2:$E$1094)</f>
        <v/>
      </c>
      <c r="F8" s="19" t="inlineStr">
        <is>
          <t>Filter the Claims sheet's BilledAmount column to find them: two are blank and three hold text (N/A, VOID). Without the check, s(1) + "N/A" raises run-time error 13 (Type mismatch), the handler stops the macro, and nobody gets a scorecard. Counting and reporting skipped rows is better than silently dropping them, because the director can see that 5 claims need fixing at the source.</t>
        </is>
      </c>
    </row>
    <row r="9" ht="306" customHeight="1">
      <c r="A9" s="18" t="inlineStr">
        <is>
          <t>B5</t>
        </is>
      </c>
      <c r="B9" s="19" t="inlineStr">
        <is>
          <t>Test the error handling. (1) Rename the Claims sheet to Claims_old and run BuildPayerSummary: you should get your friendly message, not a run-time error. (2) Rename it back. (3) Temporarily change the header text in the Claims sheet's BilledAmount cell (E1) to Billed and run the macro again: the Fail handler should report the missing column, and Formulas → Calculation Options should still show Automatic afterwards. (4) Put the header back and run the macro once more.</t>
        </is>
      </c>
      <c r="C9" s="50" t="n"/>
      <c r="D9" s="48" t="inlineStr">
        <is>
          <t>1. With Claims renamed, `SheetExists("Claims")` is False, so the macro shows the friendly MsgBox and exits **before** it changes any setting.
2. With the header renamed, `HeaderColumn` raises error vbObjectError + 513. HeaderColumn has no handler of its own, so the error travels up to BuildPayerSummary's `Fail` handler, which shows *Column 'BilledAmount' was not found on sheet 'Claims'*. Then `Resume CleanExit` restores Calculation and ScreenUpdating.
3. If Calculation Options shows Manual after the error, your error path skipped the cleanup block. Set it back with **Formulas → Calculation Options → Automatic**, then route the handler through `Resume CleanExit`. (Excel usually switches ScreenUpdating back on by itself when a macro ends, but the calculation mode stays manual for every open workbook until someone changes it.)</t>
        </is>
      </c>
      <c r="E9" s="18" t="inlineStr">
        <is>
          <t>—</t>
        </is>
      </c>
      <c r="F9" s="19" t="inlineStr">
        <is>
          <t>Good error handling has two layers. Validate the things you can predict (a missing sheet) and explain them in plain language. Trap everything else in one handler that tells the user what happened and always runs the cleanup code. Because errors travel up the call stack until they meet a handler, the custom error raised in a helper function is reported by the main macro's handler.</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5.4 — VBA: Custom Functions, Dictionaries &amp; Error Handling</dc:title>
  <dcterms:created xsi:type="dcterms:W3CDTF">2026-10-02T16:24:11Z</dcterms:created>
  <dcterms:modified xsi:type="dcterms:W3CDTF">2026-10-02T16:24:11Z</dcterms:modified>
</cp:coreProperties>
</file>
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BedBoard" sheetId="3" state="visible" r:id="rId3"/>
    <sheet name="Intake" sheetId="4" state="visible" r:id="rId4"/>
    <sheet name="Log" sheetId="5" state="visible" r:id="rId5"/>
    <sheet name="Combined" sheetId="6" state="visible" r:id="rId6"/>
    <sheet name="Settings" sheetId="7" state="visible" r:id="rId7"/>
    <sheet name="Lists" sheetId="8" state="visible" r:id="rId8"/>
    <sheet name="Bonus" sheetId="9" state="visible" r:id="rId9"/>
    <sheet name="Answer Key" sheetId="10" state="hidden" r:id="rId10"/>
    <sheet name="Bonus Key" sheetId="11" state="hidden" r:id="rId11"/>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6">
    <numFmt numFmtId="164" formatCode="yyyy-mm-dd h:mm:ss"/>
    <numFmt numFmtId="165" formatCode="mm/dd/yyyy hh:mm"/>
    <numFmt numFmtId="166" formatCode="0.0%"/>
    <numFmt numFmtId="167" formatCode="0.0"/>
    <numFmt numFmtId="168" formatCode="yyyy-mm-dd"/>
    <numFmt numFmtId="169" formatCode="mmmm yyyy"/>
  </numFmts>
  <fonts count="17">
    <font>
      <name val="Calibri"/>
      <family val="2"/>
      <color theme="1"/>
      <sz val="11"/>
      <scheme val="minor"/>
    </font>
    <font>
      <b val="1"/>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3"/>
    </font>
  </fonts>
  <fills count="8">
    <fill>
      <patternFill/>
    </fill>
    <fill>
      <patternFill patternType="gray125"/>
    </fill>
    <fill>
      <patternFill patternType="solid">
        <fgColor rgb="007B2C2C"/>
      </patternFill>
    </fill>
    <fill>
      <patternFill patternType="solid">
        <fgColor rgb="001F4E79"/>
      </patternFill>
    </fill>
    <fill>
      <patternFill patternType="solid">
        <fgColor rgb="00FFF2CC"/>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42">
    <xf numFmtId="0" fontId="0" fillId="0" borderId="0" pivotButton="0" quotePrefix="0" xfId="0"/>
    <xf numFmtId="0" fontId="12" fillId="0" borderId="0" pivotButton="0" quotePrefix="0" xfId="0"/>
    <xf numFmtId="0" fontId="13" fillId="0" borderId="0" pivotButton="0" quotePrefix="0" xfId="0"/>
    <xf numFmtId="0" fontId="3" fillId="0" borderId="0" pivotButton="0" quotePrefix="0" xfId="0"/>
    <xf numFmtId="0" fontId="14" fillId="3" borderId="0" pivotButton="0" quotePrefix="0" xfId="0"/>
    <xf numFmtId="0" fontId="0" fillId="3" borderId="0" pivotButton="0" quotePrefix="0" xfId="0"/>
    <xf numFmtId="0" fontId="15"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1" fillId="0" borderId="0" pivotButton="0" quotePrefix="0" xfId="0"/>
    <xf numFmtId="0" fontId="4"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0" fontId="0" fillId="4" borderId="2" applyAlignment="1" pivotButton="0" quotePrefix="0" xfId="0">
      <alignment horizontal="right" vertical="top"/>
    </xf>
    <xf numFmtId="0" fontId="1" fillId="0" borderId="1" applyAlignment="1" pivotButton="0" quotePrefix="0" xfId="0">
      <alignment vertical="top"/>
    </xf>
    <xf numFmtId="0" fontId="0" fillId="4" borderId="2" applyAlignment="1" pivotButton="0" quotePrefix="0" xfId="0">
      <alignment horizontal="left" vertical="top"/>
    </xf>
    <xf numFmtId="0" fontId="10" fillId="5" borderId="1" applyAlignment="1" pivotButton="0" quotePrefix="0" xfId="0">
      <alignment horizontal="right" vertical="top"/>
    </xf>
    <xf numFmtId="166" fontId="0" fillId="4" borderId="2" applyAlignment="1" pivotButton="0" quotePrefix="0" xfId="0">
      <alignment horizontal="right" vertical="top"/>
    </xf>
    <xf numFmtId="0" fontId="1" fillId="0" borderId="0" pivotButton="0" quotePrefix="0" xfId="0"/>
    <xf numFmtId="165" fontId="0" fillId="0" borderId="0" pivotButton="0" quotePrefix="0" xfId="0"/>
    <xf numFmtId="0" fontId="4" fillId="3" borderId="0" pivotButton="0" quotePrefix="0" xfId="0"/>
    <xf numFmtId="0" fontId="16" fillId="0" borderId="0" pivotButton="0" quotePrefix="0" xfId="0"/>
    <xf numFmtId="169" fontId="0" fillId="4" borderId="0" applyAlignment="1" pivotButton="0" quotePrefix="0" xfId="0">
      <alignment horizontal="left"/>
    </xf>
    <xf numFmtId="0" fontId="0" fillId="4" borderId="0" pivotButton="0" quotePrefix="0" xfId="0"/>
    <xf numFmtId="167" fontId="10" fillId="5" borderId="1" applyAlignment="1" pivotButton="0" quotePrefix="0" xfId="0">
      <alignment horizontal="right" vertical="top"/>
    </xf>
    <xf numFmtId="0" fontId="10" fillId="5" borderId="1" applyAlignment="1" pivotButton="0" quotePrefix="0" xfId="0">
      <alignment horizontal="left" vertical="top"/>
    </xf>
    <xf numFmtId="166" fontId="10" fillId="5" borderId="1" applyAlignment="1" pivotButton="0" quotePrefix="0" xfId="0">
      <alignment horizontal="right" vertical="top"/>
    </xf>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1" fillId="0" borderId="1" applyAlignment="1" pivotButton="0" quotePrefix="0" xfId="0">
      <alignment vertical="top" wrapText="1"/>
    </xf>
    <xf numFmtId="0" fontId="5" fillId="0" borderId="1" applyAlignment="1" pivotButton="0" quotePrefix="1" xfId="0">
      <alignment vertical="top" wrapText="1"/>
    </xf>
    <xf numFmtId="166" fontId="1" fillId="0" borderId="1" applyAlignment="1" pivotButton="0" quotePrefix="0" xfId="0">
      <alignment vertical="top" wrapText="1"/>
    </xf>
    <xf numFmtId="167" fontId="1"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 Id="rIdXlcMeta" Type="http://schemas.openxmlformats.org/officeDocument/2006/relationships/sheetMetadata" Target="metadata.xml"/></Relationships>
</file>

<file path=xl/tables/table1.xml><?xml version="1.0" encoding="utf-8"?>
<table xmlns="http://schemas.openxmlformats.org/spreadsheetml/2006/main" id="1" name="tblBeds" displayName="tblBeds" ref="A1:E37" headerRowCount="1">
  <autoFilter ref="A1:E37"/>
  <tableColumns count="5">
    <tableColumn id="1" name="BedID"/>
    <tableColumn id="2" name="Room"/>
    <tableColumn id="3" name="Status"/>
    <tableColumn id="4" name="StatusTime"/>
    <tableColumn id="5" name="Notes"/>
  </tableColumns>
  <tableStyleInfo name="TableStyleMedium2" showRowStripes="1"/>
</table>
</file>

<file path=xl/tables/table2.xml><?xml version="1.0" encoding="utf-8"?>
<table xmlns="http://schemas.openxmlformats.org/spreadsheetml/2006/main" id="2" name="tblIntake" displayName="tblIntake" ref="A1:J70" headerRowCount="1">
  <autoFilter ref="A1:J70"/>
  <tableColumns count="10">
    <tableColumn id="1" name="IntakeID"/>
    <tableColumn id="2" name="ArrivalDateTime"/>
    <tableColumn id="3" name="MRN"/>
    <tableColumn id="4" name="LastName"/>
    <tableColumn id="5" name="FirstName"/>
    <tableColumn id="6" name="ArrivalMode"/>
    <tableColumn id="7" name="ESILevel"/>
    <tableColumn id="8" name="ChiefComplaint"/>
    <tableColumn id="9" name="Interpreter"/>
    <tableColumn id="10" name="EnteredB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001F4E79"/>
    <outlinePr summaryBelow="1" summaryRight="1"/>
    <pageSetUpPr fitToPage="1"/>
  </sheetPr>
  <dimension ref="B2:C39"/>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5.5</t>
        </is>
      </c>
    </row>
    <row r="3">
      <c r="B3" s="2" t="inlineStr">
        <is>
          <t>Events, UserForms &amp; Automated Reports</t>
        </is>
      </c>
    </row>
    <row r="4">
      <c r="B4" s="3" t="inlineStr">
        <is>
          <t>Expert  ·  about 195 minutes  ·  Bluestone Health System (fictional)</t>
        </is>
      </c>
    </row>
    <row r="6">
      <c r="B6" s="4" t="inlineStr">
        <is>
          <t>What you'll learn</t>
        </is>
      </c>
      <c r="C6" s="5" t="n"/>
    </row>
    <row r="7" ht="18" customHeight="1">
      <c r="B7" s="6" t="inlineStr">
        <is>
          <t>•</t>
        </is>
      </c>
      <c r="C7" s="7" t="inlineStr">
        <is>
          <t>Respond to workbook and worksheet events (Open, Change, BeforeSave)</t>
        </is>
      </c>
    </row>
    <row r="8" ht="18" customHeight="1">
      <c r="B8" s="6" t="inlineStr">
        <is>
          <t>•</t>
        </is>
      </c>
      <c r="C8" s="7" t="inlineStr">
        <is>
          <t>Build a validated data-entry UserForm that writes to a Table</t>
        </is>
      </c>
    </row>
    <row r="9" ht="18" customHeight="1">
      <c r="B9" s="6" t="inlineStr">
        <is>
          <t>•</t>
        </is>
      </c>
      <c r="C9" s="7" t="inlineStr">
        <is>
          <t>Automate a report: combine files with Dir, export to PDF, save timestamped copies</t>
        </is>
      </c>
    </row>
    <row r="10" ht="18" customHeight="1">
      <c r="B10" s="6" t="inlineStr">
        <is>
          <t>•</t>
        </is>
      </c>
      <c r="C10" s="7" t="inlineStr">
        <is>
          <t>Know the safe limits of automation and when to use Office Scripts or Power Automate</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https://github.com/lmansf/learn-excel/tree/main/05-automation-vba/05-events-userforms-automation</t>
        </is>
      </c>
    </row>
    <row r="14" ht="33" customHeight="1">
      <c r="B14" s="8" t="inlineStr">
        <is>
          <t>2. Practice</t>
        </is>
      </c>
      <c r="C14" s="7" t="inlineStr">
        <is>
          <t>Go to the 'Practice' sheet. Type your answers for tasks 1–5 and 12 in the yellow cells. For tasks 6–11, finish and run your macros, and the gray cells fill in by themselves.</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Macros can't be saved in an .xlsx file. Before you write any code, choose File → Save As and pick 'Excel Macro-Enabled Workbook (*.xlsm)'.</t>
        </is>
      </c>
    </row>
    <row r="19" ht="33" customHeight="1">
      <c r="B19" s="8" t="inlineStr">
        <is>
          <t>Note</t>
        </is>
      </c>
      <c r="C19" s="7" t="inlineStr">
        <is>
          <t>Put the census_monthly folder (from the lesson's data folder or census_monthly.zip) in the same folder as your .xlsm. CombineCensusFiles looks for it there.</t>
        </is>
      </c>
    </row>
    <row r="20" ht="63" customHeight="1">
      <c r="B20" s="8" t="inlineStr">
        <is>
          <t>Note</t>
        </is>
      </c>
      <c r="C20" s="7" t="inlineStr">
        <is>
          <t>Starter code is in the lesson's starter/ folder. Open the Visual Basic Editor with Alt + F11 (Mac: Option + F11, or Developer → Visual Basic), then choose File → Import File… for modLog.bas and modReports.bas. Don't import the .cls and .vba files: paste each one into the module named at the top of the file (ThisWorkbook, the BedBoard sheet, or the frmIntake form you build in Guide §7).</t>
        </is>
      </c>
    </row>
    <row r="21" ht="33" customHeight="1">
      <c r="B21" s="8" t="inlineStr">
        <is>
          <t>Note</t>
        </is>
      </c>
      <c r="C21" s="7" t="inlineStr">
        <is>
          <t>The bonus macro creates Report_yyyy-mm sheets. The gray cells on the Bonus sheet read them, so they stay blank until the macro has run.</t>
        </is>
      </c>
    </row>
    <row r="23">
      <c r="B23" s="4" t="inlineStr">
        <is>
          <t>Color legend</t>
        </is>
      </c>
      <c r="C23" s="5" t="n"/>
    </row>
    <row r="24" ht="18" customHeight="1">
      <c r="B24" s="9" t="inlineStr">
        <is>
          <t>Yellow cell</t>
        </is>
      </c>
      <c r="C24" s="7" t="inlineStr">
        <is>
          <t>Your answer goes here.</t>
        </is>
      </c>
    </row>
    <row r="25" ht="18" customHeight="1">
      <c r="B25" s="10" t="inlineStr">
        <is>
          <t>Gray cell</t>
        </is>
      </c>
      <c r="C25" s="7" t="inlineStr">
        <is>
          <t>Pre-filled summary formula. It reads the work you did on another sheet, so don't type over it.</t>
        </is>
      </c>
    </row>
    <row r="26" ht="18" customHeight="1">
      <c r="B26" s="11" t="inlineStr">
        <is>
          <t>✔ Correct</t>
        </is>
      </c>
      <c r="C26" s="7" t="inlineStr">
        <is>
          <t>Your answer matches the key.</t>
        </is>
      </c>
    </row>
    <row r="27" ht="18" customHeight="1">
      <c r="B27" s="12" t="inlineStr">
        <is>
          <t>✘ Not yet</t>
        </is>
      </c>
      <c r="C27" s="7" t="inlineStr">
        <is>
          <t>Not matching yet. Check the hint and try again.</t>
        </is>
      </c>
    </row>
    <row r="29">
      <c r="B29" s="4" t="inlineStr">
        <is>
          <t>Sheets in this workbook</t>
        </is>
      </c>
      <c r="C29" s="5" t="n"/>
    </row>
    <row r="30" ht="18" customHeight="1">
      <c r="B30" s="8" t="inlineStr">
        <is>
          <t>Practice</t>
        </is>
      </c>
      <c r="C30" s="7" t="inlineStr">
        <is>
          <t>12 practice tasks, each with a Check cell.</t>
        </is>
      </c>
    </row>
    <row r="31" ht="18" customHeight="1">
      <c r="B31" s="8" t="inlineStr">
        <is>
          <t>BedBoard</t>
        </is>
      </c>
      <c r="C31" s="7" t="inlineStr">
        <is>
          <t>Data: 36 rows, in the Excel Table 'tblBeds'</t>
        </is>
      </c>
    </row>
    <row r="32" ht="18" customHeight="1">
      <c r="B32" s="8" t="inlineStr">
        <is>
          <t>Intake</t>
        </is>
      </c>
      <c r="C32" s="7" t="inlineStr">
        <is>
          <t>Data: 69 rows, in the Excel Table 'tblIntake'</t>
        </is>
      </c>
    </row>
    <row r="33" ht="18" customHeight="1">
      <c r="B33" s="8" t="inlineStr">
        <is>
          <t>Log</t>
        </is>
      </c>
      <c r="C33" s="7" t="inlineStr">
        <is>
          <t>Timestamp, Event, Detail, User. WriteLog adds a row here each time your code calls it (tasks 6–7).</t>
        </is>
      </c>
    </row>
    <row r="34" ht="33" customHeight="1">
      <c r="B34" s="8" t="inlineStr">
        <is>
          <t>Combined</t>
        </is>
      </c>
      <c r="C34" s="7" t="inlineStr">
        <is>
          <t>Headers only. CombineCensusFiles fills it with the rows of the 12 monthly census CSV files (tasks 11–12 and the bonus).</t>
        </is>
      </c>
    </row>
    <row r="35" ht="33" customHeight="1">
      <c r="B35" s="8" t="inlineStr">
        <is>
          <t>Settings</t>
        </is>
      </c>
      <c r="C35" s="7" t="inlineStr">
        <is>
          <t>ReportMonth, CsvFolder, ReportFolder, and LastExport: the cells your report macros read and write (task 11 and the bonus).</t>
        </is>
      </c>
    </row>
    <row r="36" ht="18" customHeight="1">
      <c r="B36" s="8" t="inlineStr">
        <is>
          <t>Lists</t>
        </is>
      </c>
      <c r="C36" s="7" t="inlineStr">
        <is>
          <t>Arrival modes and chief complaints for the intake form's drop-down lists (tasks 8–10).</t>
        </is>
      </c>
    </row>
    <row r="37" ht="18" customHeight="1">
      <c r="B37" s="8" t="inlineStr">
        <is>
          <t>Bonus</t>
        </is>
      </c>
      <c r="C37" s="7" t="inlineStr">
        <is>
          <t>The bonus challenge (5 parts).</t>
        </is>
      </c>
    </row>
    <row r="38" ht="48" customHeight="1">
      <c r="B38" s="8" t="inlineStr">
        <is>
          <t>About the data</t>
        </is>
      </c>
      <c r="C38" s="7" t="inlineStr">
        <is>
          <t>Bluestone Memorial Hospital: the 4 West bed board (36 beds, 12/31/2025) and the ED intake log (Dec 25–31, 2025), plus 12 monthly census CSV files covering all 18 inpatient units in the health system in 2025 (6,570 rows).</t>
        </is>
      </c>
    </row>
    <row r="39" ht="18" customHeight="1">
      <c r="B39" s="8" t="inlineStr">
        <is>
          <t>Disclaimer</t>
        </is>
      </c>
      <c r="C39"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7"/>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5.5 · Practice</t>
        </is>
      </c>
    </row>
    <row r="2" ht="34" customHeight="1">
      <c r="A2" s="14" t="inlineStr">
        <is>
          <t>Tasks 1–5 are quick concept checks you can answer from the guide. Tasks 6–12 are build tasks: save this workbook as an .xlsm first, import the starter modules, and work in order. The gray cells read what your macros write, so they stay blank until your code has run.</t>
        </is>
      </c>
    </row>
    <row r="3" ht="34" customHeight="1">
      <c r="A3" s="15" t="inlineStr">
        <is>
          <t>Type your answers for tasks 1–5 and 12 in the yellow cells. The gray cells for tasks 6–11 fill in once your macros have run. The Check column turns green when your answer matches. Stuck? Read the hint, then the lesson guide. Answers: right-click a sheet tab → Unhide… → 'Answer Key'.</t>
        </is>
      </c>
    </row>
    <row r="4">
      <c r="A4" s="16">
        <f>"Score: "&amp;COUNTIF(E6:E17,"✔*")&amp;" of 12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On the BedBoard sheet, the Status column of tblBeds is C2:C37. Suppose you select A30:E40 and press Delete. Worksheet_Change runs once with Target = A30:E40. How many cells are in Intersect(Target, Range("C2:C37"))?</t>
        </is>
      </c>
      <c r="C6" s="20" t="inlineStr">
        <is>
          <t>Intersect keeps only the cells that are in both ranges: shared columns AND shared rows</t>
        </is>
      </c>
      <c r="D6" s="21" t="n"/>
      <c r="E6" s="22">
        <f>IF(IFERROR(D6="",FALSE),"",IF(IFERROR(AND(ISNUMBER(D6),OR(ABS(D6-'Answer Key'!$C$5)&lt;=0.0001)),FALSE),"✔ Correct","✘ Not yet"))</f>
        <v/>
      </c>
    </row>
    <row r="7" ht="66" customHeight="1">
      <c r="A7" s="18" t="inlineStr">
        <is>
          <t>2</t>
        </is>
      </c>
      <c r="B7" s="19" t="inlineStr">
        <is>
          <t>A run-time error stopped your Worksheet_Change handler right after it set Application.EnableEvents = False, and now nothing happens when you edit a Status cell. Type the exact statement you would run in the Immediate window (Ctrl + G) to switch events back on.</t>
        </is>
      </c>
      <c r="C7" s="20" t="inlineStr">
        <is>
          <t>It's the same property your handler switched off</t>
        </is>
      </c>
      <c r="D7" s="23" t="n"/>
      <c r="E7" s="22">
        <f>IF(IFERROR(D7="",FALSE),"",IF(IFERROR(OR(LOWER(TRIM(D7&amp;""))=LOWER(TRIM('Answer Key'!$C$6&amp;"")),LOWER(TRIM(D7&amp;""))="application.enableevents=true",LOWER(TRIM(D7&amp;""))="application.enableevents = true"),FALSE),"✔ Correct","✘ Not yet"))</f>
        <v/>
      </c>
    </row>
    <row r="8" ht="51" customHeight="1">
      <c r="A8" s="18" t="inlineStr">
        <is>
          <t>3</t>
        </is>
      </c>
      <c r="B8" s="19" t="inlineStr">
        <is>
          <t>Your archive macro runs at 5:07 PM on 12/31/2025 and calls ThisWorkbook.SaveCopyAs folder &amp; "CensusReport_" &amp; Format(Now, "yyyy-mm-dd_hhnn") &amp; ".xlsm". What file name does it create? Type the name only, without the folder.</t>
        </is>
      </c>
      <c r="C8" s="20" t="inlineStr">
        <is>
          <t>Look up each code in the Format table in Guide §9 (hh is a 24-hour clock unless you add AM/PM)</t>
        </is>
      </c>
      <c r="D8" s="23" t="n"/>
      <c r="E8" s="22">
        <f>IF(IFERROR(D8="",FALSE),"",IF(IFERROR(OR(LOWER(TRIM(D8&amp;""))=LOWER(TRIM('Answer Key'!$C$7&amp;""))),FALSE),"✔ Correct","✘ Not yet"))</f>
        <v/>
      </c>
    </row>
    <row r="9" ht="81" customHeight="1">
      <c r="A9" s="18" t="inlineStr">
        <is>
          <t>4</t>
        </is>
      </c>
      <c r="B9" s="19" t="inlineStr">
        <is>
          <t>After ThisWorkbook.SaveCopyAs runs, which workbook are you working in? Type A, B, or C.
A = the original file (the copy was written to disk but isn't open)
B = the new copy (Excel switched to it, the way Save As does)
C = both files are open in Excel</t>
        </is>
      </c>
      <c r="C9" s="20" t="inlineStr">
        <is>
          <t>Compare Save, SaveAs, and SaveCopyAs in Guide §9</t>
        </is>
      </c>
      <c r="D9" s="23" t="n"/>
      <c r="E9" s="22">
        <f>IF(IFERROR(D9="",FALSE),"",IF(IFERROR(OR(LOWER(TRIM(D9&amp;""))=LOWER(TRIM('Answer Key'!$C$8&amp;""))),FALSE),"✔ Correct","✘ Not yet"))</f>
        <v/>
      </c>
    </row>
    <row r="10" ht="96" customHeight="1">
      <c r="A10" s="18" t="inlineStr">
        <is>
          <t>5</t>
        </is>
      </c>
      <c r="B10" s="19" t="inlineStr">
        <is>
          <t>The house supervisor wants the census summary rebuilt at 06:00 every morning and posted to a Microsoft Teams channel, even on days when nobody has Excel open. Which tool fits? Type A, B, or C.
A = Application.OnTime in your .xlsm
B = a Workbook_Open macro
C = an Office Script run by a scheduled Power Automate flow</t>
        </is>
      </c>
      <c r="C10" s="20" t="inlineStr">
        <is>
          <t>Which option doesn't need desktop Excel to be running?</t>
        </is>
      </c>
      <c r="D10" s="23" t="n"/>
      <c r="E10" s="22">
        <f>IF(IFERROR(D10="",FALSE),"",IF(IFERROR(OR(LOWER(TRIM(D10&amp;""))=LOWER(TRIM('Answer Key'!$C$9&amp;""))),FALSE),"✔ Correct","✘ Not yet"))</f>
        <v/>
      </c>
    </row>
    <row r="11" ht="81" customHeight="1">
      <c r="A11" s="18" t="inlineStr">
        <is>
          <t>6</t>
        </is>
      </c>
      <c r="B11" s="19" t="inlineStr">
        <is>
          <t>Save the workbook as .xlsm and import modLog. Paste starter/ThisWorkbook.cls into the ThisWorkbook module and finish Workbook_Open and Workbook_BeforeSave so they call WriteLog "Open", … and WriteLog "Save", …. Save, close, reopen with macros enabled, then save again. The gray cell shows TRUE when the Log sheet has at least one Open row and one Save row.</t>
        </is>
      </c>
      <c r="C11" s="20" t="inlineStr">
        <is>
          <t>Choose Workbook in the left drop-down of the ThisWorkbook code window, then the event on the right</t>
        </is>
      </c>
      <c r="D11" cm="1" s="24">
        <f t="array" ref="D11">IF(COUNTA(Log!B2:B1000)=0,"",AND(COUNTIF(Log!B2:B1000,"Open")&gt;0,COUNTIF(Log!B2:B1000,"Save")&gt;0))</f>
        <v/>
      </c>
      <c r="E11" s="22">
        <f>IF(IFERROR(D11="",FALSE),"",IF(IFERROR(D11='Answer Key'!$C$10,FALSE),"✔ Correct","✘ Not yet"))</f>
        <v/>
      </c>
    </row>
    <row r="12" ht="141" customHeight="1">
      <c r="A12" s="18" t="inlineStr">
        <is>
          <t>7</t>
        </is>
      </c>
      <c r="B12" s="19" t="inlineStr">
        <is>
          <t>Paste starter/BedBoard.cls into the BedBoard sheet's module and finish its Worksheet_Change handler. For each changed Status cell it should stamp StatusTime with Now and call WriteLog "Bed status", … once. Delete any "Bed status" rows that your testing left on the Log sheet, then make exactly these edits:
• Change 4W-405B's Status to Dirty.
• Select the Status cells of 4W-410A, 4W-410B, and 4W-411A, type Clean, and press Ctrl + Enter (Mac: ⌘ + Return) to fill all three at once.
• In 4W-415A's Notes cell, type Bed alarm on.
The gray cell counts the Log's "Bed status" rows.</t>
        </is>
      </c>
      <c r="C12" s="20" t="inlineStr">
        <is>
          <t>Intersect Target with the Status column, then loop For Each over the result</t>
        </is>
      </c>
      <c r="D12" cm="1" s="24">
        <f t="array" ref="D12">IF(COUNTIF(Log!B2:B1000,"Bed status")=0,"",COUNTIF(Log!B2:B1000,"Bed status"))</f>
        <v/>
      </c>
      <c r="E12" s="22">
        <f>IF(IFERROR(D12="",FALSE),"",IF(IFERROR(AND(ISNUMBER(D12),OR(ABS(D12-'Answer Key'!$C$11)&lt;=0.0001)),FALSE),"✔ Correct","✘ Not yet"))</f>
        <v/>
      </c>
    </row>
    <row r="13" ht="156" customHeight="1">
      <c r="A13" s="18" t="inlineStr">
        <is>
          <t>8</t>
        </is>
      </c>
      <c r="B13" s="19" t="inlineStr">
        <is>
          <t>Build frmIntake (Guide §6–7) and use it to add these three ED arrivals on 12/31/2025. Type each arrival as yyyy-mm-dd hh:mm, for example 2025-12-31 11:41.
• 11:41 · MRN 02718484 · King, Gerald · Walk-In · ESI 3 · Vomiting / Dizziness · interpreter needed
• 11:44 · MRN 00787672 · Cruz, Bobby · Walk-In · ESI 4 · Vomiting / Dizziness · no interpreter
• 11:52 · MRN 05525049 · Rice, Jennifer · Ambulance · ESI 2 · Shortness of Breath · no interpreter
Then try to save a fourth record with MRN 787672. Your form must refuse it. The gray cell shows how many rows tblIntake has now.</t>
        </is>
      </c>
      <c r="C13" s="20" t="inlineStr">
        <is>
          <t>ListRows.Add, then write each field into the new row</t>
        </is>
      </c>
      <c r="D13" cm="1" s="24">
        <f t="array" ref="D13">IF(ROWS(tblIntake[IntakeID])&lt;=69,"",ROWS(tblIntake[IntakeID]))</f>
        <v/>
      </c>
      <c r="E13" s="22">
        <f>IF(IFERROR(D13="",FALSE),"",IF(IFERROR(AND(ISNUMBER(D13),OR(ABS(D13-'Answer Key'!$C$12)&lt;=0.0001)),FALSE),"✔ Correct","✘ Not yet"))</f>
        <v/>
      </c>
    </row>
    <row r="14" ht="66" customHeight="1">
      <c r="A14" s="18" t="inlineStr">
        <is>
          <t>9</t>
        </is>
      </c>
      <c r="B14" s="19" t="inlineStr">
        <is>
          <t>How many MRNs in tblIntake are stored as 8-character text? The gray cell counts them with ISTEXT and LEN. If the count is lower than your row count in task 8, your form wrote some MRNs as numbers. Delete those rows, fix AddIntakeRow, and enter the patients again.</t>
        </is>
      </c>
      <c r="C14" s="20" t="inlineStr">
        <is>
          <t>A TextBox gives you text, but Excel converts number-like text that lands in a General cell</t>
        </is>
      </c>
      <c r="D14" cm="1" s="24">
        <f t="array" ref="D14">IF(ROWS(tblIntake[IntakeID])&lt;=69,"",SUMPRODUCT(--ISTEXT(tblIntake[MRN]),--(LEN(tblIntake[MRN])=8)))</f>
        <v/>
      </c>
      <c r="E14" s="22">
        <f>IF(IFERROR(D14="",FALSE),"",IF(IFERROR(AND(ISNUMBER(D14),OR(ABS(D14-'Answer Key'!$C$13)&lt;=0.0001)),FALSE),"✔ Correct","✘ Not yet"))</f>
        <v/>
      </c>
    </row>
    <row r="15" ht="36" customHeight="1">
      <c r="A15" s="18" t="inlineStr">
        <is>
          <t>10</t>
        </is>
      </c>
      <c r="B15" s="19" t="inlineStr">
        <is>
          <t>How many arrivals in tblIntake are ESI level 1 or 2 now? The gray cell uses COUNTIFS(tblIntake[ESILevel],"&lt;=2"), which counts only real numbers.</t>
        </is>
      </c>
      <c r="C15" s="20" t="inlineStr">
        <is>
          <t>Loop over the five option buttons with Me.Controls("optESI" &amp; i)</t>
        </is>
      </c>
      <c r="D15" cm="1" s="24">
        <f t="array" ref="D15">IF(ROWS(tblIntake[IntakeID])&lt;=69,"",COUNTIFS(tblIntake[ESILevel],"&lt;=2"))</f>
        <v/>
      </c>
      <c r="E15" s="22">
        <f>IF(IFERROR(D15="",FALSE),"",IF(IFERROR(AND(ISNUMBER(D15),OR(ABS(D15-'Answer Key'!$C$14)&lt;=0.0001)),FALSE),"✔ Correct","✘ Not yet"))</f>
        <v/>
      </c>
    </row>
    <row r="16" ht="81" customHeight="1">
      <c r="A16" s="18" t="inlineStr">
        <is>
          <t>11</t>
        </is>
      </c>
      <c r="B16" s="19" t="inlineStr">
        <is>
          <t>Finish CombineCensusFiles in modReports so it loops through every .csv file in the census_monthly folder with Dir, opens each one, copies its data rows (not its header) to the next empty row of the Combined sheet, and closes it without saving. Run it. The gray cell counts the data rows on Combined, or shows a message if column A holds text or blank rows.</t>
        </is>
      </c>
      <c r="C16" s="20" t="inlineStr">
        <is>
          <t>Dir(folder) gives the first file and Dir() each next one. CurrentRegion.Offset(1).Resize(…) drops the header</t>
        </is>
      </c>
      <c r="D16" cm="1" s="24">
        <f t="array" ref="D16">IF(COUNTA(Combined!A2:A20000)=0,"",IF(COUNT(Combined!A2:A20000)&lt;COUNTA(Combined!A2:A20000),"Text rows found",IF(COUNTBLANK(Combined!A2:INDEX(Combined!A2:A20000,COUNTA(Combined!A2:A20000)))&gt;0,"Blank rows found",COUNTA(Combined!A2:A20000))))</f>
        <v/>
      </c>
      <c r="E16" s="22">
        <f>IF(IFERROR(D16="",FALSE),"",IF(IFERROR(AND(ISNUMBER(D16),OR(ABS(D16-'Answer Key'!$C$15)&lt;=0.0001)),FALSE),"✔ Correct","✘ Not yet"))</f>
        <v/>
      </c>
    </row>
    <row r="17" ht="66" customHeight="1">
      <c r="A17" s="18" t="inlineStr">
        <is>
          <t>12</t>
        </is>
      </c>
      <c r="B17" s="19" t="inlineStr">
        <is>
          <t>Now analyze what your macro imported. In the yellow cell, write one formula that reads the Combined sheet: what was the 2025 occupancy of Bluestone Memorial's Intensive Care Unit (DeptID D130)? Use patient days (sum of MidnightCensus) ÷ bed days (sum of StaffedBeds), as a percentage to 1 decimal place.</t>
        </is>
      </c>
      <c r="C17" s="20" t="inlineStr">
        <is>
          <t>SUMIFS ÷ SUMIFS on the Combined columns</t>
        </is>
      </c>
      <c r="D17" s="25" t="n"/>
      <c r="E17" s="22">
        <f>IF(IFERROR(D17="",FALSE),"",IF(IFERROR(AND(ISNUMBER(D17),OR(ABS(D17-'Answer Key'!$C$16)&lt;=0.00051,ABS(D17-'Answer Key'!$C$16*100)&lt;=0.051000000000000004)),FALSE),"✔ Correct","✘ Not yet"))</f>
        <v/>
      </c>
    </row>
  </sheetData>
  <mergeCells count="3">
    <mergeCell ref="A2:E2"/>
    <mergeCell ref="A4:C4"/>
    <mergeCell ref="A3:E3"/>
  </mergeCells>
  <conditionalFormatting sqref="E6:E17">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37"/>
  <sheetViews>
    <sheetView tabSelected="0" workbookViewId="0">
      <pane ySplit="1" topLeftCell="A2" activePane="bottomLeft" state="frozen"/>
      <selection pane="bottomLeft" activeCell="A1" sqref="A1"/>
    </sheetView>
  </sheetViews>
  <sheetFormatPr baseColWidth="8" defaultRowHeight="15"/>
  <cols>
    <col width="11" customWidth="1" min="1" max="1"/>
    <col width="8" customWidth="1" min="2" max="2"/>
    <col width="12" customWidth="1" min="3" max="3"/>
    <col width="18" customWidth="1" min="4" max="4"/>
    <col width="44" customWidth="1" min="5" max="5"/>
  </cols>
  <sheetData>
    <row r="1">
      <c r="A1" s="26" t="inlineStr">
        <is>
          <t>BedID</t>
        </is>
      </c>
      <c r="B1" s="26" t="inlineStr">
        <is>
          <t>Room</t>
        </is>
      </c>
      <c r="C1" s="26" t="inlineStr">
        <is>
          <t>Status</t>
        </is>
      </c>
      <c r="D1" s="26" t="inlineStr">
        <is>
          <t>StatusTime</t>
        </is>
      </c>
      <c r="E1" s="26" t="inlineStr">
        <is>
          <t>Notes</t>
        </is>
      </c>
    </row>
    <row r="2">
      <c r="A2" t="inlineStr">
        <is>
          <t>4W-401A</t>
        </is>
      </c>
      <c r="B2" t="n">
        <v>401</v>
      </c>
      <c r="C2" t="inlineStr">
        <is>
          <t>Occupied</t>
        </is>
      </c>
      <c r="D2" s="27" t="n">
        <v>46017.33333333334</v>
      </c>
    </row>
    <row r="3">
      <c r="A3" t="inlineStr">
        <is>
          <t>4W-401B</t>
        </is>
      </c>
      <c r="B3" t="n">
        <v>401</v>
      </c>
      <c r="C3" t="inlineStr">
        <is>
          <t>Occupied</t>
        </is>
      </c>
      <c r="D3" s="27" t="n">
        <v>46017.60902777778</v>
      </c>
    </row>
    <row r="4">
      <c r="A4" t="inlineStr">
        <is>
          <t>4W-402A</t>
        </is>
      </c>
      <c r="B4" t="n">
        <v>402</v>
      </c>
      <c r="C4" t="inlineStr">
        <is>
          <t>Occupied</t>
        </is>
      </c>
      <c r="D4" s="27" t="n">
        <v>46017.88472222222</v>
      </c>
      <c r="E4" t="inlineStr">
        <is>
          <t>Fall risk</t>
        </is>
      </c>
    </row>
    <row r="5">
      <c r="A5" t="inlineStr">
        <is>
          <t>4W-402B</t>
        </is>
      </c>
      <c r="B5" t="n">
        <v>402</v>
      </c>
      <c r="C5" t="inlineStr">
        <is>
          <t>Occupied</t>
        </is>
      </c>
      <c r="D5" s="27" t="n">
        <v>46018.16041666667</v>
      </c>
    </row>
    <row r="6">
      <c r="A6" t="inlineStr">
        <is>
          <t>4W-403A</t>
        </is>
      </c>
      <c r="B6" t="n">
        <v>403</v>
      </c>
      <c r="C6" t="inlineStr">
        <is>
          <t>Occupied</t>
        </is>
      </c>
      <c r="D6" s="27" t="n">
        <v>46018.43611111111</v>
      </c>
    </row>
    <row r="7">
      <c r="A7" t="inlineStr">
        <is>
          <t>4W-403B</t>
        </is>
      </c>
      <c r="B7" t="n">
        <v>403</v>
      </c>
      <c r="C7" t="inlineStr">
        <is>
          <t>Occupied</t>
        </is>
      </c>
      <c r="D7" s="27" t="n">
        <v>46018.71180555555</v>
      </c>
    </row>
    <row r="8">
      <c r="A8" t="inlineStr">
        <is>
          <t>4W-404A</t>
        </is>
      </c>
      <c r="B8" t="n">
        <v>404</v>
      </c>
      <c r="C8" t="inlineStr">
        <is>
          <t>Occupied</t>
        </is>
      </c>
      <c r="D8" s="27" t="n">
        <v>46018.9875</v>
      </c>
    </row>
    <row r="9">
      <c r="A9" t="inlineStr">
        <is>
          <t>4W-404B</t>
        </is>
      </c>
      <c r="B9" t="n">
        <v>404</v>
      </c>
      <c r="C9" t="inlineStr">
        <is>
          <t>Occupied</t>
        </is>
      </c>
      <c r="D9" s="27" t="n">
        <v>46019.26319444444</v>
      </c>
    </row>
    <row r="10">
      <c r="A10" t="inlineStr">
        <is>
          <t>4W-405A</t>
        </is>
      </c>
      <c r="B10" t="n">
        <v>405</v>
      </c>
      <c r="C10" t="inlineStr">
        <is>
          <t>Occupied</t>
        </is>
      </c>
      <c r="D10" s="27" t="n">
        <v>46019.53888888889</v>
      </c>
    </row>
    <row r="11">
      <c r="A11" t="inlineStr">
        <is>
          <t>4W-405B</t>
        </is>
      </c>
      <c r="B11" t="n">
        <v>405</v>
      </c>
      <c r="C11" t="inlineStr">
        <is>
          <t>Occupied</t>
        </is>
      </c>
      <c r="D11" s="27" t="n">
        <v>46019.81458333333</v>
      </c>
      <c r="E11" t="inlineStr">
        <is>
          <t>Discharge order written; waiting for ride</t>
        </is>
      </c>
    </row>
    <row r="12">
      <c r="A12" t="inlineStr">
        <is>
          <t>4W-406A</t>
        </is>
      </c>
      <c r="B12" t="n">
        <v>406</v>
      </c>
      <c r="C12" t="inlineStr">
        <is>
          <t>Occupied</t>
        </is>
      </c>
      <c r="D12" s="27" t="n">
        <v>46020.09027777778</v>
      </c>
    </row>
    <row r="13">
      <c r="A13" t="inlineStr">
        <is>
          <t>4W-406B</t>
        </is>
      </c>
      <c r="B13" t="n">
        <v>406</v>
      </c>
      <c r="C13" t="inlineStr">
        <is>
          <t>Occupied</t>
        </is>
      </c>
      <c r="D13" s="27" t="n">
        <v>46020.36597222222</v>
      </c>
    </row>
    <row r="14">
      <c r="A14" t="inlineStr">
        <is>
          <t>4W-407A</t>
        </is>
      </c>
      <c r="B14" t="n">
        <v>407</v>
      </c>
      <c r="C14" t="inlineStr">
        <is>
          <t>Occupied</t>
        </is>
      </c>
      <c r="D14" s="27" t="n">
        <v>46020.64166666667</v>
      </c>
    </row>
    <row r="15">
      <c r="A15" t="inlineStr">
        <is>
          <t>4W-407B</t>
        </is>
      </c>
      <c r="B15" t="n">
        <v>407</v>
      </c>
      <c r="C15" t="inlineStr">
        <is>
          <t>Occupied</t>
        </is>
      </c>
      <c r="D15" s="27" t="n">
        <v>46020.91736111111</v>
      </c>
    </row>
    <row r="16">
      <c r="A16" t="inlineStr">
        <is>
          <t>4W-408A</t>
        </is>
      </c>
      <c r="B16" t="n">
        <v>408</v>
      </c>
      <c r="C16" t="inlineStr">
        <is>
          <t>Occupied</t>
        </is>
      </c>
      <c r="D16" s="27" t="n">
        <v>46021.19305555556</v>
      </c>
    </row>
    <row r="17">
      <c r="A17" t="inlineStr">
        <is>
          <t>4W-408B</t>
        </is>
      </c>
      <c r="B17" t="n">
        <v>408</v>
      </c>
      <c r="C17" t="inlineStr">
        <is>
          <t>Occupied</t>
        </is>
      </c>
      <c r="D17" s="27" t="n">
        <v>46021.46875</v>
      </c>
    </row>
    <row r="18">
      <c r="A18" t="inlineStr">
        <is>
          <t>4W-409A</t>
        </is>
      </c>
      <c r="B18" t="n">
        <v>409</v>
      </c>
      <c r="C18" t="inlineStr">
        <is>
          <t>Occupied</t>
        </is>
      </c>
      <c r="D18" s="27" t="n">
        <v>46021.74444444444</v>
      </c>
    </row>
    <row r="19">
      <c r="A19" t="inlineStr">
        <is>
          <t>4W-409B</t>
        </is>
      </c>
      <c r="B19" t="n">
        <v>409</v>
      </c>
      <c r="C19" t="inlineStr">
        <is>
          <t>Occupied</t>
        </is>
      </c>
      <c r="D19" s="27" t="n">
        <v>46022.02013888889</v>
      </c>
      <c r="E19" t="inlineStr">
        <is>
          <t>Telemetry</t>
        </is>
      </c>
    </row>
    <row r="20">
      <c r="A20" t="inlineStr">
        <is>
          <t>4W-410A</t>
        </is>
      </c>
      <c r="B20" t="n">
        <v>410</v>
      </c>
      <c r="C20" t="inlineStr">
        <is>
          <t>Dirty</t>
        </is>
      </c>
      <c r="D20" s="27" t="n">
        <v>46022.45555555556</v>
      </c>
    </row>
    <row r="21">
      <c r="A21" t="inlineStr">
        <is>
          <t>4W-410B</t>
        </is>
      </c>
      <c r="B21" t="n">
        <v>410</v>
      </c>
      <c r="C21" t="inlineStr">
        <is>
          <t>Dirty</t>
        </is>
      </c>
      <c r="D21" s="27" t="n">
        <v>46022.46736111111</v>
      </c>
    </row>
    <row r="22">
      <c r="A22" t="inlineStr">
        <is>
          <t>4W-411A</t>
        </is>
      </c>
      <c r="B22" t="n">
        <v>411</v>
      </c>
      <c r="C22" t="inlineStr">
        <is>
          <t>Dirty</t>
        </is>
      </c>
      <c r="D22" s="27" t="n">
        <v>46022.42013888889</v>
      </c>
    </row>
    <row r="23">
      <c r="A23" t="inlineStr">
        <is>
          <t>4W-411B</t>
        </is>
      </c>
      <c r="B23" t="n">
        <v>411</v>
      </c>
      <c r="C23" t="inlineStr">
        <is>
          <t>Occupied</t>
        </is>
      </c>
      <c r="D23" s="27" t="n">
        <v>46018.12291666667</v>
      </c>
    </row>
    <row r="24">
      <c r="A24" t="inlineStr">
        <is>
          <t>4W-412A</t>
        </is>
      </c>
      <c r="B24" t="n">
        <v>412</v>
      </c>
      <c r="C24" t="inlineStr">
        <is>
          <t>Occupied</t>
        </is>
      </c>
      <c r="D24" s="27" t="n">
        <v>46018.39861111111</v>
      </c>
    </row>
    <row r="25">
      <c r="A25" t="inlineStr">
        <is>
          <t>4W-412B</t>
        </is>
      </c>
      <c r="B25" t="n">
        <v>412</v>
      </c>
      <c r="C25" t="inlineStr">
        <is>
          <t>Occupied</t>
        </is>
      </c>
      <c r="D25" s="27" t="n">
        <v>46018.67430555556</v>
      </c>
    </row>
    <row r="26">
      <c r="A26" t="inlineStr">
        <is>
          <t>4W-413A</t>
        </is>
      </c>
      <c r="B26" t="n">
        <v>413</v>
      </c>
      <c r="C26" t="inlineStr">
        <is>
          <t>Occupied</t>
        </is>
      </c>
      <c r="D26" s="27" t="n">
        <v>46018.95</v>
      </c>
    </row>
    <row r="27">
      <c r="A27" t="inlineStr">
        <is>
          <t>4W-413B</t>
        </is>
      </c>
      <c r="B27" t="n">
        <v>413</v>
      </c>
      <c r="C27" t="inlineStr">
        <is>
          <t>Occupied</t>
        </is>
      </c>
      <c r="D27" s="27" t="n">
        <v>46019.22569444445</v>
      </c>
    </row>
    <row r="28">
      <c r="A28" t="inlineStr">
        <is>
          <t>4W-414A</t>
        </is>
      </c>
      <c r="B28" t="n">
        <v>414</v>
      </c>
      <c r="C28" t="inlineStr">
        <is>
          <t>Occupied</t>
        </is>
      </c>
      <c r="D28" s="27" t="n">
        <v>46019.50138888889</v>
      </c>
      <c r="E28" t="inlineStr">
        <is>
          <t>NPO after midnight</t>
        </is>
      </c>
    </row>
    <row r="29">
      <c r="A29" t="inlineStr">
        <is>
          <t>4W-414B</t>
        </is>
      </c>
      <c r="B29" t="n">
        <v>414</v>
      </c>
      <c r="C29" t="inlineStr">
        <is>
          <t>Occupied</t>
        </is>
      </c>
      <c r="D29" s="27" t="n">
        <v>46019.77708333333</v>
      </c>
    </row>
    <row r="30">
      <c r="A30" t="inlineStr">
        <is>
          <t>4W-415A</t>
        </is>
      </c>
      <c r="B30" t="n">
        <v>415</v>
      </c>
      <c r="C30" t="inlineStr">
        <is>
          <t>Occupied</t>
        </is>
      </c>
      <c r="D30" s="27" t="n">
        <v>46020.05277777778</v>
      </c>
    </row>
    <row r="31">
      <c r="A31" t="inlineStr">
        <is>
          <t>4W-415B</t>
        </is>
      </c>
      <c r="B31" t="n">
        <v>415</v>
      </c>
      <c r="C31" t="inlineStr">
        <is>
          <t>Occupied</t>
        </is>
      </c>
      <c r="D31" s="27" t="n">
        <v>46020.32847222222</v>
      </c>
    </row>
    <row r="32">
      <c r="A32" t="inlineStr">
        <is>
          <t>4W-416A</t>
        </is>
      </c>
      <c r="B32" t="n">
        <v>416</v>
      </c>
      <c r="C32" t="inlineStr">
        <is>
          <t>Occupied</t>
        </is>
      </c>
      <c r="D32" s="27" t="n">
        <v>46020.60416666666</v>
      </c>
    </row>
    <row r="33">
      <c r="A33" t="inlineStr">
        <is>
          <t>4W-416B</t>
        </is>
      </c>
      <c r="B33" t="n">
        <v>416</v>
      </c>
      <c r="C33" t="inlineStr">
        <is>
          <t>Occupied</t>
        </is>
      </c>
      <c r="D33" s="27" t="n">
        <v>46020.87986111111</v>
      </c>
    </row>
    <row r="34">
      <c r="A34" t="inlineStr">
        <is>
          <t>4W-417A</t>
        </is>
      </c>
      <c r="B34" t="n">
        <v>417</v>
      </c>
      <c r="C34" t="inlineStr">
        <is>
          <t>Occupied</t>
        </is>
      </c>
      <c r="D34" s="27" t="n">
        <v>46021.15555555555</v>
      </c>
    </row>
    <row r="35">
      <c r="A35" t="inlineStr">
        <is>
          <t>4W-417B</t>
        </is>
      </c>
      <c r="B35" t="n">
        <v>417</v>
      </c>
      <c r="C35" t="inlineStr">
        <is>
          <t>Clean</t>
        </is>
      </c>
      <c r="D35" s="27" t="n">
        <v>46022.39652777778</v>
      </c>
    </row>
    <row r="36">
      <c r="A36" t="inlineStr">
        <is>
          <t>4W-418A</t>
        </is>
      </c>
      <c r="B36" t="n">
        <v>418</v>
      </c>
      <c r="C36" t="inlineStr">
        <is>
          <t>Blocked</t>
        </is>
      </c>
      <c r="D36" s="27" t="n">
        <v>46021.75</v>
      </c>
      <c r="E36" t="inlineStr">
        <is>
          <t>Contact isolation; room needs terminal clean</t>
        </is>
      </c>
    </row>
    <row r="37">
      <c r="A37" t="inlineStr">
        <is>
          <t>4W-418B</t>
        </is>
      </c>
      <c r="B37" t="n">
        <v>418</v>
      </c>
      <c r="C37" t="inlineStr">
        <is>
          <t>Clean</t>
        </is>
      </c>
      <c r="D37" s="27" t="n">
        <v>46022.41180555556</v>
      </c>
    </row>
  </sheetData>
  <dataValidations count="1">
    <dataValidation sqref="C2:C37" showDropDown="0" showInputMessage="0" showErrorMessage="1" allowBlank="1" errorTitle="Bed status" error="Choose Occupied, Clean, Dirty, or Blocked." type="list">
      <formula1>"Occupied,Clean,Dirty,Blocked"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70"/>
  <sheetViews>
    <sheetView tabSelected="0" workbookViewId="0">
      <pane ySplit="1" topLeftCell="A2" activePane="bottomLeft" state="frozen"/>
      <selection pane="bottomLeft" activeCell="A1" sqref="A1"/>
    </sheetView>
  </sheetViews>
  <sheetFormatPr baseColWidth="8" defaultRowHeight="15"/>
  <cols>
    <col width="10" customWidth="1" min="1" max="1"/>
    <col width="17" customWidth="1" min="2" max="2"/>
    <col width="11" customWidth="1" min="3" max="3"/>
    <col width="12" customWidth="1" min="4" max="4"/>
    <col width="12" customWidth="1" min="5" max="5"/>
    <col width="13" customWidth="1" min="6" max="6"/>
    <col width="10" customWidth="1" min="7" max="7"/>
    <col width="30" customWidth="1" min="8" max="8"/>
    <col width="12" customWidth="1" min="9" max="9"/>
    <col width="12" customWidth="1" min="10" max="10"/>
  </cols>
  <sheetData>
    <row r="1">
      <c r="A1" s="26" t="inlineStr">
        <is>
          <t>IntakeID</t>
        </is>
      </c>
      <c r="B1" s="26" t="inlineStr">
        <is>
          <t>ArrivalDateTime</t>
        </is>
      </c>
      <c r="C1" s="26" t="inlineStr">
        <is>
          <t>MRN</t>
        </is>
      </c>
      <c r="D1" s="26" t="inlineStr">
        <is>
          <t>LastName</t>
        </is>
      </c>
      <c r="E1" s="26" t="inlineStr">
        <is>
          <t>FirstName</t>
        </is>
      </c>
      <c r="F1" s="26" t="inlineStr">
        <is>
          <t>ArrivalMode</t>
        </is>
      </c>
      <c r="G1" s="26" t="inlineStr">
        <is>
          <t>ESILevel</t>
        </is>
      </c>
      <c r="H1" s="26" t="inlineStr">
        <is>
          <t>ChiefComplaint</t>
        </is>
      </c>
      <c r="I1" s="26" t="inlineStr">
        <is>
          <t>Interpreter</t>
        </is>
      </c>
      <c r="J1" s="26" t="inlineStr">
        <is>
          <t>EnteredBy</t>
        </is>
      </c>
    </row>
    <row r="2">
      <c r="A2" t="n">
        <v>1001</v>
      </c>
      <c r="B2" s="27" t="n">
        <v>46016.11388888889</v>
      </c>
      <c r="C2" t="inlineStr">
        <is>
          <t>09245333</t>
        </is>
      </c>
      <c r="D2" t="inlineStr">
        <is>
          <t>Hunt</t>
        </is>
      </c>
      <c r="E2" t="inlineStr">
        <is>
          <t>Karen</t>
        </is>
      </c>
      <c r="F2" t="inlineStr">
        <is>
          <t>Walk-In</t>
        </is>
      </c>
      <c r="G2" t="n">
        <v>3</v>
      </c>
      <c r="H2" t="inlineStr">
        <is>
          <t>Painful Urination / Fever</t>
        </is>
      </c>
      <c r="I2" t="b">
        <v>0</v>
      </c>
      <c r="J2" t="inlineStr">
        <is>
          <t>M. Reyes</t>
        </is>
      </c>
    </row>
    <row r="3">
      <c r="A3" t="n">
        <v>1002</v>
      </c>
      <c r="B3" s="27" t="n">
        <v>46016.29097222222</v>
      </c>
      <c r="C3" t="inlineStr">
        <is>
          <t>03407617</t>
        </is>
      </c>
      <c r="D3" t="inlineStr">
        <is>
          <t>Harris</t>
        </is>
      </c>
      <c r="E3" t="inlineStr">
        <is>
          <t>Priya</t>
        </is>
      </c>
      <c r="F3" t="inlineStr">
        <is>
          <t>Ambulance</t>
        </is>
      </c>
      <c r="G3" t="n">
        <v>2</v>
      </c>
      <c r="H3" t="inlineStr">
        <is>
          <t>Confusion</t>
        </is>
      </c>
      <c r="I3" t="b">
        <v>0</v>
      </c>
      <c r="J3" t="inlineStr">
        <is>
          <t>M. Reyes</t>
        </is>
      </c>
    </row>
    <row r="4">
      <c r="A4" t="n">
        <v>1003</v>
      </c>
      <c r="B4" s="27" t="n">
        <v>46016.30833333333</v>
      </c>
      <c r="C4" t="inlineStr">
        <is>
          <t>07139825</t>
        </is>
      </c>
      <c r="D4" t="inlineStr">
        <is>
          <t>Hamilton</t>
        </is>
      </c>
      <c r="E4" t="inlineStr">
        <is>
          <t>George</t>
        </is>
      </c>
      <c r="F4" t="inlineStr">
        <is>
          <t>Walk-In</t>
        </is>
      </c>
      <c r="G4" t="n">
        <v>3</v>
      </c>
      <c r="H4" t="inlineStr">
        <is>
          <t>Abdominal Pain</t>
        </is>
      </c>
      <c r="I4" t="b">
        <v>0</v>
      </c>
      <c r="J4" t="inlineStr">
        <is>
          <t>D. Okafor</t>
        </is>
      </c>
    </row>
    <row r="5">
      <c r="A5" t="n">
        <v>1004</v>
      </c>
      <c r="B5" s="27" t="n">
        <v>46016.37777777778</v>
      </c>
      <c r="C5" t="inlineStr">
        <is>
          <t>02337120</t>
        </is>
      </c>
      <c r="D5" t="inlineStr">
        <is>
          <t>Morales</t>
        </is>
      </c>
      <c r="E5" t="inlineStr">
        <is>
          <t>Jacob</t>
        </is>
      </c>
      <c r="F5" t="inlineStr">
        <is>
          <t>Walk-In</t>
        </is>
      </c>
      <c r="G5" t="n">
        <v>4</v>
      </c>
      <c r="H5" t="inlineStr">
        <is>
          <t>Vomiting / Diarrhea</t>
        </is>
      </c>
      <c r="I5" t="b">
        <v>0</v>
      </c>
      <c r="J5" t="inlineStr">
        <is>
          <t>D. Okafor</t>
        </is>
      </c>
    </row>
    <row r="6">
      <c r="A6" t="n">
        <v>1005</v>
      </c>
      <c r="B6" s="27" t="n">
        <v>46016.39722222222</v>
      </c>
      <c r="C6" t="inlineStr">
        <is>
          <t>07621293</t>
        </is>
      </c>
      <c r="D6" t="inlineStr">
        <is>
          <t>Adams</t>
        </is>
      </c>
      <c r="E6" t="inlineStr">
        <is>
          <t>Steven</t>
        </is>
      </c>
      <c r="F6" t="inlineStr">
        <is>
          <t>Walk-In</t>
        </is>
      </c>
      <c r="G6" t="n">
        <v>2</v>
      </c>
      <c r="H6" t="inlineStr">
        <is>
          <t>Head Injury</t>
        </is>
      </c>
      <c r="I6" t="b">
        <v>0</v>
      </c>
      <c r="J6" t="inlineStr">
        <is>
          <t>D. Okafor</t>
        </is>
      </c>
    </row>
    <row r="7">
      <c r="A7" t="n">
        <v>1006</v>
      </c>
      <c r="B7" s="27" t="n">
        <v>46016.41388888889</v>
      </c>
      <c r="C7" t="inlineStr">
        <is>
          <t>07719730</t>
        </is>
      </c>
      <c r="D7" t="inlineStr">
        <is>
          <t>Gray</t>
        </is>
      </c>
      <c r="E7" t="inlineStr">
        <is>
          <t>Grace</t>
        </is>
      </c>
      <c r="F7" t="inlineStr">
        <is>
          <t>Walk-In</t>
        </is>
      </c>
      <c r="G7" t="n">
        <v>4</v>
      </c>
      <c r="H7" t="inlineStr">
        <is>
          <t>Shortness of Breath</t>
        </is>
      </c>
      <c r="I7" t="b">
        <v>0</v>
      </c>
      <c r="J7" t="inlineStr">
        <is>
          <t>D. Okafor</t>
        </is>
      </c>
    </row>
    <row r="8">
      <c r="A8" t="n">
        <v>1007</v>
      </c>
      <c r="B8" s="27" t="n">
        <v>46016.45416666667</v>
      </c>
      <c r="C8" t="inlineStr">
        <is>
          <t>07605381</t>
        </is>
      </c>
      <c r="D8" t="inlineStr">
        <is>
          <t>Castro</t>
        </is>
      </c>
      <c r="E8" t="inlineStr">
        <is>
          <t>Lauren</t>
        </is>
      </c>
      <c r="F8" t="inlineStr">
        <is>
          <t>Walk-In</t>
        </is>
      </c>
      <c r="G8" t="n">
        <v>4</v>
      </c>
      <c r="H8" t="inlineStr">
        <is>
          <t>Cough / Fever</t>
        </is>
      </c>
      <c r="I8" t="b">
        <v>0</v>
      </c>
      <c r="J8" t="inlineStr">
        <is>
          <t>D. Okafor</t>
        </is>
      </c>
    </row>
    <row r="9">
      <c r="A9" t="n">
        <v>1008</v>
      </c>
      <c r="B9" s="27" t="n">
        <v>46016.475</v>
      </c>
      <c r="C9" t="inlineStr">
        <is>
          <t>05322829</t>
        </is>
      </c>
      <c r="D9" t="inlineStr">
        <is>
          <t>Lindqvist</t>
        </is>
      </c>
      <c r="E9" t="inlineStr">
        <is>
          <t>Julia</t>
        </is>
      </c>
      <c r="F9" t="inlineStr">
        <is>
          <t>Ambulance</t>
        </is>
      </c>
      <c r="G9" t="n">
        <v>2</v>
      </c>
      <c r="H9" t="inlineStr">
        <is>
          <t>Weakness / Numbness</t>
        </is>
      </c>
      <c r="I9" t="b">
        <v>0</v>
      </c>
      <c r="J9" t="inlineStr">
        <is>
          <t>D. Okafor</t>
        </is>
      </c>
    </row>
    <row r="10">
      <c r="A10" t="n">
        <v>1009</v>
      </c>
      <c r="B10" s="27" t="n">
        <v>46016.55208333334</v>
      </c>
      <c r="C10" t="inlineStr">
        <is>
          <t>08441619</t>
        </is>
      </c>
      <c r="D10" t="inlineStr">
        <is>
          <t>Gonzalez</t>
        </is>
      </c>
      <c r="E10" t="inlineStr">
        <is>
          <t>Lucia</t>
        </is>
      </c>
      <c r="F10" t="inlineStr">
        <is>
          <t>Walk-In</t>
        </is>
      </c>
      <c r="G10" t="n">
        <v>3</v>
      </c>
      <c r="H10" t="inlineStr">
        <is>
          <t>Skin Redness / Swelling</t>
        </is>
      </c>
      <c r="I10" t="b">
        <v>0</v>
      </c>
      <c r="J10" t="inlineStr">
        <is>
          <t>D. Okafor</t>
        </is>
      </c>
    </row>
    <row r="11">
      <c r="A11" t="n">
        <v>1010</v>
      </c>
      <c r="B11" s="27" t="n">
        <v>46016.60833333333</v>
      </c>
      <c r="C11" t="inlineStr">
        <is>
          <t>05807128</t>
        </is>
      </c>
      <c r="D11" t="inlineStr">
        <is>
          <t>Coleman</t>
        </is>
      </c>
      <c r="E11" t="inlineStr">
        <is>
          <t>Russell</t>
        </is>
      </c>
      <c r="F11" t="inlineStr">
        <is>
          <t>Walk-In</t>
        </is>
      </c>
      <c r="G11" t="n">
        <v>4</v>
      </c>
      <c r="H11" t="inlineStr">
        <is>
          <t>Vomiting / Diarrhea</t>
        </is>
      </c>
      <c r="I11" t="b">
        <v>0</v>
      </c>
      <c r="J11" t="inlineStr">
        <is>
          <t>D. Okafor</t>
        </is>
      </c>
    </row>
    <row r="12">
      <c r="A12" t="n">
        <v>1011</v>
      </c>
      <c r="B12" s="27" t="n">
        <v>46016.64444444444</v>
      </c>
      <c r="C12" t="inlineStr">
        <is>
          <t>01519007</t>
        </is>
      </c>
      <c r="D12" t="inlineStr">
        <is>
          <t>Griffin</t>
        </is>
      </c>
      <c r="E12" t="inlineStr">
        <is>
          <t>Marilyn</t>
        </is>
      </c>
      <c r="F12" t="inlineStr">
        <is>
          <t>Ambulance</t>
        </is>
      </c>
      <c r="G12" t="n">
        <v>2</v>
      </c>
      <c r="H12" t="inlineStr">
        <is>
          <t>Shortness of Breath</t>
        </is>
      </c>
      <c r="I12" t="b">
        <v>0</v>
      </c>
      <c r="J12" t="inlineStr">
        <is>
          <t>D. Okafor</t>
        </is>
      </c>
    </row>
    <row r="13">
      <c r="A13" t="n">
        <v>1012</v>
      </c>
      <c r="B13" s="27" t="n">
        <v>46016.68541666667</v>
      </c>
      <c r="C13" t="inlineStr">
        <is>
          <t>03054607</t>
        </is>
      </c>
      <c r="D13" t="inlineStr">
        <is>
          <t>Rose</t>
        </is>
      </c>
      <c r="E13" t="inlineStr">
        <is>
          <t>Thomas</t>
        </is>
      </c>
      <c r="F13" t="inlineStr">
        <is>
          <t>Walk-In</t>
        </is>
      </c>
      <c r="G13" t="n">
        <v>2</v>
      </c>
      <c r="H13" t="inlineStr">
        <is>
          <t>Cough / Fever</t>
        </is>
      </c>
      <c r="I13" t="b">
        <v>0</v>
      </c>
      <c r="J13" t="inlineStr">
        <is>
          <t>D. Okafor</t>
        </is>
      </c>
    </row>
    <row r="14">
      <c r="A14" t="n">
        <v>1013</v>
      </c>
      <c r="B14" s="27" t="n">
        <v>46016.69236111111</v>
      </c>
      <c r="C14" t="inlineStr">
        <is>
          <t>08807822</t>
        </is>
      </c>
      <c r="D14" t="inlineStr">
        <is>
          <t>Chen</t>
        </is>
      </c>
      <c r="E14" t="inlineStr">
        <is>
          <t>Carol</t>
        </is>
      </c>
      <c r="F14" t="inlineStr">
        <is>
          <t>Walk-In</t>
        </is>
      </c>
      <c r="G14" t="n">
        <v>4</v>
      </c>
      <c r="H14" t="inlineStr">
        <is>
          <t>Vomiting / Dizziness</t>
        </is>
      </c>
      <c r="I14" t="b">
        <v>0</v>
      </c>
      <c r="J14" t="inlineStr">
        <is>
          <t>D. Okafor</t>
        </is>
      </c>
    </row>
    <row r="15">
      <c r="A15" t="n">
        <v>1014</v>
      </c>
      <c r="B15" s="27" t="n">
        <v>46016.71805555555</v>
      </c>
      <c r="C15" t="inlineStr">
        <is>
          <t>06337958</t>
        </is>
      </c>
      <c r="D15" t="inlineStr">
        <is>
          <t>Alvarado</t>
        </is>
      </c>
      <c r="E15" t="inlineStr">
        <is>
          <t>Amanda</t>
        </is>
      </c>
      <c r="F15" t="inlineStr">
        <is>
          <t>Walk-In</t>
        </is>
      </c>
      <c r="G15" t="n">
        <v>3</v>
      </c>
      <c r="H15" t="inlineStr">
        <is>
          <t>Painful Urination / Fever</t>
        </is>
      </c>
      <c r="I15" t="b">
        <v>0</v>
      </c>
      <c r="J15" t="inlineStr">
        <is>
          <t>D. Okafor</t>
        </is>
      </c>
    </row>
    <row r="16">
      <c r="A16" t="n">
        <v>1015</v>
      </c>
      <c r="B16" s="27" t="n">
        <v>46016.77152777778</v>
      </c>
      <c r="C16" t="inlineStr">
        <is>
          <t>02102591</t>
        </is>
      </c>
      <c r="D16" t="inlineStr">
        <is>
          <t>Cruz</t>
        </is>
      </c>
      <c r="E16" t="inlineStr">
        <is>
          <t>Brittany</t>
        </is>
      </c>
      <c r="F16" t="inlineStr">
        <is>
          <t>Walk-In</t>
        </is>
      </c>
      <c r="G16" t="n">
        <v>3</v>
      </c>
      <c r="H16" t="inlineStr">
        <is>
          <t>Cough / Trouble Breathing</t>
        </is>
      </c>
      <c r="I16" t="b">
        <v>0</v>
      </c>
      <c r="J16" t="inlineStr">
        <is>
          <t>D. Okafor</t>
        </is>
      </c>
    </row>
    <row r="17">
      <c r="A17" t="n">
        <v>1016</v>
      </c>
      <c r="B17" s="27" t="n">
        <v>46016.86180555556</v>
      </c>
      <c r="C17" t="inlineStr">
        <is>
          <t>02172512</t>
        </is>
      </c>
      <c r="D17" t="inlineStr">
        <is>
          <t>Torres</t>
        </is>
      </c>
      <c r="E17" t="inlineStr">
        <is>
          <t>Jason</t>
        </is>
      </c>
      <c r="F17" t="inlineStr">
        <is>
          <t>Walk-In</t>
        </is>
      </c>
      <c r="G17" t="n">
        <v>3</v>
      </c>
      <c r="H17" t="inlineStr">
        <is>
          <t>Seizure</t>
        </is>
      </c>
      <c r="I17" t="b">
        <v>0</v>
      </c>
      <c r="J17" t="inlineStr">
        <is>
          <t>M. Reyes</t>
        </is>
      </c>
    </row>
    <row r="18">
      <c r="A18" t="n">
        <v>1017</v>
      </c>
      <c r="B18" s="27" t="n">
        <v>46016.92013888889</v>
      </c>
      <c r="C18" t="inlineStr">
        <is>
          <t>00207022</t>
        </is>
      </c>
      <c r="D18" t="inlineStr">
        <is>
          <t>Abbott</t>
        </is>
      </c>
      <c r="E18" t="inlineStr">
        <is>
          <t>Priya</t>
        </is>
      </c>
      <c r="F18" t="inlineStr">
        <is>
          <t>Ambulance</t>
        </is>
      </c>
      <c r="G18" t="n">
        <v>2</v>
      </c>
      <c r="H18" t="inlineStr">
        <is>
          <t>High Blood Sugar</t>
        </is>
      </c>
      <c r="I18" t="b">
        <v>0</v>
      </c>
      <c r="J18" t="inlineStr">
        <is>
          <t>M. Reyes</t>
        </is>
      </c>
    </row>
    <row r="19">
      <c r="A19" t="n">
        <v>1018</v>
      </c>
      <c r="B19" s="27" t="n">
        <v>46017.33194444444</v>
      </c>
      <c r="C19" t="inlineStr">
        <is>
          <t>03156495</t>
        </is>
      </c>
      <c r="D19" t="inlineStr">
        <is>
          <t>Mills</t>
        </is>
      </c>
      <c r="E19" t="inlineStr">
        <is>
          <t>Shirley</t>
        </is>
      </c>
      <c r="F19" t="inlineStr">
        <is>
          <t>Ambulance</t>
        </is>
      </c>
      <c r="G19" t="n">
        <v>5</v>
      </c>
      <c r="H19" t="inlineStr">
        <is>
          <t>Vomiting / Diarrhea</t>
        </is>
      </c>
      <c r="I19" t="b">
        <v>0</v>
      </c>
      <c r="J19" t="inlineStr">
        <is>
          <t>D. Okafor</t>
        </is>
      </c>
    </row>
    <row r="20">
      <c r="A20" t="n">
        <v>1019</v>
      </c>
      <c r="B20" s="27" t="n">
        <v>46017.34375</v>
      </c>
      <c r="C20" t="inlineStr">
        <is>
          <t>05192842</t>
        </is>
      </c>
      <c r="D20" t="inlineStr">
        <is>
          <t>Meyer</t>
        </is>
      </c>
      <c r="E20" t="inlineStr">
        <is>
          <t>Danielle</t>
        </is>
      </c>
      <c r="F20" t="inlineStr">
        <is>
          <t>Ambulance</t>
        </is>
      </c>
      <c r="G20" t="n">
        <v>2</v>
      </c>
      <c r="H20" t="inlineStr">
        <is>
          <t>Shortness of Breath</t>
        </is>
      </c>
      <c r="I20" t="b">
        <v>0</v>
      </c>
      <c r="J20" t="inlineStr">
        <is>
          <t>D. Okafor</t>
        </is>
      </c>
    </row>
    <row r="21">
      <c r="A21" t="n">
        <v>1020</v>
      </c>
      <c r="B21" s="27" t="n">
        <v>46017.59166666667</v>
      </c>
      <c r="C21" t="inlineStr">
        <is>
          <t>04218629</t>
        </is>
      </c>
      <c r="D21" t="inlineStr">
        <is>
          <t>Hayes</t>
        </is>
      </c>
      <c r="E21" t="inlineStr">
        <is>
          <t>Jean</t>
        </is>
      </c>
      <c r="F21" t="inlineStr">
        <is>
          <t>Walk-In</t>
        </is>
      </c>
      <c r="G21" t="n">
        <v>4</v>
      </c>
      <c r="H21" t="inlineStr">
        <is>
          <t>Vomiting / Dizziness</t>
        </is>
      </c>
      <c r="I21" t="b">
        <v>0</v>
      </c>
      <c r="J21" t="inlineStr">
        <is>
          <t>D. Okafor</t>
        </is>
      </c>
    </row>
    <row r="22">
      <c r="A22" t="n">
        <v>1021</v>
      </c>
      <c r="B22" s="27" t="n">
        <v>46017.78958333333</v>
      </c>
      <c r="C22" t="inlineStr">
        <is>
          <t>08619777</t>
        </is>
      </c>
      <c r="D22" t="inlineStr">
        <is>
          <t>Howard</t>
        </is>
      </c>
      <c r="E22" t="inlineStr">
        <is>
          <t>Brittany</t>
        </is>
      </c>
      <c r="F22" t="inlineStr">
        <is>
          <t>Walk-In</t>
        </is>
      </c>
      <c r="G22" t="n">
        <v>2</v>
      </c>
      <c r="H22" t="inlineStr">
        <is>
          <t>Shortness of Breath</t>
        </is>
      </c>
      <c r="I22" t="b">
        <v>0</v>
      </c>
      <c r="J22" t="inlineStr">
        <is>
          <t>D. Okafor</t>
        </is>
      </c>
    </row>
    <row r="23">
      <c r="A23" t="n">
        <v>1022</v>
      </c>
      <c r="B23" s="27" t="n">
        <v>46017.89027777778</v>
      </c>
      <c r="C23" t="inlineStr">
        <is>
          <t>09993798</t>
        </is>
      </c>
      <c r="D23" t="inlineStr">
        <is>
          <t>Cox</t>
        </is>
      </c>
      <c r="E23" t="inlineStr">
        <is>
          <t>Brittany</t>
        </is>
      </c>
      <c r="F23" t="inlineStr">
        <is>
          <t>Walk-In</t>
        </is>
      </c>
      <c r="G23" t="n">
        <v>4</v>
      </c>
      <c r="H23" t="inlineStr">
        <is>
          <t>Cough / Fever</t>
        </is>
      </c>
      <c r="I23" t="b">
        <v>1</v>
      </c>
      <c r="J23" t="inlineStr">
        <is>
          <t>M. Reyes</t>
        </is>
      </c>
    </row>
    <row r="24">
      <c r="A24" t="n">
        <v>1023</v>
      </c>
      <c r="B24" s="27" t="n">
        <v>46017.91388888889</v>
      </c>
      <c r="C24" t="inlineStr">
        <is>
          <t>04024714</t>
        </is>
      </c>
      <c r="D24" t="inlineStr">
        <is>
          <t>Guzman</t>
        </is>
      </c>
      <c r="E24" t="inlineStr">
        <is>
          <t>Marie</t>
        </is>
      </c>
      <c r="F24" t="inlineStr">
        <is>
          <t>Walk-In</t>
        </is>
      </c>
      <c r="G24" t="n">
        <v>3</v>
      </c>
      <c r="H24" t="inlineStr">
        <is>
          <t>Breast Mass</t>
        </is>
      </c>
      <c r="I24" t="b">
        <v>0</v>
      </c>
      <c r="J24" t="inlineStr">
        <is>
          <t>M. Reyes</t>
        </is>
      </c>
    </row>
    <row r="25">
      <c r="A25" t="n">
        <v>1024</v>
      </c>
      <c r="B25" s="27" t="n">
        <v>46017.95625</v>
      </c>
      <c r="C25" t="inlineStr">
        <is>
          <t>08785164</t>
        </is>
      </c>
      <c r="D25" t="inlineStr">
        <is>
          <t>Simpson</t>
        </is>
      </c>
      <c r="E25" t="inlineStr">
        <is>
          <t>Isabella</t>
        </is>
      </c>
      <c r="F25" t="inlineStr">
        <is>
          <t>Ambulance</t>
        </is>
      </c>
      <c r="G25" t="n">
        <v>2</v>
      </c>
      <c r="H25" t="inlineStr">
        <is>
          <t>Rash</t>
        </is>
      </c>
      <c r="I25" t="b">
        <v>0</v>
      </c>
      <c r="J25" t="inlineStr">
        <is>
          <t>M. Reyes</t>
        </is>
      </c>
    </row>
    <row r="26">
      <c r="A26" t="n">
        <v>1025</v>
      </c>
      <c r="B26" s="27" t="n">
        <v>46018.11666666667</v>
      </c>
      <c r="C26" t="inlineStr">
        <is>
          <t>00972582</t>
        </is>
      </c>
      <c r="D26" t="inlineStr">
        <is>
          <t>Stone</t>
        </is>
      </c>
      <c r="E26" t="inlineStr">
        <is>
          <t>Raymond</t>
        </is>
      </c>
      <c r="F26" t="inlineStr">
        <is>
          <t>Walk-In</t>
        </is>
      </c>
      <c r="G26" t="n">
        <v>4</v>
      </c>
      <c r="H26" t="inlineStr">
        <is>
          <t>Ear Pain / Fever</t>
        </is>
      </c>
      <c r="I26" t="b">
        <v>0</v>
      </c>
      <c r="J26" t="inlineStr">
        <is>
          <t>M. Reyes</t>
        </is>
      </c>
    </row>
    <row r="27">
      <c r="A27" t="n">
        <v>1026</v>
      </c>
      <c r="B27" s="27" t="n">
        <v>46018.14583333334</v>
      </c>
      <c r="C27" t="inlineStr">
        <is>
          <t>03842543</t>
        </is>
      </c>
      <c r="D27" t="inlineStr">
        <is>
          <t>Romero</t>
        </is>
      </c>
      <c r="E27" t="inlineStr">
        <is>
          <t>Ronald</t>
        </is>
      </c>
      <c r="F27" t="inlineStr">
        <is>
          <t>Walk-In</t>
        </is>
      </c>
      <c r="G27" t="n">
        <v>3</v>
      </c>
      <c r="H27" t="inlineStr">
        <is>
          <t>Cough / Trouble Breathing</t>
        </is>
      </c>
      <c r="I27" t="b">
        <v>0</v>
      </c>
      <c r="J27" t="inlineStr">
        <is>
          <t>M. Reyes</t>
        </is>
      </c>
    </row>
    <row r="28">
      <c r="A28" t="n">
        <v>1027</v>
      </c>
      <c r="B28" s="27" t="n">
        <v>46018.325</v>
      </c>
      <c r="C28" t="inlineStr">
        <is>
          <t>09549904</t>
        </is>
      </c>
      <c r="D28" t="inlineStr">
        <is>
          <t>Olson</t>
        </is>
      </c>
      <c r="E28" t="inlineStr">
        <is>
          <t>Joe</t>
        </is>
      </c>
      <c r="F28" t="inlineStr">
        <is>
          <t>Walk-In</t>
        </is>
      </c>
      <c r="G28" t="n">
        <v>4</v>
      </c>
      <c r="H28" t="inlineStr">
        <is>
          <t>Cough / Fever</t>
        </is>
      </c>
      <c r="I28" t="b">
        <v>0</v>
      </c>
      <c r="J28" t="inlineStr">
        <is>
          <t>D. Okafor</t>
        </is>
      </c>
    </row>
    <row r="29">
      <c r="A29" t="n">
        <v>1028</v>
      </c>
      <c r="B29" s="27" t="n">
        <v>46018.32916666667</v>
      </c>
      <c r="C29" t="inlineStr">
        <is>
          <t>09576896</t>
        </is>
      </c>
      <c r="D29" t="inlineStr">
        <is>
          <t>Cruz</t>
        </is>
      </c>
      <c r="E29" t="inlineStr">
        <is>
          <t>Barbara</t>
        </is>
      </c>
      <c r="F29" t="inlineStr">
        <is>
          <t>Walk-In</t>
        </is>
      </c>
      <c r="G29" t="n">
        <v>3</v>
      </c>
      <c r="H29" t="inlineStr">
        <is>
          <t>Abdominal Pain</t>
        </is>
      </c>
      <c r="I29" t="b">
        <v>0</v>
      </c>
      <c r="J29" t="inlineStr">
        <is>
          <t>D. Okafor</t>
        </is>
      </c>
    </row>
    <row r="30">
      <c r="A30" t="n">
        <v>1029</v>
      </c>
      <c r="B30" s="27" t="n">
        <v>46018.33611111111</v>
      </c>
      <c r="C30" t="inlineStr">
        <is>
          <t>06111672</t>
        </is>
      </c>
      <c r="D30" t="inlineStr">
        <is>
          <t>Tucker</t>
        </is>
      </c>
      <c r="E30" t="inlineStr">
        <is>
          <t>Timothy</t>
        </is>
      </c>
      <c r="F30" t="inlineStr">
        <is>
          <t>Walk-In</t>
        </is>
      </c>
      <c r="G30" t="n">
        <v>5</v>
      </c>
      <c r="H30" t="inlineStr">
        <is>
          <t>Ear Pain / Fever</t>
        </is>
      </c>
      <c r="I30" t="b">
        <v>0</v>
      </c>
      <c r="J30" t="inlineStr">
        <is>
          <t>D. Okafor</t>
        </is>
      </c>
    </row>
    <row r="31">
      <c r="A31" t="n">
        <v>1030</v>
      </c>
      <c r="B31" s="27" t="n">
        <v>46018.39236111111</v>
      </c>
      <c r="C31" t="inlineStr">
        <is>
          <t>08055947</t>
        </is>
      </c>
      <c r="D31" t="inlineStr">
        <is>
          <t>Simmons</t>
        </is>
      </c>
      <c r="E31" t="inlineStr">
        <is>
          <t>Aaron</t>
        </is>
      </c>
      <c r="F31" t="inlineStr">
        <is>
          <t>Walk-In</t>
        </is>
      </c>
      <c r="G31" t="n">
        <v>4</v>
      </c>
      <c r="H31" t="inlineStr">
        <is>
          <t>Cough / Fever</t>
        </is>
      </c>
      <c r="I31" t="b">
        <v>0</v>
      </c>
      <c r="J31" t="inlineStr">
        <is>
          <t>D. Okafor</t>
        </is>
      </c>
    </row>
    <row r="32">
      <c r="A32" t="n">
        <v>1031</v>
      </c>
      <c r="B32" s="27" t="n">
        <v>46018.42013888889</v>
      </c>
      <c r="C32" t="inlineStr">
        <is>
          <t>06712251</t>
        </is>
      </c>
      <c r="D32" t="inlineStr">
        <is>
          <t>Grant</t>
        </is>
      </c>
      <c r="E32" t="inlineStr">
        <is>
          <t>Larry</t>
        </is>
      </c>
      <c r="F32" t="inlineStr">
        <is>
          <t>Walk-In</t>
        </is>
      </c>
      <c r="G32" t="n">
        <v>4</v>
      </c>
      <c r="H32" t="inlineStr">
        <is>
          <t>Abdominal Pain</t>
        </is>
      </c>
      <c r="I32" t="b">
        <v>0</v>
      </c>
      <c r="J32" t="inlineStr">
        <is>
          <t>D. Okafor</t>
        </is>
      </c>
    </row>
    <row r="33">
      <c r="A33" t="n">
        <v>1032</v>
      </c>
      <c r="B33" s="27" t="n">
        <v>46018.43125</v>
      </c>
      <c r="C33" t="inlineStr">
        <is>
          <t>00226379</t>
        </is>
      </c>
      <c r="D33" t="inlineStr">
        <is>
          <t>Ward</t>
        </is>
      </c>
      <c r="E33" t="inlineStr">
        <is>
          <t>Thomas</t>
        </is>
      </c>
      <c r="F33" t="inlineStr">
        <is>
          <t>Ambulance</t>
        </is>
      </c>
      <c r="G33" t="n">
        <v>3</v>
      </c>
      <c r="H33" t="inlineStr">
        <is>
          <t>Cough / Trouble Breathing</t>
        </is>
      </c>
      <c r="I33" t="b">
        <v>0</v>
      </c>
      <c r="J33" t="inlineStr">
        <is>
          <t>D. Okafor</t>
        </is>
      </c>
    </row>
    <row r="34">
      <c r="A34" t="n">
        <v>1033</v>
      </c>
      <c r="B34" s="27" t="n">
        <v>46018.575</v>
      </c>
      <c r="C34" t="inlineStr">
        <is>
          <t>00236331</t>
        </is>
      </c>
      <c r="D34" t="inlineStr">
        <is>
          <t>Woods</t>
        </is>
      </c>
      <c r="E34" t="inlineStr">
        <is>
          <t>Jacqueline</t>
        </is>
      </c>
      <c r="F34" t="inlineStr">
        <is>
          <t>Walk-In</t>
        </is>
      </c>
      <c r="G34" t="n">
        <v>2</v>
      </c>
      <c r="H34" t="inlineStr">
        <is>
          <t>Back Pain</t>
        </is>
      </c>
      <c r="I34" t="b">
        <v>0</v>
      </c>
      <c r="J34" t="inlineStr">
        <is>
          <t>D. Okafor</t>
        </is>
      </c>
    </row>
    <row r="35">
      <c r="A35" t="n">
        <v>1034</v>
      </c>
      <c r="B35" s="27" t="n">
        <v>46018.67638888889</v>
      </c>
      <c r="C35" t="inlineStr">
        <is>
          <t>05118110</t>
        </is>
      </c>
      <c r="D35" t="inlineStr">
        <is>
          <t>Carter</t>
        </is>
      </c>
      <c r="E35" t="inlineStr">
        <is>
          <t>Kathryn</t>
        </is>
      </c>
      <c r="F35" t="inlineStr">
        <is>
          <t>Walk-In</t>
        </is>
      </c>
      <c r="G35" t="n">
        <v>3</v>
      </c>
      <c r="H35" t="inlineStr">
        <is>
          <t>Nausea</t>
        </is>
      </c>
      <c r="I35" t="b">
        <v>0</v>
      </c>
      <c r="J35" t="inlineStr">
        <is>
          <t>D. Okafor</t>
        </is>
      </c>
    </row>
    <row r="36">
      <c r="A36" t="n">
        <v>1035</v>
      </c>
      <c r="B36" s="27" t="n">
        <v>46018.71111111111</v>
      </c>
      <c r="C36" t="inlineStr">
        <is>
          <t>03889532</t>
        </is>
      </c>
      <c r="D36" t="inlineStr">
        <is>
          <t>Richardson</t>
        </is>
      </c>
      <c r="E36" t="inlineStr">
        <is>
          <t>Sarah</t>
        </is>
      </c>
      <c r="F36" t="inlineStr">
        <is>
          <t>Ambulance</t>
        </is>
      </c>
      <c r="G36" t="n">
        <v>2</v>
      </c>
      <c r="H36" t="inlineStr">
        <is>
          <t>Palpitations</t>
        </is>
      </c>
      <c r="I36" t="b">
        <v>0</v>
      </c>
      <c r="J36" t="inlineStr">
        <is>
          <t>D. Okafor</t>
        </is>
      </c>
    </row>
    <row r="37">
      <c r="A37" t="n">
        <v>1036</v>
      </c>
      <c r="B37" s="27" t="n">
        <v>46018.93263888889</v>
      </c>
      <c r="C37" t="inlineStr">
        <is>
          <t>03718040</t>
        </is>
      </c>
      <c r="D37" t="inlineStr">
        <is>
          <t>Peterson</t>
        </is>
      </c>
      <c r="E37" t="inlineStr">
        <is>
          <t>Julie</t>
        </is>
      </c>
      <c r="F37" t="inlineStr">
        <is>
          <t>Ambulance</t>
        </is>
      </c>
      <c r="G37" t="n">
        <v>2</v>
      </c>
      <c r="H37" t="inlineStr">
        <is>
          <t>Fever</t>
        </is>
      </c>
      <c r="I37" t="b">
        <v>0</v>
      </c>
      <c r="J37" t="inlineStr">
        <is>
          <t>M. Reyes</t>
        </is>
      </c>
    </row>
    <row r="38">
      <c r="A38" t="n">
        <v>1037</v>
      </c>
      <c r="B38" s="27" t="n">
        <v>46019.01388888889</v>
      </c>
      <c r="C38" t="inlineStr">
        <is>
          <t>08675501</t>
        </is>
      </c>
      <c r="D38" t="inlineStr">
        <is>
          <t>Woods</t>
        </is>
      </c>
      <c r="E38" t="inlineStr">
        <is>
          <t>Douglas</t>
        </is>
      </c>
      <c r="F38" t="inlineStr">
        <is>
          <t>Walk-In</t>
        </is>
      </c>
      <c r="G38" t="n">
        <v>4</v>
      </c>
      <c r="H38" t="inlineStr">
        <is>
          <t>Cough / Fever</t>
        </is>
      </c>
      <c r="I38" t="b">
        <v>1</v>
      </c>
      <c r="J38" t="inlineStr">
        <is>
          <t>M. Reyes</t>
        </is>
      </c>
    </row>
    <row r="39">
      <c r="A39" t="n">
        <v>1038</v>
      </c>
      <c r="B39" s="27" t="n">
        <v>46019.18541666667</v>
      </c>
      <c r="C39" t="inlineStr">
        <is>
          <t>06492058</t>
        </is>
      </c>
      <c r="D39" t="inlineStr">
        <is>
          <t>Cruz</t>
        </is>
      </c>
      <c r="E39" t="inlineStr">
        <is>
          <t>Megan</t>
        </is>
      </c>
      <c r="F39" t="inlineStr">
        <is>
          <t>Walk-In</t>
        </is>
      </c>
      <c r="G39" t="n">
        <v>5</v>
      </c>
      <c r="H39" t="inlineStr">
        <is>
          <t>Vomiting / Diarrhea</t>
        </is>
      </c>
      <c r="I39" t="b">
        <v>0</v>
      </c>
      <c r="J39" t="inlineStr">
        <is>
          <t>M. Reyes</t>
        </is>
      </c>
    </row>
    <row r="40">
      <c r="A40" t="n">
        <v>1039</v>
      </c>
      <c r="B40" s="27" t="n">
        <v>46019.41180555556</v>
      </c>
      <c r="C40" t="inlineStr">
        <is>
          <t>00800061</t>
        </is>
      </c>
      <c r="D40" t="inlineStr">
        <is>
          <t>Rodriguez</t>
        </is>
      </c>
      <c r="E40" t="inlineStr">
        <is>
          <t>Natalie</t>
        </is>
      </c>
      <c r="F40" t="inlineStr">
        <is>
          <t>Walk-In</t>
        </is>
      </c>
      <c r="G40" t="n">
        <v>2</v>
      </c>
      <c r="H40" t="inlineStr">
        <is>
          <t>Cough / Trouble Breathing</t>
        </is>
      </c>
      <c r="I40" t="b">
        <v>0</v>
      </c>
      <c r="J40" t="inlineStr">
        <is>
          <t>D. Okafor</t>
        </is>
      </c>
    </row>
    <row r="41">
      <c r="A41" t="n">
        <v>1040</v>
      </c>
      <c r="B41" s="27" t="n">
        <v>46019.42986111111</v>
      </c>
      <c r="C41" t="inlineStr">
        <is>
          <t>02736646</t>
        </is>
      </c>
      <c r="D41" t="inlineStr">
        <is>
          <t>Peterson</t>
        </is>
      </c>
      <c r="E41" t="inlineStr">
        <is>
          <t>Ivan</t>
        </is>
      </c>
      <c r="F41" t="inlineStr">
        <is>
          <t>Walk-In</t>
        </is>
      </c>
      <c r="G41" t="n">
        <v>4</v>
      </c>
      <c r="H41" t="inlineStr">
        <is>
          <t>Headache</t>
        </is>
      </c>
      <c r="I41" t="b">
        <v>0</v>
      </c>
      <c r="J41" t="inlineStr">
        <is>
          <t>D. Okafor</t>
        </is>
      </c>
    </row>
    <row r="42">
      <c r="A42" t="n">
        <v>1041</v>
      </c>
      <c r="B42" s="27" t="n">
        <v>46019.59097222222</v>
      </c>
      <c r="C42" t="inlineStr">
        <is>
          <t>01167184</t>
        </is>
      </c>
      <c r="D42" t="inlineStr">
        <is>
          <t>Bryant</t>
        </is>
      </c>
      <c r="E42" t="inlineStr">
        <is>
          <t>Aaron</t>
        </is>
      </c>
      <c r="F42" t="inlineStr">
        <is>
          <t>Walk-In</t>
        </is>
      </c>
      <c r="G42" t="n">
        <v>3</v>
      </c>
      <c r="H42" t="inlineStr">
        <is>
          <t>Vomiting / Dizziness</t>
        </is>
      </c>
      <c r="I42" t="b">
        <v>1</v>
      </c>
      <c r="J42" t="inlineStr">
        <is>
          <t>D. Okafor</t>
        </is>
      </c>
    </row>
    <row r="43">
      <c r="A43" t="n">
        <v>1042</v>
      </c>
      <c r="B43" s="27" t="n">
        <v>46019.65972222222</v>
      </c>
      <c r="C43" t="inlineStr">
        <is>
          <t>07526751</t>
        </is>
      </c>
      <c r="D43" t="inlineStr">
        <is>
          <t>Lewis</t>
        </is>
      </c>
      <c r="E43" t="inlineStr">
        <is>
          <t>David</t>
        </is>
      </c>
      <c r="F43" t="inlineStr">
        <is>
          <t>Ambulance</t>
        </is>
      </c>
      <c r="G43" t="n">
        <v>2</v>
      </c>
      <c r="H43" t="inlineStr">
        <is>
          <t>Cough / Trouble Breathing</t>
        </is>
      </c>
      <c r="I43" t="b">
        <v>1</v>
      </c>
      <c r="J43" t="inlineStr">
        <is>
          <t>D. Okafor</t>
        </is>
      </c>
    </row>
    <row r="44">
      <c r="A44" t="n">
        <v>1043</v>
      </c>
      <c r="B44" s="27" t="n">
        <v>46019.68680555555</v>
      </c>
      <c r="C44" t="inlineStr">
        <is>
          <t>08002672</t>
        </is>
      </c>
      <c r="D44" t="inlineStr">
        <is>
          <t>Payne</t>
        </is>
      </c>
      <c r="E44" t="inlineStr">
        <is>
          <t>Larry</t>
        </is>
      </c>
      <c r="F44" t="inlineStr">
        <is>
          <t>Walk-In</t>
        </is>
      </c>
      <c r="G44" t="n">
        <v>3</v>
      </c>
      <c r="H44" t="inlineStr">
        <is>
          <t>Palpitations</t>
        </is>
      </c>
      <c r="I44" t="b">
        <v>0</v>
      </c>
      <c r="J44" t="inlineStr">
        <is>
          <t>D. Okafor</t>
        </is>
      </c>
    </row>
    <row r="45">
      <c r="A45" t="n">
        <v>1044</v>
      </c>
      <c r="B45" s="27" t="n">
        <v>46019.78472222222</v>
      </c>
      <c r="C45" t="inlineStr">
        <is>
          <t>05294738</t>
        </is>
      </c>
      <c r="D45" t="inlineStr">
        <is>
          <t>Gardner</t>
        </is>
      </c>
      <c r="E45" t="inlineStr">
        <is>
          <t>Megan</t>
        </is>
      </c>
      <c r="F45" t="inlineStr">
        <is>
          <t>Ambulance</t>
        </is>
      </c>
      <c r="G45" t="n">
        <v>3</v>
      </c>
      <c r="H45" t="inlineStr">
        <is>
          <t>Chest Pain</t>
        </is>
      </c>
      <c r="I45" t="b">
        <v>1</v>
      </c>
      <c r="J45" t="inlineStr">
        <is>
          <t>D. Okafor</t>
        </is>
      </c>
    </row>
    <row r="46">
      <c r="A46" t="n">
        <v>1045</v>
      </c>
      <c r="B46" s="27" t="n">
        <v>46019.79861111111</v>
      </c>
      <c r="C46" t="inlineStr">
        <is>
          <t>07270423</t>
        </is>
      </c>
      <c r="D46" t="inlineStr">
        <is>
          <t>Bailey</t>
        </is>
      </c>
      <c r="E46" t="inlineStr">
        <is>
          <t>Sophia</t>
        </is>
      </c>
      <c r="F46" t="inlineStr">
        <is>
          <t>Walk-In</t>
        </is>
      </c>
      <c r="G46" t="n">
        <v>5</v>
      </c>
      <c r="H46" t="inlineStr">
        <is>
          <t>Back Pain</t>
        </is>
      </c>
      <c r="I46" t="b">
        <v>0</v>
      </c>
      <c r="J46" t="inlineStr">
        <is>
          <t>M. Reyes</t>
        </is>
      </c>
    </row>
    <row r="47">
      <c r="A47" t="n">
        <v>1046</v>
      </c>
      <c r="B47" s="27" t="n">
        <v>46019.975</v>
      </c>
      <c r="C47" t="inlineStr">
        <is>
          <t>09335563</t>
        </is>
      </c>
      <c r="D47" t="inlineStr">
        <is>
          <t>Brown</t>
        </is>
      </c>
      <c r="E47" t="inlineStr">
        <is>
          <t>Jean</t>
        </is>
      </c>
      <c r="F47" t="inlineStr">
        <is>
          <t>Walk-In</t>
        </is>
      </c>
      <c r="G47" t="n">
        <v>3</v>
      </c>
      <c r="H47" t="inlineStr">
        <is>
          <t>Vomiting / Dizziness</t>
        </is>
      </c>
      <c r="I47" t="b">
        <v>1</v>
      </c>
      <c r="J47" t="inlineStr">
        <is>
          <t>M. Reyes</t>
        </is>
      </c>
    </row>
    <row r="48">
      <c r="A48" t="n">
        <v>1047</v>
      </c>
      <c r="B48" s="27" t="n">
        <v>46020.11319444444</v>
      </c>
      <c r="C48" t="inlineStr">
        <is>
          <t>00440415</t>
        </is>
      </c>
      <c r="D48" t="inlineStr">
        <is>
          <t>Hunter</t>
        </is>
      </c>
      <c r="E48" t="inlineStr">
        <is>
          <t>Edward</t>
        </is>
      </c>
      <c r="F48" t="inlineStr">
        <is>
          <t>Ambulance</t>
        </is>
      </c>
      <c r="G48" t="n">
        <v>3</v>
      </c>
      <c r="H48" t="inlineStr">
        <is>
          <t>Cough / Trouble Breathing</t>
        </is>
      </c>
      <c r="I48" t="b">
        <v>0</v>
      </c>
      <c r="J48" t="inlineStr">
        <is>
          <t>M. Reyes</t>
        </is>
      </c>
    </row>
    <row r="49">
      <c r="A49" t="n">
        <v>1048</v>
      </c>
      <c r="B49" s="27" t="n">
        <v>46020.32361111111</v>
      </c>
      <c r="C49" t="inlineStr">
        <is>
          <t>07430394</t>
        </is>
      </c>
      <c r="D49" t="inlineStr">
        <is>
          <t>Cox</t>
        </is>
      </c>
      <c r="E49" t="inlineStr">
        <is>
          <t>Linda</t>
        </is>
      </c>
      <c r="F49" t="inlineStr">
        <is>
          <t>Ambulance</t>
        </is>
      </c>
      <c r="G49" t="n">
        <v>2</v>
      </c>
      <c r="H49" t="inlineStr">
        <is>
          <t>Shortness of Breath</t>
        </is>
      </c>
      <c r="I49" t="b">
        <v>0</v>
      </c>
      <c r="J49" t="inlineStr">
        <is>
          <t>D. Okafor</t>
        </is>
      </c>
    </row>
    <row r="50">
      <c r="A50" t="n">
        <v>1049</v>
      </c>
      <c r="B50" s="27" t="n">
        <v>46020.42569444444</v>
      </c>
      <c r="C50" t="inlineStr">
        <is>
          <t>04602134</t>
        </is>
      </c>
      <c r="D50" t="inlineStr">
        <is>
          <t>Cox</t>
        </is>
      </c>
      <c r="E50" t="inlineStr">
        <is>
          <t>Minh</t>
        </is>
      </c>
      <c r="F50" t="inlineStr">
        <is>
          <t>Ambulance</t>
        </is>
      </c>
      <c r="G50" t="n">
        <v>3</v>
      </c>
      <c r="H50" t="inlineStr">
        <is>
          <t>Palpitations</t>
        </is>
      </c>
      <c r="I50" t="b">
        <v>0</v>
      </c>
      <c r="J50" t="inlineStr">
        <is>
          <t>D. Okafor</t>
        </is>
      </c>
    </row>
    <row r="51">
      <c r="A51" t="n">
        <v>1050</v>
      </c>
      <c r="B51" s="27" t="n">
        <v>46020.64097222222</v>
      </c>
      <c r="C51" t="inlineStr">
        <is>
          <t>08395289</t>
        </is>
      </c>
      <c r="D51" t="inlineStr">
        <is>
          <t>Thompson</t>
        </is>
      </c>
      <c r="E51" t="inlineStr">
        <is>
          <t>Heather</t>
        </is>
      </c>
      <c r="F51" t="inlineStr">
        <is>
          <t>Walk-In</t>
        </is>
      </c>
      <c r="G51" t="n">
        <v>2</v>
      </c>
      <c r="H51" t="inlineStr">
        <is>
          <t>Cough / Trouble Breathing</t>
        </is>
      </c>
      <c r="I51" t="b">
        <v>0</v>
      </c>
      <c r="J51" t="inlineStr">
        <is>
          <t>D. Okafor</t>
        </is>
      </c>
    </row>
    <row r="52">
      <c r="A52" t="n">
        <v>1051</v>
      </c>
      <c r="B52" s="27" t="n">
        <v>46020.70972222222</v>
      </c>
      <c r="C52" t="inlineStr">
        <is>
          <t>02903331</t>
        </is>
      </c>
      <c r="D52" t="inlineStr">
        <is>
          <t>Cox</t>
        </is>
      </c>
      <c r="E52" t="inlineStr">
        <is>
          <t>Ava</t>
        </is>
      </c>
      <c r="F52" t="inlineStr">
        <is>
          <t>Walk-In</t>
        </is>
      </c>
      <c r="G52" t="n">
        <v>3</v>
      </c>
      <c r="H52" t="inlineStr">
        <is>
          <t>Painful Urination / Fever</t>
        </is>
      </c>
      <c r="I52" t="b">
        <v>0</v>
      </c>
      <c r="J52" t="inlineStr">
        <is>
          <t>D. Okafor</t>
        </is>
      </c>
    </row>
    <row r="53">
      <c r="A53" t="n">
        <v>1052</v>
      </c>
      <c r="B53" s="27" t="n">
        <v>46020.71944444445</v>
      </c>
      <c r="C53" t="inlineStr">
        <is>
          <t>03515282</t>
        </is>
      </c>
      <c r="D53" t="inlineStr">
        <is>
          <t>Abdi</t>
        </is>
      </c>
      <c r="E53" t="inlineStr">
        <is>
          <t>Abigail</t>
        </is>
      </c>
      <c r="F53" t="inlineStr">
        <is>
          <t>Walk-In</t>
        </is>
      </c>
      <c r="G53" t="n">
        <v>4</v>
      </c>
      <c r="H53" t="inlineStr">
        <is>
          <t>Cough / Fever</t>
        </is>
      </c>
      <c r="I53" t="b">
        <v>0</v>
      </c>
      <c r="J53" t="inlineStr">
        <is>
          <t>D. Okafor</t>
        </is>
      </c>
    </row>
    <row r="54">
      <c r="A54" t="n">
        <v>1053</v>
      </c>
      <c r="B54" s="27" t="n">
        <v>46020.80625</v>
      </c>
      <c r="C54" t="inlineStr">
        <is>
          <t>04689447</t>
        </is>
      </c>
      <c r="D54" t="inlineStr">
        <is>
          <t>Barnes</t>
        </is>
      </c>
      <c r="E54" t="inlineStr">
        <is>
          <t>Ahmed</t>
        </is>
      </c>
      <c r="F54" t="inlineStr">
        <is>
          <t>Walk-In</t>
        </is>
      </c>
      <c r="G54" t="n">
        <v>5</v>
      </c>
      <c r="H54" t="inlineStr">
        <is>
          <t>Back Pain</t>
        </is>
      </c>
      <c r="I54" t="b">
        <v>0</v>
      </c>
      <c r="J54" t="inlineStr">
        <is>
          <t>M. Reyes</t>
        </is>
      </c>
    </row>
    <row r="55">
      <c r="A55" t="n">
        <v>1054</v>
      </c>
      <c r="B55" s="27" t="n">
        <v>46020.81041666667</v>
      </c>
      <c r="C55" t="inlineStr">
        <is>
          <t>05740772</t>
        </is>
      </c>
      <c r="D55" t="inlineStr">
        <is>
          <t>Yilmaz</t>
        </is>
      </c>
      <c r="E55" t="inlineStr">
        <is>
          <t>Lawrence</t>
        </is>
      </c>
      <c r="F55" t="inlineStr">
        <is>
          <t>Walk-In</t>
        </is>
      </c>
      <c r="G55" t="n">
        <v>3</v>
      </c>
      <c r="H55" t="inlineStr">
        <is>
          <t>Palpitations</t>
        </is>
      </c>
      <c r="I55" t="b">
        <v>0</v>
      </c>
      <c r="J55" t="inlineStr">
        <is>
          <t>M. Reyes</t>
        </is>
      </c>
    </row>
    <row r="56">
      <c r="A56" t="n">
        <v>1055</v>
      </c>
      <c r="B56" s="27" t="n">
        <v>46020.82430555556</v>
      </c>
      <c r="C56" t="inlineStr">
        <is>
          <t>05675136</t>
        </is>
      </c>
      <c r="D56" t="inlineStr">
        <is>
          <t>Watson</t>
        </is>
      </c>
      <c r="E56" t="inlineStr">
        <is>
          <t>Ethan</t>
        </is>
      </c>
      <c r="F56" t="inlineStr">
        <is>
          <t>Walk-In</t>
        </is>
      </c>
      <c r="G56" t="n">
        <v>5</v>
      </c>
      <c r="H56" t="inlineStr">
        <is>
          <t>Cough / Fever</t>
        </is>
      </c>
      <c r="I56" t="b">
        <v>0</v>
      </c>
      <c r="J56" t="inlineStr">
        <is>
          <t>M. Reyes</t>
        </is>
      </c>
    </row>
    <row r="57">
      <c r="A57" t="n">
        <v>1056</v>
      </c>
      <c r="B57" s="27" t="n">
        <v>46020.84305555555</v>
      </c>
      <c r="C57" t="inlineStr">
        <is>
          <t>07207804</t>
        </is>
      </c>
      <c r="D57" t="inlineStr">
        <is>
          <t>Brown</t>
        </is>
      </c>
      <c r="E57" t="inlineStr">
        <is>
          <t>Margaret</t>
        </is>
      </c>
      <c r="F57" t="inlineStr">
        <is>
          <t>Walk-In</t>
        </is>
      </c>
      <c r="G57" t="n">
        <v>3</v>
      </c>
      <c r="H57" t="inlineStr">
        <is>
          <t>Seizure</t>
        </is>
      </c>
      <c r="I57" t="b">
        <v>0</v>
      </c>
      <c r="J57" t="inlineStr">
        <is>
          <t>M. Reyes</t>
        </is>
      </c>
    </row>
    <row r="58">
      <c r="A58" t="n">
        <v>1057</v>
      </c>
      <c r="B58" s="27" t="n">
        <v>46020.88611111111</v>
      </c>
      <c r="C58" t="inlineStr">
        <is>
          <t>01747261</t>
        </is>
      </c>
      <c r="D58" t="inlineStr">
        <is>
          <t>Hunt</t>
        </is>
      </c>
      <c r="E58" t="inlineStr">
        <is>
          <t>Martha</t>
        </is>
      </c>
      <c r="F58" t="inlineStr">
        <is>
          <t>Walk-In</t>
        </is>
      </c>
      <c r="G58" t="n">
        <v>3</v>
      </c>
      <c r="H58" t="inlineStr">
        <is>
          <t>Chest Pain</t>
        </is>
      </c>
      <c r="I58" t="b">
        <v>0</v>
      </c>
      <c r="J58" t="inlineStr">
        <is>
          <t>M. Reyes</t>
        </is>
      </c>
    </row>
    <row r="59">
      <c r="A59" t="n">
        <v>1058</v>
      </c>
      <c r="B59" s="27" t="n">
        <v>46020.93402777778</v>
      </c>
      <c r="C59" t="inlineStr">
        <is>
          <t>09505281</t>
        </is>
      </c>
      <c r="D59" t="inlineStr">
        <is>
          <t>Kowalski</t>
        </is>
      </c>
      <c r="E59" t="inlineStr">
        <is>
          <t>Evelyn</t>
        </is>
      </c>
      <c r="F59" t="inlineStr">
        <is>
          <t>Walk-In</t>
        </is>
      </c>
      <c r="G59" t="n">
        <v>2</v>
      </c>
      <c r="H59" t="inlineStr">
        <is>
          <t>Cough / Trouble Breathing</t>
        </is>
      </c>
      <c r="I59" t="b">
        <v>1</v>
      </c>
      <c r="J59" t="inlineStr">
        <is>
          <t>M. Reyes</t>
        </is>
      </c>
    </row>
    <row r="60">
      <c r="A60" t="n">
        <v>1059</v>
      </c>
      <c r="B60" s="27" t="n">
        <v>46021.04583333333</v>
      </c>
      <c r="C60" t="inlineStr">
        <is>
          <t>03601518</t>
        </is>
      </c>
      <c r="D60" t="inlineStr">
        <is>
          <t>Cox</t>
        </is>
      </c>
      <c r="E60" t="inlineStr">
        <is>
          <t>Ronald</t>
        </is>
      </c>
      <c r="F60" t="inlineStr">
        <is>
          <t>Walk-In</t>
        </is>
      </c>
      <c r="G60" t="n">
        <v>3</v>
      </c>
      <c r="H60" t="inlineStr">
        <is>
          <t>Chest Pain</t>
        </is>
      </c>
      <c r="I60" t="b">
        <v>0</v>
      </c>
      <c r="J60" t="inlineStr">
        <is>
          <t>M. Reyes</t>
        </is>
      </c>
    </row>
    <row r="61">
      <c r="A61" t="n">
        <v>1060</v>
      </c>
      <c r="B61" s="27" t="n">
        <v>46021.34444444445</v>
      </c>
      <c r="C61" t="inlineStr">
        <is>
          <t>01927734</t>
        </is>
      </c>
      <c r="D61" t="inlineStr">
        <is>
          <t>Yilmaz</t>
        </is>
      </c>
      <c r="E61" t="inlineStr">
        <is>
          <t>Natalie</t>
        </is>
      </c>
      <c r="F61" t="inlineStr">
        <is>
          <t>Ambulance</t>
        </is>
      </c>
      <c r="G61" t="n">
        <v>3</v>
      </c>
      <c r="H61" t="inlineStr">
        <is>
          <t>Headache</t>
        </is>
      </c>
      <c r="I61" t="b">
        <v>0</v>
      </c>
      <c r="J61" t="inlineStr">
        <is>
          <t>D. Okafor</t>
        </is>
      </c>
    </row>
    <row r="62">
      <c r="A62" t="n">
        <v>1061</v>
      </c>
      <c r="B62" s="27" t="n">
        <v>46021.37916666667</v>
      </c>
      <c r="C62" t="inlineStr">
        <is>
          <t>06086499</t>
        </is>
      </c>
      <c r="D62" t="inlineStr">
        <is>
          <t>Nguyen</t>
        </is>
      </c>
      <c r="E62" t="inlineStr">
        <is>
          <t>Liam</t>
        </is>
      </c>
      <c r="F62" t="inlineStr">
        <is>
          <t>Walk-In</t>
        </is>
      </c>
      <c r="G62" t="n">
        <v>4</v>
      </c>
      <c r="H62" t="inlineStr">
        <is>
          <t>Headache</t>
        </is>
      </c>
      <c r="I62" t="b">
        <v>0</v>
      </c>
      <c r="J62" t="inlineStr">
        <is>
          <t>D. Okafor</t>
        </is>
      </c>
    </row>
    <row r="63">
      <c r="A63" t="n">
        <v>1062</v>
      </c>
      <c r="B63" s="27" t="n">
        <v>46021.41458333333</v>
      </c>
      <c r="C63" t="inlineStr">
        <is>
          <t>05077908</t>
        </is>
      </c>
      <c r="D63" t="inlineStr">
        <is>
          <t>Garza</t>
        </is>
      </c>
      <c r="E63" t="inlineStr">
        <is>
          <t>Rosa</t>
        </is>
      </c>
      <c r="F63" t="inlineStr">
        <is>
          <t>Walk-In</t>
        </is>
      </c>
      <c r="G63" t="n">
        <v>3</v>
      </c>
      <c r="H63" t="inlineStr">
        <is>
          <t>Fainting</t>
        </is>
      </c>
      <c r="I63" t="b">
        <v>0</v>
      </c>
      <c r="J63" t="inlineStr">
        <is>
          <t>D. Okafor</t>
        </is>
      </c>
    </row>
    <row r="64">
      <c r="A64" t="n">
        <v>1063</v>
      </c>
      <c r="B64" s="27" t="n">
        <v>46021.47708333333</v>
      </c>
      <c r="C64" t="inlineStr">
        <is>
          <t>05094809</t>
        </is>
      </c>
      <c r="D64" t="inlineStr">
        <is>
          <t>Gomez</t>
        </is>
      </c>
      <c r="E64" t="inlineStr">
        <is>
          <t>Elizabeth</t>
        </is>
      </c>
      <c r="F64" t="inlineStr">
        <is>
          <t>Walk-In</t>
        </is>
      </c>
      <c r="G64" t="n">
        <v>4</v>
      </c>
      <c r="H64" t="inlineStr">
        <is>
          <t>Cough / Fever</t>
        </is>
      </c>
      <c r="I64" t="b">
        <v>0</v>
      </c>
      <c r="J64" t="inlineStr">
        <is>
          <t>D. Okafor</t>
        </is>
      </c>
    </row>
    <row r="65">
      <c r="A65" t="n">
        <v>1064</v>
      </c>
      <c r="B65" s="27" t="n">
        <v>46021.49305555555</v>
      </c>
      <c r="C65" t="inlineStr">
        <is>
          <t>06814000</t>
        </is>
      </c>
      <c r="D65" t="inlineStr">
        <is>
          <t>Collins</t>
        </is>
      </c>
      <c r="E65" t="inlineStr">
        <is>
          <t>Nicole</t>
        </is>
      </c>
      <c r="F65" t="inlineStr">
        <is>
          <t>Walk-In</t>
        </is>
      </c>
      <c r="G65" t="n">
        <v>4</v>
      </c>
      <c r="H65" t="inlineStr">
        <is>
          <t>Cough / Fever</t>
        </is>
      </c>
      <c r="I65" t="b">
        <v>0</v>
      </c>
      <c r="J65" t="inlineStr">
        <is>
          <t>D. Okafor</t>
        </is>
      </c>
    </row>
    <row r="66">
      <c r="A66" t="n">
        <v>1065</v>
      </c>
      <c r="B66" s="27" t="n">
        <v>46021.67847222222</v>
      </c>
      <c r="C66" t="inlineStr">
        <is>
          <t>02001795</t>
        </is>
      </c>
      <c r="D66" t="inlineStr">
        <is>
          <t>Lane</t>
        </is>
      </c>
      <c r="E66" t="inlineStr">
        <is>
          <t>Frances</t>
        </is>
      </c>
      <c r="F66" t="inlineStr">
        <is>
          <t>Walk-In</t>
        </is>
      </c>
      <c r="G66" t="n">
        <v>4</v>
      </c>
      <c r="H66" t="inlineStr">
        <is>
          <t>Cough / Fever</t>
        </is>
      </c>
      <c r="I66" t="b">
        <v>0</v>
      </c>
      <c r="J66" t="inlineStr">
        <is>
          <t>D. Okafor</t>
        </is>
      </c>
    </row>
    <row r="67">
      <c r="A67" t="n">
        <v>1066</v>
      </c>
      <c r="B67" s="27" t="n">
        <v>46021.88611111111</v>
      </c>
      <c r="C67" t="inlineStr">
        <is>
          <t>01518534</t>
        </is>
      </c>
      <c r="D67" t="inlineStr">
        <is>
          <t>Hernandez</t>
        </is>
      </c>
      <c r="E67" t="inlineStr">
        <is>
          <t>Albert</t>
        </is>
      </c>
      <c r="F67" t="inlineStr">
        <is>
          <t>Ambulance</t>
        </is>
      </c>
      <c r="G67" t="n">
        <v>3</v>
      </c>
      <c r="H67" t="inlineStr">
        <is>
          <t>Cough / Fever</t>
        </is>
      </c>
      <c r="I67" t="b">
        <v>0</v>
      </c>
      <c r="J67" t="inlineStr">
        <is>
          <t>M. Reyes</t>
        </is>
      </c>
    </row>
    <row r="68">
      <c r="A68" t="n">
        <v>1067</v>
      </c>
      <c r="B68" s="27" t="n">
        <v>46022.30208333334</v>
      </c>
      <c r="C68" t="inlineStr">
        <is>
          <t>00440415</t>
        </is>
      </c>
      <c r="D68" t="inlineStr">
        <is>
          <t>Hunter</t>
        </is>
      </c>
      <c r="E68" t="inlineStr">
        <is>
          <t>Edward</t>
        </is>
      </c>
      <c r="F68" t="inlineStr">
        <is>
          <t>Walk-In</t>
        </is>
      </c>
      <c r="G68" t="n">
        <v>3</v>
      </c>
      <c r="H68" t="inlineStr">
        <is>
          <t>Cough / Trouble Breathing</t>
        </is>
      </c>
      <c r="I68" t="b">
        <v>0</v>
      </c>
      <c r="J68" t="inlineStr">
        <is>
          <t>D. Okafor</t>
        </is>
      </c>
    </row>
    <row r="69">
      <c r="A69" t="n">
        <v>1068</v>
      </c>
      <c r="B69" s="27" t="n">
        <v>46022.40208333333</v>
      </c>
      <c r="C69" t="inlineStr">
        <is>
          <t>03279315</t>
        </is>
      </c>
      <c r="D69" t="inlineStr">
        <is>
          <t>Vazquez</t>
        </is>
      </c>
      <c r="E69" t="inlineStr">
        <is>
          <t>Harper</t>
        </is>
      </c>
      <c r="F69" t="inlineStr">
        <is>
          <t>Walk-In</t>
        </is>
      </c>
      <c r="G69" t="n">
        <v>4</v>
      </c>
      <c r="H69" t="inlineStr">
        <is>
          <t>Cough / Fever</t>
        </is>
      </c>
      <c r="I69" t="b">
        <v>0</v>
      </c>
      <c r="J69" t="inlineStr">
        <is>
          <t>D. Okafor</t>
        </is>
      </c>
    </row>
    <row r="70">
      <c r="A70" t="n">
        <v>1069</v>
      </c>
      <c r="B70" s="27" t="n">
        <v>46022.46041666667</v>
      </c>
      <c r="C70" t="inlineStr">
        <is>
          <t>09254099</t>
        </is>
      </c>
      <c r="D70" t="inlineStr">
        <is>
          <t>Stone</t>
        </is>
      </c>
      <c r="E70" t="inlineStr">
        <is>
          <t>Ethan</t>
        </is>
      </c>
      <c r="F70" t="inlineStr">
        <is>
          <t>Walk-In</t>
        </is>
      </c>
      <c r="G70" t="n">
        <v>3</v>
      </c>
      <c r="H70" t="inlineStr">
        <is>
          <t>Headache</t>
        </is>
      </c>
      <c r="I70" t="b">
        <v>0</v>
      </c>
      <c r="J70" t="inlineStr">
        <is>
          <t>D. Okafor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7F7F7F"/>
    <outlinePr summaryBelow="1" summaryRight="1"/>
    <pageSetUpPr/>
  </sheetPr>
  <dimension ref="A1:D1"/>
  <sheetViews>
    <sheetView tabSelected="0" workbookViewId="0">
      <pane ySplit="1" topLeftCell="A2" activePane="bottomLeft" state="frozen"/>
      <selection pane="bottomLeft" activeCell="A1" sqref="A1"/>
    </sheetView>
  </sheetViews>
  <sheetFormatPr baseColWidth="8" defaultRowHeight="15"/>
  <cols>
    <col width="20" customWidth="1" min="1" max="1"/>
    <col width="14" customWidth="1" min="2" max="2"/>
    <col width="52" customWidth="1" min="3" max="3"/>
    <col width="20" customWidth="1" min="4" max="4"/>
  </cols>
  <sheetData>
    <row r="1">
      <c r="A1" s="28" t="inlineStr">
        <is>
          <t>Timestamp</t>
        </is>
      </c>
      <c r="B1" s="28" t="inlineStr">
        <is>
          <t>Event</t>
        </is>
      </c>
      <c r="C1" s="28" t="inlineStr">
        <is>
          <t>Detail</t>
        </is>
      </c>
      <c r="D1" s="28" t="inlineStr">
        <is>
          <t>User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tabSelected="0" workbookViewId="0">
      <pane ySplit="1" topLeftCell="A2" activePane="bottomLeft" state="frozen"/>
      <selection pane="bottomLeft" activeCell="A1" sqref="A1"/>
    </sheetView>
  </sheetViews>
  <sheetFormatPr baseColWidth="8" defaultRowHeight="15"/>
  <cols>
    <col width="12" customWidth="1" min="1" max="1"/>
    <col width="11" customWidth="1" min="2" max="2"/>
    <col width="9" customWidth="1" min="3" max="3"/>
    <col width="24" customWidth="1" min="4" max="4"/>
    <col width="12" customWidth="1" min="5" max="5"/>
    <col width="11" customWidth="1" min="6" max="6"/>
    <col width="11" customWidth="1" min="7" max="7"/>
    <col width="15" customWidth="1" min="8" max="8"/>
  </cols>
  <sheetData>
    <row r="1">
      <c r="A1" s="28" t="inlineStr">
        <is>
          <t>CensusDate</t>
        </is>
      </c>
      <c r="B1" s="28" t="inlineStr">
        <is>
          <t>FacilityID</t>
        </is>
      </c>
      <c r="C1" s="28" t="inlineStr">
        <is>
          <t>DeptID</t>
        </is>
      </c>
      <c r="D1" s="28" t="inlineStr">
        <is>
          <t>UnitName</t>
        </is>
      </c>
      <c r="E1" s="28" t="inlineStr">
        <is>
          <t>StaffedBeds</t>
        </is>
      </c>
      <c r="F1" s="28" t="inlineStr">
        <is>
          <t>Admissions</t>
        </is>
      </c>
      <c r="G1" s="28" t="inlineStr">
        <is>
          <t>Discharges</t>
        </is>
      </c>
      <c r="H1" s="28" t="inlineStr">
        <is>
          <t>MidnightCensus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tabSelected="0" workbookViewId="0">
      <selection activeCell="A1" sqref="A1"/>
    </sheetView>
  </sheetViews>
  <sheetFormatPr baseColWidth="8" defaultRowHeight="15"/>
  <cols>
    <col width="16" customWidth="1" min="1" max="1"/>
    <col width="46" customWidth="1" min="2" max="2"/>
    <col width="70" customWidth="1" min="3" max="3"/>
  </cols>
  <sheetData>
    <row r="1">
      <c r="A1" s="29" t="inlineStr">
        <is>
          <t>Report settings</t>
        </is>
      </c>
    </row>
    <row r="2">
      <c r="A2" s="3" t="inlineStr">
        <is>
          <t>Macros read these cells. Change ReportMonth and run BuildCensusReport again to report on another month.</t>
        </is>
      </c>
    </row>
    <row r="3">
      <c r="A3" s="26" t="inlineStr">
        <is>
          <t>ReportMonth</t>
        </is>
      </c>
      <c r="B3" s="30" t="n">
        <v>45992</v>
      </c>
      <c r="C3" s="3" t="inlineStr">
        <is>
          <t>First day of the month to report on (bonus)</t>
        </is>
      </c>
    </row>
    <row r="4">
      <c r="A4" s="26" t="inlineStr">
        <is>
          <t>CsvFolder</t>
        </is>
      </c>
      <c r="B4" s="31" t="inlineStr">
        <is>
          <t>census_monthly</t>
        </is>
      </c>
      <c r="C4" s="3" t="inlineStr">
        <is>
          <t>Folder of monthly CSV files, next to this workbook</t>
        </is>
      </c>
    </row>
    <row r="5">
      <c r="A5" s="26" t="inlineStr">
        <is>
          <t>ReportFolder</t>
        </is>
      </c>
      <c r="B5" s="31" t="inlineStr">
        <is>
          <t>Reports</t>
        </is>
      </c>
      <c r="C5" s="3" t="inlineStr">
        <is>
          <t>Folder for PDFs and backup copies, next to this workbook (created if missing)</t>
        </is>
      </c>
    </row>
    <row r="6">
      <c r="A6" s="26" t="inlineStr">
        <is>
          <t>LastExport</t>
        </is>
      </c>
      <c r="C6" s="3" t="inlineStr">
        <is>
          <t>Full path of the last PDF exported (written by BuildCensusReport)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8"/>
  <sheetViews>
    <sheetView tabSelected="0" workbookViewId="0">
      <selection activeCell="A1" sqref="A1"/>
    </sheetView>
  </sheetViews>
  <sheetFormatPr baseColWidth="8" defaultRowHeight="15"/>
  <cols>
    <col width="16" customWidth="1" min="1" max="1"/>
    <col width="32" customWidth="1" min="3" max="3"/>
  </cols>
  <sheetData>
    <row r="1">
      <c r="A1" s="28" t="inlineStr">
        <is>
          <t>ArrivalMode</t>
        </is>
      </c>
      <c r="C1" s="28" t="inlineStr">
        <is>
          <t>ChiefComplaint</t>
        </is>
      </c>
    </row>
    <row r="2">
      <c r="A2" t="inlineStr">
        <is>
          <t>Walk-In</t>
        </is>
      </c>
      <c r="C2" t="inlineStr">
        <is>
          <t>Abdominal Pain</t>
        </is>
      </c>
    </row>
    <row r="3">
      <c r="A3" t="inlineStr">
        <is>
          <t>Ambulance</t>
        </is>
      </c>
      <c r="C3" t="inlineStr">
        <is>
          <t>Abdominal Pain / Vomiting</t>
        </is>
      </c>
    </row>
    <row r="4">
      <c r="A4" t="inlineStr">
        <is>
          <t>Police</t>
        </is>
      </c>
      <c r="C4" t="inlineStr">
        <is>
          <t>Ankle Injury</t>
        </is>
      </c>
    </row>
    <row r="5">
      <c r="A5" t="inlineStr">
        <is>
          <t>Air Transport</t>
        </is>
      </c>
      <c r="C5" t="inlineStr">
        <is>
          <t>Anxiety / Palpitations</t>
        </is>
      </c>
    </row>
    <row r="6">
      <c r="C6" t="inlineStr">
        <is>
          <t>Back Pain</t>
        </is>
      </c>
    </row>
    <row r="7">
      <c r="C7" t="inlineStr">
        <is>
          <t>Bloody Stool / Vomiting Blood</t>
        </is>
      </c>
    </row>
    <row r="8">
      <c r="C8" t="inlineStr">
        <is>
          <t>Breast Mass</t>
        </is>
      </c>
    </row>
    <row r="9">
      <c r="C9" t="inlineStr">
        <is>
          <t>Chest Pain</t>
        </is>
      </c>
    </row>
    <row r="10">
      <c r="C10" t="inlineStr">
        <is>
          <t>Confusion</t>
        </is>
      </c>
    </row>
    <row r="11">
      <c r="C11" t="inlineStr">
        <is>
          <t>Cough / Fever</t>
        </is>
      </c>
    </row>
    <row r="12">
      <c r="C12" t="inlineStr">
        <is>
          <t>Cough / Trouble Breathing</t>
        </is>
      </c>
    </row>
    <row r="13">
      <c r="C13" t="inlineStr">
        <is>
          <t>Depression / Suicidal Thoughts</t>
        </is>
      </c>
    </row>
    <row r="14">
      <c r="C14" t="inlineStr">
        <is>
          <t>Dizziness</t>
        </is>
      </c>
    </row>
    <row r="15">
      <c r="C15" t="inlineStr">
        <is>
          <t>Ear Pain / Fever</t>
        </is>
      </c>
    </row>
    <row r="16">
      <c r="C16" t="inlineStr">
        <is>
          <t>Fainting</t>
        </is>
      </c>
    </row>
    <row r="17">
      <c r="C17" t="inlineStr">
        <is>
          <t>Fall</t>
        </is>
      </c>
    </row>
    <row r="18">
      <c r="C18" t="inlineStr">
        <is>
          <t>Fall / Hip Pain</t>
        </is>
      </c>
    </row>
    <row r="19">
      <c r="C19" t="inlineStr">
        <is>
          <t>Fever</t>
        </is>
      </c>
    </row>
    <row r="20">
      <c r="C20" t="inlineStr">
        <is>
          <t>Fever / Altered Mental Status</t>
        </is>
      </c>
    </row>
    <row r="21">
      <c r="C21" t="inlineStr">
        <is>
          <t>Head Injury</t>
        </is>
      </c>
    </row>
    <row r="22">
      <c r="C22" t="inlineStr">
        <is>
          <t>Headache</t>
        </is>
      </c>
    </row>
    <row r="23">
      <c r="C23" t="inlineStr">
        <is>
          <t>High Blood Sugar</t>
        </is>
      </c>
    </row>
    <row r="24">
      <c r="C24" t="inlineStr">
        <is>
          <t>Labor</t>
        </is>
      </c>
    </row>
    <row r="25">
      <c r="C25" t="inlineStr">
        <is>
          <t>Laceration</t>
        </is>
      </c>
    </row>
    <row r="26">
      <c r="C26" t="inlineStr">
        <is>
          <t>Nausea</t>
        </is>
      </c>
    </row>
    <row r="27">
      <c r="C27" t="inlineStr">
        <is>
          <t>Painful Urination / Fever</t>
        </is>
      </c>
    </row>
    <row r="28">
      <c r="C28" t="inlineStr">
        <is>
          <t>Palpitations</t>
        </is>
      </c>
    </row>
    <row r="29">
      <c r="C29" t="inlineStr">
        <is>
          <t>Psychiatric Evaluation</t>
        </is>
      </c>
    </row>
    <row r="30">
      <c r="C30" t="inlineStr">
        <is>
          <t>Rash</t>
        </is>
      </c>
    </row>
    <row r="31">
      <c r="C31" t="inlineStr">
        <is>
          <t>Seizure</t>
        </is>
      </c>
    </row>
    <row r="32">
      <c r="C32" t="inlineStr">
        <is>
          <t>Shortness of Breath</t>
        </is>
      </c>
    </row>
    <row r="33">
      <c r="C33" t="inlineStr">
        <is>
          <t>Skin Redness / Swelling</t>
        </is>
      </c>
    </row>
    <row r="34">
      <c r="C34" t="inlineStr">
        <is>
          <t>Tremors / Alcohol Withdrawal</t>
        </is>
      </c>
    </row>
    <row r="35">
      <c r="C35" t="inlineStr">
        <is>
          <t>Vomiting / Diarrhea</t>
        </is>
      </c>
    </row>
    <row r="36">
      <c r="C36" t="inlineStr">
        <is>
          <t>Vomiting / Dizziness</t>
        </is>
      </c>
    </row>
    <row r="37">
      <c r="C37" t="inlineStr">
        <is>
          <t>Weakness / Fatigue</t>
        </is>
      </c>
    </row>
    <row r="38">
      <c r="C38" t="inlineStr">
        <is>
          <t>Weakness / Numbness</t>
        </is>
      </c>
    </row>
  </sheetData>
  <pageMargins left="0.75" right="0.75" top="1" bottom="1" header="0.5" footer="0.5"/>
</worksheet>
</file>

<file path=xl/worksheets/sheet9.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5.5 · Bonus: one-click monthly census report</t>
        </is>
      </c>
    </row>
    <row r="2" ht="184" customHeight="1">
      <c r="A2" s="14" t="inlineStr">
        <is>
          <t>The Chief Nursing Officer wants a monthly census packet without anyone copying and pasting. Write BuildCensusReport in modReports. It reads the month from Settings!B3 (ReportMonth) and then:
1. Runs CombineCensusFiles.
2. Deletes and re-creates a sheet named Report_yyyy-mm (for example Report_2025-12).
3. Puts the headers DeptID, Unit, Facility, PatientDays, BedDays, ADC, Occupancy in A3:G3 and one row per unit from row 4, sorted by Occupancy (highest first). PatientDays = sum of MidnightCensus, BedDays = sum of StaffedBeds, ADC = PatientDays ÷ days in the month, and Occupancy = PatientDays ÷ BedDays. Store full precision, and format ADC as 0.0 and Occupancy as 0.0%.
4. Adds a row under the units with Total in column A and the system-wide values in D:G.
5. Exports the report sheet to CensusReport_yyyy-mm.pdf in the Reports folder next to the workbook (the folder name is in Settings!B5), writes the PDF's full path into Settings!B6, and saves a timestamped backup with SaveCopyAs.
Run it for December 2025 (the month already in Settings!B3), then set Settings!B3 to 01/01/2025 and run it again. The gray cells read your report sheets.</t>
        </is>
      </c>
    </row>
    <row r="3" ht="34" customHeight="1">
      <c r="A3" s="15" t="inlineStr">
        <is>
          <t>There's nothing to type on this sheet. The gray cells fill in once BuildCensusReport has run for December and January, and the Check column turns green when they match.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B1</t>
        </is>
      </c>
      <c r="B6" s="19" t="inlineStr">
        <is>
          <t>What was the December 2025 average daily census (ADC) of Bluestone Memorial's Intensive Care Unit (D130)? The gray cell looks it up on Report_2025-12.</t>
        </is>
      </c>
      <c r="C6" s="20" t="inlineStr">
        <is>
          <t>ADC = patient days ÷ 31 for December</t>
        </is>
      </c>
      <c r="D6" cm="1" s="32">
        <f t="array" ref="D6">IFERROR(INDEX(INDIRECT("'Report_2025-12'!F4:F60"),MATCH("D130",INDIRECT("'Report_2025-12'!A4:A60"),0)),"")</f>
        <v/>
      </c>
      <c r="E6" s="22">
        <f>IF(IFERROR(D6="",FALSE),"",IF(IFERROR(AND(ISNUMBER(D6),OR(ABS(D6-'Bonus Key'!$C$5)&lt;=0.051)),FALSE),"✔ Correct","✘ Not yet"))</f>
        <v/>
      </c>
    </row>
    <row r="7" ht="36" customHeight="1">
      <c r="A7" s="18" t="inlineStr">
        <is>
          <t>B2</t>
        </is>
      </c>
      <c r="B7" s="19" t="inlineStr">
        <is>
          <t>Which unit (DeptID) had the highest occupancy in December 2025? The gray cell reads the first unit row of Report_2025-12, so your sort must be right.</t>
        </is>
      </c>
      <c r="C7" s="20" t="inlineStr">
        <is>
          <t>Range.Sort on the Occupancy column, descending, before you add the Total row</t>
        </is>
      </c>
      <c r="D7" cm="1" s="33">
        <f t="array" ref="D7">IFERROR(INDIRECT("'Report_2025-12'!A4")&amp;"","")</f>
        <v/>
      </c>
      <c r="E7" s="22">
        <f>IF(IFERROR(D7="",FALSE),"",IF(IFERROR(OR(LOWER(TRIM(D7&amp;""))=LOWER(TRIM('Bonus Key'!$C$6&amp;""))),FALSE),"✔ Correct","✘ Not yet"))</f>
        <v/>
      </c>
    </row>
    <row r="8" ht="36" customHeight="1">
      <c r="A8" s="18" t="inlineStr">
        <is>
          <t>B3</t>
        </is>
      </c>
      <c r="B8" s="19" t="inlineStr">
        <is>
          <t>What was the system-wide inpatient occupancy in December 2025? The gray cell reads it from the Total row of Report_2025-12.</t>
        </is>
      </c>
      <c r="C8" s="20" t="inlineStr">
        <is>
          <t>Total patient days ÷ total bed days, not the average of the unit percentages</t>
        </is>
      </c>
      <c r="D8" cm="1" s="34">
        <f t="array" ref="D8">IFERROR(INDEX(INDIRECT("'Report_2025-12'!G4:G60"),MATCH("Total",INDIRECT("'Report_2025-12'!A4:A60"),0)),"")</f>
        <v/>
      </c>
      <c r="E8" s="22">
        <f>IF(IFERROR(D8="",FALSE),"",IF(IFERROR(AND(ISNUMBER(D8),OR(ABS(D8-'Bonus Key'!$C$7)&lt;=0.00051,ABS(D8-'Bonus Key'!$C$7*100)&lt;=0.051000000000000004)),FALSE),"✔ Correct","✘ Not yet"))</f>
        <v/>
      </c>
    </row>
    <row r="9" ht="36" customHeight="1">
      <c r="A9" s="18" t="inlineStr">
        <is>
          <t>B4</t>
        </is>
      </c>
      <c r="B9" s="19" t="inlineStr">
        <is>
          <t>After rerunning for January 2025, which DeptID tops Report_2025-01?</t>
        </is>
      </c>
      <c r="C9" s="20" t="inlineStr">
        <is>
          <t>Change Settings!B3, run the same macro again</t>
        </is>
      </c>
      <c r="D9" cm="1" s="33">
        <f t="array" ref="D9">IFERROR(INDIRECT("'Report_2025-01'!A4")&amp;"","")</f>
        <v/>
      </c>
      <c r="E9" s="22">
        <f>IF(IFERROR(D9="",FALSE),"",IF(IFERROR(OR(LOWER(TRIM(D9&amp;""))=LOWER(TRIM('Bonus Key'!$C$8&amp;""))),FALSE),"✔ Correct","✘ Not yet"))</f>
        <v/>
      </c>
    </row>
    <row r="10" ht="36" customHeight="1">
      <c r="A10" s="18" t="inlineStr">
        <is>
          <t>B5</t>
        </is>
      </c>
      <c r="B10" s="19" t="inlineStr">
        <is>
          <t>What is the file name (without the folder) of the last PDF your macro exported? The gray cell pulls it from the full path in Settings!B6.</t>
        </is>
      </c>
      <c r="C10" s="20" t="inlineStr">
        <is>
          <t>Format(reportMonth, "yyyy-mm") inside the file name</t>
        </is>
      </c>
      <c r="D10" cm="1" s="33">
        <f t="array" ref="D10">IF(Settings!B6="","",TRIM(RIGHT(SUBSTITUTE(SUBSTITUTE(Settings!B6,"\","/"),"/",REPT(" ",200)),200)))</f>
        <v/>
      </c>
      <c r="E10" s="22">
        <f>IF(IFERROR(D10="",FALSE),"",IF(IFERROR(OR(LOWER(TRIM(D10&amp;""))=LOWER(TRIM('Bonus Key'!$C$9&amp;"")),LOWER(TRIM(D10&amp;""))="censusreport_2025-12.pdf"),FALSE),"✔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fitToPage="1"/>
  </sheetPr>
  <dimension ref="A1:F16"/>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5" t="inlineStr">
        <is>
          <t>🔑 Answer Key — Lesson 5.5</t>
        </is>
      </c>
    </row>
    <row r="2" ht="32" customHeight="1">
      <c r="A2" s="36" t="inlineStr">
        <is>
          <t>Spoiler alert: try every task before reading this sheet. Column C is the value the Check column compares against, and column D shows a sample solution (steps or code).</t>
        </is>
      </c>
    </row>
    <row r="4">
      <c r="A4" s="37" t="inlineStr">
        <is>
          <t>#</t>
        </is>
      </c>
      <c r="B4" s="37" t="inlineStr">
        <is>
          <t>Task</t>
        </is>
      </c>
      <c r="C4" s="37" t="inlineStr">
        <is>
          <t>Answer</t>
        </is>
      </c>
      <c r="D4" s="37" t="inlineStr">
        <is>
          <t>Sample solution</t>
        </is>
      </c>
      <c r="E4" s="37" t="inlineStr">
        <is>
          <t>Live result</t>
        </is>
      </c>
      <c r="F4" s="37" t="inlineStr">
        <is>
          <t>Explanation</t>
        </is>
      </c>
    </row>
    <row r="5" ht="81" customHeight="1">
      <c r="A5" s="18" t="inlineStr">
        <is>
          <t>1</t>
        </is>
      </c>
      <c r="B5" s="19" t="inlineStr">
        <is>
          <t>On the BedBoard sheet, the Status column of tblBeds is C2:C37. Suppose you select A30:E40 and press Delete. Worksheet_Change runs once with Target = A30:E40. How many cells are in Intersect(Target, Range("C2:C37"))?</t>
        </is>
      </c>
      <c r="C5" s="38" t="n">
        <v>8</v>
      </c>
      <c r="D5" s="39" t="inlineStr">
        <is>
          <t>Draw both rectangles. Target covers columns A–E, rows 30–40. The Status column covers column C, rows 2–37. They share C30:C37.</t>
        </is>
      </c>
      <c r="E5" s="18" t="inlineStr">
        <is>
          <t>—</t>
        </is>
      </c>
      <c r="F5" s="19" t="inlineStr">
        <is>
          <t>Rows 38–40 are below the table and columns other than C aren't Status cells, so they drop out, leaving 8 cells. This is why a handler loops over Intersect(Target, …) instead of over Target: it touches only the Status cells that changed, however big the selection was.</t>
        </is>
      </c>
    </row>
    <row r="6" ht="111" customHeight="1">
      <c r="A6" s="18" t="inlineStr">
        <is>
          <t>2</t>
        </is>
      </c>
      <c r="B6" s="19" t="inlineStr">
        <is>
          <t>A run-time error stopped your Worksheet_Change handler right after it set Application.EnableEvents = False, and now nothing happens when you edit a Status cell. Type the exact statement you would run in the Immediate window (Ctrl + G) to switch events back on.</t>
        </is>
      </c>
      <c r="C6" s="38" t="inlineStr">
        <is>
          <t>Application.EnableEvents = True</t>
        </is>
      </c>
      <c r="D6" s="39" t="inlineStr">
        <is>
          <t>Application.EnableEvents = True (type it in the Immediate window and press Enter)</t>
        </is>
      </c>
      <c r="E6" s="18" t="inlineStr">
        <is>
          <t>—</t>
        </is>
      </c>
      <c r="F6" s="19" t="inlineStr">
        <is>
          <t>EnableEvents belongs to the whole Excel application, not to one workbook or sheet. It stays False after the macro stops, for every open workbook, until something sets it back. That's why every handler that turns it off needs an error handler that always turns it back on. The EventsOn macro in modLog does the same job from Alt + F8 (Mac: Option + F8, or Developer → Macros).</t>
        </is>
      </c>
    </row>
    <row r="7" ht="96" customHeight="1">
      <c r="A7" s="18" t="inlineStr">
        <is>
          <t>3</t>
        </is>
      </c>
      <c r="B7" s="19" t="inlineStr">
        <is>
          <t>Your archive macro runs at 5:07 PM on 12/31/2025 and calls ThisWorkbook.SaveCopyAs folder &amp; "CensusReport_" &amp; Format(Now, "yyyy-mm-dd_hhnn") &amp; ".xlsm". What file name does it create? Type the name only, without the folder.</t>
        </is>
      </c>
      <c r="C7" s="38" t="inlineStr">
        <is>
          <t>CensusReport_2025-12-31_1707.xlsm</t>
        </is>
      </c>
      <c r="D7" s="39" t="inlineStr">
        <is>
          <t>CensusReport_2025-12-31_1707.xlsm</t>
        </is>
      </c>
      <c r="E7" s="18" t="inlineStr">
        <is>
          <t>—</t>
        </is>
      </c>
      <c r="F7" s="19" t="inlineStr">
        <is>
          <t>yyyy-mm-dd gives 2025-12-31. hh gives the hour on a 24-hour clock (17) because the format has no AM/PM code, and nn gives the minutes (07). Year-month-day order makes the archive files sort by date when you sort them by name. VBA would also read mm right after hh as minutes, but nn is never ambiguous, so prefer it.</t>
        </is>
      </c>
    </row>
    <row r="8" ht="111" customHeight="1">
      <c r="A8" s="18" t="inlineStr">
        <is>
          <t>4</t>
        </is>
      </c>
      <c r="B8" s="19" t="inlineStr">
        <is>
          <t>After ThisWorkbook.SaveCopyAs runs, which workbook are you working in? Type A, B, or C.
A = the original file (the copy was written to disk but isn't open)
B = the new copy (Excel switched to it, the way Save As does)
C = both files are open in Excel</t>
        </is>
      </c>
      <c r="C8" s="38" t="inlineStr">
        <is>
          <t>A</t>
        </is>
      </c>
      <c r="D8" s="39" t="inlineStr">
        <is>
          <t>A. SaveCopyAs writes a snapshot to a new file and leaves the open workbook alone.</t>
        </is>
      </c>
      <c r="E8" s="18" t="inlineStr">
        <is>
          <t>—</t>
        </is>
      </c>
      <c r="F8" s="19" t="inlineStr">
        <is>
          <t>SaveAs renames the open workbook, so afterwards you're editing the new file and the original file is no longer open. SaveCopyAs is the right tool for backups because nothing about the open workbook changes: same name, same folder, and the copy keeps the original's file format, so give it the same extension (.xlsm).</t>
        </is>
      </c>
    </row>
    <row r="9" ht="126" customHeight="1">
      <c r="A9" s="18" t="inlineStr">
        <is>
          <t>5</t>
        </is>
      </c>
      <c r="B9" s="19" t="inlineStr">
        <is>
          <t>The house supervisor wants the census summary rebuilt at 06:00 every morning and posted to a Microsoft Teams channel, even on days when nobody has Excel open. Which tool fits? Type A, B, or C.
A = Application.OnTime in your .xlsm
B = a Workbook_Open macro
C = an Office Script run by a scheduled Power Automate flow</t>
        </is>
      </c>
      <c r="C9" s="38" t="inlineStr">
        <is>
          <t>C</t>
        </is>
      </c>
      <c r="D9" s="39" t="inlineStr">
        <is>
          <t>C. A scheduled (Recurrence) Power Automate flow runs an Office Script in the cloud.</t>
        </is>
      </c>
      <c r="E9" s="18" t="inlineStr">
        <is>
          <t>—</t>
        </is>
      </c>
      <c r="F9" s="19" t="inlineStr">
        <is>
          <t>OnTime and Workbook_Open both need desktop Excel running on someone's PC with the workbook open (or being opened). Neither can fire at 06:00 if that PC is off, nobody is logged on, or Excel was closed overnight. A Power Automate flow with a Recurrence trigger runs in Microsoft's cloud, calls an Office Script on the workbook stored in OneDrive or SharePoint, and can post the result to Teams. VBA can't run in that setting at all.</t>
        </is>
      </c>
    </row>
    <row r="10" ht="409" customHeight="1">
      <c r="A10" s="18" t="inlineStr">
        <is>
          <t>6</t>
        </is>
      </c>
      <c r="B10" s="19" t="inlineStr">
        <is>
          <t>Save the workbook as .xlsm and import modLog. Paste starter/ThisWorkbook.cls into the ThisWorkbook module and finish Workbook_Open and Workbook_BeforeSave so they call WriteLog "Open", … and WriteLog "Save", …. Save, close, reopen with macros enabled, then save again. The gray cell shows TRUE when the Log sheet has at least one Open row and one Save row.</t>
        </is>
      </c>
      <c r="C10" s="38" t="b">
        <v>1</v>
      </c>
      <c r="D10" s="39" t="inlineStr">
        <is>
          <t>Option Explicit
' Runs every time the workbook opens with macros enabled.
Private Sub Workbook_Open()
    WriteLog "Open", "Opened by " &amp; Application.UserName
    Me.Worksheets("BedBoard").Activate
End Sub
' Runs just before every save (Ctrl + S, File &gt; Save, Save As).
' Setting Cancel = True stops the save.
Private Sub Workbook_BeforeSave(ByVal SaveAsUI As Boolean, Cancel As Boolean)
    Dim lo As ListObject
    Dim missing As Long
    ' Optional rule: refuse to save while required intake fields are blank.
    Set lo = Me.Worksheets("Intake").ListObjects("tblIntake")
    missing = Application.WorksheetFunction.CountBlank(lo.ListColumns("MRN").DataBodyRange) _
            + Application.WorksheetFunction.CountBlank(lo.ListColumns("ESILevel").DataBodyRange)
    If missing &gt; 0 Then
        Cancel = True
        WriteLog "Save blocked", missing &amp; " blank MRN/ESILevel cell(s) in tblIntake"
        MsgBox missing &amp; " required Intake cell(s) are blank (MRN or ESILevel)." &amp; vbLf &amp; _
               "Fill them in, then save again.", vbExclamation, "Save cancelled"
        Exit Sub
    End If
    WriteLog "Save", IIf(SaveAsUI, "Save As dialog", "Save")
End Sub</t>
        </is>
      </c>
      <c r="E10" s="18" t="inlineStr">
        <is>
          <t>—</t>
        </is>
      </c>
      <c r="F10" s="19" t="inlineStr">
        <is>
          <t>Workbook events run only from the ThisWorkbook module, and their names and arguments must match exactly, which is why picking them from the drop-downs beats typing. BeforeSave runs before Excel writes the file, so the Save row ends up inside the saved file. Setting Cancel = True stops the save. The solution uses that to refuse saving while a required Intake field is blank, and it logs the attempt before it exits.</t>
        </is>
      </c>
    </row>
    <row r="11" ht="409" customHeight="1">
      <c r="A11" s="18" t="inlineStr">
        <is>
          <t>7</t>
        </is>
      </c>
      <c r="B11" s="19" t="inlineStr">
        <is>
          <t>Paste starter/BedBoard.cls into the BedBoard sheet's module and finish its Worksheet_Change handler. For each changed Status cell it should stamp StatusTime with Now and call WriteLog "Bed status", … once. Delete any "Bed status" rows that your testing left on the Log sheet, then make exactly these edits:
• Change 4W-405B's Status to Dirty.
• Select the Status cells of 4W-410A, 4W-410B, and 4W-411A, type Clean, and press Ctrl + Enter (Mac: ⌘ + Return) to fill all three at once.
• In 4W-415A's Notes cell, type Bed alarm on.
The gray cell counts the Log's "Bed status" rows.</t>
        </is>
      </c>
      <c r="C11" s="38" t="n">
        <v>4</v>
      </c>
      <c r="D11" s="39" t="inlineStr">
        <is>
          <t>Option Explicit
' Runs after cells on this sheet are changed by a person or by VBA.
' Target holds EVERY cell changed by that one action (it can be many cells).
Private Sub Worksheet_Change(ByVal Target As Range)
    Dim lo As ListObject
    Dim changed As Range, cell As Range
    Dim r As Long
    Set lo = Me.ListObjects("tblBeds")
    ' React only to the Status column; ignore edits anywhere else on the sheet.
    Set changed = Intersect(Target, lo.ListColumns("Status").DataBodyRange)
    If changed Is Nothing Then Exit Sub
    On Error GoTo CleanUp
    Application.EnableEvents = False      ' our own writes below must not fire this event again
    For Each cell In changed.Cells
        ' Tidy what was typed ("dirty" -&gt; "Dirty"). Without EnableEvents = False,
        ' this write would fire Worksheet_Change again.
        If VarType(cell.Value) = vbString Then cell.Value = StrConv(Trim$(cell.Value), vbProperCase)
        r = cell.Row - lo.DataBodyRange.Row + 1          ' row number inside the table
        lo.ListColumns("StatusTime").DataBodyRange.Cells(r).Value = Now
        WriteLog "Bed status", lo.ListColumns("BedID").DataBodyRange.Cells(r).Value &amp; " -&gt; " &amp; cell.Value
    Next cell
CleanUp:
    Application.EnableEvents = True       ' runs on success AND after an error
    If Err.Number &lt;&gt; 0 Then MsgBox "Bed board update failed: " &amp; Err.Description, vbExclamation
End Sub</t>
        </is>
      </c>
      <c r="E11" s="18" t="inlineStr">
        <is>
          <t>—</t>
        </is>
      </c>
      <c r="F11" s="19" t="inlineStr">
        <is>
          <t>Ctrl + Enter changes three cells in one action, so the event fires once with a 3-cell Target. A handler that reads only Target.Value or Target.Row logs 1 row instead of 3. The Notes edit fires the event too, but its Intersect with the Status column is Nothing, so the handler exits. Total: 1 + 3 = 4. EnableEvents = False stops the handler's own writes (the tidied status and the StatusTime stamp) from firing it again, and the CleanUp label turns events back on even after an error.</t>
        </is>
      </c>
    </row>
    <row r="12" ht="409" customHeight="1">
      <c r="A12" s="18" t="inlineStr">
        <is>
          <t>8</t>
        </is>
      </c>
      <c r="B12" s="19" t="inlineStr">
        <is>
          <t>Build frmIntake (Guide §6–7) and use it to add these three ED arrivals on 12/31/2025. Type each arrival as yyyy-mm-dd hh:mm, for example 2025-12-31 11:41.
• 11:41 · MRN 02718484 · King, Gerald · Walk-In · ESI 3 · Vomiting / Dizziness · interpreter needed
• 11:44 · MRN 00787672 · Cruz, Bobby · Walk-In · ESI 4 · Vomiting / Dizziness · no interpreter
• 11:52 · MRN 05525049 · Rice, Jennifer · Ambulance · ESI 2 · Shortness of Breath · no interpreter
Then try to save a fourth record with MRN 787672. Your form must refuse it. The gray cell shows how many rows tblIntake has now.</t>
        </is>
      </c>
      <c r="C12" s="38" t="n">
        <v>72</v>
      </c>
      <c r="D12" s="39" t="inlineStr">
        <is>
          <t>Private Sub cmdSave_Click()
    Dim msg As String
    msg = ValidationMessage()
    If Len(msg) &gt; 0 Then
        MsgBox "Please fix the following:" &amp; vbLf &amp; vbLf &amp; msg, vbExclamation, "Intake not saved"
        Exit Sub                                   ' keep the form open so the user can fix it
    End If
    AddIntakeRow
    lblStatus.Caption = "Saved: " &amp; Trim$(txtLast.Value) &amp; ", " &amp; Trim$(txtFirst.Value) &amp; _
                        " (MRN " &amp; Trim$(txtMRN.Value) &amp; ")"
    ClearForm                                      ' ready for the next patient
    txtMRN.SetFocus
End Sub
Private Sub AddIntakeRow()
    Dim lo As ListObject
    Dim newRow As ListRow
    Dim nextID As Long
    Set lo = ThisWorkbook.Worksheets(TABLE_SHEET).ListObjects(TABLE_NAME)
    nextID = Application.WorksheetFunction.Max(lo.ListColumns("IntakeID").DataBodyRange) + 1
    Set newRow = lo.ListRows.Add                   ' new empty row at the bottom; the Table grows
    SetField lo, newRow, "IntakeID", nextID
    SetField lo, newRow, "ArrivalDateTime", CDate(txtArrival.Value)     ' a real date-time, not text
    newRow.Range.Cells(1, lo.ListColumns("MRN").Index).NumberFormat = "@"   ' Text format first...
    SetField lo, newRow, "MRN", Trim$(txtMRN.Value)                     ' ...so leading zeros survive
    SetField lo, newRow, "LastName", Trim$(txtLast.Value)
    SetField lo, newRow, "FirstName", Trim$(txtFirst.Value)
    SetField lo, newRow, "ArrivalMode", cboArrivalMode.Value
    SetField lo, newRow, "ESILevel", SelectedESI()                      ' a number (Long)
    SetField lo, newRow, "ChiefComplaint", cboComplaint.Value
    SetField lo, newRow, "Interpreter", CBool(chkInterpreter.Value)     ' TRUE / FALSE
    SetField lo, newRow, "EnteredBy", Application.UserName
End Sub
' Writes one value into the named column of a ListRow.
Private Sub SetField(ByVal lo As ListObject, ByVal r As ListRow, ByVal columnName As String, ByVal v As Variant)
    r.Range.Cells(1, lo.ListColumns(columnName).Index).Value = v
End Sub</t>
        </is>
      </c>
      <c r="E12" s="18" t="inlineStr">
        <is>
          <t>—</t>
        </is>
      </c>
      <c r="F12" s="19" t="inlineStr">
        <is>
          <t>The table started with 69 arrivals, and three valid saves make 72. If you see 73, the 6-digit MRN got through, so check your Like "########" test (# matches exactly one digit). An extra, half-empty row instead means a run-time error stopped AddIntakeRow after ListRows.Add: delete that row (right-click → Delete → Table Rows) and fix the error. ListRows.Add grows the Table itself, so formats, formulas, and anything that refers to tblIntake pick up the new row automatically. The full form code is in solutions/frmIntake.vba.</t>
        </is>
      </c>
    </row>
    <row r="13" ht="111" customHeight="1">
      <c r="A13" s="18" t="inlineStr">
        <is>
          <t>9</t>
        </is>
      </c>
      <c r="B13" s="19" t="inlineStr">
        <is>
          <t>How many MRNs in tblIntake are stored as 8-character text? The gray cell counts them with ISTEXT and LEN. If the count is lower than your row count in task 8, your form wrote some MRNs as numbers. Delete those rows, fix AddIntakeRow, and enter the patients again.</t>
        </is>
      </c>
      <c r="C13" s="38" t="n">
        <v>72</v>
      </c>
      <c r="D13" s="39" t="inlineStr">
        <is>
          <t>newRow.Range.Cells(1, lo.ListColumns("MRN").Index).NumberFormat = "@"   ' Text format first...
SetField lo, newRow, "MRN", Trim$(txtMRN.Value)                     ' ...so leading zeros survive</t>
        </is>
      </c>
      <c r="E13" s="18" t="inlineStr">
        <is>
          <t>—</t>
        </is>
      </c>
      <c r="F13" s="19" t="inlineStr">
        <is>
          <t>txtMRN.Value is the text "00787672". When VBA writes number-like text into a General-format cell, Excel converts it just as if you had typed it, so the cell stores 787672 and the leading zeros are gone. Formatting the cell as Text ("@") before writing keeps it as text, and so does writing "'" &amp; mrn. Don't rely on the column's existing format: new Table rows copy whatever format the row above has.</t>
        </is>
      </c>
    </row>
    <row r="14" ht="201" customHeight="1">
      <c r="A14" s="18" t="inlineStr">
        <is>
          <t>10</t>
        </is>
      </c>
      <c r="B14" s="19" t="inlineStr">
        <is>
          <t>How many arrivals in tblIntake are ESI level 1 or 2 now? The gray cell uses COUNTIFS(tblIntake[ESILevel],"&lt;=2"), which counts only real numbers.</t>
        </is>
      </c>
      <c r="C14" s="38" t="n">
        <v>18</v>
      </c>
      <c r="D14" s="39" t="inlineStr">
        <is>
          <t>' Option buttons have no single "value", so ask each one in turn.
Private Function SelectedESI() As Long
    Dim i As Long
    For i = 1 To 5
        If Me.Controls("optESI" &amp; i).Value = True Then
            SelectedESI = i
            Exit Function
        End If
    Next i
    ' none selected: the function returns 0
End Function</t>
        </is>
      </c>
      <c r="E14" s="18" t="inlineStr">
        <is>
          <t>—</t>
        </is>
      </c>
      <c r="F14" s="19" t="inlineStr">
        <is>
          <t>Option buttons don't share a single value, so SelectedESI asks optESI1 to optESI5 in turn and returns the number of the one that's selected (0 if none, which validation rejects). Writing that Long keeps ESILevel numeric, so COUNTIFS, AVERAGE, and PivotTables all work. 17 of the original 69 arrivals were ESI 1–2, and Jennifer Rice (ESI 2) brings the total to 18.</t>
        </is>
      </c>
    </row>
    <row r="15" ht="409" customHeight="1">
      <c r="A15" s="18" t="inlineStr">
        <is>
          <t>11</t>
        </is>
      </c>
      <c r="B15" s="19" t="inlineStr">
        <is>
          <t>Finish CombineCensusFiles in modReports so it loops through every .csv file in the census_monthly folder with Dir, opens each one, copies its data rows (not its header) to the next empty row of the Combined sheet, and closes it without saving. Run it. The gray cell counts the data rows on Combined, or shows a message if column A holds text or blank rows.</t>
        </is>
      </c>
      <c r="C15" s="38" t="n">
        <v>6570</v>
      </c>
      <c r="D15" s="39" t="inlineStr">
        <is>
          <t>Public Sub CombineCensusFiles()
    Dim sep As String, folder As String, fileName As String
    Dim wsOut As Worksheet, wbSrc As Workbook, body As Range
    Dim nextRow As Long, nFiles As Long
    sep = Application.PathSeparator
    If Len(ThisWorkbook.Path) = 0 Or LCase$(Left$(ThisWorkbook.Path, 4)) = "http" Then
        MsgBox "Save this workbook in a folder on your computer first " &amp; _
               "(a OneDrive/SharePoint web path won't work with Dir).", vbExclamation
        Exit Sub
    End If
    ' The CSV folder sits next to this workbook; its name is in Settings!B4.
    folder = ThisWorkbook.Path &amp; sep &amp; ThisWorkbook.Worksheets("Settings").Range("B4").Value
    If Len(Dir(folder, vbDirectory)) = 0 Then
        MsgBox "Folder not found:" &amp; vbLf &amp; folder, vbExclamation
        Exit Sub
    End If
    folder = folder &amp; sep
    On Error GoTo Fail
    Application.ScreenUpdating = False
    Set wsOut = ThisWorkbook.Worksheets("Combined")
    wsOut.Range("A2:H" &amp; wsOut.Rows.Count).ClearContents     ' keep the headers in row 1
    nextRow = 2
    fileName = Dir(folder)                       ' first file in the folder (any type)
    Do While Len(fileName) &gt; 0
        If LCase$(fileName) Like "*.csv" Then    ' skip README.txt and anything else
            Set wbSrc = Workbooks.Open(Filename:=folder &amp; fileName)
            Set body = wbSrc.Worksheets(1).Range("A1").CurrentRegion
            If body.Rows.Count &gt; 1 Then
                Set body = body.Offset(1, 0).Resize(body.Rows.Count - 1)    ' drop the header row
                wsOut.Cells(nextRow, 1).Resize(body.Rows.Count, body.Columns.Count).Value = body.Value
                nextRow = nextRow + body.Rows.Count
            End If
            wbSrc.Close SaveChanges:=False
            Set wbSrc = Nothing
            nFiles = nFiles + 1
        End If
        fileName = Dir()                         ' next file: no arguments!
    Loop
    wsOut.Columns("A").NumberFormat = "mm/dd/yyyy"
    WriteLog "Combine", nFiles &amp; " files, " &amp; (nextRow - 2) &amp; " rows"
CleanUp:
    Application.ScreenUpdating = True
    Exit Sub
Fail:
    If Not wbSrc Is Nothing Then wbSrc.Close SaveChanges:=False   ' never leave a source file open
    MsgBox "Combine failed on " &amp; fileName &amp; ":" &amp; vbLf &amp; Err.Description, vbExclamation
    Resume CleanUp
End Sub</t>
        </is>
      </c>
      <c r="E15" s="18" t="inlineStr">
        <is>
          <t>—</t>
        </is>
      </c>
      <c r="F15" s="19" t="inlineStr">
        <is>
          <t>12 files × 18 units × the days in each month = 6,570 rows. The gray cell also inspects column A (CensusDate), where every cell should be a real date. "Text rows found" means header rows or README.txt lines were copied in: drop each file's header with Offset(1, 0).Resize(rows − 1), and skip other files with LCase$(fileName) Like "*.csv". "Blank rows found" means each file left an empty row behind. That happens with Offset(1, 0) alone, because the shifted block keeps the header's row in its count and so ends one row below the data. Because the macro clears row 2 down first, running it twice gives the same count instead of doubling it.</t>
        </is>
      </c>
    </row>
    <row r="16" ht="96" customHeight="1">
      <c r="A16" s="18" t="inlineStr">
        <is>
          <t>12</t>
        </is>
      </c>
      <c r="B16" s="19" t="inlineStr">
        <is>
          <t>Now analyze what your macro imported. In the yellow cell, write one formula that reads the Combined sheet: what was the 2025 occupancy of Bluestone Memorial's Intensive Care Unit (DeptID D130)? Use patient days (sum of MidnightCensus) ÷ bed days (sum of StaffedBeds), as a percentage to 1 decimal place.</t>
        </is>
      </c>
      <c r="C16" s="40" t="n">
        <v>0.8339726027397261</v>
      </c>
      <c r="D16" s="39" t="inlineStr">
        <is>
          <t>=SUMIFS(Combined!H:H,Combined!C:C,"D130")/SUMIFS(Combined!E:E,Combined!C:C,"D130")</t>
        </is>
      </c>
      <c r="E16" s="18" t="inlineStr">
        <is>
          <t>—</t>
        </is>
      </c>
      <c r="F16" s="19" t="inlineStr">
        <is>
          <t>Occupancy for a period is total patient days ÷ total bed days, the same total-over-total rule as in Lesson 1.4. Whole-column references such as Combined!H:H suit a sheet that a macro refills, because the formula keeps working however many rows arrive next month.</t>
        </is>
      </c>
    </row>
  </sheetData>
  <mergeCells count="1">
    <mergeCell ref="A2:F2"/>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5" t="inlineStr">
        <is>
          <t>🔑 Bonus Key — Lesson 5.5</t>
        </is>
      </c>
    </row>
    <row r="2" ht="32" customHeight="1">
      <c r="A2" s="36" t="inlineStr">
        <is>
          <t>Spoiler alert: try every task before reading this sheet. Column C is the value the Check column compares against, and column D shows a sample solution (steps or code).</t>
        </is>
      </c>
    </row>
    <row r="4">
      <c r="A4" s="37" t="inlineStr">
        <is>
          <t>#</t>
        </is>
      </c>
      <c r="B4" s="37" t="inlineStr">
        <is>
          <t>Task</t>
        </is>
      </c>
      <c r="C4" s="37" t="inlineStr">
        <is>
          <t>Answer</t>
        </is>
      </c>
      <c r="D4" s="37" t="inlineStr">
        <is>
          <t>Sample solution</t>
        </is>
      </c>
      <c r="E4" s="37" t="inlineStr">
        <is>
          <t>Live result</t>
        </is>
      </c>
      <c r="F4" s="37" t="inlineStr">
        <is>
          <t>Explanation</t>
        </is>
      </c>
    </row>
    <row r="5" ht="409" customHeight="1">
      <c r="A5" s="18" t="inlineStr">
        <is>
          <t>B1</t>
        </is>
      </c>
      <c r="B5" s="19" t="inlineStr">
        <is>
          <t>What was the December 2025 average daily census (ADC) of Bluestone Memorial's Intensive Care Unit (D130)? The gray cell looks it up on Report_2025-12.</t>
        </is>
      </c>
      <c r="C5" s="41" t="n">
        <v>18.12903225806452</v>
      </c>
      <c r="D5" s="39" t="inlineStr">
        <is>
          <t>Public Sub BuildCensusReport()
    Const FIRST_ROW As Long = 4                  ' first unit row on the report
    Dim wsSet As Worksheet, wsData As Worksheet, wsRep As Worksheet
    Dim reportMonth As Date, monthEnd As Date, nDays As Long
    Dim data As Variant, r As Long, i As Long, k As Long, n As Long
    Dim unitIdx As Collection
    Dim ids() As String, unitNames() As String, facs() As String
    Dim pd() As Double, bd() As Double, totPD As Double, totBD As Double
    Dim sheetName As String, sep As String, folder As String, pdfPath As String, ext As String
    Dim lastRow As Long, totalRow As Long
    On Error GoTo Fail
    Set wsSet = ThisWorkbook.Worksheets("Settings")
    If Not IsDate(wsSet.Range("B3").Value) Then Err.Raise vbObjectError + 513, , "Settings!B3 (ReportMonth) must be a date."
    reportMonth = DateSerial(Year(wsSet.Range("B3").Value), Month(wsSet.Range("B3").Value), 1)
    monthEnd = DateSerial(Year(reportMonth), Month(reportMonth) + 1, 0)   ' day 0 of next month = last day
    nDays = Day(monthEnd)
    ' Step 1: refresh the Combined sheet from the CSV folder
    CombineCensusFiles
    Set wsData = ThisWorkbook.Worksheets("Combined")
    lastRow = wsData.Cells(wsData.Rows.Count, "A").End(xlUp).Row
    If lastRow &lt; 2 Then Err.Raise vbObjectError + 514, , "The Combined sheet is empty. Check the CSV folder."
    data = wsData.Range("A2:H" &amp; lastRow).Value          ' one fast read into memory
    ' Step 2: total patient days and bed days per unit for the report month.
    ' unitIdx maps DeptID -&gt; position in the arrays (a Collection works on Mac too).
    Set unitIdx = New Collection
    For r = 1 To UBound(data, 1)
        If data(r, 1) &gt;= reportMonth And data(r, 1) &lt;= monthEnd Then
            k = UnitIndex(unitIdx, CStr(data(r, 3)))
            If k = 0 Then                                  ' first row for this unit
                n = n + 1
                ReDim Preserve ids(1 To n): ReDim Preserve unitNames(1 To n): ReDim Preserve facs(1 To n)
                ReDim Preserve pd(1 To n): ReDim Preserve bd(1 To n)
                ids(n) = CStr(data(r, 3))
                unitNames(n) = CStr(data(r, 4))
                facs(n) = CStr(data(r, 2))
                unitIdx.Add n, ids(n)
                k = n
            End If
            pd(k) = pd(k) + data(r, 8)      ' MidnightCensus -&gt; patient days
            bd(k) = bd(k) + data(r, 5)      ' StaffedBeds    -&gt; bed days
        End If
    Next r
    If n = 0 Then Err.Raise vbObjectError + 515, , "No census rows for " &amp; Format(reportMonth, "mmmm yyyy") &amp; "."
    ' Step 3: rebuild this month's report sheet
    sheetName = "Report_" &amp; Format(reportMonth, "yyyy-mm")
    Application.ScreenUpdating = False
    Application.DisplayAlerts = False
    On Error Resume Next
    ThisWorkbook.Worksheets(sheetName).Delete              ' no error if it doesn't exist yet
    On Error GoTo Fail
    Application.DisplayAlerts = True
    Set wsRep = ThisWorkbook.Worksheets.Add(After:=ThisWorkbook.Worksheets(ThisWorkbook.Worksheets.Count))
    wsRep.Name = sheetName
    With wsRep
        .Range("A1").Value = "Bluestone Health System - Inpatient Census Report - " &amp; Format(reportMonth, "mmmm yyyy")
        .Range("A3:G3").Value = Array("DeptID", "Unit", "Facility", "PatientDays", "BedDays", "ADC", "Occupancy")
        For i = 1 To n
            .Cells(FIRST_ROW + i - 1, 1).Resize(1, 7).Value = _
                Array(ids(i), unitNames(i), facs(i), pd(i), bd(i), pd(i) / nDays, pd(i) / bd(i))
            totPD = totPD + pd(i)
            totBD = totBD + bd(i)
        Next i
        .Range("A" &amp; FIRST_ROW).Resize(n, 7).Sort Key1:=.Range("G" &amp; FIRST_ROW), Order1:=xlDescending, Header:=xlNo
        totalRow = FIRST_ROW + n
        .Cells(totalRow, 1).Resize(1, 7).Value = _
            Array("Total", "All units", "", totPD, totBD, totPD / nDays, totPD / totBD)
        .Range("A1").Font.Bold = True
        .Range("A1").Font.Size = 14
        .Range("A3:G3").Font.Bold = True
        .Range("A" &amp; totalRow &amp; ":G" &amp; totalRow).Font.Bold = True
        .Range("D4:E" &amp; totalRow).NumberFormat = "#,##0"
        .Range("F4:F" &amp; totalRow).NumberFormat = "0.0"
        .Range("G4:G" &amp; totalRow).NumberFormat = "0.0%"
        .Range("A3:G" &amp; totalRow).Columns.AutoFit
        With .PageSetup
            .Orientation = xlLandscape
            .Zoom = False                  ' required before FitToPages* takes effect
            .FitToPagesWide = 1
            .FitToPagesTall = False
            .CenterFooter = "Page &amp;P of &amp;N"
        End With
    End With
    ' Step 4: export the report sheet to PDF and record where it went
    sep = Application.PathSeparator
    folder = ThisWorkbook.Path &amp; sep &amp; wsSet.Range("B5").Value
    If Len(Dir(folder, vbDirectory)) = 0 Then MkDir folder
    pdfPath = folder &amp; sep &amp; "CensusReport_" &amp; Format(reportMonth, "yyyy-mm") &amp; ".pdf"
    wsRep.ExportAsFixedFormat Type:=xlTypePDF, Filename:=pdfPath, Quality:=xlQualityStandard, _
        IncludeDocProperties:=True, IgnorePrintAreas:=False, OpenAfterPublish:=False
    wsSet.Range("B6").Value = pdfPath
    ' Step 5: timestamped backup of the whole workbook (you stay in the original)
    ext = Mid$(ThisWorkbook.Name, InStrRev(ThisWorkbook.Name, "."))
    ThisWorkbook.SaveCopyAs folder &amp; sep &amp; "CensusReport_" &amp; Format(reportMonth, "yyyy-mm") &amp; _
                            "_built_" &amp; Format(Now, "yyyy-mm-dd_hhnn") &amp; ext
    WriteLog "Report", sheetName &amp; " -&gt; " &amp; pdfPath
    wsRep.Activate
    MsgBox "Report ready:" &amp; vbLf &amp; pdfPath, vbInformation
CleanUp:
    Application.DisplayAlerts = True
    Application.ScreenUpdating = True
    Exit Sub
Fail:
    MsgBox "Report failed: " &amp; Err.Description, vbExclamation
    WriteLog "Report error", Err.Description
    Resume CleanUp
End Sub
' Position stored for key in the Collection, or 0 if the key isn't there yet.
Private Function UnitIndex(ByVal idx As Collection, ByVal key As String) As Long
    On Error Resume Next
    UnitIndex = idx.Item(key)              ' error 5 when the key is missing -&gt; stays 0
    On Error GoTo 0
End Function</t>
        </is>
      </c>
      <c r="E5" s="18" t="inlineStr">
        <is>
          <t>—</t>
        </is>
      </c>
      <c r="F5" s="19" t="inlineStr">
        <is>
          <t>The macro reads Combined into an array once, then loops in memory. That's far faster than reading cells one by one. A Collection maps each DeptID to its position in the parallel arrays (UnitIndex returns 0 for a new unit), which works on Windows and Mac. Scripting.Dictionary (Lesson 5.4) would also work, but it's Windows-only. DateSerial(y, m + 1, 0) returns the last day of the month, so the same code handles 28-, 30-, and 31-day months.</t>
        </is>
      </c>
    </row>
    <row r="6" ht="51" customHeight="1">
      <c r="A6" s="18" t="inlineStr">
        <is>
          <t>B2</t>
        </is>
      </c>
      <c r="B6" s="19" t="inlineStr">
        <is>
          <t>Which unit (DeptID) had the highest occupancy in December 2025? The gray cell reads the first unit row of Report_2025-12, so your sort must be right.</t>
        </is>
      </c>
      <c r="C6" s="38" t="inlineStr">
        <is>
          <t>D210</t>
        </is>
      </c>
      <c r="D6" s="39" t="inlineStr">
        <is>
          <t>.Range("A" &amp; FIRST_ROW).Resize(n, 7).Sort Key1:=.Range("G" &amp; FIRST_ROW), _
    Order1:=xlDescending, Header:=xlNo</t>
        </is>
      </c>
      <c r="E6" s="18" t="inlineStr">
        <is>
          <t>—</t>
        </is>
      </c>
      <c r="F6" s="19" t="inlineStr">
        <is>
          <t>D210 (Medical-Surgical, F02) ran at 94.5%, just ahead of D190 at 93.9%. Sort before you write the Total row. Otherwise the Total row gets sorted in with the units.</t>
        </is>
      </c>
    </row>
    <row r="7" ht="66" customHeight="1">
      <c r="A7" s="18" t="inlineStr">
        <is>
          <t>B3</t>
        </is>
      </c>
      <c r="B7" s="19" t="inlineStr">
        <is>
          <t>What was the system-wide inpatient occupancy in December 2025? The gray cell reads it from the Total row of Report_2025-12.</t>
        </is>
      </c>
      <c r="C7" s="40" t="n">
        <v>0.8423963133640553</v>
      </c>
      <c r="D7" s="39" t="inlineStr">
        <is>
          <t>totPD / totBD   ' total patient days / total bed days across all units</t>
        </is>
      </c>
      <c r="E7" s="18" t="inlineStr">
        <is>
          <t>—</t>
        </is>
      </c>
      <c r="F7" s="19" t="inlineStr">
        <is>
          <t>9,140 patient days ÷ 10,850 bed days = 84.2%. Averaging the 18 unit percentages would give every unit equal weight, so the 8-bed Intensive Care Unit at Ashby Falls would count as much as the 36-bed 4 West.</t>
        </is>
      </c>
    </row>
    <row r="8" ht="66" customHeight="1">
      <c r="A8" s="18" t="inlineStr">
        <is>
          <t>B4</t>
        </is>
      </c>
      <c r="B8" s="19" t="inlineStr">
        <is>
          <t>After rerunning for January 2025, which DeptID tops Report_2025-01?</t>
        </is>
      </c>
      <c r="C8" s="38" t="inlineStr">
        <is>
          <t>D110</t>
        </is>
      </c>
      <c r="D8" s="39" t="inlineStr">
        <is>
          <t>reportMonth = DateSerial(Year(wsSet.Range("B3").Value), Month(wsSet.Range("B3").Value), 1)
sheetName = "Report_" &amp; Format(reportMonth, "yyyy-mm")</t>
        </is>
      </c>
      <c r="E8" s="18" t="inlineStr">
        <is>
          <t>—</t>
        </is>
      </c>
      <c r="F8" s="19" t="inlineStr">
        <is>
          <t>January's leader is D110 (Medical-Surgical 4 West) at 94.8%. Reading the month from a Settings cell instead of hard-coding it is what turns a one-off macro into a reusable report: next month, someone changes one cell and clicks once.</t>
        </is>
      </c>
    </row>
    <row r="9" ht="126" customHeight="1">
      <c r="A9" s="18" t="inlineStr">
        <is>
          <t>B5</t>
        </is>
      </c>
      <c r="B9" s="19" t="inlineStr">
        <is>
          <t>What is the file name (without the folder) of the last PDF your macro exported? The gray cell pulls it from the full path in Settings!B6.</t>
        </is>
      </c>
      <c r="C9" s="38" t="inlineStr">
        <is>
          <t>CensusReport_2025-01.pdf</t>
        </is>
      </c>
      <c r="D9" s="39" t="inlineStr">
        <is>
          <t>pdfPath = folder &amp; sep &amp; "CensusReport_" &amp; Format(reportMonth, "yyyy-mm") &amp; ".pdf"
wsRep.ExportAsFixedFormat Type:=xlTypePDF, Filename:=pdfPath, Quality:=xlQualityStandard, _
    IncludeDocProperties:=True, IgnorePrintAreas:=False, OpenAfterPublish:=False
wsSet.Range("B6").Value = pdfPath</t>
        </is>
      </c>
      <c r="E9" s="18" t="inlineStr">
        <is>
          <t>—</t>
        </is>
      </c>
      <c r="F9" s="19" t="inlineStr">
        <is>
          <t>After the January rerun the answer is CensusReport_2025-01.pdf (the check also accepts the December name if you ran December last). Recording the output path in a cell leaves an audit trail and lets the next step, such as an email or a Power Automate flow, find the file. The gray formula turns every \ into /, then keeps the text after the last /, so it works with Windows and Mac paths.</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5.5 — Events, UserForms &amp; Automated Reports</dc:title>
  <dcterms:created xsi:type="dcterms:W3CDTF">2026-10-02T20:06:51Z</dcterms:created>
  <dcterms:modified xsi:type="dcterms:W3CDTF">2026-10-02T20:06:51Z</dcterms:modified>
</cp:coreProperties>
</file>
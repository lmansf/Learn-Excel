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ables/table1.xml" ContentType="application/vnd.openxmlformats-officedocument.spreadsheetml.table+xml"/>
  <Override PartName="/xl/worksheets/sheet4.xml" ContentType="application/vnd.openxmlformats-officedocument.spreadsheetml.worksheet+xml"/>
  <Override PartName="/xl/tables/table2.xml" ContentType="application/vnd.openxmlformats-officedocument.spreadsheetml.table+xml"/>
  <Override PartName="/xl/worksheets/sheet5.xml" ContentType="application/vnd.openxmlformats-officedocument.spreadsheetml.worksheet+xml"/>
  <Override PartName="/xl/tables/table3.xml" ContentType="application/vnd.openxmlformats-officedocument.spreadsheetml.table+xml"/>
  <Override PartName="/xl/worksheets/sheet6.xml" ContentType="application/vnd.openxmlformats-officedocument.spreadsheetml.worksheet+xml"/>
  <Override PartName="/xl/drawings/drawing1.xml" ContentType="application/vnd.openxmlformats-officedocument.drawing+xml"/>
  <Override PartName="/xl/worksheets/sheet7.xml" ContentType="application/vnd.openxmlformats-officedocument.spreadsheetml.worksheet+xml"/>
  <Override PartName="/xl/tables/table4.xml" ContentType="application/vnd.openxmlformats-officedocument.spreadsheetml.table+xml"/>
  <Override PartName="/xl/worksheets/sheet8.xml" ContentType="application/vnd.openxmlformats-officedocument.spreadsheetml.worksheet+xml"/>
  <Override PartName="/xl/tables/table5.xml" ContentType="application/vnd.openxmlformats-officedocument.spreadsheetml.table+xml"/>
  <Override PartName="/xl/worksheets/sheet9.xml" ContentType="application/vnd.openxmlformats-officedocument.spreadsheetml.worksheet+xml"/>
  <Override PartName="/xl/tables/table6.xml" ContentType="application/vnd.openxmlformats-officedocument.spreadsheetml.table+xml"/>
  <Override PartName="/xl/worksheets/sheet10.xml" ContentType="application/vnd.openxmlformats-officedocument.spreadsheetml.worksheet+xml"/>
  <Override PartName="/xl/tables/table7.xml" ContentType="application/vnd.openxmlformats-officedocument.spreadsheetml.table+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drawings/drawing2.xml" ContentType="application/vnd.openxmlformats-officedocument.drawing+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charts/chart5.xml" ContentType="application/vnd.openxmlformats-officedocument.drawingml.chart+xml"/>
  <Override PartName="/xl/charts/chart6.xml" ContentType="application/vnd.openxmlformats-officedocument.drawingml.chart+xml"/>
  <Override PartName="/xl/charts/chart7.xml" ContentType="application/vnd.openxmlformats-officedocument.drawingml.chart+xml"/>
  <Override PartName="/xl/charts/chart8.xml" ContentType="application/vnd.openxmlformats-officedocument.drawingml.chart+xml"/>
  <Override PartName="/xl/charts/chart9.xml" ContentType="application/vnd.openxmlformats-officedocument.drawingml.chart+xml"/>
  <Override PartName="/xl/charts/chart10.xml" ContentType="application/vnd.openxmlformats-officedocument.drawingml.chart+xml"/>
  <Override PartName="/xl/charts/chart11.xml" ContentType="application/vnd.openxmlformats-officedocument.drawingml.chart+xml"/>
  <Override PartName="/xl/charts/chart12.xml" ContentType="application/vnd.openxmlformats-officedocument.drawingml.chart+xml"/>
  <Override PartName="/xl/charts/chart13.xml" ContentType="application/vnd.openxmlformats-officedocument.drawingml.chart+xml"/>
  <Override PartName="/xl/charts/chart14.xml" ContentType="application/vnd.openxmlformats-officedocument.drawingml.chart+xml"/>
  <Override PartName="/xl/charts/chart15.xml" ContentType="application/vnd.openxmlformats-officedocument.drawingml.chart+xml"/>
  <Override PartName="/xl/workbook.xml" ContentType="application/vnd.openxmlformats-officedocument.spreadsheetml.sheet.main+xml"/>
  <Override PartName="/xl/metadata.xml" ContentType="application/vnd.openxmlformats-officedocument.spreadsheetml.sheetMetadata+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tart Here" sheetId="1" state="visible" r:id="rId1"/>
    <sheet name="Practice" sheetId="2" state="visible" r:id="rId2"/>
    <sheet name="ED_Hourly" sheetId="3" state="visible" r:id="rId3"/>
    <sheet name="ED_Monthly" sheetId="4" state="visible" r:id="rId4"/>
    <sheet name="Readmits" sheetId="5" state="visible" r:id="rId5"/>
    <sheet name="Makeover" sheetId="6" state="visible" r:id="rId6"/>
    <sheet name="PayerMix" sheetId="7" state="visible" r:id="rId7"/>
    <sheet name="Stays" sheetId="8" state="visible" r:id="rId8"/>
    <sheet name="Denials" sheetId="9" state="visible" r:id="rId9"/>
    <sheet name="Budget" sheetId="10" state="visible" r:id="rId10"/>
    <sheet name="Bonus" sheetId="11" state="visible" r:id="rId11"/>
    <sheet name="Answer Key" sheetId="12" state="hidden" r:id="rId12"/>
    <sheet name="Bonus Key" sheetId="13" state="hidden" r:id="rId13"/>
    <sheet name="Chart Key" sheetId="14" state="hidden" r:id="rId14"/>
  </sheets>
  <definedNames/>
  <calcPr calcId="124519" fullCalcOnLoad="1"/>
</workbook>
</file>

<file path=xl/metadata.xml><?xml version="1.0" encoding="utf-8"?>
<metadata xmlns="http://schemas.openxmlformats.org/spreadsheetml/2006/main"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numFmts count="8">
    <numFmt numFmtId="164" formatCode="0.0"/>
    <numFmt numFmtId="165" formatCode="yyyy-mm-dd"/>
    <numFmt numFmtId="166" formatCode="mmm yyyy"/>
    <numFmt numFmtId="167" formatCode="0.0%"/>
    <numFmt numFmtId="168" formatCode="#,##0;-#,##0"/>
    <numFmt numFmtId="169" formatCode="0.0000"/>
    <numFmt numFmtId="170" formatCode="0.000"/>
    <numFmt numFmtId="171" formatCode="mmm yy"/>
  </numFmts>
  <fonts count="21">
    <font>
      <name val="Calibri"/>
      <family val="2"/>
      <color theme="1"/>
      <sz val="11"/>
      <scheme val="minor"/>
    </font>
    <font>
      <b val="1"/>
    </font>
    <font>
      <b val="1"/>
      <color rgb="00000000"/>
    </font>
    <font>
      <b val="1"/>
      <color rgb="001F4E79"/>
      <sz val="13"/>
    </font>
    <font>
      <i val="1"/>
      <color rgb="00595959"/>
      <sz val="10"/>
    </font>
    <font>
      <b val="1"/>
      <color rgb="007B2C2C"/>
      <sz val="16"/>
    </font>
    <font>
      <i val="1"/>
      <color rgb="00595959"/>
    </font>
    <font>
      <b val="1"/>
      <color rgb="00FFFFFF"/>
    </font>
    <font>
      <name val="Consolas"/>
      <sz val="10"/>
    </font>
    <font>
      <b val="1"/>
      <color rgb="001F4E79"/>
      <sz val="16"/>
    </font>
    <font>
      <color rgb="00404040"/>
      <sz val="11"/>
    </font>
    <font>
      <i val="1"/>
      <color rgb="00404040"/>
      <sz val="11"/>
    </font>
    <font>
      <i val="1"/>
      <color rgb="007F7F7F"/>
    </font>
    <font>
      <b val="1"/>
      <color rgb="00375623"/>
      <sz val="12"/>
    </font>
    <font>
      <i val="1"/>
      <color rgb="00404040"/>
    </font>
    <font>
      <b val="1"/>
      <color rgb="002E75B6"/>
      <sz val="12"/>
    </font>
    <font>
      <b val="1"/>
      <color rgb="001F4E79"/>
      <sz val="22"/>
    </font>
    <font>
      <b val="1"/>
      <color rgb="00FFFFFF"/>
      <sz val="13"/>
    </font>
    <font/>
    <font>
      <b val="1"/>
      <color rgb="001F4E79"/>
      <sz val="14"/>
    </font>
    <font>
      <b val="1"/>
      <color rgb="001F4E79"/>
      <sz val="12"/>
    </font>
  </fonts>
  <fills count="9">
    <fill>
      <patternFill/>
    </fill>
    <fill>
      <patternFill patternType="gray125"/>
    </fill>
    <fill>
      <patternFill patternType="solid">
        <fgColor rgb="00FFD966"/>
      </patternFill>
    </fill>
    <fill>
      <patternFill patternType="solid">
        <fgColor rgb="00FFF2CC"/>
      </patternFill>
    </fill>
    <fill>
      <patternFill patternType="solid">
        <fgColor rgb="007B2C2C"/>
      </patternFill>
    </fill>
    <fill>
      <patternFill patternType="solid">
        <fgColor rgb="001F4E79"/>
      </patternFill>
    </fill>
    <fill>
      <patternFill patternType="solid">
        <fgColor rgb="00EDEDED"/>
      </patternFill>
    </fill>
    <fill>
      <patternFill patternType="solid">
        <fgColor rgb="00C6EFCE"/>
      </patternFill>
    </fill>
    <fill>
      <patternFill patternType="solid">
        <fgColor rgb="00FFC7CE"/>
      </patternFill>
    </fill>
  </fills>
  <borders count="3">
    <border>
      <left/>
      <right/>
      <top/>
      <bottom/>
      <diagonal/>
    </border>
    <border>
      <left style="thin">
        <color rgb="00BFBFBF"/>
      </left>
      <right style="thin">
        <color rgb="00BFBFBF"/>
      </right>
      <top style="thin">
        <color rgb="00BFBFBF"/>
      </top>
      <bottom style="thin">
        <color rgb="00BFBFBF"/>
      </bottom>
    </border>
    <border>
      <left style="thin">
        <color rgb="00BF9000"/>
      </left>
      <right style="thin">
        <color rgb="00BF9000"/>
      </right>
      <top style="thin">
        <color rgb="00BF9000"/>
      </top>
      <bottom style="thin">
        <color rgb="00BF9000"/>
      </bottom>
    </border>
  </borders>
  <cellStyleXfs count="1">
    <xf numFmtId="0" fontId="0" fillId="0" borderId="0"/>
  </cellStyleXfs>
  <cellXfs count="69">
    <xf numFmtId="0" fontId="0" fillId="0" borderId="0" pivotButton="0" quotePrefix="0" xfId="0"/>
    <xf numFmtId="0" fontId="15" fillId="0" borderId="0" pivotButton="0" quotePrefix="0" xfId="0"/>
    <xf numFmtId="0" fontId="16" fillId="0" borderId="0" pivotButton="0" quotePrefix="0" xfId="0"/>
    <xf numFmtId="0" fontId="6" fillId="0" borderId="0" pivotButton="0" quotePrefix="0" xfId="0"/>
    <xf numFmtId="0" fontId="17" fillId="5" borderId="0" pivotButton="0" quotePrefix="0" xfId="0"/>
    <xf numFmtId="0" fontId="0" fillId="5" borderId="0" pivotButton="0" quotePrefix="0" xfId="0"/>
    <xf numFmtId="0" fontId="18" fillId="0" borderId="0" applyAlignment="1" pivotButton="0" quotePrefix="0" xfId="0">
      <alignment vertical="top" wrapText="1"/>
    </xf>
    <xf numFmtId="0" fontId="0" fillId="0" borderId="0" applyAlignment="1" pivotButton="0" quotePrefix="0" xfId="0">
      <alignment vertical="top" wrapText="1"/>
    </xf>
    <xf numFmtId="0" fontId="1" fillId="0" borderId="0" applyAlignment="1" pivotButton="0" quotePrefix="0" xfId="0">
      <alignment vertical="top" wrapText="1"/>
    </xf>
    <xf numFmtId="0" fontId="1" fillId="3" borderId="0" applyAlignment="1" pivotButton="0" quotePrefix="0" xfId="0">
      <alignment vertical="top" wrapText="1"/>
    </xf>
    <xf numFmtId="0" fontId="1" fillId="6" borderId="0" applyAlignment="1" pivotButton="0" quotePrefix="0" xfId="0">
      <alignment vertical="top" wrapText="1"/>
    </xf>
    <xf numFmtId="0" fontId="1" fillId="7" borderId="0" applyAlignment="1" pivotButton="0" quotePrefix="0" xfId="0">
      <alignment vertical="top" wrapText="1"/>
    </xf>
    <xf numFmtId="0" fontId="1" fillId="8" borderId="0" applyAlignment="1" pivotButton="0" quotePrefix="0" xfId="0">
      <alignment vertical="top" wrapText="1"/>
    </xf>
    <xf numFmtId="0" fontId="9" fillId="0" borderId="0" pivotButton="0" quotePrefix="0" xfId="0"/>
    <xf numFmtId="0" fontId="10" fillId="0" borderId="0" applyAlignment="1" pivotButton="0" quotePrefix="0" xfId="0">
      <alignment vertical="top" wrapText="1"/>
    </xf>
    <xf numFmtId="0" fontId="11" fillId="0" borderId="0" applyAlignment="1" pivotButton="0" quotePrefix="0" xfId="0">
      <alignment vertical="top" wrapText="1"/>
    </xf>
    <xf numFmtId="0" fontId="13" fillId="0" borderId="0" pivotButton="0" quotePrefix="0" xfId="0"/>
    <xf numFmtId="0" fontId="7" fillId="5" borderId="1" applyAlignment="1" pivotButton="0" quotePrefix="0" xfId="0">
      <alignment vertical="center" wrapText="1"/>
    </xf>
    <xf numFmtId="0" fontId="0" fillId="0" borderId="1" applyAlignment="1" pivotButton="0" quotePrefix="0" xfId="0">
      <alignment horizontal="center" vertical="top"/>
    </xf>
    <xf numFmtId="0" fontId="0" fillId="0" borderId="1" applyAlignment="1" pivotButton="0" quotePrefix="0" xfId="0">
      <alignment vertical="top" wrapText="1"/>
    </xf>
    <xf numFmtId="0" fontId="12" fillId="0" borderId="1" applyAlignment="1" pivotButton="0" quotePrefix="0" xfId="0">
      <alignment vertical="top" wrapText="1"/>
    </xf>
    <xf numFmtId="0" fontId="0" fillId="3" borderId="2" applyAlignment="1" pivotButton="0" quotePrefix="0" xfId="0">
      <alignment horizontal="right" vertical="top"/>
    </xf>
    <xf numFmtId="0" fontId="1" fillId="0" borderId="1" applyAlignment="1" pivotButton="0" quotePrefix="0" xfId="0">
      <alignment vertical="top"/>
    </xf>
    <xf numFmtId="166" fontId="0" fillId="3" borderId="2" applyAlignment="1" pivotButton="0" quotePrefix="0" xfId="0">
      <alignment horizontal="right" vertical="top"/>
    </xf>
    <xf numFmtId="0" fontId="0" fillId="3" borderId="2" applyAlignment="1" pivotButton="0" quotePrefix="0" xfId="0">
      <alignment horizontal="left" vertical="top"/>
    </xf>
    <xf numFmtId="164" fontId="0" fillId="3" borderId="2" applyAlignment="1" pivotButton="0" quotePrefix="0" xfId="0">
      <alignment horizontal="right" vertical="top"/>
    </xf>
    <xf numFmtId="167" fontId="0" fillId="3" borderId="2" applyAlignment="1" pivotButton="0" quotePrefix="0" xfId="0">
      <alignment horizontal="right" vertical="top"/>
    </xf>
    <xf numFmtId="3" fontId="0" fillId="3" borderId="2" applyAlignment="1" pivotButton="0" quotePrefix="0" xfId="0">
      <alignment horizontal="right" vertical="top"/>
    </xf>
    <xf numFmtId="169" fontId="0" fillId="3" borderId="2" applyAlignment="1" pivotButton="0" quotePrefix="0" xfId="0">
      <alignment horizontal="right" vertical="top"/>
    </xf>
    <xf numFmtId="0" fontId="1" fillId="0" borderId="0" pivotButton="0" quotePrefix="0" xfId="0"/>
    <xf numFmtId="3" fontId="0" fillId="0" borderId="0" pivotButton="0" quotePrefix="0" xfId="0"/>
    <xf numFmtId="164" fontId="0" fillId="0" borderId="0" pivotButton="0" quotePrefix="0" xfId="0"/>
    <xf numFmtId="0" fontId="2" fillId="2" borderId="0" pivotButton="0" quotePrefix="0" xfId="0"/>
    <xf numFmtId="166" fontId="0" fillId="0" borderId="0" pivotButton="0" quotePrefix="0" xfId="0"/>
    <xf numFmtId="1" fontId="0" fillId="0" borderId="0" pivotButton="0" quotePrefix="0" xfId="0"/>
    <xf numFmtId="10" fontId="0" fillId="3" borderId="0" pivotButton="0" quotePrefix="0" xfId="0"/>
    <xf numFmtId="0" fontId="0" fillId="3" borderId="2" pivotButton="0" quotePrefix="0" xfId="0"/>
    <xf numFmtId="167" fontId="0" fillId="0" borderId="0" pivotButton="0" quotePrefix="0" xfId="0"/>
    <xf numFmtId="0" fontId="19" fillId="0" borderId="0" pivotButton="0" quotePrefix="0" xfId="0"/>
    <xf numFmtId="4" fontId="0" fillId="0" borderId="0" pivotButton="0" quotePrefix="0" xfId="0"/>
    <xf numFmtId="167" fontId="0" fillId="3" borderId="0" pivotButton="0" quotePrefix="0" xfId="0"/>
    <xf numFmtId="0" fontId="3" fillId="0" borderId="0" pivotButton="0" quotePrefix="0" xfId="0"/>
    <xf numFmtId="0" fontId="4" fillId="0" borderId="0" pivotButton="0" quotePrefix="0" xfId="0"/>
    <xf numFmtId="168" fontId="0" fillId="0" borderId="0" pivotButton="0" quotePrefix="0" xfId="0"/>
    <xf numFmtId="0" fontId="14" fillId="6" borderId="1" applyAlignment="1" pivotButton="0" quotePrefix="0" xfId="0">
      <alignment horizontal="right" vertical="top"/>
    </xf>
    <xf numFmtId="170" fontId="0" fillId="3" borderId="2" applyAlignment="1" pivotButton="0" quotePrefix="0" xfId="0">
      <alignment horizontal="right" vertical="top"/>
    </xf>
    <xf numFmtId="0" fontId="5" fillId="0" borderId="0" pivotButton="0" quotePrefix="0" xfId="0"/>
    <xf numFmtId="0" fontId="6" fillId="0" borderId="0" applyAlignment="1" pivotButton="0" quotePrefix="0" xfId="0">
      <alignment vertical="top" wrapText="1"/>
    </xf>
    <xf numFmtId="0" fontId="7" fillId="4" borderId="1" pivotButton="0" quotePrefix="0" xfId="0"/>
    <xf numFmtId="0" fontId="1" fillId="0" borderId="1" applyAlignment="1" pivotButton="0" quotePrefix="0" xfId="0">
      <alignment vertical="top" wrapText="1"/>
    </xf>
    <xf numFmtId="0" fontId="8" fillId="0" borderId="1" applyAlignment="1" pivotButton="0" quotePrefix="1" xfId="0">
      <alignment vertical="top" wrapText="1"/>
    </xf>
    <xf numFmtId="166" fontId="1" fillId="0" borderId="1" applyAlignment="1" pivotButton="0" quotePrefix="0" xfId="0">
      <alignment vertical="top" wrapText="1"/>
    </xf>
    <xf numFmtId="166" fontId="0" fillId="0" borderId="1" applyAlignment="1" pivotButton="0" quotePrefix="0" xfId="0">
      <alignment vertical="top" wrapText="1"/>
    </xf>
    <xf numFmtId="164" fontId="1" fillId="0" borderId="1" applyAlignment="1" pivotButton="0" quotePrefix="0" xfId="0">
      <alignment vertical="top" wrapText="1"/>
    </xf>
    <xf numFmtId="164" fontId="0" fillId="0" borderId="1" applyAlignment="1" pivotButton="0" quotePrefix="0" xfId="0">
      <alignment vertical="top" wrapText="1"/>
    </xf>
    <xf numFmtId="167" fontId="1" fillId="0" borderId="1" applyAlignment="1" pivotButton="0" quotePrefix="0" xfId="0">
      <alignment vertical="top" wrapText="1"/>
    </xf>
    <xf numFmtId="167" fontId="0" fillId="0" borderId="1" applyAlignment="1" pivotButton="0" quotePrefix="0" xfId="0">
      <alignment vertical="top" wrapText="1"/>
    </xf>
    <xf numFmtId="3" fontId="1" fillId="0" borderId="1" applyAlignment="1" pivotButton="0" quotePrefix="0" xfId="0">
      <alignment vertical="top" wrapText="1"/>
    </xf>
    <xf numFmtId="3" fontId="0" fillId="0" borderId="1" applyAlignment="1" pivotButton="0" quotePrefix="0" xfId="0">
      <alignment vertical="top" wrapText="1"/>
    </xf>
    <xf numFmtId="169" fontId="1" fillId="0" borderId="1" applyAlignment="1" pivotButton="0" quotePrefix="0" xfId="0">
      <alignment vertical="top" wrapText="1"/>
    </xf>
    <xf numFmtId="169" fontId="0" fillId="0" borderId="1" applyAlignment="1" pivotButton="0" quotePrefix="0" xfId="0">
      <alignment vertical="top" wrapText="1"/>
    </xf>
    <xf numFmtId="170" fontId="1" fillId="0" borderId="1" applyAlignment="1" pivotButton="0" quotePrefix="0" xfId="0">
      <alignment vertical="top" wrapText="1"/>
    </xf>
    <xf numFmtId="170" fontId="0" fillId="0" borderId="1" applyAlignment="1" pivotButton="0" quotePrefix="0" xfId="0">
      <alignment vertical="top" wrapText="1"/>
    </xf>
    <xf numFmtId="0" fontId="20" fillId="0" borderId="0" pivotButton="0" quotePrefix="0" xfId="0"/>
    <xf numFmtId="0" fontId="7" fillId="5" borderId="1" applyAlignment="1" pivotButton="0" quotePrefix="0" xfId="0">
      <alignment horizontal="left" wrapText="1"/>
    </xf>
    <xf numFmtId="0" fontId="7" fillId="5" borderId="1" applyAlignment="1" pivotButton="0" quotePrefix="0" xfId="0">
      <alignment horizontal="right" wrapText="1"/>
    </xf>
    <xf numFmtId="169" fontId="0" fillId="0" borderId="0" pivotButton="0" quotePrefix="0" xfId="0"/>
    <xf numFmtId="171" fontId="0" fillId="0" borderId="0" pivotButton="0" quotePrefix="0" xfId="0"/>
    <xf numFmtId="10" fontId="0" fillId="0" borderId="0" pivotButton="0" quotePrefix="0" xfId="0"/>
  </cellXfs>
  <cellStyles count="1">
    <cellStyle name="Normal" xfId="0" builtinId="0" hidden="0"/>
  </cellStyles>
  <dxfs count="2">
    <dxf>
      <font>
        <b val="1"/>
        <color rgb="00006100"/>
      </font>
      <fill>
        <patternFill patternType="solid">
          <fgColor rgb="00C6EFCE"/>
        </patternFill>
      </fill>
    </dxf>
    <dxf>
      <font>
        <b val="1"/>
        <color rgb="009C0006"/>
      </font>
      <fill>
        <patternFill patternType="solid">
          <fgColor rgb="00FFC7CE"/>
        </patternFill>
      </fill>
    </dxf>
  </dxf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worksheet" Target="/xl/worksheets/sheet13.xml" Id="rId13" /><Relationship Type="http://schemas.openxmlformats.org/officeDocument/2006/relationships/worksheet" Target="/xl/worksheets/sheet14.xml" Id="rId14" /><Relationship Type="http://schemas.openxmlformats.org/officeDocument/2006/relationships/styles" Target="styles.xml" Id="rId15" /><Relationship Type="http://schemas.openxmlformats.org/officeDocument/2006/relationships/theme" Target="theme/theme1.xml" Id="rId16" /><Relationship Id="rIdXlcMeta" Type="http://schemas.openxmlformats.org/officeDocument/2006/relationships/sheetMetadata" Target="metadata.xml"/></Relationships>
</file>

<file path=xl/charts/chart1.xml><?xml version="1.0" encoding="utf-8"?>
<chartSpace xmlns:a="http://schemas.openxmlformats.org/drawingml/2006/main" xmlns="http://schemas.openxmlformats.org/drawingml/2006/chart">
  <chart>
    <title>
      <tx>
        <rich>
          <a:bodyPr/>
          <a:p>
            <a:pPr>
              <a:defRPr/>
            </a:pPr>
            <a:r>
              <a:t>Readmission Rates</a:t>
            </a:r>
          </a:p>
        </rich>
      </tx>
    </title>
    <plotArea>
      <barChart>
        <barDir val="col"/>
        <grouping val="clustered"/>
        <varyColors val="1"/>
        <ser>
          <idx val="0"/>
          <order val="0"/>
          <tx>
            <strRef>
              <f>'Readmits'!D1</f>
            </strRef>
          </tx>
          <spPr>
            <a:ln>
              <a:prstDash val="solid"/>
            </a:ln>
          </spPr>
          <cat>
            <numRef>
              <f>'Readmits'!$A$2:$A$9</f>
            </numRef>
          </cat>
          <val>
            <numRef>
              <f>'Readmits'!$D$2:$D$9</f>
            </numRef>
          </val>
        </ser>
        <gapWidth val="150"/>
        <axId val="10"/>
        <axId val="100"/>
      </barChart>
      <catAx>
        <axId val="10"/>
        <scaling>
          <orientation val="minMax"/>
        </scaling>
        <delete val="0"/>
        <axPos val="l"/>
        <majorTickMark val="none"/>
        <minorTickMark val="none"/>
        <crossAx val="100"/>
        <lblOffset val="100"/>
      </catAx>
      <valAx>
        <axId val="100"/>
        <scaling>
          <orientation val="minMax"/>
          <min val="0.05"/>
        </scaling>
        <delete val="0"/>
        <axPos val="l"/>
        <majorGridlines/>
        <numFmt formatCode="0%" sourceLinked="0"/>
        <majorTickMark val="none"/>
        <minorTickMark val="none"/>
        <crossAx val="10"/>
        <majorUnit val="0.02"/>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ED arrivals peak in the afternoon (16:00 busiest, 2025)</a:t>
            </a:r>
          </a:p>
        </rich>
      </tx>
    </title>
    <plotArea>
      <barChart>
        <barDir val="col"/>
        <grouping val="clustered"/>
        <ser>
          <idx val="0"/>
          <order val="0"/>
          <tx>
            <strRef>
              <f>'ED_Hourly'!B1</f>
            </strRef>
          </tx>
          <spPr>
            <a:solidFill>
              <a:srgbClr val="0072B2"/>
            </a:solidFill>
            <a:ln>
              <a:prstDash val="solid"/>
            </a:ln>
          </spPr>
          <cat>
            <numRef>
              <f>'ED_Hourly'!$A$2:$A$25</f>
            </numRef>
          </cat>
          <val>
            <numRef>
              <f>'ED_Hourly'!$B$2:$B$25</f>
            </numRef>
          </val>
        </ser>
        <gapWidth val="50"/>
        <axId val="10"/>
        <axId val="100"/>
      </barChart>
      <catAx>
        <axId val="10"/>
        <scaling>
          <orientation val="minMax"/>
        </scaling>
        <delete val="0"/>
        <axPos val="l"/>
        <majorTickMark val="none"/>
        <minorTickMark val="none"/>
        <crossAx val="100"/>
        <lblOffset val="100"/>
      </catAx>
      <valAx>
        <axId val="100"/>
        <scaling>
          <orientation val="minMax"/>
        </scaling>
        <delete val="0"/>
        <axPos val="l"/>
        <title>
          <tx>
            <rich>
              <a:bodyPr/>
              <a:p>
                <a:pPr>
                  <a:defRPr/>
                </a:pPr>
                <a:r>
                  <a:t>Arrivals</a:t>
                </a:r>
              </a:p>
            </rich>
          </tx>
        </title>
        <majorTickMark val="none"/>
        <minorTickMark val="none"/>
        <crossAx val="10"/>
      </valAx>
    </plotArea>
    <plotVisOnly val="1"/>
    <dispBlanksAs val="gap"/>
  </chart>
</chartSpace>
</file>

<file path=xl/charts/chart3.xml><?xml version="1.0" encoding="utf-8"?>
<chartSpace xmlns:a="http://schemas.openxmlformats.org/drawingml/2006/main" xmlns="http://schemas.openxmlformats.org/drawingml/2006/chart">
  <chart>
    <title>
      <tx>
        <rich>
          <a:bodyPr/>
          <a:p>
            <a:pPr>
              <a:defRPr/>
            </a:pPr>
            <a:r>
              <a:t>ED visits by facility, Jan 2024 to Dec 2025 (12,292 visits)</a:t>
            </a:r>
          </a:p>
        </rich>
      </tx>
    </title>
    <plotArea>
      <lineChart>
        <grouping val="standard"/>
        <ser>
          <idx val="0"/>
          <order val="0"/>
          <tx>
            <strRef>
              <f>'ED_Monthly'!B1</f>
            </strRef>
          </tx>
          <spPr>
            <a:ln w="22000">
              <a:solidFill>
                <a:srgbClr val="0072B2"/>
              </a:solidFill>
              <a:prstDash val="solid"/>
            </a:ln>
          </spPr>
          <marker>
            <symbol val="none"/>
            <spPr>
              <a:ln>
                <a:prstDash val="solid"/>
              </a:ln>
            </spPr>
          </marker>
          <cat>
            <numRef>
              <f>'ED_Monthly'!$A$2:$A$25</f>
            </numRef>
          </cat>
          <val>
            <numRef>
              <f>'ED_Monthly'!$B$2:$B$25</f>
            </numRef>
          </val>
          <smooth val="0"/>
        </ser>
        <ser>
          <idx val="1"/>
          <order val="1"/>
          <tx>
            <strRef>
              <f>'ED_Monthly'!C1</f>
            </strRef>
          </tx>
          <spPr>
            <a:ln w="22000">
              <a:solidFill>
                <a:srgbClr val="E69F00"/>
              </a:solidFill>
              <a:prstDash val="solid"/>
            </a:ln>
          </spPr>
          <marker>
            <symbol val="none"/>
            <spPr>
              <a:ln>
                <a:prstDash val="solid"/>
              </a:ln>
            </spPr>
          </marker>
          <cat>
            <numRef>
              <f>'ED_Monthly'!$A$2:$A$25</f>
            </numRef>
          </cat>
          <val>
            <numRef>
              <f>'ED_Monthly'!$C$2:$C$25</f>
            </numRef>
          </val>
          <smooth val="0"/>
        </ser>
        <ser>
          <idx val="2"/>
          <order val="2"/>
          <tx>
            <strRef>
              <f>'ED_Monthly'!D1</f>
            </strRef>
          </tx>
          <spPr>
            <a:ln w="22000">
              <a:solidFill>
                <a:srgbClr val="56B4E9"/>
              </a:solidFill>
              <a:prstDash val="solid"/>
            </a:ln>
          </spPr>
          <marker>
            <symbol val="none"/>
            <spPr>
              <a:ln>
                <a:prstDash val="solid"/>
              </a:ln>
            </spPr>
          </marker>
          <cat>
            <numRef>
              <f>'ED_Monthly'!$A$2:$A$25</f>
            </numRef>
          </cat>
          <val>
            <numRef>
              <f>'ED_Monthly'!$D$2:$D$25</f>
            </numRef>
          </val>
          <smooth val="0"/>
        </ser>
        <axId val="500"/>
        <axId val="100"/>
      </lineChart>
      <dateAx>
        <axId val="500"/>
        <scaling>
          <orientation val="minMax"/>
        </scaling>
        <delete val="0"/>
        <axPos val="l"/>
        <numFmt formatCode="mmm yy" sourceLinked="0"/>
        <majorTickMark val="none"/>
        <minorTickMark val="none"/>
        <crossAx val="100"/>
        <majorUnit val="3"/>
        <majorTimeUnit val="months"/>
      </dateAx>
      <valAx>
        <axId val="100"/>
        <scaling>
          <orientation val="minMax"/>
        </scaling>
        <delete val="0"/>
        <axPos val="l"/>
        <majorGridlines/>
        <title>
          <tx>
            <rich>
              <a:bodyPr/>
              <a:p>
                <a:pPr>
                  <a:defRPr/>
                </a:pPr>
                <a:r>
                  <a:t>ED visits</a:t>
                </a:r>
              </a:p>
            </rich>
          </tx>
        </title>
        <majorTickMark val="none"/>
        <minorTickMark val="none"/>
        <crossAx val="500"/>
      </valAx>
    </plotArea>
    <legend>
      <legendPos val="b"/>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Cardiovascular has the highest 30-day readmission rate (2025)</a:t>
            </a:r>
          </a:p>
        </rich>
      </tx>
    </title>
    <plotArea>
      <barChart>
        <barDir val="bar"/>
        <grouping val="clustered"/>
        <ser>
          <idx val="0"/>
          <order val="0"/>
          <tx>
            <strRef>
              <f>'Chart Key'!B45</f>
            </strRef>
          </tx>
          <spPr>
            <a:solidFill>
              <a:srgbClr val="0072B2"/>
            </a:solidFill>
            <a:ln>
              <a:prstDash val="solid"/>
            </a:ln>
          </spPr>
          <cat>
            <numRef>
              <f>'Chart Key'!$A$46:$A$53</f>
            </numRef>
          </cat>
          <val>
            <numRef>
              <f>'Chart Key'!$B$46:$B$53</f>
            </numRef>
          </val>
        </ser>
        <dLbls>
          <numFmt formatCode="0.0%" sourceLinked="0"/>
          <showLegendKey val="0"/>
          <showVal val="1"/>
          <showCatName val="0"/>
          <showSerName val="0"/>
          <showPercent val="0"/>
        </dLbls>
        <gapWidth val="60"/>
        <axId val="10"/>
        <axId val="100"/>
      </barChart>
      <catAx>
        <axId val="10"/>
        <scaling>
          <orientation val="maxMin"/>
        </scaling>
        <delete val="0"/>
        <axPos val="l"/>
        <majorTickMark val="none"/>
        <minorTickMark val="none"/>
        <crossAx val="100"/>
        <lblOffset val="100"/>
      </catAx>
      <valAx>
        <axId val="100"/>
        <scaling>
          <orientation val="minMax"/>
          <min val="0"/>
        </scaling>
        <delete val="0"/>
        <axPos val="l"/>
        <numFmt formatCode="0%" sourceLinked="0"/>
        <majorTickMark val="none"/>
        <minorTickMark val="none"/>
        <crossAx val="10"/>
        <crosses val="max"/>
      </valAx>
    </plotArea>
    <plotVisOnly val="1"/>
    <dispBlanksAs val="gap"/>
  </chart>
</chartSpace>
</file>

<file path=xl/charts/chart5.xml><?xml version="1.0" encoding="utf-8"?>
<chartSpace xmlns:a="http://schemas.openxmlformats.org/drawingml/2006/main" xmlns="http://schemas.openxmlformats.org/drawingml/2006/chart">
  <chart>
    <title>
      <tx>
        <rich>
          <a:bodyPr/>
          <a:p>
            <a:pPr>
              <a:defRPr/>
            </a:pPr>
            <a:r>
              <a:t>Readmission rates range from 6% to 18% (2025)</a:t>
            </a:r>
          </a:p>
        </rich>
      </tx>
    </title>
    <plotArea>
      <barChart>
        <barDir val="col"/>
        <grouping val="clustered"/>
        <ser>
          <idx val="0"/>
          <order val="0"/>
          <tx>
            <strRef>
              <f>'Chart Key'!B65</f>
            </strRef>
          </tx>
          <spPr>
            <a:solidFill>
              <a:srgbClr val="0072B2"/>
            </a:solidFill>
            <a:ln>
              <a:prstDash val="solid"/>
            </a:ln>
          </spPr>
          <cat>
            <numRef>
              <f>'Chart Key'!$A$66:$A$73</f>
            </numRef>
          </cat>
          <val>
            <numRef>
              <f>'Chart Key'!$B$66:$B$73</f>
            </numRef>
          </val>
        </ser>
        <dLbls>
          <numFmt formatCode="0.0%" sourceLinked="0"/>
          <showLegendKey val="0"/>
          <showVal val="1"/>
          <showCatName val="0"/>
          <showSerName val="0"/>
          <showPercent val="0"/>
        </dLbls>
        <gapWidth val="150"/>
        <axId val="10"/>
        <axId val="100"/>
      </barChart>
      <catAx>
        <axId val="10"/>
        <scaling>
          <orientation val="minMax"/>
        </scaling>
        <delete val="0"/>
        <axPos val="l"/>
        <majorTickMark val="none"/>
        <minorTickMark val="none"/>
        <crossAx val="100"/>
        <lblOffset val="100"/>
      </catAx>
      <valAx>
        <axId val="100"/>
        <scaling>
          <orientation val="minMax"/>
          <min val="0"/>
        </scaling>
        <delete val="0"/>
        <axPos val="l"/>
        <numFmt formatCode="0%" sourceLinked="0"/>
        <majorTickMark val="none"/>
        <minorTickMark val="none"/>
        <crossAx val="10"/>
      </valAx>
    </plotArea>
    <plotVisOnly val="1"/>
    <dispBlanksAs val="gap"/>
  </chart>
</chartSpace>
</file>

<file path=xl/charts/chart6.xml><?xml version="1.0" encoding="utf-8"?>
<chartSpace xmlns:a="http://schemas.openxmlformats.org/drawingml/2006/main" xmlns="http://schemas.openxmlformats.org/drawingml/2006/chart">
  <chart>
    <title>
      <tx>
        <rich>
          <a:bodyPr/>
          <a:p>
            <a:pPr>
              <a:defRPr/>
            </a:pPr>
            <a:r>
              <a:t>Government and Commercial payers cover most 2025 encounters</a:t>
            </a:r>
          </a:p>
        </rich>
      </tx>
    </title>
    <plotArea>
      <pieChart>
        <varyColors val="1"/>
        <ser>
          <idx val="0"/>
          <order val="0"/>
          <tx>
            <strRef>
              <f>'PayerMix'!B1</f>
            </strRef>
          </tx>
          <spPr>
            <a:ln>
              <a:prstDash val="solid"/>
            </a:ln>
          </spPr>
          <cat>
            <numRef>
              <f>'PayerMix'!$A$2:$A$6</f>
            </numRef>
          </cat>
          <val>
            <numRef>
              <f>'PayerMix'!$B$2:$B$6</f>
            </numRef>
          </val>
        </ser>
        <dLbls>
          <numFmt formatCode="0.0%" sourceLinked="0"/>
          <showLegendKey val="0"/>
          <showVal val="0"/>
          <showCatName val="1"/>
          <showSerName val="0"/>
          <showPercent val="1"/>
          <showLeaderLines val="1"/>
        </dLbls>
        <firstSliceAng val="0"/>
      </pieChart>
    </plotArea>
    <plotVisOnly val="1"/>
    <dispBlanksAs val="gap"/>
  </chart>
</chartSpace>
</file>

<file path=xl/charts/chart7.xml><?xml version="1.0" encoding="utf-8"?>
<chartSpace xmlns:a="http://schemas.openxmlformats.org/drawingml/2006/main" xmlns="http://schemas.openxmlformats.org/drawingml/2006/chart">
  <chart>
    <title>
      <tx>
        <rich>
          <a:bodyPr/>
          <a:p>
            <a:pPr>
              <a:defRPr/>
            </a:pPr>
            <a:r>
              <a:t>Most stays last 2–5 days, and 9 run past 10 days</a:t>
            </a:r>
          </a:p>
        </rich>
      </tx>
    </title>
    <plotArea>
      <barChart>
        <barDir val="col"/>
        <grouping val="clustered"/>
        <ser>
          <idx val="0"/>
          <order val="0"/>
          <tx>
            <strRef>
              <f>'Chart Key'!B105</f>
            </strRef>
          </tx>
          <spPr>
            <a:solidFill>
              <a:srgbClr val="0072B2"/>
            </a:solidFill>
            <a:ln>
              <a:solidFill>
                <a:srgbClr val="FFFFFF"/>
              </a:solidFill>
              <a:prstDash val="solid"/>
            </a:ln>
          </spPr>
          <cat>
            <numRef>
              <f>'Chart Key'!$A$106:$A$116</f>
            </numRef>
          </cat>
          <val>
            <numRef>
              <f>'Chart Key'!$B$106:$B$116</f>
            </numRef>
          </val>
        </ser>
        <dLbls>
          <showLegendKey val="0"/>
          <showVal val="1"/>
          <showCatName val="0"/>
          <showSerName val="0"/>
          <showPercent val="0"/>
        </dLbls>
        <gapWidth val="6"/>
        <axId val="10"/>
        <axId val="100"/>
      </barChart>
      <catAx>
        <axId val="10"/>
        <scaling>
          <orientation val="minMax"/>
        </scaling>
        <delete val="0"/>
        <axPos val="l"/>
        <title>
          <tx>
            <rich>
              <a:bodyPr/>
              <a:p>
                <a:pPr>
                  <a:defRPr/>
                </a:pPr>
                <a:r>
                  <a:t>Length of stay (days)</a:t>
                </a:r>
              </a:p>
            </rich>
          </tx>
        </title>
        <majorTickMark val="none"/>
        <minorTickMark val="none"/>
        <crossAx val="100"/>
        <lblOffset val="100"/>
      </catAx>
      <valAx>
        <axId val="100"/>
        <scaling>
          <orientation val="minMax"/>
        </scaling>
        <delete val="0"/>
        <axPos val="l"/>
        <title>
          <tx>
            <rich>
              <a:bodyPr/>
              <a:p>
                <a:pPr>
                  <a:defRPr/>
                </a:pPr>
                <a:r>
                  <a:t>Stays</a:t>
                </a:r>
              </a:p>
            </rich>
          </tx>
        </title>
        <majorTickMark val="none"/>
        <minorTickMark val="none"/>
        <crossAx val="10"/>
      </valAx>
    </plotArea>
    <plotVisOnly val="1"/>
    <dispBlanksAs val="gap"/>
  </chart>
</chartSpace>
</file>

<file path=xl/charts/chart8.xml><?xml version="1.0" encoding="utf-8"?>
<chartSpace xmlns:a="http://schemas.openxmlformats.org/drawingml/2006/main" xmlns="http://schemas.openxmlformats.org/drawingml/2006/chart">
  <style val="13"/>
  <chart>
    <title>
      <tx>
        <rich>
          <a:bodyPr/>
          <a:p>
            <a:pPr>
              <a:defRPr/>
            </a:pPr>
            <a:r>
              <a:t>Each extra day adds about $4,922 in charges</a:t>
            </a:r>
          </a:p>
        </rich>
      </tx>
    </title>
    <plotArea>
      <scatterChart>
        <ser>
          <idx val="0"/>
          <order val="0"/>
          <tx>
            <strRef>
              <f>'Stays'!E1</f>
            </strRef>
          </tx>
          <spPr>
            <a:ln>
              <a:noFill/>
              <a:prstDash val="solid"/>
            </a:ln>
          </spPr>
          <marker>
            <symbol val="circle"/>
            <size val="5"/>
            <spPr>
              <a:solidFill>
                <a:srgbClr val="56B4E9"/>
              </a:solidFill>
              <a:ln>
                <a:solidFill>
                  <a:srgbClr val="0072B2"/>
                </a:solidFill>
                <a:prstDash val="solid"/>
              </a:ln>
            </spPr>
          </marker>
          <trendline>
            <trendlineType val="linear"/>
            <dispRSqr val="1"/>
            <dispEq val="1"/>
            <trendlineLbl>
              <numFmt formatCode="#,##0.0000" sourceLinked="0"/>
            </trendlineLbl>
          </trendline>
          <xVal>
            <numRef>
              <f>'Stays'!$D$2:$D$301</f>
            </numRef>
          </xVal>
          <yVal>
            <numRef>
              <f>'Stays'!$E$2:$E$301</f>
            </numRef>
          </yVal>
        </ser>
        <axId val="10"/>
        <axId val="20"/>
      </scatterChart>
      <valAx>
        <axId val="10"/>
        <scaling>
          <orientation val="minMax"/>
        </scaling>
        <delete val="0"/>
        <axPos val="l"/>
        <majorGridlines/>
        <title>
          <tx>
            <rich>
              <a:bodyPr/>
              <a:p>
                <a:pPr>
                  <a:defRPr/>
                </a:pPr>
                <a:r>
                  <a:t>Length of stay (days)</a:t>
                </a:r>
              </a:p>
            </rich>
          </tx>
        </title>
        <majorTickMark val="none"/>
        <minorTickMark val="none"/>
        <crossAx val="20"/>
      </valAx>
      <valAx>
        <axId val="20"/>
        <scaling>
          <orientation val="minMax"/>
        </scaling>
        <delete val="0"/>
        <axPos val="l"/>
        <majorGridlines/>
        <title>
          <tx>
            <rich>
              <a:bodyPr/>
              <a:p>
                <a:pPr>
                  <a:defRPr/>
                </a:pPr>
                <a:r>
                  <a:t>Total charges ($)</a:t>
                </a:r>
              </a:p>
            </rich>
          </tx>
        </title>
        <numFmt formatCode="#,##0" sourceLinked="0"/>
        <majorTickMark val="none"/>
        <minorTickMark val="none"/>
        <crossAx val="10"/>
      </valAx>
    </plotArea>
    <plotVisOnly val="1"/>
    <dispBlanksAs val="gap"/>
  </chart>
</chartSpace>
</file>

<file path=xl/charts/chart9.xml><?xml version="1.0" encoding="utf-8"?>
<chartSpace xmlns:a="http://schemas.openxmlformats.org/drawingml/2006/main" xmlns="http://schemas.openxmlformats.org/drawingml/2006/chart">
  <style val="13"/>
  <chart>
    <title>
      <tx>
        <rich>
          <a:bodyPr/>
          <a:p>
            <a:pPr>
              <a:defRPr/>
            </a:pPr>
            <a:r>
              <a:t>Age explains almost none of the variation in LOS (R² = 0.019)</a:t>
            </a:r>
          </a:p>
        </rich>
      </tx>
    </title>
    <plotArea>
      <scatterChart>
        <ser>
          <idx val="0"/>
          <order val="0"/>
          <tx>
            <strRef>
              <f>'Stays'!D1</f>
            </strRef>
          </tx>
          <spPr>
            <a:ln>
              <a:noFill/>
              <a:prstDash val="solid"/>
            </a:ln>
          </spPr>
          <marker>
            <symbol val="circle"/>
            <size val="5"/>
            <spPr>
              <a:solidFill>
                <a:srgbClr val="56B4E9"/>
              </a:solidFill>
              <a:ln>
                <a:solidFill>
                  <a:srgbClr val="0072B2"/>
                </a:solidFill>
                <a:prstDash val="solid"/>
              </a:ln>
            </spPr>
          </marker>
          <trendline>
            <trendlineType val="linear"/>
            <dispRSqr val="1"/>
            <dispEq val="1"/>
            <trendlineLbl>
              <numFmt formatCode="#,##0.0000" sourceLinked="0"/>
            </trendlineLbl>
          </trendline>
          <xVal>
            <numRef>
              <f>'Stays'!$C$2:$C$301</f>
            </numRef>
          </xVal>
          <yVal>
            <numRef>
              <f>'Stays'!$D$2:$D$301</f>
            </numRef>
          </yVal>
        </ser>
        <axId val="10"/>
        <axId val="20"/>
      </scatterChart>
      <valAx>
        <axId val="10"/>
        <scaling>
          <orientation val="minMax"/>
        </scaling>
        <delete val="0"/>
        <axPos val="l"/>
        <majorGridlines/>
        <title>
          <tx>
            <rich>
              <a:bodyPr/>
              <a:p>
                <a:pPr>
                  <a:defRPr/>
                </a:pPr>
                <a:r>
                  <a:t>Age at admission</a:t>
                </a:r>
              </a:p>
            </rich>
          </tx>
        </title>
        <majorTickMark val="none"/>
        <minorTickMark val="none"/>
        <crossAx val="20"/>
      </valAx>
      <valAx>
        <axId val="20"/>
        <scaling>
          <orientation val="minMax"/>
        </scaling>
        <delete val="0"/>
        <axPos val="l"/>
        <majorGridlines/>
        <title>
          <tx>
            <rich>
              <a:bodyPr/>
              <a:p>
                <a:pPr>
                  <a:defRPr/>
                </a:pPr>
                <a:r>
                  <a:t>Length of stay (days)</a:t>
                </a:r>
              </a:p>
            </rich>
          </tx>
        </title>
        <majorTickMark val="none"/>
        <minorTickMark val="none"/>
        <crossAx val="10"/>
      </valAx>
    </plotArea>
    <plotVisOnly val="1"/>
    <dispBlanksAs val="gap"/>
  </chart>
</chartSpace>
</file>

<file path=xl/charts/chart10.xml><?xml version="1.0" encoding="utf-8"?>
<chartSpace xmlns:a="http://schemas.openxmlformats.org/drawingml/2006/main" xmlns="http://schemas.openxmlformats.org/drawingml/2006/chart">
  <chart>
    <title>
      <tx>
        <rich>
          <a:bodyPr/>
          <a:p>
            <a:pPr>
              <a:defRPr/>
            </a:pPr>
            <a:r>
              <a:t>Waits rise and fall with arrivals (2025)</a:t>
            </a:r>
          </a:p>
        </rich>
      </tx>
    </title>
    <plotArea>
      <barChart>
        <barDir val="col"/>
        <grouping val="clustered"/>
        <ser>
          <idx val="0"/>
          <order val="0"/>
          <tx>
            <strRef>
              <f>'ED_Hourly'!B1</f>
            </strRef>
          </tx>
          <spPr>
            <a:solidFill>
              <a:srgbClr val="56B4E9"/>
            </a:solidFill>
            <a:ln>
              <a:prstDash val="solid"/>
            </a:ln>
          </spPr>
          <cat>
            <numRef>
              <f>'ED_Hourly'!$A$2:$A$25</f>
            </numRef>
          </cat>
          <val>
            <numRef>
              <f>'ED_Hourly'!$B$2:$B$25</f>
            </numRef>
          </val>
        </ser>
        <gapWidth val="60"/>
        <axId val="10"/>
        <axId val="100"/>
      </barChart>
      <lineChart>
        <grouping val="standard"/>
        <ser>
          <idx val="1"/>
          <order val="1"/>
          <tx>
            <strRef>
              <f>'ED_Hourly'!C1</f>
            </strRef>
          </tx>
          <spPr>
            <a:ln w="28000">
              <a:solidFill>
                <a:srgbClr val="D55E00"/>
              </a:solidFill>
              <a:prstDash val="solid"/>
            </a:ln>
          </spPr>
          <marker>
            <symbol val="none"/>
            <spPr>
              <a:ln>
                <a:prstDash val="solid"/>
              </a:ln>
            </spPr>
          </marker>
          <val>
            <numRef>
              <f>'ED_Hourly'!$C$2:$C$25</f>
            </numRef>
          </val>
          <smooth val="0"/>
        </ser>
        <axId val="10"/>
        <axId val="200"/>
      </lineChart>
      <catAx>
        <axId val="10"/>
        <scaling>
          <orientation val="minMax"/>
        </scaling>
        <delete val="0"/>
        <axPos val="l"/>
        <majorTickMark val="none"/>
        <minorTickMark val="none"/>
        <crossAx val="100"/>
        <lblOffset val="100"/>
      </catAx>
      <valAx>
        <axId val="100"/>
        <scaling>
          <orientation val="minMax"/>
        </scaling>
        <delete val="0"/>
        <axPos val="l"/>
        <title>
          <tx>
            <rich>
              <a:bodyPr/>
              <a:p>
                <a:pPr>
                  <a:defRPr/>
                </a:pPr>
                <a:r>
                  <a:t>Arrivals</a:t>
                </a:r>
              </a:p>
            </rich>
          </tx>
        </title>
        <majorTickMark val="none"/>
        <minorTickMark val="none"/>
        <crossAx val="10"/>
      </valAx>
      <valAx>
        <axId val="200"/>
        <scaling>
          <orientation val="minMax"/>
        </scaling>
        <delete val="0"/>
        <axPos val="l"/>
        <title>
          <tx>
            <rich>
              <a:bodyPr/>
              <a:p>
                <a:pPr>
                  <a:defRPr/>
                </a:pPr>
                <a:r>
                  <a:t>Avg minutes to provider</a:t>
                </a:r>
              </a:p>
            </rich>
          </tx>
        </title>
        <numFmt formatCode="0" sourceLinked="0"/>
        <majorTickMark val="none"/>
        <minorTickMark val="none"/>
        <crossAx val="10"/>
        <crosses val="max"/>
      </valAx>
    </plotArea>
    <legend>
      <legendPos val="b"/>
    </legend>
    <plotVisOnly val="1"/>
    <dispBlanksAs val="gap"/>
  </chart>
</chartSpace>
</file>

<file path=xl/charts/chart11.xml><?xml version="1.0" encoding="utf-8"?>
<chartSpace xmlns:a="http://schemas.openxmlformats.org/drawingml/2006/main" xmlns="http://schemas.openxmlformats.org/drawingml/2006/chart">
  <chart>
    <title>
      <tx>
        <rich>
          <a:bodyPr/>
          <a:p>
            <a:pPr>
              <a:defRPr/>
            </a:pPr>
            <a:r>
              <a:t>Two reasons account for 56% of 2025 denials</a:t>
            </a:r>
          </a:p>
        </rich>
      </tx>
    </title>
    <plotArea>
      <barChart>
        <barDir val="col"/>
        <grouping val="clustered"/>
        <ser>
          <idx val="0"/>
          <order val="0"/>
          <tx>
            <strRef>
              <f>'Chart Key'!B185</f>
            </strRef>
          </tx>
          <spPr>
            <a:solidFill>
              <a:srgbClr val="56B4E9"/>
            </a:solidFill>
            <a:ln>
              <a:prstDash val="solid"/>
            </a:ln>
          </spPr>
          <cat>
            <numRef>
              <f>'Chart Key'!$A$186:$A$192</f>
            </numRef>
          </cat>
          <val>
            <numRef>
              <f>'Chart Key'!$B$186:$B$192</f>
            </numRef>
          </val>
        </ser>
        <gapWidth val="10"/>
        <axId val="10"/>
        <axId val="100"/>
      </barChart>
      <lineChart>
        <grouping val="standard"/>
        <ser>
          <idx val="1"/>
          <order val="1"/>
          <tx>
            <strRef>
              <f>'Chart Key'!C185</f>
            </strRef>
          </tx>
          <spPr>
            <a:ln w="28000">
              <a:solidFill>
                <a:srgbClr val="D55E00"/>
              </a:solidFill>
              <a:prstDash val="solid"/>
            </a:ln>
          </spPr>
          <marker>
            <symbol val="none"/>
            <spPr>
              <a:ln>
                <a:prstDash val="solid"/>
              </a:ln>
            </spPr>
          </marker>
          <val>
            <numRef>
              <f>'Chart Key'!$C$186:$C$192</f>
            </numRef>
          </val>
          <smooth val="0"/>
        </ser>
        <axId val="10"/>
        <axId val="200"/>
      </lineChart>
      <catAx>
        <axId val="10"/>
        <scaling>
          <orientation val="minMax"/>
        </scaling>
        <delete val="0"/>
        <axPos val="l"/>
        <majorTickMark val="none"/>
        <minorTickMark val="none"/>
        <crossAx val="100"/>
        <lblOffset val="100"/>
      </catAx>
      <valAx>
        <axId val="100"/>
        <scaling>
          <orientation val="minMax"/>
        </scaling>
        <delete val="0"/>
        <axPos val="l"/>
        <title>
          <tx>
            <rich>
              <a:bodyPr/>
              <a:p>
                <a:pPr>
                  <a:defRPr/>
                </a:pPr>
                <a:r>
                  <a:t>Denied claims</a:t>
                </a:r>
              </a:p>
            </rich>
          </tx>
        </title>
        <majorTickMark val="none"/>
        <minorTickMark val="none"/>
        <crossAx val="10"/>
      </valAx>
      <valAx>
        <axId val="200"/>
        <scaling>
          <orientation val="minMax"/>
          <max val="1"/>
          <min val="0"/>
        </scaling>
        <delete val="0"/>
        <axPos val="l"/>
        <title>
          <tx>
            <rich>
              <a:bodyPr/>
              <a:p>
                <a:pPr>
                  <a:defRPr/>
                </a:pPr>
                <a:r>
                  <a:t>Cumulative %</a:t>
                </a:r>
              </a:p>
            </rich>
          </tx>
        </title>
        <numFmt formatCode="0%" sourceLinked="0"/>
        <majorTickMark val="none"/>
        <minorTickMark val="none"/>
        <crossAx val="10"/>
        <crosses val="max"/>
      </valAx>
    </plotArea>
    <legend>
      <legendPos val="b"/>
    </legend>
    <plotVisOnly val="1"/>
    <dispBlanksAs val="gap"/>
  </chart>
</chartSpace>
</file>

<file path=xl/charts/chart12.xml><?xml version="1.0" encoding="utf-8"?>
<chartSpace xmlns:a="http://schemas.openxmlformats.org/drawingml/2006/main" xmlns="http://schemas.openxmlformats.org/drawingml/2006/chart">
  <chart>
    <title>
      <tx>
        <rich>
          <a:bodyPr/>
          <a:p>
            <a:pPr>
              <a:defRPr/>
            </a:pPr>
            <a:r>
              <a:t>Revenue shortfall, mostly offset by labor savings (4 West, FY2025)</a:t>
            </a:r>
          </a:p>
        </rich>
      </tx>
    </title>
    <plotArea>
      <barChart>
        <barDir val="col"/>
        <grouping val="stacked"/>
        <ser>
          <idx val="0"/>
          <order val="0"/>
          <tx>
            <strRef>
              <f>'Chart Key'!B205</f>
            </strRef>
          </tx>
          <spPr>
            <a:noFill/>
            <a:ln>
              <a:noFill/>
              <a:prstDash val="solid"/>
            </a:ln>
          </spPr>
          <cat>
            <numRef>
              <f>'Chart Key'!$A$206:$A$215</f>
            </numRef>
          </cat>
          <val>
            <numRef>
              <f>'Chart Key'!$B$206:$B$215</f>
            </numRef>
          </val>
        </ser>
        <ser>
          <idx val="1"/>
          <order val="1"/>
          <tx>
            <strRef>
              <f>'Chart Key'!C205</f>
            </strRef>
          </tx>
          <spPr>
            <a:solidFill>
              <a:srgbClr val="0072B2"/>
            </a:solidFill>
            <a:ln>
              <a:prstDash val="solid"/>
            </a:ln>
          </spPr>
          <cat>
            <numRef>
              <f>'Chart Key'!$A$206:$A$215</f>
            </numRef>
          </cat>
          <val>
            <numRef>
              <f>'Chart Key'!$C$206:$C$215</f>
            </numRef>
          </val>
        </ser>
        <ser>
          <idx val="2"/>
          <order val="2"/>
          <tx>
            <strRef>
              <f>'Chart Key'!D205</f>
            </strRef>
          </tx>
          <spPr>
            <a:solidFill>
              <a:srgbClr val="E69F00"/>
            </a:solidFill>
            <a:ln>
              <a:prstDash val="solid"/>
            </a:ln>
          </spPr>
          <cat>
            <numRef>
              <f>'Chart Key'!$A$206:$A$215</f>
            </numRef>
          </cat>
          <val>
            <numRef>
              <f>'Chart Key'!$D$206:$D$215</f>
            </numRef>
          </val>
        </ser>
        <ser>
          <idx val="3"/>
          <order val="3"/>
          <tx>
            <strRef>
              <f>'Chart Key'!E205</f>
            </strRef>
          </tx>
          <spPr>
            <a:solidFill>
              <a:srgbClr val="A6A6A6"/>
            </a:solidFill>
            <a:ln>
              <a:prstDash val="solid"/>
            </a:ln>
          </spPr>
          <cat>
            <numRef>
              <f>'Chart Key'!$A$206:$A$215</f>
            </numRef>
          </cat>
          <val>
            <numRef>
              <f>'Chart Key'!$E$206:$E$215</f>
            </numRef>
          </val>
        </ser>
        <gapWidth val="40"/>
        <overlap val="100"/>
        <axId val="10"/>
        <axId val="100"/>
      </barChart>
      <catAx>
        <axId val="10"/>
        <scaling>
          <orientation val="minMax"/>
        </scaling>
        <delete val="0"/>
        <axPos val="l"/>
        <majorTickMark val="none"/>
        <minorTickMark val="none"/>
        <crossAx val="100"/>
        <lblOffset val="100"/>
      </catAx>
      <valAx>
        <axId val="100"/>
        <scaling>
          <orientation val="minMax"/>
        </scaling>
        <delete val="0"/>
        <axPos val="l"/>
        <numFmt formatCode="#,##0" sourceLinked="0"/>
        <majorTickMark val="none"/>
        <minorTickMark val="none"/>
        <crossAx val="10"/>
      </valAx>
    </plotArea>
    <legend>
      <legendPos val="b"/>
    </legend>
    <plotVisOnly val="1"/>
    <dispBlanksAs val="gap"/>
  </chart>
</chartSpace>
</file>

<file path=xl/charts/chart13.xml><?xml version="1.0" encoding="utf-8"?>
<chartSpace xmlns:a="http://schemas.openxmlformats.org/drawingml/2006/main" xmlns="http://schemas.openxmlformats.org/drawingml/2006/chart">
  <chart>
    <title>
      <tx>
        <rich>
          <a:bodyPr/>
          <a:p>
            <a:pPr>
              <a:defRPr/>
            </a:pPr>
            <a:r>
              <a:t>LWBS spikes don't follow volume: Sep 2024 peaked at 3.7%</a:t>
            </a:r>
          </a:p>
        </rich>
      </tx>
    </title>
    <plotArea>
      <barChart>
        <barDir val="col"/>
        <grouping val="clustered"/>
        <ser>
          <idx val="0"/>
          <order val="0"/>
          <tx>
            <strRef>
              <f>'Chart Key'!B232</f>
            </strRef>
          </tx>
          <spPr>
            <a:solidFill>
              <a:srgbClr val="56B4E9"/>
            </a:solidFill>
            <a:ln>
              <a:prstDash val="solid"/>
            </a:ln>
          </spPr>
          <cat>
            <numRef>
              <f>'Chart Key'!$A$233:$A$256</f>
            </numRef>
          </cat>
          <val>
            <numRef>
              <f>'Chart Key'!$B$233:$B$256</f>
            </numRef>
          </val>
        </ser>
        <gapWidth val="60"/>
        <axId val="10"/>
        <axId val="100"/>
      </barChart>
      <lineChart>
        <grouping val="standard"/>
        <ser>
          <idx val="1"/>
          <order val="1"/>
          <tx>
            <strRef>
              <f>'Chart Key'!C232</f>
            </strRef>
          </tx>
          <spPr>
            <a:ln w="28000">
              <a:solidFill>
                <a:srgbClr val="D55E00"/>
              </a:solidFill>
              <a:prstDash val="solid"/>
            </a:ln>
          </spPr>
          <marker>
            <symbol val="none"/>
            <spPr>
              <a:ln>
                <a:prstDash val="solid"/>
              </a:ln>
            </spPr>
          </marker>
          <val>
            <numRef>
              <f>'Chart Key'!$C$233:$C$256</f>
            </numRef>
          </val>
          <smooth val="0"/>
        </ser>
        <axId val="10"/>
        <axId val="200"/>
      </lineChart>
      <catAx>
        <axId val="10"/>
        <scaling>
          <orientation val="minMax"/>
        </scaling>
        <delete val="0"/>
        <axPos val="l"/>
        <majorTickMark val="none"/>
        <minorTickMark val="none"/>
        <crossAx val="100"/>
        <lblOffset val="100"/>
      </catAx>
      <valAx>
        <axId val="100"/>
        <scaling>
          <orientation val="minMax"/>
        </scaling>
        <delete val="0"/>
        <axPos val="l"/>
        <title>
          <tx>
            <rich>
              <a:bodyPr/>
              <a:p>
                <a:pPr>
                  <a:defRPr/>
                </a:pPr>
                <a:r>
                  <a:t>ED visits</a:t>
                </a:r>
              </a:p>
            </rich>
          </tx>
        </title>
        <majorTickMark val="none"/>
        <minorTickMark val="none"/>
        <crossAx val="10"/>
      </valAx>
      <valAx>
        <axId val="200"/>
        <scaling>
          <orientation val="minMax"/>
        </scaling>
        <delete val="0"/>
        <axPos val="l"/>
        <title>
          <tx>
            <rich>
              <a:bodyPr/>
              <a:p>
                <a:pPr>
                  <a:defRPr/>
                </a:pPr>
                <a:r>
                  <a:t>LWBS rate</a:t>
                </a:r>
              </a:p>
            </rich>
          </tx>
        </title>
        <numFmt formatCode="0.0%" sourceLinked="0"/>
        <majorTickMark val="none"/>
        <minorTickMark val="none"/>
        <crossAx val="10"/>
        <crosses val="max"/>
      </valAx>
    </plotArea>
    <legend>
      <legendPos val="b"/>
    </legend>
    <plotVisOnly val="1"/>
    <dispBlanksAs val="gap"/>
  </chart>
</chartSpace>
</file>

<file path=xl/charts/chart14.xml><?xml version="1.0" encoding="utf-8"?>
<chartSpace xmlns:a="http://schemas.openxmlformats.org/drawingml/2006/main" xmlns="http://schemas.openxmlformats.org/drawingml/2006/chart">
  <style val="13"/>
  <chart>
    <title>
      <tx>
        <rich>
          <a:bodyPr/>
          <a:p>
            <a:pPr>
              <a:defRPr/>
            </a:pPr>
            <a:r>
              <a:t>Volume explains only 12% of LWBS variation (R² = 0.121)</a:t>
            </a:r>
          </a:p>
        </rich>
      </tx>
    </title>
    <plotArea>
      <scatterChart>
        <ser>
          <idx val="0"/>
          <order val="0"/>
          <tx>
            <strRef>
              <f>'Chart Key'!C232</f>
            </strRef>
          </tx>
          <spPr>
            <a:ln>
              <a:noFill/>
              <a:prstDash val="solid"/>
            </a:ln>
          </spPr>
          <marker>
            <symbol val="circle"/>
            <size val="7"/>
            <spPr>
              <a:solidFill>
                <a:srgbClr val="56B4E9"/>
              </a:solidFill>
              <a:ln>
                <a:solidFill>
                  <a:srgbClr val="0072B2"/>
                </a:solidFill>
                <a:prstDash val="solid"/>
              </a:ln>
            </spPr>
          </marker>
          <trendline>
            <trendlineType val="linear"/>
            <dispRSqr val="1"/>
            <dispEq val="0"/>
            <trendlineLbl>
              <numFmt formatCode="0.000" sourceLinked="0"/>
            </trendlineLbl>
          </trendline>
          <xVal>
            <numRef>
              <f>'Chart Key'!$B$233:$B$256</f>
            </numRef>
          </xVal>
          <yVal>
            <numRef>
              <f>'Chart Key'!$C$233:$C$256</f>
            </numRef>
          </yVal>
        </ser>
        <axId val="10"/>
        <axId val="20"/>
      </scatterChart>
      <valAx>
        <axId val="10"/>
        <scaling>
          <orientation val="minMax"/>
        </scaling>
        <delete val="0"/>
        <axPos val="l"/>
        <majorGridlines/>
        <title>
          <tx>
            <rich>
              <a:bodyPr/>
              <a:p>
                <a:pPr>
                  <a:defRPr/>
                </a:pPr>
                <a:r>
                  <a:t>ED visits in the month</a:t>
                </a:r>
              </a:p>
            </rich>
          </tx>
        </title>
        <majorTickMark val="none"/>
        <minorTickMark val="none"/>
        <crossAx val="20"/>
      </valAx>
      <valAx>
        <axId val="20"/>
        <scaling>
          <orientation val="minMax"/>
        </scaling>
        <delete val="0"/>
        <axPos val="l"/>
        <majorGridlines/>
        <title>
          <tx>
            <rich>
              <a:bodyPr/>
              <a:p>
                <a:pPr>
                  <a:defRPr/>
                </a:pPr>
                <a:r>
                  <a:t>LWBS rate</a:t>
                </a:r>
              </a:p>
            </rich>
          </tx>
        </title>
        <numFmt formatCode="0.0%" sourceLinked="0"/>
        <majorTickMark val="none"/>
        <minorTickMark val="none"/>
        <crossAx val="10"/>
      </valAx>
    </plotArea>
    <plotVisOnly val="1"/>
    <dispBlanksAs val="gap"/>
  </chart>
</chartSpace>
</file>

<file path=xl/charts/chart15.xml><?xml version="1.0" encoding="utf-8"?>
<chartSpace xmlns:a="http://schemas.openxmlformats.org/drawingml/2006/main" xmlns="http://schemas.openxmlformats.org/drawingml/2006/chart">
  <chart>
    <title>
      <tx>
        <rich>
          <a:bodyPr/>
          <a:p>
            <a:pPr>
              <a:defRPr/>
            </a:pPr>
            <a:r>
              <a:t>4 reasons hold 86% of denied charges</a:t>
            </a:r>
          </a:p>
        </rich>
      </tx>
    </title>
    <plotArea>
      <barChart>
        <barDir val="col"/>
        <grouping val="clustered"/>
        <ser>
          <idx val="0"/>
          <order val="0"/>
          <tx>
            <strRef>
              <f>'Chart Key'!B262</f>
            </strRef>
          </tx>
          <spPr>
            <a:solidFill>
              <a:srgbClr val="56B4E9"/>
            </a:solidFill>
            <a:ln>
              <a:prstDash val="solid"/>
            </a:ln>
          </spPr>
          <cat>
            <numRef>
              <f>'Chart Key'!$A$263:$A$269</f>
            </numRef>
          </cat>
          <val>
            <numRef>
              <f>'Chart Key'!$B$263:$B$269</f>
            </numRef>
          </val>
        </ser>
        <gapWidth val="10"/>
        <axId val="10"/>
        <axId val="100"/>
      </barChart>
      <lineChart>
        <grouping val="standard"/>
        <ser>
          <idx val="1"/>
          <order val="1"/>
          <tx>
            <strRef>
              <f>'Chart Key'!C262</f>
            </strRef>
          </tx>
          <spPr>
            <a:ln w="28000">
              <a:solidFill>
                <a:srgbClr val="D55E00"/>
              </a:solidFill>
              <a:prstDash val="solid"/>
            </a:ln>
          </spPr>
          <marker>
            <symbol val="none"/>
            <spPr>
              <a:ln>
                <a:prstDash val="solid"/>
              </a:ln>
            </spPr>
          </marker>
          <val>
            <numRef>
              <f>'Chart Key'!$C$263:$C$269</f>
            </numRef>
          </val>
          <smooth val="0"/>
        </ser>
        <axId val="10"/>
        <axId val="200"/>
      </lineChart>
      <catAx>
        <axId val="10"/>
        <scaling>
          <orientation val="minMax"/>
        </scaling>
        <delete val="0"/>
        <axPos val="l"/>
        <majorTickMark val="none"/>
        <minorTickMark val="none"/>
        <crossAx val="100"/>
        <lblOffset val="100"/>
      </catAx>
      <valAx>
        <axId val="100"/>
        <scaling>
          <orientation val="minMax"/>
        </scaling>
        <delete val="0"/>
        <axPos val="l"/>
        <title>
          <tx>
            <rich>
              <a:bodyPr/>
              <a:p>
                <a:pPr>
                  <a:defRPr/>
                </a:pPr>
                <a:r>
                  <a:t>Denied charges ($)</a:t>
                </a:r>
              </a:p>
            </rich>
          </tx>
        </title>
        <majorTickMark val="none"/>
        <minorTickMark val="none"/>
        <crossAx val="10"/>
      </valAx>
      <valAx>
        <axId val="200"/>
        <scaling>
          <orientation val="minMax"/>
          <max val="1"/>
          <min val="0"/>
        </scaling>
        <delete val="0"/>
        <axPos val="l"/>
        <title>
          <tx>
            <rich>
              <a:bodyPr/>
              <a:p>
                <a:pPr>
                  <a:defRPr/>
                </a:pPr>
                <a:r>
                  <a:t>Cumulative %</a:t>
                </a:r>
              </a:p>
            </rich>
          </tx>
        </title>
        <numFmt formatCode="0%" sourceLinked="0"/>
        <majorTickMark val="none"/>
        <minorTickMark val="none"/>
        <crossAx val="10"/>
        <crosses val="max"/>
      </valAx>
    </plotArea>
    <legend>
      <legendPos val="b"/>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s>
</file>

<file path=xl/drawings/_rels/drawing2.xml.rels><Relationships xmlns="http://schemas.openxmlformats.org/package/2006/relationships"><Relationship Type="http://schemas.openxmlformats.org/officeDocument/2006/relationships/chart" Target="/xl/charts/chart2.xml" Id="rId1" /><Relationship Type="http://schemas.openxmlformats.org/officeDocument/2006/relationships/chart" Target="/xl/charts/chart3.xml" Id="rId2" /><Relationship Type="http://schemas.openxmlformats.org/officeDocument/2006/relationships/chart" Target="/xl/charts/chart4.xml" Id="rId3" /><Relationship Type="http://schemas.openxmlformats.org/officeDocument/2006/relationships/chart" Target="/xl/charts/chart5.xml" Id="rId4" /><Relationship Type="http://schemas.openxmlformats.org/officeDocument/2006/relationships/chart" Target="/xl/charts/chart6.xml" Id="rId5" /><Relationship Type="http://schemas.openxmlformats.org/officeDocument/2006/relationships/chart" Target="/xl/charts/chart7.xml" Id="rId6" /><Relationship Type="http://schemas.openxmlformats.org/officeDocument/2006/relationships/chart" Target="/xl/charts/chart8.xml" Id="rId7" /><Relationship Type="http://schemas.openxmlformats.org/officeDocument/2006/relationships/chart" Target="/xl/charts/chart9.xml" Id="rId8" /><Relationship Type="http://schemas.openxmlformats.org/officeDocument/2006/relationships/chart" Target="/xl/charts/chart10.xml" Id="rId9" /><Relationship Type="http://schemas.openxmlformats.org/officeDocument/2006/relationships/chart" Target="/xl/charts/chart11.xml" Id="rId10" /><Relationship Type="http://schemas.openxmlformats.org/officeDocument/2006/relationships/chart" Target="/xl/charts/chart12.xml" Id="rId11" /><Relationship Type="http://schemas.openxmlformats.org/officeDocument/2006/relationships/chart" Target="/xl/charts/chart13.xml" Id="rId12" /><Relationship Type="http://schemas.openxmlformats.org/officeDocument/2006/relationships/chart" Target="/xl/charts/chart14.xml" Id="rId13" /><Relationship Type="http://schemas.openxmlformats.org/officeDocument/2006/relationships/chart" Target="/xl/charts/chart15.xml" Id="rId1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0</col>
      <colOff>0</colOff>
      <row>3</row>
      <rowOff>0</rowOff>
    </from>
    <ext cx="6480000" cy="3240000"/>
    <graphicFrame>
      <nvGraphicFramePr>
        <cNvPr id="1" name="Chart 1"/>
        <cNvGraphicFramePr/>
      </nvGraphicFramePr>
      <xfrm/>
      <a:graphic>
        <a:graphicData uri="http://schemas.openxmlformats.org/drawingml/2006/chart">
          <c:chart r:id="rId1"/>
        </a:graphicData>
      </a:graphic>
    </graphicFrame>
    <clientData/>
  </oneCellAnchor>
</wsDr>
</file>

<file path=xl/drawings/drawing2.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7</col>
      <colOff>0</colOff>
      <row>4</row>
      <rowOff>0</rowOff>
    </from>
    <ext cx="5760000" cy="2700000"/>
    <graphicFrame>
      <nvGraphicFramePr>
        <cNvPr id="1" name="Chart 1"/>
        <cNvGraphicFramePr/>
      </nvGraphicFramePr>
      <xfrm/>
      <a:graphic>
        <a:graphicData uri="http://schemas.openxmlformats.org/drawingml/2006/chart">
          <c:chart r:id="rId1"/>
        </a:graphicData>
      </a:graphic>
    </graphicFrame>
    <clientData/>
  </oneCellAnchor>
  <oneCellAnchor>
    <from>
      <col>7</col>
      <colOff>0</colOff>
      <row>24</row>
      <rowOff>0</rowOff>
    </from>
    <ext cx="6480000" cy="2880000"/>
    <graphicFrame>
      <nvGraphicFramePr>
        <cNvPr id="2" name="Chart 2"/>
        <cNvGraphicFramePr/>
      </nvGraphicFramePr>
      <xfrm/>
      <a:graphic>
        <a:graphicData uri="http://schemas.openxmlformats.org/drawingml/2006/chart">
          <c:chart r:id="rId2"/>
        </a:graphicData>
      </a:graphic>
    </graphicFrame>
    <clientData/>
  </oneCellAnchor>
  <oneCellAnchor>
    <from>
      <col>7</col>
      <colOff>0</colOff>
      <row>44</row>
      <rowOff>0</rowOff>
    </from>
    <ext cx="5760000" cy="2700000"/>
    <graphicFrame>
      <nvGraphicFramePr>
        <cNvPr id="3" name="Chart 3"/>
        <cNvGraphicFramePr/>
      </nvGraphicFramePr>
      <xfrm/>
      <a:graphic>
        <a:graphicData uri="http://schemas.openxmlformats.org/drawingml/2006/chart">
          <c:chart r:id="rId3"/>
        </a:graphicData>
      </a:graphic>
    </graphicFrame>
    <clientData/>
  </oneCellAnchor>
  <oneCellAnchor>
    <from>
      <col>7</col>
      <colOff>0</colOff>
      <row>64</row>
      <rowOff>0</rowOff>
    </from>
    <ext cx="5760000" cy="2700000"/>
    <graphicFrame>
      <nvGraphicFramePr>
        <cNvPr id="4" name="Chart 4"/>
        <cNvGraphicFramePr/>
      </nvGraphicFramePr>
      <xfrm/>
      <a:graphic>
        <a:graphicData uri="http://schemas.openxmlformats.org/drawingml/2006/chart">
          <c:chart r:id="rId4"/>
        </a:graphicData>
      </a:graphic>
    </graphicFrame>
    <clientData/>
  </oneCellAnchor>
  <oneCellAnchor>
    <from>
      <col>7</col>
      <colOff>0</colOff>
      <row>84</row>
      <rowOff>0</rowOff>
    </from>
    <ext cx="5760000" cy="3600000"/>
    <graphicFrame>
      <nvGraphicFramePr>
        <cNvPr id="5" name="Chart 5"/>
        <cNvGraphicFramePr/>
      </nvGraphicFramePr>
      <xfrm/>
      <a:graphic>
        <a:graphicData uri="http://schemas.openxmlformats.org/drawingml/2006/chart">
          <c:chart r:id="rId5"/>
        </a:graphicData>
      </a:graphic>
    </graphicFrame>
    <clientData/>
  </oneCellAnchor>
  <oneCellAnchor>
    <from>
      <col>7</col>
      <colOff>0</colOff>
      <row>104</row>
      <rowOff>0</rowOff>
    </from>
    <ext cx="5760000" cy="2700000"/>
    <graphicFrame>
      <nvGraphicFramePr>
        <cNvPr id="6" name="Chart 6"/>
        <cNvGraphicFramePr/>
      </nvGraphicFramePr>
      <xfrm/>
      <a:graphic>
        <a:graphicData uri="http://schemas.openxmlformats.org/drawingml/2006/chart">
          <c:chart r:id="rId6"/>
        </a:graphicData>
      </a:graphic>
    </graphicFrame>
    <clientData/>
  </oneCellAnchor>
  <oneCellAnchor>
    <from>
      <col>7</col>
      <colOff>0</colOff>
      <row>124</row>
      <rowOff>0</rowOff>
    </from>
    <ext cx="5760000" cy="2880000"/>
    <graphicFrame>
      <nvGraphicFramePr>
        <cNvPr id="7" name="Chart 7"/>
        <cNvGraphicFramePr/>
      </nvGraphicFramePr>
      <xfrm/>
      <a:graphic>
        <a:graphicData uri="http://schemas.openxmlformats.org/drawingml/2006/chart">
          <c:chart r:id="rId7"/>
        </a:graphicData>
      </a:graphic>
    </graphicFrame>
    <clientData/>
  </oneCellAnchor>
  <oneCellAnchor>
    <from>
      <col>7</col>
      <colOff>0</colOff>
      <row>144</row>
      <rowOff>0</rowOff>
    </from>
    <ext cx="5760000" cy="2880000"/>
    <graphicFrame>
      <nvGraphicFramePr>
        <cNvPr id="8" name="Chart 8"/>
        <cNvGraphicFramePr/>
      </nvGraphicFramePr>
      <xfrm/>
      <a:graphic>
        <a:graphicData uri="http://schemas.openxmlformats.org/drawingml/2006/chart">
          <c:chart r:id="rId8"/>
        </a:graphicData>
      </a:graphic>
    </graphicFrame>
    <clientData/>
  </oneCellAnchor>
  <oneCellAnchor>
    <from>
      <col>7</col>
      <colOff>0</colOff>
      <row>164</row>
      <rowOff>0</rowOff>
    </from>
    <ext cx="6480000" cy="2880000"/>
    <graphicFrame>
      <nvGraphicFramePr>
        <cNvPr id="9" name="Chart 9"/>
        <cNvGraphicFramePr/>
      </nvGraphicFramePr>
      <xfrm/>
      <a:graphic>
        <a:graphicData uri="http://schemas.openxmlformats.org/drawingml/2006/chart">
          <c:chart r:id="rId9"/>
        </a:graphicData>
      </a:graphic>
    </graphicFrame>
    <clientData/>
  </oneCellAnchor>
  <oneCellAnchor>
    <from>
      <col>7</col>
      <colOff>0</colOff>
      <row>184</row>
      <rowOff>0</rowOff>
    </from>
    <ext cx="6480000" cy="2880000"/>
    <graphicFrame>
      <nvGraphicFramePr>
        <cNvPr id="10" name="Chart 10"/>
        <cNvGraphicFramePr/>
      </nvGraphicFramePr>
      <xfrm/>
      <a:graphic>
        <a:graphicData uri="http://schemas.openxmlformats.org/drawingml/2006/chart">
          <c:chart r:id="rId10"/>
        </a:graphicData>
      </a:graphic>
    </graphicFrame>
    <clientData/>
  </oneCellAnchor>
  <oneCellAnchor>
    <from>
      <col>7</col>
      <colOff>0</colOff>
      <row>204</row>
      <rowOff>0</rowOff>
    </from>
    <ext cx="7200000" cy="3960000"/>
    <graphicFrame>
      <nvGraphicFramePr>
        <cNvPr id="11" name="Chart 11"/>
        <cNvGraphicFramePr/>
      </nvGraphicFramePr>
      <xfrm/>
      <a:graphic>
        <a:graphicData uri="http://schemas.openxmlformats.org/drawingml/2006/chart">
          <c:chart r:id="rId11"/>
        </a:graphicData>
      </a:graphic>
    </graphicFrame>
    <clientData/>
  </oneCellAnchor>
  <oneCellAnchor>
    <from>
      <col>7</col>
      <colOff>0</colOff>
      <row>231</row>
      <rowOff>0</rowOff>
    </from>
    <ext cx="6480000" cy="2880000"/>
    <graphicFrame>
      <nvGraphicFramePr>
        <cNvPr id="12" name="Chart 12"/>
        <cNvGraphicFramePr/>
      </nvGraphicFramePr>
      <xfrm/>
      <a:graphic>
        <a:graphicData uri="http://schemas.openxmlformats.org/drawingml/2006/chart">
          <c:chart r:id="rId12"/>
        </a:graphicData>
      </a:graphic>
    </graphicFrame>
    <clientData/>
  </oneCellAnchor>
  <oneCellAnchor>
    <from>
      <col>19</col>
      <colOff>0</colOff>
      <row>230</row>
      <rowOff>0</rowOff>
    </from>
    <ext cx="5760000" cy="2880000"/>
    <graphicFrame>
      <nvGraphicFramePr>
        <cNvPr id="13" name="Chart 13"/>
        <cNvGraphicFramePr/>
      </nvGraphicFramePr>
      <xfrm/>
      <a:graphic>
        <a:graphicData uri="http://schemas.openxmlformats.org/drawingml/2006/chart">
          <c:chart r:id="rId13"/>
        </a:graphicData>
      </a:graphic>
    </graphicFrame>
    <clientData/>
  </oneCellAnchor>
  <oneCellAnchor>
    <from>
      <col>7</col>
      <colOff>0</colOff>
      <row>261</row>
      <rowOff>0</rowOff>
    </from>
    <ext cx="6480000" cy="2880000"/>
    <graphicFrame>
      <nvGraphicFramePr>
        <cNvPr id="14" name="Chart 14"/>
        <cNvGraphicFramePr/>
      </nvGraphicFramePr>
      <xfrm/>
      <a:graphic>
        <a:graphicData uri="http://schemas.openxmlformats.org/drawingml/2006/chart">
          <c:chart r:id="rId14"/>
        </a:graphicData>
      </a:graphic>
    </graphicFrame>
    <clientData/>
  </oneCellAnchor>
</wsDr>
</file>

<file path=xl/tables/table1.xml><?xml version="1.0" encoding="utf-8"?>
<table xmlns="http://schemas.openxmlformats.org/spreadsheetml/2006/main" id="1" name="tblEDHourly" displayName="tblEDHourly" ref="A1:C25" headerRowCount="1">
  <autoFilter ref="A1:C25"/>
  <tableColumns count="3">
    <tableColumn id="1" name="ArrivalHour"/>
    <tableColumn id="2" name="Arrivals"/>
    <tableColumn id="3" name="AvgDoorToProviderMin"/>
  </tableColumns>
  <tableStyleInfo name="TableStyleMedium2" showRowStripes="1"/>
</table>
</file>

<file path=xl/tables/table2.xml><?xml version="1.0" encoding="utf-8"?>
<table xmlns="http://schemas.openxmlformats.org/spreadsheetml/2006/main" id="2" name="tblEDMonthly" displayName="tblEDMonthly" ref="A1:G25" headerRowCount="1">
  <autoFilter ref="A1:G25"/>
  <tableColumns count="7">
    <tableColumn id="1" name="Month"/>
    <tableColumn id="2" name="Bluestone Memorial"/>
    <tableColumn id="3" name="Ashby Falls"/>
    <tableColumn id="4" name="Cedar Ridge"/>
    <tableColumn id="5" name="Total"/>
    <tableColumn id="6" name="LWBS"/>
    <tableColumn id="7" name="LWBSRate"/>
  </tableColumns>
  <tableStyleInfo name="TableStyleMedium2" showRowStripes="1"/>
</table>
</file>

<file path=xl/tables/table3.xml><?xml version="1.0" encoding="utf-8"?>
<table xmlns="http://schemas.openxmlformats.org/spreadsheetml/2006/main" id="3" name="tblReadmits" displayName="tblReadmits" ref="A1:D9" headerRowCount="1">
  <autoFilter ref="A1:D9"/>
  <tableColumns count="4">
    <tableColumn id="1" name="ServiceLine"/>
    <tableColumn id="2" name="IndexStays"/>
    <tableColumn id="3" name="Readmissions"/>
    <tableColumn id="4" name="ReadmitRate"/>
  </tableColumns>
  <tableStyleInfo name="TableStyleMedium2" showRowStripes="1"/>
</table>
</file>

<file path=xl/tables/table4.xml><?xml version="1.0" encoding="utf-8"?>
<table xmlns="http://schemas.openxmlformats.org/spreadsheetml/2006/main" id="4" name="tblPayerMix" displayName="tblPayerMix" ref="A1:B6" headerRowCount="1">
  <autoFilter ref="A1:B6"/>
  <tableColumns count="2">
    <tableColumn id="1" name="PayerType"/>
    <tableColumn id="2" name="Encounters"/>
  </tableColumns>
  <tableStyleInfo name="TableStyleMedium2" showRowStripes="1"/>
</table>
</file>

<file path=xl/tables/table5.xml><?xml version="1.0" encoding="utf-8"?>
<table xmlns="http://schemas.openxmlformats.org/spreadsheetml/2006/main" id="5" name="tblStays" displayName="tblStays" ref="A1:E301" headerRowCount="1">
  <autoFilter ref="A1:E301"/>
  <tableColumns count="5">
    <tableColumn id="1" name="EncounterID"/>
    <tableColumn id="2" name="ServiceLine"/>
    <tableColumn id="3" name="AgeAtAdmit"/>
    <tableColumn id="4" name="LOSDays"/>
    <tableColumn id="5" name="TotalCharges"/>
  </tableColumns>
  <tableStyleInfo name="TableStyleMedium2" showRowStripes="1"/>
</table>
</file>

<file path=xl/tables/table6.xml><?xml version="1.0" encoding="utf-8"?>
<table xmlns="http://schemas.openxmlformats.org/spreadsheetml/2006/main" id="6" name="tblDenials" displayName="tblDenials" ref="A1:D8" headerRowCount="1">
  <autoFilter ref="A1:D8"/>
  <tableColumns count="4">
    <tableColumn id="1" name="DenialReason"/>
    <tableColumn id="2" name="Claims"/>
    <tableColumn id="3" name="DeniedCharges"/>
    <tableColumn id="4" name="CumulativePct"/>
  </tableColumns>
  <tableStyleInfo name="TableStyleMedium2" showRowStripes="1"/>
</table>
</file>

<file path=xl/tables/table7.xml><?xml version="1.0" encoding="utf-8"?>
<table xmlns="http://schemas.openxmlformats.org/spreadsheetml/2006/main" id="7" name="tblBudget" displayName="tblBudget" ref="A4:B14" headerRowCount="1">
  <autoFilter ref="A4:B14"/>
  <tableColumns count="2">
    <tableColumn id="1" name="Step"/>
    <tableColumn id="2" name="Amount"/>
  </tableColumns>
  <tableStyleInfo name="TableStyleMedium2" showRowStripes="1"/>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3.xml.rels><Relationships xmlns="http://schemas.openxmlformats.org/package/2006/relationships"><Relationship Type="http://schemas.openxmlformats.org/officeDocument/2006/relationships/table" Target="/xl/tables/table1.xml" Id="rId1" /></Relationships>
</file>

<file path=xl/worksheets/_rels/sheet4.xml.rels><Relationships xmlns="http://schemas.openxmlformats.org/package/2006/relationships"><Relationship Type="http://schemas.openxmlformats.org/officeDocument/2006/relationships/table" Target="/xl/tables/table2.xml" Id="rId1" /></Relationships>
</file>

<file path=xl/worksheets/_rels/sheet5.xml.rels><Relationships xmlns="http://schemas.openxmlformats.org/package/2006/relationships"><Relationship Type="http://schemas.openxmlformats.org/officeDocument/2006/relationships/table" Target="/xl/tables/table3.xml" Id="rId1" /></Relationships>
</file>

<file path=xl/worksheets/_rels/sheet6.xml.rels><Relationships xmlns="http://schemas.openxmlformats.org/package/2006/relationships"><Relationship Type="http://schemas.openxmlformats.org/officeDocument/2006/relationships/drawing" Target="/xl/drawings/drawing1.xml" Id="rId1" /></Relationships>
</file>

<file path=xl/worksheets/_rels/sheet7.xml.rels><Relationships xmlns="http://schemas.openxmlformats.org/package/2006/relationships"><Relationship Type="http://schemas.openxmlformats.org/officeDocument/2006/relationships/table" Target="/xl/tables/table4.xml" Id="rId1" /></Relationships>
</file>

<file path=xl/worksheets/_rels/sheet8.xml.rels><Relationships xmlns="http://schemas.openxmlformats.org/package/2006/relationships"><Relationship Type="http://schemas.openxmlformats.org/officeDocument/2006/relationships/table" Target="/xl/tables/table5.xml" Id="rId1" /></Relationships>
</file>

<file path=xl/worksheets/_rels/sheet9.xml.rels><Relationships xmlns="http://schemas.openxmlformats.org/package/2006/relationships"><Relationship Type="http://schemas.openxmlformats.org/officeDocument/2006/relationships/table" Target="/xl/tables/table6.xml" Id="rId1" /></Relationships>
</file>

<file path=xl/worksheets/_rels/sheet10.xml.rels><Relationships xmlns="http://schemas.openxmlformats.org/package/2006/relationships"><Relationship Type="http://schemas.openxmlformats.org/officeDocument/2006/relationships/table" Target="/xl/tables/table7.xml" Id="rId1" /></Relationships>
</file>

<file path=xl/worksheets/_rels/sheet14.xml.rels><Relationships xmlns="http://schemas.openxmlformats.org/package/2006/relationships"><Relationship Type="http://schemas.openxmlformats.org/officeDocument/2006/relationships/drawing" Target="/xl/drawings/drawing2.xml" Id="rId1" /></Relationships>
</file>

<file path=xl/worksheets/sheet1.xml><?xml version="1.0" encoding="utf-8"?>
<worksheet xmlns="http://schemas.openxmlformats.org/spreadsheetml/2006/main">
  <sheetPr>
    <tabColor rgb="001F4E79"/>
    <outlinePr summaryBelow="1" summaryRight="1"/>
    <pageSetUpPr fitToPage="1"/>
  </sheetPr>
  <dimension ref="B2:C39"/>
  <sheetViews>
    <sheetView tabSelected="1" workbookViewId="0">
      <selection activeCell="A1" sqref="A1"/>
    </sheetView>
  </sheetViews>
  <sheetFormatPr baseColWidth="8" defaultRowHeight="15"/>
  <cols>
    <col width="3" customWidth="1" min="1" max="1"/>
    <col width="26" customWidth="1" min="2" max="2"/>
    <col width="95" customWidth="1" min="3" max="3"/>
  </cols>
  <sheetData>
    <row r="2">
      <c r="B2" s="1" t="inlineStr">
        <is>
          <t>Lesson 3.5</t>
        </is>
      </c>
    </row>
    <row r="3">
      <c r="B3" s="2" t="inlineStr">
        <is>
          <t>Charts &amp; Data Visualization</t>
        </is>
      </c>
    </row>
    <row r="4">
      <c r="B4" s="3" t="inlineStr">
        <is>
          <t>Intermediate  ·  about 55 minutes  ·  Bluestone Health System (fictional)</t>
        </is>
      </c>
    </row>
    <row r="6">
      <c r="B6" s="4" t="inlineStr">
        <is>
          <t>What you'll learn</t>
        </is>
      </c>
      <c r="C6" s="5" t="n"/>
    </row>
    <row r="7" ht="18" customHeight="1">
      <c r="B7" s="6" t="inlineStr">
        <is>
          <t>•</t>
        </is>
      </c>
      <c r="C7" s="7" t="inlineStr">
        <is>
          <t>Choose the right chart for comparisons, trends, parts of a whole, distributions, and relationships</t>
        </is>
      </c>
    </row>
    <row r="8" ht="18" customHeight="1">
      <c r="B8" s="6" t="inlineStr">
        <is>
          <t>•</t>
        </is>
      </c>
      <c r="C8" s="7" t="inlineStr">
        <is>
          <t>Build and format column, line, bar, scatter, histogram, combo, and Pareto charts</t>
        </is>
      </c>
    </row>
    <row r="9" ht="18" customHeight="1">
      <c r="B9" s="6" t="inlineStr">
        <is>
          <t>•</t>
        </is>
      </c>
      <c r="C9" s="7" t="inlineStr">
        <is>
          <t>Add trendlines, dynamic titles, and sparklines</t>
        </is>
      </c>
    </row>
    <row r="10" ht="18" customHeight="1">
      <c r="B10" s="6" t="inlineStr">
        <is>
          <t>•</t>
        </is>
      </c>
      <c r="C10" s="7" t="inlineStr">
        <is>
          <t>Design clear, accessible charts that tell one story</t>
        </is>
      </c>
    </row>
    <row r="12">
      <c r="B12" s="4" t="inlineStr">
        <is>
          <t>How to use this workbook</t>
        </is>
      </c>
      <c r="C12" s="5" t="n"/>
    </row>
    <row r="13" ht="33" customHeight="1">
      <c r="B13" s="8" t="inlineStr">
        <is>
          <t>1. Read the guide</t>
        </is>
      </c>
      <c r="C13" s="7" t="inlineStr">
        <is>
          <t>The lesson guide (README) explains each skill with examples: https://github.com/lmansf/learn-excel/tree/main/03-data-analysis/05-charts-visualization</t>
        </is>
      </c>
    </row>
    <row r="14" ht="18" customHeight="1">
      <c r="B14" s="8" t="inlineStr">
        <is>
          <t>2. Practice</t>
        </is>
      </c>
      <c r="C14" s="7" t="inlineStr">
        <is>
          <t>Go to the 'Practice' sheet. Type a formula or value into each yellow cell.</t>
        </is>
      </c>
    </row>
    <row r="15" ht="18" customHeight="1">
      <c r="B15" s="8" t="inlineStr">
        <is>
          <t>3. Check yourself</t>
        </is>
      </c>
      <c r="C15" s="7" t="inlineStr">
        <is>
          <t>The Check column shows ✔ Correct (green) or ✘ Not yet (red).</t>
        </is>
      </c>
    </row>
    <row r="16" ht="18" customHeight="1">
      <c r="B16" s="8" t="inlineStr">
        <is>
          <t>4. Bonus</t>
        </is>
      </c>
      <c r="C16" s="7" t="inlineStr">
        <is>
          <t>Finished? Try the harder 'Bonus' sheet.</t>
        </is>
      </c>
    </row>
    <row r="17" ht="33" customHeight="1">
      <c r="B17" s="8" t="inlineStr">
        <is>
          <t>5. Answers</t>
        </is>
      </c>
      <c r="C17" s="7" t="inlineStr">
        <is>
          <t>The 'Answer Key' and 'Bonus Key' sheets are hidden. Right-click any sheet tab → Unhide… → pick one → OK. (Try first!)</t>
        </is>
      </c>
    </row>
    <row r="18" ht="18" customHeight="1">
      <c r="B18" s="8" t="inlineStr">
        <is>
          <t>Note</t>
        </is>
      </c>
      <c r="C18" s="7" t="inlineStr">
        <is>
          <t>Build every chart next to its table. Each data sheet has empty columns on the right for that.</t>
        </is>
      </c>
    </row>
    <row r="19" ht="18" customHeight="1">
      <c r="B19" s="8" t="inlineStr">
        <is>
          <t>Note</t>
        </is>
      </c>
      <c r="C19" s="7" t="inlineStr">
        <is>
          <t>The Makeover sheet holds a deliberately misleading chart for Task 4. Fix it in place.</t>
        </is>
      </c>
    </row>
    <row r="20" ht="48" customHeight="1">
      <c r="B20" s="8" t="inlineStr">
        <is>
          <t>Note</t>
        </is>
      </c>
      <c r="C20" s="7" t="inlineStr">
        <is>
          <t>The hidden 'Chart Key' sheet shows a reference version of every chart. Unhide it the same way as the Answer Key. It draws the histogram, Pareto, and waterfall the classic way (column charts with helper data), so they look slightly different from Excel 2016's built-in versions.</t>
        </is>
      </c>
    </row>
    <row r="21" ht="18" customHeight="1">
      <c r="B21" s="8" t="inlineStr">
        <is>
          <t>Note</t>
        </is>
      </c>
      <c r="C21" s="7" t="inlineStr">
        <is>
          <t>Histogram, Pareto, and waterfall charts need Excel 2016 or later (Windows or Mac) or Microsoft 365.</t>
        </is>
      </c>
    </row>
    <row r="22" ht="48" customHeight="1">
      <c r="B22" s="8" t="inlineStr">
        <is>
          <t>Note</t>
        </is>
      </c>
      <c r="C22" s="7" t="inlineStr">
        <is>
          <t>On the Stays sheet, LOSDays is the exact length of stay (discharge time minus admit time, in days, rounded to 1 decimal place), so it can differ slightly from the count of midnights used in Lesson 3.4.</t>
        </is>
      </c>
    </row>
    <row r="24">
      <c r="B24" s="4" t="inlineStr">
        <is>
          <t>Color legend</t>
        </is>
      </c>
      <c r="C24" s="5" t="n"/>
    </row>
    <row r="25" ht="18" customHeight="1">
      <c r="B25" s="9" t="inlineStr">
        <is>
          <t>Yellow cell</t>
        </is>
      </c>
      <c r="C25" s="7" t="inlineStr">
        <is>
          <t>Your answer goes here.</t>
        </is>
      </c>
    </row>
    <row r="26" ht="18" customHeight="1">
      <c r="B26" s="10" t="inlineStr">
        <is>
          <t>Gray cell</t>
        </is>
      </c>
      <c r="C26" s="7" t="inlineStr">
        <is>
          <t>Pre-filled summary formula. It reads the work you did on another sheet, so don't type over it.</t>
        </is>
      </c>
    </row>
    <row r="27" ht="18" customHeight="1">
      <c r="B27" s="11" t="inlineStr">
        <is>
          <t>✔ Correct</t>
        </is>
      </c>
      <c r="C27" s="7" t="inlineStr">
        <is>
          <t>Your answer matches the key.</t>
        </is>
      </c>
    </row>
    <row r="28" ht="18" customHeight="1">
      <c r="B28" s="12" t="inlineStr">
        <is>
          <t>✘ Not yet</t>
        </is>
      </c>
      <c r="C28" s="7" t="inlineStr">
        <is>
          <t>Not matching yet. Check the hint and try again.</t>
        </is>
      </c>
    </row>
    <row r="30">
      <c r="B30" s="4" t="inlineStr">
        <is>
          <t>Sheets in this workbook</t>
        </is>
      </c>
      <c r="C30" s="5" t="n"/>
    </row>
    <row r="31" ht="18" customHeight="1">
      <c r="B31" s="8" t="inlineStr">
        <is>
          <t>ED_Hourly</t>
        </is>
      </c>
      <c r="C31" s="7" t="inlineStr">
        <is>
          <t>Data: 24 rows, in the Excel Table 'tblEDHourly'</t>
        </is>
      </c>
    </row>
    <row r="32" ht="18" customHeight="1">
      <c r="B32" s="8" t="inlineStr">
        <is>
          <t>ED_Monthly</t>
        </is>
      </c>
      <c r="C32" s="7" t="inlineStr">
        <is>
          <t>Data: 24 rows, in the Excel Table 'tblEDMonthly'</t>
        </is>
      </c>
    </row>
    <row r="33" ht="18" customHeight="1">
      <c r="B33" s="8" t="inlineStr">
        <is>
          <t>Readmits</t>
        </is>
      </c>
      <c r="C33" s="7" t="inlineStr">
        <is>
          <t>Data: 8 rows, in the Excel Table 'tblReadmits'</t>
        </is>
      </c>
    </row>
    <row r="34" ht="18" customHeight="1">
      <c r="B34" s="8" t="inlineStr">
        <is>
          <t>PayerMix</t>
        </is>
      </c>
      <c r="C34" s="7" t="inlineStr">
        <is>
          <t>Data: 5 rows, in the Excel Table 'tblPayerMix'</t>
        </is>
      </c>
    </row>
    <row r="35" ht="18" customHeight="1">
      <c r="B35" s="8" t="inlineStr">
        <is>
          <t>Stays</t>
        </is>
      </c>
      <c r="C35" s="7" t="inlineStr">
        <is>
          <t>Data: 300 rows, in the Excel Table 'tblStays'</t>
        </is>
      </c>
    </row>
    <row r="36" ht="18" customHeight="1">
      <c r="B36" s="8" t="inlineStr">
        <is>
          <t>Denials</t>
        </is>
      </c>
      <c r="C36" s="7" t="inlineStr">
        <is>
          <t>Data: 7 rows, in the Excel Table 'tblDenials'</t>
        </is>
      </c>
    </row>
    <row r="37" ht="18" customHeight="1">
      <c r="B37" s="8" t="inlineStr">
        <is>
          <t>Budget</t>
        </is>
      </c>
      <c r="C37" s="7" t="inlineStr">
        <is>
          <t>Data: 10 rows, in the Excel Table 'tblBudget'</t>
        </is>
      </c>
    </row>
    <row r="38" ht="78" customHeight="1">
      <c r="B38" s="8" t="inlineStr">
        <is>
          <t>About the data</t>
        </is>
      </c>
      <c r="C38" s="7" t="inlineStr">
        <is>
          <t>Bluestone Health System, pre-summarized for charting: monthly ED visits by hospital with counts of patients who left without being seen (LWBS), Jan 2024 – Dec 2025, 2025 ED arrivals and average door-to-provider minutes by hour of day, 2025 readmission rates by service line, 2025 payer mix, a sample of 300 of the 2,859 inpatient stays that began in 2025, 2025 claim denials by reason, and 4 West's FY2025 budget-to-actual margin bridge.</t>
        </is>
      </c>
    </row>
    <row r="39" ht="18" customHeight="1">
      <c r="B39" s="8" t="inlineStr">
        <is>
          <t>Disclaimer</t>
        </is>
      </c>
      <c r="C39" s="7" t="inlineStr">
        <is>
          <t>All people, places, and numbers are synthetic and fictional. Not clinical guidance.</t>
        </is>
      </c>
    </row>
  </sheetData>
  <pageMargins left="0.75" right="0.75" top="1" bottom="1" header="0.5" footer="0.5"/>
  <pageSetup orientation="portrait" fitToHeight="0" fitToWidth="1"/>
</worksheet>
</file>

<file path=xl/worksheets/sheet2.xml><?xml version="1.0" encoding="utf-8"?>
<worksheet xmlns="http://schemas.openxmlformats.org/spreadsheetml/2006/main">
  <sheetPr>
    <tabColor rgb="00548235"/>
    <outlinePr summaryBelow="1" summaryRight="1"/>
    <pageSetUpPr fitToPage="1"/>
  </sheetPr>
  <dimension ref="A1:E18"/>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3.5 · Practice</t>
        </is>
      </c>
    </row>
    <row r="2" ht="49" customHeight="1">
      <c r="A2" s="14" t="inlineStr">
        <is>
          <t>Each task names the sheet to work on. Build each chart on the same sheet as its data, to the right of the table, then type the number or name your chart shows into the yellow cell. The Check column can't see your chart, so every task asks a question the finished chart answers. The hidden Chart Key sheet shows a reference version of each chart. The yellow LWBSRate and CumulativePct columns are for the Bonus.</t>
        </is>
      </c>
    </row>
    <row r="3" ht="34" customHeight="1">
      <c r="A3" s="15" t="inlineStr">
        <is>
          <t>Type a formula or value in each yellow cell. The Check column turns green when your answer matches. Stuck? Read the hint, then the lesson guide. Answers: right-click a sheet tab → Unhide… → 'Answer Key'.</t>
        </is>
      </c>
    </row>
    <row r="4">
      <c r="A4" s="16">
        <f>"Score: "&amp;COUNTIF(E6:E18,"✔*")&amp;" of 13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1</t>
        </is>
      </c>
      <c r="B6" s="19" t="inlineStr">
        <is>
          <t>On ED_Hourly, select A1:B25 (ArrivalHour and Arrivals) and insert a clustered column chart. Which hour of the day had the most ED arrivals in 2025? Type the hour as a number from 0 to 23 (for example, 9 for the 09:00 hour).</t>
        </is>
      </c>
      <c r="C6" s="20" t="inlineStr">
        <is>
          <t>Insert → Insert Column or Bar Chart → Clustered Column. Hover over the tallest column</t>
        </is>
      </c>
      <c r="D6" s="21" t="n"/>
      <c r="E6" s="22">
        <f>IF(IFERROR(D6="",FALSE),"",IF(IFERROR(AND(ISNUMBER(D6),OR(ABS(D6-'Answer Key'!$C$5)&lt;=0.0001,ABS(D6-0.6666666666666666)&lt;=0.0001)),FALSE),"✔ Correct","✘ Not yet"))</f>
        <v/>
      </c>
    </row>
    <row r="7" ht="51" customHeight="1">
      <c r="A7" s="18" t="inlineStr">
        <is>
          <t>2</t>
        </is>
      </c>
      <c r="B7" s="19" t="inlineStr">
        <is>
          <t>On ED_Monthly, select A1:D25 (Month and the three hospitals) and insert a line chart. In which month did Cedar Ridge have its most ED visits? Type the month and year (for example, Jun 2025).</t>
        </is>
      </c>
      <c r="C7" s="20" t="inlineStr">
        <is>
          <t>Insert → Insert Line or Area Chart → Line. Hover over the highest point of the Cedar Ridge line</t>
        </is>
      </c>
      <c r="D7" s="23" t="n"/>
      <c r="E7" s="22">
        <f>IF(IFERROR(D7="",FALSE),"",IF(IFERROR(AND(ISNUMBER(D7),INT(D7)=INT('Answer Key'!$C$6)),FALSE),"✔ Correct","✘ Not yet"))</f>
        <v/>
      </c>
    </row>
    <row r="8" ht="81" customHeight="1">
      <c r="A8" s="18" t="inlineStr">
        <is>
          <t>3</t>
        </is>
      </c>
      <c r="B8" s="19" t="inlineStr">
        <is>
          <t>On Readmits, sort the table by ReadmitRate from largest to smallest. Then select ServiceLine and ReadmitRate (A1:A9, then Ctrl+click D1:D9, or ⌘+click on a Mac) and insert a clustered bar chart. Before you change anything else, which service line's bar is at the TOP of the chart? (Afterwards, fix the order so the highest rate is on top.)</t>
        </is>
      </c>
      <c r="C8" s="20" t="inlineStr">
        <is>
          <t>Read the chart, not the table. Guide section 6 explains the bar order and how to fix it</t>
        </is>
      </c>
      <c r="D8" s="24" t="n"/>
      <c r="E8" s="22">
        <f>IF(IFERROR(D8="",FALSE),"",IF(IFERROR(OR(LOWER(TRIM(D8&amp;""))=LOWER(TRIM('Answer Key'!$C$7&amp;"")),LOWER(TRIM(D8&amp;""))="women and children"),FALSE),"✔ Correct","✘ Not yet"))</f>
        <v/>
      </c>
    </row>
    <row r="9" ht="81" customHeight="1">
      <c r="A9" s="18" t="inlineStr">
        <is>
          <t>4</t>
        </is>
      </c>
      <c r="B9" s="19" t="inlineStr">
        <is>
          <t>The Makeover sheet has a colleague's column chart of the same readmission rates. Its vertical axis starts at 5%, not 0%. Measured from that axis, how many times taller is the Cardiovascular bar than the Women &amp; Children bar? Round to 1 decimal place. Then fix the chart in place, using the checklist in Guide section 16, and add alt text.</t>
        </is>
      </c>
      <c r="C9" s="20" t="inlineStr">
        <is>
          <t>A bar's drawn height is its value minus the axis minimum (5%)</t>
        </is>
      </c>
      <c r="D9" s="25" t="n"/>
      <c r="E9" s="22">
        <f>IF(IFERROR(D9="",FALSE),"",IF(IFERROR(AND(ISNUMBER(D9),OR(ABS(D9-'Answer Key'!$C$8)&lt;=0.051)),FALSE),"✔ Correct","✘ Not yet"))</f>
        <v/>
      </c>
    </row>
    <row r="10" ht="51" customHeight="1">
      <c r="A10" s="18" t="inlineStr">
        <is>
          <t>5</t>
        </is>
      </c>
      <c r="B10" s="19" t="inlineStr">
        <is>
          <t>On PayerMix, insert a pie chart of 2025 encounters by PayerType. Add data labels that show the Percentage (not the Value), formatted with 1 decimal place. What does the Commercial label show?</t>
        </is>
      </c>
      <c r="C10" s="20" t="inlineStr">
        <is>
          <t>Format Data Labels → Label Options: tick Percentage, untick Value. Then Number → Percentage, 1 decimal</t>
        </is>
      </c>
      <c r="D10" s="26" t="n"/>
      <c r="E10" s="22">
        <f>IF(IFERROR(D10="",FALSE),"",IF(IFERROR(AND(ISNUMBER(D10),OR(ABS(D10-'Answer Key'!$C$9)&lt;=0.00051,ABS(D10-'Answer Key'!$C$9*100)&lt;=0.051000000000000004)),FALSE),"✔ Correct","✘ Not yet"))</f>
        <v/>
      </c>
    </row>
    <row r="11" ht="51" customHeight="1">
      <c r="A11" s="18" t="inlineStr">
        <is>
          <t>6</t>
        </is>
      </c>
      <c r="B11" s="19" t="inlineStr">
        <is>
          <t>On Stays, insert a histogram of LOSDays (all 300 stays). Format the horizontal axis with Bin width 1, Overflow bin 10, and Underflow bin 1. How many stays fall in the overflow bin (longer than 10 days)?</t>
        </is>
      </c>
      <c r="C11" s="20" t="inlineStr">
        <is>
          <t>Select D1:D301, then Insert → Insert Statistic Chart → Histogram. Double-click the horizontal axis</t>
        </is>
      </c>
      <c r="D11" s="21" t="n"/>
      <c r="E11" s="22">
        <f>IF(IFERROR(D11="",FALSE),"",IF(IFERROR(AND(ISNUMBER(D11),OR(ABS(D11-'Answer Key'!$C$10)&lt;=0.0001)),FALSE),"✔ Correct","✘ Not yet"))</f>
        <v/>
      </c>
    </row>
    <row r="12" ht="81" customHeight="1">
      <c r="A12" s="18" t="inlineStr">
        <is>
          <t>7</t>
        </is>
      </c>
      <c r="B12" s="19" t="inlineStr">
        <is>
          <t>On Stays, select D1:E301 (LOSDays and TotalCharges) and insert an XY scatter chart, so LOSDays is on the horizontal axis. Add a linear trendline and display its equation. By how many dollars do charges rise for each extra day in the hospital? Confirm with SLOPE and round to the nearest dollar.</t>
        </is>
      </c>
      <c r="C12" s="20" t="inlineStr">
        <is>
          <t>Insert → Insert Scatter (X, Y) or Bubble Chart → Scatter. Right-click a point → Add Trendline, then tick Display Equation on chart. SLOPE takes the Y range first</t>
        </is>
      </c>
      <c r="D12" s="27" t="n"/>
      <c r="E12" s="22">
        <f>IF(IFERROR(D12="",FALSE),"",IF(IFERROR(AND(ISNUMBER(D12),OR(ABS(D12-'Answer Key'!$C$11)&lt;=0.5)),FALSE),"✔ Correct","✘ Not yet"))</f>
        <v/>
      </c>
    </row>
    <row r="13" ht="66" customHeight="1">
      <c r="A13" s="18" t="inlineStr">
        <is>
          <t>8</t>
        </is>
      </c>
      <c r="B13" s="19" t="inlineStr">
        <is>
          <t>Make a second scatter chart on Stays with AgeAtAdmit on the horizontal axis and LOSDays on the vertical axis (C1:D301). Add a linear trendline and display the R-squared value. What is R²? Confirm with RSQ and enter it to 4 decimal places.</t>
        </is>
      </c>
      <c r="C13" s="20" t="inlineStr">
        <is>
          <t>RSQ(known_y's, known_x's)</t>
        </is>
      </c>
      <c r="D13" s="28" t="n"/>
      <c r="E13" s="22">
        <f>IF(IFERROR(D13="",FALSE),"",IF(IFERROR(AND(ISNUMBER(D13),OR(ABS(D13-'Answer Key'!$C$12)&lt;=6e-05)),FALSE),"✔ Correct","✘ Not yet"))</f>
        <v/>
      </c>
    </row>
    <row r="14" ht="66" customHeight="1">
      <c r="A14" s="18" t="inlineStr">
        <is>
          <t>9</t>
        </is>
      </c>
      <c r="B14" s="19" t="inlineStr">
        <is>
          <t>Back on ED_Hourly, select A1:C25 and insert a combo chart with Arrivals as clustered columns and AvgDoorToProviderMin as a line on the secondary axis. Which arrival hour has the longest average wait to see a provider? Type the hour as a number from 0 to 23.</t>
        </is>
      </c>
      <c r="C14" s="20" t="inlineStr">
        <is>
          <t>Insert → Insert Combo Chart → Clustered Column – Line on Secondary Axis</t>
        </is>
      </c>
      <c r="D14" s="21" t="n"/>
      <c r="E14" s="22">
        <f>IF(IFERROR(D14="",FALSE),"",IF(IFERROR(AND(ISNUMBER(D14),OR(ABS(D14-'Answer Key'!$C$13)&lt;=0.0001,ABS(D14-0.5416666666666666)&lt;=0.0001)),FALSE),"✔ Correct","✘ Not yet"))</f>
        <v/>
      </c>
    </row>
    <row r="15" ht="51" customHeight="1">
      <c r="A15" s="18" t="inlineStr">
        <is>
          <t>10</t>
        </is>
      </c>
      <c r="B15" s="19" t="inlineStr">
        <is>
          <t>On Denials, select A1:B8 (DenialReason and Claims) and insert a Pareto chart. What cumulative percentage does the line reach at the second bar (the top two reasons together)? Enter it as a percentage to 1 decimal place.</t>
        </is>
      </c>
      <c r="C15" s="20" t="inlineStr">
        <is>
          <t>Insert → Insert Statistic Chart → Pareto. Confirm with LARGE and SUM</t>
        </is>
      </c>
      <c r="D15" s="26" t="n"/>
      <c r="E15" s="22">
        <f>IF(IFERROR(D15="",FALSE),"",IF(IFERROR(AND(ISNUMBER(D15),OR(ABS(D15-'Answer Key'!$C$14)&lt;=0.00051,ABS(D15-'Answer Key'!$C$14*100)&lt;=0.051000000000000004)),FALSE),"✔ Correct","✘ Not yet"))</f>
        <v/>
      </c>
    </row>
    <row r="16" ht="51" customHeight="1">
      <c r="A16" s="18" t="inlineStr">
        <is>
          <t>11</t>
        </is>
      </c>
      <c r="B16" s="19" t="inlineStr">
        <is>
          <t>On Budget, select A4:B14 and insert a waterfall chart. Set the first and last bars as totals. Which step is the largest drop (the longest downward bar)? Type the Step name as it appears in the table.</t>
        </is>
      </c>
      <c r="C16" s="20" t="inlineStr">
        <is>
          <t>Insert → Insert Waterfall, Funnel, Stock, Surface, or Radar Chart → Waterfall. Right-click a bar → Set as Total</t>
        </is>
      </c>
      <c r="D16" s="24" t="n"/>
      <c r="E16" s="22">
        <f>IF(IFERROR(D16="",FALSE),"",IF(IFERROR(OR(LOWER(TRIM(D16&amp;""))=LOWER(TRIM('Answer Key'!$C$15&amp;"")),LOWER(TRIM(D16&amp;""))="revenue",LOWER(TRIM(D16&amp;""))="net patient service revenue",LOWER(TRIM(D16&amp;""))="net revenue",LOWER(TRIM(D16&amp;""))="patient revenue"),FALSE),"✔ Correct","✘ Not yet"))</f>
        <v/>
      </c>
    </row>
    <row r="17" ht="66" customHeight="1">
      <c r="A17" s="18" t="inlineStr">
        <is>
          <t>12</t>
        </is>
      </c>
      <c r="B17" s="19" t="inlineStr">
        <is>
          <t>On ED_Monthly, insert line sparklines in the yellow cells B27:D27 (Data Range B2:D25), one per hospital. Turn on First Point and Last Point markers. For how many of the three hospitals is the last point (Dec 2025) higher than the first point (Jan 2024)?</t>
        </is>
      </c>
      <c r="C17" s="20" t="inlineStr">
        <is>
          <t>Insert → Sparklines → Line. Then the Sparkline tab → Show → First Point, Last Point</t>
        </is>
      </c>
      <c r="D17" s="21" t="n"/>
      <c r="E17" s="22">
        <f>IF(IFERROR(D17="",FALSE),"",IF(IFERROR(AND(ISNUMBER(D17),OR(ABS(D17-'Answer Key'!$C$16)&lt;=0.0001)),FALSE),"✔ Correct","✘ Not yet"))</f>
        <v/>
      </c>
    </row>
    <row r="18" ht="96" customHeight="1">
      <c r="A18" s="18" t="inlineStr">
        <is>
          <t>13</t>
        </is>
      </c>
      <c r="B18" s="19" t="inlineStr">
        <is>
          <t>Write a formula in the yellow cell that builds this chart title from tblEDMonthly: ED visits by facility, [first month] to [last month] ([total visits] visits). Show each month as a three-letter month and year, and the total with a thousands separator. Example of the pattern: ED visits by facility, Mar 2023 to Feb 2024 (9,876 visits). Then link the title of your Task 2 line chart to this cell.</t>
        </is>
      </c>
      <c r="C18" s="20" t="inlineStr">
        <is>
          <t>TEXT(MIN(…),"mmm yyyy") and TEXT(SUM(…),"#,##0"), joined with &amp;</t>
        </is>
      </c>
      <c r="D18" s="24" t="n"/>
      <c r="E18" s="22">
        <f>IF(IFERROR(D18="",FALSE),"",IF(IFERROR(OR(LOWER(TRIM(D18&amp;""))=LOWER(TRIM('Answer Key'!$C$17&amp;"")),LOWER(TRIM(D18&amp;""))="ed visits by facility, january 2024 to december 2025 (12,292 visits)",LOWER(TRIM(D18&amp;""))="ed visits by facility, jan 2024 to dec 2025 (12292 visits)"),FALSE),"✔ Correct","✘ Not yet"))</f>
        <v/>
      </c>
    </row>
  </sheetData>
  <mergeCells count="3">
    <mergeCell ref="A2:E2"/>
    <mergeCell ref="A4:C4"/>
    <mergeCell ref="A3:E3"/>
  </mergeCells>
  <conditionalFormatting sqref="E6:E18">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3.xml><?xml version="1.0" encoding="utf-8"?>
<worksheet xmlns="http://schemas.openxmlformats.org/spreadsheetml/2006/main">
  <sheetPr>
    <outlinePr summaryBelow="1" summaryRight="1"/>
    <pageSetUpPr/>
  </sheetPr>
  <dimension ref="A1:C25"/>
  <sheetViews>
    <sheetView tabSelected="0" workbookViewId="0">
      <pane ySplit="1" topLeftCell="A2" activePane="bottomLeft" state="frozen"/>
      <selection pane="bottomLeft" activeCell="A1" sqref="A1"/>
    </sheetView>
  </sheetViews>
  <sheetFormatPr baseColWidth="8" defaultRowHeight="15"/>
  <cols>
    <col width="13" customWidth="1" min="1" max="1"/>
    <col width="11" customWidth="1" min="2" max="2"/>
    <col width="23" customWidth="1" min="3" max="3"/>
  </cols>
  <sheetData>
    <row r="1">
      <c r="A1" s="29" t="inlineStr">
        <is>
          <t>ArrivalHour</t>
        </is>
      </c>
      <c r="B1" s="29" t="inlineStr">
        <is>
          <t>Arrivals</t>
        </is>
      </c>
      <c r="C1" s="29" t="inlineStr">
        <is>
          <t>AvgDoorToProviderMin</t>
        </is>
      </c>
    </row>
    <row r="2">
      <c r="A2" t="inlineStr">
        <is>
          <t>00:00</t>
        </is>
      </c>
      <c r="B2" s="30" t="n">
        <v>154</v>
      </c>
      <c r="C2" s="31" t="n">
        <v>35.4</v>
      </c>
    </row>
    <row r="3">
      <c r="A3" t="inlineStr">
        <is>
          <t>01:00</t>
        </is>
      </c>
      <c r="B3" s="30" t="n">
        <v>112</v>
      </c>
      <c r="C3" s="31" t="n">
        <v>36.6</v>
      </c>
    </row>
    <row r="4">
      <c r="A4" t="inlineStr">
        <is>
          <t>02:00</t>
        </is>
      </c>
      <c r="B4" s="30" t="n">
        <v>102</v>
      </c>
      <c r="C4" s="31" t="n">
        <v>30.3</v>
      </c>
    </row>
    <row r="5">
      <c r="A5" t="inlineStr">
        <is>
          <t>03:00</t>
        </is>
      </c>
      <c r="B5" s="30" t="n">
        <v>102</v>
      </c>
      <c r="C5" s="31" t="n">
        <v>28.2</v>
      </c>
    </row>
    <row r="6">
      <c r="A6" t="inlineStr">
        <is>
          <t>04:00</t>
        </is>
      </c>
      <c r="B6" s="30" t="n">
        <v>77</v>
      </c>
      <c r="C6" s="31" t="n">
        <v>27.8</v>
      </c>
    </row>
    <row r="7">
      <c r="A7" t="inlineStr">
        <is>
          <t>05:00</t>
        </is>
      </c>
      <c r="B7" s="30" t="n">
        <v>107</v>
      </c>
      <c r="C7" s="31" t="n">
        <v>28.1</v>
      </c>
    </row>
    <row r="8">
      <c r="A8" t="inlineStr">
        <is>
          <t>06:00</t>
        </is>
      </c>
      <c r="B8" s="30" t="n">
        <v>111</v>
      </c>
      <c r="C8" s="31" t="n">
        <v>33.9</v>
      </c>
    </row>
    <row r="9">
      <c r="A9" t="inlineStr">
        <is>
          <t>07:00</t>
        </is>
      </c>
      <c r="B9" s="30" t="n">
        <v>180</v>
      </c>
      <c r="C9" s="31" t="n">
        <v>41.5</v>
      </c>
    </row>
    <row r="10">
      <c r="A10" t="inlineStr">
        <is>
          <t>08:00</t>
        </is>
      </c>
      <c r="B10" s="30" t="n">
        <v>257</v>
      </c>
      <c r="C10" s="31" t="n">
        <v>38.7</v>
      </c>
    </row>
    <row r="11">
      <c r="A11" t="inlineStr">
        <is>
          <t>09:00</t>
        </is>
      </c>
      <c r="B11" s="30" t="n">
        <v>313</v>
      </c>
      <c r="C11" s="31" t="n">
        <v>45.9</v>
      </c>
    </row>
    <row r="12">
      <c r="A12" t="inlineStr">
        <is>
          <t>10:00</t>
        </is>
      </c>
      <c r="B12" s="30" t="n">
        <v>392</v>
      </c>
      <c r="C12" s="31" t="n">
        <v>50.6</v>
      </c>
    </row>
    <row r="13">
      <c r="A13" t="inlineStr">
        <is>
          <t>11:00</t>
        </is>
      </c>
      <c r="B13" s="30" t="n">
        <v>391</v>
      </c>
      <c r="C13" s="31" t="n">
        <v>53.4</v>
      </c>
    </row>
    <row r="14">
      <c r="A14" t="inlineStr">
        <is>
          <t>12:00</t>
        </is>
      </c>
      <c r="B14" s="30" t="n">
        <v>404</v>
      </c>
      <c r="C14" s="31" t="n">
        <v>53.3</v>
      </c>
    </row>
    <row r="15">
      <c r="A15" t="inlineStr">
        <is>
          <t>13:00</t>
        </is>
      </c>
      <c r="B15" s="30" t="n">
        <v>368</v>
      </c>
      <c r="C15" s="31" t="n">
        <v>57.1</v>
      </c>
    </row>
    <row r="16">
      <c r="A16" t="inlineStr">
        <is>
          <t>14:00</t>
        </is>
      </c>
      <c r="B16" s="30" t="n">
        <v>356</v>
      </c>
      <c r="C16" s="31" t="n">
        <v>52.1</v>
      </c>
    </row>
    <row r="17">
      <c r="A17" t="inlineStr">
        <is>
          <t>15:00</t>
        </is>
      </c>
      <c r="B17" s="30" t="n">
        <v>378</v>
      </c>
      <c r="C17" s="31" t="n">
        <v>54.8</v>
      </c>
    </row>
    <row r="18">
      <c r="A18" t="inlineStr">
        <is>
          <t>16:00</t>
        </is>
      </c>
      <c r="B18" s="30" t="n">
        <v>408</v>
      </c>
      <c r="C18" s="31" t="n">
        <v>54.3</v>
      </c>
    </row>
    <row r="19">
      <c r="A19" t="inlineStr">
        <is>
          <t>17:00</t>
        </is>
      </c>
      <c r="B19" s="30" t="n">
        <v>338</v>
      </c>
      <c r="C19" s="31" t="n">
        <v>54.7</v>
      </c>
    </row>
    <row r="20">
      <c r="A20" t="inlineStr">
        <is>
          <t>18:00</t>
        </is>
      </c>
      <c r="B20" s="30" t="n">
        <v>386</v>
      </c>
      <c r="C20" s="31" t="n">
        <v>52.1</v>
      </c>
    </row>
    <row r="21">
      <c r="A21" t="inlineStr">
        <is>
          <t>19:00</t>
        </is>
      </c>
      <c r="B21" s="30" t="n">
        <v>342</v>
      </c>
      <c r="C21" s="31" t="n">
        <v>51.3</v>
      </c>
    </row>
    <row r="22">
      <c r="A22" t="inlineStr">
        <is>
          <t>20:00</t>
        </is>
      </c>
      <c r="B22" s="30" t="n">
        <v>310</v>
      </c>
      <c r="C22" s="31" t="n">
        <v>48.1</v>
      </c>
    </row>
    <row r="23">
      <c r="A23" t="inlineStr">
        <is>
          <t>21:00</t>
        </is>
      </c>
      <c r="B23" s="30" t="n">
        <v>255</v>
      </c>
      <c r="C23" s="31" t="n">
        <v>41.5</v>
      </c>
    </row>
    <row r="24">
      <c r="A24" t="inlineStr">
        <is>
          <t>22:00</t>
        </is>
      </c>
      <c r="B24" s="30" t="n">
        <v>206</v>
      </c>
      <c r="C24" s="31" t="n">
        <v>39.2</v>
      </c>
    </row>
    <row r="25">
      <c r="A25" t="inlineStr">
        <is>
          <t>23:00</t>
        </is>
      </c>
      <c r="B25" s="30" t="n">
        <v>168</v>
      </c>
      <c r="C25" s="31" t="n">
        <v>34.4</v>
      </c>
    </row>
  </sheetData>
  <pageMargins left="0.75" right="0.75" top="1" bottom="1" header="0.5" footer="0.5"/>
  <tableParts count="1">
    <tablePart xmlns:r="http://schemas.openxmlformats.org/officeDocument/2006/relationships" r:id="rId1"/>
  </tableParts>
</worksheet>
</file>

<file path=xl/worksheets/sheet4.xml><?xml version="1.0" encoding="utf-8"?>
<worksheet xmlns="http://schemas.openxmlformats.org/spreadsheetml/2006/main">
  <sheetPr>
    <outlinePr summaryBelow="1" summaryRight="1"/>
    <pageSetUpPr/>
  </sheetPr>
  <dimension ref="A1:G28"/>
  <sheetViews>
    <sheetView tabSelected="0" workbookViewId="0">
      <pane ySplit="1" topLeftCell="A2" activePane="bottomLeft" state="frozen"/>
      <selection pane="bottomLeft" activeCell="A1" sqref="A1"/>
    </sheetView>
  </sheetViews>
  <sheetFormatPr baseColWidth="8" defaultRowHeight="15"/>
  <cols>
    <col width="11" customWidth="1" min="1" max="1"/>
    <col width="19" customWidth="1" min="2" max="2"/>
    <col width="13" customWidth="1" min="3" max="3"/>
    <col width="13" customWidth="1" min="4" max="4"/>
    <col width="9" customWidth="1" min="5" max="5"/>
    <col width="8" customWidth="1" min="6" max="6"/>
    <col width="11" customWidth="1" min="7" max="7"/>
  </cols>
  <sheetData>
    <row r="1">
      <c r="A1" s="29" t="inlineStr">
        <is>
          <t>Month</t>
        </is>
      </c>
      <c r="B1" s="29" t="inlineStr">
        <is>
          <t>Bluestone Memorial</t>
        </is>
      </c>
      <c r="C1" s="29" t="inlineStr">
        <is>
          <t>Ashby Falls</t>
        </is>
      </c>
      <c r="D1" s="29" t="inlineStr">
        <is>
          <t>Cedar Ridge</t>
        </is>
      </c>
      <c r="E1" s="29" t="inlineStr">
        <is>
          <t>Total</t>
        </is>
      </c>
      <c r="F1" s="29" t="inlineStr">
        <is>
          <t>LWBS</t>
        </is>
      </c>
      <c r="G1" s="32" t="inlineStr">
        <is>
          <t>LWBSRate</t>
        </is>
      </c>
    </row>
    <row r="2">
      <c r="A2" s="33" t="n">
        <v>45292</v>
      </c>
      <c r="B2" s="30" t="n">
        <v>405</v>
      </c>
      <c r="C2" s="30" t="n">
        <v>85</v>
      </c>
      <c r="D2" s="30" t="n">
        <v>90</v>
      </c>
      <c r="E2" s="30" t="n">
        <v>580</v>
      </c>
      <c r="F2" s="34" t="n">
        <v>15</v>
      </c>
      <c r="G2" s="35" t="n"/>
    </row>
    <row r="3">
      <c r="A3" s="33" t="n">
        <v>45323</v>
      </c>
      <c r="B3" s="30" t="n">
        <v>408</v>
      </c>
      <c r="C3" s="30" t="n">
        <v>85</v>
      </c>
      <c r="D3" s="30" t="n">
        <v>93</v>
      </c>
      <c r="E3" s="30" t="n">
        <v>586</v>
      </c>
      <c r="F3" s="34" t="n">
        <v>21</v>
      </c>
      <c r="G3" s="35" t="n"/>
    </row>
    <row r="4">
      <c r="A4" s="33" t="n">
        <v>45352</v>
      </c>
      <c r="B4" s="30" t="n">
        <v>411</v>
      </c>
      <c r="C4" s="30" t="n">
        <v>69</v>
      </c>
      <c r="D4" s="30" t="n">
        <v>99</v>
      </c>
      <c r="E4" s="30" t="n">
        <v>579</v>
      </c>
      <c r="F4" s="34" t="n">
        <v>14</v>
      </c>
      <c r="G4" s="35" t="n"/>
    </row>
    <row r="5">
      <c r="A5" s="33" t="n">
        <v>45383</v>
      </c>
      <c r="B5" s="30" t="n">
        <v>340</v>
      </c>
      <c r="C5" s="30" t="n">
        <v>56</v>
      </c>
      <c r="D5" s="30" t="n">
        <v>70</v>
      </c>
      <c r="E5" s="30" t="n">
        <v>466</v>
      </c>
      <c r="F5" s="34" t="n">
        <v>10</v>
      </c>
      <c r="G5" s="35" t="n"/>
    </row>
    <row r="6">
      <c r="A6" s="33" t="n">
        <v>45413</v>
      </c>
      <c r="B6" s="30" t="n">
        <v>338</v>
      </c>
      <c r="C6" s="30" t="n">
        <v>73</v>
      </c>
      <c r="D6" s="30" t="n">
        <v>66</v>
      </c>
      <c r="E6" s="30" t="n">
        <v>477</v>
      </c>
      <c r="F6" s="34" t="n">
        <v>9</v>
      </c>
      <c r="G6" s="35" t="n"/>
    </row>
    <row r="7">
      <c r="A7" s="33" t="n">
        <v>45444</v>
      </c>
      <c r="B7" s="30" t="n">
        <v>300</v>
      </c>
      <c r="C7" s="30" t="n">
        <v>55</v>
      </c>
      <c r="D7" s="30" t="n">
        <v>67</v>
      </c>
      <c r="E7" s="30" t="n">
        <v>422</v>
      </c>
      <c r="F7" s="34" t="n">
        <v>3</v>
      </c>
      <c r="G7" s="35" t="n"/>
    </row>
    <row r="8">
      <c r="A8" s="33" t="n">
        <v>45474</v>
      </c>
      <c r="B8" s="30" t="n">
        <v>321</v>
      </c>
      <c r="C8" s="30" t="n">
        <v>52</v>
      </c>
      <c r="D8" s="30" t="n">
        <v>71</v>
      </c>
      <c r="E8" s="30" t="n">
        <v>444</v>
      </c>
      <c r="F8" s="34" t="n">
        <v>7</v>
      </c>
      <c r="G8" s="35" t="n"/>
    </row>
    <row r="9">
      <c r="A9" s="33" t="n">
        <v>45505</v>
      </c>
      <c r="B9" s="30" t="n">
        <v>318</v>
      </c>
      <c r="C9" s="30" t="n">
        <v>71</v>
      </c>
      <c r="D9" s="30" t="n">
        <v>80</v>
      </c>
      <c r="E9" s="30" t="n">
        <v>469</v>
      </c>
      <c r="F9" s="34" t="n">
        <v>9</v>
      </c>
      <c r="G9" s="35" t="n"/>
    </row>
    <row r="10">
      <c r="A10" s="33" t="n">
        <v>45536</v>
      </c>
      <c r="B10" s="30" t="n">
        <v>287</v>
      </c>
      <c r="C10" s="30" t="n">
        <v>56</v>
      </c>
      <c r="D10" s="30" t="n">
        <v>60</v>
      </c>
      <c r="E10" s="30" t="n">
        <v>403</v>
      </c>
      <c r="F10" s="34" t="n">
        <v>15</v>
      </c>
      <c r="G10" s="35" t="n"/>
    </row>
    <row r="11">
      <c r="A11" s="33" t="n">
        <v>45566</v>
      </c>
      <c r="B11" s="30" t="n">
        <v>333</v>
      </c>
      <c r="C11" s="30" t="n">
        <v>64</v>
      </c>
      <c r="D11" s="30" t="n">
        <v>69</v>
      </c>
      <c r="E11" s="30" t="n">
        <v>466</v>
      </c>
      <c r="F11" s="34" t="n">
        <v>8</v>
      </c>
      <c r="G11" s="35" t="n"/>
    </row>
    <row r="12">
      <c r="A12" s="33" t="n">
        <v>45597</v>
      </c>
      <c r="B12" s="30" t="n">
        <v>413</v>
      </c>
      <c r="C12" s="30" t="n">
        <v>63</v>
      </c>
      <c r="D12" s="30" t="n">
        <v>86</v>
      </c>
      <c r="E12" s="30" t="n">
        <v>562</v>
      </c>
      <c r="F12" s="34" t="n">
        <v>8</v>
      </c>
      <c r="G12" s="35" t="n"/>
    </row>
    <row r="13">
      <c r="A13" s="33" t="n">
        <v>45627</v>
      </c>
      <c r="B13" s="30" t="n">
        <v>435</v>
      </c>
      <c r="C13" s="30" t="n">
        <v>106</v>
      </c>
      <c r="D13" s="30" t="n">
        <v>80</v>
      </c>
      <c r="E13" s="30" t="n">
        <v>621</v>
      </c>
      <c r="F13" s="34" t="n">
        <v>18</v>
      </c>
      <c r="G13" s="35" t="n"/>
    </row>
    <row r="14">
      <c r="A14" s="33" t="n">
        <v>45658</v>
      </c>
      <c r="B14" s="30" t="n">
        <v>473</v>
      </c>
      <c r="C14" s="30" t="n">
        <v>79</v>
      </c>
      <c r="D14" s="30" t="n">
        <v>79</v>
      </c>
      <c r="E14" s="30" t="n">
        <v>631</v>
      </c>
      <c r="F14" s="34" t="n">
        <v>11</v>
      </c>
      <c r="G14" s="35" t="n"/>
    </row>
    <row r="15">
      <c r="A15" s="33" t="n">
        <v>45689</v>
      </c>
      <c r="B15" s="30" t="n">
        <v>413</v>
      </c>
      <c r="C15" s="30" t="n">
        <v>72</v>
      </c>
      <c r="D15" s="30" t="n">
        <v>87</v>
      </c>
      <c r="E15" s="30" t="n">
        <v>572</v>
      </c>
      <c r="F15" s="34" t="n">
        <v>12</v>
      </c>
      <c r="G15" s="35" t="n"/>
    </row>
    <row r="16">
      <c r="A16" s="33" t="n">
        <v>45717</v>
      </c>
      <c r="B16" s="30" t="n">
        <v>380</v>
      </c>
      <c r="C16" s="30" t="n">
        <v>80</v>
      </c>
      <c r="D16" s="30" t="n">
        <v>86</v>
      </c>
      <c r="E16" s="30" t="n">
        <v>546</v>
      </c>
      <c r="F16" s="34" t="n">
        <v>7</v>
      </c>
      <c r="G16" s="35" t="n"/>
    </row>
    <row r="17">
      <c r="A17" s="33" t="n">
        <v>45748</v>
      </c>
      <c r="B17" s="30" t="n">
        <v>299</v>
      </c>
      <c r="C17" s="30" t="n">
        <v>65</v>
      </c>
      <c r="D17" s="30" t="n">
        <v>72</v>
      </c>
      <c r="E17" s="30" t="n">
        <v>436</v>
      </c>
      <c r="F17" s="34" t="n">
        <v>6</v>
      </c>
      <c r="G17" s="35" t="n"/>
    </row>
    <row r="18">
      <c r="A18" s="33" t="n">
        <v>45778</v>
      </c>
      <c r="B18" s="30" t="n">
        <v>367</v>
      </c>
      <c r="C18" s="30" t="n">
        <v>68</v>
      </c>
      <c r="D18" s="30" t="n">
        <v>64</v>
      </c>
      <c r="E18" s="30" t="n">
        <v>499</v>
      </c>
      <c r="F18" s="34" t="n">
        <v>5</v>
      </c>
      <c r="G18" s="35" t="n"/>
    </row>
    <row r="19">
      <c r="A19" s="33" t="n">
        <v>45809</v>
      </c>
      <c r="B19" s="30" t="n">
        <v>364</v>
      </c>
      <c r="C19" s="30" t="n">
        <v>64</v>
      </c>
      <c r="D19" s="30" t="n">
        <v>85</v>
      </c>
      <c r="E19" s="30" t="n">
        <v>513</v>
      </c>
      <c r="F19" s="34" t="n">
        <v>7</v>
      </c>
      <c r="G19" s="35" t="n"/>
    </row>
    <row r="20">
      <c r="A20" s="33" t="n">
        <v>45839</v>
      </c>
      <c r="B20" s="30" t="n">
        <v>358</v>
      </c>
      <c r="C20" s="30" t="n">
        <v>69</v>
      </c>
      <c r="D20" s="30" t="n">
        <v>72</v>
      </c>
      <c r="E20" s="30" t="n">
        <v>499</v>
      </c>
      <c r="F20" s="34" t="n">
        <v>7</v>
      </c>
      <c r="G20" s="35" t="n"/>
    </row>
    <row r="21">
      <c r="A21" s="33" t="n">
        <v>45870</v>
      </c>
      <c r="B21" s="30" t="n">
        <v>302</v>
      </c>
      <c r="C21" s="30" t="n">
        <v>63</v>
      </c>
      <c r="D21" s="30" t="n">
        <v>78</v>
      </c>
      <c r="E21" s="30" t="n">
        <v>443</v>
      </c>
      <c r="F21" s="34" t="n">
        <v>8</v>
      </c>
      <c r="G21" s="35" t="n"/>
    </row>
    <row r="22">
      <c r="A22" s="33" t="n">
        <v>45901</v>
      </c>
      <c r="B22" s="30" t="n">
        <v>329</v>
      </c>
      <c r="C22" s="30" t="n">
        <v>53</v>
      </c>
      <c r="D22" s="30" t="n">
        <v>68</v>
      </c>
      <c r="E22" s="30" t="n">
        <v>450</v>
      </c>
      <c r="F22" s="34" t="n">
        <v>3</v>
      </c>
      <c r="G22" s="35" t="n"/>
    </row>
    <row r="23">
      <c r="A23" s="33" t="n">
        <v>45931</v>
      </c>
      <c r="B23" s="30" t="n">
        <v>371</v>
      </c>
      <c r="C23" s="30" t="n">
        <v>67</v>
      </c>
      <c r="D23" s="30" t="n">
        <v>73</v>
      </c>
      <c r="E23" s="30" t="n">
        <v>511</v>
      </c>
      <c r="F23" s="34" t="n">
        <v>7</v>
      </c>
      <c r="G23" s="35" t="n"/>
    </row>
    <row r="24">
      <c r="A24" s="33" t="n">
        <v>45962</v>
      </c>
      <c r="B24" s="30" t="n">
        <v>362</v>
      </c>
      <c r="C24" s="30" t="n">
        <v>80</v>
      </c>
      <c r="D24" s="30" t="n">
        <v>80</v>
      </c>
      <c r="E24" s="30" t="n">
        <v>522</v>
      </c>
      <c r="F24" s="34" t="n">
        <v>8</v>
      </c>
      <c r="G24" s="35" t="n"/>
    </row>
    <row r="25">
      <c r="A25" s="33" t="n">
        <v>45992</v>
      </c>
      <c r="B25" s="30" t="n">
        <v>423</v>
      </c>
      <c r="C25" s="30" t="n">
        <v>79</v>
      </c>
      <c r="D25" s="30" t="n">
        <v>93</v>
      </c>
      <c r="E25" s="30" t="n">
        <v>595</v>
      </c>
      <c r="F25" s="34" t="n">
        <v>19</v>
      </c>
      <c r="G25" s="35" t="n"/>
    </row>
    <row r="27" ht="30" customHeight="1">
      <c r="A27" s="29" t="inlineStr">
        <is>
          <t>Trend</t>
        </is>
      </c>
      <c r="B27" s="36" t="n"/>
      <c r="C27" s="36" t="n"/>
      <c r="D27" s="36" t="n"/>
    </row>
    <row r="28">
      <c r="A28" s="3" t="inlineStr">
        <is>
          <t>Task 12: put line sparklines in the yellow cells B27:D27.</t>
        </is>
      </c>
    </row>
  </sheetData>
  <pageMargins left="0.75" right="0.75" top="1" bottom="1" header="0.5" footer="0.5"/>
  <tableParts count="1">
    <tablePart xmlns:r="http://schemas.openxmlformats.org/officeDocument/2006/relationships" r:id="rId1"/>
  </tableParts>
</worksheet>
</file>

<file path=xl/worksheets/sheet5.xml><?xml version="1.0" encoding="utf-8"?>
<worksheet xmlns="http://schemas.openxmlformats.org/spreadsheetml/2006/main">
  <sheetPr>
    <outlinePr summaryBelow="1" summaryRight="1"/>
    <pageSetUpPr/>
  </sheetPr>
  <dimension ref="A1:D9"/>
  <sheetViews>
    <sheetView tabSelected="0" workbookViewId="0">
      <pane ySplit="1" topLeftCell="A2" activePane="bottomLeft" state="frozen"/>
      <selection pane="bottomLeft" activeCell="A1" sqref="A1"/>
    </sheetView>
  </sheetViews>
  <sheetFormatPr baseColWidth="8" defaultRowHeight="15"/>
  <cols>
    <col width="20" customWidth="1" min="1" max="1"/>
    <col width="12" customWidth="1" min="2" max="2"/>
    <col width="14" customWidth="1" min="3" max="3"/>
    <col width="13" customWidth="1" min="4" max="4"/>
  </cols>
  <sheetData>
    <row r="1">
      <c r="A1" s="29" t="inlineStr">
        <is>
          <t>ServiceLine</t>
        </is>
      </c>
      <c r="B1" s="29" t="inlineStr">
        <is>
          <t>IndexStays</t>
        </is>
      </c>
      <c r="C1" s="29" t="inlineStr">
        <is>
          <t>Readmissions</t>
        </is>
      </c>
      <c r="D1" s="29" t="inlineStr">
        <is>
          <t>ReadmitRate</t>
        </is>
      </c>
    </row>
    <row r="2">
      <c r="A2" t="inlineStr">
        <is>
          <t>Behavioral Health</t>
        </is>
      </c>
      <c r="B2" s="30" t="n">
        <v>123</v>
      </c>
      <c r="C2" s="30" t="n">
        <v>14</v>
      </c>
      <c r="D2" s="37" t="n">
        <v>0.1138211382113821</v>
      </c>
    </row>
    <row r="3">
      <c r="A3" t="inlineStr">
        <is>
          <t>Cardiovascular</t>
        </is>
      </c>
      <c r="B3" s="30" t="n">
        <v>354</v>
      </c>
      <c r="C3" s="30" t="n">
        <v>65</v>
      </c>
      <c r="D3" s="37" t="n">
        <v>0.1836158192090395</v>
      </c>
    </row>
    <row r="4">
      <c r="A4" t="inlineStr">
        <is>
          <t>Critical Care</t>
        </is>
      </c>
      <c r="B4" s="30" t="n">
        <v>184</v>
      </c>
      <c r="C4" s="30" t="n">
        <v>33</v>
      </c>
      <c r="D4" s="37" t="n">
        <v>0.1793478260869565</v>
      </c>
    </row>
    <row r="5">
      <c r="A5" t="inlineStr">
        <is>
          <t>Medicine</t>
        </is>
      </c>
      <c r="B5" s="30" t="n">
        <v>1562</v>
      </c>
      <c r="C5" s="30" t="n">
        <v>252</v>
      </c>
      <c r="D5" s="37" t="n">
        <v>0.1613316261203585</v>
      </c>
    </row>
    <row r="6">
      <c r="A6" t="inlineStr">
        <is>
          <t>Neuroscience</t>
        </is>
      </c>
      <c r="B6" s="30" t="n">
        <v>136</v>
      </c>
      <c r="C6" s="30" t="n">
        <v>21</v>
      </c>
      <c r="D6" s="37" t="n">
        <v>0.1544117647058824</v>
      </c>
    </row>
    <row r="7">
      <c r="A7" t="inlineStr">
        <is>
          <t>Oncology</t>
        </is>
      </c>
      <c r="B7" s="30" t="n">
        <v>85</v>
      </c>
      <c r="C7" s="30" t="n">
        <v>8</v>
      </c>
      <c r="D7" s="37" t="n">
        <v>0.09411764705882353</v>
      </c>
    </row>
    <row r="8">
      <c r="A8" t="inlineStr">
        <is>
          <t>Orthopedics</t>
        </is>
      </c>
      <c r="B8" s="30" t="n">
        <v>149</v>
      </c>
      <c r="C8" s="30" t="n">
        <v>14</v>
      </c>
      <c r="D8" s="37" t="n">
        <v>0.09395973154362416</v>
      </c>
    </row>
    <row r="9">
      <c r="A9" t="inlineStr">
        <is>
          <t>Women &amp; Children</t>
        </is>
      </c>
      <c r="B9" s="30" t="n">
        <v>266</v>
      </c>
      <c r="C9" s="30" t="n">
        <v>17</v>
      </c>
      <c r="D9" s="37" t="n">
        <v>0.06390977443609022</v>
      </c>
    </row>
  </sheetData>
  <pageMargins left="0.75" right="0.75" top="1" bottom="1" header="0.5" footer="0.5"/>
  <tableParts count="1">
    <tablePart xmlns:r="http://schemas.openxmlformats.org/officeDocument/2006/relationships" r:id="rId1"/>
  </tableParts>
</worksheet>
</file>

<file path=xl/worksheets/sheet6.xml><?xml version="1.0" encoding="utf-8"?>
<worksheet xmlns="http://schemas.openxmlformats.org/spreadsheetml/2006/main">
  <sheetPr>
    <tabColor rgb="00BF9000"/>
    <outlinePr summaryBelow="1" summaryRight="1"/>
    <pageSetUpPr fitToPage="1"/>
  </sheetPr>
  <dimension ref="A1:A2"/>
  <sheetViews>
    <sheetView tabSelected="0" workbookViewId="0">
      <selection activeCell="A1" sqref="A1"/>
    </sheetView>
  </sheetViews>
  <sheetFormatPr baseColWidth="8" defaultRowHeight="15"/>
  <cols>
    <col width="12" customWidth="1" min="1" max="1"/>
  </cols>
  <sheetData>
    <row r="1">
      <c r="A1" s="38" t="inlineStr">
        <is>
          <t>Chart makeover (Task 4)</t>
        </is>
      </c>
    </row>
    <row r="2">
      <c r="A2" s="3" t="inlineStr">
        <is>
          <t>A colleague made this chart of 2025 readmission rates from the Readmits sheet. It has several design problems. Answer Task 4, then fix the chart in place.</t>
        </is>
      </c>
    </row>
  </sheetData>
  <pageMargins left="0.75" right="0.75" top="1" bottom="1" header="0.5" footer="0.5"/>
  <pageSetup orientation="landscape" fitToHeight="0" fitToWidth="1"/>
  <drawing xmlns:r="http://schemas.openxmlformats.org/officeDocument/2006/relationships" r:id="rId1"/>
</worksheet>
</file>

<file path=xl/worksheets/sheet7.xml><?xml version="1.0" encoding="utf-8"?>
<worksheet xmlns="http://schemas.openxmlformats.org/spreadsheetml/2006/main">
  <sheetPr>
    <outlinePr summaryBelow="1" summaryRight="1"/>
    <pageSetUpPr/>
  </sheetPr>
  <dimension ref="A1:B6"/>
  <sheetViews>
    <sheetView tabSelected="0" workbookViewId="0">
      <pane ySplit="1" topLeftCell="A2" activePane="bottomLeft" state="frozen"/>
      <selection pane="bottomLeft" activeCell="A1" sqref="A1"/>
    </sheetView>
  </sheetViews>
  <sheetFormatPr baseColWidth="8" defaultRowHeight="15"/>
  <cols>
    <col width="21" customWidth="1" min="1" max="1"/>
    <col width="12" customWidth="1" min="2" max="2"/>
  </cols>
  <sheetData>
    <row r="1">
      <c r="A1" s="29" t="inlineStr">
        <is>
          <t>PayerType</t>
        </is>
      </c>
      <c r="B1" s="29" t="inlineStr">
        <is>
          <t>Encounters</t>
        </is>
      </c>
    </row>
    <row r="2">
      <c r="A2" t="inlineStr">
        <is>
          <t>Government</t>
        </is>
      </c>
      <c r="B2" s="30" t="n">
        <v>4620</v>
      </c>
    </row>
    <row r="3">
      <c r="A3" t="inlineStr">
        <is>
          <t>Commercial</t>
        </is>
      </c>
      <c r="B3" s="30" t="n">
        <v>4198</v>
      </c>
    </row>
    <row r="4">
      <c r="A4" t="inlineStr">
        <is>
          <t>Medicare Advantage</t>
        </is>
      </c>
      <c r="B4" s="30" t="n">
        <v>1681</v>
      </c>
    </row>
    <row r="5">
      <c r="A5" t="inlineStr">
        <is>
          <t>Self-Pay</t>
        </is>
      </c>
      <c r="B5" s="30" t="n">
        <v>589</v>
      </c>
    </row>
    <row r="6">
      <c r="A6" t="inlineStr">
        <is>
          <t>Workers' Comp</t>
        </is>
      </c>
      <c r="B6" s="30" t="n">
        <v>57</v>
      </c>
    </row>
  </sheetData>
  <pageMargins left="0.75" right="0.75" top="1" bottom="1" header="0.5" footer="0.5"/>
  <tableParts count="1">
    <tablePart xmlns:r="http://schemas.openxmlformats.org/officeDocument/2006/relationships" r:id="rId1"/>
  </tableParts>
</worksheet>
</file>

<file path=xl/worksheets/sheet8.xml><?xml version="1.0" encoding="utf-8"?>
<worksheet xmlns="http://schemas.openxmlformats.org/spreadsheetml/2006/main">
  <sheetPr>
    <outlinePr summaryBelow="1" summaryRight="1"/>
    <pageSetUpPr/>
  </sheetPr>
  <dimension ref="A1:E301"/>
  <sheetViews>
    <sheetView tabSelected="0" workbookViewId="0">
      <pane ySplit="1" topLeftCell="A2" activePane="bottomLeft" state="frozen"/>
      <selection pane="bottomLeft" activeCell="A1" sqref="A1"/>
    </sheetView>
  </sheetViews>
  <sheetFormatPr baseColWidth="8" defaultRowHeight="15"/>
  <cols>
    <col width="13" customWidth="1" min="1" max="1"/>
    <col width="19" customWidth="1" min="2" max="2"/>
    <col width="12" customWidth="1" min="3" max="3"/>
    <col width="10" customWidth="1" min="4" max="4"/>
    <col width="14" customWidth="1" min="5" max="5"/>
  </cols>
  <sheetData>
    <row r="1">
      <c r="A1" s="29" t="inlineStr">
        <is>
          <t>EncounterID</t>
        </is>
      </c>
      <c r="B1" s="29" t="inlineStr">
        <is>
          <t>ServiceLine</t>
        </is>
      </c>
      <c r="C1" s="29" t="inlineStr">
        <is>
          <t>AgeAtAdmit</t>
        </is>
      </c>
      <c r="D1" s="29" t="inlineStr">
        <is>
          <t>LOSDays</t>
        </is>
      </c>
      <c r="E1" s="29" t="inlineStr">
        <is>
          <t>TotalCharges</t>
        </is>
      </c>
    </row>
    <row r="2">
      <c r="A2" t="inlineStr">
        <is>
          <t>ENC110713</t>
        </is>
      </c>
      <c r="B2" t="inlineStr">
        <is>
          <t>Medicine</t>
        </is>
      </c>
      <c r="C2" s="34" t="n">
        <v>45</v>
      </c>
      <c r="D2" s="31" t="n">
        <v>3.4</v>
      </c>
      <c r="E2" s="39" t="n">
        <v>10673.63</v>
      </c>
    </row>
    <row r="3">
      <c r="A3" t="inlineStr">
        <is>
          <t>ENC110742</t>
        </is>
      </c>
      <c r="B3" t="inlineStr">
        <is>
          <t>Medicine</t>
        </is>
      </c>
      <c r="C3" s="34" t="n">
        <v>80</v>
      </c>
      <c r="D3" s="31" t="n">
        <v>2.8</v>
      </c>
      <c r="E3" s="39" t="n">
        <v>15321.28</v>
      </c>
    </row>
    <row r="4">
      <c r="A4" t="inlineStr">
        <is>
          <t>ENC110788</t>
        </is>
      </c>
      <c r="B4" t="inlineStr">
        <is>
          <t>Medicine</t>
        </is>
      </c>
      <c r="C4" s="34" t="n">
        <v>34</v>
      </c>
      <c r="D4" s="31" t="n">
        <v>3.6</v>
      </c>
      <c r="E4" s="39" t="n">
        <v>23338.39</v>
      </c>
    </row>
    <row r="5">
      <c r="A5" t="inlineStr">
        <is>
          <t>ENC110846</t>
        </is>
      </c>
      <c r="B5" t="inlineStr">
        <is>
          <t>Medicine</t>
        </is>
      </c>
      <c r="C5" s="34" t="n">
        <v>53</v>
      </c>
      <c r="D5" s="31" t="n">
        <v>3.8</v>
      </c>
      <c r="E5" s="39" t="n">
        <v>16258.28</v>
      </c>
    </row>
    <row r="6">
      <c r="A6" t="inlineStr">
        <is>
          <t>ENC110878</t>
        </is>
      </c>
      <c r="B6" t="inlineStr">
        <is>
          <t>Women &amp; Children</t>
        </is>
      </c>
      <c r="C6" s="34" t="n">
        <v>33</v>
      </c>
      <c r="D6" s="31" t="n">
        <v>2.3</v>
      </c>
      <c r="E6" s="39" t="n">
        <v>19402.63</v>
      </c>
    </row>
    <row r="7">
      <c r="A7" t="inlineStr">
        <is>
          <t>ENC110922</t>
        </is>
      </c>
      <c r="B7" t="inlineStr">
        <is>
          <t>Medicine</t>
        </is>
      </c>
      <c r="C7" s="34" t="n">
        <v>69</v>
      </c>
      <c r="D7" s="31" t="n">
        <v>2.7</v>
      </c>
      <c r="E7" s="39" t="n">
        <v>8674.559999999999</v>
      </c>
    </row>
    <row r="8">
      <c r="A8" t="inlineStr">
        <is>
          <t>ENC110959</t>
        </is>
      </c>
      <c r="B8" t="inlineStr">
        <is>
          <t>Women &amp; Children</t>
        </is>
      </c>
      <c r="C8" s="34" t="n">
        <v>2</v>
      </c>
      <c r="D8" s="31" t="n">
        <v>3.8</v>
      </c>
      <c r="E8" s="39" t="n">
        <v>13197.21</v>
      </c>
    </row>
    <row r="9">
      <c r="A9" t="inlineStr">
        <is>
          <t>ENC110984</t>
        </is>
      </c>
      <c r="B9" t="inlineStr">
        <is>
          <t>Medicine</t>
        </is>
      </c>
      <c r="C9" s="34" t="n">
        <v>77</v>
      </c>
      <c r="D9" s="31" t="n">
        <v>3</v>
      </c>
      <c r="E9" s="39" t="n">
        <v>10520.63</v>
      </c>
    </row>
    <row r="10">
      <c r="A10" t="inlineStr">
        <is>
          <t>ENC111057</t>
        </is>
      </c>
      <c r="B10" t="inlineStr">
        <is>
          <t>Medicine</t>
        </is>
      </c>
      <c r="C10" s="34" t="n">
        <v>91</v>
      </c>
      <c r="D10" s="31" t="n">
        <v>4</v>
      </c>
      <c r="E10" s="39" t="n">
        <v>12776.77</v>
      </c>
    </row>
    <row r="11">
      <c r="A11" t="inlineStr">
        <is>
          <t>ENC111089</t>
        </is>
      </c>
      <c r="B11" t="inlineStr">
        <is>
          <t>Orthopedics</t>
        </is>
      </c>
      <c r="C11" s="34" t="n">
        <v>55</v>
      </c>
      <c r="D11" s="31" t="n">
        <v>5.3</v>
      </c>
      <c r="E11" s="39" t="n">
        <v>69733.36</v>
      </c>
    </row>
    <row r="12">
      <c r="A12" t="inlineStr">
        <is>
          <t>ENC111117</t>
        </is>
      </c>
      <c r="B12" t="inlineStr">
        <is>
          <t>Cardiovascular</t>
        </is>
      </c>
      <c r="C12" s="34" t="n">
        <v>77</v>
      </c>
      <c r="D12" s="31" t="n">
        <v>5.8</v>
      </c>
      <c r="E12" s="39" t="n">
        <v>30667.36</v>
      </c>
    </row>
    <row r="13">
      <c r="A13" t="inlineStr">
        <is>
          <t>ENC111138</t>
        </is>
      </c>
      <c r="B13" t="inlineStr">
        <is>
          <t>Medicine</t>
        </is>
      </c>
      <c r="C13" s="34" t="n">
        <v>78</v>
      </c>
      <c r="D13" s="31" t="n">
        <v>11.4</v>
      </c>
      <c r="E13" s="39" t="n">
        <v>48028.29</v>
      </c>
    </row>
    <row r="14">
      <c r="A14" t="inlineStr">
        <is>
          <t>ENC111168</t>
        </is>
      </c>
      <c r="B14" t="inlineStr">
        <is>
          <t>Medicine</t>
        </is>
      </c>
      <c r="C14" s="34" t="n">
        <v>74</v>
      </c>
      <c r="D14" s="31" t="n">
        <v>2.9</v>
      </c>
      <c r="E14" s="39" t="n">
        <v>17460.99</v>
      </c>
    </row>
    <row r="15">
      <c r="A15" t="inlineStr">
        <is>
          <t>ENC111190</t>
        </is>
      </c>
      <c r="B15" t="inlineStr">
        <is>
          <t>Orthopedics</t>
        </is>
      </c>
      <c r="C15" s="34" t="n">
        <v>52</v>
      </c>
      <c r="D15" s="31" t="n">
        <v>1.3</v>
      </c>
      <c r="E15" s="39" t="n">
        <v>40948.84</v>
      </c>
    </row>
    <row r="16">
      <c r="A16" t="inlineStr">
        <is>
          <t>ENC111244</t>
        </is>
      </c>
      <c r="B16" t="inlineStr">
        <is>
          <t>Medicine</t>
        </is>
      </c>
      <c r="C16" s="34" t="n">
        <v>75</v>
      </c>
      <c r="D16" s="31" t="n">
        <v>4.9</v>
      </c>
      <c r="E16" s="39" t="n">
        <v>22337.29</v>
      </c>
    </row>
    <row r="17">
      <c r="A17" t="inlineStr">
        <is>
          <t>ENC111288</t>
        </is>
      </c>
      <c r="B17" t="inlineStr">
        <is>
          <t>Medicine</t>
        </is>
      </c>
      <c r="C17" s="34" t="n">
        <v>40</v>
      </c>
      <c r="D17" s="31" t="n">
        <v>3.9</v>
      </c>
      <c r="E17" s="39" t="n">
        <v>20453.38</v>
      </c>
    </row>
    <row r="18">
      <c r="A18" t="inlineStr">
        <is>
          <t>ENC111332</t>
        </is>
      </c>
      <c r="B18" t="inlineStr">
        <is>
          <t>Medicine</t>
        </is>
      </c>
      <c r="C18" s="34" t="n">
        <v>75</v>
      </c>
      <c r="D18" s="31" t="n">
        <v>4.6</v>
      </c>
      <c r="E18" s="39" t="n">
        <v>25492.17</v>
      </c>
    </row>
    <row r="19">
      <c r="A19" t="inlineStr">
        <is>
          <t>ENC111348</t>
        </is>
      </c>
      <c r="B19" t="inlineStr">
        <is>
          <t>Cardiovascular</t>
        </is>
      </c>
      <c r="C19" s="34" t="n">
        <v>59</v>
      </c>
      <c r="D19" s="31" t="n">
        <v>4.7</v>
      </c>
      <c r="E19" s="39" t="n">
        <v>39256.34</v>
      </c>
    </row>
    <row r="20">
      <c r="A20" t="inlineStr">
        <is>
          <t>ENC111378</t>
        </is>
      </c>
      <c r="B20" t="inlineStr">
        <is>
          <t>Neuroscience</t>
        </is>
      </c>
      <c r="C20" s="34" t="n">
        <v>67</v>
      </c>
      <c r="D20" s="31" t="n">
        <v>5.2</v>
      </c>
      <c r="E20" s="39" t="n">
        <v>24516.56</v>
      </c>
    </row>
    <row r="21">
      <c r="A21" t="inlineStr">
        <is>
          <t>ENC111410</t>
        </is>
      </c>
      <c r="B21" t="inlineStr">
        <is>
          <t>Medicine</t>
        </is>
      </c>
      <c r="C21" s="34" t="n">
        <v>83</v>
      </c>
      <c r="D21" s="31" t="n">
        <v>5.6</v>
      </c>
      <c r="E21" s="39" t="n">
        <v>33824.54</v>
      </c>
    </row>
    <row r="22">
      <c r="A22" t="inlineStr">
        <is>
          <t>ENC111433</t>
        </is>
      </c>
      <c r="B22" t="inlineStr">
        <is>
          <t>Medicine</t>
        </is>
      </c>
      <c r="C22" s="34" t="n">
        <v>57</v>
      </c>
      <c r="D22" s="31" t="n">
        <v>2</v>
      </c>
      <c r="E22" s="39" t="n">
        <v>11547.36</v>
      </c>
    </row>
    <row r="23">
      <c r="A23" t="inlineStr">
        <is>
          <t>ENC111482</t>
        </is>
      </c>
      <c r="B23" t="inlineStr">
        <is>
          <t>Medicine</t>
        </is>
      </c>
      <c r="C23" s="34" t="n">
        <v>68</v>
      </c>
      <c r="D23" s="31" t="n">
        <v>6.9</v>
      </c>
      <c r="E23" s="39" t="n">
        <v>25040.74</v>
      </c>
    </row>
    <row r="24">
      <c r="A24" t="inlineStr">
        <is>
          <t>ENC111513</t>
        </is>
      </c>
      <c r="B24" t="inlineStr">
        <is>
          <t>Medicine</t>
        </is>
      </c>
      <c r="C24" s="34" t="n">
        <v>78</v>
      </c>
      <c r="D24" s="31" t="n">
        <v>2.1</v>
      </c>
      <c r="E24" s="39" t="n">
        <v>15953.63</v>
      </c>
    </row>
    <row r="25">
      <c r="A25" t="inlineStr">
        <is>
          <t>ENC111547</t>
        </is>
      </c>
      <c r="B25" t="inlineStr">
        <is>
          <t>Medicine</t>
        </is>
      </c>
      <c r="C25" s="34" t="n">
        <v>56</v>
      </c>
      <c r="D25" s="31" t="n">
        <v>4</v>
      </c>
      <c r="E25" s="39" t="n">
        <v>19503.17</v>
      </c>
    </row>
    <row r="26">
      <c r="A26" t="inlineStr">
        <is>
          <t>ENC111604</t>
        </is>
      </c>
      <c r="B26" t="inlineStr">
        <is>
          <t>Medicine</t>
        </is>
      </c>
      <c r="C26" s="34" t="n">
        <v>69</v>
      </c>
      <c r="D26" s="31" t="n">
        <v>3.5</v>
      </c>
      <c r="E26" s="39" t="n">
        <v>20077.13</v>
      </c>
    </row>
    <row r="27">
      <c r="A27" t="inlineStr">
        <is>
          <t>ENC111630</t>
        </is>
      </c>
      <c r="B27" t="inlineStr">
        <is>
          <t>Medicine</t>
        </is>
      </c>
      <c r="C27" s="34" t="n">
        <v>78</v>
      </c>
      <c r="D27" s="31" t="n">
        <v>3.8</v>
      </c>
      <c r="E27" s="39" t="n">
        <v>23953.88</v>
      </c>
    </row>
    <row r="28">
      <c r="A28" t="inlineStr">
        <is>
          <t>ENC111680</t>
        </is>
      </c>
      <c r="B28" t="inlineStr">
        <is>
          <t>Medicine</t>
        </is>
      </c>
      <c r="C28" s="34" t="n">
        <v>67</v>
      </c>
      <c r="D28" s="31" t="n">
        <v>2.4</v>
      </c>
      <c r="E28" s="39" t="n">
        <v>19299.93</v>
      </c>
    </row>
    <row r="29">
      <c r="A29" t="inlineStr">
        <is>
          <t>ENC111724</t>
        </is>
      </c>
      <c r="B29" t="inlineStr">
        <is>
          <t>Women &amp; Children</t>
        </is>
      </c>
      <c r="C29" s="34" t="n">
        <v>23</v>
      </c>
      <c r="D29" s="31" t="n">
        <v>2.4</v>
      </c>
      <c r="E29" s="39" t="n">
        <v>12667.36</v>
      </c>
    </row>
    <row r="30">
      <c r="A30" t="inlineStr">
        <is>
          <t>ENC111754</t>
        </is>
      </c>
      <c r="B30" t="inlineStr">
        <is>
          <t>Medicine</t>
        </is>
      </c>
      <c r="C30" s="34" t="n">
        <v>80</v>
      </c>
      <c r="D30" s="31" t="n">
        <v>4.9</v>
      </c>
      <c r="E30" s="39" t="n">
        <v>20673.25</v>
      </c>
    </row>
    <row r="31">
      <c r="A31" t="inlineStr">
        <is>
          <t>ENC111779</t>
        </is>
      </c>
      <c r="B31" t="inlineStr">
        <is>
          <t>Neuroscience</t>
        </is>
      </c>
      <c r="C31" s="34" t="n">
        <v>77</v>
      </c>
      <c r="D31" s="31" t="n">
        <v>4.3</v>
      </c>
      <c r="E31" s="39" t="n">
        <v>22109.66</v>
      </c>
    </row>
    <row r="32">
      <c r="A32" t="inlineStr">
        <is>
          <t>ENC111818</t>
        </is>
      </c>
      <c r="B32" t="inlineStr">
        <is>
          <t>Medicine</t>
        </is>
      </c>
      <c r="C32" s="34" t="n">
        <v>45</v>
      </c>
      <c r="D32" s="31" t="n">
        <v>5.1</v>
      </c>
      <c r="E32" s="39" t="n">
        <v>19910.69</v>
      </c>
    </row>
    <row r="33">
      <c r="A33" t="inlineStr">
        <is>
          <t>ENC111863</t>
        </is>
      </c>
      <c r="B33" t="inlineStr">
        <is>
          <t>Medicine</t>
        </is>
      </c>
      <c r="C33" s="34" t="n">
        <v>50</v>
      </c>
      <c r="D33" s="31" t="n">
        <v>2.8</v>
      </c>
      <c r="E33" s="39" t="n">
        <v>15858.24</v>
      </c>
    </row>
    <row r="34">
      <c r="A34" t="inlineStr">
        <is>
          <t>ENC111882</t>
        </is>
      </c>
      <c r="B34" t="inlineStr">
        <is>
          <t>Orthopedics</t>
        </is>
      </c>
      <c r="C34" s="34" t="n">
        <v>67</v>
      </c>
      <c r="D34" s="31" t="n">
        <v>3</v>
      </c>
      <c r="E34" s="39" t="n">
        <v>34290.07</v>
      </c>
    </row>
    <row r="35">
      <c r="A35" t="inlineStr">
        <is>
          <t>ENC111923</t>
        </is>
      </c>
      <c r="B35" t="inlineStr">
        <is>
          <t>Women &amp; Children</t>
        </is>
      </c>
      <c r="C35" s="34" t="n">
        <v>20</v>
      </c>
      <c r="D35" s="31" t="n">
        <v>1.1</v>
      </c>
      <c r="E35" s="39" t="n">
        <v>12662.07</v>
      </c>
    </row>
    <row r="36">
      <c r="A36" t="inlineStr">
        <is>
          <t>ENC111942</t>
        </is>
      </c>
      <c r="B36" t="inlineStr">
        <is>
          <t>Medicine</t>
        </is>
      </c>
      <c r="C36" s="34" t="n">
        <v>73</v>
      </c>
      <c r="D36" s="31" t="n">
        <v>7.2</v>
      </c>
      <c r="E36" s="39" t="n">
        <v>24839.77</v>
      </c>
    </row>
    <row r="37">
      <c r="A37" t="inlineStr">
        <is>
          <t>ENC111983</t>
        </is>
      </c>
      <c r="B37" t="inlineStr">
        <is>
          <t>Critical Care</t>
        </is>
      </c>
      <c r="C37" s="34" t="n">
        <v>78</v>
      </c>
      <c r="D37" s="31" t="n">
        <v>8.699999999999999</v>
      </c>
      <c r="E37" s="39" t="n">
        <v>62229.05</v>
      </c>
    </row>
    <row r="38">
      <c r="A38" t="inlineStr">
        <is>
          <t>ENC112026</t>
        </is>
      </c>
      <c r="B38" t="inlineStr">
        <is>
          <t>Medicine</t>
        </is>
      </c>
      <c r="C38" s="34" t="n">
        <v>79</v>
      </c>
      <c r="D38" s="31" t="n">
        <v>4.7</v>
      </c>
      <c r="E38" s="39" t="n">
        <v>24385.27</v>
      </c>
    </row>
    <row r="39">
      <c r="A39" t="inlineStr">
        <is>
          <t>ENC112038</t>
        </is>
      </c>
      <c r="B39" t="inlineStr">
        <is>
          <t>Behavioral Health</t>
        </is>
      </c>
      <c r="C39" s="34" t="n">
        <v>73</v>
      </c>
      <c r="D39" s="31" t="n">
        <v>8.199999999999999</v>
      </c>
      <c r="E39" s="39" t="n">
        <v>17222.5</v>
      </c>
    </row>
    <row r="40">
      <c r="A40" t="inlineStr">
        <is>
          <t>ENC112069</t>
        </is>
      </c>
      <c r="B40" t="inlineStr">
        <is>
          <t>Medicine</t>
        </is>
      </c>
      <c r="C40" s="34" t="n">
        <v>56</v>
      </c>
      <c r="D40" s="31" t="n">
        <v>4.7</v>
      </c>
      <c r="E40" s="39" t="n">
        <v>16520.31</v>
      </c>
    </row>
    <row r="41">
      <c r="A41" t="inlineStr">
        <is>
          <t>ENC112095</t>
        </is>
      </c>
      <c r="B41" t="inlineStr">
        <is>
          <t>Cardiovascular</t>
        </is>
      </c>
      <c r="C41" s="34" t="n">
        <v>69</v>
      </c>
      <c r="D41" s="31" t="n">
        <v>3.2</v>
      </c>
      <c r="E41" s="39" t="n">
        <v>20813.88</v>
      </c>
    </row>
    <row r="42">
      <c r="A42" t="inlineStr">
        <is>
          <t>ENC112126</t>
        </is>
      </c>
      <c r="B42" t="inlineStr">
        <is>
          <t>Medicine</t>
        </is>
      </c>
      <c r="C42" s="34" t="n">
        <v>58</v>
      </c>
      <c r="D42" s="31" t="n">
        <v>2.8</v>
      </c>
      <c r="E42" s="39" t="n">
        <v>18923.83</v>
      </c>
    </row>
    <row r="43">
      <c r="A43" t="inlineStr">
        <is>
          <t>ENC112148</t>
        </is>
      </c>
      <c r="B43" t="inlineStr">
        <is>
          <t>Oncology</t>
        </is>
      </c>
      <c r="C43" s="34" t="n">
        <v>77</v>
      </c>
      <c r="D43" s="31" t="n">
        <v>5</v>
      </c>
      <c r="E43" s="39" t="n">
        <v>26620.1</v>
      </c>
    </row>
    <row r="44">
      <c r="A44" t="inlineStr">
        <is>
          <t>ENC112196</t>
        </is>
      </c>
      <c r="B44" t="inlineStr">
        <is>
          <t>Medicine</t>
        </is>
      </c>
      <c r="C44" s="34" t="n">
        <v>63</v>
      </c>
      <c r="D44" s="31" t="n">
        <v>2.8</v>
      </c>
      <c r="E44" s="39" t="n">
        <v>27511.43</v>
      </c>
    </row>
    <row r="45">
      <c r="A45" t="inlineStr">
        <is>
          <t>ENC112239</t>
        </is>
      </c>
      <c r="B45" t="inlineStr">
        <is>
          <t>Medicine</t>
        </is>
      </c>
      <c r="C45" s="34" t="n">
        <v>95</v>
      </c>
      <c r="D45" s="31" t="n">
        <v>6.9</v>
      </c>
      <c r="E45" s="39" t="n">
        <v>48871.94</v>
      </c>
    </row>
    <row r="46">
      <c r="A46" t="inlineStr">
        <is>
          <t>ENC112282</t>
        </is>
      </c>
      <c r="B46" t="inlineStr">
        <is>
          <t>Medicine</t>
        </is>
      </c>
      <c r="C46" s="34" t="n">
        <v>69</v>
      </c>
      <c r="D46" s="31" t="n">
        <v>2.2</v>
      </c>
      <c r="E46" s="39" t="n">
        <v>17637.71</v>
      </c>
    </row>
    <row r="47">
      <c r="A47" t="inlineStr">
        <is>
          <t>ENC112326</t>
        </is>
      </c>
      <c r="B47" t="inlineStr">
        <is>
          <t>Critical Care</t>
        </is>
      </c>
      <c r="C47" s="34" t="n">
        <v>21</v>
      </c>
      <c r="D47" s="31" t="n">
        <v>4.7</v>
      </c>
      <c r="E47" s="39" t="n">
        <v>54625.6</v>
      </c>
    </row>
    <row r="48">
      <c r="A48" t="inlineStr">
        <is>
          <t>ENC112359</t>
        </is>
      </c>
      <c r="B48" t="inlineStr">
        <is>
          <t>Oncology</t>
        </is>
      </c>
      <c r="C48" s="34" t="n">
        <v>68</v>
      </c>
      <c r="D48" s="31" t="n">
        <v>3.6</v>
      </c>
      <c r="E48" s="39" t="n">
        <v>18440.45</v>
      </c>
    </row>
    <row r="49">
      <c r="A49" t="inlineStr">
        <is>
          <t>ENC112377</t>
        </is>
      </c>
      <c r="B49" t="inlineStr">
        <is>
          <t>Neuroscience</t>
        </is>
      </c>
      <c r="C49" s="34" t="n">
        <v>58</v>
      </c>
      <c r="D49" s="31" t="n">
        <v>3.8</v>
      </c>
      <c r="E49" s="39" t="n">
        <v>15958.25</v>
      </c>
    </row>
    <row r="50">
      <c r="A50" t="inlineStr">
        <is>
          <t>ENC112406</t>
        </is>
      </c>
      <c r="B50" t="inlineStr">
        <is>
          <t>Orthopedics</t>
        </is>
      </c>
      <c r="C50" s="34" t="n">
        <v>69</v>
      </c>
      <c r="D50" s="31" t="n">
        <v>3.3</v>
      </c>
      <c r="E50" s="39" t="n">
        <v>61096.21</v>
      </c>
    </row>
    <row r="51">
      <c r="A51" t="inlineStr">
        <is>
          <t>ENC112440</t>
        </is>
      </c>
      <c r="B51" t="inlineStr">
        <is>
          <t>Cardiovascular</t>
        </is>
      </c>
      <c r="C51" s="34" t="n">
        <v>73</v>
      </c>
      <c r="D51" s="31" t="n">
        <v>2.5</v>
      </c>
      <c r="E51" s="39" t="n">
        <v>31584</v>
      </c>
    </row>
    <row r="52">
      <c r="A52" t="inlineStr">
        <is>
          <t>ENC112483</t>
        </is>
      </c>
      <c r="B52" t="inlineStr">
        <is>
          <t>Medicine</t>
        </is>
      </c>
      <c r="C52" s="34" t="n">
        <v>75</v>
      </c>
      <c r="D52" s="31" t="n">
        <v>1.6</v>
      </c>
      <c r="E52" s="39" t="n">
        <v>9682.49</v>
      </c>
    </row>
    <row r="53">
      <c r="A53" t="inlineStr">
        <is>
          <t>ENC112508</t>
        </is>
      </c>
      <c r="B53" t="inlineStr">
        <is>
          <t>Neuroscience</t>
        </is>
      </c>
      <c r="C53" s="34" t="n">
        <v>81</v>
      </c>
      <c r="D53" s="31" t="n">
        <v>4.8</v>
      </c>
      <c r="E53" s="39" t="n">
        <v>37660.05</v>
      </c>
    </row>
    <row r="54">
      <c r="A54" t="inlineStr">
        <is>
          <t>ENC112532</t>
        </is>
      </c>
      <c r="B54" t="inlineStr">
        <is>
          <t>Medicine</t>
        </is>
      </c>
      <c r="C54" s="34" t="n">
        <v>67</v>
      </c>
      <c r="D54" s="31" t="n">
        <v>2.3</v>
      </c>
      <c r="E54" s="39" t="n">
        <v>14508.5</v>
      </c>
    </row>
    <row r="55">
      <c r="A55" t="inlineStr">
        <is>
          <t>ENC112580</t>
        </is>
      </c>
      <c r="B55" t="inlineStr">
        <is>
          <t>Critical Care</t>
        </is>
      </c>
      <c r="C55" s="34" t="n">
        <v>59</v>
      </c>
      <c r="D55" s="31" t="n">
        <v>2.2</v>
      </c>
      <c r="E55" s="39" t="n">
        <v>25382.34</v>
      </c>
    </row>
    <row r="56">
      <c r="A56" t="inlineStr">
        <is>
          <t>ENC112633</t>
        </is>
      </c>
      <c r="B56" t="inlineStr">
        <is>
          <t>Behavioral Health</t>
        </is>
      </c>
      <c r="C56" s="34" t="n">
        <v>38</v>
      </c>
      <c r="D56" s="31" t="n">
        <v>11.8</v>
      </c>
      <c r="E56" s="39" t="n">
        <v>39518.75</v>
      </c>
    </row>
    <row r="57">
      <c r="A57" t="inlineStr">
        <is>
          <t>ENC112657</t>
        </is>
      </c>
      <c r="B57" t="inlineStr">
        <is>
          <t>Orthopedics</t>
        </is>
      </c>
      <c r="C57" s="34" t="n">
        <v>67</v>
      </c>
      <c r="D57" s="31" t="n">
        <v>2.4</v>
      </c>
      <c r="E57" s="39" t="n">
        <v>67030.2</v>
      </c>
    </row>
    <row r="58">
      <c r="A58" t="inlineStr">
        <is>
          <t>ENC112697</t>
        </is>
      </c>
      <c r="B58" t="inlineStr">
        <is>
          <t>Medicine</t>
        </is>
      </c>
      <c r="C58" s="34" t="n">
        <v>69</v>
      </c>
      <c r="D58" s="31" t="n">
        <v>2.7</v>
      </c>
      <c r="E58" s="39" t="n">
        <v>21969.4</v>
      </c>
    </row>
    <row r="59">
      <c r="A59" t="inlineStr">
        <is>
          <t>ENC112748</t>
        </is>
      </c>
      <c r="B59" t="inlineStr">
        <is>
          <t>Medicine</t>
        </is>
      </c>
      <c r="C59" s="34" t="n">
        <v>52</v>
      </c>
      <c r="D59" s="31" t="n">
        <v>2.7</v>
      </c>
      <c r="E59" s="39" t="n">
        <v>26500.23</v>
      </c>
    </row>
    <row r="60">
      <c r="A60" t="inlineStr">
        <is>
          <t>ENC112783</t>
        </is>
      </c>
      <c r="B60" t="inlineStr">
        <is>
          <t>Medicine</t>
        </is>
      </c>
      <c r="C60" s="34" t="n">
        <v>36</v>
      </c>
      <c r="D60" s="31" t="n">
        <v>3.7</v>
      </c>
      <c r="E60" s="39" t="n">
        <v>19705.19</v>
      </c>
    </row>
    <row r="61">
      <c r="A61" t="inlineStr">
        <is>
          <t>ENC112847</t>
        </is>
      </c>
      <c r="B61" t="inlineStr">
        <is>
          <t>Medicine</t>
        </is>
      </c>
      <c r="C61" s="34" t="n">
        <v>56</v>
      </c>
      <c r="D61" s="31" t="n">
        <v>4.8</v>
      </c>
      <c r="E61" s="39" t="n">
        <v>51761.61</v>
      </c>
    </row>
    <row r="62">
      <c r="A62" t="inlineStr">
        <is>
          <t>ENC112879</t>
        </is>
      </c>
      <c r="B62" t="inlineStr">
        <is>
          <t>Medicine</t>
        </is>
      </c>
      <c r="C62" s="34" t="n">
        <v>69</v>
      </c>
      <c r="D62" s="31" t="n">
        <v>2.1</v>
      </c>
      <c r="E62" s="39" t="n">
        <v>8174.27</v>
      </c>
    </row>
    <row r="63">
      <c r="A63" t="inlineStr">
        <is>
          <t>ENC112917</t>
        </is>
      </c>
      <c r="B63" t="inlineStr">
        <is>
          <t>Medicine</t>
        </is>
      </c>
      <c r="C63" s="34" t="n">
        <v>53</v>
      </c>
      <c r="D63" s="31" t="n">
        <v>3.9</v>
      </c>
      <c r="E63" s="39" t="n">
        <v>15689.05</v>
      </c>
    </row>
    <row r="64">
      <c r="A64" t="inlineStr">
        <is>
          <t>ENC112950</t>
        </is>
      </c>
      <c r="B64" t="inlineStr">
        <is>
          <t>Cardiovascular</t>
        </is>
      </c>
      <c r="C64" s="34" t="n">
        <v>81</v>
      </c>
      <c r="D64" s="31" t="n">
        <v>2.8</v>
      </c>
      <c r="E64" s="39" t="n">
        <v>16671.33</v>
      </c>
    </row>
    <row r="65">
      <c r="A65" t="inlineStr">
        <is>
          <t>ENC113002</t>
        </is>
      </c>
      <c r="B65" t="inlineStr">
        <is>
          <t>Medicine</t>
        </is>
      </c>
      <c r="C65" s="34" t="n">
        <v>86</v>
      </c>
      <c r="D65" s="31" t="n">
        <v>6.2</v>
      </c>
      <c r="E65" s="39" t="n">
        <v>27560.56</v>
      </c>
    </row>
    <row r="66">
      <c r="A66" t="inlineStr">
        <is>
          <t>ENC113049</t>
        </is>
      </c>
      <c r="B66" t="inlineStr">
        <is>
          <t>Critical Care</t>
        </is>
      </c>
      <c r="C66" s="34" t="n">
        <v>61</v>
      </c>
      <c r="D66" s="31" t="n">
        <v>5</v>
      </c>
      <c r="E66" s="39" t="n">
        <v>61113.55</v>
      </c>
    </row>
    <row r="67">
      <c r="A67" t="inlineStr">
        <is>
          <t>ENC113066</t>
        </is>
      </c>
      <c r="B67" t="inlineStr">
        <is>
          <t>Medicine</t>
        </is>
      </c>
      <c r="C67" s="34" t="n">
        <v>71</v>
      </c>
      <c r="D67" s="31" t="n">
        <v>3.7</v>
      </c>
      <c r="E67" s="39" t="n">
        <v>23480.71</v>
      </c>
    </row>
    <row r="68">
      <c r="A68" t="inlineStr">
        <is>
          <t>ENC113081</t>
        </is>
      </c>
      <c r="B68" t="inlineStr">
        <is>
          <t>Medicine</t>
        </is>
      </c>
      <c r="C68" s="34" t="n">
        <v>34</v>
      </c>
      <c r="D68" s="31" t="n">
        <v>3.8</v>
      </c>
      <c r="E68" s="39" t="n">
        <v>19677.55</v>
      </c>
    </row>
    <row r="69">
      <c r="A69" t="inlineStr">
        <is>
          <t>ENC113142</t>
        </is>
      </c>
      <c r="B69" t="inlineStr">
        <is>
          <t>Medicine</t>
        </is>
      </c>
      <c r="C69" s="34" t="n">
        <v>63</v>
      </c>
      <c r="D69" s="31" t="n">
        <v>8.6</v>
      </c>
      <c r="E69" s="39" t="n">
        <v>46268.08</v>
      </c>
    </row>
    <row r="70">
      <c r="A70" t="inlineStr">
        <is>
          <t>ENC113181</t>
        </is>
      </c>
      <c r="B70" t="inlineStr">
        <is>
          <t>Medicine</t>
        </is>
      </c>
      <c r="C70" s="34" t="n">
        <v>52</v>
      </c>
      <c r="D70" s="31" t="n">
        <v>3.3</v>
      </c>
      <c r="E70" s="39" t="n">
        <v>18049.28</v>
      </c>
    </row>
    <row r="71">
      <c r="A71" t="inlineStr">
        <is>
          <t>ENC113212</t>
        </is>
      </c>
      <c r="B71" t="inlineStr">
        <is>
          <t>Orthopedics</t>
        </is>
      </c>
      <c r="C71" s="34" t="n">
        <v>65</v>
      </c>
      <c r="D71" s="31" t="n">
        <v>6.7</v>
      </c>
      <c r="E71" s="39" t="n">
        <v>74763.66</v>
      </c>
    </row>
    <row r="72">
      <c r="A72" t="inlineStr">
        <is>
          <t>ENC113281</t>
        </is>
      </c>
      <c r="B72" t="inlineStr">
        <is>
          <t>Neuroscience</t>
        </is>
      </c>
      <c r="C72" s="34" t="n">
        <v>59</v>
      </c>
      <c r="D72" s="31" t="n">
        <v>3.8</v>
      </c>
      <c r="E72" s="39" t="n">
        <v>21578.21</v>
      </c>
    </row>
    <row r="73">
      <c r="A73" t="inlineStr">
        <is>
          <t>ENC113307</t>
        </is>
      </c>
      <c r="B73" t="inlineStr">
        <is>
          <t>Medicine</t>
        </is>
      </c>
      <c r="C73" s="34" t="n">
        <v>52</v>
      </c>
      <c r="D73" s="31" t="n">
        <v>1.9</v>
      </c>
      <c r="E73" s="39" t="n">
        <v>46080.24</v>
      </c>
    </row>
    <row r="74">
      <c r="A74" t="inlineStr">
        <is>
          <t>ENC113325</t>
        </is>
      </c>
      <c r="B74" t="inlineStr">
        <is>
          <t>Orthopedics</t>
        </is>
      </c>
      <c r="C74" s="34" t="n">
        <v>57</v>
      </c>
      <c r="D74" s="31" t="n">
        <v>8.800000000000001</v>
      </c>
      <c r="E74" s="39" t="n">
        <v>59145.9</v>
      </c>
    </row>
    <row r="75">
      <c r="A75" t="inlineStr">
        <is>
          <t>ENC113346</t>
        </is>
      </c>
      <c r="B75" t="inlineStr">
        <is>
          <t>Orthopedics</t>
        </is>
      </c>
      <c r="C75" s="34" t="n">
        <v>67</v>
      </c>
      <c r="D75" s="31" t="n">
        <v>4.2</v>
      </c>
      <c r="E75" s="39" t="n">
        <v>38570.28</v>
      </c>
    </row>
    <row r="76">
      <c r="A76" t="inlineStr">
        <is>
          <t>ENC113385</t>
        </is>
      </c>
      <c r="B76" t="inlineStr">
        <is>
          <t>Medicine</t>
        </is>
      </c>
      <c r="C76" s="34" t="n">
        <v>84</v>
      </c>
      <c r="D76" s="31" t="n">
        <v>5</v>
      </c>
      <c r="E76" s="39" t="n">
        <v>26106.22</v>
      </c>
    </row>
    <row r="77">
      <c r="A77" t="inlineStr">
        <is>
          <t>ENC113441</t>
        </is>
      </c>
      <c r="B77" t="inlineStr">
        <is>
          <t>Cardiovascular</t>
        </is>
      </c>
      <c r="C77" s="34" t="n">
        <v>74</v>
      </c>
      <c r="D77" s="31" t="n">
        <v>2.8</v>
      </c>
      <c r="E77" s="39" t="n">
        <v>21580.69</v>
      </c>
    </row>
    <row r="78">
      <c r="A78" t="inlineStr">
        <is>
          <t>ENC113461</t>
        </is>
      </c>
      <c r="B78" t="inlineStr">
        <is>
          <t>Oncology</t>
        </is>
      </c>
      <c r="C78" s="34" t="n">
        <v>58</v>
      </c>
      <c r="D78" s="31" t="n">
        <v>4.9</v>
      </c>
      <c r="E78" s="39" t="n">
        <v>36296.59</v>
      </c>
    </row>
    <row r="79">
      <c r="A79" t="inlineStr">
        <is>
          <t>ENC113495</t>
        </is>
      </c>
      <c r="B79" t="inlineStr">
        <is>
          <t>Medicine</t>
        </is>
      </c>
      <c r="C79" s="34" t="n">
        <v>71</v>
      </c>
      <c r="D79" s="31" t="n">
        <v>5.4</v>
      </c>
      <c r="E79" s="39" t="n">
        <v>26705.87</v>
      </c>
    </row>
    <row r="80">
      <c r="A80" t="inlineStr">
        <is>
          <t>ENC113535</t>
        </is>
      </c>
      <c r="B80" t="inlineStr">
        <is>
          <t>Women &amp; Children</t>
        </is>
      </c>
      <c r="C80" s="34" t="n">
        <v>35</v>
      </c>
      <c r="D80" s="31" t="n">
        <v>2.9</v>
      </c>
      <c r="E80" s="39" t="n">
        <v>23529.21</v>
      </c>
    </row>
    <row r="81">
      <c r="A81" t="inlineStr">
        <is>
          <t>ENC113557</t>
        </is>
      </c>
      <c r="B81" t="inlineStr">
        <is>
          <t>Medicine</t>
        </is>
      </c>
      <c r="C81" s="34" t="n">
        <v>52</v>
      </c>
      <c r="D81" s="31" t="n">
        <v>4.2</v>
      </c>
      <c r="E81" s="39" t="n">
        <v>16858.19</v>
      </c>
    </row>
    <row r="82">
      <c r="A82" t="inlineStr">
        <is>
          <t>ENC113589</t>
        </is>
      </c>
      <c r="B82" t="inlineStr">
        <is>
          <t>Medicine</t>
        </is>
      </c>
      <c r="C82" s="34" t="n">
        <v>71</v>
      </c>
      <c r="D82" s="31" t="n">
        <v>2.8</v>
      </c>
      <c r="E82" s="39" t="n">
        <v>15518.52</v>
      </c>
    </row>
    <row r="83">
      <c r="A83" t="inlineStr">
        <is>
          <t>ENC113632</t>
        </is>
      </c>
      <c r="B83" t="inlineStr">
        <is>
          <t>Women &amp; Children</t>
        </is>
      </c>
      <c r="C83" s="34" t="n">
        <v>41</v>
      </c>
      <c r="D83" s="31" t="n">
        <v>4.6</v>
      </c>
      <c r="E83" s="39" t="n">
        <v>26984.73</v>
      </c>
    </row>
    <row r="84">
      <c r="A84" t="inlineStr">
        <is>
          <t>ENC113671</t>
        </is>
      </c>
      <c r="B84" t="inlineStr">
        <is>
          <t>Women &amp; Children</t>
        </is>
      </c>
      <c r="C84" s="34" t="n">
        <v>45</v>
      </c>
      <c r="D84" s="31" t="n">
        <v>3.6</v>
      </c>
      <c r="E84" s="39" t="n">
        <v>32611.75</v>
      </c>
    </row>
    <row r="85">
      <c r="A85" t="inlineStr">
        <is>
          <t>ENC113711</t>
        </is>
      </c>
      <c r="B85" t="inlineStr">
        <is>
          <t>Medicine</t>
        </is>
      </c>
      <c r="C85" s="34" t="n">
        <v>50</v>
      </c>
      <c r="D85" s="31" t="n">
        <v>4</v>
      </c>
      <c r="E85" s="39" t="n">
        <v>25336.9</v>
      </c>
    </row>
    <row r="86">
      <c r="A86" t="inlineStr">
        <is>
          <t>ENC113748</t>
        </is>
      </c>
      <c r="B86" t="inlineStr">
        <is>
          <t>Medicine</t>
        </is>
      </c>
      <c r="C86" s="34" t="n">
        <v>26</v>
      </c>
      <c r="D86" s="31" t="n">
        <v>5.7</v>
      </c>
      <c r="E86" s="39" t="n">
        <v>71074.92999999999</v>
      </c>
    </row>
    <row r="87">
      <c r="A87" t="inlineStr">
        <is>
          <t>ENC113779</t>
        </is>
      </c>
      <c r="B87" t="inlineStr">
        <is>
          <t>Women &amp; Children</t>
        </is>
      </c>
      <c r="C87" s="34" t="n">
        <v>35</v>
      </c>
      <c r="D87" s="31" t="n">
        <v>2.7</v>
      </c>
      <c r="E87" s="39" t="n">
        <v>23116.49</v>
      </c>
    </row>
    <row r="88">
      <c r="A88" t="inlineStr">
        <is>
          <t>ENC113828</t>
        </is>
      </c>
      <c r="B88" t="inlineStr">
        <is>
          <t>Cardiovascular</t>
        </is>
      </c>
      <c r="C88" s="34" t="n">
        <v>46</v>
      </c>
      <c r="D88" s="31" t="n">
        <v>1</v>
      </c>
      <c r="E88" s="39" t="n">
        <v>14876.59</v>
      </c>
    </row>
    <row r="89">
      <c r="A89" t="inlineStr">
        <is>
          <t>ENC113859</t>
        </is>
      </c>
      <c r="B89" t="inlineStr">
        <is>
          <t>Medicine</t>
        </is>
      </c>
      <c r="C89" s="34" t="n">
        <v>73</v>
      </c>
      <c r="D89" s="31" t="n">
        <v>7.8</v>
      </c>
      <c r="E89" s="39" t="n">
        <v>30175.84</v>
      </c>
    </row>
    <row r="90">
      <c r="A90" t="inlineStr">
        <is>
          <t>ENC113886</t>
        </is>
      </c>
      <c r="B90" t="inlineStr">
        <is>
          <t>Orthopedics</t>
        </is>
      </c>
      <c r="C90" s="34" t="n">
        <v>69</v>
      </c>
      <c r="D90" s="31" t="n">
        <v>1.4</v>
      </c>
      <c r="E90" s="39" t="n">
        <v>34369.86</v>
      </c>
    </row>
    <row r="91">
      <c r="A91" t="inlineStr">
        <is>
          <t>ENC113911</t>
        </is>
      </c>
      <c r="B91" t="inlineStr">
        <is>
          <t>Cardiovascular</t>
        </is>
      </c>
      <c r="C91" s="34" t="n">
        <v>71</v>
      </c>
      <c r="D91" s="31" t="n">
        <v>3.4</v>
      </c>
      <c r="E91" s="39" t="n">
        <v>28878.39</v>
      </c>
    </row>
    <row r="92">
      <c r="A92" t="inlineStr">
        <is>
          <t>ENC113948</t>
        </is>
      </c>
      <c r="B92" t="inlineStr">
        <is>
          <t>Critical Care</t>
        </is>
      </c>
      <c r="C92" s="34" t="n">
        <v>72</v>
      </c>
      <c r="D92" s="31" t="n">
        <v>4.2</v>
      </c>
      <c r="E92" s="39" t="n">
        <v>45846.66</v>
      </c>
    </row>
    <row r="93">
      <c r="A93" t="inlineStr">
        <is>
          <t>ENC113981</t>
        </is>
      </c>
      <c r="B93" t="inlineStr">
        <is>
          <t>Medicine</t>
        </is>
      </c>
      <c r="C93" s="34" t="n">
        <v>58</v>
      </c>
      <c r="D93" s="31" t="n">
        <v>2.4</v>
      </c>
      <c r="E93" s="39" t="n">
        <v>16179.02</v>
      </c>
    </row>
    <row r="94">
      <c r="A94" t="inlineStr">
        <is>
          <t>ENC114009</t>
        </is>
      </c>
      <c r="B94" t="inlineStr">
        <is>
          <t>Medicine</t>
        </is>
      </c>
      <c r="C94" s="34" t="n">
        <v>96</v>
      </c>
      <c r="D94" s="31" t="n">
        <v>4.9</v>
      </c>
      <c r="E94" s="39" t="n">
        <v>73354.92</v>
      </c>
    </row>
    <row r="95">
      <c r="A95" t="inlineStr">
        <is>
          <t>ENC114032</t>
        </is>
      </c>
      <c r="B95" t="inlineStr">
        <is>
          <t>Medicine</t>
        </is>
      </c>
      <c r="C95" s="34" t="n">
        <v>70</v>
      </c>
      <c r="D95" s="31" t="n">
        <v>3.8</v>
      </c>
      <c r="E95" s="39" t="n">
        <v>30242.85</v>
      </c>
    </row>
    <row r="96">
      <c r="A96" t="inlineStr">
        <is>
          <t>ENC114058</t>
        </is>
      </c>
      <c r="B96" t="inlineStr">
        <is>
          <t>Medicine</t>
        </is>
      </c>
      <c r="C96" s="34" t="n">
        <v>67</v>
      </c>
      <c r="D96" s="31" t="n">
        <v>1.8</v>
      </c>
      <c r="E96" s="39" t="n">
        <v>14010.83</v>
      </c>
    </row>
    <row r="97">
      <c r="A97" t="inlineStr">
        <is>
          <t>ENC114102</t>
        </is>
      </c>
      <c r="B97" t="inlineStr">
        <is>
          <t>Medicine</t>
        </is>
      </c>
      <c r="C97" s="34" t="n">
        <v>67</v>
      </c>
      <c r="D97" s="31" t="n">
        <v>3.1</v>
      </c>
      <c r="E97" s="39" t="n">
        <v>21765.88</v>
      </c>
    </row>
    <row r="98">
      <c r="A98" t="inlineStr">
        <is>
          <t>ENC114147</t>
        </is>
      </c>
      <c r="B98" t="inlineStr">
        <is>
          <t>Cardiovascular</t>
        </is>
      </c>
      <c r="C98" s="34" t="n">
        <v>93</v>
      </c>
      <c r="D98" s="31" t="n">
        <v>5.5</v>
      </c>
      <c r="E98" s="39" t="n">
        <v>32059.69</v>
      </c>
    </row>
    <row r="99">
      <c r="A99" t="inlineStr">
        <is>
          <t>ENC114177</t>
        </is>
      </c>
      <c r="B99" t="inlineStr">
        <is>
          <t>Behavioral Health</t>
        </is>
      </c>
      <c r="C99" s="34" t="n">
        <v>15</v>
      </c>
      <c r="D99" s="31" t="n">
        <v>6.8</v>
      </c>
      <c r="E99" s="39" t="n">
        <v>30110.72</v>
      </c>
    </row>
    <row r="100">
      <c r="A100" t="inlineStr">
        <is>
          <t>ENC114226</t>
        </is>
      </c>
      <c r="B100" t="inlineStr">
        <is>
          <t>Behavioral Health</t>
        </is>
      </c>
      <c r="C100" s="34" t="n">
        <v>67</v>
      </c>
      <c r="D100" s="31" t="n">
        <v>6.6</v>
      </c>
      <c r="E100" s="39" t="n">
        <v>19528.85</v>
      </c>
    </row>
    <row r="101">
      <c r="A101" t="inlineStr">
        <is>
          <t>ENC114266</t>
        </is>
      </c>
      <c r="B101" t="inlineStr">
        <is>
          <t>Women &amp; Children</t>
        </is>
      </c>
      <c r="C101" s="34" t="n">
        <v>23</v>
      </c>
      <c r="D101" s="31" t="n">
        <v>1.5</v>
      </c>
      <c r="E101" s="39" t="n">
        <v>13759.23</v>
      </c>
    </row>
    <row r="102">
      <c r="A102" t="inlineStr">
        <is>
          <t>ENC114304</t>
        </is>
      </c>
      <c r="B102" t="inlineStr">
        <is>
          <t>Critical Care</t>
        </is>
      </c>
      <c r="C102" s="34" t="n">
        <v>50</v>
      </c>
      <c r="D102" s="31" t="n">
        <v>3.2</v>
      </c>
      <c r="E102" s="39" t="n">
        <v>38320.47</v>
      </c>
    </row>
    <row r="103">
      <c r="A103" t="inlineStr">
        <is>
          <t>ENC114342</t>
        </is>
      </c>
      <c r="B103" t="inlineStr">
        <is>
          <t>Critical Care</t>
        </is>
      </c>
      <c r="C103" s="34" t="n">
        <v>66</v>
      </c>
      <c r="D103" s="31" t="n">
        <v>5.8</v>
      </c>
      <c r="E103" s="39" t="n">
        <v>54926.7</v>
      </c>
    </row>
    <row r="104">
      <c r="A104" t="inlineStr">
        <is>
          <t>ENC114381</t>
        </is>
      </c>
      <c r="B104" t="inlineStr">
        <is>
          <t>Medicine</t>
        </is>
      </c>
      <c r="C104" s="34" t="n">
        <v>53</v>
      </c>
      <c r="D104" s="31" t="n">
        <v>3</v>
      </c>
      <c r="E104" s="39" t="n">
        <v>26039.53</v>
      </c>
    </row>
    <row r="105">
      <c r="A105" t="inlineStr">
        <is>
          <t>ENC114437</t>
        </is>
      </c>
      <c r="B105" t="inlineStr">
        <is>
          <t>Medicine</t>
        </is>
      </c>
      <c r="C105" s="34" t="n">
        <v>87</v>
      </c>
      <c r="D105" s="31" t="n">
        <v>11.1</v>
      </c>
      <c r="E105" s="39" t="n">
        <v>41297.66</v>
      </c>
    </row>
    <row r="106">
      <c r="A106" t="inlineStr">
        <is>
          <t>ENC114472</t>
        </is>
      </c>
      <c r="B106" t="inlineStr">
        <is>
          <t>Medicine</t>
        </is>
      </c>
      <c r="C106" s="34" t="n">
        <v>51</v>
      </c>
      <c r="D106" s="31" t="n">
        <v>2.6</v>
      </c>
      <c r="E106" s="39" t="n">
        <v>17207.92</v>
      </c>
    </row>
    <row r="107">
      <c r="A107" t="inlineStr">
        <is>
          <t>ENC114516</t>
        </is>
      </c>
      <c r="B107" t="inlineStr">
        <is>
          <t>Medicine</t>
        </is>
      </c>
      <c r="C107" s="34" t="n">
        <v>67</v>
      </c>
      <c r="D107" s="31" t="n">
        <v>7</v>
      </c>
      <c r="E107" s="39" t="n">
        <v>24028.07</v>
      </c>
    </row>
    <row r="108">
      <c r="A108" t="inlineStr">
        <is>
          <t>ENC114544</t>
        </is>
      </c>
      <c r="B108" t="inlineStr">
        <is>
          <t>Cardiovascular</t>
        </is>
      </c>
      <c r="C108" s="34" t="n">
        <v>91</v>
      </c>
      <c r="D108" s="31" t="n">
        <v>3.1</v>
      </c>
      <c r="E108" s="39" t="n">
        <v>13416.9</v>
      </c>
    </row>
    <row r="109">
      <c r="A109" t="inlineStr">
        <is>
          <t>ENC114566</t>
        </is>
      </c>
      <c r="B109" t="inlineStr">
        <is>
          <t>Neuroscience</t>
        </is>
      </c>
      <c r="C109" s="34" t="n">
        <v>50</v>
      </c>
      <c r="D109" s="31" t="n">
        <v>5.3</v>
      </c>
      <c r="E109" s="39" t="n">
        <v>19598.69</v>
      </c>
    </row>
    <row r="110">
      <c r="A110" t="inlineStr">
        <is>
          <t>ENC114603</t>
        </is>
      </c>
      <c r="B110" t="inlineStr">
        <is>
          <t>Medicine</t>
        </is>
      </c>
      <c r="C110" s="34" t="n">
        <v>53</v>
      </c>
      <c r="D110" s="31" t="n">
        <v>3</v>
      </c>
      <c r="E110" s="39" t="n">
        <v>8841.790000000001</v>
      </c>
    </row>
    <row r="111">
      <c r="A111" t="inlineStr">
        <is>
          <t>ENC114633</t>
        </is>
      </c>
      <c r="B111" t="inlineStr">
        <is>
          <t>Behavioral Health</t>
        </is>
      </c>
      <c r="C111" s="34" t="n">
        <v>79</v>
      </c>
      <c r="D111" s="31" t="n">
        <v>7.9</v>
      </c>
      <c r="E111" s="39" t="n">
        <v>31339.66</v>
      </c>
    </row>
    <row r="112">
      <c r="A112" t="inlineStr">
        <is>
          <t>ENC114660</t>
        </is>
      </c>
      <c r="B112" t="inlineStr">
        <is>
          <t>Cardiovascular</t>
        </is>
      </c>
      <c r="C112" s="34" t="n">
        <v>97</v>
      </c>
      <c r="D112" s="31" t="n">
        <v>3.2</v>
      </c>
      <c r="E112" s="39" t="n">
        <v>25737.56</v>
      </c>
    </row>
    <row r="113">
      <c r="A113" t="inlineStr">
        <is>
          <t>ENC114698</t>
        </is>
      </c>
      <c r="B113" t="inlineStr">
        <is>
          <t>Critical Care</t>
        </is>
      </c>
      <c r="C113" s="34" t="n">
        <v>86</v>
      </c>
      <c r="D113" s="31" t="n">
        <v>8.800000000000001</v>
      </c>
      <c r="E113" s="39" t="n">
        <v>96796.72</v>
      </c>
    </row>
    <row r="114">
      <c r="A114" t="inlineStr">
        <is>
          <t>ENC114721</t>
        </is>
      </c>
      <c r="B114" t="inlineStr">
        <is>
          <t>Medicine</t>
        </is>
      </c>
      <c r="C114" s="34" t="n">
        <v>3</v>
      </c>
      <c r="D114" s="31" t="n">
        <v>3.1</v>
      </c>
      <c r="E114" s="39" t="n">
        <v>14385.4</v>
      </c>
    </row>
    <row r="115">
      <c r="A115" t="inlineStr">
        <is>
          <t>ENC114748</t>
        </is>
      </c>
      <c r="B115" t="inlineStr">
        <is>
          <t>Women &amp; Children</t>
        </is>
      </c>
      <c r="C115" s="34" t="n">
        <v>22</v>
      </c>
      <c r="D115" s="31" t="n">
        <v>1.6</v>
      </c>
      <c r="E115" s="39" t="n">
        <v>12742.78</v>
      </c>
    </row>
    <row r="116">
      <c r="A116" t="inlineStr">
        <is>
          <t>ENC114791</t>
        </is>
      </c>
      <c r="B116" t="inlineStr">
        <is>
          <t>Oncology</t>
        </is>
      </c>
      <c r="C116" s="34" t="n">
        <v>71</v>
      </c>
      <c r="D116" s="31" t="n">
        <v>6.6</v>
      </c>
      <c r="E116" s="39" t="n">
        <v>36689.85</v>
      </c>
    </row>
    <row r="117">
      <c r="A117" t="inlineStr">
        <is>
          <t>ENC114838</t>
        </is>
      </c>
      <c r="B117" t="inlineStr">
        <is>
          <t>Cardiovascular</t>
        </is>
      </c>
      <c r="C117" s="34" t="n">
        <v>73</v>
      </c>
      <c r="D117" s="31" t="n">
        <v>3.6</v>
      </c>
      <c r="E117" s="39" t="n">
        <v>26811.47</v>
      </c>
    </row>
    <row r="118">
      <c r="A118" t="inlineStr">
        <is>
          <t>ENC114870</t>
        </is>
      </c>
      <c r="B118" t="inlineStr">
        <is>
          <t>Orthopedics</t>
        </is>
      </c>
      <c r="C118" s="34" t="n">
        <v>66</v>
      </c>
      <c r="D118" s="31" t="n">
        <v>3.2</v>
      </c>
      <c r="E118" s="39" t="n">
        <v>67410.42999999999</v>
      </c>
    </row>
    <row r="119">
      <c r="A119" t="inlineStr">
        <is>
          <t>ENC114913</t>
        </is>
      </c>
      <c r="B119" t="inlineStr">
        <is>
          <t>Cardiovascular</t>
        </is>
      </c>
      <c r="C119" s="34" t="n">
        <v>59</v>
      </c>
      <c r="D119" s="31" t="n">
        <v>6.9</v>
      </c>
      <c r="E119" s="39" t="n">
        <v>48753.42</v>
      </c>
    </row>
    <row r="120">
      <c r="A120" t="inlineStr">
        <is>
          <t>ENC114952</t>
        </is>
      </c>
      <c r="B120" t="inlineStr">
        <is>
          <t>Medicine</t>
        </is>
      </c>
      <c r="C120" s="34" t="n">
        <v>18</v>
      </c>
      <c r="D120" s="31" t="n">
        <v>8.9</v>
      </c>
      <c r="E120" s="39" t="n">
        <v>118455.81</v>
      </c>
    </row>
    <row r="121">
      <c r="A121" t="inlineStr">
        <is>
          <t>ENC114995</t>
        </is>
      </c>
      <c r="B121" t="inlineStr">
        <is>
          <t>Critical Care</t>
        </is>
      </c>
      <c r="C121" s="34" t="n">
        <v>63</v>
      </c>
      <c r="D121" s="31" t="n">
        <v>6.7</v>
      </c>
      <c r="E121" s="39" t="n">
        <v>77203.07000000001</v>
      </c>
    </row>
    <row r="122">
      <c r="A122" t="inlineStr">
        <is>
          <t>ENC115031</t>
        </is>
      </c>
      <c r="B122" t="inlineStr">
        <is>
          <t>Medicine</t>
        </is>
      </c>
      <c r="C122" s="34" t="n">
        <v>96</v>
      </c>
      <c r="D122" s="31" t="n">
        <v>5.7</v>
      </c>
      <c r="E122" s="39" t="n">
        <v>24242.42</v>
      </c>
    </row>
    <row r="123">
      <c r="A123" t="inlineStr">
        <is>
          <t>ENC115064</t>
        </is>
      </c>
      <c r="B123" t="inlineStr">
        <is>
          <t>Medicine</t>
        </is>
      </c>
      <c r="C123" s="34" t="n">
        <v>49</v>
      </c>
      <c r="D123" s="31" t="n">
        <v>8.9</v>
      </c>
      <c r="E123" s="39" t="n">
        <v>68890.27</v>
      </c>
    </row>
    <row r="124">
      <c r="A124" t="inlineStr">
        <is>
          <t>ENC115104</t>
        </is>
      </c>
      <c r="B124" t="inlineStr">
        <is>
          <t>Critical Care</t>
        </is>
      </c>
      <c r="C124" s="34" t="n">
        <v>30</v>
      </c>
      <c r="D124" s="31" t="n">
        <v>4.8</v>
      </c>
      <c r="E124" s="39" t="n">
        <v>56588.91</v>
      </c>
    </row>
    <row r="125">
      <c r="A125" t="inlineStr">
        <is>
          <t>ENC115132</t>
        </is>
      </c>
      <c r="B125" t="inlineStr">
        <is>
          <t>Women &amp; Children</t>
        </is>
      </c>
      <c r="C125" s="34" t="n">
        <v>21</v>
      </c>
      <c r="D125" s="31" t="n">
        <v>2.4</v>
      </c>
      <c r="E125" s="39" t="n">
        <v>21155.9</v>
      </c>
    </row>
    <row r="126">
      <c r="A126" t="inlineStr">
        <is>
          <t>ENC115154</t>
        </is>
      </c>
      <c r="B126" t="inlineStr">
        <is>
          <t>Medicine</t>
        </is>
      </c>
      <c r="C126" s="34" t="n">
        <v>22</v>
      </c>
      <c r="D126" s="31" t="n">
        <v>4.2</v>
      </c>
      <c r="E126" s="39" t="n">
        <v>12712.12</v>
      </c>
    </row>
    <row r="127">
      <c r="A127" t="inlineStr">
        <is>
          <t>ENC115169</t>
        </is>
      </c>
      <c r="B127" t="inlineStr">
        <is>
          <t>Cardiovascular</t>
        </is>
      </c>
      <c r="C127" s="34" t="n">
        <v>60</v>
      </c>
      <c r="D127" s="31" t="n">
        <v>6.5</v>
      </c>
      <c r="E127" s="39" t="n">
        <v>108562.55</v>
      </c>
    </row>
    <row r="128">
      <c r="A128" t="inlineStr">
        <is>
          <t>ENC115210</t>
        </is>
      </c>
      <c r="B128" t="inlineStr">
        <is>
          <t>Medicine</t>
        </is>
      </c>
      <c r="C128" s="34" t="n">
        <v>88</v>
      </c>
      <c r="D128" s="31" t="n">
        <v>2.9</v>
      </c>
      <c r="E128" s="39" t="n">
        <v>13153.32</v>
      </c>
    </row>
    <row r="129">
      <c r="A129" t="inlineStr">
        <is>
          <t>ENC115251</t>
        </is>
      </c>
      <c r="B129" t="inlineStr">
        <is>
          <t>Medicine</t>
        </is>
      </c>
      <c r="C129" s="34" t="n">
        <v>53</v>
      </c>
      <c r="D129" s="31" t="n">
        <v>2.5</v>
      </c>
      <c r="E129" s="39" t="n">
        <v>14965.47</v>
      </c>
    </row>
    <row r="130">
      <c r="A130" t="inlineStr">
        <is>
          <t>ENC115285</t>
        </is>
      </c>
      <c r="B130" t="inlineStr">
        <is>
          <t>Medicine</t>
        </is>
      </c>
      <c r="C130" s="34" t="n">
        <v>77</v>
      </c>
      <c r="D130" s="31" t="n">
        <v>6.9</v>
      </c>
      <c r="E130" s="39" t="n">
        <v>30618.7</v>
      </c>
    </row>
    <row r="131">
      <c r="A131" t="inlineStr">
        <is>
          <t>ENC115334</t>
        </is>
      </c>
      <c r="B131" t="inlineStr">
        <is>
          <t>Medicine</t>
        </is>
      </c>
      <c r="C131" s="34" t="n">
        <v>92</v>
      </c>
      <c r="D131" s="31" t="n">
        <v>2.6</v>
      </c>
      <c r="E131" s="39" t="n">
        <v>10200.14</v>
      </c>
    </row>
    <row r="132">
      <c r="A132" t="inlineStr">
        <is>
          <t>ENC115357</t>
        </is>
      </c>
      <c r="B132" t="inlineStr">
        <is>
          <t>Behavioral Health</t>
        </is>
      </c>
      <c r="C132" s="34" t="n">
        <v>26</v>
      </c>
      <c r="D132" s="31" t="n">
        <v>9</v>
      </c>
      <c r="E132" s="39" t="n">
        <v>18426.61</v>
      </c>
    </row>
    <row r="133">
      <c r="A133" t="inlineStr">
        <is>
          <t>ENC115378</t>
        </is>
      </c>
      <c r="B133" t="inlineStr">
        <is>
          <t>Oncology</t>
        </is>
      </c>
      <c r="C133" s="34" t="n">
        <v>59</v>
      </c>
      <c r="D133" s="31" t="n">
        <v>3.1</v>
      </c>
      <c r="E133" s="39" t="n">
        <v>28821.57</v>
      </c>
    </row>
    <row r="134">
      <c r="A134" t="inlineStr">
        <is>
          <t>ENC115418</t>
        </is>
      </c>
      <c r="B134" t="inlineStr">
        <is>
          <t>Cardiovascular</t>
        </is>
      </c>
      <c r="C134" s="34" t="n">
        <v>51</v>
      </c>
      <c r="D134" s="31" t="n">
        <v>4.8</v>
      </c>
      <c r="E134" s="39" t="n">
        <v>15969.93</v>
      </c>
    </row>
    <row r="135">
      <c r="A135" t="inlineStr">
        <is>
          <t>ENC115459</t>
        </is>
      </c>
      <c r="B135" t="inlineStr">
        <is>
          <t>Medicine</t>
        </is>
      </c>
      <c r="C135" s="34" t="n">
        <v>42</v>
      </c>
      <c r="D135" s="31" t="n">
        <v>6</v>
      </c>
      <c r="E135" s="39" t="n">
        <v>19714.92</v>
      </c>
    </row>
    <row r="136">
      <c r="A136" t="inlineStr">
        <is>
          <t>ENC115497</t>
        </is>
      </c>
      <c r="B136" t="inlineStr">
        <is>
          <t>Medicine</t>
        </is>
      </c>
      <c r="C136" s="34" t="n">
        <v>69</v>
      </c>
      <c r="D136" s="31" t="n">
        <v>2.5</v>
      </c>
      <c r="E136" s="39" t="n">
        <v>5195.41</v>
      </c>
    </row>
    <row r="137">
      <c r="A137" t="inlineStr">
        <is>
          <t>ENC115526</t>
        </is>
      </c>
      <c r="B137" t="inlineStr">
        <is>
          <t>Medicine</t>
        </is>
      </c>
      <c r="C137" s="34" t="n">
        <v>59</v>
      </c>
      <c r="D137" s="31" t="n">
        <v>5.7</v>
      </c>
      <c r="E137" s="39" t="n">
        <v>26025.13</v>
      </c>
    </row>
    <row r="138">
      <c r="A138" t="inlineStr">
        <is>
          <t>ENC115563</t>
        </is>
      </c>
      <c r="B138" t="inlineStr">
        <is>
          <t>Women &amp; Children</t>
        </is>
      </c>
      <c r="C138" s="34" t="n">
        <v>26</v>
      </c>
      <c r="D138" s="31" t="n">
        <v>1.4</v>
      </c>
      <c r="E138" s="39" t="n">
        <v>15199.62</v>
      </c>
    </row>
    <row r="139">
      <c r="A139" t="inlineStr">
        <is>
          <t>ENC115596</t>
        </is>
      </c>
      <c r="B139" t="inlineStr">
        <is>
          <t>Orthopedics</t>
        </is>
      </c>
      <c r="C139" s="34" t="n">
        <v>67</v>
      </c>
      <c r="D139" s="31" t="n">
        <v>2.2</v>
      </c>
      <c r="E139" s="39" t="n">
        <v>47868.74</v>
      </c>
    </row>
    <row r="140">
      <c r="A140" t="inlineStr">
        <is>
          <t>ENC115651</t>
        </is>
      </c>
      <c r="B140" t="inlineStr">
        <is>
          <t>Medicine</t>
        </is>
      </c>
      <c r="C140" s="34" t="n">
        <v>29</v>
      </c>
      <c r="D140" s="31" t="n">
        <v>5</v>
      </c>
      <c r="E140" s="39" t="n">
        <v>17236.13</v>
      </c>
    </row>
    <row r="141">
      <c r="A141" t="inlineStr">
        <is>
          <t>ENC115687</t>
        </is>
      </c>
      <c r="B141" t="inlineStr">
        <is>
          <t>Women &amp; Children</t>
        </is>
      </c>
      <c r="C141" s="34" t="n">
        <v>42</v>
      </c>
      <c r="D141" s="31" t="n">
        <v>1.6</v>
      </c>
      <c r="E141" s="39" t="n">
        <v>16895.85</v>
      </c>
    </row>
    <row r="142">
      <c r="A142" t="inlineStr">
        <is>
          <t>ENC115728</t>
        </is>
      </c>
      <c r="B142" t="inlineStr">
        <is>
          <t>Medicine</t>
        </is>
      </c>
      <c r="C142" s="34" t="n">
        <v>78</v>
      </c>
      <c r="D142" s="31" t="n">
        <v>5.9</v>
      </c>
      <c r="E142" s="39" t="n">
        <v>26200.01</v>
      </c>
    </row>
    <row r="143">
      <c r="A143" t="inlineStr">
        <is>
          <t>ENC115770</t>
        </is>
      </c>
      <c r="B143" t="inlineStr">
        <is>
          <t>Women &amp; Children</t>
        </is>
      </c>
      <c r="C143" s="34" t="n">
        <v>26</v>
      </c>
      <c r="D143" s="31" t="n">
        <v>3.1</v>
      </c>
      <c r="E143" s="39" t="n">
        <v>17896.71</v>
      </c>
    </row>
    <row r="144">
      <c r="A144" t="inlineStr">
        <is>
          <t>ENC115814</t>
        </is>
      </c>
      <c r="B144" t="inlineStr">
        <is>
          <t>Neuroscience</t>
        </is>
      </c>
      <c r="C144" s="34" t="n">
        <v>77</v>
      </c>
      <c r="D144" s="31" t="n">
        <v>2.9</v>
      </c>
      <c r="E144" s="39" t="n">
        <v>19812.09</v>
      </c>
    </row>
    <row r="145">
      <c r="A145" t="inlineStr">
        <is>
          <t>ENC115862</t>
        </is>
      </c>
      <c r="B145" t="inlineStr">
        <is>
          <t>Neuroscience</t>
        </is>
      </c>
      <c r="C145" s="34" t="n">
        <v>73</v>
      </c>
      <c r="D145" s="31" t="n">
        <v>3.1</v>
      </c>
      <c r="E145" s="39" t="n">
        <v>20714.57</v>
      </c>
    </row>
    <row r="146">
      <c r="A146" t="inlineStr">
        <is>
          <t>ENC115915</t>
        </is>
      </c>
      <c r="B146" t="inlineStr">
        <is>
          <t>Behavioral Health</t>
        </is>
      </c>
      <c r="C146" s="34" t="n">
        <v>55</v>
      </c>
      <c r="D146" s="31" t="n">
        <v>16.7</v>
      </c>
      <c r="E146" s="39" t="n">
        <v>55754.78</v>
      </c>
    </row>
    <row r="147">
      <c r="A147" t="inlineStr">
        <is>
          <t>ENC115939</t>
        </is>
      </c>
      <c r="B147" t="inlineStr">
        <is>
          <t>Medicine</t>
        </is>
      </c>
      <c r="C147" s="34" t="n">
        <v>58</v>
      </c>
      <c r="D147" s="31" t="n">
        <v>3.7</v>
      </c>
      <c r="E147" s="39" t="n">
        <v>13643.04</v>
      </c>
    </row>
    <row r="148">
      <c r="A148" t="inlineStr">
        <is>
          <t>ENC116011</t>
        </is>
      </c>
      <c r="B148" t="inlineStr">
        <is>
          <t>Medicine</t>
        </is>
      </c>
      <c r="C148" s="34" t="n">
        <v>82</v>
      </c>
      <c r="D148" s="31" t="n">
        <v>4.9</v>
      </c>
      <c r="E148" s="39" t="n">
        <v>18807.37</v>
      </c>
    </row>
    <row r="149">
      <c r="A149" t="inlineStr">
        <is>
          <t>ENC116039</t>
        </is>
      </c>
      <c r="B149" t="inlineStr">
        <is>
          <t>Medicine</t>
        </is>
      </c>
      <c r="C149" s="34" t="n">
        <v>28</v>
      </c>
      <c r="D149" s="31" t="n">
        <v>5.6</v>
      </c>
      <c r="E149" s="39" t="n">
        <v>24027.43</v>
      </c>
    </row>
    <row r="150">
      <c r="A150" t="inlineStr">
        <is>
          <t>ENC116075</t>
        </is>
      </c>
      <c r="B150" t="inlineStr">
        <is>
          <t>Oncology</t>
        </is>
      </c>
      <c r="C150" s="34" t="n">
        <v>76</v>
      </c>
      <c r="D150" s="31" t="n">
        <v>4.9</v>
      </c>
      <c r="E150" s="39" t="n">
        <v>27899.47</v>
      </c>
    </row>
    <row r="151">
      <c r="A151" t="inlineStr">
        <is>
          <t>ENC116115</t>
        </is>
      </c>
      <c r="B151" t="inlineStr">
        <is>
          <t>Cardiovascular</t>
        </is>
      </c>
      <c r="C151" s="34" t="n">
        <v>70</v>
      </c>
      <c r="D151" s="31" t="n">
        <v>9.800000000000001</v>
      </c>
      <c r="E151" s="39" t="n">
        <v>48144</v>
      </c>
    </row>
    <row r="152">
      <c r="A152" t="inlineStr">
        <is>
          <t>ENC116147</t>
        </is>
      </c>
      <c r="B152" t="inlineStr">
        <is>
          <t>Behavioral Health</t>
        </is>
      </c>
      <c r="C152" s="34" t="n">
        <v>48</v>
      </c>
      <c r="D152" s="31" t="n">
        <v>4</v>
      </c>
      <c r="E152" s="39" t="n">
        <v>10972.27</v>
      </c>
    </row>
    <row r="153">
      <c r="A153" t="inlineStr">
        <is>
          <t>ENC116190</t>
        </is>
      </c>
      <c r="B153" t="inlineStr">
        <is>
          <t>Medicine</t>
        </is>
      </c>
      <c r="C153" s="34" t="n">
        <v>73</v>
      </c>
      <c r="D153" s="31" t="n">
        <v>4.9</v>
      </c>
      <c r="E153" s="39" t="n">
        <v>20782.29</v>
      </c>
    </row>
    <row r="154">
      <c r="A154" t="inlineStr">
        <is>
          <t>ENC116234</t>
        </is>
      </c>
      <c r="B154" t="inlineStr">
        <is>
          <t>Critical Care</t>
        </is>
      </c>
      <c r="C154" s="34" t="n">
        <v>50</v>
      </c>
      <c r="D154" s="31" t="n">
        <v>6.6</v>
      </c>
      <c r="E154" s="39" t="n">
        <v>73881.97</v>
      </c>
    </row>
    <row r="155">
      <c r="A155" t="inlineStr">
        <is>
          <t>ENC116265</t>
        </is>
      </c>
      <c r="B155" t="inlineStr">
        <is>
          <t>Medicine</t>
        </is>
      </c>
      <c r="C155" s="34" t="n">
        <v>77</v>
      </c>
      <c r="D155" s="31" t="n">
        <v>8.4</v>
      </c>
      <c r="E155" s="39" t="n">
        <v>84006.09</v>
      </c>
    </row>
    <row r="156">
      <c r="A156" t="inlineStr">
        <is>
          <t>ENC116306</t>
        </is>
      </c>
      <c r="B156" t="inlineStr">
        <is>
          <t>Medicine</t>
        </is>
      </c>
      <c r="C156" s="34" t="n">
        <v>65</v>
      </c>
      <c r="D156" s="31" t="n">
        <v>4.4</v>
      </c>
      <c r="E156" s="39" t="n">
        <v>23489.23</v>
      </c>
    </row>
    <row r="157">
      <c r="A157" t="inlineStr">
        <is>
          <t>ENC116354</t>
        </is>
      </c>
      <c r="B157" t="inlineStr">
        <is>
          <t>Medicine</t>
        </is>
      </c>
      <c r="C157" s="34" t="n">
        <v>57</v>
      </c>
      <c r="D157" s="31" t="n">
        <v>3.8</v>
      </c>
      <c r="E157" s="39" t="n">
        <v>41309.14</v>
      </c>
    </row>
    <row r="158">
      <c r="A158" t="inlineStr">
        <is>
          <t>ENC116396</t>
        </is>
      </c>
      <c r="B158" t="inlineStr">
        <is>
          <t>Medicine</t>
        </is>
      </c>
      <c r="C158" s="34" t="n">
        <v>50</v>
      </c>
      <c r="D158" s="31" t="n">
        <v>4.8</v>
      </c>
      <c r="E158" s="39" t="n">
        <v>20654.53</v>
      </c>
    </row>
    <row r="159">
      <c r="A159" t="inlineStr">
        <is>
          <t>ENC116456</t>
        </is>
      </c>
      <c r="B159" t="inlineStr">
        <is>
          <t>Medicine</t>
        </is>
      </c>
      <c r="C159" s="34" t="n">
        <v>77</v>
      </c>
      <c r="D159" s="31" t="n">
        <v>4.7</v>
      </c>
      <c r="E159" s="39" t="n">
        <v>16074.14</v>
      </c>
    </row>
    <row r="160">
      <c r="A160" t="inlineStr">
        <is>
          <t>ENC116491</t>
        </is>
      </c>
      <c r="B160" t="inlineStr">
        <is>
          <t>Medicine</t>
        </is>
      </c>
      <c r="C160" s="34" t="n">
        <v>94</v>
      </c>
      <c r="D160" s="31" t="n">
        <v>8</v>
      </c>
      <c r="E160" s="39" t="n">
        <v>61754.48</v>
      </c>
    </row>
    <row r="161">
      <c r="A161" t="inlineStr">
        <is>
          <t>ENC116529</t>
        </is>
      </c>
      <c r="B161" t="inlineStr">
        <is>
          <t>Neuroscience</t>
        </is>
      </c>
      <c r="C161" s="34" t="n">
        <v>59</v>
      </c>
      <c r="D161" s="31" t="n">
        <v>2.8</v>
      </c>
      <c r="E161" s="39" t="n">
        <v>18280.64</v>
      </c>
    </row>
    <row r="162">
      <c r="A162" t="inlineStr">
        <is>
          <t>ENC116559</t>
        </is>
      </c>
      <c r="B162" t="inlineStr">
        <is>
          <t>Medicine</t>
        </is>
      </c>
      <c r="C162" s="34" t="n">
        <v>43</v>
      </c>
      <c r="D162" s="31" t="n">
        <v>4.5</v>
      </c>
      <c r="E162" s="39" t="n">
        <v>23143.37</v>
      </c>
    </row>
    <row r="163">
      <c r="A163" t="inlineStr">
        <is>
          <t>ENC116604</t>
        </is>
      </c>
      <c r="B163" t="inlineStr">
        <is>
          <t>Medicine</t>
        </is>
      </c>
      <c r="C163" s="34" t="n">
        <v>56</v>
      </c>
      <c r="D163" s="31" t="n">
        <v>3.3</v>
      </c>
      <c r="E163" s="39" t="n">
        <v>18594.84</v>
      </c>
    </row>
    <row r="164">
      <c r="A164" t="inlineStr">
        <is>
          <t>ENC116640</t>
        </is>
      </c>
      <c r="B164" t="inlineStr">
        <is>
          <t>Medicine</t>
        </is>
      </c>
      <c r="C164" s="34" t="n">
        <v>56</v>
      </c>
      <c r="D164" s="31" t="n">
        <v>3.9</v>
      </c>
      <c r="E164" s="39" t="n">
        <v>38082.66</v>
      </c>
    </row>
    <row r="165">
      <c r="A165" t="inlineStr">
        <is>
          <t>ENC116667</t>
        </is>
      </c>
      <c r="B165" t="inlineStr">
        <is>
          <t>Women &amp; Children</t>
        </is>
      </c>
      <c r="C165" s="34" t="n">
        <v>30</v>
      </c>
      <c r="D165" s="31" t="n">
        <v>2.6</v>
      </c>
      <c r="E165" s="39" t="n">
        <v>17074.74</v>
      </c>
    </row>
    <row r="166">
      <c r="A166" t="inlineStr">
        <is>
          <t>ENC116706</t>
        </is>
      </c>
      <c r="B166" t="inlineStr">
        <is>
          <t>Medicine</t>
        </is>
      </c>
      <c r="C166" s="34" t="n">
        <v>49</v>
      </c>
      <c r="D166" s="31" t="n">
        <v>3.4</v>
      </c>
      <c r="E166" s="39" t="n">
        <v>14148.05</v>
      </c>
    </row>
    <row r="167">
      <c r="A167" t="inlineStr">
        <is>
          <t>ENC116744</t>
        </is>
      </c>
      <c r="B167" t="inlineStr">
        <is>
          <t>Behavioral Health</t>
        </is>
      </c>
      <c r="C167" s="34" t="n">
        <v>44</v>
      </c>
      <c r="D167" s="31" t="n">
        <v>5.9</v>
      </c>
      <c r="E167" s="39" t="n">
        <v>29421.04</v>
      </c>
    </row>
    <row r="168">
      <c r="A168" t="inlineStr">
        <is>
          <t>ENC116769</t>
        </is>
      </c>
      <c r="B168" t="inlineStr">
        <is>
          <t>Behavioral Health</t>
        </is>
      </c>
      <c r="C168" s="34" t="n">
        <v>27</v>
      </c>
      <c r="D168" s="31" t="n">
        <v>10.8</v>
      </c>
      <c r="E168" s="39" t="n">
        <v>34451.85</v>
      </c>
    </row>
    <row r="169">
      <c r="A169" t="inlineStr">
        <is>
          <t>ENC116820</t>
        </is>
      </c>
      <c r="B169" t="inlineStr">
        <is>
          <t>Medicine</t>
        </is>
      </c>
      <c r="C169" s="34" t="n">
        <v>30</v>
      </c>
      <c r="D169" s="31" t="n">
        <v>11.8</v>
      </c>
      <c r="E169" s="39" t="n">
        <v>109763.59</v>
      </c>
    </row>
    <row r="170">
      <c r="A170" t="inlineStr">
        <is>
          <t>ENC116890</t>
        </is>
      </c>
      <c r="B170" t="inlineStr">
        <is>
          <t>Medicine</t>
        </is>
      </c>
      <c r="C170" s="34" t="n">
        <v>58</v>
      </c>
      <c r="D170" s="31" t="n">
        <v>3.7</v>
      </c>
      <c r="E170" s="39" t="n">
        <v>18361.87</v>
      </c>
    </row>
    <row r="171">
      <c r="A171" t="inlineStr">
        <is>
          <t>ENC116934</t>
        </is>
      </c>
      <c r="B171" t="inlineStr">
        <is>
          <t>Cardiovascular</t>
        </is>
      </c>
      <c r="C171" s="34" t="n">
        <v>49</v>
      </c>
      <c r="D171" s="31" t="n">
        <v>2.8</v>
      </c>
      <c r="E171" s="39" t="n">
        <v>59545.38</v>
      </c>
    </row>
    <row r="172">
      <c r="A172" t="inlineStr">
        <is>
          <t>ENC116954</t>
        </is>
      </c>
      <c r="B172" t="inlineStr">
        <is>
          <t>Medicine</t>
        </is>
      </c>
      <c r="C172" s="34" t="n">
        <v>73</v>
      </c>
      <c r="D172" s="31" t="n">
        <v>1.8</v>
      </c>
      <c r="E172" s="39" t="n">
        <v>10649.7</v>
      </c>
    </row>
    <row r="173">
      <c r="A173" t="inlineStr">
        <is>
          <t>ENC117008</t>
        </is>
      </c>
      <c r="B173" t="inlineStr">
        <is>
          <t>Oncology</t>
        </is>
      </c>
      <c r="C173" s="34" t="n">
        <v>58</v>
      </c>
      <c r="D173" s="31" t="n">
        <v>6.1</v>
      </c>
      <c r="E173" s="39" t="n">
        <v>29546.94</v>
      </c>
    </row>
    <row r="174">
      <c r="A174" t="inlineStr">
        <is>
          <t>ENC117067</t>
        </is>
      </c>
      <c r="B174" t="inlineStr">
        <is>
          <t>Orthopedics</t>
        </is>
      </c>
      <c r="C174" s="34" t="n">
        <v>72</v>
      </c>
      <c r="D174" s="31" t="n">
        <v>2.4</v>
      </c>
      <c r="E174" s="39" t="n">
        <v>53149.5</v>
      </c>
    </row>
    <row r="175">
      <c r="A175" t="inlineStr">
        <is>
          <t>ENC117106</t>
        </is>
      </c>
      <c r="B175" t="inlineStr">
        <is>
          <t>Women &amp; Children</t>
        </is>
      </c>
      <c r="C175" s="34" t="n">
        <v>39</v>
      </c>
      <c r="D175" s="31" t="n">
        <v>3.2</v>
      </c>
      <c r="E175" s="39" t="n">
        <v>17705.02</v>
      </c>
    </row>
    <row r="176">
      <c r="A176" t="inlineStr">
        <is>
          <t>ENC117160</t>
        </is>
      </c>
      <c r="B176" t="inlineStr">
        <is>
          <t>Neuroscience</t>
        </is>
      </c>
      <c r="C176" s="34" t="n">
        <v>51</v>
      </c>
      <c r="D176" s="31" t="n">
        <v>3.3</v>
      </c>
      <c r="E176" s="39" t="n">
        <v>22484.63</v>
      </c>
    </row>
    <row r="177">
      <c r="A177" t="inlineStr">
        <is>
          <t>ENC117193</t>
        </is>
      </c>
      <c r="B177" t="inlineStr">
        <is>
          <t>Medicine</t>
        </is>
      </c>
      <c r="C177" s="34" t="n">
        <v>35</v>
      </c>
      <c r="D177" s="31" t="n">
        <v>3.8</v>
      </c>
      <c r="E177" s="39" t="n">
        <v>8986.16</v>
      </c>
    </row>
    <row r="178">
      <c r="A178" t="inlineStr">
        <is>
          <t>ENC117212</t>
        </is>
      </c>
      <c r="B178" t="inlineStr">
        <is>
          <t>Medicine</t>
        </is>
      </c>
      <c r="C178" s="34" t="n">
        <v>17</v>
      </c>
      <c r="D178" s="31" t="n">
        <v>2</v>
      </c>
      <c r="E178" s="39" t="n">
        <v>12724.74</v>
      </c>
    </row>
    <row r="179">
      <c r="A179" t="inlineStr">
        <is>
          <t>ENC117258</t>
        </is>
      </c>
      <c r="B179" t="inlineStr">
        <is>
          <t>Women &amp; Children</t>
        </is>
      </c>
      <c r="C179" s="34" t="n">
        <v>2</v>
      </c>
      <c r="D179" s="31" t="n">
        <v>1.9</v>
      </c>
      <c r="E179" s="39" t="n">
        <v>21569.49</v>
      </c>
    </row>
    <row r="180">
      <c r="A180" t="inlineStr">
        <is>
          <t>ENC117295</t>
        </is>
      </c>
      <c r="B180" t="inlineStr">
        <is>
          <t>Medicine</t>
        </is>
      </c>
      <c r="C180" s="34" t="n">
        <v>78</v>
      </c>
      <c r="D180" s="31" t="n">
        <v>2.4</v>
      </c>
      <c r="E180" s="39" t="n">
        <v>12808.42</v>
      </c>
    </row>
    <row r="181">
      <c r="A181" t="inlineStr">
        <is>
          <t>ENC117326</t>
        </is>
      </c>
      <c r="B181" t="inlineStr">
        <is>
          <t>Medicine</t>
        </is>
      </c>
      <c r="C181" s="34" t="n">
        <v>68</v>
      </c>
      <c r="D181" s="31" t="n">
        <v>6.2</v>
      </c>
      <c r="E181" s="39" t="n">
        <v>24781.9</v>
      </c>
    </row>
    <row r="182">
      <c r="A182" t="inlineStr">
        <is>
          <t>ENC117367</t>
        </is>
      </c>
      <c r="B182" t="inlineStr">
        <is>
          <t>Women &amp; Children</t>
        </is>
      </c>
      <c r="C182" s="34" t="n">
        <v>42</v>
      </c>
      <c r="D182" s="31" t="n">
        <v>3</v>
      </c>
      <c r="E182" s="39" t="n">
        <v>14877.33</v>
      </c>
    </row>
    <row r="183">
      <c r="A183" t="inlineStr">
        <is>
          <t>ENC117394</t>
        </is>
      </c>
      <c r="B183" t="inlineStr">
        <is>
          <t>Cardiovascular</t>
        </is>
      </c>
      <c r="C183" s="34" t="n">
        <v>86</v>
      </c>
      <c r="D183" s="31" t="n">
        <v>4.9</v>
      </c>
      <c r="E183" s="39" t="n">
        <v>37286.14</v>
      </c>
    </row>
    <row r="184">
      <c r="A184" t="inlineStr">
        <is>
          <t>ENC117467</t>
        </is>
      </c>
      <c r="B184" t="inlineStr">
        <is>
          <t>Medicine</t>
        </is>
      </c>
      <c r="C184" s="34" t="n">
        <v>13</v>
      </c>
      <c r="D184" s="31" t="n">
        <v>4.6</v>
      </c>
      <c r="E184" s="39" t="n">
        <v>20830.58</v>
      </c>
    </row>
    <row r="185">
      <c r="A185" t="inlineStr">
        <is>
          <t>ENC117494</t>
        </is>
      </c>
      <c r="B185" t="inlineStr">
        <is>
          <t>Medicine</t>
        </is>
      </c>
      <c r="C185" s="34" t="n">
        <v>41</v>
      </c>
      <c r="D185" s="31" t="n">
        <v>3.8</v>
      </c>
      <c r="E185" s="39" t="n">
        <v>33356.12</v>
      </c>
    </row>
    <row r="186">
      <c r="A186" t="inlineStr">
        <is>
          <t>ENC117518</t>
        </is>
      </c>
      <c r="B186" t="inlineStr">
        <is>
          <t>Medicine</t>
        </is>
      </c>
      <c r="C186" s="34" t="n">
        <v>45</v>
      </c>
      <c r="D186" s="31" t="n">
        <v>9.5</v>
      </c>
      <c r="E186" s="39" t="n">
        <v>90619.72</v>
      </c>
    </row>
    <row r="187">
      <c r="A187" t="inlineStr">
        <is>
          <t>ENC117555</t>
        </is>
      </c>
      <c r="B187" t="inlineStr">
        <is>
          <t>Cardiovascular</t>
        </is>
      </c>
      <c r="C187" s="34" t="n">
        <v>73</v>
      </c>
      <c r="D187" s="31" t="n">
        <v>4.7</v>
      </c>
      <c r="E187" s="39" t="n">
        <v>39110.36</v>
      </c>
    </row>
    <row r="188">
      <c r="A188" t="inlineStr">
        <is>
          <t>ENC117576</t>
        </is>
      </c>
      <c r="B188" t="inlineStr">
        <is>
          <t>Cardiovascular</t>
        </is>
      </c>
      <c r="C188" s="34" t="n">
        <v>82</v>
      </c>
      <c r="D188" s="31" t="n">
        <v>3.2</v>
      </c>
      <c r="E188" s="39" t="n">
        <v>17064.27</v>
      </c>
    </row>
    <row r="189">
      <c r="A189" t="inlineStr">
        <is>
          <t>ENC117629</t>
        </is>
      </c>
      <c r="B189" t="inlineStr">
        <is>
          <t>Cardiovascular</t>
        </is>
      </c>
      <c r="C189" s="34" t="n">
        <v>55</v>
      </c>
      <c r="D189" s="31" t="n">
        <v>2.7</v>
      </c>
      <c r="E189" s="39" t="n">
        <v>19178.11</v>
      </c>
    </row>
    <row r="190">
      <c r="A190" t="inlineStr">
        <is>
          <t>ENC117658</t>
        </is>
      </c>
      <c r="B190" t="inlineStr">
        <is>
          <t>Oncology</t>
        </is>
      </c>
      <c r="C190" s="34" t="n">
        <v>68</v>
      </c>
      <c r="D190" s="31" t="n">
        <v>6.7</v>
      </c>
      <c r="E190" s="39" t="n">
        <v>44078.59</v>
      </c>
    </row>
    <row r="191">
      <c r="A191" t="inlineStr">
        <is>
          <t>ENC117685</t>
        </is>
      </c>
      <c r="B191" t="inlineStr">
        <is>
          <t>Critical Care</t>
        </is>
      </c>
      <c r="C191" s="34" t="n">
        <v>66</v>
      </c>
      <c r="D191" s="31" t="n">
        <v>6.6</v>
      </c>
      <c r="E191" s="39" t="n">
        <v>59445.89</v>
      </c>
    </row>
    <row r="192">
      <c r="A192" t="inlineStr">
        <is>
          <t>ENC117705</t>
        </is>
      </c>
      <c r="B192" t="inlineStr">
        <is>
          <t>Cardiovascular</t>
        </is>
      </c>
      <c r="C192" s="34" t="n">
        <v>52</v>
      </c>
      <c r="D192" s="31" t="n">
        <v>5.7</v>
      </c>
      <c r="E192" s="39" t="n">
        <v>42227.19</v>
      </c>
    </row>
    <row r="193">
      <c r="A193" t="inlineStr">
        <is>
          <t>ENC117738</t>
        </is>
      </c>
      <c r="B193" t="inlineStr">
        <is>
          <t>Women &amp; Children</t>
        </is>
      </c>
      <c r="C193" s="34" t="n">
        <v>42</v>
      </c>
      <c r="D193" s="31" t="n">
        <v>3</v>
      </c>
      <c r="E193" s="39" t="n">
        <v>16286.91</v>
      </c>
    </row>
    <row r="194">
      <c r="A194" t="inlineStr">
        <is>
          <t>ENC117762</t>
        </is>
      </c>
      <c r="B194" t="inlineStr">
        <is>
          <t>Medicine</t>
        </is>
      </c>
      <c r="C194" s="34" t="n">
        <v>76</v>
      </c>
      <c r="D194" s="31" t="n">
        <v>4.9</v>
      </c>
      <c r="E194" s="39" t="n">
        <v>20384.39</v>
      </c>
    </row>
    <row r="195">
      <c r="A195" t="inlineStr">
        <is>
          <t>ENC117791</t>
        </is>
      </c>
      <c r="B195" t="inlineStr">
        <is>
          <t>Medicine</t>
        </is>
      </c>
      <c r="C195" s="34" t="n">
        <v>55</v>
      </c>
      <c r="D195" s="31" t="n">
        <v>5</v>
      </c>
      <c r="E195" s="39" t="n">
        <v>33061.68</v>
      </c>
    </row>
    <row r="196">
      <c r="A196" t="inlineStr">
        <is>
          <t>ENC117842</t>
        </is>
      </c>
      <c r="B196" t="inlineStr">
        <is>
          <t>Medicine</t>
        </is>
      </c>
      <c r="C196" s="34" t="n">
        <v>23</v>
      </c>
      <c r="D196" s="31" t="n">
        <v>7.8</v>
      </c>
      <c r="E196" s="39" t="n">
        <v>18577.96</v>
      </c>
    </row>
    <row r="197">
      <c r="A197" t="inlineStr">
        <is>
          <t>ENC117888</t>
        </is>
      </c>
      <c r="B197" t="inlineStr">
        <is>
          <t>Cardiovascular</t>
        </is>
      </c>
      <c r="C197" s="34" t="n">
        <v>53</v>
      </c>
      <c r="D197" s="31" t="n">
        <v>3.8</v>
      </c>
      <c r="E197" s="39" t="n">
        <v>20297.67</v>
      </c>
    </row>
    <row r="198">
      <c r="A198" t="inlineStr">
        <is>
          <t>ENC117914</t>
        </is>
      </c>
      <c r="B198" t="inlineStr">
        <is>
          <t>Medicine</t>
        </is>
      </c>
      <c r="C198" s="34" t="n">
        <v>78</v>
      </c>
      <c r="D198" s="31" t="n">
        <v>3.1</v>
      </c>
      <c r="E198" s="39" t="n">
        <v>28083.25</v>
      </c>
    </row>
    <row r="199">
      <c r="A199" t="inlineStr">
        <is>
          <t>ENC117956</t>
        </is>
      </c>
      <c r="B199" t="inlineStr">
        <is>
          <t>Medicine</t>
        </is>
      </c>
      <c r="C199" s="34" t="n">
        <v>64</v>
      </c>
      <c r="D199" s="31" t="n">
        <v>3.9</v>
      </c>
      <c r="E199" s="39" t="n">
        <v>13366.89</v>
      </c>
    </row>
    <row r="200">
      <c r="A200" t="inlineStr">
        <is>
          <t>ENC117993</t>
        </is>
      </c>
      <c r="B200" t="inlineStr">
        <is>
          <t>Medicine</t>
        </is>
      </c>
      <c r="C200" s="34" t="n">
        <v>48</v>
      </c>
      <c r="D200" s="31" t="n">
        <v>3.5</v>
      </c>
      <c r="E200" s="39" t="n">
        <v>14977.76</v>
      </c>
    </row>
    <row r="201">
      <c r="A201" t="inlineStr">
        <is>
          <t>ENC118048</t>
        </is>
      </c>
      <c r="B201" t="inlineStr">
        <is>
          <t>Medicine</t>
        </is>
      </c>
      <c r="C201" s="34" t="n">
        <v>82</v>
      </c>
      <c r="D201" s="31" t="n">
        <v>9.9</v>
      </c>
      <c r="E201" s="39" t="n">
        <v>50769.47</v>
      </c>
    </row>
    <row r="202">
      <c r="A202" t="inlineStr">
        <is>
          <t>ENC118075</t>
        </is>
      </c>
      <c r="B202" t="inlineStr">
        <is>
          <t>Women &amp; Children</t>
        </is>
      </c>
      <c r="C202" s="34" t="n">
        <v>35</v>
      </c>
      <c r="D202" s="31" t="n">
        <v>3.9</v>
      </c>
      <c r="E202" s="39" t="n">
        <v>35441.02</v>
      </c>
    </row>
    <row r="203">
      <c r="A203" t="inlineStr">
        <is>
          <t>ENC118115</t>
        </is>
      </c>
      <c r="B203" t="inlineStr">
        <is>
          <t>Medicine</t>
        </is>
      </c>
      <c r="C203" s="34" t="n">
        <v>72</v>
      </c>
      <c r="D203" s="31" t="n">
        <v>7</v>
      </c>
      <c r="E203" s="39" t="n">
        <v>36144.09</v>
      </c>
    </row>
    <row r="204">
      <c r="A204" t="inlineStr">
        <is>
          <t>ENC118148</t>
        </is>
      </c>
      <c r="B204" t="inlineStr">
        <is>
          <t>Behavioral Health</t>
        </is>
      </c>
      <c r="C204" s="34" t="n">
        <v>66</v>
      </c>
      <c r="D204" s="31" t="n">
        <v>7.8</v>
      </c>
      <c r="E204" s="39" t="n">
        <v>19296.3</v>
      </c>
    </row>
    <row r="205">
      <c r="A205" t="inlineStr">
        <is>
          <t>ENC118168</t>
        </is>
      </c>
      <c r="B205" t="inlineStr">
        <is>
          <t>Medicine</t>
        </is>
      </c>
      <c r="C205" s="34" t="n">
        <v>44</v>
      </c>
      <c r="D205" s="31" t="n">
        <v>4.9</v>
      </c>
      <c r="E205" s="39" t="n">
        <v>22173.63</v>
      </c>
    </row>
    <row r="206">
      <c r="A206" t="inlineStr">
        <is>
          <t>ENC118198</t>
        </is>
      </c>
      <c r="B206" t="inlineStr">
        <is>
          <t>Women &amp; Children</t>
        </is>
      </c>
      <c r="C206" s="34" t="n">
        <v>44</v>
      </c>
      <c r="D206" s="31" t="n">
        <v>3.9</v>
      </c>
      <c r="E206" s="39" t="n">
        <v>24509.81</v>
      </c>
    </row>
    <row r="207">
      <c r="A207" t="inlineStr">
        <is>
          <t>ENC118248</t>
        </is>
      </c>
      <c r="B207" t="inlineStr">
        <is>
          <t>Critical Care</t>
        </is>
      </c>
      <c r="C207" s="34" t="n">
        <v>64</v>
      </c>
      <c r="D207" s="31" t="n">
        <v>3.9</v>
      </c>
      <c r="E207" s="39" t="n">
        <v>47768.73</v>
      </c>
    </row>
    <row r="208">
      <c r="A208" t="inlineStr">
        <is>
          <t>ENC118283</t>
        </is>
      </c>
      <c r="B208" t="inlineStr">
        <is>
          <t>Critical Care</t>
        </is>
      </c>
      <c r="C208" s="34" t="n">
        <v>56</v>
      </c>
      <c r="D208" s="31" t="n">
        <v>7.6</v>
      </c>
      <c r="E208" s="39" t="n">
        <v>91507.32000000001</v>
      </c>
    </row>
    <row r="209">
      <c r="A209" t="inlineStr">
        <is>
          <t>ENC118324</t>
        </is>
      </c>
      <c r="B209" t="inlineStr">
        <is>
          <t>Medicine</t>
        </is>
      </c>
      <c r="C209" s="34" t="n">
        <v>46</v>
      </c>
      <c r="D209" s="31" t="n">
        <v>5.2</v>
      </c>
      <c r="E209" s="39" t="n">
        <v>16864.34</v>
      </c>
    </row>
    <row r="210">
      <c r="A210" t="inlineStr">
        <is>
          <t>ENC118377</t>
        </is>
      </c>
      <c r="B210" t="inlineStr">
        <is>
          <t>Orthopedics</t>
        </is>
      </c>
      <c r="C210" s="34" t="n">
        <v>77</v>
      </c>
      <c r="D210" s="31" t="n">
        <v>1.4</v>
      </c>
      <c r="E210" s="39" t="n">
        <v>78020.45</v>
      </c>
    </row>
    <row r="211">
      <c r="A211" t="inlineStr">
        <is>
          <t>ENC118437</t>
        </is>
      </c>
      <c r="B211" t="inlineStr">
        <is>
          <t>Women &amp; Children</t>
        </is>
      </c>
      <c r="C211" s="34" t="n">
        <v>32</v>
      </c>
      <c r="D211" s="31" t="n">
        <v>2.6</v>
      </c>
      <c r="E211" s="39" t="n">
        <v>18381.54</v>
      </c>
    </row>
    <row r="212">
      <c r="A212" t="inlineStr">
        <is>
          <t>ENC118456</t>
        </is>
      </c>
      <c r="B212" t="inlineStr">
        <is>
          <t>Medicine</t>
        </is>
      </c>
      <c r="C212" s="34" t="n">
        <v>4</v>
      </c>
      <c r="D212" s="31" t="n">
        <v>2.7</v>
      </c>
      <c r="E212" s="39" t="n">
        <v>17933.18</v>
      </c>
    </row>
    <row r="213">
      <c r="A213" t="inlineStr">
        <is>
          <t>ENC118493</t>
        </is>
      </c>
      <c r="B213" t="inlineStr">
        <is>
          <t>Medicine</t>
        </is>
      </c>
      <c r="C213" s="34" t="n">
        <v>86</v>
      </c>
      <c r="D213" s="31" t="n">
        <v>7.3</v>
      </c>
      <c r="E213" s="39" t="n">
        <v>19938.19</v>
      </c>
    </row>
    <row r="214">
      <c r="A214" t="inlineStr">
        <is>
          <t>ENC118538</t>
        </is>
      </c>
      <c r="B214" t="inlineStr">
        <is>
          <t>Medicine</t>
        </is>
      </c>
      <c r="C214" s="34" t="n">
        <v>65</v>
      </c>
      <c r="D214" s="31" t="n">
        <v>2.9</v>
      </c>
      <c r="E214" s="39" t="n">
        <v>13972.03</v>
      </c>
    </row>
    <row r="215">
      <c r="A215" t="inlineStr">
        <is>
          <t>ENC118585</t>
        </is>
      </c>
      <c r="B215" t="inlineStr">
        <is>
          <t>Women &amp; Children</t>
        </is>
      </c>
      <c r="C215" s="34" t="n">
        <v>42</v>
      </c>
      <c r="D215" s="31" t="n">
        <v>3.2</v>
      </c>
      <c r="E215" s="39" t="n">
        <v>19638.6</v>
      </c>
    </row>
    <row r="216">
      <c r="A216" t="inlineStr">
        <is>
          <t>ENC118611</t>
        </is>
      </c>
      <c r="B216" t="inlineStr">
        <is>
          <t>Neuroscience</t>
        </is>
      </c>
      <c r="C216" s="34" t="n">
        <v>62</v>
      </c>
      <c r="D216" s="31" t="n">
        <v>8.4</v>
      </c>
      <c r="E216" s="39" t="n">
        <v>47492.26</v>
      </c>
    </row>
    <row r="217">
      <c r="A217" t="inlineStr">
        <is>
          <t>ENC118631</t>
        </is>
      </c>
      <c r="B217" t="inlineStr">
        <is>
          <t>Medicine</t>
        </is>
      </c>
      <c r="C217" s="34" t="n">
        <v>77</v>
      </c>
      <c r="D217" s="31" t="n">
        <v>3.9</v>
      </c>
      <c r="E217" s="39" t="n">
        <v>21975.22</v>
      </c>
    </row>
    <row r="218">
      <c r="A218" t="inlineStr">
        <is>
          <t>ENC118668</t>
        </is>
      </c>
      <c r="B218" t="inlineStr">
        <is>
          <t>Medicine</t>
        </is>
      </c>
      <c r="C218" s="34" t="n">
        <v>67</v>
      </c>
      <c r="D218" s="31" t="n">
        <v>2.8</v>
      </c>
      <c r="E218" s="39" t="n">
        <v>17974.6</v>
      </c>
    </row>
    <row r="219">
      <c r="A219" t="inlineStr">
        <is>
          <t>ENC118701</t>
        </is>
      </c>
      <c r="B219" t="inlineStr">
        <is>
          <t>Medicine</t>
        </is>
      </c>
      <c r="C219" s="34" t="n">
        <v>69</v>
      </c>
      <c r="D219" s="31" t="n">
        <v>8.800000000000001</v>
      </c>
      <c r="E219" s="39" t="n">
        <v>34519.59</v>
      </c>
    </row>
    <row r="220">
      <c r="A220" t="inlineStr">
        <is>
          <t>ENC118761</t>
        </is>
      </c>
      <c r="B220" t="inlineStr">
        <is>
          <t>Orthopedics</t>
        </is>
      </c>
      <c r="C220" s="34" t="n">
        <v>80</v>
      </c>
      <c r="D220" s="31" t="n">
        <v>1.4</v>
      </c>
      <c r="E220" s="39" t="n">
        <v>35860.46</v>
      </c>
    </row>
    <row r="221">
      <c r="A221" t="inlineStr">
        <is>
          <t>ENC118802</t>
        </is>
      </c>
      <c r="B221" t="inlineStr">
        <is>
          <t>Medicine</t>
        </is>
      </c>
      <c r="C221" s="34" t="n">
        <v>73</v>
      </c>
      <c r="D221" s="31" t="n">
        <v>5.8</v>
      </c>
      <c r="E221" s="39" t="n">
        <v>29479.52</v>
      </c>
    </row>
    <row r="222">
      <c r="A222" t="inlineStr">
        <is>
          <t>ENC118821</t>
        </is>
      </c>
      <c r="B222" t="inlineStr">
        <is>
          <t>Women &amp; Children</t>
        </is>
      </c>
      <c r="C222" s="34" t="n">
        <v>40</v>
      </c>
      <c r="D222" s="31" t="n">
        <v>1.6</v>
      </c>
      <c r="E222" s="39" t="n">
        <v>11714.9</v>
      </c>
    </row>
    <row r="223">
      <c r="A223" t="inlineStr">
        <is>
          <t>ENC118899</t>
        </is>
      </c>
      <c r="B223" t="inlineStr">
        <is>
          <t>Women &amp; Children</t>
        </is>
      </c>
      <c r="C223" s="34" t="n">
        <v>28</v>
      </c>
      <c r="D223" s="31" t="n">
        <v>3.1</v>
      </c>
      <c r="E223" s="39" t="n">
        <v>23965.69</v>
      </c>
    </row>
    <row r="224">
      <c r="A224" t="inlineStr">
        <is>
          <t>ENC118947</t>
        </is>
      </c>
      <c r="B224" t="inlineStr">
        <is>
          <t>Women &amp; Children</t>
        </is>
      </c>
      <c r="C224" s="34" t="n">
        <v>37</v>
      </c>
      <c r="D224" s="31" t="n">
        <v>1.5</v>
      </c>
      <c r="E224" s="39" t="n">
        <v>19844.9</v>
      </c>
    </row>
    <row r="225">
      <c r="A225" t="inlineStr">
        <is>
          <t>ENC118978</t>
        </is>
      </c>
      <c r="B225" t="inlineStr">
        <is>
          <t>Medicine</t>
        </is>
      </c>
      <c r="C225" s="34" t="n">
        <v>46</v>
      </c>
      <c r="D225" s="31" t="n">
        <v>3.6</v>
      </c>
      <c r="E225" s="39" t="n">
        <v>20244.34</v>
      </c>
    </row>
    <row r="226">
      <c r="A226" t="inlineStr">
        <is>
          <t>ENC119015</t>
        </is>
      </c>
      <c r="B226" t="inlineStr">
        <is>
          <t>Medicine</t>
        </is>
      </c>
      <c r="C226" s="34" t="n">
        <v>55</v>
      </c>
      <c r="D226" s="31" t="n">
        <v>6.7</v>
      </c>
      <c r="E226" s="39" t="n">
        <v>62387.48</v>
      </c>
    </row>
    <row r="227">
      <c r="A227" t="inlineStr">
        <is>
          <t>ENC119052</t>
        </is>
      </c>
      <c r="B227" t="inlineStr">
        <is>
          <t>Neuroscience</t>
        </is>
      </c>
      <c r="C227" s="34" t="n">
        <v>71</v>
      </c>
      <c r="D227" s="31" t="n">
        <v>9.800000000000001</v>
      </c>
      <c r="E227" s="39" t="n">
        <v>48699.89</v>
      </c>
    </row>
    <row r="228">
      <c r="A228" t="inlineStr">
        <is>
          <t>ENC119086</t>
        </is>
      </c>
      <c r="B228" t="inlineStr">
        <is>
          <t>Orthopedics</t>
        </is>
      </c>
      <c r="C228" s="34" t="n">
        <v>73</v>
      </c>
      <c r="D228" s="31" t="n">
        <v>2.3</v>
      </c>
      <c r="E228" s="39" t="n">
        <v>51588.84</v>
      </c>
    </row>
    <row r="229">
      <c r="A229" t="inlineStr">
        <is>
          <t>ENC119120</t>
        </is>
      </c>
      <c r="B229" t="inlineStr">
        <is>
          <t>Critical Care</t>
        </is>
      </c>
      <c r="C229" s="34" t="n">
        <v>82</v>
      </c>
      <c r="D229" s="31" t="n">
        <v>7.5</v>
      </c>
      <c r="E229" s="39" t="n">
        <v>54451.32</v>
      </c>
    </row>
    <row r="230">
      <c r="A230" t="inlineStr">
        <is>
          <t>ENC119173</t>
        </is>
      </c>
      <c r="B230" t="inlineStr">
        <is>
          <t>Cardiovascular</t>
        </is>
      </c>
      <c r="C230" s="34" t="n">
        <v>47</v>
      </c>
      <c r="D230" s="31" t="n">
        <v>3.6</v>
      </c>
      <c r="E230" s="39" t="n">
        <v>31608.74</v>
      </c>
    </row>
    <row r="231">
      <c r="A231" t="inlineStr">
        <is>
          <t>ENC119201</t>
        </is>
      </c>
      <c r="B231" t="inlineStr">
        <is>
          <t>Cardiovascular</t>
        </is>
      </c>
      <c r="C231" s="34" t="n">
        <v>55</v>
      </c>
      <c r="D231" s="31" t="n">
        <v>3.5</v>
      </c>
      <c r="E231" s="39" t="n">
        <v>81054.78</v>
      </c>
    </row>
    <row r="232">
      <c r="A232" t="inlineStr">
        <is>
          <t>ENC119216</t>
        </is>
      </c>
      <c r="B232" t="inlineStr">
        <is>
          <t>Medicine</t>
        </is>
      </c>
      <c r="C232" s="34" t="n">
        <v>16</v>
      </c>
      <c r="D232" s="31" t="n">
        <v>3.2</v>
      </c>
      <c r="E232" s="39" t="n">
        <v>14529.77</v>
      </c>
    </row>
    <row r="233">
      <c r="A233" t="inlineStr">
        <is>
          <t>ENC119281</t>
        </is>
      </c>
      <c r="B233" t="inlineStr">
        <is>
          <t>Orthopedics</t>
        </is>
      </c>
      <c r="C233" s="34" t="n">
        <v>57</v>
      </c>
      <c r="D233" s="31" t="n">
        <v>4</v>
      </c>
      <c r="E233" s="39" t="n">
        <v>44772.24</v>
      </c>
    </row>
    <row r="234">
      <c r="A234" t="inlineStr">
        <is>
          <t>ENC119327</t>
        </is>
      </c>
      <c r="B234" t="inlineStr">
        <is>
          <t>Medicine</t>
        </is>
      </c>
      <c r="C234" s="34" t="n">
        <v>18</v>
      </c>
      <c r="D234" s="31" t="n">
        <v>5</v>
      </c>
      <c r="E234" s="39" t="n">
        <v>15350.19</v>
      </c>
    </row>
    <row r="235">
      <c r="A235" t="inlineStr">
        <is>
          <t>ENC119375</t>
        </is>
      </c>
      <c r="B235" t="inlineStr">
        <is>
          <t>Medicine</t>
        </is>
      </c>
      <c r="C235" s="34" t="n">
        <v>73</v>
      </c>
      <c r="D235" s="31" t="n">
        <v>3.9</v>
      </c>
      <c r="E235" s="39" t="n">
        <v>27361.76</v>
      </c>
    </row>
    <row r="236">
      <c r="A236" t="inlineStr">
        <is>
          <t>ENC119401</t>
        </is>
      </c>
      <c r="B236" t="inlineStr">
        <is>
          <t>Women &amp; Children</t>
        </is>
      </c>
      <c r="C236" s="34" t="n">
        <v>41</v>
      </c>
      <c r="D236" s="31" t="n">
        <v>2.4</v>
      </c>
      <c r="E236" s="39" t="n">
        <v>13541</v>
      </c>
    </row>
    <row r="237">
      <c r="A237" t="inlineStr">
        <is>
          <t>ENC119421</t>
        </is>
      </c>
      <c r="B237" t="inlineStr">
        <is>
          <t>Medicine</t>
        </is>
      </c>
      <c r="C237" s="34" t="n">
        <v>17</v>
      </c>
      <c r="D237" s="31" t="n">
        <v>4.2</v>
      </c>
      <c r="E237" s="39" t="n">
        <v>43737.93</v>
      </c>
    </row>
    <row r="238">
      <c r="A238" t="inlineStr">
        <is>
          <t>ENC119475</t>
        </is>
      </c>
      <c r="B238" t="inlineStr">
        <is>
          <t>Oncology</t>
        </is>
      </c>
      <c r="C238" s="34" t="n">
        <v>78</v>
      </c>
      <c r="D238" s="31" t="n">
        <v>6.8</v>
      </c>
      <c r="E238" s="39" t="n">
        <v>51909.87</v>
      </c>
    </row>
    <row r="239">
      <c r="A239" t="inlineStr">
        <is>
          <t>ENC119502</t>
        </is>
      </c>
      <c r="B239" t="inlineStr">
        <is>
          <t>Medicine</t>
        </is>
      </c>
      <c r="C239" s="34" t="n">
        <v>72</v>
      </c>
      <c r="D239" s="31" t="n">
        <v>1.9</v>
      </c>
      <c r="E239" s="39" t="n">
        <v>13185.11</v>
      </c>
    </row>
    <row r="240">
      <c r="A240" t="inlineStr">
        <is>
          <t>ENC119537</t>
        </is>
      </c>
      <c r="B240" t="inlineStr">
        <is>
          <t>Medicine</t>
        </is>
      </c>
      <c r="C240" s="34" t="n">
        <v>73</v>
      </c>
      <c r="D240" s="31" t="n">
        <v>3.9</v>
      </c>
      <c r="E240" s="39" t="n">
        <v>27122.41</v>
      </c>
    </row>
    <row r="241">
      <c r="A241" t="inlineStr">
        <is>
          <t>ENC119584</t>
        </is>
      </c>
      <c r="B241" t="inlineStr">
        <is>
          <t>Medicine</t>
        </is>
      </c>
      <c r="C241" s="34" t="n">
        <v>44</v>
      </c>
      <c r="D241" s="31" t="n">
        <v>4.9</v>
      </c>
      <c r="E241" s="39" t="n">
        <v>18441.18</v>
      </c>
    </row>
    <row r="242">
      <c r="A242" t="inlineStr">
        <is>
          <t>ENC119606</t>
        </is>
      </c>
      <c r="B242" t="inlineStr">
        <is>
          <t>Neuroscience</t>
        </is>
      </c>
      <c r="C242" s="34" t="n">
        <v>98</v>
      </c>
      <c r="D242" s="31" t="n">
        <v>4</v>
      </c>
      <c r="E242" s="39" t="n">
        <v>11301.21</v>
      </c>
    </row>
    <row r="243">
      <c r="A243" t="inlineStr">
        <is>
          <t>ENC119628</t>
        </is>
      </c>
      <c r="B243" t="inlineStr">
        <is>
          <t>Medicine</t>
        </is>
      </c>
      <c r="C243" s="34" t="n">
        <v>63</v>
      </c>
      <c r="D243" s="31" t="n">
        <v>7</v>
      </c>
      <c r="E243" s="39" t="n">
        <v>80936.42</v>
      </c>
    </row>
    <row r="244">
      <c r="A244" t="inlineStr">
        <is>
          <t>ENC119684</t>
        </is>
      </c>
      <c r="B244" t="inlineStr">
        <is>
          <t>Cardiovascular</t>
        </is>
      </c>
      <c r="C244" s="34" t="n">
        <v>68</v>
      </c>
      <c r="D244" s="31" t="n">
        <v>5.6</v>
      </c>
      <c r="E244" s="39" t="n">
        <v>38888.99</v>
      </c>
    </row>
    <row r="245">
      <c r="A245" t="inlineStr">
        <is>
          <t>ENC119705</t>
        </is>
      </c>
      <c r="B245" t="inlineStr">
        <is>
          <t>Critical Care</t>
        </is>
      </c>
      <c r="C245" s="34" t="n">
        <v>73</v>
      </c>
      <c r="D245" s="31" t="n">
        <v>9.9</v>
      </c>
      <c r="E245" s="39" t="n">
        <v>86189.97</v>
      </c>
    </row>
    <row r="246">
      <c r="A246" t="inlineStr">
        <is>
          <t>ENC119763</t>
        </is>
      </c>
      <c r="B246" t="inlineStr">
        <is>
          <t>Orthopedics</t>
        </is>
      </c>
      <c r="C246" s="34" t="n">
        <v>81</v>
      </c>
      <c r="D246" s="31" t="n">
        <v>2.2</v>
      </c>
      <c r="E246" s="39" t="n">
        <v>52881.07</v>
      </c>
    </row>
    <row r="247">
      <c r="A247" t="inlineStr">
        <is>
          <t>ENC119801</t>
        </is>
      </c>
      <c r="B247" t="inlineStr">
        <is>
          <t>Critical Care</t>
        </is>
      </c>
      <c r="C247" s="34" t="n">
        <v>68</v>
      </c>
      <c r="D247" s="31" t="n">
        <v>5.7</v>
      </c>
      <c r="E247" s="39" t="n">
        <v>47243.36</v>
      </c>
    </row>
    <row r="248">
      <c r="A248" t="inlineStr">
        <is>
          <t>ENC119827</t>
        </is>
      </c>
      <c r="B248" t="inlineStr">
        <is>
          <t>Medicine</t>
        </is>
      </c>
      <c r="C248" s="34" t="n">
        <v>73</v>
      </c>
      <c r="D248" s="31" t="n">
        <v>4.7</v>
      </c>
      <c r="E248" s="39" t="n">
        <v>29649.02</v>
      </c>
    </row>
    <row r="249">
      <c r="A249" t="inlineStr">
        <is>
          <t>ENC119861</t>
        </is>
      </c>
      <c r="B249" t="inlineStr">
        <is>
          <t>Medicine</t>
        </is>
      </c>
      <c r="C249" s="34" t="n">
        <v>44</v>
      </c>
      <c r="D249" s="31" t="n">
        <v>9.1</v>
      </c>
      <c r="E249" s="39" t="n">
        <v>37972.43</v>
      </c>
    </row>
    <row r="250">
      <c r="A250" t="inlineStr">
        <is>
          <t>ENC119920</t>
        </is>
      </c>
      <c r="B250" t="inlineStr">
        <is>
          <t>Medicine</t>
        </is>
      </c>
      <c r="C250" s="34" t="n">
        <v>40</v>
      </c>
      <c r="D250" s="31" t="n">
        <v>5.2</v>
      </c>
      <c r="E250" s="39" t="n">
        <v>44838.88</v>
      </c>
    </row>
    <row r="251">
      <c r="A251" t="inlineStr">
        <is>
          <t>ENC119955</t>
        </is>
      </c>
      <c r="B251" t="inlineStr">
        <is>
          <t>Medicine</t>
        </is>
      </c>
      <c r="C251" s="34" t="n">
        <v>66</v>
      </c>
      <c r="D251" s="31" t="n">
        <v>3.6</v>
      </c>
      <c r="E251" s="39" t="n">
        <v>28156.28</v>
      </c>
    </row>
    <row r="252">
      <c r="A252" t="inlineStr">
        <is>
          <t>ENC119994</t>
        </is>
      </c>
      <c r="B252" t="inlineStr">
        <is>
          <t>Oncology</t>
        </is>
      </c>
      <c r="C252" s="34" t="n">
        <v>47</v>
      </c>
      <c r="D252" s="31" t="n">
        <v>2.9</v>
      </c>
      <c r="E252" s="39" t="n">
        <v>19715.84</v>
      </c>
    </row>
    <row r="253">
      <c r="A253" t="inlineStr">
        <is>
          <t>ENC120015</t>
        </is>
      </c>
      <c r="B253" t="inlineStr">
        <is>
          <t>Medicine</t>
        </is>
      </c>
      <c r="C253" s="34" t="n">
        <v>77</v>
      </c>
      <c r="D253" s="31" t="n">
        <v>2.3</v>
      </c>
      <c r="E253" s="39" t="n">
        <v>8966.530000000001</v>
      </c>
    </row>
    <row r="254">
      <c r="A254" t="inlineStr">
        <is>
          <t>ENC120035</t>
        </is>
      </c>
      <c r="B254" t="inlineStr">
        <is>
          <t>Cardiovascular</t>
        </is>
      </c>
      <c r="C254" s="34" t="n">
        <v>65</v>
      </c>
      <c r="D254" s="31" t="n">
        <v>1.5</v>
      </c>
      <c r="E254" s="39" t="n">
        <v>7000.75</v>
      </c>
    </row>
    <row r="255">
      <c r="A255" t="inlineStr">
        <is>
          <t>ENC120059</t>
        </is>
      </c>
      <c r="B255" t="inlineStr">
        <is>
          <t>Medicine</t>
        </is>
      </c>
      <c r="C255" s="34" t="n">
        <v>43</v>
      </c>
      <c r="D255" s="31" t="n">
        <v>8.199999999999999</v>
      </c>
      <c r="E255" s="39" t="n">
        <v>37418.27</v>
      </c>
    </row>
    <row r="256">
      <c r="A256" t="inlineStr">
        <is>
          <t>ENC120096</t>
        </is>
      </c>
      <c r="B256" t="inlineStr">
        <is>
          <t>Oncology</t>
        </is>
      </c>
      <c r="C256" s="34" t="n">
        <v>58</v>
      </c>
      <c r="D256" s="31" t="n">
        <v>6.6</v>
      </c>
      <c r="E256" s="39" t="n">
        <v>37927.71</v>
      </c>
    </row>
    <row r="257">
      <c r="A257" t="inlineStr">
        <is>
          <t>ENC120143</t>
        </is>
      </c>
      <c r="B257" t="inlineStr">
        <is>
          <t>Medicine</t>
        </is>
      </c>
      <c r="C257" s="34" t="n">
        <v>47</v>
      </c>
      <c r="D257" s="31" t="n">
        <v>3.2</v>
      </c>
      <c r="E257" s="39" t="n">
        <v>18862.26</v>
      </c>
    </row>
    <row r="258">
      <c r="A258" t="inlineStr">
        <is>
          <t>ENC120180</t>
        </is>
      </c>
      <c r="B258" t="inlineStr">
        <is>
          <t>Medicine</t>
        </is>
      </c>
      <c r="C258" s="34" t="n">
        <v>63</v>
      </c>
      <c r="D258" s="31" t="n">
        <v>2</v>
      </c>
      <c r="E258" s="39" t="n">
        <v>11765.66</v>
      </c>
    </row>
    <row r="259">
      <c r="A259" t="inlineStr">
        <is>
          <t>ENC120212</t>
        </is>
      </c>
      <c r="B259" t="inlineStr">
        <is>
          <t>Cardiovascular</t>
        </is>
      </c>
      <c r="C259" s="34" t="n">
        <v>53</v>
      </c>
      <c r="D259" s="31" t="n">
        <v>1.5</v>
      </c>
      <c r="E259" s="39" t="n">
        <v>44532.56</v>
      </c>
    </row>
    <row r="260">
      <c r="A260" t="inlineStr">
        <is>
          <t>ENC120248</t>
        </is>
      </c>
      <c r="B260" t="inlineStr">
        <is>
          <t>Medicine</t>
        </is>
      </c>
      <c r="C260" s="34" t="n">
        <v>23</v>
      </c>
      <c r="D260" s="31" t="n">
        <v>5.2</v>
      </c>
      <c r="E260" s="39" t="n">
        <v>21671.68</v>
      </c>
    </row>
    <row r="261">
      <c r="A261" t="inlineStr">
        <is>
          <t>ENC120275</t>
        </is>
      </c>
      <c r="B261" t="inlineStr">
        <is>
          <t>Medicine</t>
        </is>
      </c>
      <c r="C261" s="34" t="n">
        <v>71</v>
      </c>
      <c r="D261" s="31" t="n">
        <v>1.8</v>
      </c>
      <c r="E261" s="39" t="n">
        <v>27500.87</v>
      </c>
    </row>
    <row r="262">
      <c r="A262" t="inlineStr">
        <is>
          <t>ENC120316</t>
        </is>
      </c>
      <c r="B262" t="inlineStr">
        <is>
          <t>Medicine</t>
        </is>
      </c>
      <c r="C262" s="34" t="n">
        <v>76</v>
      </c>
      <c r="D262" s="31" t="n">
        <v>4.6</v>
      </c>
      <c r="E262" s="39" t="n">
        <v>18713.94</v>
      </c>
    </row>
    <row r="263">
      <c r="A263" t="inlineStr">
        <is>
          <t>ENC120358</t>
        </is>
      </c>
      <c r="B263" t="inlineStr">
        <is>
          <t>Neuroscience</t>
        </is>
      </c>
      <c r="C263" s="34" t="n">
        <v>79</v>
      </c>
      <c r="D263" s="31" t="n">
        <v>6.7</v>
      </c>
      <c r="E263" s="39" t="n">
        <v>39446.77</v>
      </c>
    </row>
    <row r="264">
      <c r="A264" t="inlineStr">
        <is>
          <t>ENC120380</t>
        </is>
      </c>
      <c r="B264" t="inlineStr">
        <is>
          <t>Medicine</t>
        </is>
      </c>
      <c r="C264" s="34" t="n">
        <v>63</v>
      </c>
      <c r="D264" s="31" t="n">
        <v>4.1</v>
      </c>
      <c r="E264" s="39" t="n">
        <v>16701.39</v>
      </c>
    </row>
    <row r="265">
      <c r="A265" t="inlineStr">
        <is>
          <t>ENC120418</t>
        </is>
      </c>
      <c r="B265" t="inlineStr">
        <is>
          <t>Behavioral Health</t>
        </is>
      </c>
      <c r="C265" s="34" t="n">
        <v>62</v>
      </c>
      <c r="D265" s="31" t="n">
        <v>8.1</v>
      </c>
      <c r="E265" s="39" t="n">
        <v>37597.45</v>
      </c>
    </row>
    <row r="266">
      <c r="A266" t="inlineStr">
        <is>
          <t>ENC120464</t>
        </is>
      </c>
      <c r="B266" t="inlineStr">
        <is>
          <t>Orthopedics</t>
        </is>
      </c>
      <c r="C266" s="34" t="n">
        <v>58</v>
      </c>
      <c r="D266" s="31" t="n">
        <v>6.9</v>
      </c>
      <c r="E266" s="39" t="n">
        <v>65616.82000000001</v>
      </c>
    </row>
    <row r="267">
      <c r="A267" t="inlineStr">
        <is>
          <t>ENC120495</t>
        </is>
      </c>
      <c r="B267" t="inlineStr">
        <is>
          <t>Cardiovascular</t>
        </is>
      </c>
      <c r="C267" s="34" t="n">
        <v>74</v>
      </c>
      <c r="D267" s="31" t="n">
        <v>6</v>
      </c>
      <c r="E267" s="39" t="n">
        <v>79023.57000000001</v>
      </c>
    </row>
    <row r="268">
      <c r="A268" t="inlineStr">
        <is>
          <t>ENC120520</t>
        </is>
      </c>
      <c r="B268" t="inlineStr">
        <is>
          <t>Medicine</t>
        </is>
      </c>
      <c r="C268" s="34" t="n">
        <v>76</v>
      </c>
      <c r="D268" s="31" t="n">
        <v>4.4</v>
      </c>
      <c r="E268" s="39" t="n">
        <v>39365.74</v>
      </c>
    </row>
    <row r="269">
      <c r="A269" t="inlineStr">
        <is>
          <t>ENC120585</t>
        </is>
      </c>
      <c r="B269" t="inlineStr">
        <is>
          <t>Cardiovascular</t>
        </is>
      </c>
      <c r="C269" s="34" t="n">
        <v>54</v>
      </c>
      <c r="D269" s="31" t="n">
        <v>1.7</v>
      </c>
      <c r="E269" s="39" t="n">
        <v>12848.99</v>
      </c>
    </row>
    <row r="270">
      <c r="A270" t="inlineStr">
        <is>
          <t>ENC120639</t>
        </is>
      </c>
      <c r="B270" t="inlineStr">
        <is>
          <t>Critical Care</t>
        </is>
      </c>
      <c r="C270" s="34" t="n">
        <v>69</v>
      </c>
      <c r="D270" s="31" t="n">
        <v>13.8</v>
      </c>
      <c r="E270" s="39" t="n">
        <v>144338.01</v>
      </c>
    </row>
    <row r="271">
      <c r="A271" t="inlineStr">
        <is>
          <t>ENC120654</t>
        </is>
      </c>
      <c r="B271" t="inlineStr">
        <is>
          <t>Medicine</t>
        </is>
      </c>
      <c r="C271" s="34" t="n">
        <v>39</v>
      </c>
      <c r="D271" s="31" t="n">
        <v>1.1</v>
      </c>
      <c r="E271" s="39" t="n">
        <v>9884.24</v>
      </c>
    </row>
    <row r="272">
      <c r="A272" t="inlineStr">
        <is>
          <t>ENC120686</t>
        </is>
      </c>
      <c r="B272" t="inlineStr">
        <is>
          <t>Medicine</t>
        </is>
      </c>
      <c r="C272" s="34" t="n">
        <v>25</v>
      </c>
      <c r="D272" s="31" t="n">
        <v>2.7</v>
      </c>
      <c r="E272" s="39" t="n">
        <v>16745.84</v>
      </c>
    </row>
    <row r="273">
      <c r="A273" t="inlineStr">
        <is>
          <t>ENC120707</t>
        </is>
      </c>
      <c r="B273" t="inlineStr">
        <is>
          <t>Cardiovascular</t>
        </is>
      </c>
      <c r="C273" s="34" t="n">
        <v>80</v>
      </c>
      <c r="D273" s="31" t="n">
        <v>4.8</v>
      </c>
      <c r="E273" s="39" t="n">
        <v>30153.04</v>
      </c>
    </row>
    <row r="274">
      <c r="A274" t="inlineStr">
        <is>
          <t>ENC120742</t>
        </is>
      </c>
      <c r="B274" t="inlineStr">
        <is>
          <t>Cardiovascular</t>
        </is>
      </c>
      <c r="C274" s="34" t="n">
        <v>88</v>
      </c>
      <c r="D274" s="31" t="n">
        <v>3.1</v>
      </c>
      <c r="E274" s="39" t="n">
        <v>18076.75</v>
      </c>
    </row>
    <row r="275">
      <c r="A275" t="inlineStr">
        <is>
          <t>ENC120782</t>
        </is>
      </c>
      <c r="B275" t="inlineStr">
        <is>
          <t>Orthopedics</t>
        </is>
      </c>
      <c r="C275" s="34" t="n">
        <v>50</v>
      </c>
      <c r="D275" s="31" t="n">
        <v>1.5</v>
      </c>
      <c r="E275" s="39" t="n">
        <v>58468.93</v>
      </c>
    </row>
    <row r="276">
      <c r="A276" t="inlineStr">
        <is>
          <t>ENC120822</t>
        </is>
      </c>
      <c r="B276" t="inlineStr">
        <is>
          <t>Critical Care</t>
        </is>
      </c>
      <c r="C276" s="34" t="n">
        <v>67</v>
      </c>
      <c r="D276" s="31" t="n">
        <v>11.5</v>
      </c>
      <c r="E276" s="39" t="n">
        <v>119426.94</v>
      </c>
    </row>
    <row r="277">
      <c r="A277" t="inlineStr">
        <is>
          <t>ENC120832</t>
        </is>
      </c>
      <c r="B277" t="inlineStr">
        <is>
          <t>Medicine</t>
        </is>
      </c>
      <c r="C277" s="34" t="n">
        <v>65</v>
      </c>
      <c r="D277" s="31" t="n">
        <v>3.1</v>
      </c>
      <c r="E277" s="39" t="n">
        <v>7130.02</v>
      </c>
    </row>
    <row r="278">
      <c r="A278" t="inlineStr">
        <is>
          <t>ENC120901</t>
        </is>
      </c>
      <c r="B278" t="inlineStr">
        <is>
          <t>Medicine</t>
        </is>
      </c>
      <c r="C278" s="34" t="n">
        <v>66</v>
      </c>
      <c r="D278" s="31" t="n">
        <v>4</v>
      </c>
      <c r="E278" s="39" t="n">
        <v>20165.78</v>
      </c>
    </row>
    <row r="279">
      <c r="A279" t="inlineStr">
        <is>
          <t>ENC120925</t>
        </is>
      </c>
      <c r="B279" t="inlineStr">
        <is>
          <t>Cardiovascular</t>
        </is>
      </c>
      <c r="C279" s="34" t="n">
        <v>68</v>
      </c>
      <c r="D279" s="31" t="n">
        <v>17</v>
      </c>
      <c r="E279" s="39" t="n">
        <v>75801.07000000001</v>
      </c>
    </row>
    <row r="280">
      <c r="A280" t="inlineStr">
        <is>
          <t>ENC120964</t>
        </is>
      </c>
      <c r="B280" t="inlineStr">
        <is>
          <t>Medicine</t>
        </is>
      </c>
      <c r="C280" s="34" t="n">
        <v>73</v>
      </c>
      <c r="D280" s="31" t="n">
        <v>3.1</v>
      </c>
      <c r="E280" s="39" t="n">
        <v>13757.64</v>
      </c>
    </row>
    <row r="281">
      <c r="A281" t="inlineStr">
        <is>
          <t>ENC120983</t>
        </is>
      </c>
      <c r="B281" t="inlineStr">
        <is>
          <t>Medicine</t>
        </is>
      </c>
      <c r="C281" s="34" t="n">
        <v>61</v>
      </c>
      <c r="D281" s="31" t="n">
        <v>2.2</v>
      </c>
      <c r="E281" s="39" t="n">
        <v>11204.42</v>
      </c>
    </row>
    <row r="282">
      <c r="A282" t="inlineStr">
        <is>
          <t>ENC121019</t>
        </is>
      </c>
      <c r="B282" t="inlineStr">
        <is>
          <t>Medicine</t>
        </is>
      </c>
      <c r="C282" s="34" t="n">
        <v>47</v>
      </c>
      <c r="D282" s="31" t="n">
        <v>3.8</v>
      </c>
      <c r="E282" s="39" t="n">
        <v>18873.7</v>
      </c>
    </row>
    <row r="283">
      <c r="A283" t="inlineStr">
        <is>
          <t>ENC121053</t>
        </is>
      </c>
      <c r="B283" t="inlineStr">
        <is>
          <t>Medicine</t>
        </is>
      </c>
      <c r="C283" s="34" t="n">
        <v>4</v>
      </c>
      <c r="D283" s="31" t="n">
        <v>3.2</v>
      </c>
      <c r="E283" s="39" t="n">
        <v>37617.94</v>
      </c>
    </row>
    <row r="284">
      <c r="A284" t="inlineStr">
        <is>
          <t>ENC121091</t>
        </is>
      </c>
      <c r="B284" t="inlineStr">
        <is>
          <t>Medicine</t>
        </is>
      </c>
      <c r="C284" s="34" t="n">
        <v>92</v>
      </c>
      <c r="D284" s="31" t="n">
        <v>5.6</v>
      </c>
      <c r="E284" s="39" t="n">
        <v>32176.27</v>
      </c>
    </row>
    <row r="285">
      <c r="A285" t="inlineStr">
        <is>
          <t>ENC121137</t>
        </is>
      </c>
      <c r="B285" t="inlineStr">
        <is>
          <t>Oncology</t>
        </is>
      </c>
      <c r="C285" s="34" t="n">
        <v>78</v>
      </c>
      <c r="D285" s="31" t="n">
        <v>7.7</v>
      </c>
      <c r="E285" s="39" t="n">
        <v>37574.58</v>
      </c>
    </row>
    <row r="286">
      <c r="A286" t="inlineStr">
        <is>
          <t>ENC121178</t>
        </is>
      </c>
      <c r="B286" t="inlineStr">
        <is>
          <t>Medicine</t>
        </is>
      </c>
      <c r="C286" s="34" t="n">
        <v>24</v>
      </c>
      <c r="D286" s="31" t="n">
        <v>4.3</v>
      </c>
      <c r="E286" s="39" t="n">
        <v>15221.84</v>
      </c>
    </row>
    <row r="287">
      <c r="A287" t="inlineStr">
        <is>
          <t>ENC121208</t>
        </is>
      </c>
      <c r="B287" t="inlineStr">
        <is>
          <t>Cardiovascular</t>
        </is>
      </c>
      <c r="C287" s="34" t="n">
        <v>44</v>
      </c>
      <c r="D287" s="31" t="n">
        <v>3.7</v>
      </c>
      <c r="E287" s="39" t="n">
        <v>94173.35000000001</v>
      </c>
    </row>
    <row r="288">
      <c r="A288" t="inlineStr">
        <is>
          <t>ENC121236</t>
        </is>
      </c>
      <c r="B288" t="inlineStr">
        <is>
          <t>Medicine</t>
        </is>
      </c>
      <c r="C288" s="34" t="n">
        <v>66</v>
      </c>
      <c r="D288" s="31" t="n">
        <v>6.2</v>
      </c>
      <c r="E288" s="39" t="n">
        <v>70884.42999999999</v>
      </c>
    </row>
    <row r="289">
      <c r="A289" t="inlineStr">
        <is>
          <t>ENC121268</t>
        </is>
      </c>
      <c r="B289" t="inlineStr">
        <is>
          <t>Medicine</t>
        </is>
      </c>
      <c r="C289" s="34" t="n">
        <v>81</v>
      </c>
      <c r="D289" s="31" t="n">
        <v>4</v>
      </c>
      <c r="E289" s="39" t="n">
        <v>21340.25</v>
      </c>
    </row>
    <row r="290">
      <c r="A290" t="inlineStr">
        <is>
          <t>ENC121316</t>
        </is>
      </c>
      <c r="B290" t="inlineStr">
        <is>
          <t>Cardiovascular</t>
        </is>
      </c>
      <c r="C290" s="34" t="n">
        <v>55</v>
      </c>
      <c r="D290" s="31" t="n">
        <v>2.1</v>
      </c>
      <c r="E290" s="39" t="n">
        <v>9986.35</v>
      </c>
    </row>
    <row r="291">
      <c r="A291" t="inlineStr">
        <is>
          <t>ENC121348</t>
        </is>
      </c>
      <c r="B291" t="inlineStr">
        <is>
          <t>Women &amp; Children</t>
        </is>
      </c>
      <c r="C291" s="34" t="n">
        <v>31</v>
      </c>
      <c r="D291" s="31" t="n">
        <v>1.1</v>
      </c>
      <c r="E291" s="39" t="n">
        <v>17111.02</v>
      </c>
    </row>
    <row r="292">
      <c r="A292" t="inlineStr">
        <is>
          <t>ENC121410</t>
        </is>
      </c>
      <c r="B292" t="inlineStr">
        <is>
          <t>Medicine</t>
        </is>
      </c>
      <c r="C292" s="34" t="n">
        <v>20</v>
      </c>
      <c r="D292" s="31" t="n">
        <v>5.9</v>
      </c>
      <c r="E292" s="39" t="n">
        <v>35112.09</v>
      </c>
    </row>
    <row r="293">
      <c r="A293" t="inlineStr">
        <is>
          <t>ENC121456</t>
        </is>
      </c>
      <c r="B293" t="inlineStr">
        <is>
          <t>Medicine</t>
        </is>
      </c>
      <c r="C293" s="34" t="n">
        <v>77</v>
      </c>
      <c r="D293" s="31" t="n">
        <v>5.6</v>
      </c>
      <c r="E293" s="39" t="n">
        <v>29960</v>
      </c>
    </row>
    <row r="294">
      <c r="A294" t="inlineStr">
        <is>
          <t>ENC121479</t>
        </is>
      </c>
      <c r="B294" t="inlineStr">
        <is>
          <t>Medicine</t>
        </is>
      </c>
      <c r="C294" s="34" t="n">
        <v>41</v>
      </c>
      <c r="D294" s="31" t="n">
        <v>6</v>
      </c>
      <c r="E294" s="39" t="n">
        <v>17822.26</v>
      </c>
    </row>
    <row r="295">
      <c r="A295" t="inlineStr">
        <is>
          <t>ENC121504</t>
        </is>
      </c>
      <c r="B295" t="inlineStr">
        <is>
          <t>Neuroscience</t>
        </is>
      </c>
      <c r="C295" s="34" t="n">
        <v>54</v>
      </c>
      <c r="D295" s="31" t="n">
        <v>4</v>
      </c>
      <c r="E295" s="39" t="n">
        <v>27435.86</v>
      </c>
    </row>
    <row r="296">
      <c r="A296" t="inlineStr">
        <is>
          <t>ENC121526</t>
        </is>
      </c>
      <c r="B296" t="inlineStr">
        <is>
          <t>Orthopedics</t>
        </is>
      </c>
      <c r="C296" s="34" t="n">
        <v>64</v>
      </c>
      <c r="D296" s="31" t="n">
        <v>4.9</v>
      </c>
      <c r="E296" s="39" t="n">
        <v>60033.52</v>
      </c>
    </row>
    <row r="297">
      <c r="A297" t="inlineStr">
        <is>
          <t>ENC121587</t>
        </is>
      </c>
      <c r="B297" t="inlineStr">
        <is>
          <t>Medicine</t>
        </is>
      </c>
      <c r="C297" s="34" t="n">
        <v>71</v>
      </c>
      <c r="D297" s="31" t="n">
        <v>6.8</v>
      </c>
      <c r="E297" s="39" t="n">
        <v>17978.71</v>
      </c>
    </row>
    <row r="298">
      <c r="A298" t="inlineStr">
        <is>
          <t>ENC121613</t>
        </is>
      </c>
      <c r="B298" t="inlineStr">
        <is>
          <t>Medicine</t>
        </is>
      </c>
      <c r="C298" s="34" t="n">
        <v>86</v>
      </c>
      <c r="D298" s="31" t="n">
        <v>3.2</v>
      </c>
      <c r="E298" s="39" t="n">
        <v>25757.73</v>
      </c>
    </row>
    <row r="299">
      <c r="A299" t="inlineStr">
        <is>
          <t>ENC121645</t>
        </is>
      </c>
      <c r="B299" t="inlineStr">
        <is>
          <t>Medicine</t>
        </is>
      </c>
      <c r="C299" s="34" t="n">
        <v>77</v>
      </c>
      <c r="D299" s="31" t="n">
        <v>5.2</v>
      </c>
      <c r="E299" s="39" t="n">
        <v>20418.14</v>
      </c>
    </row>
    <row r="300">
      <c r="A300" t="inlineStr">
        <is>
          <t>ENC121694</t>
        </is>
      </c>
      <c r="B300" t="inlineStr">
        <is>
          <t>Medicine</t>
        </is>
      </c>
      <c r="C300" s="34" t="n">
        <v>85</v>
      </c>
      <c r="D300" s="31" t="n">
        <v>4.4</v>
      </c>
      <c r="E300" s="39" t="n">
        <v>48245.8</v>
      </c>
    </row>
    <row r="301">
      <c r="A301" t="inlineStr">
        <is>
          <t>ENC121728</t>
        </is>
      </c>
      <c r="B301" t="inlineStr">
        <is>
          <t>Women &amp; Children</t>
        </is>
      </c>
      <c r="C301" s="34" t="n">
        <v>36</v>
      </c>
      <c r="D301" s="31" t="n">
        <v>2.1</v>
      </c>
      <c r="E301" s="39" t="n">
        <v>26424.65</v>
      </c>
    </row>
  </sheetData>
  <pageMargins left="0.75" right="0.75" top="1" bottom="1" header="0.5" footer="0.5"/>
  <tableParts count="1">
    <tablePart xmlns:r="http://schemas.openxmlformats.org/officeDocument/2006/relationships" r:id="rId1"/>
  </tableParts>
</worksheet>
</file>

<file path=xl/worksheets/sheet9.xml><?xml version="1.0" encoding="utf-8"?>
<worksheet xmlns="http://schemas.openxmlformats.org/spreadsheetml/2006/main">
  <sheetPr>
    <outlinePr summaryBelow="1" summaryRight="1"/>
    <pageSetUpPr/>
  </sheetPr>
  <dimension ref="A1:D8"/>
  <sheetViews>
    <sheetView tabSelected="0" workbookViewId="0">
      <pane ySplit="1" topLeftCell="A2" activePane="bottomLeft" state="frozen"/>
      <selection pane="bottomLeft" activeCell="A1" sqref="A1"/>
    </sheetView>
  </sheetViews>
  <sheetFormatPr baseColWidth="8" defaultRowHeight="15"/>
  <cols>
    <col width="25" customWidth="1" min="1" max="1"/>
    <col width="9" customWidth="1" min="2" max="2"/>
    <col width="15" customWidth="1" min="3" max="3"/>
    <col width="15" customWidth="1" min="4" max="4"/>
  </cols>
  <sheetData>
    <row r="1">
      <c r="A1" s="29" t="inlineStr">
        <is>
          <t>DenialReason</t>
        </is>
      </c>
      <c r="B1" s="29" t="inlineStr">
        <is>
          <t>Claims</t>
        </is>
      </c>
      <c r="C1" s="29" t="inlineStr">
        <is>
          <t>DeniedCharges</t>
        </is>
      </c>
      <c r="D1" s="32" t="inlineStr">
        <is>
          <t>CumulativePct</t>
        </is>
      </c>
    </row>
    <row r="2">
      <c r="A2" t="inlineStr">
        <is>
          <t>Authorization Required</t>
        </is>
      </c>
      <c r="B2" s="30" t="n">
        <v>395</v>
      </c>
      <c r="C2" s="39" t="n">
        <v>5015271.87</v>
      </c>
      <c r="D2" s="40" t="n"/>
    </row>
    <row r="3">
      <c r="A3" t="inlineStr">
        <is>
          <t>Coding Error</t>
        </is>
      </c>
      <c r="B3" s="30" t="n">
        <v>200</v>
      </c>
      <c r="C3" s="39" t="n">
        <v>2354746.63</v>
      </c>
      <c r="D3" s="40" t="n"/>
    </row>
    <row r="4">
      <c r="A4" t="inlineStr">
        <is>
          <t>Duplicate Claim</t>
        </is>
      </c>
      <c r="B4" s="30" t="n">
        <v>35</v>
      </c>
      <c r="C4" s="39" t="n">
        <v>295135.49</v>
      </c>
      <c r="D4" s="40" t="n"/>
    </row>
    <row r="5">
      <c r="A5" t="inlineStr">
        <is>
          <t>Eligibility / Coverage</t>
        </is>
      </c>
      <c r="B5" s="30" t="n">
        <v>125</v>
      </c>
      <c r="C5" s="39" t="n">
        <v>1260363.83</v>
      </c>
      <c r="D5" s="40" t="n"/>
    </row>
    <row r="6">
      <c r="A6" t="inlineStr">
        <is>
          <t>Medical Necessity</t>
        </is>
      </c>
      <c r="B6" s="30" t="n">
        <v>243</v>
      </c>
      <c r="C6" s="39" t="n">
        <v>3239702.72</v>
      </c>
      <c r="D6" s="40" t="n"/>
    </row>
    <row r="7">
      <c r="A7" t="inlineStr">
        <is>
          <t>Missing Documentation</t>
        </is>
      </c>
      <c r="B7" s="30" t="n">
        <v>97</v>
      </c>
      <c r="C7" s="39" t="n">
        <v>1360498.79</v>
      </c>
      <c r="D7" s="40" t="n"/>
    </row>
    <row r="8">
      <c r="A8" t="inlineStr">
        <is>
          <t>Timely Filing</t>
        </is>
      </c>
      <c r="B8" s="30" t="n">
        <v>47</v>
      </c>
      <c r="C8" s="39" t="n">
        <v>380612.26</v>
      </c>
      <c r="D8" s="40" t="n"/>
    </row>
  </sheetData>
  <pageMargins left="0.75" right="0.75" top="1" bottom="1" header="0.5" footer="0.5"/>
  <tableParts count="1">
    <tablePart xmlns:r="http://schemas.openxmlformats.org/officeDocument/2006/relationships" r:id="rId1"/>
  </tableParts>
</worksheet>
</file>

<file path=xl/worksheets/sheet10.xml><?xml version="1.0" encoding="utf-8"?>
<worksheet xmlns="http://schemas.openxmlformats.org/spreadsheetml/2006/main">
  <sheetPr>
    <outlinePr summaryBelow="1" summaryRight="1"/>
    <pageSetUpPr/>
  </sheetPr>
  <dimension ref="A1:B14"/>
  <sheetViews>
    <sheetView tabSelected="0" workbookViewId="0">
      <pane ySplit="4" topLeftCell="A5" activePane="bottomLeft" state="frozen"/>
      <selection pane="bottomLeft" activeCell="A1" sqref="A1"/>
    </sheetView>
  </sheetViews>
  <sheetFormatPr baseColWidth="8" defaultRowHeight="15"/>
  <cols>
    <col width="30" customWidth="1" min="1" max="1"/>
    <col width="14" customWidth="1" min="2" max="2"/>
  </cols>
  <sheetData>
    <row r="1">
      <c r="A1" s="41" t="inlineStr">
        <is>
          <t>Medical-Surgical 4 West (Bluestone Memorial) · FY2025 operating margin, budget to actual</t>
        </is>
      </c>
    </row>
    <row r="2">
      <c r="A2" s="42" t="inlineStr">
        <is>
          <t>Positive amounts are favorable: revenue above budget, or an expense category that came in under budget. Negative amounts are unfavorable.</t>
        </is>
      </c>
    </row>
    <row r="4">
      <c r="A4" s="29" t="inlineStr">
        <is>
          <t>Step</t>
        </is>
      </c>
      <c r="B4" s="29" t="inlineStr">
        <is>
          <t>Amount</t>
        </is>
      </c>
    </row>
    <row r="5">
      <c r="A5" t="inlineStr">
        <is>
          <t>Budgeted operating margin</t>
        </is>
      </c>
      <c r="B5" s="43" t="n">
        <v>751385</v>
      </c>
    </row>
    <row r="6">
      <c r="A6" t="inlineStr">
        <is>
          <t>Net patient revenue</t>
        </is>
      </c>
      <c r="B6" s="43" t="n">
        <v>-366593</v>
      </c>
    </row>
    <row r="7">
      <c r="A7" t="inlineStr">
        <is>
          <t>Salaries &amp; wages</t>
        </is>
      </c>
      <c r="B7" s="43" t="n">
        <v>284237</v>
      </c>
    </row>
    <row r="8">
      <c r="A8" t="inlineStr">
        <is>
          <t>Employee benefits</t>
        </is>
      </c>
      <c r="B8" s="43" t="n">
        <v>-1188</v>
      </c>
    </row>
    <row r="9">
      <c r="A9" t="inlineStr">
        <is>
          <t>Medical supplies</t>
        </is>
      </c>
      <c r="B9" s="43" t="n">
        <v>90127</v>
      </c>
    </row>
    <row r="10">
      <c r="A10" t="inlineStr">
        <is>
          <t>Pharmaceuticals</t>
        </is>
      </c>
      <c r="B10" s="43" t="n">
        <v>7363</v>
      </c>
    </row>
    <row r="11">
      <c r="A11" t="inlineStr">
        <is>
          <t>Purchased services</t>
        </is>
      </c>
      <c r="B11" s="43" t="n">
        <v>-19608</v>
      </c>
    </row>
    <row r="12">
      <c r="A12" t="inlineStr">
        <is>
          <t>Equipment &amp; maintenance</t>
        </is>
      </c>
      <c r="B12" s="43" t="n">
        <v>-5765</v>
      </c>
    </row>
    <row r="13">
      <c r="A13" t="inlineStr">
        <is>
          <t>Other operating</t>
        </is>
      </c>
      <c r="B13" s="43" t="n">
        <v>-4548</v>
      </c>
    </row>
    <row r="14">
      <c r="A14" t="inlineStr">
        <is>
          <t>Actual operating margin</t>
        </is>
      </c>
      <c r="B14" s="43" t="n">
        <v>735410</v>
      </c>
    </row>
  </sheetData>
  <pageMargins left="0.75" right="0.75" top="1" bottom="1" header="0.5" footer="0.5"/>
  <tableParts count="1">
    <tablePart xmlns:r="http://schemas.openxmlformats.org/officeDocument/2006/relationships" r:id="rId1"/>
  </tableParts>
</worksheet>
</file>

<file path=xl/worksheets/sheet11.xml><?xml version="1.0" encoding="utf-8"?>
<worksheet xmlns="http://schemas.openxmlformats.org/spreadsheetml/2006/main">
  <sheetPr>
    <tabColor rgb="00BF9000"/>
    <outlinePr summaryBelow="1" summaryRight="1"/>
    <pageSetUpPr fitToPage="1"/>
  </sheetPr>
  <dimension ref="A1:E10"/>
  <sheetViews>
    <sheetView tabSelected="0" workbookViewId="0">
      <pane ySplit="5" topLeftCell="A6" activePane="bottomLeft" state="frozen"/>
      <selection pane="bottomLeft" activeCell="A1" sqref="A1"/>
    </sheetView>
  </sheetViews>
  <sheetFormatPr baseColWidth="8" defaultRowHeight="15"/>
  <cols>
    <col width="5" customWidth="1" min="1" max="1"/>
    <col width="72" customWidth="1" min="2" max="2"/>
    <col width="38" customWidth="1" min="3" max="3"/>
    <col width="22" customWidth="1" min="4" max="4"/>
    <col width="14" customWidth="1" min="5" max="5"/>
  </cols>
  <sheetData>
    <row r="1">
      <c r="A1" s="13" t="inlineStr">
        <is>
          <t>Lesson 3.5 · Bonus: Charts for the operations review</t>
        </is>
      </c>
    </row>
    <row r="2" ht="64" customHeight="1">
      <c r="A2" s="14" t="inlineStr">
        <is>
          <t>Two directors bring questions to Bluestone's monthly operations review. The ED medical director believes patients leave without being seen (LWBS) mainly in busy months, and the ED's target is an LWBS rate of 2% or less. The revenue-cycle director wants to know which denial reasons to work first, ranked by dollars at risk (DeniedCharges) rather than by claim counts. Build a combo chart and a scatter chart for the first question and a Pareto chart for the second, then check the numbers behind them.</t>
        </is>
      </c>
    </row>
    <row r="3" ht="34" customHeight="1">
      <c r="A3" s="15" t="inlineStr">
        <is>
          <t>Type a formula or value in each yellow cell. The Check column turns green when your answer matches. Stuck? Read the hint, then the lesson guide. Answers: right-click a sheet tab → Unhide… → 'Bonus Key'.</t>
        </is>
      </c>
    </row>
    <row r="4">
      <c r="A4" s="16">
        <f>"Score: "&amp;COUNTIF(E6:E10,"✔*")&amp;" of 5 auto-checked tasks correct"</f>
        <v/>
      </c>
    </row>
    <row r="5">
      <c r="A5" s="17" t="inlineStr">
        <is>
          <t>#</t>
        </is>
      </c>
      <c r="B5" s="17" t="inlineStr">
        <is>
          <t>Task</t>
        </is>
      </c>
      <c r="C5" s="17" t="inlineStr">
        <is>
          <t>Hint</t>
        </is>
      </c>
      <c r="D5" s="17" t="inlineStr">
        <is>
          <t>Your Answer</t>
        </is>
      </c>
      <c r="E5" s="17" t="inlineStr">
        <is>
          <t>Check</t>
        </is>
      </c>
    </row>
    <row r="6" ht="51" customHeight="1">
      <c r="A6" s="18" t="inlineStr">
        <is>
          <t>B1</t>
        </is>
      </c>
      <c r="B6" s="19" t="inlineStr">
        <is>
          <t>On ED_Monthly, fill the yellow LWBSRate column with LWBS ÷ Total for each month. The column is already formatted as a percentage. The gray cell counts the months above the 2% target. How many of the 24 months missed the target?</t>
        </is>
      </c>
      <c r="C6" s="20" t="inlineStr">
        <is>
          <t>Write one formula in G2 with [@Column] references (Lesson 3.1). The Table fills the other 23 rows</t>
        </is>
      </c>
      <c r="D6" cm="1" s="44">
        <f t="array" ref="D6">IF(COUNT(ED_Monthly!$G$2:$G$25)=0,"",COUNTIF(ED_Monthly!$G$2:$G$25,"&gt;0.02"))</f>
        <v/>
      </c>
      <c r="E6" s="22">
        <f>IF(IFERROR(D6="",FALSE),"",IF(IFERROR(AND(ISNUMBER(D6),OR(ABS(D6-'Bonus Key'!$C$5)&lt;=0.0001)),FALSE),"✔ Correct","✘ Not yet"))</f>
        <v/>
      </c>
    </row>
    <row r="7" ht="66" customHeight="1">
      <c r="A7" s="18" t="inlineStr">
        <is>
          <t>B2</t>
        </is>
      </c>
      <c r="B7" s="19" t="inlineStr">
        <is>
          <t>Build a combo chart on ED_Monthly with Total as clustered columns and LWBSRate as a line on the secondary axis (select Month, then Ctrl+click or ⌘+click Total and LWBSRate). Which month had the highest LWBS rate? Type the month and year.</t>
        </is>
      </c>
      <c r="C7" s="20" t="inlineStr">
        <is>
          <t>Select A1:A25, Ctrl+click E1:E25 and G1:G25, then Insert → Insert Combo Chart</t>
        </is>
      </c>
      <c r="D7" s="23" t="n"/>
      <c r="E7" s="22">
        <f>IF(IFERROR(D7="",FALSE),"",IF(IFERROR(AND(ISNUMBER(D7),INT(D7)=INT('Bonus Key'!$C$6)),FALSE),"✔ Correct","✘ Not yet"))</f>
        <v/>
      </c>
    </row>
    <row r="8" ht="51" customHeight="1">
      <c r="A8" s="18" t="inlineStr">
        <is>
          <t>B3</t>
        </is>
      </c>
      <c r="B8" s="19" t="inlineStr">
        <is>
          <t>Test the director's theory with a scatter chart of Total (horizontal axis) against LWBSRate (vertical axis), with a linear trendline and its R². What is R²? Enter it to 3 decimal places.</t>
        </is>
      </c>
      <c r="C8" s="20" t="inlineStr">
        <is>
          <t>Select E1:E25, Ctrl+click G1:G25, then Insert → Scatter. RSQ(known_y's, known_x's) confirms it</t>
        </is>
      </c>
      <c r="D8" s="45" t="n"/>
      <c r="E8" s="22">
        <f>IF(IFERROR(D8="",FALSE),"",IF(IFERROR(AND(ISNUMBER(D8),OR(ABS(D8-'Bonus Key'!$C$7)&lt;=0.0006)),FALSE),"✔ Correct","✘ Not yet"))</f>
        <v/>
      </c>
    </row>
    <row r="9" ht="81" customHeight="1">
      <c r="A9" s="18" t="inlineStr">
        <is>
          <t>B4</t>
        </is>
      </c>
      <c r="B9" s="19" t="inlineStr">
        <is>
          <t>On Denials, build a Pareto chart by DeniedCharges by hand: sort the table by DeniedCharges (largest first), fill CumulativePct with each row's running share of total DeniedCharges, then insert a combo chart with DeniedCharges as columns and CumulativePct as a line on the secondary axis (fix that axis at 0% to 100%). How many reasons does it take to reach at least 80% of denied charges?</t>
        </is>
      </c>
      <c r="C9" s="20" t="inlineStr">
        <is>
          <t>Follow 'A Pareto by hand' in Guide section 12. DeniedCharges is column C. Sort before you chart</t>
        </is>
      </c>
      <c r="D9" s="21" t="n"/>
      <c r="E9" s="22">
        <f>IF(IFERROR(D9="",FALSE),"",IF(IFERROR(AND(ISNUMBER(D9),OR(ABS(D9-'Bonus Key'!$C$8)&lt;=0.0001)),FALSE),"✔ Correct","✘ Not yet"))</f>
        <v/>
      </c>
    </row>
    <row r="10" ht="51" customHeight="1">
      <c r="A10" s="18" t="inlineStr">
        <is>
          <t>B5</t>
        </is>
      </c>
      <c r="B10" s="19" t="inlineStr">
        <is>
          <t>Compare this Pareto with the one you built by claim count in Task 10. Exactly one reason ranks higher by denied charges than by number of claims. Which one? Type it as it appears in the table.</t>
        </is>
      </c>
      <c r="C10" s="20" t="inlineStr">
        <is>
          <t>Compare the order of the bars in the two Pareto charts</t>
        </is>
      </c>
      <c r="D10" s="24" t="n"/>
      <c r="E10" s="22">
        <f>IF(IFERROR(D10="",FALSE),"",IF(IFERROR(OR(LOWER(TRIM(D10&amp;""))=LOWER(TRIM('Bonus Key'!$C$9&amp;""))),FALSE),"✔ Correct","✘ Not yet"))</f>
        <v/>
      </c>
    </row>
  </sheetData>
  <mergeCells count="3">
    <mergeCell ref="A2:E2"/>
    <mergeCell ref="A4:C4"/>
    <mergeCell ref="A3:E3"/>
  </mergeCells>
  <conditionalFormatting sqref="E6:E10">
    <cfRule type="expression" priority="1" dxfId="0">
      <formula>LEFT(E6,1)="✔"</formula>
    </cfRule>
    <cfRule type="expression" priority="2" dxfId="1">
      <formula>LEFT(E6,1)="✘"</formula>
    </cfRule>
  </conditionalFormatting>
  <pageMargins left="0.75" right="0.75" top="1" bottom="1" header="0.5" footer="0.5"/>
  <pageSetup orientation="landscape" fitToHeight="0" fitToWidth="1"/>
</worksheet>
</file>

<file path=xl/worksheets/sheet12.xml><?xml version="1.0" encoding="utf-8"?>
<worksheet xmlns="http://schemas.openxmlformats.org/spreadsheetml/2006/main">
  <sheetPr>
    <tabColor rgb="00C00000"/>
    <outlinePr summaryBelow="1" summaryRight="1"/>
    <pageSetUpPr fitToPage="1"/>
  </sheetPr>
  <dimension ref="A1:F17"/>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46" t="inlineStr">
        <is>
          <t>🔑 Answer Key — Lesson 3.5</t>
        </is>
      </c>
    </row>
    <row r="2" ht="32" customHeight="1">
      <c r="A2" s="47" t="inlineStr">
        <is>
          <t>Spoiler alert: try every task before reading this sheet. Column C is the value the Check column compares against. Column D is a sample solution, and column E recalculates a formula for it live, proving the answer.</t>
        </is>
      </c>
    </row>
    <row r="4">
      <c r="A4" s="48" t="inlineStr">
        <is>
          <t>#</t>
        </is>
      </c>
      <c r="B4" s="48" t="inlineStr">
        <is>
          <t>Task</t>
        </is>
      </c>
      <c r="C4" s="48" t="inlineStr">
        <is>
          <t>Answer</t>
        </is>
      </c>
      <c r="D4" s="48" t="inlineStr">
        <is>
          <t>Sample solution</t>
        </is>
      </c>
      <c r="E4" s="48" t="inlineStr">
        <is>
          <t>Live result</t>
        </is>
      </c>
      <c r="F4" s="48" t="inlineStr">
        <is>
          <t>Explanation</t>
        </is>
      </c>
    </row>
    <row r="5" ht="186" customHeight="1">
      <c r="A5" s="18" t="inlineStr">
        <is>
          <t>1</t>
        </is>
      </c>
      <c r="B5" s="19" t="inlineStr">
        <is>
          <t>On ED_Hourly, select A1:B25 (ArrivalHour and Arrivals) and insert a clustered column chart. Which hour of the day had the most ED arrivals in 2025? Type the hour as a number from 0 to 23 (for example, 9 for the 09:00 hour).</t>
        </is>
      </c>
      <c r="C5" s="49" t="n">
        <v>16</v>
      </c>
      <c r="D5" s="50" t="inlineStr">
        <is>
          <t>1. On ED_Hourly, select A1:B25: the ArrivalHour labels and the Arrivals numbers, headers included.
2. Choose Insert → Insert Column or Bar Chart → 2-D Column → Clustered Column. On Windows you can also press Alt + F1, which inserts the default chart type (clustered column unless someone changed it).
3. Drag the chart to the right of the table. Hover over the tallest column: the tooltip reads Series "Arrivals" Point "16:00" Value: 408.</t>
        </is>
      </c>
      <c r="E5" cm="1" s="19">
        <f t="array" ref="E5">VALUE(LEFT(_xlfn.XLOOKUP(MAX(tblEDHourly[Arrivals]),tblEDHourly[Arrivals],tblEDHourly[ArrivalHour]),2))</f>
        <v/>
      </c>
      <c r="F5" s="19" t="inlineStr">
        <is>
          <t>The 16:00 hour had 408 arrivals, just ahead of 12:00 with 404. The quietest hour was 04:00 with 77. A column chart suits this question because it compares one number across categories, and the eye compares column heights quickly. ArrivalHour holds text labels such as 16:00, so Excel uses it as the category axis automatically. If the hours were numbers, Excel would plot them as a second series of short columns. Cross-check with a formula: =VALUE(LEFT(XLOOKUP(MAX(tblEDHourly[Arrivals]),tblEDHourly[Arrivals],tblEDHourly[ArrivalHour]),2))</t>
        </is>
      </c>
    </row>
    <row r="6" ht="126" customHeight="1">
      <c r="A6" s="18" t="inlineStr">
        <is>
          <t>2</t>
        </is>
      </c>
      <c r="B6" s="19" t="inlineStr">
        <is>
          <t>On ED_Monthly, select A1:D25 (Month and the three hospitals) and insert a line chart. In which month did Cedar Ridge have its most ED visits? Type the month and year (for example, Jun 2025).</t>
        </is>
      </c>
      <c r="C6" s="51" t="n">
        <v>45352</v>
      </c>
      <c r="D6" s="50" t="inlineStr">
        <is>
          <t>1. On ED_Monthly, select A1:D25.
2. Choose Insert → Insert Line or Area Chart → 2-D Line → Line (or Line with Markers). Excel recognizes the Month column as dates and builds a date axis, one point per month.
3. Hover over the highest point of the Cedar Ridge line, or click the line once and read the values in the tooltips.</t>
        </is>
      </c>
      <c r="E6" cm="1" s="52">
        <f t="array" ref="E6">_xlfn.XLOOKUP(MAX(tblEDMonthly[Cedar Ridge]),tblEDMonthly[Cedar Ridge],tblEDMonthly[Month])</f>
        <v/>
      </c>
      <c r="F6" s="19" t="inlineStr">
        <is>
          <t>Cedar Ridge peaked at 99 visits in Mar 2024. A line chart is the standard choice for a trend over time because the slope between points shows the change. Notice how flat the Cedar Ridge and Ashby Falls lines look: Bluestone Memorial (peak 473 in Jan 2025) sets the scale, so the smaller hospitals' swings shrink. When a small series matters, give it its own chart. Cross-check with a formula: =XLOOKUP(MAX(tblEDMonthly[Cedar Ridge]),tblEDMonthly[Cedar Ridge],tblEDMonthly[Month])</t>
        </is>
      </c>
    </row>
    <row r="7" ht="231" customHeight="1">
      <c r="A7" s="18" t="inlineStr">
        <is>
          <t>3</t>
        </is>
      </c>
      <c r="B7" s="19" t="inlineStr">
        <is>
          <t>On Readmits, sort the table by ReadmitRate from largest to smallest. Then select ServiceLine and ReadmitRate (A1:A9, then Ctrl+click D1:D9, or ⌘+click on a Mac) and insert a clustered bar chart. Before you change anything else, which service line's bar is at the TOP of the chart? (Afterwards, fix the order so the highest rate is on top.)</t>
        </is>
      </c>
      <c r="C7" s="49" t="inlineStr">
        <is>
          <t>Women &amp; Children</t>
        </is>
      </c>
      <c r="D7" s="50" t="inlineStr">
        <is>
          <t>1. Click any ReadmitRate cell and choose Data → Sort Largest to Smallest (Mac: Data → Sort, or the column's filter button).
2. Select A1:A9, hold Ctrl (Mac: ⌘), and select D1:D9.
3. Choose Insert → Insert Column or Bar Chart → 2-D Bar → Clustered Bar.
4. Read the top bar: it's Women &amp; Children, the lowest rate.
5. To fix the order, double-click the vertical (category) axis to open Format Axis, then under Axis Options tick Categories in reverse order. Set Horizontal axis crosses to At maximum category so the value axis stays at the bottom.</t>
        </is>
      </c>
      <c r="E7" cm="1" s="19">
        <f t="array" ref="E7">_xlfn.XLOOKUP(MIN(tblReadmits[ReadmitRate]),tblReadmits[ReadmitRate],tblReadmits[ServiceLine])</f>
        <v/>
      </c>
      <c r="F7" s="19" t="inlineStr">
        <is>
          <t>A bar chart plots the first category next to the origin, which is the bottom of a bar chart. So a table sorted from highest to lowest produces a chart with the highest bar at the bottom and the lowest (Women &amp; Children, 6.4%) at the top, which is upside down for a ranking. Categories in reverse order flips it without re-sorting the data. Bars suit this data better than columns because the service-line names are long and read easily on the left. Cross-check with a formula: =XLOOKUP(MIN(tblReadmits[ReadmitRate]),tblReadmits[ReadmitRate],tblReadmits[ServiceLine])</t>
        </is>
      </c>
    </row>
    <row r="8" ht="231" customHeight="1">
      <c r="A8" s="18" t="inlineStr">
        <is>
          <t>4</t>
        </is>
      </c>
      <c r="B8" s="19" t="inlineStr">
        <is>
          <t>The Makeover sheet has a colleague's column chart of the same readmission rates. Its vertical axis starts at 5%, not 0%. Measured from that axis, how many times taller is the Cardiovascular bar than the Women &amp; Children bar? Round to 1 decimal place. Then fix the chart in place, using the checklist in Guide section 16, and add alt text.</t>
        </is>
      </c>
      <c r="C8" s="53" t="n">
        <v>9.6</v>
      </c>
      <c r="D8" s="50" t="inlineStr">
        <is>
          <t>1. Each bar is drawn up from the axis minimum, so its height is its rate minus 5%.
2. (0.1836 − 0.05) ÷ (0.0639 − 0.05) = 9.6.
3. Fix the chart: double-click the vertical axis, and in Format Axis → Axis Options → Bounds set Minimum to 0 (or click Reset so Excel chooses 0). Turn off Vary colors by point (Format Data Series → Fill &amp; Line → Fill), delete the legend, add data labels, and give the chart a title that states the finding.
4. Right-click the chart → Edit Alt Text and describe it, for example: Column chart of 2025 30-day readmission rates by service line. Cardiovascular is highest at 18.4% and Women &amp; Children lowest at 6.4%.</t>
        </is>
      </c>
      <c r="E8" cm="1" s="54">
        <f t="array" ref="E8">(MAX(tblReadmits[ReadmitRate])-0.05)/(MIN(tblReadmits[ReadmitRate])-0.05)</f>
        <v/>
      </c>
      <c r="F8" s="19" t="inlineStr">
        <is>
          <t>The real ratio is 18.4% ÷ 6.4% = 2.9, but the truncated chart draws the Cardiovascular bar 9.6 times as tall. A bar's length is how readers judge its value, so every bar and column chart needs a value axis that starts at zero. Line charts are different: their message is in the slope, so a line chart's axis may start above zero as long as it's labeled. The other problems on the Makeover chart (rainbow colors and a legend that repeats the axis labels) add color without adding information. Cross-check with a formula: =(MAX(tblReadmits[ReadmitRate])-0.05)/(MIN(tblReadmits[ReadmitRate])-0.05)</t>
        </is>
      </c>
    </row>
    <row r="9" ht="171" customHeight="1">
      <c r="A9" s="18" t="inlineStr">
        <is>
          <t>5</t>
        </is>
      </c>
      <c r="B9" s="19" t="inlineStr">
        <is>
          <t>On PayerMix, insert a pie chart of 2025 encounters by PayerType. Add data labels that show the Percentage (not the Value), formatted with 1 decimal place. What does the Commercial label show?</t>
        </is>
      </c>
      <c r="C9" s="55" t="n">
        <v>0.3766711529834006</v>
      </c>
      <c r="D9" s="50" t="inlineStr">
        <is>
          <t>1. Click any cell in tblPayerMix and choose Insert → Insert Pie or Doughnut Chart → 2-D Pie.
2. Add labels: click the Chart Elements button (+) → Data Labels → More Options… (Mac: Chart Design → Add Chart Element → Data Labels → More Data Label Options).
3. In Label Options, tick Percentage and Category Name and untick Value. Under Number, choose Percentage with 1 decimal place.
4. Read the Commercial slice.</t>
        </is>
      </c>
      <c r="E9" cm="1" s="56">
        <f t="array" ref="E9">_xlfn.XLOOKUP("Commercial",tblPayerMix[PayerType],tblPayerMix[Encounters])/SUM(tblPayerMix[Encounters])</f>
        <v/>
      </c>
      <c r="F9" s="19" t="inlineStr">
        <is>
          <t>Excel computes each slice's percentage itself: 4,198 ÷ 11,145 = 37.7%. The default label format has no decimals, so it would round to 38%. A pie works here because there are only five parts of one whole and two of them dominate. Workers' Comp (0.5%) is barely a sliver, which is the usual limit of a pie: with more or smaller slices, a sorted bar chart compares parts far more accurately. Cross-check with a formula: =XLOOKUP("Commercial",tblPayerMix[PayerType],tblPayerMix[Encounters])/SUM(tblPayerMix[Encounters])</t>
        </is>
      </c>
    </row>
    <row r="10" ht="156" customHeight="1">
      <c r="A10" s="18" t="inlineStr">
        <is>
          <t>6</t>
        </is>
      </c>
      <c r="B10" s="19" t="inlineStr">
        <is>
          <t>On Stays, insert a histogram of LOSDays (all 300 stays). Format the horizontal axis with Bin width 1, Overflow bin 10, and Underflow bin 1. How many stays fall in the overflow bin (longer than 10 days)?</t>
        </is>
      </c>
      <c r="C10" s="49" t="n">
        <v>9</v>
      </c>
      <c r="D10" s="50" t="inlineStr">
        <is>
          <t>1. On Stays, select D1:D301 (the LOSDays column with its header).
2. Choose Insert → Insert Statistic Chart → Histogram. On a Mac, the same Statistic Chart button is on the Insert tab.
3. Double-click the horizontal axis. Under Axis Options → Bins, choose Bin width 1, tick Overflow bin and type 10, and tick Underflow bin and type 1.
4. Hover over the last column, labeled &gt;10.</t>
        </is>
      </c>
      <c r="E10" cm="1" s="19">
        <f t="array" ref="E10">COUNTIF(tblStays[LOSDays],"&gt;10")</f>
        <v/>
      </c>
      <c r="F10" s="19" t="inlineStr">
        <is>
          <t>A histogram answers "how are the values distributed?" by counting values in equal-width bins. Here the tallest bin is (3, 4] days with 75 stays, and the long right tail ends in the &gt;10 overflow bin with 9 stays. That skew is why the median length of stay (3.90 days) sits below the mean (4.59 days). The few long stays pull the mean up but barely move the median. A bin label such as (3, 4] means "more than 3, up to and including 4". The overflow and underflow bins stop a few extreme stays from stretching the axis. Cross-check with a formula: =COUNTIF(tblStays[LOSDays],"&gt;10")</t>
        </is>
      </c>
    </row>
    <row r="11" ht="201" customHeight="1">
      <c r="A11" s="18" t="inlineStr">
        <is>
          <t>7</t>
        </is>
      </c>
      <c r="B11" s="19" t="inlineStr">
        <is>
          <t>On Stays, select D1:E301 (LOSDays and TotalCharges) and insert an XY scatter chart, so LOSDays is on the horizontal axis. Add a linear trendline and display its equation. By how many dollars do charges rise for each extra day in the hospital? Confirm with SLOPE and round to the nearest dollar.</t>
        </is>
      </c>
      <c r="C11" s="57" t="n">
        <v>4921.959897703761</v>
      </c>
      <c r="D11" s="50" t="inlineStr">
        <is>
          <t>1. Select D1:E301. The left column (LOSDays) becomes X, the right one (TotalCharges) becomes Y.
2. Choose Insert → Insert Scatter (X, Y) or Bubble Chart → Scatter.
3. Right-click any point → Add Trendline…. In Format Trendline, keep Linear and tick Display Equation on chart and Display R-squared value on chart.
4. The equation reads about y = 4922x + 9225. The slope is the number in front of x.
5. Confirm in the yellow cell: =SLOPE(Stays!E2:E301,Stays!D2:D301).</t>
        </is>
      </c>
      <c r="E11" cm="1" s="58">
        <f t="array" ref="E11">SLOPE(tblStays[TotalCharges],tblStays[LOSDays])</f>
        <v/>
      </c>
      <c r="F11" s="19" t="inlineStr">
        <is>
          <t>A linear trendline is the least-squares line through the points, the same line that SLOPE and INTERCEPT calculate. Its slope says that each extra day adds about $4,922 in charges on average. R² is 0.31, so length of stay explains about 31% of the variation in charges. The rest comes from what happened during the stay, such as surgery, ICU days, and imaging. SLOPE takes the Y range first, which is easy to get backwards. Cross-check with a formula: =SLOPE(tblStays[TotalCharges],tblStays[LOSDays])</t>
        </is>
      </c>
    </row>
    <row r="12" ht="126" customHeight="1">
      <c r="A12" s="18" t="inlineStr">
        <is>
          <t>8</t>
        </is>
      </c>
      <c r="B12" s="19" t="inlineStr">
        <is>
          <t>Make a second scatter chart on Stays with AgeAtAdmit on the horizontal axis and LOSDays on the vertical axis (C1:D301). Add a linear trendline and display the R-squared value. What is R²? Confirm with RSQ and enter it to 4 decimal places.</t>
        </is>
      </c>
      <c r="C12" s="59" t="n">
        <v>0.01851500698619864</v>
      </c>
      <c r="D12" s="50" t="inlineStr">
        <is>
          <t>1. Select C1:D301 and choose Insert → Insert Scatter (X, Y) or Bubble Chart → Scatter.
2. Right-click a point → Add Trendline… → Linear, and tick Display R-squared value on chart.
3. The label reads R² = 0.0185.
4. Confirm in the yellow cell: =RSQ(Stays!D2:D301,Stays!C2:C301).</t>
        </is>
      </c>
      <c r="E12" cm="1" s="60">
        <f t="array" ref="E12">RSQ(tblStays[LOSDays],tblStays[AgeAtAdmit])</f>
        <v/>
      </c>
      <c r="F12" s="19" t="inlineStr">
        <is>
          <t>R² = 0.0185 means age explains under 2% of the variation in length of stay. The trendline still slopes upward (about 0.017 days per year of age, or 0.17 days per decade), but the points scatter widely around it. Always show R² next to a trendline, because a line can be drawn through any cloud of points, related or not. Even a high R² shows association, not cause. Cross-check with a formula: =RSQ(tblStays[LOSDays],tblStays[AgeAtAdmit])</t>
        </is>
      </c>
    </row>
    <row r="13" ht="186" customHeight="1">
      <c r="A13" s="18" t="inlineStr">
        <is>
          <t>9</t>
        </is>
      </c>
      <c r="B13" s="19" t="inlineStr">
        <is>
          <t>Back on ED_Hourly, select A1:C25 and insert a combo chart with Arrivals as clustered columns and AvgDoorToProviderMin as a line on the secondary axis. Which arrival hour has the longest average wait to see a provider? Type the hour as a number from 0 to 23.</t>
        </is>
      </c>
      <c r="C13" s="49" t="n">
        <v>13</v>
      </c>
      <c r="D13" s="50" t="inlineStr">
        <is>
          <t>1. Select A1:C25 on ED_Hourly.
2. Choose Insert → Insert Combo Chart → Clustered Column – Line on Secondary Axis. (Or insert any chart, then Chart Design → Change Chart Type → Combo, set AvgDoorToProviderMin to Line and tick its Secondary Axis box.)
3. Add axis titles with Chart Elements (+) → Axis Titles (Mac: Chart Design → Add Chart Element → Axis Titles): Arrivals on the left and Avg minutes to provider on the right.
4. Hover over the highest point of the line.</t>
        </is>
      </c>
      <c r="E13" cm="1" s="19">
        <f t="array" ref="E13">VALUE(LEFT(_xlfn.XLOOKUP(MAX(tblEDHourly[AvgDoorToProviderMin]),tblEDHourly[AvgDoorToProviderMin],tblEDHourly[ArrivalHour]),2))</f>
        <v/>
      </c>
      <c r="F13" s="19" t="inlineStr">
        <is>
          <t>Arrivals peak at 16:00, and the average wait peaks at 13:00 (57.1 minutes, against 27.8 at 04:00). The two series use different units (visits and minutes) and very different sizes, so the line needs its own axis. Otherwise it would be squashed flat. The two shapes match closely (correlation 0.96), so waits rise and fall with arrivals. That suggests staffing doesn't keep pace in the busy hours, but the chart alone can't prove the cause. Always title both axes on a dual-axis chart so nobody reads minutes off the arrivals scale. Cross-check with a formula: =VALUE(LEFT(XLOOKUP(MAX(tblEDHourly[AvgDoorToProviderMin]),tblEDHourly[AvgDoorToProviderMin],tblEDHourly[ArrivalHour]),2))</t>
        </is>
      </c>
    </row>
    <row r="14" ht="186" customHeight="1">
      <c r="A14" s="18" t="inlineStr">
        <is>
          <t>10</t>
        </is>
      </c>
      <c r="B14" s="19" t="inlineStr">
        <is>
          <t>On Denials, select A1:B8 (DenialReason and Claims) and insert a Pareto chart. What cumulative percentage does the line reach at the second bar (the top two reasons together)? Enter it as a percentage to 1 decimal place.</t>
        </is>
      </c>
      <c r="C14" s="55" t="n">
        <v>0.5586690017513135</v>
      </c>
      <c r="D14" s="50" t="inlineStr">
        <is>
          <t>1. Select A1:B8 on Denials.
2. Choose Insert → Insert Statistic Chart → Pareto. Excel sorts the reasons from most to fewest claims and adds a cumulative-percentage line on a secondary axis that runs to 100%.
3. Hover over the line at the second bar.
4. To get the exact value, type =(LARGE(Denials!B2:B8,1)+LARGE(Denials!B2:B8,2))/SUM(Denials!B2:B8) and format it as a percentage with 1 decimal place.</t>
        </is>
      </c>
      <c r="E14" cm="1" s="56">
        <f t="array" ref="E14">SUM(LARGE(tblDenials[Claims],{1,2}))/SUM(tblDenials[Claims])</f>
        <v/>
      </c>
      <c r="F14" s="19" t="inlineStr">
        <is>
          <t>Authorization Required (395 claims) and Medical Necessity (243) make up 638 of 1,142 denied claims. A Pareto chart ranks causes so a team can see the "vital few" worth fixing first. Here the first two reasons cover 55.9% of denials and the first four cover 84.3%. The built-in Pareto sorts the data for you, so the table itself can stay in any order. LARGE(range,1) and LARGE(range,2) return the largest and second-largest claim counts, which are the first two bars. The shorter cross-check formula that follows hands LARGE the array constant {1,2} (Lesson 2.5) so it returns both at once, and SUM adds them. Cross-check with a formula: =SUM(LARGE(tblDenials[Claims],{1,2}))/SUM(tblDenials[Claims])</t>
        </is>
      </c>
    </row>
    <row r="15" ht="171" customHeight="1">
      <c r="A15" s="18" t="inlineStr">
        <is>
          <t>11</t>
        </is>
      </c>
      <c r="B15" s="19" t="inlineStr">
        <is>
          <t>On Budget, select A4:B14 and insert a waterfall chart. Set the first and last bars as totals. Which step is the largest drop (the longest downward bar)? Type the Step name as it appears in the table.</t>
        </is>
      </c>
      <c r="C15" s="49" t="inlineStr">
        <is>
          <t>Net patient revenue</t>
        </is>
      </c>
      <c r="D15" s="50" t="inlineStr">
        <is>
          <t>1. Select A4:B14 on Budget.
2. Choose Insert → Insert Waterfall, Funnel, Stock, Surface, or Radar Chart → Waterfall (Mac: Insert → Waterfall).
3. Click the first bar once to select the series and once more to select only that bar. Right-click it → Set as Total. Do the same for the last bar.
4. Find the longest bar in the Decrease color (the legend shows which color that is). Hover over it to read its Step name.</t>
        </is>
      </c>
      <c r="E15" cm="1" s="19">
        <f t="array" ref="E15">_xlfn.XLOOKUP(MIN(tblBudget[Amount]),tblBudget[Amount],tblBudget[Step])</f>
        <v/>
      </c>
      <c r="F15" s="19" t="inlineStr">
        <is>
          <t>A waterfall shows how a starting total becomes an ending total through a series of increases and decreases. 4 West budgeted a margin of $751,385 and earned $735,410. Revenue came in $366,593 under budget, the biggest drop, and salaries &amp; wages saved $284,237, the biggest rise, so expense control offset most of the revenue shortfall. Without Set as Total, Excel treats the last row as one more increase and floats it on top of the running total. Cross-check with a formula: =XLOOKUP(MIN(tblBudget[Amount]),tblBudget[Amount],tblBudget[Step])</t>
        </is>
      </c>
    </row>
    <row r="16" ht="156" customHeight="1">
      <c r="A16" s="18" t="inlineStr">
        <is>
          <t>12</t>
        </is>
      </c>
      <c r="B16" s="19" t="inlineStr">
        <is>
          <t>On ED_Monthly, insert line sparklines in the yellow cells B27:D27 (Data Range B2:D25), one per hospital. Turn on First Point and Last Point markers. For how many of the three hospitals is the last point (Dec 2025) higher than the first point (Jan 2024)?</t>
        </is>
      </c>
      <c r="C16" s="49" t="n">
        <v>2</v>
      </c>
      <c r="D16" s="50" t="inlineStr">
        <is>
          <t>1. Select B27:D27 on ED_Monthly.
2. Choose Insert → Sparklines → Line. In Data Range type B2:D25. Location Range already shows $B$27:$D$27. Click OK. Excel draws one sparkline per column.
3. On the Sparkline tab, tick First Point and Last Point (and High Point if you like).
4. Compare each sparkline's two end markers. To check, compare row 25 with row 2.</t>
        </is>
      </c>
      <c r="E16" cm="1" s="19">
        <f t="array" ref="E16">SUMPRODUCT(--(ED_Monthly!$B$25:$D$25&gt;ED_Monthly!$B$2:$D$2))</f>
        <v/>
      </c>
      <c r="F16" s="19" t="inlineStr">
        <is>
          <t>Bluestone Memorial and Cedar Ridge ended higher than they started. Ashby Falls ended lower (85 visits in Jan 2024, 79 in Dec 2025). A sparkline is a word-sized chart in a cell, so it shows each series' shape next to the numbers. By default every sparkline gets its own vertical scale, which is right for comparing a series with itself but wrong for comparing hospitals. When heights should be comparable, open Sparkline → Axis and set both the minimum and the maximum to Same for All Sparklines. Cross-check with a formula: =SUMPRODUCT(--(ED_Monthly!$B$25:$D$25&gt;ED_Monthly!$B$2:$D$2))</t>
        </is>
      </c>
    </row>
    <row r="17" ht="156" customHeight="1">
      <c r="A17" s="18" t="inlineStr">
        <is>
          <t>13</t>
        </is>
      </c>
      <c r="B17" s="19" t="inlineStr">
        <is>
          <t>Write a formula in the yellow cell that builds this chart title from tblEDMonthly: ED visits by facility, [first month] to [last month] ([total visits] visits). Show each month as a three-letter month and year, and the total with a thousands separator. Example of the pattern: ED visits by facility, Mar 2023 to Feb 2024 (9,876 visits). Then link the title of your Task 2 line chart to this cell.</t>
        </is>
      </c>
      <c r="C17" s="49" t="inlineStr">
        <is>
          <t>ED visits by facility, Jan 2024 to Dec 2025 (12,292 visits)</t>
        </is>
      </c>
      <c r="D17" s="50" t="inlineStr">
        <is>
          <t>="ED visits by facility, "&amp;TEXT(MIN(tblEDMonthly[Month]),"mmm yyyy")&amp;" to "&amp;TEXT(MAX(tblEDMonthly[Month]),"mmm yyyy")&amp;" ("&amp;TEXT(SUM(tblEDMonthly[Total]),"#,##0")&amp;" visits)"</t>
        </is>
      </c>
      <c r="E17" cm="1" s="19">
        <f t="array" ref="E17">"ED visits by facility, "&amp;TEXT(MIN(tblEDMonthly[Month]),"mmm yyyy")&amp;" to "&amp;TEXT(MAX(tblEDMonthly[Month]),"mmm yyyy")&amp;" ("&amp;TEXT(SUM(tblEDMonthly[Total]),"#,##0")&amp;" visits)"</f>
        <v/>
      </c>
      <c r="F17" s="19" t="inlineStr">
        <is>
          <t>Build the title in a cell, because a chart title can show text or one cell reference, but not a formula. To link it, click the chart title on ED_Monthly, type = in the formula bar, click the Practice sheet tab, click this yellow cell, and press Enter. The formula bar then shows a reference such as =Practice!$D$18. TEXT turns the dates and the total into formatted text. Without it, &amp; would join the raw serial number 45292 instead of Jan 2024. Because the formula uses tblEDMonthly, adding January 2026 as a new row updates the chart and its title together.</t>
        </is>
      </c>
    </row>
  </sheetData>
  <mergeCells count="1">
    <mergeCell ref="A2:F2"/>
  </mergeCells>
  <pageMargins left="0.75" right="0.75" top="1" bottom="1" header="0.5" footer="0.5"/>
  <pageSetup orientation="landscape" fitToHeight="0" fitToWidth="1"/>
</worksheet>
</file>

<file path=xl/worksheets/sheet13.xml><?xml version="1.0" encoding="utf-8"?>
<worksheet xmlns="http://schemas.openxmlformats.org/spreadsheetml/2006/main">
  <sheetPr>
    <tabColor rgb="00C00000"/>
    <outlinePr summaryBelow="1" summaryRight="1"/>
    <pageSetUpPr fitToPage="1"/>
  </sheetPr>
  <dimension ref="A1:F9"/>
  <sheetViews>
    <sheetView tabSelected="0" workbookViewId="0">
      <pane ySplit="4" topLeftCell="A5" activePane="bottomLeft" state="frozen"/>
      <selection pane="bottomLeft" activeCell="A1" sqref="A1"/>
    </sheetView>
  </sheetViews>
  <sheetFormatPr baseColWidth="8" defaultRowHeight="15"/>
  <cols>
    <col width="5" customWidth="1" min="1" max="1"/>
    <col width="55" customWidth="1" min="2" max="2"/>
    <col width="18" customWidth="1" min="3" max="3"/>
    <col width="48" customWidth="1" min="4" max="4"/>
    <col width="18" customWidth="1" min="5" max="5"/>
    <col width="62" customWidth="1" min="6" max="6"/>
  </cols>
  <sheetData>
    <row r="1">
      <c r="A1" s="46" t="inlineStr">
        <is>
          <t>🔑 Bonus Key — Lesson 3.5</t>
        </is>
      </c>
    </row>
    <row r="2" ht="32" customHeight="1">
      <c r="A2" s="47" t="inlineStr">
        <is>
          <t>Spoiler alert: try every task before reading this sheet. Column C is the value the Check column compares against. Column D is a sample solution, and column E recalculates a formula for it live, proving the answer.</t>
        </is>
      </c>
    </row>
    <row r="4">
      <c r="A4" s="48" t="inlineStr">
        <is>
          <t>#</t>
        </is>
      </c>
      <c r="B4" s="48" t="inlineStr">
        <is>
          <t>Task</t>
        </is>
      </c>
      <c r="C4" s="48" t="inlineStr">
        <is>
          <t>Answer</t>
        </is>
      </c>
      <c r="D4" s="48" t="inlineStr">
        <is>
          <t>Sample solution</t>
        </is>
      </c>
      <c r="E4" s="48" t="inlineStr">
        <is>
          <t>Live result</t>
        </is>
      </c>
      <c r="F4" s="48" t="inlineStr">
        <is>
          <t>Explanation</t>
        </is>
      </c>
    </row>
    <row r="5" ht="96" customHeight="1">
      <c r="A5" s="18" t="inlineStr">
        <is>
          <t>B1</t>
        </is>
      </c>
      <c r="B5" s="19" t="inlineStr">
        <is>
          <t>On ED_Monthly, fill the yellow LWBSRate column with LWBS ÷ Total for each month. The column is already formatted as a percentage. The gray cell counts the months above the 2% target. How many of the 24 months missed the target?</t>
        </is>
      </c>
      <c r="C5" s="49" t="n">
        <v>8</v>
      </c>
      <c r="D5" s="50" t="inlineStr">
        <is>
          <t>=[@LWBS]/[@Total]</t>
        </is>
      </c>
      <c r="E5" cm="1" s="19">
        <f t="array" ref="E5">SUMPRODUCT(--(tblEDMonthly[LWBS]/tblEDMonthly[Total]&gt;0.02))</f>
        <v/>
      </c>
      <c r="F5" s="19" t="inlineStr">
        <is>
          <t>Type the formula in G2 (=F2/E2 works too). [@LWBS] means "the LWBS value in this row", and the Table fills the column for you. Rates make months comparable even though volume swings by 228 visits between the busiest and quietest months. The gray cell runs COUNTIF(G2:G25,"&gt;0.02") on your column, and 8 of the 24 months were above 2%.</t>
        </is>
      </c>
    </row>
    <row r="6" ht="141" customHeight="1">
      <c r="A6" s="18" t="inlineStr">
        <is>
          <t>B2</t>
        </is>
      </c>
      <c r="B6" s="19" t="inlineStr">
        <is>
          <t>Build a combo chart on ED_Monthly with Total as clustered columns and LWBSRate as a line on the secondary axis (select Month, then Ctrl+click or ⌘+click Total and LWBSRate). Which month had the highest LWBS rate? Type the month and year.</t>
        </is>
      </c>
      <c r="C6" s="51" t="n">
        <v>45536</v>
      </c>
      <c r="D6" s="50" t="inlineStr">
        <is>
          <t>1. Select A1:A25, then hold Ctrl (Mac: ⌘) and select E1:E25 and G1:G25.
2. Choose Insert → Insert Combo Chart → Clustered Column – Line on Secondary Axis.
3. Title both axes (ED visits and LWBS rate). If the secondary axis shows too many decimals, set its number format to a percentage with 1 decimal place (Format Axis → Number).
4. Hover over the highest point of the line.</t>
        </is>
      </c>
      <c r="E6" cm="1" s="52">
        <f t="array" ref="E6">_xlfn.XLOOKUP(MAX(tblEDMonthly[LWBS]/tblEDMonthly[Total]),tblEDMonthly[LWBS]/tblEDMonthly[Total],tblEDMonthly[Month])</f>
        <v/>
      </c>
      <c r="F6" s="19" t="inlineStr">
        <is>
          <t>Sep 2024 had 15 LWBS out of 403 visits (3.72%), yet it was the quietest month of the two years. The busiest month, Jan 2025 (631 visits), had an LWBS rate of only 1.74%. On the combo chart, the line's peaks don't line up with the tallest columns, which is the first hint that volume isn't the whole story. Cross-check with a formula: =XLOOKUP(MAX(tblEDMonthly[LWBS]/tblEDMonthly[Total]),tblEDMonthly[LWBS]/tblEDMonthly[Total],tblEDMonthly[Month])</t>
        </is>
      </c>
    </row>
    <row r="7" ht="141" customHeight="1">
      <c r="A7" s="18" t="inlineStr">
        <is>
          <t>B3</t>
        </is>
      </c>
      <c r="B7" s="19" t="inlineStr">
        <is>
          <t>Test the director's theory with a scatter chart of Total (horizontal axis) against LWBSRate (vertical axis), with a linear trendline and its R². What is R²? Enter it to 3 decimal places.</t>
        </is>
      </c>
      <c r="C7" s="61" t="n">
        <v>0.1209547597763709</v>
      </c>
      <c r="D7" s="50" t="inlineStr">
        <is>
          <t>1. Select E1:E25, then Ctrl+click (Mac: ⌘+click) G1:G25. The left column (Total) becomes X.
2. Choose Insert → Insert Scatter (X, Y) or Bubble Chart → Scatter.
3. Right-click a point → Add Trendline… → Linear, tick Display R-squared value on chart.
4. Confirm: =RSQ(ED_Monthly!G2:G25,ED_Monthly!E2:E25).</t>
        </is>
      </c>
      <c r="E7" cm="1" s="62">
        <f t="array" ref="E7">RSQ(tblEDMonthly[LWBS]/tblEDMonthly[Total],tblEDMonthly[Total])</f>
        <v/>
      </c>
      <c r="F7" s="19" t="inlineStr">
        <is>
          <t>R² = 0.121. The trendline slopes upward (about 0.43 percentage points of LWBS per 100 extra visits), so busier months do run slightly higher, but volume explains only about 12% of the month-to-month variation. The director should look at staffing, boarding, and triage flow as well. Twenty-four points is a small sample, so treat any pattern as a lead to investigate rather than proof. Cross-check with a formula: =RSQ(tblEDMonthly[LWBS]/tblEDMonthly[Total],tblEDMonthly[Total])</t>
        </is>
      </c>
    </row>
    <row r="8" ht="231" customHeight="1">
      <c r="A8" s="18" t="inlineStr">
        <is>
          <t>B4</t>
        </is>
      </c>
      <c r="B8" s="19" t="inlineStr">
        <is>
          <t>On Denials, build a Pareto chart by DeniedCharges by hand: sort the table by DeniedCharges (largest first), fill CumulativePct with each row's running share of total DeniedCharges, then insert a combo chart with DeniedCharges as columns and CumulativePct as a line on the secondary axis (fix that axis at 0% to 100%). How many reasons does it take to reach at least 80% of denied charges?</t>
        </is>
      </c>
      <c r="C8" s="49" t="n">
        <v>4</v>
      </c>
      <c r="D8" s="50" t="inlineStr">
        <is>
          <t>1. Click a DeniedCharges cell → Data → Sort Largest to Smallest.
2. In D2 type =SUM($C$2:C2)/SUM($C$2:$C$8) and press Enter. The Table fills it down, and the column is already formatted as a percentage.
3. Select A1:A8, then Ctrl+click (Mac: ⌘+click) C1:D8, and choose Insert → Insert Combo Chart → Clustered Column – Line on Secondary Axis.
4. Double-click the secondary axis and set Minimum 0 and Maximum 1. Optionally set the column Gap Width to about 10%.
5. Find the first bar where the line reaches 80%.</t>
        </is>
      </c>
      <c r="E8" cm="1" s="19">
        <f t="array" ref="E8">SUMPRODUCT(--(SUMIF(tblDenials[DeniedCharges],"&gt;="&amp;tblDenials[DeniedCharges])&lt;0.8*SUM(tblDenials[DeniedCharges])))+1</f>
        <v/>
      </c>
      <c r="F8" s="19" t="inlineStr">
        <is>
          <t>Cumulative shares by dollars: Authorization Required 36.1%, Medical Necessity 59.4%, Coding Error 76.3%, Missing Documentation 86.1%, Eligibility / Coverage 95.1%, Timely Filing 97.9%, Duplicate Claim 100.0%. The line first passes 80% at reason 4, so 4 of the 7 reasons hold 86.1% of the $13,906,332 at risk. The mixed reference $C$2:C2 keeps its start fixed while its end moves down one row at a time (Lesson 1.5). Building a Pareto by hand takes longer than the built-in chart, but it works in every Excel version and lets you add an 80% reference line or label the cut-off. Cross-check (counts the reasons whose running share is still below 80%, then adds one): =SUMPRODUCT(--(SUMIF(tblDenials[DeniedCharges],"&gt;="&amp;tblDenials[DeniedCharges])&lt;0.8*SUM(tblDenials[DeniedCharges])))+1</t>
        </is>
      </c>
    </row>
    <row r="9" ht="201" customHeight="1">
      <c r="A9" s="18" t="inlineStr">
        <is>
          <t>B5</t>
        </is>
      </c>
      <c r="B9" s="19" t="inlineStr">
        <is>
          <t>Compare this Pareto with the one you built by claim count in Task 10. Exactly one reason ranks higher by denied charges than by number of claims. Which one? Type it as it appears in the table.</t>
        </is>
      </c>
      <c r="C9" s="49" t="inlineStr">
        <is>
          <t>Missing Documentation</t>
        </is>
      </c>
      <c r="D9" s="50" t="inlineStr">
        <is>
          <t>Read the bar order in both charts. By claims, Missing Documentation is number 5, and by denied charges it's number 4, so it swaps places with Eligibility / Coverage.</t>
        </is>
      </c>
      <c r="E9" cm="1" s="19">
        <f t="array" ref="E9">INDEX(tblDenials[DenialReason],MATCH(1,--(COUNTIF(tblDenials[DeniedCharges],"&gt;"&amp;tblDenials[DeniedCharges])&lt;COUNTIF(tblDenials[Claims],"&gt;"&amp;tblDenials[Claims])),0))</f>
        <v/>
      </c>
      <c r="F9" s="19" t="inlineStr">
        <is>
          <t>Missing Documentation denials are fewer (97 claims against 125 for Eligibility / Coverage) but larger: about $14,026 per claim against $10,083. That's why the director asked for dollars. A count Pareto ranks the work queue by volume, and a dollar Pareto ranks it by money at risk. Put the two charts side by side, at the same size, so the committee sees the swap at a glance. Cross-check (COUNTIF(range,"&gt;"&amp;range) gives each reason's rank minus 1, so MATCH finds the reason whose dollar rank beats its claim rank. In Excel 2019 or earlier, confirm it with Ctrl + Shift + Enter): =INDEX(tblDenials[DenialReason],MATCH(1,--(COUNTIF(tblDenials[DeniedCharges],"&gt;"&amp;tblDenials[DeniedCharges])&lt;COUNTIF(tblDenials[Claims],"&gt;"&amp;tblDenials[Claims])),0))</t>
        </is>
      </c>
    </row>
  </sheetData>
  <mergeCells count="1">
    <mergeCell ref="A2:F2"/>
  </mergeCells>
  <pageMargins left="0.75" right="0.75" top="1" bottom="1" header="0.5" footer="0.5"/>
  <pageSetup orientation="landscape" fitToHeight="0" fitToWidth="1"/>
</worksheet>
</file>

<file path=xl/worksheets/sheet14.xml><?xml version="1.0" encoding="utf-8"?>
<worksheet xmlns="http://schemas.openxmlformats.org/spreadsheetml/2006/main">
  <sheetPr>
    <tabColor rgb="00C00000"/>
    <outlinePr summaryBelow="1" summaryRight="1"/>
    <pageSetUpPr fitToPage="1"/>
  </sheetPr>
  <dimension ref="A1:E269"/>
  <sheetViews>
    <sheetView tabSelected="0" workbookViewId="0">
      <selection activeCell="A1" sqref="A1"/>
    </sheetView>
  </sheetViews>
  <sheetFormatPr baseColWidth="8" defaultRowHeight="15"/>
  <cols>
    <col width="30" customWidth="1" min="1" max="1"/>
    <col width="14" customWidth="1" min="2" max="2"/>
    <col width="14" customWidth="1" min="3" max="3"/>
    <col width="14" customWidth="1" min="4" max="4"/>
    <col width="14" customWidth="1" min="5" max="5"/>
    <col width="14" customWidth="1" min="6" max="6"/>
  </cols>
  <sheetData>
    <row r="1">
      <c r="A1" s="46" t="inlineStr">
        <is>
          <t>🔑 Chart Key — Lesson 3.5</t>
        </is>
      </c>
    </row>
    <row r="2">
      <c r="A2" s="3" t="inlineStr">
        <is>
          <t>Reference versions of every chart in the lesson. Helper tables on the left feed the charts that need sorted or pre-binned data. Your colors, sizes, and fonts can differ, so compare the shapes and the numbers.</t>
        </is>
      </c>
    </row>
    <row r="4">
      <c r="A4" s="63" t="inlineStr">
        <is>
          <t>Task 1 · Column chart: 2025 ED arrivals by hour of day</t>
        </is>
      </c>
    </row>
    <row r="5">
      <c r="A5" s="64" t="inlineStr">
        <is>
          <t>Data</t>
        </is>
      </c>
    </row>
    <row r="6">
      <c r="A6" t="inlineStr">
        <is>
          <t>ED_Hourly!A1:B25</t>
        </is>
      </c>
    </row>
    <row r="24">
      <c r="A24" s="63" t="inlineStr">
        <is>
          <t>Tasks 2 &amp; 13 · Line chart: monthly ED visits by hospital (title linked to Task 13's cell)</t>
        </is>
      </c>
    </row>
    <row r="25">
      <c r="A25" s="64" t="inlineStr">
        <is>
          <t>Data</t>
        </is>
      </c>
      <c r="B25" s="65" t="inlineStr">
        <is>
          <t>Title text</t>
        </is>
      </c>
    </row>
    <row r="26">
      <c r="A26" t="inlineStr">
        <is>
          <t>ED_Monthly!A1:D25</t>
        </is>
      </c>
      <c r="B26" t="inlineStr">
        <is>
          <t>ED visits by facility, Jan 2024 to Dec 2025 (12,292 visits)</t>
        </is>
      </c>
    </row>
    <row r="44">
      <c r="A44" s="63" t="inlineStr">
        <is>
          <t>Task 3 · Bar chart: readmission rate by service line (sorted, categories reversed)</t>
        </is>
      </c>
    </row>
    <row r="45">
      <c r="A45" s="64" t="inlineStr">
        <is>
          <t>ServiceLine</t>
        </is>
      </c>
      <c r="B45" s="65" t="inlineStr">
        <is>
          <t>ReadmitRate</t>
        </is>
      </c>
    </row>
    <row r="46">
      <c r="A46" t="inlineStr">
        <is>
          <t>Cardiovascular</t>
        </is>
      </c>
      <c r="B46" s="37" t="n">
        <v>0.1836158192090395</v>
      </c>
    </row>
    <row r="47">
      <c r="A47" t="inlineStr">
        <is>
          <t>Critical Care</t>
        </is>
      </c>
      <c r="B47" s="37" t="n">
        <v>0.1793478260869565</v>
      </c>
    </row>
    <row r="48">
      <c r="A48" t="inlineStr">
        <is>
          <t>Medicine</t>
        </is>
      </c>
      <c r="B48" s="37" t="n">
        <v>0.1613316261203585</v>
      </c>
    </row>
    <row r="49">
      <c r="A49" t="inlineStr">
        <is>
          <t>Neuroscience</t>
        </is>
      </c>
      <c r="B49" s="37" t="n">
        <v>0.1544117647058824</v>
      </c>
    </row>
    <row r="50">
      <c r="A50" t="inlineStr">
        <is>
          <t>Behavioral Health</t>
        </is>
      </c>
      <c r="B50" s="37" t="n">
        <v>0.1138211382113821</v>
      </c>
    </row>
    <row r="51">
      <c r="A51" t="inlineStr">
        <is>
          <t>Oncology</t>
        </is>
      </c>
      <c r="B51" s="37" t="n">
        <v>0.09411764705882353</v>
      </c>
    </row>
    <row r="52">
      <c r="A52" t="inlineStr">
        <is>
          <t>Orthopedics</t>
        </is>
      </c>
      <c r="B52" s="37" t="n">
        <v>0.09395973154362416</v>
      </c>
    </row>
    <row r="53">
      <c r="A53" t="inlineStr">
        <is>
          <t>Women &amp; Children</t>
        </is>
      </c>
      <c r="B53" s="37" t="n">
        <v>0.06390977443609022</v>
      </c>
    </row>
    <row r="64">
      <c r="A64" s="63" t="inlineStr">
        <is>
          <t>Task 4 · Makeover fixed: axis from 0%, one color, labels instead of a legend</t>
        </is>
      </c>
    </row>
    <row r="65">
      <c r="A65" s="64" t="inlineStr">
        <is>
          <t>ServiceLine</t>
        </is>
      </c>
      <c r="B65" s="65" t="inlineStr">
        <is>
          <t>ReadmitRate</t>
        </is>
      </c>
    </row>
    <row r="66">
      <c r="A66" t="inlineStr">
        <is>
          <t>Cardiovascular</t>
        </is>
      </c>
      <c r="B66" s="37" t="n">
        <v>0.1836158192090395</v>
      </c>
    </row>
    <row r="67">
      <c r="A67" t="inlineStr">
        <is>
          <t>Critical Care</t>
        </is>
      </c>
      <c r="B67" s="37" t="n">
        <v>0.1793478260869565</v>
      </c>
    </row>
    <row r="68">
      <c r="A68" t="inlineStr">
        <is>
          <t>Medicine</t>
        </is>
      </c>
      <c r="B68" s="37" t="n">
        <v>0.1613316261203585</v>
      </c>
    </row>
    <row r="69">
      <c r="A69" t="inlineStr">
        <is>
          <t>Neuroscience</t>
        </is>
      </c>
      <c r="B69" s="37" t="n">
        <v>0.1544117647058824</v>
      </c>
    </row>
    <row r="70">
      <c r="A70" t="inlineStr">
        <is>
          <t>Behavioral Health</t>
        </is>
      </c>
      <c r="B70" s="37" t="n">
        <v>0.1138211382113821</v>
      </c>
    </row>
    <row r="71">
      <c r="A71" t="inlineStr">
        <is>
          <t>Oncology</t>
        </is>
      </c>
      <c r="B71" s="37" t="n">
        <v>0.09411764705882353</v>
      </c>
    </row>
    <row r="72">
      <c r="A72" t="inlineStr">
        <is>
          <t>Orthopedics</t>
        </is>
      </c>
      <c r="B72" s="37" t="n">
        <v>0.09395973154362416</v>
      </c>
    </row>
    <row r="73">
      <c r="A73" t="inlineStr">
        <is>
          <t>Women &amp; Children</t>
        </is>
      </c>
      <c r="B73" s="37" t="n">
        <v>0.06390977443609022</v>
      </c>
    </row>
    <row r="84">
      <c r="A84" s="63" t="inlineStr">
        <is>
          <t>Task 5 · Pie chart: 2025 encounters by payer type (Percentage labels, 1 decimal)</t>
        </is>
      </c>
    </row>
    <row r="85">
      <c r="A85" s="64" t="inlineStr">
        <is>
          <t>Data</t>
        </is>
      </c>
    </row>
    <row r="86">
      <c r="A86" t="inlineStr">
        <is>
          <t>PayerMix!A1:B6</t>
        </is>
      </c>
    </row>
    <row r="104">
      <c r="A104" s="63" t="inlineStr">
        <is>
          <t>Task 6 · Histogram of LOSDays: bin width 1, underflow 1, overflow 10 (classic column version)</t>
        </is>
      </c>
    </row>
    <row r="105">
      <c r="A105" s="64" t="inlineStr">
        <is>
          <t>Bin (days)</t>
        </is>
      </c>
      <c r="B105" s="65" t="inlineStr">
        <is>
          <t>Stays</t>
        </is>
      </c>
    </row>
    <row r="106">
      <c r="A106" t="inlineStr">
        <is>
          <t>≤1</t>
        </is>
      </c>
      <c r="B106" s="34" t="n">
        <v>1</v>
      </c>
    </row>
    <row r="107">
      <c r="A107" t="inlineStr">
        <is>
          <t>(1, 2]</t>
        </is>
      </c>
      <c r="B107" s="34" t="n">
        <v>27</v>
      </c>
    </row>
    <row r="108">
      <c r="A108" t="inlineStr">
        <is>
          <t>(2, 3]</t>
        </is>
      </c>
      <c r="B108" s="34" t="n">
        <v>57</v>
      </c>
    </row>
    <row r="109">
      <c r="A109" t="inlineStr">
        <is>
          <t>(3, 4]</t>
        </is>
      </c>
      <c r="B109" s="34" t="n">
        <v>75</v>
      </c>
    </row>
    <row r="110">
      <c r="A110" t="inlineStr">
        <is>
          <t>(4, 5]</t>
        </is>
      </c>
      <c r="B110" s="34" t="n">
        <v>47</v>
      </c>
    </row>
    <row r="111">
      <c r="A111" t="inlineStr">
        <is>
          <t>(5, 6]</t>
        </is>
      </c>
      <c r="B111" s="34" t="n">
        <v>29</v>
      </c>
    </row>
    <row r="112">
      <c r="A112" t="inlineStr">
        <is>
          <t>(6, 7]</t>
        </is>
      </c>
      <c r="B112" s="34" t="n">
        <v>26</v>
      </c>
    </row>
    <row r="113">
      <c r="A113" t="inlineStr">
        <is>
          <t>(7, 8]</t>
        </is>
      </c>
      <c r="B113" s="34" t="n">
        <v>10</v>
      </c>
    </row>
    <row r="114">
      <c r="A114" t="inlineStr">
        <is>
          <t>(8, 9]</t>
        </is>
      </c>
      <c r="B114" s="34" t="n">
        <v>13</v>
      </c>
    </row>
    <row r="115">
      <c r="A115" t="inlineStr">
        <is>
          <t>(9, 10]</t>
        </is>
      </c>
      <c r="B115" s="34" t="n">
        <v>6</v>
      </c>
    </row>
    <row r="116">
      <c r="A116" t="inlineStr">
        <is>
          <t>&gt;10</t>
        </is>
      </c>
      <c r="B116" s="34" t="n">
        <v>9</v>
      </c>
    </row>
    <row r="124">
      <c r="A124" s="63" t="inlineStr">
        <is>
          <t>Task 7 · Scatter: LOSDays (x) vs TotalCharges (y), linear trendline</t>
        </is>
      </c>
    </row>
    <row r="125">
      <c r="A125" s="64" t="inlineStr">
        <is>
          <t>SLOPE</t>
        </is>
      </c>
      <c r="B125" s="65" t="inlineStr">
        <is>
          <t>INTERCEPT</t>
        </is>
      </c>
      <c r="C125" s="65" t="inlineStr">
        <is>
          <t>R²</t>
        </is>
      </c>
    </row>
    <row r="126">
      <c r="A126" s="39" t="n">
        <v>4921.959897703761</v>
      </c>
      <c r="B126" s="39" t="n">
        <v>9225.06444314586</v>
      </c>
      <c r="C126" s="66" t="n">
        <v>0.3100799609472633</v>
      </c>
    </row>
    <row r="144">
      <c r="A144" s="63" t="inlineStr">
        <is>
          <t>Task 8 · Scatter: AgeAtAdmit (x) vs LOSDays (y), linear trendline</t>
        </is>
      </c>
    </row>
    <row r="145">
      <c r="A145" s="64" t="inlineStr">
        <is>
          <t>SLOPE</t>
        </is>
      </c>
      <c r="B145" s="65" t="inlineStr">
        <is>
          <t>INTERCEPT</t>
        </is>
      </c>
      <c r="C145" s="65" t="inlineStr">
        <is>
          <t>R²</t>
        </is>
      </c>
    </row>
    <row r="146">
      <c r="A146" s="66" t="n">
        <v>0.01685011370419272</v>
      </c>
      <c r="B146" s="66" t="n">
        <v>3.605362337692334</v>
      </c>
      <c r="C146" s="66" t="n">
        <v>0.01851500698619864</v>
      </c>
    </row>
    <row r="164">
      <c r="A164" s="63" t="inlineStr">
        <is>
          <t>Task 9 · Combo: arrivals (columns) + average door-to-provider minutes (line, secondary axis)</t>
        </is>
      </c>
    </row>
    <row r="165">
      <c r="A165" s="64" t="inlineStr">
        <is>
          <t>Data</t>
        </is>
      </c>
    </row>
    <row r="166">
      <c r="A166" t="inlineStr">
        <is>
          <t>ED_Hourly!A1:C25</t>
        </is>
      </c>
    </row>
    <row r="184">
      <c r="A184" s="63" t="inlineStr">
        <is>
          <t>Task 10 · Pareto by claim count (sorted columns + cumulative % line)</t>
        </is>
      </c>
    </row>
    <row r="185">
      <c r="A185" s="64" t="inlineStr">
        <is>
          <t>DenialReason</t>
        </is>
      </c>
      <c r="B185" s="65" t="inlineStr">
        <is>
          <t>Claims</t>
        </is>
      </c>
      <c r="C185" s="65" t="inlineStr">
        <is>
          <t>Cumulative %</t>
        </is>
      </c>
    </row>
    <row r="186">
      <c r="A186" t="inlineStr">
        <is>
          <t>Authorization Required</t>
        </is>
      </c>
      <c r="B186" s="30" t="n">
        <v>395</v>
      </c>
      <c r="C186" s="37" t="n">
        <v>0.3458844133099825</v>
      </c>
    </row>
    <row r="187">
      <c r="A187" t="inlineStr">
        <is>
          <t>Medical Necessity</t>
        </is>
      </c>
      <c r="B187" s="30" t="n">
        <v>243</v>
      </c>
      <c r="C187" s="37" t="n">
        <v>0.5586690017513135</v>
      </c>
    </row>
    <row r="188">
      <c r="A188" t="inlineStr">
        <is>
          <t>Coding Error</t>
        </is>
      </c>
      <c r="B188" s="30" t="n">
        <v>200</v>
      </c>
      <c r="C188" s="37" t="n">
        <v>0.7338003502626971</v>
      </c>
    </row>
    <row r="189">
      <c r="A189" t="inlineStr">
        <is>
          <t>Eligibility / Coverage</t>
        </is>
      </c>
      <c r="B189" s="30" t="n">
        <v>125</v>
      </c>
      <c r="C189" s="37" t="n">
        <v>0.8432574430823118</v>
      </c>
    </row>
    <row r="190">
      <c r="A190" t="inlineStr">
        <is>
          <t>Missing Documentation</t>
        </is>
      </c>
      <c r="B190" s="30" t="n">
        <v>97</v>
      </c>
      <c r="C190" s="37" t="n">
        <v>0.9281961471103327</v>
      </c>
    </row>
    <row r="191">
      <c r="A191" t="inlineStr">
        <is>
          <t>Timely Filing</t>
        </is>
      </c>
      <c r="B191" s="30" t="n">
        <v>47</v>
      </c>
      <c r="C191" s="37" t="n">
        <v>0.9693520140105079</v>
      </c>
    </row>
    <row r="192">
      <c r="A192" t="inlineStr">
        <is>
          <t>Duplicate Claim</t>
        </is>
      </c>
      <c r="B192" s="30" t="n">
        <v>35</v>
      </c>
      <c r="C192" s="37" t="n">
        <v>1</v>
      </c>
    </row>
    <row r="204">
      <c r="A204" s="63" t="inlineStr">
        <is>
          <t>Task 11 · Waterfall (classic stacked-column version; Base series has no fill)</t>
        </is>
      </c>
    </row>
    <row r="205">
      <c r="A205" s="64" t="inlineStr">
        <is>
          <t>Step</t>
        </is>
      </c>
      <c r="B205" s="65" t="inlineStr">
        <is>
          <t>Base</t>
        </is>
      </c>
      <c r="C205" s="65" t="inlineStr">
        <is>
          <t>Increase</t>
        </is>
      </c>
      <c r="D205" s="65" t="inlineStr">
        <is>
          <t>Decrease</t>
        </is>
      </c>
      <c r="E205" s="65" t="inlineStr">
        <is>
          <t>Total</t>
        </is>
      </c>
    </row>
    <row r="206">
      <c r="A206" t="inlineStr">
        <is>
          <t>Budgeted operating margin</t>
        </is>
      </c>
      <c r="B206" s="30" t="n">
        <v>0</v>
      </c>
      <c r="C206" s="30" t="n">
        <v>0</v>
      </c>
      <c r="D206" s="30" t="n">
        <v>0</v>
      </c>
      <c r="E206" s="30" t="n">
        <v>751385</v>
      </c>
    </row>
    <row r="207">
      <c r="A207" t="inlineStr">
        <is>
          <t>Net patient revenue</t>
        </is>
      </c>
      <c r="B207" s="30" t="n">
        <v>384792</v>
      </c>
      <c r="C207" s="30" t="n">
        <v>0</v>
      </c>
      <c r="D207" s="30" t="n">
        <v>366593</v>
      </c>
      <c r="E207" s="30" t="n">
        <v>0</v>
      </c>
    </row>
    <row r="208">
      <c r="A208" t="inlineStr">
        <is>
          <t>Salaries &amp; wages</t>
        </is>
      </c>
      <c r="B208" s="30" t="n">
        <v>384792</v>
      </c>
      <c r="C208" s="30" t="n">
        <v>284237</v>
      </c>
      <c r="D208" s="30" t="n">
        <v>0</v>
      </c>
      <c r="E208" s="30" t="n">
        <v>0</v>
      </c>
    </row>
    <row r="209">
      <c r="A209" t="inlineStr">
        <is>
          <t>Employee benefits</t>
        </is>
      </c>
      <c r="B209" s="30" t="n">
        <v>667841</v>
      </c>
      <c r="C209" s="30" t="n">
        <v>0</v>
      </c>
      <c r="D209" s="30" t="n">
        <v>1188</v>
      </c>
      <c r="E209" s="30" t="n">
        <v>0</v>
      </c>
    </row>
    <row r="210">
      <c r="A210" t="inlineStr">
        <is>
          <t>Medical supplies</t>
        </is>
      </c>
      <c r="B210" s="30" t="n">
        <v>667841</v>
      </c>
      <c r="C210" s="30" t="n">
        <v>90127</v>
      </c>
      <c r="D210" s="30" t="n">
        <v>0</v>
      </c>
      <c r="E210" s="30" t="n">
        <v>0</v>
      </c>
    </row>
    <row r="211">
      <c r="A211" t="inlineStr">
        <is>
          <t>Pharmaceuticals</t>
        </is>
      </c>
      <c r="B211" s="30" t="n">
        <v>757968</v>
      </c>
      <c r="C211" s="30" t="n">
        <v>7363</v>
      </c>
      <c r="D211" s="30" t="n">
        <v>0</v>
      </c>
      <c r="E211" s="30" t="n">
        <v>0</v>
      </c>
    </row>
    <row r="212">
      <c r="A212" t="inlineStr">
        <is>
          <t>Purchased services</t>
        </is>
      </c>
      <c r="B212" s="30" t="n">
        <v>745723</v>
      </c>
      <c r="C212" s="30" t="n">
        <v>0</v>
      </c>
      <c r="D212" s="30" t="n">
        <v>19608</v>
      </c>
      <c r="E212" s="30" t="n">
        <v>0</v>
      </c>
    </row>
    <row r="213">
      <c r="A213" t="inlineStr">
        <is>
          <t>Equipment &amp; maintenance</t>
        </is>
      </c>
      <c r="B213" s="30" t="n">
        <v>739958</v>
      </c>
      <c r="C213" s="30" t="n">
        <v>0</v>
      </c>
      <c r="D213" s="30" t="n">
        <v>5765</v>
      </c>
      <c r="E213" s="30" t="n">
        <v>0</v>
      </c>
    </row>
    <row r="214">
      <c r="A214" t="inlineStr">
        <is>
          <t>Other operating</t>
        </is>
      </c>
      <c r="B214" s="30" t="n">
        <v>735410</v>
      </c>
      <c r="C214" s="30" t="n">
        <v>0</v>
      </c>
      <c r="D214" s="30" t="n">
        <v>4548</v>
      </c>
      <c r="E214" s="30" t="n">
        <v>0</v>
      </c>
    </row>
    <row r="215">
      <c r="A215" t="inlineStr">
        <is>
          <t>Actual operating margin</t>
        </is>
      </c>
      <c r="B215" s="30" t="n">
        <v>0</v>
      </c>
      <c r="C215" s="30" t="n">
        <v>0</v>
      </c>
      <c r="D215" s="30" t="n">
        <v>0</v>
      </c>
      <c r="E215" s="30" t="n">
        <v>735410</v>
      </c>
    </row>
    <row r="224">
      <c r="A224" s="63" t="inlineStr">
        <is>
          <t>Task 12 · Sparklines</t>
        </is>
      </c>
    </row>
    <row r="225">
      <c r="A225" s="64" t="inlineStr">
        <is>
          <t>Expected result</t>
        </is>
      </c>
    </row>
    <row r="226">
      <c r="A226" t="inlineStr">
        <is>
          <t>Bluestone Memorial: ends higher (Jan 2024 405 → Dec 2025 423)</t>
        </is>
      </c>
    </row>
    <row r="227">
      <c r="A227" t="inlineStr">
        <is>
          <t>Ashby Falls: ends lower (Jan 2024 85 → Dec 2025 79)</t>
        </is>
      </c>
    </row>
    <row r="228">
      <c r="A228" t="inlineStr">
        <is>
          <t>Cedar Ridge: ends higher (Jan 2024 90 → Dec 2025 93)</t>
        </is>
      </c>
    </row>
    <row r="229">
      <c r="A229" s="3" t="inlineStr">
        <is>
          <t>This sheet can't show sparklines, so compare your sparklines with the values above.</t>
        </is>
      </c>
    </row>
    <row r="231">
      <c r="A231" s="63" t="inlineStr">
        <is>
          <t>Bonus B2 · Combo: monthly ED visits (columns) + LWBS rate (line, secondary axis)</t>
        </is>
      </c>
    </row>
    <row r="232">
      <c r="A232" s="64" t="inlineStr">
        <is>
          <t>Month</t>
        </is>
      </c>
      <c r="B232" s="65" t="inlineStr">
        <is>
          <t>Total</t>
        </is>
      </c>
      <c r="C232" s="65" t="inlineStr">
        <is>
          <t>LWBS rate</t>
        </is>
      </c>
    </row>
    <row r="233">
      <c r="A233" s="67" t="n">
        <v>45292</v>
      </c>
      <c r="B233" s="30" t="n">
        <v>580</v>
      </c>
      <c r="C233" s="68" t="n">
        <v>0.02586206896551724</v>
      </c>
    </row>
    <row r="234">
      <c r="A234" s="67" t="n">
        <v>45323</v>
      </c>
      <c r="B234" s="30" t="n">
        <v>586</v>
      </c>
      <c r="C234" s="68" t="n">
        <v>0.03583617747440273</v>
      </c>
    </row>
    <row r="235">
      <c r="A235" s="67" t="n">
        <v>45352</v>
      </c>
      <c r="B235" s="30" t="n">
        <v>579</v>
      </c>
      <c r="C235" s="68" t="n">
        <v>0.02417962003454232</v>
      </c>
    </row>
    <row r="236">
      <c r="A236" s="67" t="n">
        <v>45383</v>
      </c>
      <c r="B236" s="30" t="n">
        <v>466</v>
      </c>
      <c r="C236" s="68" t="n">
        <v>0.02145922746781116</v>
      </c>
    </row>
    <row r="237">
      <c r="A237" s="67" t="n">
        <v>45413</v>
      </c>
      <c r="B237" s="30" t="n">
        <v>477</v>
      </c>
      <c r="C237" s="68" t="n">
        <v>0.01886792452830189</v>
      </c>
    </row>
    <row r="238">
      <c r="A238" s="67" t="n">
        <v>45444</v>
      </c>
      <c r="B238" s="30" t="n">
        <v>422</v>
      </c>
      <c r="C238" s="68" t="n">
        <v>0.007109004739336493</v>
      </c>
    </row>
    <row r="239">
      <c r="A239" s="67" t="n">
        <v>45474</v>
      </c>
      <c r="B239" s="30" t="n">
        <v>444</v>
      </c>
      <c r="C239" s="68" t="n">
        <v>0.01576576576576576</v>
      </c>
    </row>
    <row r="240">
      <c r="A240" s="67" t="n">
        <v>45505</v>
      </c>
      <c r="B240" s="30" t="n">
        <v>469</v>
      </c>
      <c r="C240" s="68" t="n">
        <v>0.01918976545842218</v>
      </c>
    </row>
    <row r="241">
      <c r="A241" s="67" t="n">
        <v>45536</v>
      </c>
      <c r="B241" s="30" t="n">
        <v>403</v>
      </c>
      <c r="C241" s="68" t="n">
        <v>0.03722084367245657</v>
      </c>
    </row>
    <row r="242">
      <c r="A242" s="67" t="n">
        <v>45566</v>
      </c>
      <c r="B242" s="30" t="n">
        <v>466</v>
      </c>
      <c r="C242" s="68" t="n">
        <v>0.01716738197424893</v>
      </c>
    </row>
    <row r="243">
      <c r="A243" s="67" t="n">
        <v>45597</v>
      </c>
      <c r="B243" s="30" t="n">
        <v>562</v>
      </c>
      <c r="C243" s="68" t="n">
        <v>0.01423487544483986</v>
      </c>
    </row>
    <row r="244">
      <c r="A244" s="67" t="n">
        <v>45627</v>
      </c>
      <c r="B244" s="30" t="n">
        <v>621</v>
      </c>
      <c r="C244" s="68" t="n">
        <v>0.02898550724637681</v>
      </c>
    </row>
    <row r="245">
      <c r="A245" s="67" t="n">
        <v>45658</v>
      </c>
      <c r="B245" s="30" t="n">
        <v>631</v>
      </c>
      <c r="C245" s="68" t="n">
        <v>0.01743264659270998</v>
      </c>
    </row>
    <row r="246">
      <c r="A246" s="67" t="n">
        <v>45689</v>
      </c>
      <c r="B246" s="30" t="n">
        <v>572</v>
      </c>
      <c r="C246" s="68" t="n">
        <v>0.02097902097902098</v>
      </c>
    </row>
    <row r="247">
      <c r="A247" s="67" t="n">
        <v>45717</v>
      </c>
      <c r="B247" s="30" t="n">
        <v>546</v>
      </c>
      <c r="C247" s="68" t="n">
        <v>0.01282051282051282</v>
      </c>
    </row>
    <row r="248">
      <c r="A248" s="67" t="n">
        <v>45748</v>
      </c>
      <c r="B248" s="30" t="n">
        <v>436</v>
      </c>
      <c r="C248" s="68" t="n">
        <v>0.01376146788990826</v>
      </c>
    </row>
    <row r="249">
      <c r="A249" s="67" t="n">
        <v>45778</v>
      </c>
      <c r="B249" s="30" t="n">
        <v>499</v>
      </c>
      <c r="C249" s="68" t="n">
        <v>0.01002004008016032</v>
      </c>
    </row>
    <row r="250">
      <c r="A250" s="67" t="n">
        <v>45809</v>
      </c>
      <c r="B250" s="30" t="n">
        <v>513</v>
      </c>
      <c r="C250" s="68" t="n">
        <v>0.01364522417153996</v>
      </c>
    </row>
    <row r="251">
      <c r="A251" s="67" t="n">
        <v>45839</v>
      </c>
      <c r="B251" s="30" t="n">
        <v>499</v>
      </c>
      <c r="C251" s="68" t="n">
        <v>0.01402805611222445</v>
      </c>
    </row>
    <row r="252">
      <c r="A252" s="67" t="n">
        <v>45870</v>
      </c>
      <c r="B252" s="30" t="n">
        <v>443</v>
      </c>
      <c r="C252" s="68" t="n">
        <v>0.01805869074492099</v>
      </c>
    </row>
    <row r="253">
      <c r="A253" s="67" t="n">
        <v>45901</v>
      </c>
      <c r="B253" s="30" t="n">
        <v>450</v>
      </c>
      <c r="C253" s="68" t="n">
        <v>0.006666666666666667</v>
      </c>
    </row>
    <row r="254">
      <c r="A254" s="67" t="n">
        <v>45931</v>
      </c>
      <c r="B254" s="30" t="n">
        <v>511</v>
      </c>
      <c r="C254" s="68" t="n">
        <v>0.0136986301369863</v>
      </c>
    </row>
    <row r="255">
      <c r="A255" s="67" t="n">
        <v>45962</v>
      </c>
      <c r="B255" s="30" t="n">
        <v>522</v>
      </c>
      <c r="C255" s="68" t="n">
        <v>0.01532567049808429</v>
      </c>
    </row>
    <row r="256">
      <c r="A256" s="67" t="n">
        <v>45992</v>
      </c>
      <c r="B256" s="30" t="n">
        <v>595</v>
      </c>
      <c r="C256" s="68" t="n">
        <v>0.0319327731092437</v>
      </c>
    </row>
    <row r="261">
      <c r="A261" s="63" t="inlineStr">
        <is>
          <t>Bonus B4–B5 · Manual Pareto by DeniedCharges</t>
        </is>
      </c>
    </row>
    <row r="262">
      <c r="A262" s="64" t="inlineStr">
        <is>
          <t>DenialReason</t>
        </is>
      </c>
      <c r="B262" s="65" t="inlineStr">
        <is>
          <t>DeniedCharges</t>
        </is>
      </c>
      <c r="C262" s="65" t="inlineStr">
        <is>
          <t>CumulativePct</t>
        </is>
      </c>
    </row>
    <row r="263">
      <c r="A263" t="inlineStr">
        <is>
          <t>Authorization Required</t>
        </is>
      </c>
      <c r="B263" s="30" t="n">
        <v>5015271.87</v>
      </c>
      <c r="C263" s="37" t="n">
        <v>0.3606466477188323</v>
      </c>
    </row>
    <row r="264">
      <c r="A264" t="inlineStr">
        <is>
          <t>Medical Necessity</t>
        </is>
      </c>
      <c r="B264" s="30" t="n">
        <v>3239702.72</v>
      </c>
      <c r="C264" s="37" t="n">
        <v>0.5936126674799072</v>
      </c>
    </row>
    <row r="265">
      <c r="A265" t="inlineStr">
        <is>
          <t>Coding Error</t>
        </is>
      </c>
      <c r="B265" s="30" t="n">
        <v>2354746.63</v>
      </c>
      <c r="C265" s="37" t="n">
        <v>0.7629417687429095</v>
      </c>
    </row>
    <row r="266">
      <c r="A266" t="inlineStr">
        <is>
          <t>Missing Documentation</t>
        </is>
      </c>
      <c r="B266" s="30" t="n">
        <v>1360498.79</v>
      </c>
      <c r="C266" s="37" t="n">
        <v>0.8607748155960659</v>
      </c>
    </row>
    <row r="267">
      <c r="A267" t="inlineStr">
        <is>
          <t>Eligibility / Coverage</t>
        </is>
      </c>
      <c r="B267" s="30" t="n">
        <v>1260363.83</v>
      </c>
      <c r="C267" s="37" t="n">
        <v>0.9514071884719093</v>
      </c>
    </row>
    <row r="268">
      <c r="A268" t="inlineStr">
        <is>
          <t>Timely Filing</t>
        </is>
      </c>
      <c r="B268" s="30" t="n">
        <v>380612.26</v>
      </c>
      <c r="C268" s="37" t="n">
        <v>0.9787768982718466</v>
      </c>
    </row>
    <row r="269">
      <c r="A269" t="inlineStr">
        <is>
          <t>Duplicate Claim</t>
        </is>
      </c>
      <c r="B269" s="30" t="n">
        <v>295135.49</v>
      </c>
      <c r="C269" s="37" t="n">
        <v>0.9999999999999998</v>
      </c>
    </row>
  </sheetData>
  <pageMargins left="0.75" right="0.75" top="1" bottom="1" header="0.5" footer="0.5"/>
  <pageSetup orientation="landscape" fitToHeight="0" fitToWidth="1"/>
  <drawing xmlns:r="http://schemas.openxmlformats.org/officeDocument/2006/relationships" r:id="rId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Learn Excel · Bluestone Health course</dc:creator>
  <dc:title>Lesson 3.5 — Charts &amp; Data Visualization</dc:title>
  <dcterms:created xsi:type="dcterms:W3CDTF">2026-10-02T17:38:35Z</dcterms:created>
  <dcterms:modified xsi:type="dcterms:W3CDTF">2026-10-02T17:38:35Z</dcterms:modified>
</cp:coreProperties>
</file>
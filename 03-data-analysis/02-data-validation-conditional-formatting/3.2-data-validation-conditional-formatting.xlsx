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Override PartName="/xl/metadata.xml" ContentType="application/vnd.openxmlformats-officedocument.spreadsheetml.sheetMetadata+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ractice" sheetId="2" state="visible" r:id="rId2"/>
    <sheet name="IntakeLog" sheetId="3" state="visible" r:id="rId3"/>
    <sheet name="Lists" sheetId="4" state="visible" r:id="rId4"/>
    <sheet name="Labs" sheetId="5" state="visible" r:id="rId5"/>
    <sheet name="Supplies" sheetId="6" state="visible" r:id="rId6"/>
    <sheet name="Census" sheetId="7" state="visible" r:id="rId7"/>
    <sheet name="Bonus" sheetId="8" state="visible" r:id="rId8"/>
    <sheet name="Huddle" sheetId="9" state="visible" r:id="rId9"/>
    <sheet name="NovCensus" sheetId="10" state="visible" r:id="rId10"/>
    <sheet name="Answer Key" sheetId="11" state="hidden" r:id="rId11"/>
    <sheet name="Bonus Key" sheetId="12" state="hidden" r:id="rId12"/>
    <sheet name="Huddle Key" sheetId="13" state="hidden" r:id="rId13"/>
  </sheets>
  <definedNames>
    <definedName name="ReportDate">Lists!$N$2</definedName>
    <definedName name="ExpiringWindowDays">Lists!$N$3</definedName>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6">
    <numFmt numFmtId="164" formatCode="yyyy-mm-dd"/>
    <numFmt numFmtId="165" formatCode="mm/dd/yyyy"/>
    <numFmt numFmtId="166" formatCode="yyyy-mm-dd h:mm:ss"/>
    <numFmt numFmtId="167" formatCode="mm/dd/yyyy hh:mm"/>
    <numFmt numFmtId="168" formatCode="0.0%"/>
    <numFmt numFmtId="169" formatCode="+0;-0;0"/>
  </numFmts>
  <fonts count="16">
    <font>
      <name val="Calibri"/>
      <family val="2"/>
      <color theme="1"/>
      <sz val="11"/>
      <scheme val="minor"/>
    </font>
    <font>
      <b val="1"/>
    </font>
    <font>
      <b val="1"/>
      <color rgb="007B2C2C"/>
      <sz val="16"/>
    </font>
    <font>
      <i val="1"/>
      <color rgb="00595959"/>
    </font>
    <font>
      <b val="1"/>
      <color rgb="00FFFFFF"/>
    </font>
    <font>
      <name val="Consolas"/>
      <sz val="10"/>
    </font>
    <font>
      <b val="1"/>
      <color rgb="001F4E79"/>
      <sz val="16"/>
    </font>
    <font>
      <color rgb="00404040"/>
      <sz val="11"/>
    </font>
    <font>
      <i val="1"/>
      <color rgb="00404040"/>
      <sz val="11"/>
    </font>
    <font>
      <i val="1"/>
      <color rgb="007F7F7F"/>
    </font>
    <font>
      <b val="1"/>
      <color rgb="00375623"/>
      <sz val="12"/>
    </font>
    <font>
      <i val="1"/>
      <color rgb="00404040"/>
    </font>
    <font>
      <b val="1"/>
      <color rgb="002E75B6"/>
      <sz val="12"/>
    </font>
    <font>
      <b val="1"/>
      <color rgb="001F4E79"/>
      <sz val="22"/>
    </font>
    <font>
      <b val="1"/>
      <color rgb="00FFFFFF"/>
      <sz val="13"/>
    </font>
    <font/>
  </fonts>
  <fills count="8">
    <fill>
      <patternFill/>
    </fill>
    <fill>
      <patternFill patternType="gray125"/>
    </fill>
    <fill>
      <patternFill patternType="solid">
        <fgColor rgb="007B2C2C"/>
      </patternFill>
    </fill>
    <fill>
      <patternFill patternType="solid">
        <fgColor rgb="001F4E79"/>
      </patternFill>
    </fill>
    <fill>
      <patternFill patternType="solid">
        <fgColor rgb="00FFF2CC"/>
      </patternFill>
    </fill>
    <fill>
      <patternFill patternType="solid">
        <fgColor rgb="00EDEDED"/>
      </patternFill>
    </fill>
    <fill>
      <patternFill patternType="solid">
        <fgColor rgb="00C6EFCE"/>
      </patternFill>
    </fill>
    <fill>
      <patternFill patternType="solid">
        <fgColor rgb="00FFC7CE"/>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9000"/>
      </left>
      <right style="thin">
        <color rgb="00BF9000"/>
      </right>
      <top style="thin">
        <color rgb="00BF9000"/>
      </top>
      <bottom style="thin">
        <color rgb="00BF9000"/>
      </bottom>
    </border>
  </borders>
  <cellStyleXfs count="1">
    <xf numFmtId="0" fontId="0" fillId="0" borderId="0"/>
  </cellStyleXfs>
  <cellXfs count="50">
    <xf numFmtId="0" fontId="0" fillId="0" borderId="0" pivotButton="0" quotePrefix="0" xfId="0"/>
    <xf numFmtId="0" fontId="12" fillId="0" borderId="0" pivotButton="0" quotePrefix="0" xfId="0"/>
    <xf numFmtId="0" fontId="13" fillId="0" borderId="0" pivotButton="0" quotePrefix="0" xfId="0"/>
    <xf numFmtId="0" fontId="3" fillId="0" borderId="0" pivotButton="0" quotePrefix="0" xfId="0"/>
    <xf numFmtId="0" fontId="14" fillId="3" borderId="0" pivotButton="0" quotePrefix="0" xfId="0"/>
    <xf numFmtId="0" fontId="0" fillId="3" borderId="0" pivotButton="0" quotePrefix="0" xfId="0"/>
    <xf numFmtId="0" fontId="15"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7"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8" fillId="0" borderId="0" applyAlignment="1" pivotButton="0" quotePrefix="0" xfId="0">
      <alignment vertical="top" wrapText="1"/>
    </xf>
    <xf numFmtId="0" fontId="10" fillId="0" borderId="0" pivotButton="0" quotePrefix="0" xfId="0"/>
    <xf numFmtId="0" fontId="4" fillId="3" borderId="1" applyAlignment="1" pivotButton="0" quotePrefix="0" xfId="0">
      <alignment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9" fillId="0" borderId="1" applyAlignment="1" pivotButton="0" quotePrefix="0" xfId="0">
      <alignment vertical="top" wrapText="1"/>
    </xf>
    <xf numFmtId="0" fontId="0" fillId="4" borderId="2" applyAlignment="1" pivotButton="0" quotePrefix="0" xfId="0">
      <alignment horizontal="right" vertical="top"/>
    </xf>
    <xf numFmtId="0" fontId="1" fillId="0" borderId="1" applyAlignment="1" pivotButton="0" quotePrefix="0" xfId="0">
      <alignment vertical="top"/>
    </xf>
    <xf numFmtId="168" fontId="0" fillId="4" borderId="2" applyAlignment="1" pivotButton="0" quotePrefix="0" xfId="0">
      <alignment horizontal="right" vertical="top"/>
    </xf>
    <xf numFmtId="0" fontId="1" fillId="0" borderId="0" pivotButton="0" quotePrefix="0" xfId="0"/>
    <xf numFmtId="165" fontId="0" fillId="0" borderId="0" pivotButton="0" quotePrefix="0" xfId="0"/>
    <xf numFmtId="4" fontId="0" fillId="0" borderId="0" pivotButton="0" quotePrefix="0" xfId="0"/>
    <xf numFmtId="0" fontId="4" fillId="3" borderId="1" applyAlignment="1" pivotButton="0" quotePrefix="0" xfId="0">
      <alignment/>
    </xf>
    <xf numFmtId="0" fontId="0" fillId="0" borderId="1" pivotButton="0" quotePrefix="0" xfId="0"/>
    <xf numFmtId="165" fontId="0" fillId="0" borderId="1" pivotButton="0" quotePrefix="0" xfId="0"/>
    <xf numFmtId="167" fontId="0" fillId="0" borderId="0" pivotButton="0" quotePrefix="0" xfId="0"/>
    <xf numFmtId="9" fontId="0" fillId="0" borderId="0" pivotButton="0" quotePrefix="0" xfId="0"/>
    <xf numFmtId="168" fontId="0" fillId="0" borderId="0" pivotButton="0" quotePrefix="0" xfId="0"/>
    <xf numFmtId="168" fontId="11" fillId="5" borderId="1" applyAlignment="1" pivotButton="0" quotePrefix="0" xfId="0">
      <alignment horizontal="right" vertical="top"/>
    </xf>
    <xf numFmtId="0" fontId="4" fillId="3" borderId="0" pivotButton="0" quotePrefix="0" xfId="0"/>
    <xf numFmtId="0" fontId="1" fillId="0" borderId="1" pivotButton="0" quotePrefix="0" xfId="0"/>
    <xf numFmtId="0" fontId="0" fillId="4" borderId="2" applyAlignment="1" pivotButton="0" quotePrefix="0" xfId="0">
      <alignment horizontal="left"/>
    </xf>
    <xf numFmtId="0" fontId="0" fillId="5" borderId="1" applyAlignment="1" pivotButton="0" quotePrefix="0" xfId="0">
      <alignment horizontal="left"/>
    </xf>
    <xf numFmtId="168" fontId="0" fillId="5" borderId="1" applyAlignment="1" pivotButton="0" quotePrefix="0" xfId="0">
      <alignment horizontal="left"/>
    </xf>
    <xf numFmtId="0" fontId="4" fillId="3" borderId="1" applyAlignment="1" pivotButton="0" quotePrefix="0" xfId="0">
      <alignment horizontal="center" wrapText="1"/>
    </xf>
    <xf numFmtId="169" fontId="0" fillId="0" borderId="1" pivotButton="0" quotePrefix="0" xfId="0"/>
    <xf numFmtId="168" fontId="0" fillId="0" borderId="1" pivotButton="0" quotePrefix="0" xfId="0"/>
    <xf numFmtId="0" fontId="2" fillId="0" borderId="0" pivotButton="0" quotePrefix="0" xfId="0"/>
    <xf numFmtId="0" fontId="3" fillId="0" borderId="0" applyAlignment="1" pivotButton="0" quotePrefix="0" xfId="0">
      <alignment vertical="top" wrapText="1"/>
    </xf>
    <xf numFmtId="0" fontId="4" fillId="2" borderId="1" pivotButton="0" quotePrefix="0" xfId="0"/>
    <xf numFmtId="0" fontId="1" fillId="0" borderId="1" applyAlignment="1" pivotButton="0" quotePrefix="0" xfId="0">
      <alignment vertical="top" wrapText="1"/>
    </xf>
    <xf numFmtId="0" fontId="5" fillId="0" borderId="1" applyAlignment="1" pivotButton="0" quotePrefix="1" xfId="0">
      <alignment vertical="top" wrapText="1"/>
    </xf>
    <xf numFmtId="0" fontId="0" fillId="0" borderId="1" applyAlignment="1" pivotButton="0" quotePrefix="0" xfId="0">
      <alignment vertical="top"/>
    </xf>
    <xf numFmtId="168" fontId="1" fillId="0" borderId="1" applyAlignment="1" pivotButton="0" quotePrefix="0" xfId="0">
      <alignment vertical="top" wrapText="1"/>
    </xf>
    <xf numFmtId="168" fontId="0" fillId="0" borderId="1" applyAlignment="1" pivotButton="0" quotePrefix="0" xfId="0">
      <alignment vertical="top"/>
    </xf>
  </cellXfs>
  <cellStyles count="1">
    <cellStyle name="Normal" xfId="0" builtinId="0" hidden="0"/>
  </cellStyles>
  <dxfs count="4">
    <dxf>
      <font>
        <b val="1"/>
        <color rgb="00006100"/>
      </font>
      <fill>
        <patternFill patternType="solid">
          <fgColor rgb="00C6EFCE"/>
        </patternFill>
      </fill>
    </dxf>
    <dxf>
      <font>
        <b val="1"/>
        <color rgb="009C0006"/>
      </font>
      <fill>
        <patternFill patternType="solid">
          <fgColor rgb="00FFC7CE"/>
        </patternFill>
      </fill>
    </dxf>
    <dxf>
      <fill>
        <patternFill patternType="solid">
          <fgColor rgb="00FFC7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 Id="rIdXlcMeta" Type="http://schemas.openxmlformats.org/officeDocument/2006/relationships/sheetMetadata" Target="metadata.xml"/></Relationships>
</file>

<file path=xl/tables/table1.xml><?xml version="1.0" encoding="utf-8"?>
<table xmlns="http://schemas.openxmlformats.org/spreadsheetml/2006/main" id="1" name="tblIntake" displayName="tblIntake" ref="A1:I51" headerRowCount="1">
  <autoFilter ref="A1:I51"/>
  <tableColumns count="9">
    <tableColumn id="1" name="IntakeID"/>
    <tableColumn id="2" name="VisitDate"/>
    <tableColumn id="3" name="MRN"/>
    <tableColumn id="4" name="PatientName"/>
    <tableColumn id="5" name="ZIP"/>
    <tableColumn id="6" name="Payer"/>
    <tableColumn id="7" name="CopayAmt"/>
    <tableColumn id="8" name="Facility"/>
    <tableColumn id="9" name="Department"/>
  </tableColumns>
  <tableStyleInfo name="TableStyleMedium2" showRowStripes="1"/>
</table>
</file>

<file path=xl/tables/table2.xml><?xml version="1.0" encoding="utf-8"?>
<table xmlns="http://schemas.openxmlformats.org/spreadsheetml/2006/main" id="2" name="tblLabs" displayName="tblLabs" ref="A1:L322" headerRowCount="1">
  <autoFilter ref="A1:L322"/>
  <tableColumns count="12">
    <tableColumn id="1" name="LabResultID"/>
    <tableColumn id="2" name="CollectedDateTime"/>
    <tableColumn id="3" name="Facility"/>
    <tableColumn id="4" name="PatientID"/>
    <tableColumn id="5" name="TestCode"/>
    <tableColumn id="6" name="TestName"/>
    <tableColumn id="7" name="ResultValue"/>
    <tableColumn id="8" name="Units"/>
    <tableColumn id="9" name="RefLow"/>
    <tableColumn id="10" name="RefHigh"/>
    <tableColumn id="11" name="AbnormalFlag"/>
    <tableColumn id="12" name="TATMin"/>
  </tableColumns>
  <tableStyleInfo name="TableStyleMedium2" showRowStripes="1"/>
</table>
</file>

<file path=xl/tables/table3.xml><?xml version="1.0" encoding="utf-8"?>
<table xmlns="http://schemas.openxmlformats.org/spreadsheetml/2006/main" id="3" name="tblSupplies" displayName="tblSupplies" ref="A1:M258" headerRowCount="1">
  <autoFilter ref="A1:M258"/>
  <tableColumns count="13">
    <tableColumn id="1" name="StockID"/>
    <tableColumn id="2" name="SKU"/>
    <tableColumn id="3" name="ItemDescription"/>
    <tableColumn id="4" name="Category"/>
    <tableColumn id="5" name="Facility"/>
    <tableColumn id="6" name="Location"/>
    <tableColumn id="7" name="UnitOfMeasure"/>
    <tableColumn id="8" name="QtyOnHand"/>
    <tableColumn id="9" name="ParLevel"/>
    <tableColumn id="10" name="ReorderPoint"/>
    <tableColumn id="11" name="PctOfPar"/>
    <tableColumn id="12" name="ExpirationDate"/>
    <tableColumn id="13" name="LotNumber"/>
  </tableColumns>
  <tableStyleInfo name="TableStyleMedium2" showRowStripes="1"/>
</table>
</file>

<file path=xl/tables/table4.xml><?xml version="1.0" encoding="utf-8"?>
<table xmlns="http://schemas.openxmlformats.org/spreadsheetml/2006/main" id="4" name="tblCensus" displayName="tblCensus" ref="A1:F62" headerRowCount="1">
  <autoFilter ref="A1:F62"/>
  <tableColumns count="6">
    <tableColumn id="1" name="CensusDate"/>
    <tableColumn id="2" name="StaffedBeds"/>
    <tableColumn id="3" name="Admissions"/>
    <tableColumn id="4" name="Discharges"/>
    <tableColumn id="5" name="MidnightCensus"/>
    <tableColumn id="6" name="Occupancy"/>
  </tableColumns>
  <tableStyleInfo name="TableStyleMedium2" showRowStripes="1"/>
</table>
</file>

<file path=xl/tables/table5.xml><?xml version="1.0" encoding="utf-8"?>
<table xmlns="http://schemas.openxmlformats.org/spreadsheetml/2006/main" id="5" name="tblNovCensus" displayName="tblNovCensus" ref="A1:F451" headerRowCount="1">
  <autoFilter ref="A1:F451"/>
  <tableColumns count="6">
    <tableColumn id="1" name="CensusDate"/>
    <tableColumn id="2" name="Facility"/>
    <tableColumn id="3" name="Unit"/>
    <tableColumn id="4" name="StaffedBeds"/>
    <tableColumn id="5" name="MidnightCensus"/>
    <tableColumn id="6" name="Occupancy"/>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_rels/sheet6.xml.rels><Relationships xmlns="http://schemas.openxmlformats.org/package/2006/relationships"><Relationship Type="http://schemas.openxmlformats.org/officeDocument/2006/relationships/table" Target="/xl/tables/table3.xml" Id="rId1" /></Relationships>
</file>

<file path=xl/worksheets/_rels/sheet7.xml.rels><Relationships xmlns="http://schemas.openxmlformats.org/package/2006/relationships"><Relationship Type="http://schemas.openxmlformats.org/officeDocument/2006/relationships/table" Target="/xl/tables/table4.xml" Id="rId1" /></Relationships>
</file>

<file path=xl/worksheets/_rels/sheet10.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tabColor rgb="001F4E79"/>
    <outlinePr summaryBelow="1" summaryRight="1"/>
    <pageSetUpPr fitToPage="1"/>
  </sheetPr>
  <dimension ref="B2:C35"/>
  <sheetViews>
    <sheetView tabSelected="1" workbookViewId="0">
      <selection activeCell="A1" sqref="A1"/>
    </sheetView>
  </sheetViews>
  <sheetFormatPr baseColWidth="8" defaultRowHeight="15"/>
  <cols>
    <col width="3" customWidth="1" min="1" max="1"/>
    <col width="26" customWidth="1" min="2" max="2"/>
    <col width="95" customWidth="1" min="3" max="3"/>
  </cols>
  <sheetData>
    <row r="2">
      <c r="B2" s="1" t="inlineStr">
        <is>
          <t>Lesson 3.2</t>
        </is>
      </c>
    </row>
    <row r="3">
      <c r="B3" s="2" t="inlineStr">
        <is>
          <t>Data Validation &amp; Conditional Formatting</t>
        </is>
      </c>
    </row>
    <row r="4">
      <c r="B4" s="3" t="inlineStr">
        <is>
          <t>Intermediate  ·  about 55 minutes  ·  Bluestone Health System (fictional)</t>
        </is>
      </c>
    </row>
    <row r="6">
      <c r="B6" s="4" t="inlineStr">
        <is>
          <t>What you'll learn</t>
        </is>
      </c>
      <c r="C6" s="5" t="n"/>
    </row>
    <row r="7" ht="18" customHeight="1">
      <c r="B7" s="6" t="inlineStr">
        <is>
          <t>•</t>
        </is>
      </c>
      <c r="C7" s="7" t="inlineStr">
        <is>
          <t>Restrict entries with list, number, date, length, and custom-formula validation</t>
        </is>
      </c>
    </row>
    <row r="8" ht="18" customHeight="1">
      <c r="B8" s="6" t="inlineStr">
        <is>
          <t>•</t>
        </is>
      </c>
      <c r="C8" s="7" t="inlineStr">
        <is>
          <t>Build dependent drop-down lists</t>
        </is>
      </c>
    </row>
    <row r="9" ht="18" customHeight="1">
      <c r="B9" s="6" t="inlineStr">
        <is>
          <t>•</t>
        </is>
      </c>
      <c r="C9" s="7" t="inlineStr">
        <is>
          <t>Highlight what matters with conditional formatting rules, data bars, color scales, and icon sets</t>
        </is>
      </c>
    </row>
    <row r="10" ht="18" customHeight="1">
      <c r="B10" s="6" t="inlineStr">
        <is>
          <t>•</t>
        </is>
      </c>
      <c r="C10" s="7" t="inlineStr">
        <is>
          <t>Write formula-based rules that format entire rows</t>
        </is>
      </c>
    </row>
    <row r="12">
      <c r="B12" s="4" t="inlineStr">
        <is>
          <t>How to use this workbook</t>
        </is>
      </c>
      <c r="C12" s="5" t="n"/>
    </row>
    <row r="13" ht="33" customHeight="1">
      <c r="B13" s="8" t="inlineStr">
        <is>
          <t>1. Read the guide</t>
        </is>
      </c>
      <c r="C13" s="7" t="inlineStr">
        <is>
          <t>The lesson guide (README) explains each skill with examples: https://github.com/lmansf/learn-excel/tree/main/03-data-analysis/02-data-validation-conditional-formatting</t>
        </is>
      </c>
    </row>
    <row r="14" ht="18" customHeight="1">
      <c r="B14" s="8" t="inlineStr">
        <is>
          <t>2. Practice</t>
        </is>
      </c>
      <c r="C14" s="7" t="inlineStr">
        <is>
          <t>Go to the 'Practice' sheet. Type a formula or value into each yellow cell.</t>
        </is>
      </c>
    </row>
    <row r="15" ht="33" customHeight="1">
      <c r="B15" s="8" t="inlineStr">
        <is>
          <t>3. Check yourself</t>
        </is>
      </c>
      <c r="C15" s="7" t="inlineStr">
        <is>
          <t>The Check column shows ✔ Correct (green) or ✘ Not yet (red). Tasks marked 'See key' are checked by comparing with the answer key.</t>
        </is>
      </c>
    </row>
    <row r="16" ht="18" customHeight="1">
      <c r="B16" s="8" t="inlineStr">
        <is>
          <t>4. Bonus</t>
        </is>
      </c>
      <c r="C16" s="7" t="inlineStr">
        <is>
          <t>Finished? Try the harder 'Bonus' sheet.</t>
        </is>
      </c>
    </row>
    <row r="17" ht="33" customHeight="1">
      <c r="B17" s="8" t="inlineStr">
        <is>
          <t>5. Answers</t>
        </is>
      </c>
      <c r="C17" s="7" t="inlineStr">
        <is>
          <t>The 'Answer Key' and 'Bonus Key' sheets are hidden. Right-click any sheet tab → Unhide… → pick one → OK. (Try first!)</t>
        </is>
      </c>
    </row>
    <row r="18" ht="33" customHeight="1">
      <c r="B18" s="8" t="inlineStr">
        <is>
          <t>Note</t>
        </is>
      </c>
      <c r="C18" s="7" t="inlineStr">
        <is>
          <t>Part A of the practice uses IntakeLog and Lists. Part B uses Labs, Supplies, and Census. The bonus uses Huddle and NovCensus.</t>
        </is>
      </c>
    </row>
    <row r="19" ht="33" customHeight="1">
      <c r="B19" s="8" t="inlineStr">
        <is>
          <t>Note</t>
        </is>
      </c>
      <c r="C19" s="7" t="inlineStr">
        <is>
          <t>ReportDate (12/31/2025) and ExpiringWindowDays (90) are named cells on the Lists sheet. Use the names in your rules.</t>
        </is>
      </c>
    </row>
    <row r="20" ht="33" customHeight="1">
      <c r="B20" s="8" t="inlineStr">
        <is>
          <t>Note</t>
        </is>
      </c>
      <c r="C20" s="7" t="inlineStr">
        <is>
          <t>Circle Invalid Data circles disappear when you save or close the file. They are a checking tool, not formatting.</t>
        </is>
      </c>
    </row>
    <row r="22">
      <c r="B22" s="4" t="inlineStr">
        <is>
          <t>Color legend</t>
        </is>
      </c>
      <c r="C22" s="5" t="n"/>
    </row>
    <row r="23" ht="18" customHeight="1">
      <c r="B23" s="9" t="inlineStr">
        <is>
          <t>Yellow cell</t>
        </is>
      </c>
      <c r="C23" s="7" t="inlineStr">
        <is>
          <t>Your answer goes here.</t>
        </is>
      </c>
    </row>
    <row r="24" ht="18" customHeight="1">
      <c r="B24" s="10" t="inlineStr">
        <is>
          <t>Gray cell</t>
        </is>
      </c>
      <c r="C24" s="7" t="inlineStr">
        <is>
          <t>Pre-filled summary formula — it reads the work you did on another sheet.</t>
        </is>
      </c>
    </row>
    <row r="25" ht="18" customHeight="1">
      <c r="B25" s="11" t="inlineStr">
        <is>
          <t>✔ Correct</t>
        </is>
      </c>
      <c r="C25" s="7" t="inlineStr">
        <is>
          <t>Your answer matches the key.</t>
        </is>
      </c>
    </row>
    <row r="26" ht="18" customHeight="1">
      <c r="B26" s="12" t="inlineStr">
        <is>
          <t>✘ Not yet</t>
        </is>
      </c>
      <c r="C26" s="7" t="inlineStr">
        <is>
          <t>Not matching yet — check the hint and try again.</t>
        </is>
      </c>
    </row>
    <row r="28">
      <c r="B28" s="4" t="inlineStr">
        <is>
          <t>Sheets in this workbook</t>
        </is>
      </c>
      <c r="C28" s="5" t="n"/>
    </row>
    <row r="29" ht="18" customHeight="1">
      <c r="B29" s="8" t="inlineStr">
        <is>
          <t>IntakeLog</t>
        </is>
      </c>
      <c r="C29" s="7" t="inlineStr">
        <is>
          <t>Data: 50 rows — Excel Table 'tblIntake'</t>
        </is>
      </c>
    </row>
    <row r="30" ht="18" customHeight="1">
      <c r="B30" s="8" t="inlineStr">
        <is>
          <t>Labs</t>
        </is>
      </c>
      <c r="C30" s="7" t="inlineStr">
        <is>
          <t>Data: 321 rows — Excel Table 'tblLabs'</t>
        </is>
      </c>
    </row>
    <row r="31" ht="18" customHeight="1">
      <c r="B31" s="8" t="inlineStr">
        <is>
          <t>Supplies</t>
        </is>
      </c>
      <c r="C31" s="7" t="inlineStr">
        <is>
          <t>Data: 257 rows — Excel Table 'tblSupplies'</t>
        </is>
      </c>
    </row>
    <row r="32" ht="18" customHeight="1">
      <c r="B32" s="8" t="inlineStr">
        <is>
          <t>Census</t>
        </is>
      </c>
      <c r="C32" s="7" t="inlineStr">
        <is>
          <t>Data: 61 rows — Excel Table 'tblCensus'</t>
        </is>
      </c>
    </row>
    <row r="33" ht="18" customHeight="1">
      <c r="B33" s="8" t="inlineStr">
        <is>
          <t>NovCensus</t>
        </is>
      </c>
      <c r="C33" s="7" t="inlineStr">
        <is>
          <t>Data: 450 rows — Excel Table 'tblNovCensus'</t>
        </is>
      </c>
    </row>
    <row r="34" ht="48" customHeight="1">
      <c r="B34" s="8" t="inlineStr">
        <is>
          <t>About the data</t>
        </is>
      </c>
      <c r="C34" s="7" t="inlineStr">
        <is>
          <t>A December 2025 Patient Access intake log with entry errors, STAT lab results from the three ICUs (Jul–Dec 2025), the system supply inventory (12/31/2025 snapshot), and Medical-Surgical 5 East's daily census (Nov–Dec 2025). The bonus adds a bed-huddle board for every inpatient unit.</t>
        </is>
      </c>
    </row>
    <row r="35" ht="18" customHeight="1">
      <c r="B35" s="8" t="inlineStr">
        <is>
          <t>Disclaimer</t>
        </is>
      </c>
      <c r="C35" s="7" t="inlineStr">
        <is>
          <t>All people, places, and numbers are synthetic and fictional. Not clinical guidance.</t>
        </is>
      </c>
    </row>
  </sheetData>
  <pageMargins left="0.75" right="0.75" top="1" bottom="1" header="0.5" footer="0.5"/>
  <pageSetup orientation="portrait" fitToHeight="0" fitToWidth="1"/>
</worksheet>
</file>

<file path=xl/worksheets/sheet2.xml><?xml version="1.0" encoding="utf-8"?>
<worksheet xmlns="http://schemas.openxmlformats.org/spreadsheetml/2006/main">
  <sheetPr>
    <tabColor rgb="00548235"/>
    <outlinePr summaryBelow="1" summaryRight="1"/>
    <pageSetUpPr fitToPage="1"/>
  </sheetPr>
  <dimension ref="A1:E18"/>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3.2 · Practice</t>
        </is>
      </c>
    </row>
    <row r="2" ht="49" customHeight="1">
      <c r="A2" s="14" t="inlineStr">
        <is>
          <t>Part A (tasks 1–6) uses the IntakeLog and Lists sheets. Add each validation rule, then click the arrow on Data → Data Validation → Circle Invalid Data and count the red circles. Part B (tasks 7–13) uses the Labs, Supplies, and Census sheets. Create each conditional formatting rule, then answer the question about what it highlights. Type the number you count, or write a formula that calculates it.</t>
        </is>
      </c>
    </row>
    <row r="3" ht="34" customHeight="1">
      <c r="A3" s="15" t="inlineStr">
        <is>
          <t>Type a formula or value in each yellow cell. The Check column turns green when your answer matches. Stuck? Read the hint, then the lesson guide. Answers: right-click a sheet tab → Unhide… → 'Answer Key'.</t>
        </is>
      </c>
    </row>
    <row r="4">
      <c r="A4" s="16">
        <f>"Score: "&amp;COUNTIF(E6:E18,"✔*")&amp;" of 13 auto-checked tasks correct"</f>
        <v/>
      </c>
    </row>
    <row r="5">
      <c r="A5" s="17" t="inlineStr">
        <is>
          <t>#</t>
        </is>
      </c>
      <c r="B5" s="17" t="inlineStr">
        <is>
          <t>Task</t>
        </is>
      </c>
      <c r="C5" s="17" t="inlineStr">
        <is>
          <t>Hint</t>
        </is>
      </c>
      <c r="D5" s="17" t="inlineStr">
        <is>
          <t>Your Answer</t>
        </is>
      </c>
      <c r="E5" s="17" t="inlineStr">
        <is>
          <t>Check</t>
        </is>
      </c>
    </row>
    <row r="6" ht="51" customHeight="1">
      <c r="A6" s="18" t="inlineStr">
        <is>
          <t>1</t>
        </is>
      </c>
      <c r="B6" s="19" t="inlineStr">
        <is>
          <t>IntakeLog, Payer column (F2:F51): add a List validation whose Source is the payer list on the Lists sheet (Lists!$A$2:$A$9). Then circle invalid data. How many Payer cells are circled?</t>
        </is>
      </c>
      <c r="C6" s="20" t="inlineStr">
        <is>
          <t>Data → Data Validation → Allow: List</t>
        </is>
      </c>
      <c r="D6" s="21" t="n"/>
      <c r="E6" s="22">
        <f>IF(IFERROR(D6="",FALSE),"",IF(IFERROR(AND(ISNUMBER(D6),OR(ABS(D6-'Answer Key'!$C$5)&lt;=0.0001)),FALSE),"✔ Correct","✘ Not yet"))</f>
        <v/>
      </c>
    </row>
    <row r="7" ht="66" customHeight="1">
      <c r="A7" s="18" t="inlineStr">
        <is>
          <t>2</t>
        </is>
      </c>
      <c r="B7" s="19" t="inlineStr">
        <is>
          <t>IntakeLog, VisitDate (B2:B51): the log covers December 2025 only. Allow a Date between 12/01/2025 and 12/31/2025 (type =DATE(2025,12,1) and =DATE(2025,12,31) in the boxes so it works in any regional setting). How many VisitDate cells are circled?</t>
        </is>
      </c>
      <c r="C7" s="20" t="inlineStr">
        <is>
          <t>Allow: Date, Data: between</t>
        </is>
      </c>
      <c r="D7" s="21" t="n"/>
      <c r="E7" s="22">
        <f>IF(IFERROR(D7="",FALSE),"",IF(IFERROR(AND(ISNUMBER(D7),OR(ABS(D7-'Answer Key'!$C$6)&lt;=0.0001)),FALSE),"✔ Correct","✘ Not yet"))</f>
        <v/>
      </c>
    </row>
    <row r="8" ht="66" customHeight="1">
      <c r="A8" s="18" t="inlineStr">
        <is>
          <t>3</t>
        </is>
      </c>
      <c r="B8" s="19" t="inlineStr">
        <is>
          <t>IntakeLog, CopayAmt (G2:G51): allow a Decimal between 0 and 100. On the Input Message tab, add the title Copay and the message "Enter the amount collected, $0 to $100." Leave the Error Alert style as Stop. How many CopayAmt cells are circled?</t>
        </is>
      </c>
      <c r="C8" s="20" t="inlineStr">
        <is>
          <t>Allow: Decimal. Between includes both limits</t>
        </is>
      </c>
      <c r="D8" s="21" t="n"/>
      <c r="E8" s="22">
        <f>IF(IFERROR(D8="",FALSE),"",IF(IFERROR(AND(ISNUMBER(D8),OR(ABS(D8-'Answer Key'!$C$7)&lt;=0.0001)),FALSE),"✔ Correct","✘ Not yet"))</f>
        <v/>
      </c>
    </row>
    <row r="9" ht="36" customHeight="1">
      <c r="A9" s="18" t="inlineStr">
        <is>
          <t>4</t>
        </is>
      </c>
      <c r="B9" s="19" t="inlineStr">
        <is>
          <t>IntakeLog, ZIP (E2:E51): allow Text length equal to 5. How many ZIP cells are circled?</t>
        </is>
      </c>
      <c r="C9" s="20" t="inlineStr">
        <is>
          <t>Allow: Text length, Data: equal to</t>
        </is>
      </c>
      <c r="D9" s="21" t="n"/>
      <c r="E9" s="22">
        <f>IF(IFERROR(D9="",FALSE),"",IF(IFERROR(AND(ISNUMBER(D9),OR(ABS(D9-'Answer Key'!$C$8)&lt;=0.0001)),FALSE),"✔ Correct","✘ Not yet"))</f>
        <v/>
      </c>
    </row>
    <row r="10" ht="51" customHeight="1">
      <c r="A10" s="18" t="inlineStr">
        <is>
          <t>5</t>
        </is>
      </c>
      <c r="B10" s="19" t="inlineStr">
        <is>
          <t>IntakeLog, MRN (C2:C51): an MRN must be exactly 8 characters, and all of them digits. Select the column with C2 as the active cell and add a Custom validation rule that is TRUE only for a valid MRN. How many MRN cells are circled?</t>
        </is>
      </c>
      <c r="C10" s="20" t="inlineStr">
        <is>
          <t>Combine a LEN test with an ISNUMBER(--C2) test inside AND, written for the active cell C2</t>
        </is>
      </c>
      <c r="D10" s="21" t="n"/>
      <c r="E10" s="22">
        <f>IF(IFERROR(D10="",FALSE),"",IF(IFERROR(AND(ISNUMBER(D10),OR(ABS(D10-'Answer Key'!$C$9)&lt;=0.0001)),FALSE),"✔ Correct","✘ Not yet"))</f>
        <v/>
      </c>
    </row>
    <row r="11" ht="96" customHeight="1">
      <c r="A11" s="18" t="inlineStr">
        <is>
          <t>6</t>
        </is>
      </c>
      <c r="B11" s="19" t="inlineStr">
        <is>
          <t>Dependent drop-down: on the Lists sheet, name each department column after its facility (Formulas → Create from Selection → Top row, one column at a time: E1:E16, F1:F5, G1:G6, H1:H7). Give IntakeLog Facility (H2:H51) a List validation from Lists!$C$2:$C$5. Then give Department (I2:I51) a List validation whose Source is =INDIRECT(SUBSTITUTE($H2," ","_")). How many Department cells are circled?</t>
        </is>
      </c>
      <c r="C11" s="20" t="inlineStr">
        <is>
          <t>Names can't contain spaces, so Create from Selection uses underscores</t>
        </is>
      </c>
      <c r="D11" s="21" t="n"/>
      <c r="E11" s="22">
        <f>IF(IFERROR(D11="",FALSE),"",IF(IFERROR(AND(ISNUMBER(D11),OR(ABS(D11-'Answer Key'!$C$10)&lt;=0.0001)),FALSE),"✔ Correct","✘ Not yet"))</f>
        <v/>
      </c>
    </row>
    <row r="12" ht="51" customHeight="1">
      <c r="A12" s="18" t="inlineStr">
        <is>
          <t>7</t>
        </is>
      </c>
      <c r="B12" s="19" t="inlineStr">
        <is>
          <t>Labs sheet: the lab interface re-sent some results, so a few LabResultIDs appear more than once. Select A2:A322 and apply Highlight Cells Rules → Duplicate Values. How many cells are highlighted?</t>
        </is>
      </c>
      <c r="C12" s="20" t="inlineStr">
        <is>
          <t>Home → Conditional Formatting → Highlight Cells Rules</t>
        </is>
      </c>
      <c r="D12" s="21" t="n"/>
      <c r="E12" s="22">
        <f>IF(IFERROR(D12="",FALSE),"",IF(IFERROR(AND(ISNUMBER(D12),OR(ABS(D12-'Answer Key'!$C$11)&lt;=0.0001)),FALSE),"✔ Correct","✘ Not yet"))</f>
        <v/>
      </c>
    </row>
    <row r="13" ht="51" customHeight="1">
      <c r="A13" s="18" t="inlineStr">
        <is>
          <t>8</t>
        </is>
      </c>
      <c r="B13" s="19" t="inlineStr">
        <is>
          <t>Labs, TATMin (L2:L322): turnaround minutes from specimen collection to result. Apply Top/Bottom Rules → Top 10 Items. What is the smallest TAT that your rule highlights?</t>
        </is>
      </c>
      <c r="C13" s="20" t="inlineStr">
        <is>
          <t>Ties with the 10th value are highlighted too. LARGE gives the k-th largest</t>
        </is>
      </c>
      <c r="D13" s="21" t="n"/>
      <c r="E13" s="22">
        <f>IF(IFERROR(D13="",FALSE),"",IF(IFERROR(AND(ISNUMBER(D13),OR(ABS(D13-'Answer Key'!$C$12)&lt;=0.0001)),FALSE),"✔ Correct","✘ Not yet"))</f>
        <v/>
      </c>
    </row>
    <row r="14" ht="51" customHeight="1">
      <c r="A14" s="18" t="inlineStr">
        <is>
          <t>9</t>
        </is>
      </c>
      <c r="B14" s="19" t="inlineStr">
        <is>
          <t>Supplies, PctOfPar (K2:K258) = QtyOnHand ÷ ParLevel. Add Data Bars, then edit the rule so Minimum is Number 0 and Maximum is Number 1. A full bar now means "stocked to par." How many items show a completely full bar?</t>
        </is>
      </c>
      <c r="C14" s="20" t="inlineStr">
        <is>
          <t>Values at or above the Maximum get a full bar</t>
        </is>
      </c>
      <c r="D14" s="21" t="n"/>
      <c r="E14" s="22">
        <f>IF(IFERROR(D14="",FALSE),"",IF(IFERROR(AND(ISNUMBER(D14),OR(ABS(D14-'Answer Key'!$C$13)&lt;=0.0001)),FALSE),"✔ Correct","✘ Not yet"))</f>
        <v/>
      </c>
    </row>
    <row r="15" ht="81" customHeight="1">
      <c r="A15" s="18" t="inlineStr">
        <is>
          <t>10</t>
        </is>
      </c>
      <c r="B15" s="19" t="inlineStr">
        <is>
          <t>Census sheet (Medical-Surgical 5 East, Nov–Dec 2025): apply the Red - Yellow - Green Color Scale to Occupancy (F2:F62) so the fullest days are red. In Manage Rules → Edit Rule you'll see the midpoint is the 50th percentile. Which occupancy gets the pure yellow midpoint color? Enter it as a percentage to 1 decimal place.</t>
        </is>
      </c>
      <c r="C15" s="20" t="inlineStr">
        <is>
          <t>The 50th percentile has a more common name</t>
        </is>
      </c>
      <c r="D15" s="23" t="n"/>
      <c r="E15" s="22">
        <f>IF(IFERROR(D15="",FALSE),"",IF(IFERROR(AND(ISNUMBER(D15),OR(ABS(D15-'Answer Key'!$C$14)&lt;=0.00051,ABS(D15-'Answer Key'!$C$14*100)&lt;=0.051000000000000004)),FALSE),"✔ Correct","✘ Not yet"))</f>
        <v/>
      </c>
    </row>
    <row r="16" ht="66" customHeight="1">
      <c r="A16" s="18" t="inlineStr">
        <is>
          <t>11</t>
        </is>
      </c>
      <c r="B16" s="19" t="inlineStr">
        <is>
          <t>Labs, TATMin: apply Icon Sets → 3 Traffic Lights (Unrimmed). Edit the rule: click Reverse Icon Order, set both Types to Number, and make red show when the value is &gt;= 60 and yellow when it is &gt;= 45 (green below 45). How many cells show a yellow light?</t>
        </is>
      </c>
      <c r="C16" s="20" t="inlineStr">
        <is>
          <t>Each icon's test is "&gt;=". The default Type is Percent, not Number</t>
        </is>
      </c>
      <c r="D16" s="21" t="n"/>
      <c r="E16" s="22">
        <f>IF(IFERROR(D16="",FALSE),"",IF(IFERROR(AND(ISNUMBER(D16),OR(ABS(D16-'Answer Key'!$C$15)&lt;=0.0001)),FALSE),"✔ Correct","✘ Not yet"))</f>
        <v/>
      </c>
    </row>
    <row r="17" ht="51" customHeight="1">
      <c r="A17" s="18" t="inlineStr">
        <is>
          <t>12</t>
        </is>
      </c>
      <c r="B17" s="19" t="inlineStr">
        <is>
          <t>Labs: highlight the entire row of every critical result (AbnormalFlag HH or LL). Select A2:L322 with A2 active, choose New Rule → "Use a formula to determine which cells to format," and set a red fill. How many rows are highlighted?</t>
        </is>
      </c>
      <c r="C17" s="20" t="inlineStr">
        <is>
          <t>Lock the column with $, not the row</t>
        </is>
      </c>
      <c r="D17" s="21" t="n"/>
      <c r="E17" s="22">
        <f>IF(IFERROR(D17="",FALSE),"",IF(IFERROR(AND(ISNUMBER(D17),OR(ABS(D17-'Answer Key'!$C$16)&lt;=0.0001)),FALSE),"✔ Correct","✘ Not yet"))</f>
        <v/>
      </c>
    </row>
    <row r="18" ht="111" customHeight="1">
      <c r="A18" s="18" t="inlineStr">
        <is>
          <t>13</t>
        </is>
      </c>
      <c r="B18" s="19" t="inlineStr">
        <is>
          <t>Supplies: add two formula rules to A2:M258. Rule 1 (red fill): the item has expired, meaning ExpirationDate is not blank and is on or before ReportDate. Rule 2 (amber fill): ExpirationDate is not blank and is on or before ReportDate + ExpiringWindowDays. ReportDate (12/31/2025) and ExpiringWindowDays (90) are named cells on the Lists sheet. Excel puts each new rule at the top of the list, so open Manage Rules and move the red rule above the amber rule. How many rows are amber?</t>
        </is>
      </c>
      <c r="C18" s="20" t="inlineStr">
        <is>
          <t>A blank cell counts as 0, which is "on or before" any date. The rule higher in Manage Rules wins the fill</t>
        </is>
      </c>
      <c r="D18" s="21" t="n"/>
      <c r="E18" s="22">
        <f>IF(IFERROR(D18="",FALSE),"",IF(IFERROR(AND(ISNUMBER(D18),OR(ABS(D18-'Answer Key'!$C$17)&lt;=0.0001)),FALSE),"✔ Correct","✘ Not yet"))</f>
        <v/>
      </c>
    </row>
  </sheetData>
  <mergeCells count="3">
    <mergeCell ref="A2:E2"/>
    <mergeCell ref="A4:C4"/>
    <mergeCell ref="A3:E3"/>
  </mergeCells>
  <conditionalFormatting sqref="E6:E18">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I51"/>
  <sheetViews>
    <sheetView tabSelected="0" workbookViewId="0">
      <pane ySplit="1" topLeftCell="A2" activePane="bottomLeft" state="frozen"/>
      <selection pane="bottomLeft" activeCell="A1" sqref="A1"/>
    </sheetView>
  </sheetViews>
  <sheetFormatPr baseColWidth="8" defaultRowHeight="15"/>
  <cols>
    <col width="11" customWidth="1" min="1" max="1"/>
    <col width="12" customWidth="1" min="2" max="2"/>
    <col width="12" customWidth="1" min="3" max="3"/>
    <col width="24" customWidth="1" min="4" max="4"/>
    <col width="12" customWidth="1" min="5" max="5"/>
    <col width="30" customWidth="1" min="6" max="6"/>
    <col width="10" customWidth="1" min="7" max="7"/>
    <col width="32" customWidth="1" min="8" max="8"/>
    <col width="32" customWidth="1" min="9" max="9"/>
  </cols>
  <sheetData>
    <row r="1">
      <c r="A1" s="24" t="inlineStr">
        <is>
          <t>IntakeID</t>
        </is>
      </c>
      <c r="B1" s="24" t="inlineStr">
        <is>
          <t>VisitDate</t>
        </is>
      </c>
      <c r="C1" s="24" t="inlineStr">
        <is>
          <t>MRN</t>
        </is>
      </c>
      <c r="D1" s="24" t="inlineStr">
        <is>
          <t>PatientName</t>
        </is>
      </c>
      <c r="E1" s="24" t="inlineStr">
        <is>
          <t>ZIP</t>
        </is>
      </c>
      <c r="F1" s="24" t="inlineStr">
        <is>
          <t>Payer</t>
        </is>
      </c>
      <c r="G1" s="24" t="inlineStr">
        <is>
          <t>CopayAmt</t>
        </is>
      </c>
      <c r="H1" s="24" t="inlineStr">
        <is>
          <t>Facility</t>
        </is>
      </c>
      <c r="I1" s="24" t="inlineStr">
        <is>
          <t>Department</t>
        </is>
      </c>
    </row>
    <row r="2">
      <c r="A2" t="inlineStr">
        <is>
          <t>INT-25001</t>
        </is>
      </c>
      <c r="B2" s="25" t="n">
        <v>45992</v>
      </c>
      <c r="C2" t="inlineStr">
        <is>
          <t>05061485</t>
        </is>
      </c>
      <c r="D2" t="inlineStr">
        <is>
          <t>Long, Dylan</t>
        </is>
      </c>
      <c r="E2" t="inlineStr">
        <is>
          <t>45503</t>
        </is>
      </c>
      <c r="F2" t="inlineStr">
        <is>
          <t>Keystone Health Partners</t>
        </is>
      </c>
      <c r="G2" s="26" t="n">
        <v>0</v>
      </c>
      <c r="H2" t="inlineStr">
        <is>
          <t>Bluestone Memorial Hospital</t>
        </is>
      </c>
      <c r="I2" t="inlineStr">
        <is>
          <t>Observation Unit</t>
        </is>
      </c>
    </row>
    <row r="3">
      <c r="A3" t="inlineStr">
        <is>
          <t>INT-25002</t>
        </is>
      </c>
      <c r="B3" s="25" t="n">
        <v>45992</v>
      </c>
      <c r="C3" t="inlineStr">
        <is>
          <t>02801066</t>
        </is>
      </c>
      <c r="D3" t="inlineStr">
        <is>
          <t>Long, Jordan</t>
        </is>
      </c>
      <c r="E3" t="inlineStr">
        <is>
          <t>45503</t>
        </is>
      </c>
      <c r="F3" t="inlineStr">
        <is>
          <t>State Medicaid</t>
        </is>
      </c>
      <c r="G3" s="26" t="n">
        <v>3</v>
      </c>
      <c r="H3" t="inlineStr">
        <is>
          <t>Bluestone Outpatient Pavilion</t>
        </is>
      </c>
      <c r="I3" t="inlineStr">
        <is>
          <t>Primary Care Clinic</t>
        </is>
      </c>
    </row>
    <row r="4">
      <c r="A4" t="inlineStr">
        <is>
          <t>INT-25003</t>
        </is>
      </c>
      <c r="B4" s="25" t="n">
        <v>45992</v>
      </c>
      <c r="C4" t="inlineStr">
        <is>
          <t>01695337</t>
        </is>
      </c>
      <c r="D4" t="inlineStr">
        <is>
          <t>Ruiz, Lawrence</t>
        </is>
      </c>
      <c r="E4" t="inlineStr">
        <is>
          <t>45720</t>
        </is>
      </c>
      <c r="F4" t="inlineStr">
        <is>
          <t>Keystone Health Partners</t>
        </is>
      </c>
      <c r="G4" s="26" t="n">
        <v>100</v>
      </c>
      <c r="H4" t="inlineStr">
        <is>
          <t>Bluestone Memorial Hospital</t>
        </is>
      </c>
      <c r="I4" t="inlineStr">
        <is>
          <t>Emergency Department</t>
        </is>
      </c>
    </row>
    <row r="5">
      <c r="A5" t="inlineStr">
        <is>
          <t>INT-25004</t>
        </is>
      </c>
      <c r="B5" s="25" t="n">
        <v>45993</v>
      </c>
      <c r="C5" t="inlineStr">
        <is>
          <t>06836490</t>
        </is>
      </c>
      <c r="D5" t="inlineStr">
        <is>
          <t>Ryan, Susan</t>
        </is>
      </c>
      <c r="E5" t="inlineStr">
        <is>
          <t>4553</t>
        </is>
      </c>
      <c r="F5" t="inlineStr">
        <is>
          <t>Keystone Health Partners</t>
        </is>
      </c>
      <c r="G5" s="26" t="n">
        <v>25</v>
      </c>
      <c r="H5" t="inlineStr">
        <is>
          <t>Bluestone Outpatient Pavilion</t>
        </is>
      </c>
      <c r="I5" t="inlineStr">
        <is>
          <t>Pediatric Clinic</t>
        </is>
      </c>
    </row>
    <row r="6">
      <c r="A6" t="inlineStr">
        <is>
          <t>INT-25005</t>
        </is>
      </c>
      <c r="B6" s="25" t="n">
        <v>45993</v>
      </c>
      <c r="C6" t="inlineStr">
        <is>
          <t>02286683</t>
        </is>
      </c>
      <c r="D6" t="inlineStr">
        <is>
          <t>Reed, Gerald</t>
        </is>
      </c>
      <c r="E6" t="inlineStr">
        <is>
          <t>45501</t>
        </is>
      </c>
      <c r="F6" t="inlineStr">
        <is>
          <t>Medicare</t>
        </is>
      </c>
      <c r="G6" s="26" t="n">
        <v>0</v>
      </c>
      <c r="H6" t="inlineStr">
        <is>
          <t>Bluestone Memorial Hospital</t>
        </is>
      </c>
      <c r="I6" t="inlineStr">
        <is>
          <t>Medical-Surgical 5 East</t>
        </is>
      </c>
    </row>
    <row r="7">
      <c r="A7" t="inlineStr">
        <is>
          <t>INT-25006</t>
        </is>
      </c>
      <c r="B7" s="25" t="n">
        <v>45994</v>
      </c>
      <c r="C7" t="n">
        <v>6320677</v>
      </c>
      <c r="D7" t="inlineStr">
        <is>
          <t>Ramirez, Cynthia</t>
        </is>
      </c>
      <c r="E7" t="inlineStr">
        <is>
          <t>45720</t>
        </is>
      </c>
      <c r="F7" t="inlineStr">
        <is>
          <t>Keystone Health Partners</t>
        </is>
      </c>
      <c r="G7" s="26" t="n">
        <v>25</v>
      </c>
      <c r="H7" t="inlineStr">
        <is>
          <t>Bluestone Outpatient Pavilion</t>
        </is>
      </c>
      <c r="I7" t="inlineStr">
        <is>
          <t>Primary Care Clinic</t>
        </is>
      </c>
    </row>
    <row r="8">
      <c r="A8" t="inlineStr">
        <is>
          <t>INT-25007</t>
        </is>
      </c>
      <c r="B8" s="25" t="n">
        <v>45994</v>
      </c>
      <c r="C8" t="inlineStr">
        <is>
          <t>0256901</t>
        </is>
      </c>
      <c r="D8" t="inlineStr">
        <is>
          <t>Dixon, Joseph</t>
        </is>
      </c>
      <c r="E8" t="inlineStr">
        <is>
          <t>45501</t>
        </is>
      </c>
      <c r="F8" t="inlineStr">
        <is>
          <t>Summit Choice PPO</t>
        </is>
      </c>
      <c r="G8" s="26" t="n">
        <v>100</v>
      </c>
      <c r="H8" t="inlineStr">
        <is>
          <t>Bluestone Memorial Hospital</t>
        </is>
      </c>
      <c r="I8" t="inlineStr">
        <is>
          <t>Emergency Department</t>
        </is>
      </c>
    </row>
    <row r="9">
      <c r="A9" t="inlineStr">
        <is>
          <t>INT-25008</t>
        </is>
      </c>
      <c r="B9" s="25" t="inlineStr">
        <is>
          <t>12/32/2025</t>
        </is>
      </c>
      <c r="C9" t="inlineStr">
        <is>
          <t>02244142</t>
        </is>
      </c>
      <c r="D9" t="inlineStr">
        <is>
          <t>Campbell, Julia</t>
        </is>
      </c>
      <c r="E9" t="inlineStr">
        <is>
          <t>45503</t>
        </is>
      </c>
      <c r="F9" t="inlineStr">
        <is>
          <t>Medicare</t>
        </is>
      </c>
      <c r="G9" s="26" t="n">
        <v>0</v>
      </c>
      <c r="H9" t="inlineStr">
        <is>
          <t>Bluestone Outpatient Pavilion</t>
        </is>
      </c>
      <c r="I9" t="inlineStr">
        <is>
          <t>Primary Care Clinic</t>
        </is>
      </c>
    </row>
    <row r="10">
      <c r="A10" t="inlineStr">
        <is>
          <t>INT-25009</t>
        </is>
      </c>
      <c r="B10" s="25" t="n">
        <v>45995</v>
      </c>
      <c r="C10" t="inlineStr">
        <is>
          <t>01102944</t>
        </is>
      </c>
      <c r="D10" t="inlineStr">
        <is>
          <t>Simmons, Larry</t>
        </is>
      </c>
      <c r="E10" t="inlineStr">
        <is>
          <t>45503</t>
        </is>
      </c>
      <c r="F10" t="inlineStr">
        <is>
          <t>Keystone Health Partners</t>
        </is>
      </c>
      <c r="G10" s="26" t="n">
        <v>0</v>
      </c>
      <c r="H10" t="inlineStr">
        <is>
          <t>Bluestone Memorial Hospital</t>
        </is>
      </c>
      <c r="I10" t="inlineStr">
        <is>
          <t>Pediatric Clinic</t>
        </is>
      </c>
    </row>
    <row r="11">
      <c r="A11" t="inlineStr">
        <is>
          <t>INT-25010</t>
        </is>
      </c>
      <c r="B11" s="25" t="n">
        <v>45996</v>
      </c>
      <c r="C11" t="inlineStr">
        <is>
          <t>07480467</t>
        </is>
      </c>
      <c r="D11" t="inlineStr">
        <is>
          <t>Diaz, James</t>
        </is>
      </c>
      <c r="E11" t="inlineStr">
        <is>
          <t>45610</t>
        </is>
      </c>
      <c r="F11" t="inlineStr">
        <is>
          <t>Keystone Health Partners</t>
        </is>
      </c>
      <c r="G11" s="26" t="n">
        <v>25</v>
      </c>
      <c r="H11" t="inlineStr">
        <is>
          <t>Bluestone Outpatient Pavilion</t>
        </is>
      </c>
      <c r="I11" t="inlineStr">
        <is>
          <t>Primary Care Clinic</t>
        </is>
      </c>
    </row>
    <row r="12">
      <c r="A12" t="inlineStr">
        <is>
          <t>INT-25011</t>
        </is>
      </c>
      <c r="B12" s="25" t="n">
        <v>45996</v>
      </c>
      <c r="C12" t="inlineStr">
        <is>
          <t>02715043</t>
        </is>
      </c>
      <c r="D12" t="inlineStr">
        <is>
          <t>Lane, Martha</t>
        </is>
      </c>
      <c r="E12" t="inlineStr">
        <is>
          <t>45502</t>
        </is>
      </c>
      <c r="F12" t="inlineStr">
        <is>
          <t>Evergreen Mutual Insurance</t>
        </is>
      </c>
      <c r="G12" s="26" t="n">
        <v>-20</v>
      </c>
      <c r="H12" t="inlineStr">
        <is>
          <t>Bluestone Memorial Hospital</t>
        </is>
      </c>
      <c r="I12" t="inlineStr">
        <is>
          <t>Labor &amp; Delivery</t>
        </is>
      </c>
    </row>
    <row r="13">
      <c r="A13" t="inlineStr">
        <is>
          <t>INT-25012</t>
        </is>
      </c>
      <c r="B13" s="25" t="n">
        <v>45997</v>
      </c>
      <c r="C13" t="inlineStr">
        <is>
          <t>O9127341</t>
        </is>
      </c>
      <c r="D13" t="inlineStr">
        <is>
          <t>Ferguson, James</t>
        </is>
      </c>
      <c r="E13" t="inlineStr">
        <is>
          <t>45501</t>
        </is>
      </c>
      <c r="F13" t="inlineStr">
        <is>
          <t>Evergreen Mutual Insurance</t>
        </is>
      </c>
      <c r="G13" s="26" t="n">
        <v>100</v>
      </c>
      <c r="H13" t="inlineStr">
        <is>
          <t>Bluestone Memorial Hospital</t>
        </is>
      </c>
      <c r="I13" t="inlineStr">
        <is>
          <t>Emergency Department</t>
        </is>
      </c>
    </row>
    <row r="14">
      <c r="A14" t="inlineStr">
        <is>
          <t>INT-25013</t>
        </is>
      </c>
      <c r="B14" s="25" t="n">
        <v>45999</v>
      </c>
      <c r="C14" t="inlineStr">
        <is>
          <t>09104274</t>
        </is>
      </c>
      <c r="D14" t="inlineStr">
        <is>
          <t>Phillips, Douglas</t>
        </is>
      </c>
      <c r="E14" t="inlineStr">
        <is>
          <t>45530</t>
        </is>
      </c>
      <c r="F14" t="inlineStr">
        <is>
          <t>Medicare</t>
        </is>
      </c>
      <c r="G14" s="26" t="n">
        <v>0</v>
      </c>
      <c r="H14" t="inlineStr">
        <is>
          <t>Bluestone Memorial Hospital</t>
        </is>
      </c>
      <c r="I14" t="inlineStr">
        <is>
          <t>Emergency Department</t>
        </is>
      </c>
    </row>
    <row r="15">
      <c r="A15" t="inlineStr">
        <is>
          <t>INT-25014</t>
        </is>
      </c>
      <c r="B15" s="25" t="n">
        <v>45999</v>
      </c>
      <c r="C15" t="inlineStr">
        <is>
          <t>02175923</t>
        </is>
      </c>
      <c r="D15" t="inlineStr">
        <is>
          <t>Hughes, Patricia</t>
        </is>
      </c>
      <c r="E15" t="inlineStr">
        <is>
          <t>45530</t>
        </is>
      </c>
      <c r="F15" t="inlineStr">
        <is>
          <t>Keystone Health Partners</t>
        </is>
      </c>
      <c r="G15" s="26" t="n">
        <v>100</v>
      </c>
      <c r="H15" t="inlineStr">
        <is>
          <t>Bluestone Memorial Hospital</t>
        </is>
      </c>
      <c r="I15" t="inlineStr">
        <is>
          <t>Emergency Department</t>
        </is>
      </c>
    </row>
    <row r="16">
      <c r="A16" t="inlineStr">
        <is>
          <t>INT-25015</t>
        </is>
      </c>
      <c r="B16" s="25" t="n">
        <v>45999</v>
      </c>
      <c r="C16" t="inlineStr">
        <is>
          <t>07505638</t>
        </is>
      </c>
      <c r="D16" t="inlineStr">
        <is>
          <t>Harris, Rachel</t>
        </is>
      </c>
      <c r="E16" t="inlineStr">
        <is>
          <t>45502</t>
        </is>
      </c>
      <c r="F16" t="inlineStr">
        <is>
          <t>Medicare</t>
        </is>
      </c>
      <c r="G16" s="26" t="n">
        <v>0</v>
      </c>
      <c r="H16" t="inlineStr">
        <is>
          <t>Bluestone Memorial Hospital</t>
        </is>
      </c>
      <c r="I16" t="inlineStr">
        <is>
          <t>Emergency Department</t>
        </is>
      </c>
    </row>
    <row r="17">
      <c r="A17" t="inlineStr">
        <is>
          <t>INT-25016</t>
        </is>
      </c>
      <c r="B17" s="25" t="n">
        <v>46000</v>
      </c>
      <c r="C17" t="inlineStr">
        <is>
          <t>08005967</t>
        </is>
      </c>
      <c r="D17" t="inlineStr">
        <is>
          <t>Castillo, Christine</t>
        </is>
      </c>
      <c r="E17" t="n">
        <v>45502</v>
      </c>
      <c r="F17" t="inlineStr">
        <is>
          <t>Evergreen Mutual Insurance</t>
        </is>
      </c>
      <c r="G17" s="26" t="n">
        <v>25</v>
      </c>
      <c r="H17" t="inlineStr">
        <is>
          <t>Bluestone Outpatient Pavilion</t>
        </is>
      </c>
      <c r="I17" t="inlineStr">
        <is>
          <t>Primary Care Clinic</t>
        </is>
      </c>
    </row>
    <row r="18">
      <c r="A18" t="inlineStr">
        <is>
          <t>INT-25017</t>
        </is>
      </c>
      <c r="B18" s="25" t="n">
        <v>46000</v>
      </c>
      <c r="C18" t="inlineStr">
        <is>
          <t>02918568</t>
        </is>
      </c>
      <c r="D18" t="inlineStr">
        <is>
          <t>Abbott, Harper</t>
        </is>
      </c>
      <c r="E18" t="inlineStr">
        <is>
          <t>45502</t>
        </is>
      </c>
      <c r="F18" t="inlineStr">
        <is>
          <t>Silverline Medicare Advantage</t>
        </is>
      </c>
      <c r="G18" s="26" t="n">
        <v>75</v>
      </c>
      <c r="H18" t="inlineStr">
        <is>
          <t>Bluestone Memorial Hospital</t>
        </is>
      </c>
      <c r="I18" t="inlineStr">
        <is>
          <t>Emergency Department</t>
        </is>
      </c>
    </row>
    <row r="19">
      <c r="A19" t="inlineStr">
        <is>
          <t>INT-25018</t>
        </is>
      </c>
      <c r="B19" s="25" t="n">
        <v>46001</v>
      </c>
      <c r="C19" t="inlineStr">
        <is>
          <t>027762471</t>
        </is>
      </c>
      <c r="D19" t="inlineStr">
        <is>
          <t>Fisher, Wayne</t>
        </is>
      </c>
      <c r="E19" t="inlineStr">
        <is>
          <t>45501</t>
        </is>
      </c>
      <c r="F19" t="inlineStr">
        <is>
          <t>Medicaid</t>
        </is>
      </c>
      <c r="G19" s="26" t="n">
        <v>3</v>
      </c>
      <c r="H19" t="inlineStr">
        <is>
          <t>Bluestone Outpatient Pavilion</t>
        </is>
      </c>
      <c r="I19" t="inlineStr">
        <is>
          <t>Primary Care Clinic</t>
        </is>
      </c>
    </row>
    <row r="20">
      <c r="A20" t="inlineStr">
        <is>
          <t>INT-25019</t>
        </is>
      </c>
      <c r="B20" s="25" t="n">
        <v>46001</v>
      </c>
      <c r="C20" t="inlineStr">
        <is>
          <t>05931696</t>
        </is>
      </c>
      <c r="D20" t="inlineStr">
        <is>
          <t>Osei, Austin</t>
        </is>
      </c>
      <c r="E20" t="inlineStr">
        <is>
          <t>45502</t>
        </is>
      </c>
      <c r="F20" t="inlineStr">
        <is>
          <t>BCBS of Ohio</t>
        </is>
      </c>
      <c r="G20" s="26" t="n">
        <v>100</v>
      </c>
      <c r="H20" t="inlineStr">
        <is>
          <t>Bluestone Memorial Hospital</t>
        </is>
      </c>
      <c r="I20" t="inlineStr">
        <is>
          <t>Emergency Department</t>
        </is>
      </c>
    </row>
    <row r="21">
      <c r="A21" t="inlineStr">
        <is>
          <t>INT-25020</t>
        </is>
      </c>
      <c r="B21" s="25" t="n">
        <v>46367</v>
      </c>
      <c r="C21" t="inlineStr">
        <is>
          <t>08580997</t>
        </is>
      </c>
      <c r="D21" t="inlineStr">
        <is>
          <t>Gonzalez, Megan</t>
        </is>
      </c>
      <c r="E21" t="inlineStr">
        <is>
          <t>45620</t>
        </is>
      </c>
      <c r="F21" t="inlineStr">
        <is>
          <t>Medicare</t>
        </is>
      </c>
      <c r="G21" s="26" t="n">
        <v>0</v>
      </c>
      <c r="H21" t="inlineStr">
        <is>
          <t>Ashby Falls Community Hospital</t>
        </is>
      </c>
      <c r="I21" t="inlineStr">
        <is>
          <t>Cardiac Step-Down</t>
        </is>
      </c>
    </row>
    <row r="22">
      <c r="A22" t="inlineStr">
        <is>
          <t>INT-25021</t>
        </is>
      </c>
      <c r="B22" s="25" t="n">
        <v>46002</v>
      </c>
      <c r="C22" t="inlineStr">
        <is>
          <t>09236613</t>
        </is>
      </c>
      <c r="D22" t="inlineStr">
        <is>
          <t>Medina, Stephanie</t>
        </is>
      </c>
      <c r="E22" t="inlineStr">
        <is>
          <t>45610</t>
        </is>
      </c>
      <c r="F22" t="inlineStr">
        <is>
          <t>Medicare</t>
        </is>
      </c>
      <c r="G22" s="26" t="n">
        <v>0</v>
      </c>
      <c r="H22" t="inlineStr">
        <is>
          <t>Bluestone Memorial Hospital</t>
        </is>
      </c>
      <c r="I22" t="inlineStr">
        <is>
          <t>Cardiac Step-Down</t>
        </is>
      </c>
    </row>
    <row r="23">
      <c r="A23" t="inlineStr">
        <is>
          <t>INT-25022</t>
        </is>
      </c>
      <c r="B23" s="25" t="n">
        <v>46003</v>
      </c>
      <c r="C23" t="inlineStr">
        <is>
          <t>04153642</t>
        </is>
      </c>
      <c r="D23" t="inlineStr">
        <is>
          <t>Mendez, Frances</t>
        </is>
      </c>
      <c r="E23" t="inlineStr">
        <is>
          <t>45502</t>
        </is>
      </c>
      <c r="F23" t="inlineStr">
        <is>
          <t>Medicare</t>
        </is>
      </c>
      <c r="G23" s="26" t="n">
        <v>0</v>
      </c>
      <c r="H23" t="inlineStr">
        <is>
          <t>Bluestone Outpatient Pavilion</t>
        </is>
      </c>
      <c r="I23" t="inlineStr">
        <is>
          <t>Endocrinology &amp; Diabetes Clinic</t>
        </is>
      </c>
    </row>
    <row r="24">
      <c r="A24" t="inlineStr">
        <is>
          <t>INT-25023</t>
        </is>
      </c>
      <c r="B24" s="25" t="n">
        <v>46004</v>
      </c>
      <c r="C24" t="inlineStr">
        <is>
          <t>05651364</t>
        </is>
      </c>
      <c r="D24" t="inlineStr">
        <is>
          <t>Pena, Aaron</t>
        </is>
      </c>
      <c r="E24" t="inlineStr">
        <is>
          <t>45501</t>
        </is>
      </c>
      <c r="F24" t="inlineStr">
        <is>
          <t>Self Pay</t>
        </is>
      </c>
      <c r="G24" s="26" t="n">
        <v>0</v>
      </c>
      <c r="H24" t="inlineStr">
        <is>
          <t>Bluestone Memorial Hospital</t>
        </is>
      </c>
      <c r="I24" t="inlineStr">
        <is>
          <t>Emergency Department</t>
        </is>
      </c>
    </row>
    <row r="25">
      <c r="A25" t="inlineStr">
        <is>
          <t>INT-25024</t>
        </is>
      </c>
      <c r="B25" s="25" t="n">
        <v>46005</v>
      </c>
      <c r="C25" t="inlineStr">
        <is>
          <t>04969153</t>
        </is>
      </c>
      <c r="D25" t="inlineStr">
        <is>
          <t>Porter, Grace</t>
        </is>
      </c>
      <c r="E25" t="inlineStr">
        <is>
          <t>45503</t>
        </is>
      </c>
      <c r="F25" t="inlineStr">
        <is>
          <t>Medicare</t>
        </is>
      </c>
      <c r="G25" s="26" t="n">
        <v>0</v>
      </c>
      <c r="H25" t="inlineStr">
        <is>
          <t>Bluestone Memorial Hospital</t>
        </is>
      </c>
      <c r="I25" t="inlineStr">
        <is>
          <t>Medical-Surgical 4 West</t>
        </is>
      </c>
    </row>
    <row r="26">
      <c r="A26" t="inlineStr">
        <is>
          <t>INT-25025</t>
        </is>
      </c>
      <c r="B26" s="25" t="n">
        <v>46006</v>
      </c>
      <c r="C26" t="inlineStr">
        <is>
          <t>05629462</t>
        </is>
      </c>
      <c r="D26" t="inlineStr">
        <is>
          <t>Ryan, Aaron</t>
        </is>
      </c>
      <c r="E26" t="inlineStr">
        <is>
          <t>45730-1234</t>
        </is>
      </c>
      <c r="F26" t="inlineStr">
        <is>
          <t>Silverline Medicare Advantage</t>
        </is>
      </c>
      <c r="G26" s="26" t="n">
        <v>75</v>
      </c>
      <c r="H26" t="inlineStr">
        <is>
          <t>Bluestone Memorial Hospital</t>
        </is>
      </c>
      <c r="I26" t="inlineStr">
        <is>
          <t>Emergency Department</t>
        </is>
      </c>
    </row>
    <row r="27">
      <c r="A27" t="inlineStr">
        <is>
          <t>INT-25026</t>
        </is>
      </c>
      <c r="B27" s="25" t="n">
        <v>46006</v>
      </c>
      <c r="C27" t="inlineStr">
        <is>
          <t>03615457</t>
        </is>
      </c>
      <c r="D27" t="inlineStr">
        <is>
          <t>Soto, Melissa</t>
        </is>
      </c>
      <c r="E27" t="inlineStr">
        <is>
          <t>45510</t>
        </is>
      </c>
      <c r="F27" t="inlineStr">
        <is>
          <t>Self-Pay</t>
        </is>
      </c>
      <c r="G27" s="26" t="n">
        <v>50</v>
      </c>
      <c r="H27" t="inlineStr">
        <is>
          <t>Bluestone Outpatient Pavilion</t>
        </is>
      </c>
      <c r="I27" t="inlineStr">
        <is>
          <t>Primary Care Clinic</t>
        </is>
      </c>
    </row>
    <row r="28">
      <c r="A28" t="inlineStr">
        <is>
          <t>INT-25027</t>
        </is>
      </c>
      <c r="B28" s="25" t="n">
        <v>46007</v>
      </c>
      <c r="C28" t="inlineStr">
        <is>
          <t>06617891</t>
        </is>
      </c>
      <c r="D28" t="inlineStr">
        <is>
          <t>McDonald, George</t>
        </is>
      </c>
      <c r="E28" t="inlineStr">
        <is>
          <t>45503</t>
        </is>
      </c>
      <c r="F28" t="inlineStr">
        <is>
          <t>Self-Pay</t>
        </is>
      </c>
      <c r="G28" s="26" t="n">
        <v>0</v>
      </c>
      <c r="H28" t="inlineStr">
        <is>
          <t>Bluestone Memorial Hospital</t>
        </is>
      </c>
      <c r="I28" t="inlineStr">
        <is>
          <t>Emergency Department</t>
        </is>
      </c>
    </row>
    <row r="29">
      <c r="A29" t="inlineStr">
        <is>
          <t>INT-25028</t>
        </is>
      </c>
      <c r="B29" s="25" t="n">
        <v>46007</v>
      </c>
      <c r="C29" t="inlineStr">
        <is>
          <t>05292215</t>
        </is>
      </c>
      <c r="D29" t="inlineStr">
        <is>
          <t>Edwards, Betty</t>
        </is>
      </c>
      <c r="E29" t="inlineStr">
        <is>
          <t>45502</t>
        </is>
      </c>
      <c r="F29" t="inlineStr">
        <is>
          <t>Keystone Health Partners</t>
        </is>
      </c>
      <c r="G29" s="26" t="n">
        <v>2500</v>
      </c>
      <c r="H29" t="inlineStr">
        <is>
          <t>Bluestone Memorial Hospital</t>
        </is>
      </c>
      <c r="I29" t="inlineStr">
        <is>
          <t>Emergency Department</t>
        </is>
      </c>
    </row>
    <row r="30">
      <c r="A30" t="inlineStr">
        <is>
          <t>INT-25029</t>
        </is>
      </c>
      <c r="B30" s="25" t="n">
        <v>46008</v>
      </c>
      <c r="C30" t="inlineStr">
        <is>
          <t>03830790</t>
        </is>
      </c>
      <c r="D30" t="inlineStr">
        <is>
          <t>Evans, Sarah</t>
        </is>
      </c>
      <c r="E30" t="inlineStr">
        <is>
          <t>45502</t>
        </is>
      </c>
      <c r="F30" t="inlineStr">
        <is>
          <t>Medicare</t>
        </is>
      </c>
      <c r="G30" s="26" t="n">
        <v>0</v>
      </c>
      <c r="H30" t="inlineStr">
        <is>
          <t>Bluestone Outpatient Pavilion</t>
        </is>
      </c>
      <c r="I30" t="inlineStr">
        <is>
          <t>Primary Care Clinic</t>
        </is>
      </c>
    </row>
    <row r="31">
      <c r="A31" t="inlineStr">
        <is>
          <t>INT-25030</t>
        </is>
      </c>
      <c r="B31" s="25" t="n">
        <v>46008</v>
      </c>
      <c r="C31" t="inlineStr">
        <is>
          <t>07009866</t>
        </is>
      </c>
      <c r="D31" t="inlineStr">
        <is>
          <t>Ferguson, Martha</t>
        </is>
      </c>
      <c r="E31" t="inlineStr">
        <is>
          <t>45501</t>
        </is>
      </c>
      <c r="F31" t="inlineStr">
        <is>
          <t>Keystone Health Partners</t>
        </is>
      </c>
      <c r="G31" s="26" t="n">
        <v>100</v>
      </c>
      <c r="H31" t="inlineStr">
        <is>
          <t>Bluestone Memorial Hospital</t>
        </is>
      </c>
      <c r="I31" t="inlineStr">
        <is>
          <t>Emergency Department</t>
        </is>
      </c>
    </row>
    <row r="32">
      <c r="A32" t="inlineStr">
        <is>
          <t>INT-25031</t>
        </is>
      </c>
      <c r="B32" s="25" t="n">
        <v>46009</v>
      </c>
      <c r="C32" t="inlineStr">
        <is>
          <t>05737865</t>
        </is>
      </c>
      <c r="D32" t="inlineStr">
        <is>
          <t>Anderson, Kathryn</t>
        </is>
      </c>
      <c r="E32" t="inlineStr">
        <is>
          <t>45610</t>
        </is>
      </c>
      <c r="F32" t="inlineStr">
        <is>
          <t>State Medicaid</t>
        </is>
      </c>
      <c r="G32" s="26" t="n">
        <v>3</v>
      </c>
      <c r="H32" t="inlineStr">
        <is>
          <t>Bluestone Outpatient Pavilion</t>
        </is>
      </c>
      <c r="I32" t="inlineStr">
        <is>
          <t>Primary Care Clinic</t>
        </is>
      </c>
    </row>
    <row r="33">
      <c r="A33" t="inlineStr">
        <is>
          <t>INT-25032</t>
        </is>
      </c>
      <c r="B33" s="25" t="n">
        <v>46009</v>
      </c>
      <c r="C33" t="inlineStr">
        <is>
          <t>09505281</t>
        </is>
      </c>
      <c r="D33" t="inlineStr">
        <is>
          <t>Kowalski, Evelyn</t>
        </is>
      </c>
      <c r="E33" t="inlineStr">
        <is>
          <t>45502</t>
        </is>
      </c>
      <c r="F33" t="inlineStr">
        <is>
          <t>Keystone Health Partners</t>
        </is>
      </c>
      <c r="G33" s="26" t="n">
        <v>25</v>
      </c>
      <c r="H33" t="inlineStr">
        <is>
          <t>Bluestone Outpatient Pavilion</t>
        </is>
      </c>
      <c r="I33" t="inlineStr">
        <is>
          <t>Pediatric Clinic</t>
        </is>
      </c>
    </row>
    <row r="34">
      <c r="A34" t="inlineStr">
        <is>
          <t>INT-25033</t>
        </is>
      </c>
      <c r="B34" s="25" t="n">
        <v>46010</v>
      </c>
      <c r="C34" t="inlineStr">
        <is>
          <t>08517291</t>
        </is>
      </c>
      <c r="D34" t="inlineStr">
        <is>
          <t>Ramos, Christina</t>
        </is>
      </c>
      <c r="E34" t="inlineStr">
        <is>
          <t>45502</t>
        </is>
      </c>
      <c r="F34" t="inlineStr">
        <is>
          <t>Medicare</t>
        </is>
      </c>
      <c r="G34" s="26" t="n">
        <v>0</v>
      </c>
      <c r="H34" t="inlineStr">
        <is>
          <t>Bluestone Memorial Hospital</t>
        </is>
      </c>
      <c r="I34" t="inlineStr">
        <is>
          <t>Cardiac Step-Down</t>
        </is>
      </c>
    </row>
    <row r="35">
      <c r="A35" t="inlineStr">
        <is>
          <t>INT-25034</t>
        </is>
      </c>
      <c r="B35" s="25" t="inlineStr">
        <is>
          <t>19/12/2025</t>
        </is>
      </c>
      <c r="C35" t="inlineStr">
        <is>
          <t>04319243</t>
        </is>
      </c>
      <c r="D35" t="inlineStr">
        <is>
          <t>Bryant, Janice</t>
        </is>
      </c>
      <c r="E35" t="inlineStr">
        <is>
          <t>45750</t>
        </is>
      </c>
      <c r="F35" t="inlineStr">
        <is>
          <t>State Medicaid</t>
        </is>
      </c>
      <c r="G35" s="26" t="n">
        <v>0</v>
      </c>
      <c r="H35" t="inlineStr">
        <is>
          <t>Cedar Ridge Medical Center</t>
        </is>
      </c>
      <c r="I35" t="inlineStr">
        <is>
          <t>Labor &amp; Delivery</t>
        </is>
      </c>
    </row>
    <row r="36">
      <c r="A36" t="inlineStr">
        <is>
          <t>INT-25035</t>
        </is>
      </c>
      <c r="B36" s="25" t="n">
        <v>46011</v>
      </c>
      <c r="C36" t="inlineStr">
        <is>
          <t>01509848</t>
        </is>
      </c>
      <c r="D36" t="inlineStr">
        <is>
          <t>Diaz, Ann</t>
        </is>
      </c>
      <c r="E36" t="inlineStr">
        <is>
          <t>45503</t>
        </is>
      </c>
      <c r="F36" t="inlineStr">
        <is>
          <t>State Medicaid</t>
        </is>
      </c>
      <c r="G36" s="26" t="n">
        <v>0</v>
      </c>
      <c r="H36" t="inlineStr">
        <is>
          <t>Bluestone Memorial Hospital</t>
        </is>
      </c>
      <c r="I36" t="inlineStr">
        <is>
          <t>Emergency Department</t>
        </is>
      </c>
    </row>
    <row r="37">
      <c r="A37" t="inlineStr">
        <is>
          <t>INT-25036</t>
        </is>
      </c>
      <c r="B37" s="25" t="n">
        <v>46012</v>
      </c>
      <c r="C37" t="inlineStr">
        <is>
          <t>07144087</t>
        </is>
      </c>
      <c r="D37" t="inlineStr">
        <is>
          <t>Henry, Jesse</t>
        </is>
      </c>
      <c r="E37" t="inlineStr">
        <is>
          <t>45501</t>
        </is>
      </c>
      <c r="F37" t="inlineStr">
        <is>
          <t>Summit Choice</t>
        </is>
      </c>
      <c r="G37" s="26" t="n">
        <v>0</v>
      </c>
      <c r="H37" t="inlineStr">
        <is>
          <t>Bluestone Memorial Hospital</t>
        </is>
      </c>
      <c r="I37" t="inlineStr">
        <is>
          <t>Cardiac Step-Down</t>
        </is>
      </c>
    </row>
    <row r="38">
      <c r="A38" t="inlineStr">
        <is>
          <t>INT-25037</t>
        </is>
      </c>
      <c r="B38" s="25" t="n">
        <v>46013</v>
      </c>
      <c r="C38" t="inlineStr">
        <is>
          <t>06280086</t>
        </is>
      </c>
      <c r="D38" t="inlineStr">
        <is>
          <t>Parker, Catherine</t>
        </is>
      </c>
      <c r="E38" t="inlineStr">
        <is>
          <t>45530</t>
        </is>
      </c>
      <c r="F38" t="inlineStr">
        <is>
          <t>Medicare</t>
        </is>
      </c>
      <c r="G38" s="26" t="n">
        <v>0</v>
      </c>
      <c r="H38" t="inlineStr">
        <is>
          <t>Bluestone Memorial Hospital</t>
        </is>
      </c>
      <c r="I38" t="inlineStr">
        <is>
          <t>Medical-Surgical 4 West</t>
        </is>
      </c>
    </row>
    <row r="39">
      <c r="A39" t="inlineStr">
        <is>
          <t>INT-25038</t>
        </is>
      </c>
      <c r="B39" s="25" t="n">
        <v>46013</v>
      </c>
      <c r="C39" t="inlineStr">
        <is>
          <t>00337216</t>
        </is>
      </c>
      <c r="D39" t="inlineStr">
        <is>
          <t>Rivera, Jerry</t>
        </is>
      </c>
      <c r="E39" t="inlineStr">
        <is>
          <t>45610</t>
        </is>
      </c>
      <c r="F39" t="inlineStr">
        <is>
          <t>Silverline Medicare Advantage</t>
        </is>
      </c>
      <c r="G39" s="26" t="n">
        <v>20</v>
      </c>
      <c r="H39" t="inlineStr">
        <is>
          <t>Bluestone Outpatient Pavilion</t>
        </is>
      </c>
      <c r="I39" t="inlineStr">
        <is>
          <t>Primary Care Clinic</t>
        </is>
      </c>
    </row>
    <row r="40">
      <c r="A40" t="inlineStr">
        <is>
          <t>INT-25039</t>
        </is>
      </c>
      <c r="B40" s="25" t="n">
        <v>46014</v>
      </c>
      <c r="C40" t="inlineStr">
        <is>
          <t>04207464</t>
        </is>
      </c>
      <c r="D40" t="inlineStr">
        <is>
          <t>Sandoval, Virginia</t>
        </is>
      </c>
      <c r="E40" t="inlineStr">
        <is>
          <t>45510</t>
        </is>
      </c>
      <c r="F40" t="inlineStr">
        <is>
          <t>State Medicaid</t>
        </is>
      </c>
      <c r="G40" s="26" t="n">
        <v>350</v>
      </c>
      <c r="H40" t="inlineStr">
        <is>
          <t>Bluestone Outpatient Pavilion</t>
        </is>
      </c>
      <c r="I40" t="inlineStr">
        <is>
          <t>Infusion &amp; Oncology Clinic</t>
        </is>
      </c>
    </row>
    <row r="41">
      <c r="A41" t="inlineStr">
        <is>
          <t>INT-25040</t>
        </is>
      </c>
      <c r="B41" s="25" t="n">
        <v>46014</v>
      </c>
      <c r="C41" t="inlineStr">
        <is>
          <t>03461854</t>
        </is>
      </c>
      <c r="D41" t="inlineStr">
        <is>
          <t>Ruiz, Kyle</t>
        </is>
      </c>
      <c r="E41" t="inlineStr">
        <is>
          <t>45545</t>
        </is>
      </c>
      <c r="F41" t="inlineStr">
        <is>
          <t>Medicare</t>
        </is>
      </c>
      <c r="G41" s="26" t="n">
        <v>0</v>
      </c>
      <c r="H41" t="inlineStr">
        <is>
          <t>Bluestone Memorial Hospital</t>
        </is>
      </c>
      <c r="I41" t="inlineStr">
        <is>
          <t>Medical-Surgical 5 East</t>
        </is>
      </c>
    </row>
    <row r="42">
      <c r="A42" t="inlineStr">
        <is>
          <t>INT-25041</t>
        </is>
      </c>
      <c r="B42" s="25" t="n">
        <v>46015</v>
      </c>
      <c r="C42" t="inlineStr">
        <is>
          <t>01912897</t>
        </is>
      </c>
      <c r="D42" t="inlineStr">
        <is>
          <t>Ross, Daniel</t>
        </is>
      </c>
      <c r="E42" t="inlineStr">
        <is>
          <t>455302</t>
        </is>
      </c>
      <c r="F42" t="inlineStr">
        <is>
          <t>Evergreen Mutual Insurance</t>
        </is>
      </c>
      <c r="G42" s="26" t="n">
        <v>40</v>
      </c>
      <c r="H42" t="inlineStr">
        <is>
          <t>Bluestone Outpatient Pavilion</t>
        </is>
      </c>
      <c r="I42" t="inlineStr">
        <is>
          <t>Infusion &amp; Oncology Clinic</t>
        </is>
      </c>
    </row>
    <row r="43">
      <c r="A43" t="inlineStr">
        <is>
          <t>INT-25042</t>
        </is>
      </c>
      <c r="B43" s="25" t="n">
        <v>46015</v>
      </c>
      <c r="C43" t="inlineStr">
        <is>
          <t>07958044</t>
        </is>
      </c>
      <c r="D43" t="inlineStr">
        <is>
          <t>Holmes, Jessica</t>
        </is>
      </c>
      <c r="E43" t="inlineStr">
        <is>
          <t>45720</t>
        </is>
      </c>
      <c r="F43" t="inlineStr">
        <is>
          <t>Evergreen Mutual Insurance</t>
        </is>
      </c>
      <c r="G43" s="26" t="n">
        <v>0</v>
      </c>
      <c r="H43" t="inlineStr">
        <is>
          <t>Cedar Ridge Medical Center</t>
        </is>
      </c>
      <c r="I43" t="inlineStr">
        <is>
          <t>Medical-Surgical</t>
        </is>
      </c>
    </row>
    <row r="44">
      <c r="A44" t="inlineStr">
        <is>
          <t>INT-25043</t>
        </is>
      </c>
      <c r="B44" s="25" t="n">
        <v>46016</v>
      </c>
      <c r="C44" t="inlineStr">
        <is>
          <t>06817727</t>
        </is>
      </c>
      <c r="D44" t="inlineStr">
        <is>
          <t>Smith, Dorothy</t>
        </is>
      </c>
      <c r="E44" t="inlineStr">
        <is>
          <t>45610</t>
        </is>
      </c>
      <c r="F44" t="inlineStr">
        <is>
          <t>Evergreen Mutual Insurance</t>
        </is>
      </c>
      <c r="G44" s="26" t="n">
        <v>40</v>
      </c>
      <c r="H44" t="inlineStr">
        <is>
          <t>Bluestone Outpatient Pavilion</t>
        </is>
      </c>
      <c r="I44" t="inlineStr">
        <is>
          <t>Infusion &amp; Oncology Clinic</t>
        </is>
      </c>
    </row>
    <row r="45">
      <c r="A45" t="inlineStr">
        <is>
          <t>INT-25044</t>
        </is>
      </c>
      <c r="B45" s="25" t="n">
        <v>46016</v>
      </c>
      <c r="C45" t="inlineStr">
        <is>
          <t>06820860</t>
        </is>
      </c>
      <c r="D45" t="inlineStr">
        <is>
          <t>Palmer, Bobby</t>
        </is>
      </c>
      <c r="E45" t="inlineStr">
        <is>
          <t>45501</t>
        </is>
      </c>
      <c r="F45" t="inlineStr">
        <is>
          <t>State Medicaid</t>
        </is>
      </c>
      <c r="G45" s="26" t="n">
        <v>3</v>
      </c>
      <c r="H45" t="inlineStr">
        <is>
          <t>Bluestone Outpatient Pavilion</t>
        </is>
      </c>
      <c r="I45" t="inlineStr">
        <is>
          <t>Primary Care Clinic</t>
        </is>
      </c>
    </row>
    <row r="46">
      <c r="A46" t="inlineStr">
        <is>
          <t>INT-25045</t>
        </is>
      </c>
      <c r="B46" s="25" t="n">
        <v>46017</v>
      </c>
      <c r="C46" t="inlineStr">
        <is>
          <t>00656311</t>
        </is>
      </c>
      <c r="D46" t="inlineStr">
        <is>
          <t>Rogers, Lucia</t>
        </is>
      </c>
      <c r="E46" t="inlineStr">
        <is>
          <t>45502</t>
        </is>
      </c>
      <c r="F46" t="inlineStr">
        <is>
          <t>Keystone Health</t>
        </is>
      </c>
      <c r="G46" s="26" t="n">
        <v>40</v>
      </c>
      <c r="H46" t="inlineStr">
        <is>
          <t>Bluestone Outpatient Pavilion</t>
        </is>
      </c>
      <c r="I46" t="inlineStr">
        <is>
          <t>Primary Care Clinic</t>
        </is>
      </c>
    </row>
    <row r="47">
      <c r="A47" t="inlineStr">
        <is>
          <t>INT-25046</t>
        </is>
      </c>
      <c r="B47" s="25" t="n">
        <v>46017</v>
      </c>
      <c r="C47" t="inlineStr">
        <is>
          <t>08619777</t>
        </is>
      </c>
      <c r="D47" t="inlineStr">
        <is>
          <t>Howard, Brittany</t>
        </is>
      </c>
      <c r="E47" t="inlineStr">
        <is>
          <t>45503</t>
        </is>
      </c>
      <c r="F47" t="inlineStr">
        <is>
          <t>Medicare</t>
        </is>
      </c>
      <c r="G47" s="26" t="n">
        <v>0</v>
      </c>
      <c r="H47" t="inlineStr">
        <is>
          <t>Bluestone Memorial Hospital</t>
        </is>
      </c>
      <c r="I47" t="inlineStr">
        <is>
          <t>Oncology</t>
        </is>
      </c>
    </row>
    <row r="48">
      <c r="A48" t="inlineStr">
        <is>
          <t>INT-25047</t>
        </is>
      </c>
      <c r="B48" s="25" t="n">
        <v>42366</v>
      </c>
      <c r="C48" t="inlineStr">
        <is>
          <t>02744222</t>
        </is>
      </c>
      <c r="D48" t="inlineStr">
        <is>
          <t>Yilmaz, Sharon</t>
        </is>
      </c>
      <c r="E48" t="inlineStr">
        <is>
          <t>45720</t>
        </is>
      </c>
      <c r="F48" t="inlineStr">
        <is>
          <t>Medicare</t>
        </is>
      </c>
      <c r="G48" s="26" t="n">
        <v>0</v>
      </c>
      <c r="H48" t="inlineStr">
        <is>
          <t>Cedar Ridge Medical Center</t>
        </is>
      </c>
      <c r="I48" t="inlineStr">
        <is>
          <t>Medical-Surgical</t>
        </is>
      </c>
    </row>
    <row r="49">
      <c r="A49" t="inlineStr">
        <is>
          <t>INT-25048</t>
        </is>
      </c>
      <c r="B49" s="25" t="n">
        <v>46020</v>
      </c>
      <c r="C49" t="inlineStr">
        <is>
          <t>07707012</t>
        </is>
      </c>
      <c r="D49" t="inlineStr">
        <is>
          <t>Patterson, Charles</t>
        </is>
      </c>
      <c r="E49" t="inlineStr">
        <is>
          <t>45620</t>
        </is>
      </c>
      <c r="F49" t="inlineStr">
        <is>
          <t>Medicare</t>
        </is>
      </c>
      <c r="G49" s="26" t="n">
        <v>0</v>
      </c>
      <c r="H49" t="inlineStr">
        <is>
          <t>Bluestone Outpatient Pavilion</t>
        </is>
      </c>
      <c r="I49" t="inlineStr">
        <is>
          <t>Emergency Department</t>
        </is>
      </c>
    </row>
    <row r="50">
      <c r="A50" t="inlineStr">
        <is>
          <t>INT-25049</t>
        </is>
      </c>
      <c r="B50" s="25" t="n">
        <v>46020</v>
      </c>
      <c r="C50" t="inlineStr">
        <is>
          <t>04689447</t>
        </is>
      </c>
      <c r="D50" t="inlineStr">
        <is>
          <t>Barnes, Ahmed</t>
        </is>
      </c>
      <c r="E50" t="inlineStr">
        <is>
          <t>45502</t>
        </is>
      </c>
      <c r="F50" t="inlineStr">
        <is>
          <t>State Medicaid</t>
        </is>
      </c>
      <c r="G50" s="26" t="n">
        <v>0</v>
      </c>
      <c r="H50" t="inlineStr">
        <is>
          <t>Bluestone Memorial Hospital</t>
        </is>
      </c>
      <c r="I50" t="inlineStr">
        <is>
          <t>Emergency Department</t>
        </is>
      </c>
    </row>
    <row r="51">
      <c r="A51" t="inlineStr">
        <is>
          <t>INT-25050</t>
        </is>
      </c>
      <c r="B51" s="25" t="n">
        <v>46021</v>
      </c>
      <c r="C51" t="inlineStr">
        <is>
          <t>03546350</t>
        </is>
      </c>
      <c r="D51" t="inlineStr">
        <is>
          <t>Torres, Ruth</t>
        </is>
      </c>
      <c r="E51" t="inlineStr">
        <is>
          <t>45640</t>
        </is>
      </c>
      <c r="F51" t="inlineStr">
        <is>
          <t>Evergreen Mutual Insurance</t>
        </is>
      </c>
      <c r="G51" s="26" t="n">
        <v>25</v>
      </c>
      <c r="H51" t="inlineStr">
        <is>
          <t>Bluestone Outpatient Pavilion</t>
        </is>
      </c>
      <c r="I51" t="inlineStr">
        <is>
          <t>Pediatric Clinic</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tabColor rgb="007F7F7F"/>
    <outlinePr summaryBelow="1" summaryRight="1"/>
    <pageSetUpPr/>
  </sheetPr>
  <dimension ref="A1:N34"/>
  <sheetViews>
    <sheetView tabSelected="0" workbookViewId="0">
      <pane ySplit="1" topLeftCell="A2" activePane="bottomLeft" state="frozen"/>
      <selection pane="bottomLeft" activeCell="A1" sqref="A1"/>
    </sheetView>
  </sheetViews>
  <sheetFormatPr baseColWidth="8" defaultRowHeight="15"/>
  <cols>
    <col width="30" customWidth="1" min="1" max="1"/>
    <col width="3" customWidth="1" min="2" max="2"/>
    <col width="32" customWidth="1" min="3" max="3"/>
    <col width="3" customWidth="1" min="4" max="4"/>
    <col width="30" customWidth="1" min="5" max="5"/>
    <col width="32" customWidth="1" min="6" max="6"/>
    <col width="30" customWidth="1" min="7" max="7"/>
    <col width="32" customWidth="1" min="8" max="8"/>
    <col width="3" customWidth="1" min="9" max="9"/>
    <col width="32" customWidth="1" min="10" max="10"/>
    <col width="32" customWidth="1" min="11" max="11"/>
    <col width="3" customWidth="1" min="12" max="12"/>
    <col width="22" customWidth="1" min="13" max="13"/>
    <col width="12" customWidth="1" min="14" max="14"/>
  </cols>
  <sheetData>
    <row r="1">
      <c r="A1" s="27" t="inlineStr">
        <is>
          <t>Payers</t>
        </is>
      </c>
      <c r="C1" s="27" t="inlineStr">
        <is>
          <t>Facilities</t>
        </is>
      </c>
      <c r="E1" s="27" t="inlineStr">
        <is>
          <t>Bluestone Memorial Hospital</t>
        </is>
      </c>
      <c r="F1" s="27" t="inlineStr">
        <is>
          <t>Ashby Falls Community Hospital</t>
        </is>
      </c>
      <c r="G1" s="27" t="inlineStr">
        <is>
          <t>Cedar Ridge Medical Center</t>
        </is>
      </c>
      <c r="H1" s="27" t="inlineStr">
        <is>
          <t>Bluestone Outpatient Pavilion</t>
        </is>
      </c>
      <c r="J1" s="27" t="inlineStr">
        <is>
          <t>Facility</t>
        </is>
      </c>
      <c r="K1" s="27" t="inlineStr">
        <is>
          <t>Department</t>
        </is>
      </c>
      <c r="M1" s="27" t="inlineStr">
        <is>
          <t>Setting</t>
        </is>
      </c>
      <c r="N1" s="27" t="inlineStr">
        <is>
          <t>Value</t>
        </is>
      </c>
    </row>
    <row r="2">
      <c r="A2" s="28" t="inlineStr">
        <is>
          <t>Medicare</t>
        </is>
      </c>
      <c r="C2" s="28" t="inlineStr">
        <is>
          <t>Bluestone Memorial Hospital</t>
        </is>
      </c>
      <c r="E2" s="28" t="inlineStr">
        <is>
          <t>Emergency Department</t>
        </is>
      </c>
      <c r="F2" s="28" t="inlineStr">
        <is>
          <t>Emergency Department</t>
        </is>
      </c>
      <c r="G2" s="28" t="inlineStr">
        <is>
          <t>Emergency Department</t>
        </is>
      </c>
      <c r="H2" s="28" t="inlineStr">
        <is>
          <t>Primary Care Clinic</t>
        </is>
      </c>
      <c r="J2" t="inlineStr">
        <is>
          <t>Bluestone Memorial Hospital</t>
        </is>
      </c>
      <c r="K2" t="inlineStr">
        <is>
          <t>Emergency Department</t>
        </is>
      </c>
      <c r="M2" s="28" t="inlineStr">
        <is>
          <t>ReportDate</t>
        </is>
      </c>
      <c r="N2" s="29" t="n">
        <v>46022</v>
      </c>
    </row>
    <row r="3">
      <c r="A3" s="28" t="inlineStr">
        <is>
          <t>Silverline Medicare Advantage</t>
        </is>
      </c>
      <c r="C3" s="28" t="inlineStr">
        <is>
          <t>Ashby Falls Community Hospital</t>
        </is>
      </c>
      <c r="E3" s="28" t="inlineStr">
        <is>
          <t>Medical-Surgical 4 West</t>
        </is>
      </c>
      <c r="F3" s="28" t="inlineStr">
        <is>
          <t>Medical-Surgical</t>
        </is>
      </c>
      <c r="G3" s="28" t="inlineStr">
        <is>
          <t>Medical-Surgical</t>
        </is>
      </c>
      <c r="H3" s="28" t="inlineStr">
        <is>
          <t>Cardiology Clinic</t>
        </is>
      </c>
      <c r="J3" t="inlineStr">
        <is>
          <t>Bluestone Memorial Hospital</t>
        </is>
      </c>
      <c r="K3" t="inlineStr">
        <is>
          <t>Medical-Surgical 4 West</t>
        </is>
      </c>
      <c r="M3" s="28" t="inlineStr">
        <is>
          <t>ExpiringWindowDays</t>
        </is>
      </c>
      <c r="N3" s="28" t="n">
        <v>90</v>
      </c>
    </row>
    <row r="4">
      <c r="A4" s="28" t="inlineStr">
        <is>
          <t>State Medicaid</t>
        </is>
      </c>
      <c r="C4" s="28" t="inlineStr">
        <is>
          <t>Cedar Ridge Medical Center</t>
        </is>
      </c>
      <c r="E4" s="28" t="inlineStr">
        <is>
          <t>Medical-Surgical 5 East</t>
        </is>
      </c>
      <c r="F4" s="28" t="inlineStr">
        <is>
          <t>Intensive Care Unit</t>
        </is>
      </c>
      <c r="G4" s="28" t="inlineStr">
        <is>
          <t>Cardiac Step-Down</t>
        </is>
      </c>
      <c r="H4" s="28" t="inlineStr">
        <is>
          <t>Orthopedic Clinic</t>
        </is>
      </c>
      <c r="J4" t="inlineStr">
        <is>
          <t>Bluestone Memorial Hospital</t>
        </is>
      </c>
      <c r="K4" t="inlineStr">
        <is>
          <t>Medical-Surgical 5 East</t>
        </is>
      </c>
    </row>
    <row r="5">
      <c r="A5" s="28" t="inlineStr">
        <is>
          <t>Keystone Health Partners</t>
        </is>
      </c>
      <c r="C5" s="28" t="inlineStr">
        <is>
          <t>Bluestone Outpatient Pavilion</t>
        </is>
      </c>
      <c r="E5" s="28" t="inlineStr">
        <is>
          <t>Cardiac Step-Down</t>
        </is>
      </c>
      <c r="F5" s="28" t="inlineStr">
        <is>
          <t>Labor &amp; Delivery</t>
        </is>
      </c>
      <c r="G5" s="28" t="inlineStr">
        <is>
          <t>Intensive Care Unit</t>
        </is>
      </c>
      <c r="H5" s="28" t="inlineStr">
        <is>
          <t>Infusion &amp; Oncology Clinic</t>
        </is>
      </c>
      <c r="J5" t="inlineStr">
        <is>
          <t>Bluestone Memorial Hospital</t>
        </is>
      </c>
      <c r="K5" t="inlineStr">
        <is>
          <t>Cardiac Step-Down</t>
        </is>
      </c>
      <c r="M5" s="3" t="inlineStr">
        <is>
          <t>Named cells: ReportDate = Lists!$N$2, ExpiringWindowDays = Lists!$N$3</t>
        </is>
      </c>
    </row>
    <row r="6">
      <c r="A6" s="28" t="inlineStr">
        <is>
          <t>Evergreen Mutual Insurance</t>
        </is>
      </c>
      <c r="E6" s="28" t="inlineStr">
        <is>
          <t>Intensive Care Unit</t>
        </is>
      </c>
      <c r="G6" s="28" t="inlineStr">
        <is>
          <t>Orthopedics</t>
        </is>
      </c>
      <c r="H6" s="28" t="inlineStr">
        <is>
          <t>Endocrinology &amp; Diabetes Clinic</t>
        </is>
      </c>
      <c r="J6" t="inlineStr">
        <is>
          <t>Bluestone Memorial Hospital</t>
        </is>
      </c>
      <c r="K6" t="inlineStr">
        <is>
          <t>Intensive Care Unit</t>
        </is>
      </c>
    </row>
    <row r="7">
      <c r="A7" s="28" t="inlineStr">
        <is>
          <t>Summit Choice PPO</t>
        </is>
      </c>
      <c r="E7" s="28" t="inlineStr">
        <is>
          <t>Orthopedics &amp; Spine</t>
        </is>
      </c>
      <c r="H7" s="28" t="inlineStr">
        <is>
          <t>Pediatric Clinic</t>
        </is>
      </c>
      <c r="J7" t="inlineStr">
        <is>
          <t>Bluestone Memorial Hospital</t>
        </is>
      </c>
      <c r="K7" t="inlineStr">
        <is>
          <t>Orthopedics &amp; Spine</t>
        </is>
      </c>
    </row>
    <row r="8">
      <c r="A8" s="28" t="inlineStr">
        <is>
          <t>Self-Pay</t>
        </is>
      </c>
      <c r="E8" s="28" t="inlineStr">
        <is>
          <t>Oncology</t>
        </is>
      </c>
      <c r="J8" t="inlineStr">
        <is>
          <t>Bluestone Memorial Hospital</t>
        </is>
      </c>
      <c r="K8" t="inlineStr">
        <is>
          <t>Oncology</t>
        </is>
      </c>
    </row>
    <row r="9">
      <c r="A9" s="28" t="inlineStr">
        <is>
          <t>Workers' Compensation</t>
        </is>
      </c>
      <c r="E9" s="28" t="inlineStr">
        <is>
          <t>Neuroscience &amp; Stroke</t>
        </is>
      </c>
      <c r="J9" t="inlineStr">
        <is>
          <t>Bluestone Memorial Hospital</t>
        </is>
      </c>
      <c r="K9" t="inlineStr">
        <is>
          <t>Neuroscience &amp; Stroke</t>
        </is>
      </c>
    </row>
    <row r="10">
      <c r="E10" s="28" t="inlineStr">
        <is>
          <t>Labor &amp; Delivery</t>
        </is>
      </c>
      <c r="J10" t="inlineStr">
        <is>
          <t>Bluestone Memorial Hospital</t>
        </is>
      </c>
      <c r="K10" t="inlineStr">
        <is>
          <t>Labor &amp; Delivery</t>
        </is>
      </c>
    </row>
    <row r="11">
      <c r="E11" s="28" t="inlineStr">
        <is>
          <t>Pediatrics</t>
        </is>
      </c>
      <c r="J11" t="inlineStr">
        <is>
          <t>Bluestone Memorial Hospital</t>
        </is>
      </c>
      <c r="K11" t="inlineStr">
        <is>
          <t>Pediatrics</t>
        </is>
      </c>
    </row>
    <row r="12">
      <c r="E12" s="28" t="inlineStr">
        <is>
          <t>Behavioral Health</t>
        </is>
      </c>
      <c r="J12" t="inlineStr">
        <is>
          <t>Bluestone Memorial Hospital</t>
        </is>
      </c>
      <c r="K12" t="inlineStr">
        <is>
          <t>Behavioral Health</t>
        </is>
      </c>
    </row>
    <row r="13">
      <c r="E13" s="28" t="inlineStr">
        <is>
          <t>Observation Unit</t>
        </is>
      </c>
      <c r="J13" t="inlineStr">
        <is>
          <t>Bluestone Memorial Hospital</t>
        </is>
      </c>
      <c r="K13" t="inlineStr">
        <is>
          <t>Observation Unit</t>
        </is>
      </c>
    </row>
    <row r="14">
      <c r="E14" s="28" t="inlineStr">
        <is>
          <t>Perioperative Services</t>
        </is>
      </c>
      <c r="J14" t="inlineStr">
        <is>
          <t>Bluestone Memorial Hospital</t>
        </is>
      </c>
      <c r="K14" t="inlineStr">
        <is>
          <t>Perioperative Services</t>
        </is>
      </c>
    </row>
    <row r="15">
      <c r="E15" s="28" t="inlineStr">
        <is>
          <t>Laboratory</t>
        </is>
      </c>
      <c r="J15" t="inlineStr">
        <is>
          <t>Bluestone Memorial Hospital</t>
        </is>
      </c>
      <c r="K15" t="inlineStr">
        <is>
          <t>Laboratory</t>
        </is>
      </c>
    </row>
    <row r="16">
      <c r="E16" s="28" t="inlineStr">
        <is>
          <t>Radiology</t>
        </is>
      </c>
      <c r="J16" t="inlineStr">
        <is>
          <t>Bluestone Memorial Hospital</t>
        </is>
      </c>
      <c r="K16" t="inlineStr">
        <is>
          <t>Radiology</t>
        </is>
      </c>
    </row>
    <row r="17">
      <c r="J17" t="inlineStr">
        <is>
          <t>Ashby Falls Community Hospital</t>
        </is>
      </c>
      <c r="K17" t="inlineStr">
        <is>
          <t>Emergency Department</t>
        </is>
      </c>
    </row>
    <row r="18">
      <c r="J18" t="inlineStr">
        <is>
          <t>Ashby Falls Community Hospital</t>
        </is>
      </c>
      <c r="K18" t="inlineStr">
        <is>
          <t>Medical-Surgical</t>
        </is>
      </c>
    </row>
    <row r="19">
      <c r="E19" s="3" t="inlineStr">
        <is>
          <t>Departments by facility, one column per facility. Task 6: name each column with Formulas → Create from Selection (Top row).</t>
        </is>
      </c>
      <c r="J19" t="inlineStr">
        <is>
          <t>Ashby Falls Community Hospital</t>
        </is>
      </c>
      <c r="K19" t="inlineStr">
        <is>
          <t>Intensive Care Unit</t>
        </is>
      </c>
    </row>
    <row r="20">
      <c r="J20" t="inlineStr">
        <is>
          <t>Ashby Falls Community Hospital</t>
        </is>
      </c>
      <c r="K20" t="inlineStr">
        <is>
          <t>Labor &amp; Delivery</t>
        </is>
      </c>
    </row>
    <row r="21">
      <c r="J21" t="inlineStr">
        <is>
          <t>Cedar Ridge Medical Center</t>
        </is>
      </c>
      <c r="K21" t="inlineStr">
        <is>
          <t>Emergency Department</t>
        </is>
      </c>
    </row>
    <row r="22">
      <c r="J22" t="inlineStr">
        <is>
          <t>Cedar Ridge Medical Center</t>
        </is>
      </c>
      <c r="K22" t="inlineStr">
        <is>
          <t>Medical-Surgical</t>
        </is>
      </c>
    </row>
    <row r="23">
      <c r="J23" t="inlineStr">
        <is>
          <t>Cedar Ridge Medical Center</t>
        </is>
      </c>
      <c r="K23" t="inlineStr">
        <is>
          <t>Cardiac Step-Down</t>
        </is>
      </c>
    </row>
    <row r="24">
      <c r="J24" t="inlineStr">
        <is>
          <t>Cedar Ridge Medical Center</t>
        </is>
      </c>
      <c r="K24" t="inlineStr">
        <is>
          <t>Intensive Care Unit</t>
        </is>
      </c>
    </row>
    <row r="25">
      <c r="J25" t="inlineStr">
        <is>
          <t>Cedar Ridge Medical Center</t>
        </is>
      </c>
      <c r="K25" t="inlineStr">
        <is>
          <t>Orthopedics</t>
        </is>
      </c>
    </row>
    <row r="26">
      <c r="J26" t="inlineStr">
        <is>
          <t>Bluestone Outpatient Pavilion</t>
        </is>
      </c>
      <c r="K26" t="inlineStr">
        <is>
          <t>Primary Care Clinic</t>
        </is>
      </c>
    </row>
    <row r="27">
      <c r="J27" t="inlineStr">
        <is>
          <t>Bluestone Outpatient Pavilion</t>
        </is>
      </c>
      <c r="K27" t="inlineStr">
        <is>
          <t>Cardiology Clinic</t>
        </is>
      </c>
    </row>
    <row r="28">
      <c r="J28" t="inlineStr">
        <is>
          <t>Bluestone Outpatient Pavilion</t>
        </is>
      </c>
      <c r="K28" t="inlineStr">
        <is>
          <t>Orthopedic Clinic</t>
        </is>
      </c>
    </row>
    <row r="29">
      <c r="J29" t="inlineStr">
        <is>
          <t>Bluestone Outpatient Pavilion</t>
        </is>
      </c>
      <c r="K29" t="inlineStr">
        <is>
          <t>Infusion &amp; Oncology Clinic</t>
        </is>
      </c>
    </row>
    <row r="30">
      <c r="J30" t="inlineStr">
        <is>
          <t>Bluestone Outpatient Pavilion</t>
        </is>
      </c>
      <c r="K30" t="inlineStr">
        <is>
          <t>Endocrinology &amp; Diabetes Clinic</t>
        </is>
      </c>
    </row>
    <row r="31">
      <c r="J31" t="inlineStr">
        <is>
          <t>Bluestone Outpatient Pavilion</t>
        </is>
      </c>
      <c r="K31" t="inlineStr">
        <is>
          <t>Pediatric Clinic</t>
        </is>
      </c>
    </row>
    <row r="34">
      <c r="J34" s="3" t="inlineStr">
        <is>
          <t>The same pairs in long form (used by the answer key's check formula).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22"/>
  <sheetViews>
    <sheetView tabSelected="0" workbookViewId="0">
      <pane ySplit="1" topLeftCell="A2" activePane="bottomLeft" state="frozen"/>
      <selection pane="bottomLeft" activeCell="A1" sqref="A1"/>
    </sheetView>
  </sheetViews>
  <sheetFormatPr baseColWidth="8" defaultRowHeight="15"/>
  <cols>
    <col width="13" customWidth="1" min="1" max="1"/>
    <col width="17" customWidth="1" min="2" max="2"/>
    <col width="30" customWidth="1" min="3" max="3"/>
    <col width="11" customWidth="1" min="4" max="4"/>
    <col width="10" customWidth="1" min="5" max="5"/>
    <col width="30" customWidth="1" min="6" max="6"/>
    <col width="13" customWidth="1" min="7" max="7"/>
    <col width="9" customWidth="1" min="8" max="8"/>
    <col width="9" customWidth="1" min="9" max="9"/>
    <col width="9" customWidth="1" min="10" max="10"/>
    <col width="13" customWidth="1" min="11" max="11"/>
    <col width="9" customWidth="1" min="12" max="12"/>
  </cols>
  <sheetData>
    <row r="1">
      <c r="A1" s="24" t="inlineStr">
        <is>
          <t>LabResultID</t>
        </is>
      </c>
      <c r="B1" s="24" t="inlineStr">
        <is>
          <t>CollectedDateTime</t>
        </is>
      </c>
      <c r="C1" s="24" t="inlineStr">
        <is>
          <t>Facility</t>
        </is>
      </c>
      <c r="D1" s="24" t="inlineStr">
        <is>
          <t>PatientID</t>
        </is>
      </c>
      <c r="E1" s="24" t="inlineStr">
        <is>
          <t>TestCode</t>
        </is>
      </c>
      <c r="F1" s="24" t="inlineStr">
        <is>
          <t>TestName</t>
        </is>
      </c>
      <c r="G1" s="24" t="inlineStr">
        <is>
          <t>ResultValue</t>
        </is>
      </c>
      <c r="H1" s="24" t="inlineStr">
        <is>
          <t>Units</t>
        </is>
      </c>
      <c r="I1" s="24" t="inlineStr">
        <is>
          <t>RefLow</t>
        </is>
      </c>
      <c r="J1" s="24" t="inlineStr">
        <is>
          <t>RefHigh</t>
        </is>
      </c>
      <c r="K1" s="24" t="inlineStr">
        <is>
          <t>AbnormalFlag</t>
        </is>
      </c>
      <c r="L1" s="24" t="inlineStr">
        <is>
          <t>TATMin</t>
        </is>
      </c>
    </row>
    <row r="2">
      <c r="A2" t="inlineStr">
        <is>
          <t>LAB739331</t>
        </is>
      </c>
      <c r="B2" s="30" t="n">
        <v>45847.09305555555</v>
      </c>
      <c r="C2" t="inlineStr">
        <is>
          <t>Bluestone Memorial Hospital</t>
        </is>
      </c>
      <c r="D2" t="inlineStr">
        <is>
          <t>PT11014</t>
        </is>
      </c>
      <c r="E2" t="inlineStr">
        <is>
          <t>GLU</t>
        </is>
      </c>
      <c r="F2" t="inlineStr">
        <is>
          <t>Glucose</t>
        </is>
      </c>
      <c r="G2" t="n">
        <v>149</v>
      </c>
      <c r="H2" t="inlineStr">
        <is>
          <t>mg/dL</t>
        </is>
      </c>
      <c r="I2" t="n">
        <v>70</v>
      </c>
      <c r="J2" t="n">
        <v>99</v>
      </c>
      <c r="K2" t="inlineStr">
        <is>
          <t>H</t>
        </is>
      </c>
      <c r="L2" t="n">
        <v>72</v>
      </c>
    </row>
    <row r="3">
      <c r="A3" t="inlineStr">
        <is>
          <t>LAB739334</t>
        </is>
      </c>
      <c r="B3" s="30" t="n">
        <v>45847.10347222222</v>
      </c>
      <c r="C3" t="inlineStr">
        <is>
          <t>Bluestone Memorial Hospital</t>
        </is>
      </c>
      <c r="D3" t="inlineStr">
        <is>
          <t>PT11014</t>
        </is>
      </c>
      <c r="E3" t="inlineStr">
        <is>
          <t>HGB</t>
        </is>
      </c>
      <c r="F3" t="inlineStr">
        <is>
          <t>Hemoglobin</t>
        </is>
      </c>
      <c r="G3" t="n">
        <v>12.6</v>
      </c>
      <c r="H3" t="inlineStr">
        <is>
          <t>g/dL</t>
        </is>
      </c>
      <c r="I3" t="n">
        <v>12</v>
      </c>
      <c r="J3" t="n">
        <v>17.5</v>
      </c>
      <c r="K3" t="inlineStr">
        <is>
          <t>N</t>
        </is>
      </c>
      <c r="L3" t="n">
        <v>67</v>
      </c>
    </row>
    <row r="4">
      <c r="A4" t="inlineStr">
        <is>
          <t>LAB739332</t>
        </is>
      </c>
      <c r="B4" s="30" t="n">
        <v>45847.10902777778</v>
      </c>
      <c r="C4" t="inlineStr">
        <is>
          <t>Bluestone Memorial Hospital</t>
        </is>
      </c>
      <c r="D4" t="inlineStr">
        <is>
          <t>PT11014</t>
        </is>
      </c>
      <c r="E4" t="inlineStr">
        <is>
          <t>CREAT</t>
        </is>
      </c>
      <c r="F4" t="inlineStr">
        <is>
          <t>Creatinine</t>
        </is>
      </c>
      <c r="G4" t="n">
        <v>1.82</v>
      </c>
      <c r="H4" t="inlineStr">
        <is>
          <t>mg/dL</t>
        </is>
      </c>
      <c r="I4" t="n">
        <v>0.6</v>
      </c>
      <c r="J4" t="n">
        <v>1.3</v>
      </c>
      <c r="K4" t="inlineStr">
        <is>
          <t>H</t>
        </is>
      </c>
      <c r="L4" t="n">
        <v>63</v>
      </c>
    </row>
    <row r="5">
      <c r="A5" t="inlineStr">
        <is>
          <t>LAB739335</t>
        </is>
      </c>
      <c r="B5" s="30" t="n">
        <v>45847.11944444444</v>
      </c>
      <c r="C5" t="inlineStr">
        <is>
          <t>Bluestone Memorial Hospital</t>
        </is>
      </c>
      <c r="D5" t="inlineStr">
        <is>
          <t>PT11014</t>
        </is>
      </c>
      <c r="E5" t="inlineStr">
        <is>
          <t>LACT</t>
        </is>
      </c>
      <c r="F5" t="inlineStr">
        <is>
          <t>Lactate</t>
        </is>
      </c>
      <c r="G5" t="n">
        <v>4.4</v>
      </c>
      <c r="H5" t="inlineStr">
        <is>
          <t>mmol/L</t>
        </is>
      </c>
      <c r="I5" t="n">
        <v>0.5</v>
      </c>
      <c r="J5" t="n">
        <v>2</v>
      </c>
      <c r="K5" t="inlineStr">
        <is>
          <t>HH</t>
        </is>
      </c>
      <c r="L5" t="n">
        <v>72</v>
      </c>
    </row>
    <row r="6">
      <c r="A6" t="inlineStr">
        <is>
          <t>LAB739448</t>
        </is>
      </c>
      <c r="B6" s="30" t="n">
        <v>45848.25069444445</v>
      </c>
      <c r="C6" t="inlineStr">
        <is>
          <t>Cedar Ridge Medical Center</t>
        </is>
      </c>
      <c r="D6" t="inlineStr">
        <is>
          <t>PT13245</t>
        </is>
      </c>
      <c r="E6" t="inlineStr">
        <is>
          <t>LACT</t>
        </is>
      </c>
      <c r="F6" t="inlineStr">
        <is>
          <t>Lactate</t>
        </is>
      </c>
      <c r="G6" t="n">
        <v>3.1</v>
      </c>
      <c r="H6" t="inlineStr">
        <is>
          <t>mmol/L</t>
        </is>
      </c>
      <c r="I6" t="n">
        <v>0.5</v>
      </c>
      <c r="J6" t="n">
        <v>2</v>
      </c>
      <c r="K6" t="inlineStr">
        <is>
          <t>H</t>
        </is>
      </c>
      <c r="L6" t="n">
        <v>34</v>
      </c>
    </row>
    <row r="7">
      <c r="A7" t="inlineStr">
        <is>
          <t>LAB739447</t>
        </is>
      </c>
      <c r="B7" s="30" t="n">
        <v>45848.26527777778</v>
      </c>
      <c r="C7" t="inlineStr">
        <is>
          <t>Cedar Ridge Medical Center</t>
        </is>
      </c>
      <c r="D7" t="inlineStr">
        <is>
          <t>PT13245</t>
        </is>
      </c>
      <c r="E7" t="inlineStr">
        <is>
          <t>K</t>
        </is>
      </c>
      <c r="F7" t="inlineStr">
        <is>
          <t>Potassium</t>
        </is>
      </c>
      <c r="G7" t="n">
        <v>3.9</v>
      </c>
      <c r="H7" t="inlineStr">
        <is>
          <t>mmol/L</t>
        </is>
      </c>
      <c r="I7" t="n">
        <v>3.5</v>
      </c>
      <c r="J7" t="n">
        <v>5.1</v>
      </c>
      <c r="K7" t="inlineStr">
        <is>
          <t>N</t>
        </is>
      </c>
      <c r="L7" t="n">
        <v>28</v>
      </c>
    </row>
    <row r="8">
      <c r="A8" t="inlineStr">
        <is>
          <t>LAB739555</t>
        </is>
      </c>
      <c r="B8" s="30" t="n">
        <v>45849.84652777778</v>
      </c>
      <c r="C8" t="inlineStr">
        <is>
          <t>Bluestone Memorial Hospital</t>
        </is>
      </c>
      <c r="D8" t="inlineStr">
        <is>
          <t>PT12532</t>
        </is>
      </c>
      <c r="E8" t="inlineStr">
        <is>
          <t>CREAT</t>
        </is>
      </c>
      <c r="F8" t="inlineStr">
        <is>
          <t>Creatinine</t>
        </is>
      </c>
      <c r="G8" t="n">
        <v>0.97</v>
      </c>
      <c r="H8" t="inlineStr">
        <is>
          <t>mg/dL</t>
        </is>
      </c>
      <c r="I8" t="n">
        <v>0.6</v>
      </c>
      <c r="J8" t="n">
        <v>1.3</v>
      </c>
      <c r="K8" t="inlineStr">
        <is>
          <t>N</t>
        </is>
      </c>
      <c r="L8" t="n">
        <v>45</v>
      </c>
    </row>
    <row r="9">
      <c r="A9" t="inlineStr">
        <is>
          <t>LAB739560</t>
        </is>
      </c>
      <c r="B9" s="30" t="n">
        <v>45849.85208333333</v>
      </c>
      <c r="C9" t="inlineStr">
        <is>
          <t>Bluestone Memorial Hospital</t>
        </is>
      </c>
      <c r="D9" t="inlineStr">
        <is>
          <t>PT12532</t>
        </is>
      </c>
      <c r="E9" t="inlineStr">
        <is>
          <t>LACT</t>
        </is>
      </c>
      <c r="F9" t="inlineStr">
        <is>
          <t>Lactate</t>
        </is>
      </c>
      <c r="G9" t="n">
        <v>2.3</v>
      </c>
      <c r="H9" t="inlineStr">
        <is>
          <t>mmol/L</t>
        </is>
      </c>
      <c r="I9" t="n">
        <v>0.5</v>
      </c>
      <c r="J9" t="n">
        <v>2</v>
      </c>
      <c r="K9" t="inlineStr">
        <is>
          <t>H</t>
        </is>
      </c>
      <c r="L9" t="n">
        <v>68</v>
      </c>
    </row>
    <row r="10">
      <c r="A10" t="inlineStr">
        <is>
          <t>LAB739558</t>
        </is>
      </c>
      <c r="B10" s="30" t="n">
        <v>45849.86527777778</v>
      </c>
      <c r="C10" t="inlineStr">
        <is>
          <t>Bluestone Memorial Hospital</t>
        </is>
      </c>
      <c r="D10" t="inlineStr">
        <is>
          <t>PT12532</t>
        </is>
      </c>
      <c r="E10" t="inlineStr">
        <is>
          <t>BUN</t>
        </is>
      </c>
      <c r="F10" t="inlineStr">
        <is>
          <t>Blood Urea Nitrogen</t>
        </is>
      </c>
      <c r="G10" t="n">
        <v>16</v>
      </c>
      <c r="H10" t="inlineStr">
        <is>
          <t>mg/dL</t>
        </is>
      </c>
      <c r="I10" t="n">
        <v>7</v>
      </c>
      <c r="J10" t="n">
        <v>20</v>
      </c>
      <c r="K10" t="inlineStr">
        <is>
          <t>N</t>
        </is>
      </c>
      <c r="L10" t="n">
        <v>40</v>
      </c>
    </row>
    <row r="11">
      <c r="A11" t="inlineStr">
        <is>
          <t>LAB739556</t>
        </is>
      </c>
      <c r="B11" s="30" t="n">
        <v>45849.87777777778</v>
      </c>
      <c r="C11" t="inlineStr">
        <is>
          <t>Bluestone Memorial Hospital</t>
        </is>
      </c>
      <c r="D11" t="inlineStr">
        <is>
          <t>PT12532</t>
        </is>
      </c>
      <c r="E11" t="inlineStr">
        <is>
          <t>WBC</t>
        </is>
      </c>
      <c r="F11" t="inlineStr">
        <is>
          <t>White Blood Cell Count</t>
        </is>
      </c>
      <c r="G11" t="n">
        <v>3.7</v>
      </c>
      <c r="H11" t="inlineStr">
        <is>
          <t>K/uL</t>
        </is>
      </c>
      <c r="I11" t="n">
        <v>4.5</v>
      </c>
      <c r="J11" t="n">
        <v>11</v>
      </c>
      <c r="K11" t="inlineStr">
        <is>
          <t>L</t>
        </is>
      </c>
      <c r="L11" t="n">
        <v>32</v>
      </c>
    </row>
    <row r="12">
      <c r="A12" t="inlineStr">
        <is>
          <t>LAB739557</t>
        </is>
      </c>
      <c r="B12" s="30" t="n">
        <v>45849.88333333333</v>
      </c>
      <c r="C12" t="inlineStr">
        <is>
          <t>Bluestone Memorial Hospital</t>
        </is>
      </c>
      <c r="D12" t="inlineStr">
        <is>
          <t>PT12532</t>
        </is>
      </c>
      <c r="E12" t="inlineStr">
        <is>
          <t>HGB</t>
        </is>
      </c>
      <c r="F12" t="inlineStr">
        <is>
          <t>Hemoglobin</t>
        </is>
      </c>
      <c r="G12" t="n">
        <v>13.6</v>
      </c>
      <c r="H12" t="inlineStr">
        <is>
          <t>g/dL</t>
        </is>
      </c>
      <c r="I12" t="n">
        <v>12</v>
      </c>
      <c r="J12" t="n">
        <v>17.5</v>
      </c>
      <c r="K12" t="inlineStr">
        <is>
          <t>N</t>
        </is>
      </c>
      <c r="L12" t="n">
        <v>43</v>
      </c>
    </row>
    <row r="13">
      <c r="A13" t="inlineStr">
        <is>
          <t>LAB739744</t>
        </is>
      </c>
      <c r="B13" s="30" t="n">
        <v>45852.89375</v>
      </c>
      <c r="C13" t="inlineStr">
        <is>
          <t>Ashby Falls Community Hospital</t>
        </is>
      </c>
      <c r="D13" t="inlineStr">
        <is>
          <t>PT11927</t>
        </is>
      </c>
      <c r="E13" t="inlineStr">
        <is>
          <t>NA</t>
        </is>
      </c>
      <c r="F13" t="inlineStr">
        <is>
          <t>Sodium</t>
        </is>
      </c>
      <c r="G13" t="n">
        <v>139</v>
      </c>
      <c r="H13" t="inlineStr">
        <is>
          <t>mmol/L</t>
        </is>
      </c>
      <c r="I13" t="n">
        <v>136</v>
      </c>
      <c r="J13" t="n">
        <v>145</v>
      </c>
      <c r="K13" t="inlineStr">
        <is>
          <t>N</t>
        </is>
      </c>
      <c r="L13" t="n">
        <v>26</v>
      </c>
    </row>
    <row r="14">
      <c r="A14" t="inlineStr">
        <is>
          <t>LAB739746</t>
        </is>
      </c>
      <c r="B14" s="30" t="n">
        <v>45852.90069444444</v>
      </c>
      <c r="C14" t="inlineStr">
        <is>
          <t>Ashby Falls Community Hospital</t>
        </is>
      </c>
      <c r="D14" t="inlineStr">
        <is>
          <t>PT11927</t>
        </is>
      </c>
      <c r="E14" t="inlineStr">
        <is>
          <t>LACT</t>
        </is>
      </c>
      <c r="F14" t="inlineStr">
        <is>
          <t>Lactate</t>
        </is>
      </c>
      <c r="G14" t="n">
        <v>1.9</v>
      </c>
      <c r="H14" t="inlineStr">
        <is>
          <t>mmol/L</t>
        </is>
      </c>
      <c r="I14" t="n">
        <v>0.5</v>
      </c>
      <c r="J14" t="n">
        <v>2</v>
      </c>
      <c r="K14" t="inlineStr">
        <is>
          <t>N</t>
        </is>
      </c>
      <c r="L14" t="n">
        <v>39</v>
      </c>
    </row>
    <row r="15">
      <c r="A15" t="inlineStr">
        <is>
          <t>LAB739745</t>
        </is>
      </c>
      <c r="B15" s="30" t="n">
        <v>45852.90555555555</v>
      </c>
      <c r="C15" t="inlineStr">
        <is>
          <t>Ashby Falls Community Hospital</t>
        </is>
      </c>
      <c r="D15" t="inlineStr">
        <is>
          <t>PT11927</t>
        </is>
      </c>
      <c r="E15" t="inlineStr">
        <is>
          <t>K</t>
        </is>
      </c>
      <c r="F15" t="inlineStr">
        <is>
          <t>Potassium</t>
        </is>
      </c>
      <c r="G15" t="n">
        <v>4.5</v>
      </c>
      <c r="H15" t="inlineStr">
        <is>
          <t>mmol/L</t>
        </is>
      </c>
      <c r="I15" t="n">
        <v>3.5</v>
      </c>
      <c r="J15" t="n">
        <v>5.1</v>
      </c>
      <c r="K15" t="inlineStr">
        <is>
          <t>N</t>
        </is>
      </c>
      <c r="L15" t="n">
        <v>85</v>
      </c>
    </row>
    <row r="16">
      <c r="A16" t="inlineStr">
        <is>
          <t>LAB739741</t>
        </is>
      </c>
      <c r="B16" s="30" t="n">
        <v>45852.90972222222</v>
      </c>
      <c r="C16" t="inlineStr">
        <is>
          <t>Ashby Falls Community Hospital</t>
        </is>
      </c>
      <c r="D16" t="inlineStr">
        <is>
          <t>PT11927</t>
        </is>
      </c>
      <c r="E16" t="inlineStr">
        <is>
          <t>CREAT</t>
        </is>
      </c>
      <c r="F16" t="inlineStr">
        <is>
          <t>Creatinine</t>
        </is>
      </c>
      <c r="G16" t="n">
        <v>1.17</v>
      </c>
      <c r="H16" t="inlineStr">
        <is>
          <t>mg/dL</t>
        </is>
      </c>
      <c r="I16" t="n">
        <v>0.6</v>
      </c>
      <c r="J16" t="n">
        <v>1.3</v>
      </c>
      <c r="K16" t="inlineStr">
        <is>
          <t>N</t>
        </is>
      </c>
      <c r="L16" t="n">
        <v>53</v>
      </c>
    </row>
    <row r="17">
      <c r="A17" t="inlineStr">
        <is>
          <t>LAB739742</t>
        </is>
      </c>
      <c r="B17" s="30" t="n">
        <v>45852.91527777778</v>
      </c>
      <c r="C17" t="inlineStr">
        <is>
          <t>Ashby Falls Community Hospital</t>
        </is>
      </c>
      <c r="D17" t="inlineStr">
        <is>
          <t>PT11927</t>
        </is>
      </c>
      <c r="E17" t="inlineStr">
        <is>
          <t>WBC</t>
        </is>
      </c>
      <c r="F17" t="inlineStr">
        <is>
          <t>White Blood Cell Count</t>
        </is>
      </c>
      <c r="G17" t="n">
        <v>7.9</v>
      </c>
      <c r="H17" t="inlineStr">
        <is>
          <t>K/uL</t>
        </is>
      </c>
      <c r="I17" t="n">
        <v>4.5</v>
      </c>
      <c r="J17" t="n">
        <v>11</v>
      </c>
      <c r="K17" t="inlineStr">
        <is>
          <t>N</t>
        </is>
      </c>
      <c r="L17" t="n">
        <v>110</v>
      </c>
    </row>
    <row r="18">
      <c r="A18" t="inlineStr">
        <is>
          <t>LAB739743</t>
        </is>
      </c>
      <c r="B18" s="30" t="n">
        <v>45852.92291666667</v>
      </c>
      <c r="C18" t="inlineStr">
        <is>
          <t>Ashby Falls Community Hospital</t>
        </is>
      </c>
      <c r="D18" t="inlineStr">
        <is>
          <t>PT11927</t>
        </is>
      </c>
      <c r="E18" t="inlineStr">
        <is>
          <t>HGB</t>
        </is>
      </c>
      <c r="F18" t="inlineStr">
        <is>
          <t>Hemoglobin</t>
        </is>
      </c>
      <c r="G18" t="n">
        <v>12.9</v>
      </c>
      <c r="H18" t="inlineStr">
        <is>
          <t>g/dL</t>
        </is>
      </c>
      <c r="I18" t="n">
        <v>12</v>
      </c>
      <c r="J18" t="n">
        <v>17.5</v>
      </c>
      <c r="K18" t="inlineStr">
        <is>
          <t>N</t>
        </is>
      </c>
      <c r="L18" t="n">
        <v>79</v>
      </c>
    </row>
    <row r="19">
      <c r="A19" t="inlineStr">
        <is>
          <t>LAB739800</t>
        </is>
      </c>
      <c r="B19" s="30" t="n">
        <v>45853.98611111111</v>
      </c>
      <c r="C19" t="inlineStr">
        <is>
          <t>Bluestone Memorial Hospital</t>
        </is>
      </c>
      <c r="D19" t="inlineStr">
        <is>
          <t>PT11845</t>
        </is>
      </c>
      <c r="E19" t="inlineStr">
        <is>
          <t>LACT</t>
        </is>
      </c>
      <c r="F19" t="inlineStr">
        <is>
          <t>Lactate</t>
        </is>
      </c>
      <c r="G19" t="n">
        <v>1.8</v>
      </c>
      <c r="H19" t="inlineStr">
        <is>
          <t>mmol/L</t>
        </is>
      </c>
      <c r="I19" t="n">
        <v>0.5</v>
      </c>
      <c r="J19" t="n">
        <v>2</v>
      </c>
      <c r="K19" t="inlineStr">
        <is>
          <t>N</t>
        </is>
      </c>
      <c r="L19" t="n">
        <v>50</v>
      </c>
    </row>
    <row r="20">
      <c r="A20" t="inlineStr">
        <is>
          <t>LAB739796</t>
        </is>
      </c>
      <c r="B20" s="30" t="n">
        <v>45854.00416666667</v>
      </c>
      <c r="C20" t="inlineStr">
        <is>
          <t>Bluestone Memorial Hospital</t>
        </is>
      </c>
      <c r="D20" t="inlineStr">
        <is>
          <t>PT11845</t>
        </is>
      </c>
      <c r="E20" t="inlineStr">
        <is>
          <t>WBC</t>
        </is>
      </c>
      <c r="F20" t="inlineStr">
        <is>
          <t>White Blood Cell Count</t>
        </is>
      </c>
      <c r="G20" t="n">
        <v>3.7</v>
      </c>
      <c r="H20" t="inlineStr">
        <is>
          <t>K/uL</t>
        </is>
      </c>
      <c r="I20" t="n">
        <v>4.5</v>
      </c>
      <c r="J20" t="n">
        <v>11</v>
      </c>
      <c r="K20" t="inlineStr">
        <is>
          <t>L</t>
        </is>
      </c>
      <c r="L20" t="n">
        <v>59</v>
      </c>
    </row>
    <row r="21">
      <c r="A21" t="inlineStr">
        <is>
          <t>LAB739797</t>
        </is>
      </c>
      <c r="B21" s="30" t="n">
        <v>45854.00486111111</v>
      </c>
      <c r="C21" t="inlineStr">
        <is>
          <t>Bluestone Memorial Hospital</t>
        </is>
      </c>
      <c r="D21" t="inlineStr">
        <is>
          <t>PT11845</t>
        </is>
      </c>
      <c r="E21" t="inlineStr">
        <is>
          <t>HGB</t>
        </is>
      </c>
      <c r="F21" t="inlineStr">
        <is>
          <t>Hemoglobin</t>
        </is>
      </c>
      <c r="G21" t="n">
        <v>7.5</v>
      </c>
      <c r="H21" t="inlineStr">
        <is>
          <t>g/dL</t>
        </is>
      </c>
      <c r="I21" t="n">
        <v>12</v>
      </c>
      <c r="J21" t="n">
        <v>17.5</v>
      </c>
      <c r="K21" t="inlineStr">
        <is>
          <t>L</t>
        </is>
      </c>
      <c r="L21" t="n">
        <v>45</v>
      </c>
    </row>
    <row r="22">
      <c r="A22" t="inlineStr">
        <is>
          <t>LAB739798</t>
        </is>
      </c>
      <c r="B22" s="30" t="n">
        <v>45854.01180555556</v>
      </c>
      <c r="C22" t="inlineStr">
        <is>
          <t>Bluestone Memorial Hospital</t>
        </is>
      </c>
      <c r="D22" t="inlineStr">
        <is>
          <t>PT11845</t>
        </is>
      </c>
      <c r="E22" t="inlineStr">
        <is>
          <t>BUN</t>
        </is>
      </c>
      <c r="F22" t="inlineStr">
        <is>
          <t>Blood Urea Nitrogen</t>
        </is>
      </c>
      <c r="G22" t="n">
        <v>19</v>
      </c>
      <c r="H22" t="inlineStr">
        <is>
          <t>mg/dL</t>
        </is>
      </c>
      <c r="I22" t="n">
        <v>7</v>
      </c>
      <c r="J22" t="n">
        <v>20</v>
      </c>
      <c r="K22" t="inlineStr">
        <is>
          <t>N</t>
        </is>
      </c>
      <c r="L22" t="n">
        <v>72</v>
      </c>
    </row>
    <row r="23">
      <c r="A23" t="inlineStr">
        <is>
          <t>LAB739799</t>
        </is>
      </c>
      <c r="B23" s="30" t="n">
        <v>45854.02013888889</v>
      </c>
      <c r="C23" t="inlineStr">
        <is>
          <t>Bluestone Memorial Hospital</t>
        </is>
      </c>
      <c r="D23" t="inlineStr">
        <is>
          <t>PT11845</t>
        </is>
      </c>
      <c r="E23" t="inlineStr">
        <is>
          <t>PLT</t>
        </is>
      </c>
      <c r="F23" t="inlineStr">
        <is>
          <t>Platelet Count</t>
        </is>
      </c>
      <c r="G23" t="n">
        <v>256</v>
      </c>
      <c r="H23" t="inlineStr">
        <is>
          <t>K/uL</t>
        </is>
      </c>
      <c r="I23" t="n">
        <v>150</v>
      </c>
      <c r="J23" t="n">
        <v>400</v>
      </c>
      <c r="K23" t="inlineStr">
        <is>
          <t>N</t>
        </is>
      </c>
      <c r="L23" t="n">
        <v>34</v>
      </c>
    </row>
    <row r="24">
      <c r="A24" t="inlineStr">
        <is>
          <t>LAB739818</t>
        </is>
      </c>
      <c r="B24" s="30" t="n">
        <v>45854.26944444444</v>
      </c>
      <c r="C24" t="inlineStr">
        <is>
          <t>Cedar Ridge Medical Center</t>
        </is>
      </c>
      <c r="D24" t="inlineStr">
        <is>
          <t>PT12586</t>
        </is>
      </c>
      <c r="E24" t="inlineStr">
        <is>
          <t>CREAT</t>
        </is>
      </c>
      <c r="F24" t="inlineStr">
        <is>
          <t>Creatinine</t>
        </is>
      </c>
      <c r="G24" t="n">
        <v>1.69</v>
      </c>
      <c r="H24" t="inlineStr">
        <is>
          <t>mg/dL</t>
        </is>
      </c>
      <c r="I24" t="n">
        <v>0.6</v>
      </c>
      <c r="J24" t="n">
        <v>1.3</v>
      </c>
      <c r="K24" t="inlineStr">
        <is>
          <t>H</t>
        </is>
      </c>
      <c r="L24" t="n">
        <v>54</v>
      </c>
    </row>
    <row r="25">
      <c r="A25" t="inlineStr">
        <is>
          <t>LAB739817</t>
        </is>
      </c>
      <c r="B25" s="30" t="n">
        <v>45854.27361111111</v>
      </c>
      <c r="C25" t="inlineStr">
        <is>
          <t>Cedar Ridge Medical Center</t>
        </is>
      </c>
      <c r="D25" t="inlineStr">
        <is>
          <t>PT12586</t>
        </is>
      </c>
      <c r="E25" t="inlineStr">
        <is>
          <t>GLU</t>
        </is>
      </c>
      <c r="F25" t="inlineStr">
        <is>
          <t>Glucose</t>
        </is>
      </c>
      <c r="G25" t="n">
        <v>187</v>
      </c>
      <c r="H25" t="inlineStr">
        <is>
          <t>mg/dL</t>
        </is>
      </c>
      <c r="I25" t="n">
        <v>70</v>
      </c>
      <c r="J25" t="n">
        <v>99</v>
      </c>
      <c r="K25" t="inlineStr">
        <is>
          <t>H</t>
        </is>
      </c>
      <c r="L25" t="n">
        <v>56</v>
      </c>
    </row>
    <row r="26">
      <c r="A26" t="inlineStr">
        <is>
          <t>LAB739820</t>
        </is>
      </c>
      <c r="B26" s="30" t="n">
        <v>45854.30138888889</v>
      </c>
      <c r="C26" t="inlineStr">
        <is>
          <t>Cedar Ridge Medical Center</t>
        </is>
      </c>
      <c r="D26" t="inlineStr">
        <is>
          <t>PT12586</t>
        </is>
      </c>
      <c r="E26" t="inlineStr">
        <is>
          <t>HGB</t>
        </is>
      </c>
      <c r="F26" t="inlineStr">
        <is>
          <t>Hemoglobin</t>
        </is>
      </c>
      <c r="G26" t="n">
        <v>12.4</v>
      </c>
      <c r="H26" t="inlineStr">
        <is>
          <t>g/dL</t>
        </is>
      </c>
      <c r="I26" t="n">
        <v>12</v>
      </c>
      <c r="J26" t="n">
        <v>17.5</v>
      </c>
      <c r="K26" t="inlineStr">
        <is>
          <t>N</t>
        </is>
      </c>
      <c r="L26" t="n">
        <v>67</v>
      </c>
    </row>
    <row r="27">
      <c r="A27" t="inlineStr">
        <is>
          <t>LAB739821</t>
        </is>
      </c>
      <c r="B27" s="30" t="n">
        <v>45854.30138888889</v>
      </c>
      <c r="C27" t="inlineStr">
        <is>
          <t>Cedar Ridge Medical Center</t>
        </is>
      </c>
      <c r="D27" t="inlineStr">
        <is>
          <t>PT12586</t>
        </is>
      </c>
      <c r="E27" t="inlineStr">
        <is>
          <t>LACT</t>
        </is>
      </c>
      <c r="F27" t="inlineStr">
        <is>
          <t>Lactate</t>
        </is>
      </c>
      <c r="G27" t="n">
        <v>6.4</v>
      </c>
      <c r="H27" t="inlineStr">
        <is>
          <t>mmol/L</t>
        </is>
      </c>
      <c r="I27" t="n">
        <v>0.5</v>
      </c>
      <c r="J27" t="n">
        <v>2</v>
      </c>
      <c r="K27" t="inlineStr">
        <is>
          <t>HH</t>
        </is>
      </c>
      <c r="L27" t="n">
        <v>62</v>
      </c>
    </row>
    <row r="28">
      <c r="A28" t="inlineStr">
        <is>
          <t>LAB739823</t>
        </is>
      </c>
      <c r="B28" s="30" t="n">
        <v>45854.42777777778</v>
      </c>
      <c r="C28" t="inlineStr">
        <is>
          <t>Bluestone Memorial Hospital</t>
        </is>
      </c>
      <c r="D28" t="inlineStr">
        <is>
          <t>PT10807</t>
        </is>
      </c>
      <c r="E28" t="inlineStr">
        <is>
          <t>CREAT</t>
        </is>
      </c>
      <c r="F28" t="inlineStr">
        <is>
          <t>Creatinine</t>
        </is>
      </c>
      <c r="G28" t="n">
        <v>2.1</v>
      </c>
      <c r="H28" t="inlineStr">
        <is>
          <t>mg/dL</t>
        </is>
      </c>
      <c r="I28" t="n">
        <v>0.6</v>
      </c>
      <c r="J28" t="n">
        <v>1.3</v>
      </c>
      <c r="K28" t="inlineStr">
        <is>
          <t>H</t>
        </is>
      </c>
      <c r="L28" t="n">
        <v>64</v>
      </c>
    </row>
    <row r="29">
      <c r="A29" t="inlineStr">
        <is>
          <t>LAB739826</t>
        </is>
      </c>
      <c r="B29" s="30" t="n">
        <v>45854.43333333333</v>
      </c>
      <c r="C29" t="inlineStr">
        <is>
          <t>Bluestone Memorial Hospital</t>
        </is>
      </c>
      <c r="D29" t="inlineStr">
        <is>
          <t>PT10807</t>
        </is>
      </c>
      <c r="E29" t="inlineStr">
        <is>
          <t>LACT</t>
        </is>
      </c>
      <c r="F29" t="inlineStr">
        <is>
          <t>Lactate</t>
        </is>
      </c>
      <c r="G29" t="n">
        <v>1.9</v>
      </c>
      <c r="H29" t="inlineStr">
        <is>
          <t>mmol/L</t>
        </is>
      </c>
      <c r="I29" t="n">
        <v>0.5</v>
      </c>
      <c r="J29" t="n">
        <v>2</v>
      </c>
      <c r="K29" t="inlineStr">
        <is>
          <t>N</t>
        </is>
      </c>
      <c r="L29" t="n">
        <v>22</v>
      </c>
    </row>
    <row r="30">
      <c r="A30" t="inlineStr">
        <is>
          <t>LAB739825</t>
        </is>
      </c>
      <c r="B30" s="30" t="n">
        <v>45854.44652777778</v>
      </c>
      <c r="C30" t="inlineStr">
        <is>
          <t>Bluestone Memorial Hospital</t>
        </is>
      </c>
      <c r="D30" t="inlineStr">
        <is>
          <t>PT10807</t>
        </is>
      </c>
      <c r="E30" t="inlineStr">
        <is>
          <t>HGB</t>
        </is>
      </c>
      <c r="F30" t="inlineStr">
        <is>
          <t>Hemoglobin</t>
        </is>
      </c>
      <c r="G30" t="n">
        <v>16.2</v>
      </c>
      <c r="H30" t="inlineStr">
        <is>
          <t>g/dL</t>
        </is>
      </c>
      <c r="I30" t="n">
        <v>12</v>
      </c>
      <c r="J30" t="n">
        <v>17.5</v>
      </c>
      <c r="K30" t="inlineStr">
        <is>
          <t>N</t>
        </is>
      </c>
      <c r="L30" t="n">
        <v>28</v>
      </c>
    </row>
    <row r="31">
      <c r="A31" t="inlineStr">
        <is>
          <t>LAB739824</t>
        </is>
      </c>
      <c r="B31" s="30" t="n">
        <v>45854.45416666667</v>
      </c>
      <c r="C31" t="inlineStr">
        <is>
          <t>Bluestone Memorial Hospital</t>
        </is>
      </c>
      <c r="D31" t="inlineStr">
        <is>
          <t>PT10807</t>
        </is>
      </c>
      <c r="E31" t="inlineStr">
        <is>
          <t>WBC</t>
        </is>
      </c>
      <c r="F31" t="inlineStr">
        <is>
          <t>White Blood Cell Count</t>
        </is>
      </c>
      <c r="G31" t="n">
        <v>13.9</v>
      </c>
      <c r="H31" t="inlineStr">
        <is>
          <t>K/uL</t>
        </is>
      </c>
      <c r="I31" t="n">
        <v>4.5</v>
      </c>
      <c r="J31" t="n">
        <v>11</v>
      </c>
      <c r="K31" t="inlineStr">
        <is>
          <t>H</t>
        </is>
      </c>
      <c r="L31" t="n">
        <v>32</v>
      </c>
    </row>
    <row r="32">
      <c r="A32" t="inlineStr">
        <is>
          <t>LAB739822</t>
        </is>
      </c>
      <c r="B32" s="30" t="n">
        <v>45854.46111111111</v>
      </c>
      <c r="C32" t="inlineStr">
        <is>
          <t>Bluestone Memorial Hospital</t>
        </is>
      </c>
      <c r="D32" t="inlineStr">
        <is>
          <t>PT10807</t>
        </is>
      </c>
      <c r="E32" t="inlineStr">
        <is>
          <t>GLU</t>
        </is>
      </c>
      <c r="F32" t="inlineStr">
        <is>
          <t>Glucose</t>
        </is>
      </c>
      <c r="G32" t="n">
        <v>251</v>
      </c>
      <c r="H32" t="inlineStr">
        <is>
          <t>mg/dL</t>
        </is>
      </c>
      <c r="I32" t="n">
        <v>70</v>
      </c>
      <c r="J32" t="n">
        <v>99</v>
      </c>
      <c r="K32" t="inlineStr">
        <is>
          <t>H</t>
        </is>
      </c>
      <c r="L32" t="n">
        <v>68</v>
      </c>
    </row>
    <row r="33">
      <c r="A33" t="inlineStr">
        <is>
          <t>LAB739850</t>
        </is>
      </c>
      <c r="B33" s="30" t="n">
        <v>45854.85833333333</v>
      </c>
      <c r="C33" t="inlineStr">
        <is>
          <t>Bluestone Memorial Hospital</t>
        </is>
      </c>
      <c r="D33" t="inlineStr">
        <is>
          <t>PT12781</t>
        </is>
      </c>
      <c r="E33" t="inlineStr">
        <is>
          <t>GLU</t>
        </is>
      </c>
      <c r="F33" t="inlineStr">
        <is>
          <t>Glucose</t>
        </is>
      </c>
      <c r="G33" t="n">
        <v>163</v>
      </c>
      <c r="H33" t="inlineStr">
        <is>
          <t>mg/dL</t>
        </is>
      </c>
      <c r="I33" t="n">
        <v>70</v>
      </c>
      <c r="J33" t="n">
        <v>99</v>
      </c>
      <c r="K33" t="inlineStr">
        <is>
          <t>H</t>
        </is>
      </c>
      <c r="L33" t="n">
        <v>27</v>
      </c>
    </row>
    <row r="34">
      <c r="A34" t="inlineStr">
        <is>
          <t>LAB739854</t>
        </is>
      </c>
      <c r="B34" s="30" t="n">
        <v>45854.86875</v>
      </c>
      <c r="C34" t="inlineStr">
        <is>
          <t>Bluestone Memorial Hospital</t>
        </is>
      </c>
      <c r="D34" t="inlineStr">
        <is>
          <t>PT12781</t>
        </is>
      </c>
      <c r="E34" t="inlineStr">
        <is>
          <t>LACT</t>
        </is>
      </c>
      <c r="F34" t="inlineStr">
        <is>
          <t>Lactate</t>
        </is>
      </c>
      <c r="G34" t="n">
        <v>2</v>
      </c>
      <c r="H34" t="inlineStr">
        <is>
          <t>mmol/L</t>
        </is>
      </c>
      <c r="I34" t="n">
        <v>0.5</v>
      </c>
      <c r="J34" t="n">
        <v>2</v>
      </c>
      <c r="K34" t="inlineStr">
        <is>
          <t>N</t>
        </is>
      </c>
      <c r="L34" t="n">
        <v>36</v>
      </c>
    </row>
    <row r="35">
      <c r="A35" t="inlineStr">
        <is>
          <t>LAB739854</t>
        </is>
      </c>
      <c r="B35" s="30" t="n">
        <v>45854.86875</v>
      </c>
      <c r="C35" t="inlineStr">
        <is>
          <t>Bluestone Memorial Hospital</t>
        </is>
      </c>
      <c r="D35" t="inlineStr">
        <is>
          <t>PT12781</t>
        </is>
      </c>
      <c r="E35" t="inlineStr">
        <is>
          <t>LACT</t>
        </is>
      </c>
      <c r="F35" t="inlineStr">
        <is>
          <t>Lactate</t>
        </is>
      </c>
      <c r="G35" t="n">
        <v>2</v>
      </c>
      <c r="H35" t="inlineStr">
        <is>
          <t>mmol/L</t>
        </is>
      </c>
      <c r="I35" t="n">
        <v>0.5</v>
      </c>
      <c r="J35" t="n">
        <v>2</v>
      </c>
      <c r="K35" t="inlineStr">
        <is>
          <t>N</t>
        </is>
      </c>
      <c r="L35" t="n">
        <v>36</v>
      </c>
    </row>
    <row r="36">
      <c r="A36" t="inlineStr">
        <is>
          <t>LAB739851</t>
        </is>
      </c>
      <c r="B36" s="30" t="n">
        <v>45854.87916666667</v>
      </c>
      <c r="C36" t="inlineStr">
        <is>
          <t>Bluestone Memorial Hospital</t>
        </is>
      </c>
      <c r="D36" t="inlineStr">
        <is>
          <t>PT12781</t>
        </is>
      </c>
      <c r="E36" t="inlineStr">
        <is>
          <t>CREAT</t>
        </is>
      </c>
      <c r="F36" t="inlineStr">
        <is>
          <t>Creatinine</t>
        </is>
      </c>
      <c r="G36" t="n">
        <v>0.64</v>
      </c>
      <c r="H36" t="inlineStr">
        <is>
          <t>mg/dL</t>
        </is>
      </c>
      <c r="I36" t="n">
        <v>0.6</v>
      </c>
      <c r="J36" t="n">
        <v>1.3</v>
      </c>
      <c r="K36" t="inlineStr">
        <is>
          <t>N</t>
        </is>
      </c>
      <c r="L36" t="n">
        <v>47</v>
      </c>
    </row>
    <row r="37">
      <c r="A37" t="inlineStr">
        <is>
          <t>LAB739853</t>
        </is>
      </c>
      <c r="B37" s="30" t="n">
        <v>45854.8875</v>
      </c>
      <c r="C37" t="inlineStr">
        <is>
          <t>Bluestone Memorial Hospital</t>
        </is>
      </c>
      <c r="D37" t="inlineStr">
        <is>
          <t>PT12781</t>
        </is>
      </c>
      <c r="E37" t="inlineStr">
        <is>
          <t>HGB</t>
        </is>
      </c>
      <c r="F37" t="inlineStr">
        <is>
          <t>Hemoglobin</t>
        </is>
      </c>
      <c r="G37" t="n">
        <v>13.6</v>
      </c>
      <c r="H37" t="inlineStr">
        <is>
          <t>g/dL</t>
        </is>
      </c>
      <c r="I37" t="n">
        <v>12</v>
      </c>
      <c r="J37" t="n">
        <v>17.5</v>
      </c>
      <c r="K37" t="inlineStr">
        <is>
          <t>N</t>
        </is>
      </c>
      <c r="L37" t="n">
        <v>38</v>
      </c>
    </row>
    <row r="38">
      <c r="A38" t="inlineStr">
        <is>
          <t>LAB739852</t>
        </is>
      </c>
      <c r="B38" s="30" t="n">
        <v>45854.89791666667</v>
      </c>
      <c r="C38" t="inlineStr">
        <is>
          <t>Bluestone Memorial Hospital</t>
        </is>
      </c>
      <c r="D38" t="inlineStr">
        <is>
          <t>PT12781</t>
        </is>
      </c>
      <c r="E38" t="inlineStr">
        <is>
          <t>WBC</t>
        </is>
      </c>
      <c r="F38" t="inlineStr">
        <is>
          <t>White Blood Cell Count</t>
        </is>
      </c>
      <c r="G38" t="n">
        <v>7.4</v>
      </c>
      <c r="H38" t="inlineStr">
        <is>
          <t>K/uL</t>
        </is>
      </c>
      <c r="I38" t="n">
        <v>4.5</v>
      </c>
      <c r="J38" t="n">
        <v>11</v>
      </c>
      <c r="K38" t="inlineStr">
        <is>
          <t>N</t>
        </is>
      </c>
      <c r="L38" t="n">
        <v>22</v>
      </c>
    </row>
    <row r="39">
      <c r="A39" t="inlineStr">
        <is>
          <t>LAB740031</t>
        </is>
      </c>
      <c r="B39" s="30" t="n">
        <v>45857.90486111111</v>
      </c>
      <c r="C39" t="inlineStr">
        <is>
          <t>Bluestone Memorial Hospital</t>
        </is>
      </c>
      <c r="D39" t="inlineStr">
        <is>
          <t>PT13518</t>
        </is>
      </c>
      <c r="E39" t="inlineStr">
        <is>
          <t>LACT</t>
        </is>
      </c>
      <c r="F39" t="inlineStr">
        <is>
          <t>Lactate</t>
        </is>
      </c>
      <c r="G39" t="n">
        <v>3.7</v>
      </c>
      <c r="H39" t="inlineStr">
        <is>
          <t>mmol/L</t>
        </is>
      </c>
      <c r="I39" t="n">
        <v>0.5</v>
      </c>
      <c r="J39" t="n">
        <v>2</v>
      </c>
      <c r="K39" t="inlineStr">
        <is>
          <t>H</t>
        </is>
      </c>
      <c r="L39" t="n">
        <v>33</v>
      </c>
    </row>
    <row r="40">
      <c r="A40" t="inlineStr">
        <is>
          <t>LAB740030</t>
        </is>
      </c>
      <c r="B40" s="30" t="n">
        <v>45857.92569444444</v>
      </c>
      <c r="C40" t="inlineStr">
        <is>
          <t>Bluestone Memorial Hospital</t>
        </is>
      </c>
      <c r="D40" t="inlineStr">
        <is>
          <t>PT13518</t>
        </is>
      </c>
      <c r="E40" t="inlineStr">
        <is>
          <t>HGB</t>
        </is>
      </c>
      <c r="F40" t="inlineStr">
        <is>
          <t>Hemoglobin</t>
        </is>
      </c>
      <c r="G40" t="n">
        <v>13.4</v>
      </c>
      <c r="H40" t="inlineStr">
        <is>
          <t>g/dL</t>
        </is>
      </c>
      <c r="I40" t="n">
        <v>12</v>
      </c>
      <c r="J40" t="n">
        <v>17.5</v>
      </c>
      <c r="K40" t="inlineStr">
        <is>
          <t>N</t>
        </is>
      </c>
      <c r="L40" t="n">
        <v>71</v>
      </c>
    </row>
    <row r="41">
      <c r="A41" t="inlineStr">
        <is>
          <t>LAB740027</t>
        </is>
      </c>
      <c r="B41" s="30" t="n">
        <v>45857.92986111111</v>
      </c>
      <c r="C41" t="inlineStr">
        <is>
          <t>Bluestone Memorial Hospital</t>
        </is>
      </c>
      <c r="D41" t="inlineStr">
        <is>
          <t>PT13518</t>
        </is>
      </c>
      <c r="E41" t="inlineStr">
        <is>
          <t>GLU</t>
        </is>
      </c>
      <c r="F41" t="inlineStr">
        <is>
          <t>Glucose</t>
        </is>
      </c>
      <c r="G41" t="n">
        <v>177</v>
      </c>
      <c r="H41" t="inlineStr">
        <is>
          <t>mg/dL</t>
        </is>
      </c>
      <c r="I41" t="n">
        <v>70</v>
      </c>
      <c r="J41" t="n">
        <v>99</v>
      </c>
      <c r="K41" t="inlineStr">
        <is>
          <t>H</t>
        </is>
      </c>
      <c r="L41" t="n">
        <v>30</v>
      </c>
    </row>
    <row r="42">
      <c r="A42" t="inlineStr">
        <is>
          <t>LAB740339</t>
        </is>
      </c>
      <c r="B42" s="30" t="n">
        <v>45862.83611111111</v>
      </c>
      <c r="C42" t="inlineStr">
        <is>
          <t>Bluestone Memorial Hospital</t>
        </is>
      </c>
      <c r="D42" t="inlineStr">
        <is>
          <t>PT13412</t>
        </is>
      </c>
      <c r="E42" t="inlineStr">
        <is>
          <t>WBC</t>
        </is>
      </c>
      <c r="F42" t="inlineStr">
        <is>
          <t>White Blood Cell Count</t>
        </is>
      </c>
      <c r="G42" t="n">
        <v>19.6</v>
      </c>
      <c r="H42" t="inlineStr">
        <is>
          <t>K/uL</t>
        </is>
      </c>
      <c r="I42" t="n">
        <v>4.5</v>
      </c>
      <c r="J42" t="n">
        <v>11</v>
      </c>
      <c r="K42" t="inlineStr">
        <is>
          <t>H</t>
        </is>
      </c>
      <c r="L42" t="n">
        <v>40</v>
      </c>
    </row>
    <row r="43">
      <c r="A43" t="inlineStr">
        <is>
          <t>LAB740341</t>
        </is>
      </c>
      <c r="B43" s="30" t="n">
        <v>45862.83958333333</v>
      </c>
      <c r="C43" t="inlineStr">
        <is>
          <t>Bluestone Memorial Hospital</t>
        </is>
      </c>
      <c r="D43" t="inlineStr">
        <is>
          <t>PT13412</t>
        </is>
      </c>
      <c r="E43" t="inlineStr">
        <is>
          <t>LACT</t>
        </is>
      </c>
      <c r="F43" t="inlineStr">
        <is>
          <t>Lactate</t>
        </is>
      </c>
      <c r="G43" t="n">
        <v>4.9</v>
      </c>
      <c r="H43" t="inlineStr">
        <is>
          <t>mmol/L</t>
        </is>
      </c>
      <c r="I43" t="n">
        <v>0.5</v>
      </c>
      <c r="J43" t="n">
        <v>2</v>
      </c>
      <c r="K43" t="inlineStr">
        <is>
          <t>HH</t>
        </is>
      </c>
      <c r="L43" t="n">
        <v>22</v>
      </c>
    </row>
    <row r="44">
      <c r="A44" t="inlineStr">
        <is>
          <t>LAB740338</t>
        </is>
      </c>
      <c r="B44" s="30" t="n">
        <v>45862.86736111111</v>
      </c>
      <c r="C44" t="inlineStr">
        <is>
          <t>Bluestone Memorial Hospital</t>
        </is>
      </c>
      <c r="D44" t="inlineStr">
        <is>
          <t>PT13412</t>
        </is>
      </c>
      <c r="E44" t="inlineStr">
        <is>
          <t>CREAT</t>
        </is>
      </c>
      <c r="F44" t="inlineStr">
        <is>
          <t>Creatinine</t>
        </is>
      </c>
      <c r="G44" t="n">
        <v>2.18</v>
      </c>
      <c r="H44" t="inlineStr">
        <is>
          <t>mg/dL</t>
        </is>
      </c>
      <c r="I44" t="n">
        <v>0.6</v>
      </c>
      <c r="J44" t="n">
        <v>1.3</v>
      </c>
      <c r="K44" t="inlineStr">
        <is>
          <t>H</t>
        </is>
      </c>
      <c r="L44" t="n">
        <v>36</v>
      </c>
    </row>
    <row r="45">
      <c r="A45" t="inlineStr">
        <is>
          <t>LAB740337</t>
        </is>
      </c>
      <c r="B45" s="30" t="n">
        <v>45862.87222222222</v>
      </c>
      <c r="C45" t="inlineStr">
        <is>
          <t>Bluestone Memorial Hospital</t>
        </is>
      </c>
      <c r="D45" t="inlineStr">
        <is>
          <t>PT13412</t>
        </is>
      </c>
      <c r="E45" t="inlineStr">
        <is>
          <t>GLU</t>
        </is>
      </c>
      <c r="F45" t="inlineStr">
        <is>
          <t>Glucose</t>
        </is>
      </c>
      <c r="G45" t="n">
        <v>157</v>
      </c>
      <c r="H45" t="inlineStr">
        <is>
          <t>mg/dL</t>
        </is>
      </c>
      <c r="I45" t="n">
        <v>70</v>
      </c>
      <c r="J45" t="n">
        <v>99</v>
      </c>
      <c r="K45" t="inlineStr">
        <is>
          <t>H</t>
        </is>
      </c>
      <c r="L45" t="n">
        <v>63</v>
      </c>
    </row>
    <row r="46">
      <c r="A46" t="inlineStr">
        <is>
          <t>LAB740350</t>
        </is>
      </c>
      <c r="B46" s="30" t="n">
        <v>45862.88055555556</v>
      </c>
      <c r="C46" t="inlineStr">
        <is>
          <t>Cedar Ridge Medical Center</t>
        </is>
      </c>
      <c r="D46" t="inlineStr">
        <is>
          <t>PT12554</t>
        </is>
      </c>
      <c r="E46" t="inlineStr">
        <is>
          <t>LACT</t>
        </is>
      </c>
      <c r="F46" t="inlineStr">
        <is>
          <t>Lactate</t>
        </is>
      </c>
      <c r="G46" t="n">
        <v>2.5</v>
      </c>
      <c r="H46" t="inlineStr">
        <is>
          <t>mmol/L</t>
        </is>
      </c>
      <c r="I46" t="n">
        <v>0.5</v>
      </c>
      <c r="J46" t="n">
        <v>2</v>
      </c>
      <c r="K46" t="inlineStr">
        <is>
          <t>H</t>
        </is>
      </c>
      <c r="L46" t="n">
        <v>49</v>
      </c>
    </row>
    <row r="47">
      <c r="A47" t="inlineStr">
        <is>
          <t>LAB740347</t>
        </is>
      </c>
      <c r="B47" s="30" t="n">
        <v>45862.88194444445</v>
      </c>
      <c r="C47" t="inlineStr">
        <is>
          <t>Cedar Ridge Medical Center</t>
        </is>
      </c>
      <c r="D47" t="inlineStr">
        <is>
          <t>PT12554</t>
        </is>
      </c>
      <c r="E47" t="inlineStr">
        <is>
          <t>CREAT</t>
        </is>
      </c>
      <c r="F47" t="inlineStr">
        <is>
          <t>Creatinine</t>
        </is>
      </c>
      <c r="G47" t="n">
        <v>0.97</v>
      </c>
      <c r="H47" t="inlineStr">
        <is>
          <t>mg/dL</t>
        </is>
      </c>
      <c r="I47" t="n">
        <v>0.6</v>
      </c>
      <c r="J47" t="n">
        <v>1.3</v>
      </c>
      <c r="K47" t="inlineStr">
        <is>
          <t>N</t>
        </is>
      </c>
      <c r="L47" t="n">
        <v>51</v>
      </c>
    </row>
    <row r="48">
      <c r="A48" t="inlineStr">
        <is>
          <t>LAB740348</t>
        </is>
      </c>
      <c r="B48" s="30" t="n">
        <v>45862.90486111111</v>
      </c>
      <c r="C48" t="inlineStr">
        <is>
          <t>Cedar Ridge Medical Center</t>
        </is>
      </c>
      <c r="D48" t="inlineStr">
        <is>
          <t>PT12554</t>
        </is>
      </c>
      <c r="E48" t="inlineStr">
        <is>
          <t>WBC</t>
        </is>
      </c>
      <c r="F48" t="inlineStr">
        <is>
          <t>White Blood Cell Count</t>
        </is>
      </c>
      <c r="G48" t="n">
        <v>7.4</v>
      </c>
      <c r="H48" t="inlineStr">
        <is>
          <t>K/uL</t>
        </is>
      </c>
      <c r="I48" t="n">
        <v>4.5</v>
      </c>
      <c r="J48" t="n">
        <v>11</v>
      </c>
      <c r="K48" t="inlineStr">
        <is>
          <t>N</t>
        </is>
      </c>
      <c r="L48" t="n">
        <v>33</v>
      </c>
    </row>
    <row r="49">
      <c r="A49" t="inlineStr">
        <is>
          <t>LAB740346</t>
        </is>
      </c>
      <c r="B49" s="30" t="n">
        <v>45862.92638888889</v>
      </c>
      <c r="C49" t="inlineStr">
        <is>
          <t>Cedar Ridge Medical Center</t>
        </is>
      </c>
      <c r="D49" t="inlineStr">
        <is>
          <t>PT12554</t>
        </is>
      </c>
      <c r="E49" t="inlineStr">
        <is>
          <t>GLU</t>
        </is>
      </c>
      <c r="F49" t="inlineStr">
        <is>
          <t>Glucose</t>
        </is>
      </c>
      <c r="G49" t="n">
        <v>217</v>
      </c>
      <c r="H49" t="inlineStr">
        <is>
          <t>mg/dL</t>
        </is>
      </c>
      <c r="I49" t="n">
        <v>70</v>
      </c>
      <c r="J49" t="n">
        <v>99</v>
      </c>
      <c r="K49" t="inlineStr">
        <is>
          <t>H</t>
        </is>
      </c>
      <c r="L49" t="n">
        <v>34</v>
      </c>
    </row>
    <row r="50">
      <c r="A50" t="inlineStr">
        <is>
          <t>LAB740415</t>
        </is>
      </c>
      <c r="B50" s="30" t="n">
        <v>45863.57777777778</v>
      </c>
      <c r="C50" t="inlineStr">
        <is>
          <t>Cedar Ridge Medical Center</t>
        </is>
      </c>
      <c r="D50" t="inlineStr">
        <is>
          <t>PT11253</t>
        </is>
      </c>
      <c r="E50" t="inlineStr">
        <is>
          <t>CREAT</t>
        </is>
      </c>
      <c r="F50" t="inlineStr">
        <is>
          <t>Creatinine</t>
        </is>
      </c>
      <c r="G50" t="n">
        <v>1.95</v>
      </c>
      <c r="H50" t="inlineStr">
        <is>
          <t>mg/dL</t>
        </is>
      </c>
      <c r="I50" t="n">
        <v>0.6</v>
      </c>
      <c r="J50" t="n">
        <v>1.3</v>
      </c>
      <c r="K50" t="inlineStr">
        <is>
          <t>H</t>
        </is>
      </c>
      <c r="L50" t="n">
        <v>26</v>
      </c>
    </row>
    <row r="51">
      <c r="A51" t="inlineStr">
        <is>
          <t>LAB740418</t>
        </is>
      </c>
      <c r="B51" s="30" t="n">
        <v>45863.58541666667</v>
      </c>
      <c r="C51" t="inlineStr">
        <is>
          <t>Cedar Ridge Medical Center</t>
        </is>
      </c>
      <c r="D51" t="inlineStr">
        <is>
          <t>PT11253</t>
        </is>
      </c>
      <c r="E51" t="inlineStr">
        <is>
          <t>LACT</t>
        </is>
      </c>
      <c r="F51" t="inlineStr">
        <is>
          <t>Lactate</t>
        </is>
      </c>
      <c r="G51" t="n">
        <v>2.9</v>
      </c>
      <c r="H51" t="inlineStr">
        <is>
          <t>mmol/L</t>
        </is>
      </c>
      <c r="I51" t="n">
        <v>0.5</v>
      </c>
      <c r="J51" t="n">
        <v>2</v>
      </c>
      <c r="K51" t="inlineStr">
        <is>
          <t>H</t>
        </is>
      </c>
      <c r="L51" t="n">
        <v>69</v>
      </c>
    </row>
    <row r="52">
      <c r="A52" t="inlineStr">
        <is>
          <t>LAB740417</t>
        </is>
      </c>
      <c r="B52" s="30" t="n">
        <v>45863.62083333333</v>
      </c>
      <c r="C52" t="inlineStr">
        <is>
          <t>Cedar Ridge Medical Center</t>
        </is>
      </c>
      <c r="D52" t="inlineStr">
        <is>
          <t>PT11253</t>
        </is>
      </c>
      <c r="E52" t="inlineStr">
        <is>
          <t>HGB</t>
        </is>
      </c>
      <c r="F52" t="inlineStr">
        <is>
          <t>Hemoglobin</t>
        </is>
      </c>
      <c r="G52" t="n">
        <v>16.5</v>
      </c>
      <c r="H52" t="inlineStr">
        <is>
          <t>g/dL</t>
        </is>
      </c>
      <c r="I52" t="n">
        <v>12</v>
      </c>
      <c r="J52" t="n">
        <v>17.5</v>
      </c>
      <c r="K52" t="inlineStr">
        <is>
          <t>N</t>
        </is>
      </c>
      <c r="L52" t="n">
        <v>36</v>
      </c>
    </row>
    <row r="53">
      <c r="A53" t="inlineStr">
        <is>
          <t>LAB740548</t>
        </is>
      </c>
      <c r="B53" s="30" t="n">
        <v>45866.55138888889</v>
      </c>
      <c r="C53" t="inlineStr">
        <is>
          <t>Bluestone Memorial Hospital</t>
        </is>
      </c>
      <c r="D53" t="inlineStr">
        <is>
          <t>PT10465</t>
        </is>
      </c>
      <c r="E53" t="inlineStr">
        <is>
          <t>GLU</t>
        </is>
      </c>
      <c r="F53" t="inlineStr">
        <is>
          <t>Glucose</t>
        </is>
      </c>
      <c r="G53" t="n">
        <v>184</v>
      </c>
      <c r="H53" t="inlineStr">
        <is>
          <t>mg/dL</t>
        </is>
      </c>
      <c r="I53" t="n">
        <v>70</v>
      </c>
      <c r="J53" t="n">
        <v>99</v>
      </c>
      <c r="K53" t="inlineStr">
        <is>
          <t>H</t>
        </is>
      </c>
      <c r="L53" t="n">
        <v>40</v>
      </c>
    </row>
    <row r="54">
      <c r="A54" t="inlineStr">
        <is>
          <t>LAB740551</t>
        </is>
      </c>
      <c r="B54" s="30" t="n">
        <v>45866.55972222222</v>
      </c>
      <c r="C54" t="inlineStr">
        <is>
          <t>Bluestone Memorial Hospital</t>
        </is>
      </c>
      <c r="D54" t="inlineStr">
        <is>
          <t>PT10465</t>
        </is>
      </c>
      <c r="E54" t="inlineStr">
        <is>
          <t>HGB</t>
        </is>
      </c>
      <c r="F54" t="inlineStr">
        <is>
          <t>Hemoglobin</t>
        </is>
      </c>
      <c r="G54" t="n">
        <v>11</v>
      </c>
      <c r="H54" t="inlineStr">
        <is>
          <t>g/dL</t>
        </is>
      </c>
      <c r="I54" t="n">
        <v>12</v>
      </c>
      <c r="J54" t="n">
        <v>17.5</v>
      </c>
      <c r="K54" t="inlineStr">
        <is>
          <t>L</t>
        </is>
      </c>
      <c r="L54" t="n">
        <v>41</v>
      </c>
    </row>
    <row r="55">
      <c r="A55" t="inlineStr">
        <is>
          <t>LAB740550</t>
        </is>
      </c>
      <c r="B55" s="30" t="n">
        <v>45866.56041666667</v>
      </c>
      <c r="C55" t="inlineStr">
        <is>
          <t>Bluestone Memorial Hospital</t>
        </is>
      </c>
      <c r="D55" t="inlineStr">
        <is>
          <t>PT10465</t>
        </is>
      </c>
      <c r="E55" t="inlineStr">
        <is>
          <t>WBC</t>
        </is>
      </c>
      <c r="F55" t="inlineStr">
        <is>
          <t>White Blood Cell Count</t>
        </is>
      </c>
      <c r="G55" t="n">
        <v>19.8</v>
      </c>
      <c r="H55" t="inlineStr">
        <is>
          <t>K/uL</t>
        </is>
      </c>
      <c r="I55" t="n">
        <v>4.5</v>
      </c>
      <c r="J55" t="n">
        <v>11</v>
      </c>
      <c r="K55" t="inlineStr">
        <is>
          <t>H</t>
        </is>
      </c>
      <c r="L55" t="n">
        <v>51</v>
      </c>
    </row>
    <row r="56">
      <c r="A56" t="inlineStr">
        <is>
          <t>LAB740549</t>
        </is>
      </c>
      <c r="B56" s="30" t="n">
        <v>45866.56111111111</v>
      </c>
      <c r="C56" t="inlineStr">
        <is>
          <t>Bluestone Memorial Hospital</t>
        </is>
      </c>
      <c r="D56" t="inlineStr">
        <is>
          <t>PT10465</t>
        </is>
      </c>
      <c r="E56" t="inlineStr">
        <is>
          <t>CREAT</t>
        </is>
      </c>
      <c r="F56" t="inlineStr">
        <is>
          <t>Creatinine</t>
        </is>
      </c>
      <c r="G56" t="n">
        <v>1.18</v>
      </c>
      <c r="H56" t="inlineStr">
        <is>
          <t>mg/dL</t>
        </is>
      </c>
      <c r="I56" t="n">
        <v>0.6</v>
      </c>
      <c r="J56" t="n">
        <v>1.3</v>
      </c>
      <c r="K56" t="inlineStr">
        <is>
          <t>N</t>
        </is>
      </c>
      <c r="L56" t="n">
        <v>45</v>
      </c>
    </row>
    <row r="57">
      <c r="A57" t="inlineStr">
        <is>
          <t>LAB740552</t>
        </is>
      </c>
      <c r="B57" s="30" t="n">
        <v>45866.57083333333</v>
      </c>
      <c r="C57" t="inlineStr">
        <is>
          <t>Bluestone Memorial Hospital</t>
        </is>
      </c>
      <c r="D57" t="inlineStr">
        <is>
          <t>PT10465</t>
        </is>
      </c>
      <c r="E57" t="inlineStr">
        <is>
          <t>LACT</t>
        </is>
      </c>
      <c r="F57" t="inlineStr">
        <is>
          <t>Lactate</t>
        </is>
      </c>
      <c r="G57" t="n">
        <v>2.7</v>
      </c>
      <c r="H57" t="inlineStr">
        <is>
          <t>mmol/L</t>
        </is>
      </c>
      <c r="I57" t="n">
        <v>0.5</v>
      </c>
      <c r="J57" t="n">
        <v>2</v>
      </c>
      <c r="K57" t="inlineStr">
        <is>
          <t>H</t>
        </is>
      </c>
      <c r="L57" t="n">
        <v>35</v>
      </c>
    </row>
    <row r="58">
      <c r="A58" t="inlineStr">
        <is>
          <t>LAB740690</t>
        </is>
      </c>
      <c r="B58" s="30" t="n">
        <v>45867.72361111111</v>
      </c>
      <c r="C58" t="inlineStr">
        <is>
          <t>Cedar Ridge Medical Center</t>
        </is>
      </c>
      <c r="D58" t="inlineStr">
        <is>
          <t>PT10667</t>
        </is>
      </c>
      <c r="E58" t="inlineStr">
        <is>
          <t>LACT</t>
        </is>
      </c>
      <c r="F58" t="inlineStr">
        <is>
          <t>Lactate</t>
        </is>
      </c>
      <c r="G58" t="n">
        <v>3.3</v>
      </c>
      <c r="H58" t="inlineStr">
        <is>
          <t>mmol/L</t>
        </is>
      </c>
      <c r="I58" t="n">
        <v>0.5</v>
      </c>
      <c r="J58" t="n">
        <v>2</v>
      </c>
      <c r="K58" t="inlineStr">
        <is>
          <t>H</t>
        </is>
      </c>
      <c r="L58" t="n">
        <v>40</v>
      </c>
    </row>
    <row r="59">
      <c r="A59" t="inlineStr">
        <is>
          <t>LAB740688</t>
        </is>
      </c>
      <c r="B59" s="30" t="n">
        <v>45867.72847222222</v>
      </c>
      <c r="C59" t="inlineStr">
        <is>
          <t>Cedar Ridge Medical Center</t>
        </is>
      </c>
      <c r="D59" t="inlineStr">
        <is>
          <t>PT10667</t>
        </is>
      </c>
      <c r="E59" t="inlineStr">
        <is>
          <t>BUN</t>
        </is>
      </c>
      <c r="F59" t="inlineStr">
        <is>
          <t>Blood Urea Nitrogen</t>
        </is>
      </c>
      <c r="G59" t="n">
        <v>15</v>
      </c>
      <c r="H59" t="inlineStr">
        <is>
          <t>mg/dL</t>
        </is>
      </c>
      <c r="I59" t="n">
        <v>7</v>
      </c>
      <c r="J59" t="n">
        <v>20</v>
      </c>
      <c r="K59" t="inlineStr">
        <is>
          <t>N</t>
        </is>
      </c>
      <c r="L59" t="n">
        <v>27</v>
      </c>
    </row>
    <row r="60">
      <c r="A60" t="inlineStr">
        <is>
          <t>LAB740685</t>
        </is>
      </c>
      <c r="B60" s="30" t="n">
        <v>45867.73125</v>
      </c>
      <c r="C60" t="inlineStr">
        <is>
          <t>Cedar Ridge Medical Center</t>
        </is>
      </c>
      <c r="D60" t="inlineStr">
        <is>
          <t>PT10667</t>
        </is>
      </c>
      <c r="E60" t="inlineStr">
        <is>
          <t>CREAT</t>
        </is>
      </c>
      <c r="F60" t="inlineStr">
        <is>
          <t>Creatinine</t>
        </is>
      </c>
      <c r="G60" t="n">
        <v>2.44</v>
      </c>
      <c r="H60" t="inlineStr">
        <is>
          <t>mg/dL</t>
        </is>
      </c>
      <c r="I60" t="n">
        <v>0.6</v>
      </c>
      <c r="J60" t="n">
        <v>1.3</v>
      </c>
      <c r="K60" t="inlineStr">
        <is>
          <t>H</t>
        </is>
      </c>
      <c r="L60" t="n">
        <v>38</v>
      </c>
    </row>
    <row r="61">
      <c r="A61" t="inlineStr">
        <is>
          <t>LAB740686</t>
        </is>
      </c>
      <c r="B61" s="30" t="n">
        <v>45867.75625</v>
      </c>
      <c r="C61" t="inlineStr">
        <is>
          <t>Cedar Ridge Medical Center</t>
        </is>
      </c>
      <c r="D61" t="inlineStr">
        <is>
          <t>PT10667</t>
        </is>
      </c>
      <c r="E61" t="inlineStr">
        <is>
          <t>WBC</t>
        </is>
      </c>
      <c r="F61" t="inlineStr">
        <is>
          <t>White Blood Cell Count</t>
        </is>
      </c>
      <c r="G61" t="n">
        <v>19.1</v>
      </c>
      <c r="H61" t="inlineStr">
        <is>
          <t>K/uL</t>
        </is>
      </c>
      <c r="I61" t="n">
        <v>4.5</v>
      </c>
      <c r="J61" t="n">
        <v>11</v>
      </c>
      <c r="K61" t="inlineStr">
        <is>
          <t>H</t>
        </is>
      </c>
      <c r="L61" t="n">
        <v>113</v>
      </c>
    </row>
    <row r="62">
      <c r="A62" t="inlineStr">
        <is>
          <t>LAB741284</t>
        </is>
      </c>
      <c r="B62" s="30" t="n">
        <v>45877.67569444444</v>
      </c>
      <c r="C62" t="inlineStr">
        <is>
          <t>Bluestone Memorial Hospital</t>
        </is>
      </c>
      <c r="D62" t="inlineStr">
        <is>
          <t>PT13673</t>
        </is>
      </c>
      <c r="E62" t="inlineStr">
        <is>
          <t>WBC</t>
        </is>
      </c>
      <c r="F62" t="inlineStr">
        <is>
          <t>White Blood Cell Count</t>
        </is>
      </c>
      <c r="G62" t="n">
        <v>26.9</v>
      </c>
      <c r="H62" t="inlineStr">
        <is>
          <t>K/uL</t>
        </is>
      </c>
      <c r="I62" t="n">
        <v>4.5</v>
      </c>
      <c r="J62" t="n">
        <v>11</v>
      </c>
      <c r="K62" t="inlineStr">
        <is>
          <t>H</t>
        </is>
      </c>
      <c r="L62" t="n">
        <v>25</v>
      </c>
    </row>
    <row r="63">
      <c r="A63" t="inlineStr">
        <is>
          <t>LAB741282</t>
        </is>
      </c>
      <c r="B63" s="30" t="n">
        <v>45877.69097222222</v>
      </c>
      <c r="C63" t="inlineStr">
        <is>
          <t>Bluestone Memorial Hospital</t>
        </is>
      </c>
      <c r="D63" t="inlineStr">
        <is>
          <t>PT13673</t>
        </is>
      </c>
      <c r="E63" t="inlineStr">
        <is>
          <t>GLU</t>
        </is>
      </c>
      <c r="F63" t="inlineStr">
        <is>
          <t>Glucose</t>
        </is>
      </c>
      <c r="G63" t="n">
        <v>188</v>
      </c>
      <c r="H63" t="inlineStr">
        <is>
          <t>mg/dL</t>
        </is>
      </c>
      <c r="I63" t="n">
        <v>70</v>
      </c>
      <c r="J63" t="n">
        <v>99</v>
      </c>
      <c r="K63" t="inlineStr">
        <is>
          <t>H</t>
        </is>
      </c>
      <c r="L63" t="n">
        <v>28</v>
      </c>
    </row>
    <row r="64">
      <c r="A64" t="inlineStr">
        <is>
          <t>LAB741286</t>
        </is>
      </c>
      <c r="B64" s="30" t="n">
        <v>45877.70347222222</v>
      </c>
      <c r="C64" t="inlineStr">
        <is>
          <t>Bluestone Memorial Hospital</t>
        </is>
      </c>
      <c r="D64" t="inlineStr">
        <is>
          <t>PT13673</t>
        </is>
      </c>
      <c r="E64" t="inlineStr">
        <is>
          <t>LACT</t>
        </is>
      </c>
      <c r="F64" t="inlineStr">
        <is>
          <t>Lactate</t>
        </is>
      </c>
      <c r="G64" t="n">
        <v>4</v>
      </c>
      <c r="H64" t="inlineStr">
        <is>
          <t>mmol/L</t>
        </is>
      </c>
      <c r="I64" t="n">
        <v>0.5</v>
      </c>
      <c r="J64" t="n">
        <v>2</v>
      </c>
      <c r="K64" t="inlineStr">
        <is>
          <t>H</t>
        </is>
      </c>
      <c r="L64" t="n">
        <v>33</v>
      </c>
    </row>
    <row r="65">
      <c r="A65" t="inlineStr">
        <is>
          <t>LAB741285</t>
        </is>
      </c>
      <c r="B65" s="30" t="n">
        <v>45877.70763888889</v>
      </c>
      <c r="C65" t="inlineStr">
        <is>
          <t>Bluestone Memorial Hospital</t>
        </is>
      </c>
      <c r="D65" t="inlineStr">
        <is>
          <t>PT13673</t>
        </is>
      </c>
      <c r="E65" t="inlineStr">
        <is>
          <t>HGB</t>
        </is>
      </c>
      <c r="F65" t="inlineStr">
        <is>
          <t>Hemoglobin</t>
        </is>
      </c>
      <c r="G65" t="n">
        <v>9.199999999999999</v>
      </c>
      <c r="H65" t="inlineStr">
        <is>
          <t>g/dL</t>
        </is>
      </c>
      <c r="I65" t="n">
        <v>12</v>
      </c>
      <c r="J65" t="n">
        <v>17.5</v>
      </c>
      <c r="K65" t="inlineStr">
        <is>
          <t>L</t>
        </is>
      </c>
      <c r="L65" t="n">
        <v>59</v>
      </c>
    </row>
    <row r="66">
      <c r="A66" t="inlineStr">
        <is>
          <t>LAB741283</t>
        </is>
      </c>
      <c r="B66" s="30" t="n">
        <v>45877.71388888889</v>
      </c>
      <c r="C66" t="inlineStr">
        <is>
          <t>Bluestone Memorial Hospital</t>
        </is>
      </c>
      <c r="D66" t="inlineStr">
        <is>
          <t>PT13673</t>
        </is>
      </c>
      <c r="E66" t="inlineStr">
        <is>
          <t>CREAT</t>
        </is>
      </c>
      <c r="F66" t="inlineStr">
        <is>
          <t>Creatinine</t>
        </is>
      </c>
      <c r="G66" t="n">
        <v>1.57</v>
      </c>
      <c r="H66" t="inlineStr">
        <is>
          <t>mg/dL</t>
        </is>
      </c>
      <c r="I66" t="n">
        <v>0.6</v>
      </c>
      <c r="J66" t="n">
        <v>1.3</v>
      </c>
      <c r="K66" t="inlineStr">
        <is>
          <t>H</t>
        </is>
      </c>
      <c r="L66" t="n">
        <v>48</v>
      </c>
    </row>
    <row r="67">
      <c r="A67" t="inlineStr">
        <is>
          <t>LAB741400</t>
        </is>
      </c>
      <c r="B67" s="30" t="n">
        <v>45879.99791666667</v>
      </c>
      <c r="C67" t="inlineStr">
        <is>
          <t>Cedar Ridge Medical Center</t>
        </is>
      </c>
      <c r="D67" t="inlineStr">
        <is>
          <t>PT12449</t>
        </is>
      </c>
      <c r="E67" t="inlineStr">
        <is>
          <t>HGB</t>
        </is>
      </c>
      <c r="F67" t="inlineStr">
        <is>
          <t>Hemoglobin</t>
        </is>
      </c>
      <c r="G67" t="n">
        <v>14.6</v>
      </c>
      <c r="H67" t="inlineStr">
        <is>
          <t>g/dL</t>
        </is>
      </c>
      <c r="I67" t="n">
        <v>12</v>
      </c>
      <c r="J67" t="n">
        <v>17.5</v>
      </c>
      <c r="K67" t="inlineStr">
        <is>
          <t>N</t>
        </is>
      </c>
      <c r="L67" t="n">
        <v>23</v>
      </c>
    </row>
    <row r="68">
      <c r="A68" t="inlineStr">
        <is>
          <t>LAB741399</t>
        </is>
      </c>
      <c r="B68" s="30" t="n">
        <v>45880.00138888889</v>
      </c>
      <c r="C68" t="inlineStr">
        <is>
          <t>Cedar Ridge Medical Center</t>
        </is>
      </c>
      <c r="D68" t="inlineStr">
        <is>
          <t>PT12449</t>
        </is>
      </c>
      <c r="E68" t="inlineStr">
        <is>
          <t>WBC</t>
        </is>
      </c>
      <c r="F68" t="inlineStr">
        <is>
          <t>White Blood Cell Count</t>
        </is>
      </c>
      <c r="G68" t="n">
        <v>23.9</v>
      </c>
      <c r="H68" t="inlineStr">
        <is>
          <t>K/uL</t>
        </is>
      </c>
      <c r="I68" t="n">
        <v>4.5</v>
      </c>
      <c r="J68" t="n">
        <v>11</v>
      </c>
      <c r="K68" t="inlineStr">
        <is>
          <t>H</t>
        </is>
      </c>
      <c r="L68" t="n">
        <v>71</v>
      </c>
    </row>
    <row r="69">
      <c r="A69" t="inlineStr">
        <is>
          <t>LAB741401</t>
        </is>
      </c>
      <c r="B69" s="30" t="n">
        <v>45880.04583333333</v>
      </c>
      <c r="C69" t="inlineStr">
        <is>
          <t>Cedar Ridge Medical Center</t>
        </is>
      </c>
      <c r="D69" t="inlineStr">
        <is>
          <t>PT12449</t>
        </is>
      </c>
      <c r="E69" t="inlineStr">
        <is>
          <t>LACT</t>
        </is>
      </c>
      <c r="F69" t="inlineStr">
        <is>
          <t>Lactate</t>
        </is>
      </c>
      <c r="G69" t="n">
        <v>4.6</v>
      </c>
      <c r="H69" t="inlineStr">
        <is>
          <t>mmol/L</t>
        </is>
      </c>
      <c r="I69" t="n">
        <v>0.5</v>
      </c>
      <c r="J69" t="n">
        <v>2</v>
      </c>
      <c r="K69" t="inlineStr">
        <is>
          <t>HH</t>
        </is>
      </c>
      <c r="L69" t="n">
        <v>35</v>
      </c>
    </row>
    <row r="70">
      <c r="A70" t="inlineStr">
        <is>
          <t>LAB741397</t>
        </is>
      </c>
      <c r="B70" s="30" t="n">
        <v>45880.04722222222</v>
      </c>
      <c r="C70" t="inlineStr">
        <is>
          <t>Cedar Ridge Medical Center</t>
        </is>
      </c>
      <c r="D70" t="inlineStr">
        <is>
          <t>PT12449</t>
        </is>
      </c>
      <c r="E70" t="inlineStr">
        <is>
          <t>GLU</t>
        </is>
      </c>
      <c r="F70" t="inlineStr">
        <is>
          <t>Glucose</t>
        </is>
      </c>
      <c r="G70" t="n">
        <v>95</v>
      </c>
      <c r="H70" t="inlineStr">
        <is>
          <t>mg/dL</t>
        </is>
      </c>
      <c r="I70" t="n">
        <v>70</v>
      </c>
      <c r="J70" t="n">
        <v>99</v>
      </c>
      <c r="K70" t="inlineStr">
        <is>
          <t>N</t>
        </is>
      </c>
      <c r="L70" t="n">
        <v>59</v>
      </c>
    </row>
    <row r="71">
      <c r="A71" t="inlineStr">
        <is>
          <t>LAB741676</t>
        </is>
      </c>
      <c r="B71" s="30" t="n">
        <v>45883.42708333334</v>
      </c>
      <c r="C71" t="inlineStr">
        <is>
          <t>Bluestone Memorial Hospital</t>
        </is>
      </c>
      <c r="D71" t="inlineStr">
        <is>
          <t>PT11370</t>
        </is>
      </c>
      <c r="E71" t="inlineStr">
        <is>
          <t>LACT</t>
        </is>
      </c>
      <c r="F71" t="inlineStr">
        <is>
          <t>Lactate</t>
        </is>
      </c>
      <c r="G71" t="n">
        <v>1.9</v>
      </c>
      <c r="H71" t="inlineStr">
        <is>
          <t>mmol/L</t>
        </is>
      </c>
      <c r="I71" t="n">
        <v>0.5</v>
      </c>
      <c r="J71" t="n">
        <v>2</v>
      </c>
      <c r="K71" t="inlineStr">
        <is>
          <t>N</t>
        </is>
      </c>
      <c r="L71" t="n">
        <v>33</v>
      </c>
    </row>
    <row r="72">
      <c r="A72" t="inlineStr">
        <is>
          <t>LAB741672</t>
        </is>
      </c>
      <c r="B72" s="30" t="n">
        <v>45883.44097222222</v>
      </c>
      <c r="C72" t="inlineStr">
        <is>
          <t>Bluestone Memorial Hospital</t>
        </is>
      </c>
      <c r="D72" t="inlineStr">
        <is>
          <t>PT11370</t>
        </is>
      </c>
      <c r="E72" t="inlineStr">
        <is>
          <t>GLU</t>
        </is>
      </c>
      <c r="F72" t="inlineStr">
        <is>
          <t>Glucose</t>
        </is>
      </c>
      <c r="G72" t="n">
        <v>130</v>
      </c>
      <c r="H72" t="inlineStr">
        <is>
          <t>mg/dL</t>
        </is>
      </c>
      <c r="I72" t="n">
        <v>70</v>
      </c>
      <c r="J72" t="n">
        <v>99</v>
      </c>
      <c r="K72" t="inlineStr">
        <is>
          <t>H</t>
        </is>
      </c>
      <c r="L72" t="n">
        <v>89</v>
      </c>
    </row>
    <row r="73">
      <c r="A73" t="inlineStr">
        <is>
          <t>LAB741673</t>
        </is>
      </c>
      <c r="B73" s="30" t="n">
        <v>45883.44930555556</v>
      </c>
      <c r="C73" t="inlineStr">
        <is>
          <t>Bluestone Memorial Hospital</t>
        </is>
      </c>
      <c r="D73" t="inlineStr">
        <is>
          <t>PT11370</t>
        </is>
      </c>
      <c r="E73" t="inlineStr">
        <is>
          <t>CREAT</t>
        </is>
      </c>
      <c r="F73" t="inlineStr">
        <is>
          <t>Creatinine</t>
        </is>
      </c>
      <c r="G73" t="n">
        <v>0.6</v>
      </c>
      <c r="H73" t="inlineStr">
        <is>
          <t>mg/dL</t>
        </is>
      </c>
      <c r="I73" t="n">
        <v>0.6</v>
      </c>
      <c r="J73" t="n">
        <v>1.3</v>
      </c>
      <c r="K73" t="inlineStr">
        <is>
          <t>N</t>
        </is>
      </c>
      <c r="L73" t="n">
        <v>88</v>
      </c>
    </row>
    <row r="74">
      <c r="A74" t="inlineStr">
        <is>
          <t>LAB741674</t>
        </is>
      </c>
      <c r="B74" s="30" t="n">
        <v>45883.47222222222</v>
      </c>
      <c r="C74" t="inlineStr">
        <is>
          <t>Bluestone Memorial Hospital</t>
        </is>
      </c>
      <c r="D74" t="inlineStr">
        <is>
          <t>PT11370</t>
        </is>
      </c>
      <c r="E74" t="inlineStr">
        <is>
          <t>WBC</t>
        </is>
      </c>
      <c r="F74" t="inlineStr">
        <is>
          <t>White Blood Cell Count</t>
        </is>
      </c>
      <c r="G74" t="n">
        <v>2.2</v>
      </c>
      <c r="H74" t="inlineStr">
        <is>
          <t>K/uL</t>
        </is>
      </c>
      <c r="I74" t="n">
        <v>4.5</v>
      </c>
      <c r="J74" t="n">
        <v>11</v>
      </c>
      <c r="K74" t="inlineStr">
        <is>
          <t>L</t>
        </is>
      </c>
      <c r="L74" t="n">
        <v>49</v>
      </c>
    </row>
    <row r="75">
      <c r="A75" t="inlineStr">
        <is>
          <t>LAB741756</t>
        </is>
      </c>
      <c r="B75" s="30" t="n">
        <v>45884.35</v>
      </c>
      <c r="C75" t="inlineStr">
        <is>
          <t>Bluestone Memorial Hospital</t>
        </is>
      </c>
      <c r="D75" t="inlineStr">
        <is>
          <t>PT13938</t>
        </is>
      </c>
      <c r="E75" t="inlineStr">
        <is>
          <t>CREAT</t>
        </is>
      </c>
      <c r="F75" t="inlineStr">
        <is>
          <t>Creatinine</t>
        </is>
      </c>
      <c r="G75" t="n">
        <v>0.86</v>
      </c>
      <c r="H75" t="inlineStr">
        <is>
          <t>mg/dL</t>
        </is>
      </c>
      <c r="I75" t="n">
        <v>0.6</v>
      </c>
      <c r="J75" t="n">
        <v>1.3</v>
      </c>
      <c r="K75" t="inlineStr">
        <is>
          <t>N</t>
        </is>
      </c>
      <c r="L75" t="n">
        <v>57</v>
      </c>
    </row>
    <row r="76">
      <c r="A76" t="inlineStr">
        <is>
          <t>LAB741757</t>
        </is>
      </c>
      <c r="B76" s="30" t="n">
        <v>45884.36319444444</v>
      </c>
      <c r="C76" t="inlineStr">
        <is>
          <t>Bluestone Memorial Hospital</t>
        </is>
      </c>
      <c r="D76" t="inlineStr">
        <is>
          <t>PT13938</t>
        </is>
      </c>
      <c r="E76" t="inlineStr">
        <is>
          <t>WBC</t>
        </is>
      </c>
      <c r="F76" t="inlineStr">
        <is>
          <t>White Blood Cell Count</t>
        </is>
      </c>
      <c r="G76" t="n">
        <v>8.5</v>
      </c>
      <c r="H76" t="inlineStr">
        <is>
          <t>K/uL</t>
        </is>
      </c>
      <c r="I76" t="n">
        <v>4.5</v>
      </c>
      <c r="J76" t="n">
        <v>11</v>
      </c>
      <c r="K76" t="inlineStr">
        <is>
          <t>N</t>
        </is>
      </c>
      <c r="L76" t="n">
        <v>16</v>
      </c>
    </row>
    <row r="77">
      <c r="A77" t="inlineStr">
        <is>
          <t>LAB741759</t>
        </is>
      </c>
      <c r="B77" s="30" t="n">
        <v>45884.36736111111</v>
      </c>
      <c r="C77" t="inlineStr">
        <is>
          <t>Bluestone Memorial Hospital</t>
        </is>
      </c>
      <c r="D77" t="inlineStr">
        <is>
          <t>PT13938</t>
        </is>
      </c>
      <c r="E77" t="inlineStr">
        <is>
          <t>LACT</t>
        </is>
      </c>
      <c r="F77" t="inlineStr">
        <is>
          <t>Lactate</t>
        </is>
      </c>
      <c r="G77" t="n">
        <v>2.9</v>
      </c>
      <c r="H77" t="inlineStr">
        <is>
          <t>mmol/L</t>
        </is>
      </c>
      <c r="I77" t="n">
        <v>0.5</v>
      </c>
      <c r="J77" t="n">
        <v>2</v>
      </c>
      <c r="K77" t="inlineStr">
        <is>
          <t>H</t>
        </is>
      </c>
      <c r="L77" t="n">
        <v>47</v>
      </c>
    </row>
    <row r="78">
      <c r="A78" t="inlineStr">
        <is>
          <t>LAB741755</t>
        </is>
      </c>
      <c r="B78" s="30" t="n">
        <v>45884.39236111111</v>
      </c>
      <c r="C78" t="inlineStr">
        <is>
          <t>Bluestone Memorial Hospital</t>
        </is>
      </c>
      <c r="D78" t="inlineStr">
        <is>
          <t>PT13938</t>
        </is>
      </c>
      <c r="E78" t="inlineStr">
        <is>
          <t>GLU</t>
        </is>
      </c>
      <c r="F78" t="inlineStr">
        <is>
          <t>Glucose</t>
        </is>
      </c>
      <c r="G78" t="n">
        <v>89</v>
      </c>
      <c r="H78" t="inlineStr">
        <is>
          <t>mg/dL</t>
        </is>
      </c>
      <c r="I78" t="n">
        <v>70</v>
      </c>
      <c r="J78" t="n">
        <v>99</v>
      </c>
      <c r="K78" t="inlineStr">
        <is>
          <t>N</t>
        </is>
      </c>
      <c r="L78" t="n">
        <v>40</v>
      </c>
    </row>
    <row r="79">
      <c r="A79" t="inlineStr">
        <is>
          <t>LAB741801</t>
        </is>
      </c>
      <c r="B79" s="30" t="n">
        <v>45884.91458333333</v>
      </c>
      <c r="C79" t="inlineStr">
        <is>
          <t>Bluestone Memorial Hospital</t>
        </is>
      </c>
      <c r="D79" t="inlineStr">
        <is>
          <t>PT13021</t>
        </is>
      </c>
      <c r="E79" t="inlineStr">
        <is>
          <t>GLU</t>
        </is>
      </c>
      <c r="F79" t="inlineStr">
        <is>
          <t>Glucose</t>
        </is>
      </c>
      <c r="G79" t="n">
        <v>125</v>
      </c>
      <c r="H79" t="inlineStr">
        <is>
          <t>mg/dL</t>
        </is>
      </c>
      <c r="I79" t="n">
        <v>70</v>
      </c>
      <c r="J79" t="n">
        <v>99</v>
      </c>
      <c r="K79" t="inlineStr">
        <is>
          <t>H</t>
        </is>
      </c>
      <c r="L79" t="n">
        <v>43</v>
      </c>
    </row>
    <row r="80">
      <c r="A80" t="inlineStr">
        <is>
          <t>LAB741804</t>
        </is>
      </c>
      <c r="B80" s="30" t="n">
        <v>45884.91805555556</v>
      </c>
      <c r="C80" t="inlineStr">
        <is>
          <t>Bluestone Memorial Hospital</t>
        </is>
      </c>
      <c r="D80" t="inlineStr">
        <is>
          <t>PT13021</t>
        </is>
      </c>
      <c r="E80" t="inlineStr">
        <is>
          <t>HGB</t>
        </is>
      </c>
      <c r="F80" t="inlineStr">
        <is>
          <t>Hemoglobin</t>
        </is>
      </c>
      <c r="G80" t="n">
        <v>15</v>
      </c>
      <c r="H80" t="inlineStr">
        <is>
          <t>g/dL</t>
        </is>
      </c>
      <c r="I80" t="n">
        <v>12</v>
      </c>
      <c r="J80" t="n">
        <v>17.5</v>
      </c>
      <c r="K80" t="inlineStr">
        <is>
          <t>N</t>
        </is>
      </c>
      <c r="L80" t="n">
        <v>40</v>
      </c>
    </row>
    <row r="81">
      <c r="A81" t="inlineStr">
        <is>
          <t>LAB741802</t>
        </is>
      </c>
      <c r="B81" s="30" t="n">
        <v>45884.92638888889</v>
      </c>
      <c r="C81" t="inlineStr">
        <is>
          <t>Bluestone Memorial Hospital</t>
        </is>
      </c>
      <c r="D81" t="inlineStr">
        <is>
          <t>PT13021</t>
        </is>
      </c>
      <c r="E81" t="inlineStr">
        <is>
          <t>CREAT</t>
        </is>
      </c>
      <c r="F81" t="inlineStr">
        <is>
          <t>Creatinine</t>
        </is>
      </c>
      <c r="G81" t="n">
        <v>0.95</v>
      </c>
      <c r="H81" t="inlineStr">
        <is>
          <t>mg/dL</t>
        </is>
      </c>
      <c r="I81" t="n">
        <v>0.6</v>
      </c>
      <c r="J81" t="n">
        <v>1.3</v>
      </c>
      <c r="K81" t="inlineStr">
        <is>
          <t>N</t>
        </is>
      </c>
      <c r="L81" t="n">
        <v>56</v>
      </c>
    </row>
    <row r="82">
      <c r="A82" t="inlineStr">
        <is>
          <t>LAB741805</t>
        </is>
      </c>
      <c r="B82" s="30" t="n">
        <v>45884.94097222222</v>
      </c>
      <c r="C82" t="inlineStr">
        <is>
          <t>Bluestone Memorial Hospital</t>
        </is>
      </c>
      <c r="D82" t="inlineStr">
        <is>
          <t>PT13021</t>
        </is>
      </c>
      <c r="E82" t="inlineStr">
        <is>
          <t>LACT</t>
        </is>
      </c>
      <c r="F82" t="inlineStr">
        <is>
          <t>Lactate</t>
        </is>
      </c>
      <c r="G82" t="n">
        <v>1.7</v>
      </c>
      <c r="H82" t="inlineStr">
        <is>
          <t>mmol/L</t>
        </is>
      </c>
      <c r="I82" t="n">
        <v>0.5</v>
      </c>
      <c r="J82" t="n">
        <v>2</v>
      </c>
      <c r="K82" t="inlineStr">
        <is>
          <t>N</t>
        </is>
      </c>
      <c r="L82" t="n">
        <v>16</v>
      </c>
    </row>
    <row r="83">
      <c r="A83" t="inlineStr">
        <is>
          <t>LAB742053</t>
        </is>
      </c>
      <c r="B83" s="30" t="n">
        <v>45888.99166666667</v>
      </c>
      <c r="C83" t="inlineStr">
        <is>
          <t>Bluestone Memorial Hospital</t>
        </is>
      </c>
      <c r="D83" t="inlineStr">
        <is>
          <t>PT11014</t>
        </is>
      </c>
      <c r="E83" t="inlineStr">
        <is>
          <t>LACT</t>
        </is>
      </c>
      <c r="F83" t="inlineStr">
        <is>
          <t>Lactate</t>
        </is>
      </c>
      <c r="G83" t="n">
        <v>1.3</v>
      </c>
      <c r="H83" t="inlineStr">
        <is>
          <t>mmol/L</t>
        </is>
      </c>
      <c r="I83" t="n">
        <v>0.5</v>
      </c>
      <c r="J83" t="n">
        <v>2</v>
      </c>
      <c r="K83" t="inlineStr">
        <is>
          <t>N</t>
        </is>
      </c>
      <c r="L83" t="n">
        <v>35</v>
      </c>
    </row>
    <row r="84">
      <c r="A84" t="inlineStr">
        <is>
          <t>LAB742049</t>
        </is>
      </c>
      <c r="B84" s="30" t="n">
        <v>45889.00277777778</v>
      </c>
      <c r="C84" t="inlineStr">
        <is>
          <t>Bluestone Memorial Hospital</t>
        </is>
      </c>
      <c r="D84" t="inlineStr">
        <is>
          <t>PT11014</t>
        </is>
      </c>
      <c r="E84" t="inlineStr">
        <is>
          <t>GLU</t>
        </is>
      </c>
      <c r="F84" t="inlineStr">
        <is>
          <t>Glucose</t>
        </is>
      </c>
      <c r="G84" t="n">
        <v>136</v>
      </c>
      <c r="H84" t="inlineStr">
        <is>
          <t>mg/dL</t>
        </is>
      </c>
      <c r="I84" t="n">
        <v>70</v>
      </c>
      <c r="J84" t="n">
        <v>99</v>
      </c>
      <c r="K84" t="inlineStr">
        <is>
          <t>H</t>
        </is>
      </c>
      <c r="L84" t="n">
        <v>64</v>
      </c>
    </row>
    <row r="85">
      <c r="A85" t="inlineStr">
        <is>
          <t>LAB742052</t>
        </is>
      </c>
      <c r="B85" s="30" t="n">
        <v>45889.01805555556</v>
      </c>
      <c r="C85" t="inlineStr">
        <is>
          <t>Bluestone Memorial Hospital</t>
        </is>
      </c>
      <c r="D85" t="inlineStr">
        <is>
          <t>PT11014</t>
        </is>
      </c>
      <c r="E85" t="inlineStr">
        <is>
          <t>HGB</t>
        </is>
      </c>
      <c r="F85" t="inlineStr">
        <is>
          <t>Hemoglobin</t>
        </is>
      </c>
      <c r="G85" t="n">
        <v>12.8</v>
      </c>
      <c r="H85" t="inlineStr">
        <is>
          <t>g/dL</t>
        </is>
      </c>
      <c r="I85" t="n">
        <v>12</v>
      </c>
      <c r="J85" t="n">
        <v>17.5</v>
      </c>
      <c r="K85" t="inlineStr">
        <is>
          <t>N</t>
        </is>
      </c>
      <c r="L85" t="n">
        <v>38</v>
      </c>
    </row>
    <row r="86">
      <c r="A86" t="inlineStr">
        <is>
          <t>LAB742051</t>
        </is>
      </c>
      <c r="B86" s="30" t="n">
        <v>45889.02916666667</v>
      </c>
      <c r="C86" t="inlineStr">
        <is>
          <t>Bluestone Memorial Hospital</t>
        </is>
      </c>
      <c r="D86" t="inlineStr">
        <is>
          <t>PT11014</t>
        </is>
      </c>
      <c r="E86" t="inlineStr">
        <is>
          <t>WBC</t>
        </is>
      </c>
      <c r="F86" t="inlineStr">
        <is>
          <t>White Blood Cell Count</t>
        </is>
      </c>
      <c r="G86" t="n">
        <v>22.9</v>
      </c>
      <c r="H86" t="inlineStr">
        <is>
          <t>K/uL</t>
        </is>
      </c>
      <c r="I86" t="n">
        <v>4.5</v>
      </c>
      <c r="J86" t="n">
        <v>11</v>
      </c>
      <c r="K86" t="inlineStr">
        <is>
          <t>H</t>
        </is>
      </c>
      <c r="L86" t="n">
        <v>34</v>
      </c>
    </row>
    <row r="87">
      <c r="A87" t="inlineStr">
        <is>
          <t>LAB742288</t>
        </is>
      </c>
      <c r="B87" s="30" t="n">
        <v>45892.08611111111</v>
      </c>
      <c r="C87" t="inlineStr">
        <is>
          <t>Bluestone Memorial Hospital</t>
        </is>
      </c>
      <c r="D87" t="inlineStr">
        <is>
          <t>PT12247</t>
        </is>
      </c>
      <c r="E87" t="inlineStr">
        <is>
          <t>GLU</t>
        </is>
      </c>
      <c r="F87" t="inlineStr">
        <is>
          <t>Glucose</t>
        </is>
      </c>
      <c r="G87" t="n">
        <v>100</v>
      </c>
      <c r="H87" t="inlineStr">
        <is>
          <t>mg/dL</t>
        </is>
      </c>
      <c r="I87" t="n">
        <v>70</v>
      </c>
      <c r="J87" t="n">
        <v>99</v>
      </c>
      <c r="K87" t="inlineStr">
        <is>
          <t>H</t>
        </is>
      </c>
      <c r="L87" t="n">
        <v>112</v>
      </c>
    </row>
    <row r="88">
      <c r="A88" t="inlineStr">
        <is>
          <t>LAB742292</t>
        </is>
      </c>
      <c r="B88" s="30" t="n">
        <v>45892.10833333333</v>
      </c>
      <c r="C88" t="inlineStr">
        <is>
          <t>Bluestone Memorial Hospital</t>
        </is>
      </c>
      <c r="D88" t="inlineStr">
        <is>
          <t>PT12247</t>
        </is>
      </c>
      <c r="E88" t="inlineStr">
        <is>
          <t>LACT</t>
        </is>
      </c>
      <c r="F88" t="inlineStr">
        <is>
          <t>Lactate</t>
        </is>
      </c>
      <c r="G88" t="n">
        <v>3.5</v>
      </c>
      <c r="H88" t="inlineStr">
        <is>
          <t>mmol/L</t>
        </is>
      </c>
      <c r="I88" t="n">
        <v>0.5</v>
      </c>
      <c r="J88" t="n">
        <v>2</v>
      </c>
      <c r="K88" t="inlineStr">
        <is>
          <t>H</t>
        </is>
      </c>
      <c r="L88" t="n">
        <v>75</v>
      </c>
    </row>
    <row r="89">
      <c r="A89" t="inlineStr">
        <is>
          <t>LAB742289</t>
        </is>
      </c>
      <c r="B89" s="30" t="n">
        <v>45892.11111111111</v>
      </c>
      <c r="C89" t="inlineStr">
        <is>
          <t>Bluestone Memorial Hospital</t>
        </is>
      </c>
      <c r="D89" t="inlineStr">
        <is>
          <t>PT12247</t>
        </is>
      </c>
      <c r="E89" t="inlineStr">
        <is>
          <t>CREAT</t>
        </is>
      </c>
      <c r="F89" t="inlineStr">
        <is>
          <t>Creatinine</t>
        </is>
      </c>
      <c r="G89" t="n">
        <v>1.04</v>
      </c>
      <c r="H89" t="inlineStr">
        <is>
          <t>mg/dL</t>
        </is>
      </c>
      <c r="I89" t="n">
        <v>0.6</v>
      </c>
      <c r="J89" t="n">
        <v>1.3</v>
      </c>
      <c r="K89" t="inlineStr">
        <is>
          <t>N</t>
        </is>
      </c>
      <c r="L89" t="n">
        <v>38</v>
      </c>
    </row>
    <row r="90">
      <c r="A90" t="inlineStr">
        <is>
          <t>LAB742289</t>
        </is>
      </c>
      <c r="B90" s="30" t="n">
        <v>45892.11111111111</v>
      </c>
      <c r="C90" t="inlineStr">
        <is>
          <t>Bluestone Memorial Hospital</t>
        </is>
      </c>
      <c r="D90" t="inlineStr">
        <is>
          <t>PT12247</t>
        </is>
      </c>
      <c r="E90" t="inlineStr">
        <is>
          <t>CREAT</t>
        </is>
      </c>
      <c r="F90" t="inlineStr">
        <is>
          <t>Creatinine</t>
        </is>
      </c>
      <c r="G90" t="n">
        <v>1.04</v>
      </c>
      <c r="H90" t="inlineStr">
        <is>
          <t>mg/dL</t>
        </is>
      </c>
      <c r="I90" t="n">
        <v>0.6</v>
      </c>
      <c r="J90" t="n">
        <v>1.3</v>
      </c>
      <c r="K90" t="inlineStr">
        <is>
          <t>N</t>
        </is>
      </c>
      <c r="L90" t="n">
        <v>38</v>
      </c>
    </row>
    <row r="91">
      <c r="A91" t="inlineStr">
        <is>
          <t>LAB742290</t>
        </is>
      </c>
      <c r="B91" s="30" t="n">
        <v>45892.14166666667</v>
      </c>
      <c r="C91" t="inlineStr">
        <is>
          <t>Bluestone Memorial Hospital</t>
        </is>
      </c>
      <c r="D91" t="inlineStr">
        <is>
          <t>PT12247</t>
        </is>
      </c>
      <c r="E91" t="inlineStr">
        <is>
          <t>WBC</t>
        </is>
      </c>
      <c r="F91" t="inlineStr">
        <is>
          <t>White Blood Cell Count</t>
        </is>
      </c>
      <c r="G91" t="n">
        <v>7.9</v>
      </c>
      <c r="H91" t="inlineStr">
        <is>
          <t>K/uL</t>
        </is>
      </c>
      <c r="I91" t="n">
        <v>4.5</v>
      </c>
      <c r="J91" t="n">
        <v>11</v>
      </c>
      <c r="K91" t="inlineStr">
        <is>
          <t>N</t>
        </is>
      </c>
      <c r="L91" t="n">
        <v>58</v>
      </c>
    </row>
    <row r="92">
      <c r="A92" t="inlineStr">
        <is>
          <t>LAB742377</t>
        </is>
      </c>
      <c r="B92" s="30" t="n">
        <v>45893.84930555556</v>
      </c>
      <c r="C92" t="inlineStr">
        <is>
          <t>Bluestone Memorial Hospital</t>
        </is>
      </c>
      <c r="D92" t="inlineStr">
        <is>
          <t>PT12158</t>
        </is>
      </c>
      <c r="E92" t="inlineStr">
        <is>
          <t>LACT</t>
        </is>
      </c>
      <c r="F92" t="inlineStr">
        <is>
          <t>Lactate</t>
        </is>
      </c>
      <c r="G92" t="n">
        <v>4.3</v>
      </c>
      <c r="H92" t="inlineStr">
        <is>
          <t>mmol/L</t>
        </is>
      </c>
      <c r="I92" t="n">
        <v>0.5</v>
      </c>
      <c r="J92" t="n">
        <v>2</v>
      </c>
      <c r="K92" t="inlineStr">
        <is>
          <t>HH</t>
        </is>
      </c>
      <c r="L92" t="n">
        <v>55</v>
      </c>
    </row>
    <row r="93">
      <c r="A93" t="inlineStr">
        <is>
          <t>LAB742376</t>
        </is>
      </c>
      <c r="B93" s="30" t="n">
        <v>45893.88402777778</v>
      </c>
      <c r="C93" t="inlineStr">
        <is>
          <t>Bluestone Memorial Hospital</t>
        </is>
      </c>
      <c r="D93" t="inlineStr">
        <is>
          <t>PT12158</t>
        </is>
      </c>
      <c r="E93" t="inlineStr">
        <is>
          <t>HGB</t>
        </is>
      </c>
      <c r="F93" t="inlineStr">
        <is>
          <t>Hemoglobin</t>
        </is>
      </c>
      <c r="G93" t="n">
        <v>16.1</v>
      </c>
      <c r="H93" t="inlineStr">
        <is>
          <t>g/dL</t>
        </is>
      </c>
      <c r="I93" t="n">
        <v>12</v>
      </c>
      <c r="J93" t="n">
        <v>17.5</v>
      </c>
      <c r="K93" t="inlineStr">
        <is>
          <t>N</t>
        </is>
      </c>
      <c r="L93" t="n">
        <v>42</v>
      </c>
    </row>
    <row r="94">
      <c r="A94" t="inlineStr">
        <is>
          <t>LAB742375</t>
        </is>
      </c>
      <c r="B94" s="30" t="n">
        <v>45893.89861111111</v>
      </c>
      <c r="C94" t="inlineStr">
        <is>
          <t>Bluestone Memorial Hospital</t>
        </is>
      </c>
      <c r="D94" t="inlineStr">
        <is>
          <t>PT12158</t>
        </is>
      </c>
      <c r="E94" t="inlineStr">
        <is>
          <t>WBC</t>
        </is>
      </c>
      <c r="F94" t="inlineStr">
        <is>
          <t>White Blood Cell Count</t>
        </is>
      </c>
      <c r="G94" t="n">
        <v>5.7</v>
      </c>
      <c r="H94" t="inlineStr">
        <is>
          <t>K/uL</t>
        </is>
      </c>
      <c r="I94" t="n">
        <v>4.5</v>
      </c>
      <c r="J94" t="n">
        <v>11</v>
      </c>
      <c r="K94" t="inlineStr">
        <is>
          <t>N</t>
        </is>
      </c>
      <c r="L94" t="n">
        <v>32</v>
      </c>
    </row>
    <row r="95">
      <c r="A95" t="inlineStr">
        <is>
          <t>LAB742686</t>
        </is>
      </c>
      <c r="B95" s="30" t="n">
        <v>45898.96180555555</v>
      </c>
      <c r="C95" t="inlineStr">
        <is>
          <t>Bluestone Memorial Hospital</t>
        </is>
      </c>
      <c r="D95" t="inlineStr">
        <is>
          <t>PT11404</t>
        </is>
      </c>
      <c r="E95" t="inlineStr">
        <is>
          <t>GLU</t>
        </is>
      </c>
      <c r="F95" t="inlineStr">
        <is>
          <t>Glucose</t>
        </is>
      </c>
      <c r="G95" t="n">
        <v>110</v>
      </c>
      <c r="H95" t="inlineStr">
        <is>
          <t>mg/dL</t>
        </is>
      </c>
      <c r="I95" t="n">
        <v>70</v>
      </c>
      <c r="J95" t="n">
        <v>99</v>
      </c>
      <c r="K95" t="inlineStr">
        <is>
          <t>H</t>
        </is>
      </c>
      <c r="L95" t="n">
        <v>65</v>
      </c>
    </row>
    <row r="96">
      <c r="A96" t="inlineStr">
        <is>
          <t>LAB742687</t>
        </is>
      </c>
      <c r="B96" s="30" t="n">
        <v>45898.96180555555</v>
      </c>
      <c r="C96" t="inlineStr">
        <is>
          <t>Bluestone Memorial Hospital</t>
        </is>
      </c>
      <c r="D96" t="inlineStr">
        <is>
          <t>PT11404</t>
        </is>
      </c>
      <c r="E96" t="inlineStr">
        <is>
          <t>CREAT</t>
        </is>
      </c>
      <c r="F96" t="inlineStr">
        <is>
          <t>Creatinine</t>
        </is>
      </c>
      <c r="G96" t="n">
        <v>0.99</v>
      </c>
      <c r="H96" t="inlineStr">
        <is>
          <t>mg/dL</t>
        </is>
      </c>
      <c r="I96" t="n">
        <v>0.6</v>
      </c>
      <c r="J96" t="n">
        <v>1.3</v>
      </c>
      <c r="K96" t="inlineStr">
        <is>
          <t>N</t>
        </is>
      </c>
      <c r="L96" t="n">
        <v>64</v>
      </c>
    </row>
    <row r="97">
      <c r="A97" t="inlineStr">
        <is>
          <t>LAB742690</t>
        </is>
      </c>
      <c r="B97" s="30" t="n">
        <v>45898.97430555556</v>
      </c>
      <c r="C97" t="inlineStr">
        <is>
          <t>Bluestone Memorial Hospital</t>
        </is>
      </c>
      <c r="D97" t="inlineStr">
        <is>
          <t>PT11404</t>
        </is>
      </c>
      <c r="E97" t="inlineStr">
        <is>
          <t>INR</t>
        </is>
      </c>
      <c r="F97" t="inlineStr">
        <is>
          <t>Prothrombin Time INR</t>
        </is>
      </c>
      <c r="G97" t="n">
        <v>1</v>
      </c>
      <c r="H97" t="inlineStr">
        <is>
          <t>ratio</t>
        </is>
      </c>
      <c r="I97" t="n">
        <v>0.8</v>
      </c>
      <c r="J97" t="n">
        <v>1.2</v>
      </c>
      <c r="K97" t="inlineStr">
        <is>
          <t>N</t>
        </is>
      </c>
      <c r="L97" t="n">
        <v>45</v>
      </c>
    </row>
    <row r="98">
      <c r="A98" t="inlineStr">
        <is>
          <t>LAB742689</t>
        </is>
      </c>
      <c r="B98" s="30" t="n">
        <v>45898.97638888889</v>
      </c>
      <c r="C98" t="inlineStr">
        <is>
          <t>Bluestone Memorial Hospital</t>
        </is>
      </c>
      <c r="D98" t="inlineStr">
        <is>
          <t>PT11404</t>
        </is>
      </c>
      <c r="E98" t="inlineStr">
        <is>
          <t>HGB</t>
        </is>
      </c>
      <c r="F98" t="inlineStr">
        <is>
          <t>Hemoglobin</t>
        </is>
      </c>
      <c r="G98" t="n">
        <v>8.1</v>
      </c>
      <c r="H98" t="inlineStr">
        <is>
          <t>g/dL</t>
        </is>
      </c>
      <c r="I98" t="n">
        <v>12</v>
      </c>
      <c r="J98" t="n">
        <v>17.5</v>
      </c>
      <c r="K98" t="inlineStr">
        <is>
          <t>L</t>
        </is>
      </c>
      <c r="L98" t="n">
        <v>35</v>
      </c>
    </row>
    <row r="99">
      <c r="A99" t="inlineStr">
        <is>
          <t>LAB742688</t>
        </is>
      </c>
      <c r="B99" s="30" t="n">
        <v>45899.01041666666</v>
      </c>
      <c r="C99" t="inlineStr">
        <is>
          <t>Bluestone Memorial Hospital</t>
        </is>
      </c>
      <c r="D99" t="inlineStr">
        <is>
          <t>PT11404</t>
        </is>
      </c>
      <c r="E99" t="inlineStr">
        <is>
          <t>WBC</t>
        </is>
      </c>
      <c r="F99" t="inlineStr">
        <is>
          <t>White Blood Cell Count</t>
        </is>
      </c>
      <c r="G99" t="n">
        <v>3.8</v>
      </c>
      <c r="H99" t="inlineStr">
        <is>
          <t>K/uL</t>
        </is>
      </c>
      <c r="I99" t="n">
        <v>4.5</v>
      </c>
      <c r="J99" t="n">
        <v>11</v>
      </c>
      <c r="K99" t="inlineStr">
        <is>
          <t>L</t>
        </is>
      </c>
      <c r="L99" t="n">
        <v>52</v>
      </c>
    </row>
    <row r="100">
      <c r="A100" t="inlineStr">
        <is>
          <t>LAB742770</t>
        </is>
      </c>
      <c r="B100" s="30" t="n">
        <v>45900.81875</v>
      </c>
      <c r="C100" t="inlineStr">
        <is>
          <t>Cedar Ridge Medical Center</t>
        </is>
      </c>
      <c r="D100" t="inlineStr">
        <is>
          <t>PT10943</t>
        </is>
      </c>
      <c r="E100" t="inlineStr">
        <is>
          <t>WBC</t>
        </is>
      </c>
      <c r="F100" t="inlineStr">
        <is>
          <t>White Blood Cell Count</t>
        </is>
      </c>
      <c r="G100" t="n">
        <v>9.699999999999999</v>
      </c>
      <c r="H100" t="inlineStr">
        <is>
          <t>K/uL</t>
        </is>
      </c>
      <c r="I100" t="n">
        <v>4.5</v>
      </c>
      <c r="J100" t="n">
        <v>11</v>
      </c>
      <c r="K100" t="inlineStr">
        <is>
          <t>N</t>
        </is>
      </c>
      <c r="L100" t="n">
        <v>53</v>
      </c>
    </row>
    <row r="101">
      <c r="A101" t="inlineStr">
        <is>
          <t>LAB742771</t>
        </is>
      </c>
      <c r="B101" s="30" t="n">
        <v>45900.82222222222</v>
      </c>
      <c r="C101" t="inlineStr">
        <is>
          <t>Cedar Ridge Medical Center</t>
        </is>
      </c>
      <c r="D101" t="inlineStr">
        <is>
          <t>PT10943</t>
        </is>
      </c>
      <c r="E101" t="inlineStr">
        <is>
          <t>HGB</t>
        </is>
      </c>
      <c r="F101" t="inlineStr">
        <is>
          <t>Hemoglobin</t>
        </is>
      </c>
      <c r="G101" t="n">
        <v>8.6</v>
      </c>
      <c r="H101" t="inlineStr">
        <is>
          <t>g/dL</t>
        </is>
      </c>
      <c r="I101" t="n">
        <v>12</v>
      </c>
      <c r="J101" t="n">
        <v>17.5</v>
      </c>
      <c r="K101" t="inlineStr">
        <is>
          <t>L</t>
        </is>
      </c>
      <c r="L101" t="n">
        <v>22</v>
      </c>
    </row>
    <row r="102">
      <c r="A102" t="inlineStr">
        <is>
          <t>LAB742769</t>
        </is>
      </c>
      <c r="B102" s="30" t="n">
        <v>45900.83125</v>
      </c>
      <c r="C102" t="inlineStr">
        <is>
          <t>Cedar Ridge Medical Center</t>
        </is>
      </c>
      <c r="D102" t="inlineStr">
        <is>
          <t>PT10943</t>
        </is>
      </c>
      <c r="E102" t="inlineStr">
        <is>
          <t>CREAT</t>
        </is>
      </c>
      <c r="F102" t="inlineStr">
        <is>
          <t>Creatinine</t>
        </is>
      </c>
      <c r="G102" t="n">
        <v>1.24</v>
      </c>
      <c r="H102" t="inlineStr">
        <is>
          <t>mg/dL</t>
        </is>
      </c>
      <c r="I102" t="n">
        <v>0.6</v>
      </c>
      <c r="J102" t="n">
        <v>1.3</v>
      </c>
      <c r="K102" t="inlineStr">
        <is>
          <t>N</t>
        </is>
      </c>
      <c r="L102" t="n">
        <v>85</v>
      </c>
    </row>
    <row r="103">
      <c r="A103" t="inlineStr">
        <is>
          <t>LAB742768</t>
        </is>
      </c>
      <c r="B103" s="30" t="n">
        <v>45900.84652777778</v>
      </c>
      <c r="C103" t="inlineStr">
        <is>
          <t>Cedar Ridge Medical Center</t>
        </is>
      </c>
      <c r="D103" t="inlineStr">
        <is>
          <t>PT10943</t>
        </is>
      </c>
      <c r="E103" t="inlineStr">
        <is>
          <t>GLU</t>
        </is>
      </c>
      <c r="F103" t="inlineStr">
        <is>
          <t>Glucose</t>
        </is>
      </c>
      <c r="G103" t="n">
        <v>209</v>
      </c>
      <c r="H103" t="inlineStr">
        <is>
          <t>mg/dL</t>
        </is>
      </c>
      <c r="I103" t="n">
        <v>70</v>
      </c>
      <c r="J103" t="n">
        <v>99</v>
      </c>
      <c r="K103" t="inlineStr">
        <is>
          <t>H</t>
        </is>
      </c>
      <c r="L103" t="n">
        <v>24</v>
      </c>
    </row>
    <row r="104">
      <c r="A104" t="inlineStr">
        <is>
          <t>LAB742772</t>
        </is>
      </c>
      <c r="B104" s="30" t="n">
        <v>45900.85277777778</v>
      </c>
      <c r="C104" t="inlineStr">
        <is>
          <t>Cedar Ridge Medical Center</t>
        </is>
      </c>
      <c r="D104" t="inlineStr">
        <is>
          <t>PT10943</t>
        </is>
      </c>
      <c r="E104" t="inlineStr">
        <is>
          <t>LACT</t>
        </is>
      </c>
      <c r="F104" t="inlineStr">
        <is>
          <t>Lactate</t>
        </is>
      </c>
      <c r="G104" t="n">
        <v>3.6</v>
      </c>
      <c r="H104" t="inlineStr">
        <is>
          <t>mmol/L</t>
        </is>
      </c>
      <c r="I104" t="n">
        <v>0.5</v>
      </c>
      <c r="J104" t="n">
        <v>2</v>
      </c>
      <c r="K104" t="inlineStr">
        <is>
          <t>H</t>
        </is>
      </c>
      <c r="L104" t="n">
        <v>50</v>
      </c>
    </row>
    <row r="105">
      <c r="A105" t="inlineStr">
        <is>
          <t>LAB742874</t>
        </is>
      </c>
      <c r="B105" s="30" t="n">
        <v>45902.46944444445</v>
      </c>
      <c r="C105" t="inlineStr">
        <is>
          <t>Bluestone Memorial Hospital</t>
        </is>
      </c>
      <c r="D105" t="inlineStr">
        <is>
          <t>PT13581</t>
        </is>
      </c>
      <c r="E105" t="inlineStr">
        <is>
          <t>GLU</t>
        </is>
      </c>
      <c r="F105" t="inlineStr">
        <is>
          <t>Glucose</t>
        </is>
      </c>
      <c r="G105" t="n">
        <v>152</v>
      </c>
      <c r="H105" t="inlineStr">
        <is>
          <t>mg/dL</t>
        </is>
      </c>
      <c r="I105" t="n">
        <v>70</v>
      </c>
      <c r="J105" t="n">
        <v>99</v>
      </c>
      <c r="K105" t="inlineStr">
        <is>
          <t>H</t>
        </is>
      </c>
      <c r="L105" t="n">
        <v>44</v>
      </c>
    </row>
    <row r="106">
      <c r="A106" t="inlineStr">
        <is>
          <t>LAB742876</t>
        </is>
      </c>
      <c r="B106" s="30" t="n">
        <v>45902.47708333333</v>
      </c>
      <c r="C106" t="inlineStr">
        <is>
          <t>Bluestone Memorial Hospital</t>
        </is>
      </c>
      <c r="D106" t="inlineStr">
        <is>
          <t>PT13581</t>
        </is>
      </c>
      <c r="E106" t="inlineStr">
        <is>
          <t>WBC</t>
        </is>
      </c>
      <c r="F106" t="inlineStr">
        <is>
          <t>White Blood Cell Count</t>
        </is>
      </c>
      <c r="G106" t="n">
        <v>8.6</v>
      </c>
      <c r="H106" t="inlineStr">
        <is>
          <t>K/uL</t>
        </is>
      </c>
      <c r="I106" t="n">
        <v>4.5</v>
      </c>
      <c r="J106" t="n">
        <v>11</v>
      </c>
      <c r="K106" t="inlineStr">
        <is>
          <t>N</t>
        </is>
      </c>
      <c r="L106" t="n">
        <v>39</v>
      </c>
    </row>
    <row r="107">
      <c r="A107" t="inlineStr">
        <is>
          <t>LAB742878</t>
        </is>
      </c>
      <c r="B107" s="30" t="n">
        <v>45902.50694444445</v>
      </c>
      <c r="C107" t="inlineStr">
        <is>
          <t>Bluestone Memorial Hospital</t>
        </is>
      </c>
      <c r="D107" t="inlineStr">
        <is>
          <t>PT13581</t>
        </is>
      </c>
      <c r="E107" t="inlineStr">
        <is>
          <t>LACT</t>
        </is>
      </c>
      <c r="F107" t="inlineStr">
        <is>
          <t>Lactate</t>
        </is>
      </c>
      <c r="G107" t="n">
        <v>2.2</v>
      </c>
      <c r="H107" t="inlineStr">
        <is>
          <t>mmol/L</t>
        </is>
      </c>
      <c r="I107" t="n">
        <v>0.5</v>
      </c>
      <c r="J107" t="n">
        <v>2</v>
      </c>
      <c r="K107" t="inlineStr">
        <is>
          <t>H</t>
        </is>
      </c>
      <c r="L107" t="n">
        <v>63</v>
      </c>
    </row>
    <row r="108">
      <c r="A108" t="inlineStr">
        <is>
          <t>LAB743046</t>
        </is>
      </c>
      <c r="B108" s="30" t="n">
        <v>45904.54097222222</v>
      </c>
      <c r="C108" t="inlineStr">
        <is>
          <t>Bluestone Memorial Hospital</t>
        </is>
      </c>
      <c r="D108" t="inlineStr">
        <is>
          <t>PT10295</t>
        </is>
      </c>
      <c r="E108" t="inlineStr">
        <is>
          <t>LACT</t>
        </is>
      </c>
      <c r="F108" t="inlineStr">
        <is>
          <t>Lactate</t>
        </is>
      </c>
      <c r="G108" t="n">
        <v>2.6</v>
      </c>
      <c r="H108" t="inlineStr">
        <is>
          <t>mmol/L</t>
        </is>
      </c>
      <c r="I108" t="n">
        <v>0.5</v>
      </c>
      <c r="J108" t="n">
        <v>2</v>
      </c>
      <c r="K108" t="inlineStr">
        <is>
          <t>H</t>
        </is>
      </c>
      <c r="L108" t="n">
        <v>31</v>
      </c>
    </row>
    <row r="109">
      <c r="A109" t="inlineStr">
        <is>
          <t>LAB743045</t>
        </is>
      </c>
      <c r="B109" s="30" t="n">
        <v>45904.54166666666</v>
      </c>
      <c r="C109" t="inlineStr">
        <is>
          <t>Bluestone Memorial Hospital</t>
        </is>
      </c>
      <c r="D109" t="inlineStr">
        <is>
          <t>PT10295</t>
        </is>
      </c>
      <c r="E109" t="inlineStr">
        <is>
          <t>HGB</t>
        </is>
      </c>
      <c r="F109" t="inlineStr">
        <is>
          <t>Hemoglobin</t>
        </is>
      </c>
      <c r="G109" t="n">
        <v>13.2</v>
      </c>
      <c r="H109" t="inlineStr">
        <is>
          <t>g/dL</t>
        </is>
      </c>
      <c r="I109" t="n">
        <v>12</v>
      </c>
      <c r="J109" t="n">
        <v>17.5</v>
      </c>
      <c r="K109" t="inlineStr">
        <is>
          <t>N</t>
        </is>
      </c>
      <c r="L109" t="n">
        <v>44</v>
      </c>
    </row>
    <row r="110">
      <c r="A110" t="inlineStr">
        <is>
          <t>LAB743044</t>
        </is>
      </c>
      <c r="B110" s="30" t="n">
        <v>45904.56527777778</v>
      </c>
      <c r="C110" t="inlineStr">
        <is>
          <t>Bluestone Memorial Hospital</t>
        </is>
      </c>
      <c r="D110" t="inlineStr">
        <is>
          <t>PT10295</t>
        </is>
      </c>
      <c r="E110" t="inlineStr">
        <is>
          <t>WBC</t>
        </is>
      </c>
      <c r="F110" t="inlineStr">
        <is>
          <t>White Blood Cell Count</t>
        </is>
      </c>
      <c r="G110" t="n">
        <v>8.5</v>
      </c>
      <c r="H110" t="inlineStr">
        <is>
          <t>K/uL</t>
        </is>
      </c>
      <c r="I110" t="n">
        <v>4.5</v>
      </c>
      <c r="J110" t="n">
        <v>11</v>
      </c>
      <c r="K110" t="inlineStr">
        <is>
          <t>N</t>
        </is>
      </c>
      <c r="L110" t="n">
        <v>37</v>
      </c>
    </row>
    <row r="111">
      <c r="A111" t="inlineStr">
        <is>
          <t>LAB743057</t>
        </is>
      </c>
      <c r="B111" s="30" t="n">
        <v>45904.61527777778</v>
      </c>
      <c r="C111" t="inlineStr">
        <is>
          <t>Bluestone Memorial Hospital</t>
        </is>
      </c>
      <c r="D111" t="inlineStr">
        <is>
          <t>PT12081</t>
        </is>
      </c>
      <c r="E111" t="inlineStr">
        <is>
          <t>GLU</t>
        </is>
      </c>
      <c r="F111" t="inlineStr">
        <is>
          <t>Glucose</t>
        </is>
      </c>
      <c r="G111" t="n">
        <v>85</v>
      </c>
      <c r="H111" t="inlineStr">
        <is>
          <t>mg/dL</t>
        </is>
      </c>
      <c r="I111" t="n">
        <v>70</v>
      </c>
      <c r="J111" t="n">
        <v>99</v>
      </c>
      <c r="K111" t="inlineStr">
        <is>
          <t>N</t>
        </is>
      </c>
      <c r="L111" t="n">
        <v>27</v>
      </c>
    </row>
    <row r="112">
      <c r="A112" t="inlineStr">
        <is>
          <t>LAB743058</t>
        </is>
      </c>
      <c r="B112" s="30" t="n">
        <v>45904.63194444445</v>
      </c>
      <c r="C112" t="inlineStr">
        <is>
          <t>Bluestone Memorial Hospital</t>
        </is>
      </c>
      <c r="D112" t="inlineStr">
        <is>
          <t>PT12081</t>
        </is>
      </c>
      <c r="E112" t="inlineStr">
        <is>
          <t>CREAT</t>
        </is>
      </c>
      <c r="F112" t="inlineStr">
        <is>
          <t>Creatinine</t>
        </is>
      </c>
      <c r="G112" t="n">
        <v>1.58</v>
      </c>
      <c r="H112" t="inlineStr">
        <is>
          <t>mg/dL</t>
        </is>
      </c>
      <c r="I112" t="n">
        <v>0.6</v>
      </c>
      <c r="J112" t="n">
        <v>1.3</v>
      </c>
      <c r="K112" t="inlineStr">
        <is>
          <t>H</t>
        </is>
      </c>
      <c r="L112" t="n">
        <v>51</v>
      </c>
    </row>
    <row r="113">
      <c r="A113" t="inlineStr">
        <is>
          <t>LAB743154</t>
        </is>
      </c>
      <c r="B113" s="30" t="n">
        <v>45905.79027777778</v>
      </c>
      <c r="C113" t="inlineStr">
        <is>
          <t>Bluestone Memorial Hospital</t>
        </is>
      </c>
      <c r="D113" t="inlineStr">
        <is>
          <t>PT13994</t>
        </is>
      </c>
      <c r="E113" t="inlineStr">
        <is>
          <t>BUN</t>
        </is>
      </c>
      <c r="F113" t="inlineStr">
        <is>
          <t>Blood Urea Nitrogen</t>
        </is>
      </c>
      <c r="G113" t="n">
        <v>6</v>
      </c>
      <c r="H113" t="inlineStr">
        <is>
          <t>mg/dL</t>
        </is>
      </c>
      <c r="I113" t="n">
        <v>7</v>
      </c>
      <c r="J113" t="n">
        <v>20</v>
      </c>
      <c r="K113" t="inlineStr">
        <is>
          <t>L</t>
        </is>
      </c>
      <c r="L113" t="n">
        <v>67</v>
      </c>
    </row>
    <row r="114">
      <c r="A114" t="inlineStr">
        <is>
          <t>LAB743157</t>
        </is>
      </c>
      <c r="B114" s="30" t="n">
        <v>45905.79513888889</v>
      </c>
      <c r="C114" t="inlineStr">
        <is>
          <t>Bluestone Memorial Hospital</t>
        </is>
      </c>
      <c r="D114" t="inlineStr">
        <is>
          <t>PT13994</t>
        </is>
      </c>
      <c r="E114" t="inlineStr">
        <is>
          <t>INR</t>
        </is>
      </c>
      <c r="F114" t="inlineStr">
        <is>
          <t>Prothrombin Time INR</t>
        </is>
      </c>
      <c r="G114" t="n">
        <v>1</v>
      </c>
      <c r="H114" t="inlineStr">
        <is>
          <t>ratio</t>
        </is>
      </c>
      <c r="I114" t="n">
        <v>0.8</v>
      </c>
      <c r="J114" t="n">
        <v>1.2</v>
      </c>
      <c r="K114" t="inlineStr">
        <is>
          <t>N</t>
        </is>
      </c>
      <c r="L114" t="n">
        <v>58</v>
      </c>
    </row>
    <row r="115">
      <c r="A115" t="inlineStr">
        <is>
          <t>LAB743153</t>
        </is>
      </c>
      <c r="B115" s="30" t="n">
        <v>45905.81944444445</v>
      </c>
      <c r="C115" t="inlineStr">
        <is>
          <t>Bluestone Memorial Hospital</t>
        </is>
      </c>
      <c r="D115" t="inlineStr">
        <is>
          <t>PT13994</t>
        </is>
      </c>
      <c r="E115" t="inlineStr">
        <is>
          <t>HGB</t>
        </is>
      </c>
      <c r="F115" t="inlineStr">
        <is>
          <t>Hemoglobin</t>
        </is>
      </c>
      <c r="G115" t="n">
        <v>6</v>
      </c>
      <c r="H115" t="inlineStr">
        <is>
          <t>g/dL</t>
        </is>
      </c>
      <c r="I115" t="n">
        <v>12</v>
      </c>
      <c r="J115" t="n">
        <v>17.5</v>
      </c>
      <c r="K115" t="inlineStr">
        <is>
          <t>LL</t>
        </is>
      </c>
      <c r="L115" t="n">
        <v>46</v>
      </c>
    </row>
    <row r="116">
      <c r="A116" t="inlineStr">
        <is>
          <t>LAB743151</t>
        </is>
      </c>
      <c r="B116" s="30" t="n">
        <v>45905.82708333333</v>
      </c>
      <c r="C116" t="inlineStr">
        <is>
          <t>Bluestone Memorial Hospital</t>
        </is>
      </c>
      <c r="D116" t="inlineStr">
        <is>
          <t>PT13994</t>
        </is>
      </c>
      <c r="E116" t="inlineStr">
        <is>
          <t>CREAT</t>
        </is>
      </c>
      <c r="F116" t="inlineStr">
        <is>
          <t>Creatinine</t>
        </is>
      </c>
      <c r="G116" t="n">
        <v>0.76</v>
      </c>
      <c r="H116" t="inlineStr">
        <is>
          <t>mg/dL</t>
        </is>
      </c>
      <c r="I116" t="n">
        <v>0.6</v>
      </c>
      <c r="J116" t="n">
        <v>1.3</v>
      </c>
      <c r="K116" t="inlineStr">
        <is>
          <t>N</t>
        </is>
      </c>
      <c r="L116" t="n">
        <v>95</v>
      </c>
    </row>
    <row r="117">
      <c r="A117" t="inlineStr">
        <is>
          <t>LAB743156</t>
        </is>
      </c>
      <c r="B117" s="30" t="n">
        <v>45905.83402777778</v>
      </c>
      <c r="C117" t="inlineStr">
        <is>
          <t>Bluestone Memorial Hospital</t>
        </is>
      </c>
      <c r="D117" t="inlineStr">
        <is>
          <t>PT13994</t>
        </is>
      </c>
      <c r="E117" t="inlineStr">
        <is>
          <t>LACT</t>
        </is>
      </c>
      <c r="F117" t="inlineStr">
        <is>
          <t>Lactate</t>
        </is>
      </c>
      <c r="G117" t="n">
        <v>2.4</v>
      </c>
      <c r="H117" t="inlineStr">
        <is>
          <t>mmol/L</t>
        </is>
      </c>
      <c r="I117" t="n">
        <v>0.5</v>
      </c>
      <c r="J117" t="n">
        <v>2</v>
      </c>
      <c r="K117" t="inlineStr">
        <is>
          <t>H</t>
        </is>
      </c>
      <c r="L117" t="n">
        <v>63</v>
      </c>
    </row>
    <row r="118">
      <c r="A118" t="inlineStr">
        <is>
          <t>LAB743150</t>
        </is>
      </c>
      <c r="B118" s="30" t="n">
        <v>45905.83819444444</v>
      </c>
      <c r="C118" t="inlineStr">
        <is>
          <t>Bluestone Memorial Hospital</t>
        </is>
      </c>
      <c r="D118" t="inlineStr">
        <is>
          <t>PT13994</t>
        </is>
      </c>
      <c r="E118" t="inlineStr">
        <is>
          <t>GLU</t>
        </is>
      </c>
      <c r="F118" t="inlineStr">
        <is>
          <t>Glucose</t>
        </is>
      </c>
      <c r="G118" t="n">
        <v>82</v>
      </c>
      <c r="H118" t="inlineStr">
        <is>
          <t>mg/dL</t>
        </is>
      </c>
      <c r="I118" t="n">
        <v>70</v>
      </c>
      <c r="J118" t="n">
        <v>99</v>
      </c>
      <c r="K118" t="inlineStr">
        <is>
          <t>N</t>
        </is>
      </c>
      <c r="L118" t="n">
        <v>50</v>
      </c>
    </row>
    <row r="119">
      <c r="A119" t="inlineStr">
        <is>
          <t>LAB743211</t>
        </is>
      </c>
      <c r="B119" s="30" t="n">
        <v>45907.04652777778</v>
      </c>
      <c r="C119" t="inlineStr">
        <is>
          <t>Bluestone Memorial Hospital</t>
        </is>
      </c>
      <c r="D119" t="inlineStr">
        <is>
          <t>PT10192</t>
        </is>
      </c>
      <c r="E119" t="inlineStr">
        <is>
          <t>CREAT</t>
        </is>
      </c>
      <c r="F119" t="inlineStr">
        <is>
          <t>Creatinine</t>
        </is>
      </c>
      <c r="G119" t="n">
        <v>0.92</v>
      </c>
      <c r="H119" t="inlineStr">
        <is>
          <t>mg/dL</t>
        </is>
      </c>
      <c r="I119" t="n">
        <v>0.6</v>
      </c>
      <c r="J119" t="n">
        <v>1.3</v>
      </c>
      <c r="K119" t="inlineStr">
        <is>
          <t>N</t>
        </is>
      </c>
      <c r="L119" t="n">
        <v>57</v>
      </c>
    </row>
    <row r="120">
      <c r="A120" t="inlineStr">
        <is>
          <t>LAB743214</t>
        </is>
      </c>
      <c r="B120" s="30" t="n">
        <v>45907.05555555555</v>
      </c>
      <c r="C120" t="inlineStr">
        <is>
          <t>Bluestone Memorial Hospital</t>
        </is>
      </c>
      <c r="D120" t="inlineStr">
        <is>
          <t>PT10192</t>
        </is>
      </c>
      <c r="E120" t="inlineStr">
        <is>
          <t>LACT</t>
        </is>
      </c>
      <c r="F120" t="inlineStr">
        <is>
          <t>Lactate</t>
        </is>
      </c>
      <c r="G120" t="n">
        <v>3.7</v>
      </c>
      <c r="H120" t="inlineStr">
        <is>
          <t>mmol/L</t>
        </is>
      </c>
      <c r="I120" t="n">
        <v>0.5</v>
      </c>
      <c r="J120" t="n">
        <v>2</v>
      </c>
      <c r="K120" t="inlineStr">
        <is>
          <t>H</t>
        </is>
      </c>
      <c r="L120" t="n">
        <v>49</v>
      </c>
    </row>
    <row r="121">
      <c r="A121" t="inlineStr">
        <is>
          <t>LAB743213</t>
        </is>
      </c>
      <c r="B121" s="30" t="n">
        <v>45907.05972222222</v>
      </c>
      <c r="C121" t="inlineStr">
        <is>
          <t>Bluestone Memorial Hospital</t>
        </is>
      </c>
      <c r="D121" t="inlineStr">
        <is>
          <t>PT10192</t>
        </is>
      </c>
      <c r="E121" t="inlineStr">
        <is>
          <t>HGB</t>
        </is>
      </c>
      <c r="F121" t="inlineStr">
        <is>
          <t>Hemoglobin</t>
        </is>
      </c>
      <c r="G121" t="n">
        <v>15.7</v>
      </c>
      <c r="H121" t="inlineStr">
        <is>
          <t>g/dL</t>
        </is>
      </c>
      <c r="I121" t="n">
        <v>12</v>
      </c>
      <c r="J121" t="n">
        <v>17.5</v>
      </c>
      <c r="K121" t="inlineStr">
        <is>
          <t>N</t>
        </is>
      </c>
      <c r="L121" t="n">
        <v>66</v>
      </c>
    </row>
    <row r="122">
      <c r="A122" t="inlineStr">
        <is>
          <t>LAB743271</t>
        </is>
      </c>
      <c r="B122" s="30" t="n">
        <v>45907.98680555556</v>
      </c>
      <c r="C122" t="inlineStr">
        <is>
          <t>Bluestone Memorial Hospital</t>
        </is>
      </c>
      <c r="D122" t="inlineStr">
        <is>
          <t>PT11131</t>
        </is>
      </c>
      <c r="E122" t="inlineStr">
        <is>
          <t>GLU</t>
        </is>
      </c>
      <c r="F122" t="inlineStr">
        <is>
          <t>Glucose</t>
        </is>
      </c>
      <c r="G122" t="n">
        <v>80</v>
      </c>
      <c r="H122" t="inlineStr">
        <is>
          <t>mg/dL</t>
        </is>
      </c>
      <c r="I122" t="n">
        <v>70</v>
      </c>
      <c r="J122" t="n">
        <v>99</v>
      </c>
      <c r="K122" t="inlineStr">
        <is>
          <t>N</t>
        </is>
      </c>
      <c r="L122" t="n">
        <v>62</v>
      </c>
    </row>
    <row r="123">
      <c r="A123" t="inlineStr">
        <is>
          <t>LAB743278</t>
        </is>
      </c>
      <c r="B123" s="30" t="n">
        <v>45907.98680555556</v>
      </c>
      <c r="C123" t="inlineStr">
        <is>
          <t>Bluestone Memorial Hospital</t>
        </is>
      </c>
      <c r="D123" t="inlineStr">
        <is>
          <t>PT11131</t>
        </is>
      </c>
      <c r="E123" t="inlineStr">
        <is>
          <t>INR</t>
        </is>
      </c>
      <c r="F123" t="inlineStr">
        <is>
          <t>Prothrombin Time INR</t>
        </is>
      </c>
      <c r="G123" t="n">
        <v>1</v>
      </c>
      <c r="H123" t="inlineStr">
        <is>
          <t>ratio</t>
        </is>
      </c>
      <c r="I123" t="n">
        <v>0.8</v>
      </c>
      <c r="J123" t="n">
        <v>1.2</v>
      </c>
      <c r="K123" t="inlineStr">
        <is>
          <t>N</t>
        </is>
      </c>
      <c r="L123" t="n">
        <v>44</v>
      </c>
    </row>
    <row r="124">
      <c r="A124" t="inlineStr">
        <is>
          <t>LAB743273</t>
        </is>
      </c>
      <c r="B124" s="30" t="n">
        <v>45907.99027777778</v>
      </c>
      <c r="C124" t="inlineStr">
        <is>
          <t>Bluestone Memorial Hospital</t>
        </is>
      </c>
      <c r="D124" t="inlineStr">
        <is>
          <t>PT11131</t>
        </is>
      </c>
      <c r="E124" t="inlineStr">
        <is>
          <t>WBC</t>
        </is>
      </c>
      <c r="F124" t="inlineStr">
        <is>
          <t>White Blood Cell Count</t>
        </is>
      </c>
      <c r="G124" t="n">
        <v>10.2</v>
      </c>
      <c r="H124" t="inlineStr">
        <is>
          <t>K/uL</t>
        </is>
      </c>
      <c r="I124" t="n">
        <v>4.5</v>
      </c>
      <c r="J124" t="n">
        <v>11</v>
      </c>
      <c r="K124" t="inlineStr">
        <is>
          <t>N</t>
        </is>
      </c>
      <c r="L124" t="n">
        <v>52</v>
      </c>
    </row>
    <row r="125">
      <c r="A125" t="inlineStr">
        <is>
          <t>LAB743276</t>
        </is>
      </c>
      <c r="B125" s="30" t="n">
        <v>45907.99722222222</v>
      </c>
      <c r="C125" t="inlineStr">
        <is>
          <t>Bluestone Memorial Hospital</t>
        </is>
      </c>
      <c r="D125" t="inlineStr">
        <is>
          <t>PT11131</t>
        </is>
      </c>
      <c r="E125" t="inlineStr">
        <is>
          <t>PLT</t>
        </is>
      </c>
      <c r="F125" t="inlineStr">
        <is>
          <t>Platelet Count</t>
        </is>
      </c>
      <c r="G125" t="n">
        <v>252</v>
      </c>
      <c r="H125" t="inlineStr">
        <is>
          <t>K/uL</t>
        </is>
      </c>
      <c r="I125" t="n">
        <v>150</v>
      </c>
      <c r="J125" t="n">
        <v>400</v>
      </c>
      <c r="K125" t="inlineStr">
        <is>
          <t>N</t>
        </is>
      </c>
      <c r="L125" t="n">
        <v>99</v>
      </c>
    </row>
    <row r="126">
      <c r="A126" t="inlineStr">
        <is>
          <t>LAB743277</t>
        </is>
      </c>
      <c r="B126" s="30" t="n">
        <v>45907.99791666667</v>
      </c>
      <c r="C126" t="inlineStr">
        <is>
          <t>Bluestone Memorial Hospital</t>
        </is>
      </c>
      <c r="D126" t="inlineStr">
        <is>
          <t>PT11131</t>
        </is>
      </c>
      <c r="E126" t="inlineStr">
        <is>
          <t>LACT</t>
        </is>
      </c>
      <c r="F126" t="inlineStr">
        <is>
          <t>Lactate</t>
        </is>
      </c>
      <c r="G126" t="n">
        <v>2.3</v>
      </c>
      <c r="H126" t="inlineStr">
        <is>
          <t>mmol/L</t>
        </is>
      </c>
      <c r="I126" t="n">
        <v>0.5</v>
      </c>
      <c r="J126" t="n">
        <v>2</v>
      </c>
      <c r="K126" t="inlineStr">
        <is>
          <t>H</t>
        </is>
      </c>
      <c r="L126" t="n">
        <v>37</v>
      </c>
    </row>
    <row r="127">
      <c r="A127" t="inlineStr">
        <is>
          <t>LAB743275</t>
        </is>
      </c>
      <c r="B127" s="30" t="n">
        <v>45908.00763888889</v>
      </c>
      <c r="C127" t="inlineStr">
        <is>
          <t>Bluestone Memorial Hospital</t>
        </is>
      </c>
      <c r="D127" t="inlineStr">
        <is>
          <t>PT11131</t>
        </is>
      </c>
      <c r="E127" t="inlineStr">
        <is>
          <t>BUN</t>
        </is>
      </c>
      <c r="F127" t="inlineStr">
        <is>
          <t>Blood Urea Nitrogen</t>
        </is>
      </c>
      <c r="G127" t="n">
        <v>17</v>
      </c>
      <c r="H127" t="inlineStr">
        <is>
          <t>mg/dL</t>
        </is>
      </c>
      <c r="I127" t="n">
        <v>7</v>
      </c>
      <c r="J127" t="n">
        <v>20</v>
      </c>
      <c r="K127" t="inlineStr">
        <is>
          <t>N</t>
        </is>
      </c>
      <c r="L127" t="n">
        <v>48</v>
      </c>
    </row>
    <row r="128">
      <c r="A128" t="inlineStr">
        <is>
          <t>LAB743274</t>
        </is>
      </c>
      <c r="B128" s="30" t="n">
        <v>45908.01666666667</v>
      </c>
      <c r="C128" t="inlineStr">
        <is>
          <t>Bluestone Memorial Hospital</t>
        </is>
      </c>
      <c r="D128" t="inlineStr">
        <is>
          <t>PT11131</t>
        </is>
      </c>
      <c r="E128" t="inlineStr">
        <is>
          <t>HGB</t>
        </is>
      </c>
      <c r="F128" t="inlineStr">
        <is>
          <t>Hemoglobin</t>
        </is>
      </c>
      <c r="G128" t="n">
        <v>10.6</v>
      </c>
      <c r="H128" t="inlineStr">
        <is>
          <t>g/dL</t>
        </is>
      </c>
      <c r="I128" t="n">
        <v>12</v>
      </c>
      <c r="J128" t="n">
        <v>17.5</v>
      </c>
      <c r="K128" t="inlineStr">
        <is>
          <t>L</t>
        </is>
      </c>
      <c r="L128" t="n">
        <v>48</v>
      </c>
    </row>
    <row r="129">
      <c r="A129" t="inlineStr">
        <is>
          <t>LAB743359</t>
        </is>
      </c>
      <c r="B129" s="30" t="n">
        <v>45909.35833333333</v>
      </c>
      <c r="C129" t="inlineStr">
        <is>
          <t>Bluestone Memorial Hospital</t>
        </is>
      </c>
      <c r="D129" t="inlineStr">
        <is>
          <t>PT13325</t>
        </is>
      </c>
      <c r="E129" t="inlineStr">
        <is>
          <t>CREAT</t>
        </is>
      </c>
      <c r="F129" t="inlineStr">
        <is>
          <t>Creatinine</t>
        </is>
      </c>
      <c r="G129" t="n">
        <v>1.92</v>
      </c>
      <c r="H129" t="inlineStr">
        <is>
          <t>mg/dL</t>
        </is>
      </c>
      <c r="I129" t="n">
        <v>0.6</v>
      </c>
      <c r="J129" t="n">
        <v>1.3</v>
      </c>
      <c r="K129" t="inlineStr">
        <is>
          <t>H</t>
        </is>
      </c>
      <c r="L129" t="n">
        <v>75</v>
      </c>
    </row>
    <row r="130">
      <c r="A130" t="inlineStr">
        <is>
          <t>LAB743360</t>
        </is>
      </c>
      <c r="B130" s="30" t="n">
        <v>45909.37361111111</v>
      </c>
      <c r="C130" t="inlineStr">
        <is>
          <t>Bluestone Memorial Hospital</t>
        </is>
      </c>
      <c r="D130" t="inlineStr">
        <is>
          <t>PT13325</t>
        </is>
      </c>
      <c r="E130" t="inlineStr">
        <is>
          <t>WBC</t>
        </is>
      </c>
      <c r="F130" t="inlineStr">
        <is>
          <t>White Blood Cell Count</t>
        </is>
      </c>
      <c r="G130" t="n">
        <v>7</v>
      </c>
      <c r="H130" t="inlineStr">
        <is>
          <t>K/uL</t>
        </is>
      </c>
      <c r="I130" t="n">
        <v>4.5</v>
      </c>
      <c r="J130" t="n">
        <v>11</v>
      </c>
      <c r="K130" t="inlineStr">
        <is>
          <t>N</t>
        </is>
      </c>
      <c r="L130" t="n">
        <v>77</v>
      </c>
    </row>
    <row r="131">
      <c r="A131" t="inlineStr">
        <is>
          <t>LAB743361</t>
        </is>
      </c>
      <c r="B131" s="30" t="n">
        <v>45909.37638888889</v>
      </c>
      <c r="C131" t="inlineStr">
        <is>
          <t>Bluestone Memorial Hospital</t>
        </is>
      </c>
      <c r="D131" t="inlineStr">
        <is>
          <t>PT13325</t>
        </is>
      </c>
      <c r="E131" t="inlineStr">
        <is>
          <t>HGB</t>
        </is>
      </c>
      <c r="F131" t="inlineStr">
        <is>
          <t>Hemoglobin</t>
        </is>
      </c>
      <c r="G131" t="n">
        <v>7.4</v>
      </c>
      <c r="H131" t="inlineStr">
        <is>
          <t>g/dL</t>
        </is>
      </c>
      <c r="I131" t="n">
        <v>12</v>
      </c>
      <c r="J131" t="n">
        <v>17.5</v>
      </c>
      <c r="K131" t="inlineStr">
        <is>
          <t>L</t>
        </is>
      </c>
      <c r="L131" t="n">
        <v>57</v>
      </c>
    </row>
    <row r="132">
      <c r="A132" t="inlineStr">
        <is>
          <t>LAB743365</t>
        </is>
      </c>
      <c r="B132" s="30" t="n">
        <v>45909.37708333333</v>
      </c>
      <c r="C132" t="inlineStr">
        <is>
          <t>Bluestone Memorial Hospital</t>
        </is>
      </c>
      <c r="D132" t="inlineStr">
        <is>
          <t>PT13325</t>
        </is>
      </c>
      <c r="E132" t="inlineStr">
        <is>
          <t>INR</t>
        </is>
      </c>
      <c r="F132" t="inlineStr">
        <is>
          <t>Prothrombin Time INR</t>
        </is>
      </c>
      <c r="G132" t="n">
        <v>1.1</v>
      </c>
      <c r="H132" t="inlineStr">
        <is>
          <t>ratio</t>
        </is>
      </c>
      <c r="I132" t="n">
        <v>0.8</v>
      </c>
      <c r="J132" t="n">
        <v>1.2</v>
      </c>
      <c r="K132" t="inlineStr">
        <is>
          <t>N</t>
        </is>
      </c>
      <c r="L132" t="n">
        <v>40</v>
      </c>
    </row>
    <row r="133">
      <c r="A133" t="inlineStr">
        <is>
          <t>LAB743358</t>
        </is>
      </c>
      <c r="B133" s="30" t="n">
        <v>45909.37847222222</v>
      </c>
      <c r="C133" t="inlineStr">
        <is>
          <t>Bluestone Memorial Hospital</t>
        </is>
      </c>
      <c r="D133" t="inlineStr">
        <is>
          <t>PT13325</t>
        </is>
      </c>
      <c r="E133" t="inlineStr">
        <is>
          <t>GLU</t>
        </is>
      </c>
      <c r="F133" t="inlineStr">
        <is>
          <t>Glucose</t>
        </is>
      </c>
      <c r="G133" t="n">
        <v>114</v>
      </c>
      <c r="H133" t="inlineStr">
        <is>
          <t>mg/dL</t>
        </is>
      </c>
      <c r="I133" t="n">
        <v>70</v>
      </c>
      <c r="J133" t="n">
        <v>99</v>
      </c>
      <c r="K133" t="inlineStr">
        <is>
          <t>H</t>
        </is>
      </c>
      <c r="L133" t="n">
        <v>53</v>
      </c>
    </row>
    <row r="134">
      <c r="A134" t="inlineStr">
        <is>
          <t>LAB743363</t>
        </is>
      </c>
      <c r="B134" s="30" t="n">
        <v>45909.39305555556</v>
      </c>
      <c r="C134" t="inlineStr">
        <is>
          <t>Bluestone Memorial Hospital</t>
        </is>
      </c>
      <c r="D134" t="inlineStr">
        <is>
          <t>PT13325</t>
        </is>
      </c>
      <c r="E134" t="inlineStr">
        <is>
          <t>K</t>
        </is>
      </c>
      <c r="F134" t="inlineStr">
        <is>
          <t>Potassium</t>
        </is>
      </c>
      <c r="G134" t="n">
        <v>4.2</v>
      </c>
      <c r="H134" t="inlineStr">
        <is>
          <t>mmol/L</t>
        </is>
      </c>
      <c r="I134" t="n">
        <v>3.5</v>
      </c>
      <c r="J134" t="n">
        <v>5.1</v>
      </c>
      <c r="K134" t="inlineStr">
        <is>
          <t>N</t>
        </is>
      </c>
      <c r="L134" t="n">
        <v>32</v>
      </c>
    </row>
    <row r="135">
      <c r="A135" t="inlineStr">
        <is>
          <t>LAB743362</t>
        </is>
      </c>
      <c r="B135" s="30" t="n">
        <v>45909.39583333334</v>
      </c>
      <c r="C135" t="inlineStr">
        <is>
          <t>Bluestone Memorial Hospital</t>
        </is>
      </c>
      <c r="D135" t="inlineStr">
        <is>
          <t>PT13325</t>
        </is>
      </c>
      <c r="E135" t="inlineStr">
        <is>
          <t>NA</t>
        </is>
      </c>
      <c r="F135" t="inlineStr">
        <is>
          <t>Sodium</t>
        </is>
      </c>
      <c r="G135" t="n">
        <v>145</v>
      </c>
      <c r="H135" t="inlineStr">
        <is>
          <t>mmol/L</t>
        </is>
      </c>
      <c r="I135" t="n">
        <v>136</v>
      </c>
      <c r="J135" t="n">
        <v>145</v>
      </c>
      <c r="K135" t="inlineStr">
        <is>
          <t>N</t>
        </is>
      </c>
      <c r="L135" t="n">
        <v>60</v>
      </c>
    </row>
    <row r="136">
      <c r="A136" t="inlineStr">
        <is>
          <t>LAB743364</t>
        </is>
      </c>
      <c r="B136" s="30" t="n">
        <v>45909.40277777778</v>
      </c>
      <c r="C136" t="inlineStr">
        <is>
          <t>Bluestone Memorial Hospital</t>
        </is>
      </c>
      <c r="D136" t="inlineStr">
        <is>
          <t>PT13325</t>
        </is>
      </c>
      <c r="E136" t="inlineStr">
        <is>
          <t>LACT</t>
        </is>
      </c>
      <c r="F136" t="inlineStr">
        <is>
          <t>Lactate</t>
        </is>
      </c>
      <c r="G136" t="n">
        <v>4.3</v>
      </c>
      <c r="H136" t="inlineStr">
        <is>
          <t>mmol/L</t>
        </is>
      </c>
      <c r="I136" t="n">
        <v>0.5</v>
      </c>
      <c r="J136" t="n">
        <v>2</v>
      </c>
      <c r="K136" t="inlineStr">
        <is>
          <t>HH</t>
        </is>
      </c>
      <c r="L136" t="n">
        <v>31</v>
      </c>
    </row>
    <row r="137">
      <c r="A137" t="inlineStr">
        <is>
          <t>LAB743428</t>
        </is>
      </c>
      <c r="B137" s="30" t="n">
        <v>45909.9625</v>
      </c>
      <c r="C137" t="inlineStr">
        <is>
          <t>Bluestone Memorial Hospital</t>
        </is>
      </c>
      <c r="D137" t="inlineStr">
        <is>
          <t>PT11816</t>
        </is>
      </c>
      <c r="E137" t="inlineStr">
        <is>
          <t>LACT</t>
        </is>
      </c>
      <c r="F137" t="inlineStr">
        <is>
          <t>Lactate</t>
        </is>
      </c>
      <c r="G137" t="n">
        <v>3.9</v>
      </c>
      <c r="H137" t="inlineStr">
        <is>
          <t>mmol/L</t>
        </is>
      </c>
      <c r="I137" t="n">
        <v>0.5</v>
      </c>
      <c r="J137" t="n">
        <v>2</v>
      </c>
      <c r="K137" t="inlineStr">
        <is>
          <t>H</t>
        </is>
      </c>
      <c r="L137" t="n">
        <v>59</v>
      </c>
    </row>
    <row r="138">
      <c r="A138" t="inlineStr">
        <is>
          <t>LAB743425</t>
        </is>
      </c>
      <c r="B138" s="30" t="n">
        <v>45909.96736111111</v>
      </c>
      <c r="C138" t="inlineStr">
        <is>
          <t>Bluestone Memorial Hospital</t>
        </is>
      </c>
      <c r="D138" t="inlineStr">
        <is>
          <t>PT11816</t>
        </is>
      </c>
      <c r="E138" t="inlineStr">
        <is>
          <t>CREAT</t>
        </is>
      </c>
      <c r="F138" t="inlineStr">
        <is>
          <t>Creatinine</t>
        </is>
      </c>
      <c r="G138" t="n">
        <v>2.21</v>
      </c>
      <c r="H138" t="inlineStr">
        <is>
          <t>mg/dL</t>
        </is>
      </c>
      <c r="I138" t="n">
        <v>0.6</v>
      </c>
      <c r="J138" t="n">
        <v>1.3</v>
      </c>
      <c r="K138" t="inlineStr">
        <is>
          <t>H</t>
        </is>
      </c>
      <c r="L138" t="n">
        <v>106</v>
      </c>
    </row>
    <row r="139">
      <c r="A139" t="inlineStr">
        <is>
          <t>LAB743424</t>
        </is>
      </c>
      <c r="B139" s="30" t="n">
        <v>45909.975</v>
      </c>
      <c r="C139" t="inlineStr">
        <is>
          <t>Bluestone Memorial Hospital</t>
        </is>
      </c>
      <c r="D139" t="inlineStr">
        <is>
          <t>PT11816</t>
        </is>
      </c>
      <c r="E139" t="inlineStr">
        <is>
          <t>GLU</t>
        </is>
      </c>
      <c r="F139" t="inlineStr">
        <is>
          <t>Glucose</t>
        </is>
      </c>
      <c r="G139" t="n">
        <v>241</v>
      </c>
      <c r="H139" t="inlineStr">
        <is>
          <t>mg/dL</t>
        </is>
      </c>
      <c r="I139" t="n">
        <v>70</v>
      </c>
      <c r="J139" t="n">
        <v>99</v>
      </c>
      <c r="K139" t="inlineStr">
        <is>
          <t>H</t>
        </is>
      </c>
      <c r="L139" t="n">
        <v>37</v>
      </c>
    </row>
    <row r="140">
      <c r="A140" t="inlineStr">
        <is>
          <t>LAB743427</t>
        </is>
      </c>
      <c r="B140" s="30" t="n">
        <v>45910.00486111111</v>
      </c>
      <c r="C140" t="inlineStr">
        <is>
          <t>Bluestone Memorial Hospital</t>
        </is>
      </c>
      <c r="D140" t="inlineStr">
        <is>
          <t>PT11816</t>
        </is>
      </c>
      <c r="E140" t="inlineStr">
        <is>
          <t>HGB</t>
        </is>
      </c>
      <c r="F140" t="inlineStr">
        <is>
          <t>Hemoglobin</t>
        </is>
      </c>
      <c r="G140" t="n">
        <v>13.1</v>
      </c>
      <c r="H140" t="inlineStr">
        <is>
          <t>g/dL</t>
        </is>
      </c>
      <c r="I140" t="n">
        <v>12</v>
      </c>
      <c r="J140" t="n">
        <v>17.5</v>
      </c>
      <c r="K140" t="inlineStr">
        <is>
          <t>N</t>
        </is>
      </c>
      <c r="L140" t="n">
        <v>25</v>
      </c>
    </row>
    <row r="141">
      <c r="A141" t="inlineStr">
        <is>
          <t>LAB743499</t>
        </is>
      </c>
      <c r="B141" s="30" t="n">
        <v>45911.35972222222</v>
      </c>
      <c r="C141" t="inlineStr">
        <is>
          <t>Bluestone Memorial Hospital</t>
        </is>
      </c>
      <c r="D141" t="inlineStr">
        <is>
          <t>PT10848</t>
        </is>
      </c>
      <c r="E141" t="inlineStr">
        <is>
          <t>CREAT</t>
        </is>
      </c>
      <c r="F141" t="inlineStr">
        <is>
          <t>Creatinine</t>
        </is>
      </c>
      <c r="G141" t="n">
        <v>1.51</v>
      </c>
      <c r="H141" t="inlineStr">
        <is>
          <t>mg/dL</t>
        </is>
      </c>
      <c r="I141" t="n">
        <v>0.6</v>
      </c>
      <c r="J141" t="n">
        <v>1.3</v>
      </c>
      <c r="K141" t="inlineStr">
        <is>
          <t>H</t>
        </is>
      </c>
      <c r="L141" t="n">
        <v>97</v>
      </c>
    </row>
    <row r="142">
      <c r="A142" t="inlineStr">
        <is>
          <t>LAB743502</t>
        </is>
      </c>
      <c r="B142" s="30" t="n">
        <v>45911.37708333333</v>
      </c>
      <c r="C142" t="inlineStr">
        <is>
          <t>Bluestone Memorial Hospital</t>
        </is>
      </c>
      <c r="D142" t="inlineStr">
        <is>
          <t>PT10848</t>
        </is>
      </c>
      <c r="E142" t="inlineStr">
        <is>
          <t>LACT</t>
        </is>
      </c>
      <c r="F142" t="inlineStr">
        <is>
          <t>Lactate</t>
        </is>
      </c>
      <c r="G142" t="n">
        <v>2.1</v>
      </c>
      <c r="H142" t="inlineStr">
        <is>
          <t>mmol/L</t>
        </is>
      </c>
      <c r="I142" t="n">
        <v>0.5</v>
      </c>
      <c r="J142" t="n">
        <v>2</v>
      </c>
      <c r="K142" t="inlineStr">
        <is>
          <t>H</t>
        </is>
      </c>
      <c r="L142" t="n">
        <v>72</v>
      </c>
    </row>
    <row r="143">
      <c r="A143" t="inlineStr">
        <is>
          <t>LAB743501</t>
        </is>
      </c>
      <c r="B143" s="30" t="n">
        <v>45911.37847222222</v>
      </c>
      <c r="C143" t="inlineStr">
        <is>
          <t>Bluestone Memorial Hospital</t>
        </is>
      </c>
      <c r="D143" t="inlineStr">
        <is>
          <t>PT10848</t>
        </is>
      </c>
      <c r="E143" t="inlineStr">
        <is>
          <t>HGB</t>
        </is>
      </c>
      <c r="F143" t="inlineStr">
        <is>
          <t>Hemoglobin</t>
        </is>
      </c>
      <c r="G143" t="n">
        <v>14.8</v>
      </c>
      <c r="H143" t="inlineStr">
        <is>
          <t>g/dL</t>
        </is>
      </c>
      <c r="I143" t="n">
        <v>12</v>
      </c>
      <c r="J143" t="n">
        <v>17.5</v>
      </c>
      <c r="K143" t="inlineStr">
        <is>
          <t>N</t>
        </is>
      </c>
      <c r="L143" t="n">
        <v>52</v>
      </c>
    </row>
    <row r="144">
      <c r="A144" t="inlineStr">
        <is>
          <t>LAB743498</t>
        </is>
      </c>
      <c r="B144" s="30" t="n">
        <v>45911.39097222222</v>
      </c>
      <c r="C144" t="inlineStr">
        <is>
          <t>Bluestone Memorial Hospital</t>
        </is>
      </c>
      <c r="D144" t="inlineStr">
        <is>
          <t>PT10848</t>
        </is>
      </c>
      <c r="E144" t="inlineStr">
        <is>
          <t>GLU</t>
        </is>
      </c>
      <c r="F144" t="inlineStr">
        <is>
          <t>Glucose</t>
        </is>
      </c>
      <c r="G144" t="n">
        <v>130</v>
      </c>
      <c r="H144" t="inlineStr">
        <is>
          <t>mg/dL</t>
        </is>
      </c>
      <c r="I144" t="n">
        <v>70</v>
      </c>
      <c r="J144" t="n">
        <v>99</v>
      </c>
      <c r="K144" t="inlineStr">
        <is>
          <t>H</t>
        </is>
      </c>
      <c r="L144" t="n">
        <v>70</v>
      </c>
    </row>
    <row r="145">
      <c r="A145" t="inlineStr">
        <is>
          <t>LAB744235</t>
        </is>
      </c>
      <c r="B145" s="30" t="n">
        <v>45922.93680555555</v>
      </c>
      <c r="C145" t="inlineStr">
        <is>
          <t>Cedar Ridge Medical Center</t>
        </is>
      </c>
      <c r="D145" t="inlineStr">
        <is>
          <t>PT10966</t>
        </is>
      </c>
      <c r="E145" t="inlineStr">
        <is>
          <t>HGB</t>
        </is>
      </c>
      <c r="F145" t="inlineStr">
        <is>
          <t>Hemoglobin</t>
        </is>
      </c>
      <c r="G145" t="n">
        <v>15.1</v>
      </c>
      <c r="H145" t="inlineStr">
        <is>
          <t>g/dL</t>
        </is>
      </c>
      <c r="I145" t="n">
        <v>12</v>
      </c>
      <c r="J145" t="n">
        <v>17.5</v>
      </c>
      <c r="K145" t="inlineStr">
        <is>
          <t>N</t>
        </is>
      </c>
      <c r="L145" t="n">
        <v>41</v>
      </c>
    </row>
    <row r="146">
      <c r="A146" t="inlineStr">
        <is>
          <t>LAB744235</t>
        </is>
      </c>
      <c r="B146" s="30" t="n">
        <v>45922.93680555555</v>
      </c>
      <c r="C146" t="inlineStr">
        <is>
          <t>Cedar Ridge Medical Center</t>
        </is>
      </c>
      <c r="D146" t="inlineStr">
        <is>
          <t>PT10966</t>
        </is>
      </c>
      <c r="E146" t="inlineStr">
        <is>
          <t>HGB</t>
        </is>
      </c>
      <c r="F146" t="inlineStr">
        <is>
          <t>Hemoglobin</t>
        </is>
      </c>
      <c r="G146" t="n">
        <v>15.1</v>
      </c>
      <c r="H146" t="inlineStr">
        <is>
          <t>g/dL</t>
        </is>
      </c>
      <c r="I146" t="n">
        <v>12</v>
      </c>
      <c r="J146" t="n">
        <v>17.5</v>
      </c>
      <c r="K146" t="inlineStr">
        <is>
          <t>N</t>
        </is>
      </c>
      <c r="L146" t="n">
        <v>41</v>
      </c>
    </row>
    <row r="147">
      <c r="A147" t="inlineStr">
        <is>
          <t>LAB744234</t>
        </is>
      </c>
      <c r="B147" s="30" t="n">
        <v>45922.94305555556</v>
      </c>
      <c r="C147" t="inlineStr">
        <is>
          <t>Cedar Ridge Medical Center</t>
        </is>
      </c>
      <c r="D147" t="inlineStr">
        <is>
          <t>PT10966</t>
        </is>
      </c>
      <c r="E147" t="inlineStr">
        <is>
          <t>WBC</t>
        </is>
      </c>
      <c r="F147" t="inlineStr">
        <is>
          <t>White Blood Cell Count</t>
        </is>
      </c>
      <c r="G147" t="n">
        <v>18.4</v>
      </c>
      <c r="H147" t="inlineStr">
        <is>
          <t>K/uL</t>
        </is>
      </c>
      <c r="I147" t="n">
        <v>4.5</v>
      </c>
      <c r="J147" t="n">
        <v>11</v>
      </c>
      <c r="K147" t="inlineStr">
        <is>
          <t>H</t>
        </is>
      </c>
      <c r="L147" t="n">
        <v>49</v>
      </c>
    </row>
    <row r="148">
      <c r="A148" t="inlineStr">
        <is>
          <t>LAB744236</t>
        </is>
      </c>
      <c r="B148" s="30" t="n">
        <v>45922.95277777778</v>
      </c>
      <c r="C148" t="inlineStr">
        <is>
          <t>Cedar Ridge Medical Center</t>
        </is>
      </c>
      <c r="D148" t="inlineStr">
        <is>
          <t>PT10966</t>
        </is>
      </c>
      <c r="E148" t="inlineStr">
        <is>
          <t>LACT</t>
        </is>
      </c>
      <c r="F148" t="inlineStr">
        <is>
          <t>Lactate</t>
        </is>
      </c>
      <c r="G148" t="n">
        <v>2.8</v>
      </c>
      <c r="H148" t="inlineStr">
        <is>
          <t>mmol/L</t>
        </is>
      </c>
      <c r="I148" t="n">
        <v>0.5</v>
      </c>
      <c r="J148" t="n">
        <v>2</v>
      </c>
      <c r="K148" t="inlineStr">
        <is>
          <t>H</t>
        </is>
      </c>
      <c r="L148" t="n">
        <v>29</v>
      </c>
    </row>
    <row r="149">
      <c r="A149" t="inlineStr">
        <is>
          <t>LAB744488</t>
        </is>
      </c>
      <c r="B149" s="30" t="n">
        <v>45927.82291666666</v>
      </c>
      <c r="C149" t="inlineStr">
        <is>
          <t>Bluestone Memorial Hospital</t>
        </is>
      </c>
      <c r="D149" t="inlineStr">
        <is>
          <t>PT12338</t>
        </is>
      </c>
      <c r="E149" t="inlineStr">
        <is>
          <t>GLU</t>
        </is>
      </c>
      <c r="F149" t="inlineStr">
        <is>
          <t>Glucose</t>
        </is>
      </c>
      <c r="G149" t="n">
        <v>104</v>
      </c>
      <c r="H149" t="inlineStr">
        <is>
          <t>mg/dL</t>
        </is>
      </c>
      <c r="I149" t="n">
        <v>70</v>
      </c>
      <c r="J149" t="n">
        <v>99</v>
      </c>
      <c r="K149" t="inlineStr">
        <is>
          <t>H</t>
        </is>
      </c>
      <c r="L149" t="n">
        <v>41</v>
      </c>
    </row>
    <row r="150">
      <c r="A150" t="inlineStr">
        <is>
          <t>LAB744490</t>
        </is>
      </c>
      <c r="B150" s="30" t="n">
        <v>45927.84583333333</v>
      </c>
      <c r="C150" t="inlineStr">
        <is>
          <t>Bluestone Memorial Hospital</t>
        </is>
      </c>
      <c r="D150" t="inlineStr">
        <is>
          <t>PT12338</t>
        </is>
      </c>
      <c r="E150" t="inlineStr">
        <is>
          <t>WBC</t>
        </is>
      </c>
      <c r="F150" t="inlineStr">
        <is>
          <t>White Blood Cell Count</t>
        </is>
      </c>
      <c r="G150" t="n">
        <v>7.7</v>
      </c>
      <c r="H150" t="inlineStr">
        <is>
          <t>K/uL</t>
        </is>
      </c>
      <c r="I150" t="n">
        <v>4.5</v>
      </c>
      <c r="J150" t="n">
        <v>11</v>
      </c>
      <c r="K150" t="inlineStr">
        <is>
          <t>N</t>
        </is>
      </c>
      <c r="L150" t="n">
        <v>39</v>
      </c>
    </row>
    <row r="151">
      <c r="A151" t="inlineStr">
        <is>
          <t>LAB744492</t>
        </is>
      </c>
      <c r="B151" s="30" t="n">
        <v>45927.85</v>
      </c>
      <c r="C151" t="inlineStr">
        <is>
          <t>Bluestone Memorial Hospital</t>
        </is>
      </c>
      <c r="D151" t="inlineStr">
        <is>
          <t>PT12338</t>
        </is>
      </c>
      <c r="E151" t="inlineStr">
        <is>
          <t>NA</t>
        </is>
      </c>
      <c r="F151" t="inlineStr">
        <is>
          <t>Sodium</t>
        </is>
      </c>
      <c r="G151" t="n">
        <v>139</v>
      </c>
      <c r="H151" t="inlineStr">
        <is>
          <t>mmol/L</t>
        </is>
      </c>
      <c r="I151" t="n">
        <v>136</v>
      </c>
      <c r="J151" t="n">
        <v>145</v>
      </c>
      <c r="K151" t="inlineStr">
        <is>
          <t>N</t>
        </is>
      </c>
      <c r="L151" t="n">
        <v>35</v>
      </c>
    </row>
    <row r="152">
      <c r="A152" t="inlineStr">
        <is>
          <t>LAB744489</t>
        </is>
      </c>
      <c r="B152" s="30" t="n">
        <v>45927.85486111111</v>
      </c>
      <c r="C152" t="inlineStr">
        <is>
          <t>Bluestone Memorial Hospital</t>
        </is>
      </c>
      <c r="D152" t="inlineStr">
        <is>
          <t>PT12338</t>
        </is>
      </c>
      <c r="E152" t="inlineStr">
        <is>
          <t>CREAT</t>
        </is>
      </c>
      <c r="F152" t="inlineStr">
        <is>
          <t>Creatinine</t>
        </is>
      </c>
      <c r="G152" t="n">
        <v>1.02</v>
      </c>
      <c r="H152" t="inlineStr">
        <is>
          <t>mg/dL</t>
        </is>
      </c>
      <c r="I152" t="n">
        <v>0.6</v>
      </c>
      <c r="J152" t="n">
        <v>1.3</v>
      </c>
      <c r="K152" t="inlineStr">
        <is>
          <t>N</t>
        </is>
      </c>
      <c r="L152" t="n">
        <v>46</v>
      </c>
    </row>
    <row r="153">
      <c r="A153" t="inlineStr">
        <is>
          <t>LAB744493</t>
        </is>
      </c>
      <c r="B153" s="30" t="n">
        <v>45927.85486111111</v>
      </c>
      <c r="C153" t="inlineStr">
        <is>
          <t>Bluestone Memorial Hospital</t>
        </is>
      </c>
      <c r="D153" t="inlineStr">
        <is>
          <t>PT12338</t>
        </is>
      </c>
      <c r="E153" t="inlineStr">
        <is>
          <t>K</t>
        </is>
      </c>
      <c r="F153" t="inlineStr">
        <is>
          <t>Potassium</t>
        </is>
      </c>
      <c r="G153" t="n">
        <v>4.1</v>
      </c>
      <c r="H153" t="inlineStr">
        <is>
          <t>mmol/L</t>
        </is>
      </c>
      <c r="I153" t="n">
        <v>3.5</v>
      </c>
      <c r="J153" t="n">
        <v>5.1</v>
      </c>
      <c r="K153" t="inlineStr">
        <is>
          <t>N</t>
        </is>
      </c>
      <c r="L153" t="n">
        <v>73</v>
      </c>
    </row>
    <row r="154">
      <c r="A154" t="inlineStr">
        <is>
          <t>LAB744494</t>
        </is>
      </c>
      <c r="B154" s="30" t="n">
        <v>45927.85486111111</v>
      </c>
      <c r="C154" t="inlineStr">
        <is>
          <t>Bluestone Memorial Hospital</t>
        </is>
      </c>
      <c r="D154" t="inlineStr">
        <is>
          <t>PT12338</t>
        </is>
      </c>
      <c r="E154" t="inlineStr">
        <is>
          <t>LACT</t>
        </is>
      </c>
      <c r="F154" t="inlineStr">
        <is>
          <t>Lactate</t>
        </is>
      </c>
      <c r="G154" t="n">
        <v>2.5</v>
      </c>
      <c r="H154" t="inlineStr">
        <is>
          <t>mmol/L</t>
        </is>
      </c>
      <c r="I154" t="n">
        <v>0.5</v>
      </c>
      <c r="J154" t="n">
        <v>2</v>
      </c>
      <c r="K154" t="inlineStr">
        <is>
          <t>H</t>
        </is>
      </c>
      <c r="L154" t="n">
        <v>45</v>
      </c>
    </row>
    <row r="155">
      <c r="A155" t="inlineStr">
        <is>
          <t>LAB744491</t>
        </is>
      </c>
      <c r="B155" s="30" t="n">
        <v>45927.86111111111</v>
      </c>
      <c r="C155" t="inlineStr">
        <is>
          <t>Bluestone Memorial Hospital</t>
        </is>
      </c>
      <c r="D155" t="inlineStr">
        <is>
          <t>PT12338</t>
        </is>
      </c>
      <c r="E155" t="inlineStr">
        <is>
          <t>HGB</t>
        </is>
      </c>
      <c r="F155" t="inlineStr">
        <is>
          <t>Hemoglobin</t>
        </is>
      </c>
      <c r="G155" t="n">
        <v>12.8</v>
      </c>
      <c r="H155" t="inlineStr">
        <is>
          <t>g/dL</t>
        </is>
      </c>
      <c r="I155" t="n">
        <v>12</v>
      </c>
      <c r="J155" t="n">
        <v>17.5</v>
      </c>
      <c r="K155" t="inlineStr">
        <is>
          <t>N</t>
        </is>
      </c>
      <c r="L155" t="n">
        <v>36</v>
      </c>
    </row>
    <row r="156">
      <c r="A156" t="inlineStr">
        <is>
          <t>LAB744907</t>
        </is>
      </c>
      <c r="B156" s="30" t="n">
        <v>45934.28611111111</v>
      </c>
      <c r="C156" t="inlineStr">
        <is>
          <t>Ashby Falls Community Hospital</t>
        </is>
      </c>
      <c r="D156" t="inlineStr">
        <is>
          <t>PT11882</t>
        </is>
      </c>
      <c r="E156" t="inlineStr">
        <is>
          <t>NA</t>
        </is>
      </c>
      <c r="F156" t="inlineStr">
        <is>
          <t>Sodium</t>
        </is>
      </c>
      <c r="G156" t="n">
        <v>137</v>
      </c>
      <c r="H156" t="inlineStr">
        <is>
          <t>mmol/L</t>
        </is>
      </c>
      <c r="I156" t="n">
        <v>136</v>
      </c>
      <c r="J156" t="n">
        <v>145</v>
      </c>
      <c r="K156" t="inlineStr">
        <is>
          <t>N</t>
        </is>
      </c>
      <c r="L156" t="n">
        <v>49</v>
      </c>
    </row>
    <row r="157">
      <c r="A157" t="inlineStr">
        <is>
          <t>LAB744908</t>
        </is>
      </c>
      <c r="B157" s="30" t="n">
        <v>45934.28888888889</v>
      </c>
      <c r="C157" t="inlineStr">
        <is>
          <t>Ashby Falls Community Hospital</t>
        </is>
      </c>
      <c r="D157" t="inlineStr">
        <is>
          <t>PT11882</t>
        </is>
      </c>
      <c r="E157" t="inlineStr">
        <is>
          <t>K</t>
        </is>
      </c>
      <c r="F157" t="inlineStr">
        <is>
          <t>Potassium</t>
        </is>
      </c>
      <c r="G157" t="n">
        <v>4.4</v>
      </c>
      <c r="H157" t="inlineStr">
        <is>
          <t>mmol/L</t>
        </is>
      </c>
      <c r="I157" t="n">
        <v>3.5</v>
      </c>
      <c r="J157" t="n">
        <v>5.1</v>
      </c>
      <c r="K157" t="inlineStr">
        <is>
          <t>N</t>
        </is>
      </c>
      <c r="L157" t="n">
        <v>25</v>
      </c>
    </row>
    <row r="158">
      <c r="A158" t="inlineStr">
        <is>
          <t>LAB744909</t>
        </is>
      </c>
      <c r="B158" s="30" t="n">
        <v>45934.30486111111</v>
      </c>
      <c r="C158" t="inlineStr">
        <is>
          <t>Ashby Falls Community Hospital</t>
        </is>
      </c>
      <c r="D158" t="inlineStr">
        <is>
          <t>PT11882</t>
        </is>
      </c>
      <c r="E158" t="inlineStr">
        <is>
          <t>INR</t>
        </is>
      </c>
      <c r="F158" t="inlineStr">
        <is>
          <t>Prothrombin Time INR</t>
        </is>
      </c>
      <c r="G158" t="n">
        <v>1.1</v>
      </c>
      <c r="H158" t="inlineStr">
        <is>
          <t>ratio</t>
        </is>
      </c>
      <c r="I158" t="n">
        <v>0.8</v>
      </c>
      <c r="J158" t="n">
        <v>1.2</v>
      </c>
      <c r="K158" t="inlineStr">
        <is>
          <t>N</t>
        </is>
      </c>
      <c r="L158" t="n">
        <v>31</v>
      </c>
    </row>
    <row r="159">
      <c r="A159" t="inlineStr">
        <is>
          <t>LAB744903</t>
        </is>
      </c>
      <c r="B159" s="30" t="n">
        <v>45934.31319444445</v>
      </c>
      <c r="C159" t="inlineStr">
        <is>
          <t>Ashby Falls Community Hospital</t>
        </is>
      </c>
      <c r="D159" t="inlineStr">
        <is>
          <t>PT11882</t>
        </is>
      </c>
      <c r="E159" t="inlineStr">
        <is>
          <t>GLU</t>
        </is>
      </c>
      <c r="F159" t="inlineStr">
        <is>
          <t>Glucose</t>
        </is>
      </c>
      <c r="G159" t="n">
        <v>49</v>
      </c>
      <c r="H159" t="inlineStr">
        <is>
          <t>mg/dL</t>
        </is>
      </c>
      <c r="I159" t="n">
        <v>70</v>
      </c>
      <c r="J159" t="n">
        <v>99</v>
      </c>
      <c r="K159" t="inlineStr">
        <is>
          <t>L</t>
        </is>
      </c>
      <c r="L159" t="n">
        <v>41</v>
      </c>
    </row>
    <row r="160">
      <c r="A160" t="inlineStr">
        <is>
          <t>LAB744905</t>
        </is>
      </c>
      <c r="B160" s="30" t="n">
        <v>45934.31319444445</v>
      </c>
      <c r="C160" t="inlineStr">
        <is>
          <t>Ashby Falls Community Hospital</t>
        </is>
      </c>
      <c r="D160" t="inlineStr">
        <is>
          <t>PT11882</t>
        </is>
      </c>
      <c r="E160" t="inlineStr">
        <is>
          <t>WBC</t>
        </is>
      </c>
      <c r="F160" t="inlineStr">
        <is>
          <t>White Blood Cell Count</t>
        </is>
      </c>
      <c r="G160" t="n">
        <v>7.7</v>
      </c>
      <c r="H160" t="inlineStr">
        <is>
          <t>K/uL</t>
        </is>
      </c>
      <c r="I160" t="n">
        <v>4.5</v>
      </c>
      <c r="J160" t="n">
        <v>11</v>
      </c>
      <c r="K160" t="inlineStr">
        <is>
          <t>N</t>
        </is>
      </c>
      <c r="L160" t="n">
        <v>19</v>
      </c>
    </row>
    <row r="161">
      <c r="A161" t="inlineStr">
        <is>
          <t>LAB744904</t>
        </is>
      </c>
      <c r="B161" s="30" t="n">
        <v>45934.325</v>
      </c>
      <c r="C161" t="inlineStr">
        <is>
          <t>Ashby Falls Community Hospital</t>
        </is>
      </c>
      <c r="D161" t="inlineStr">
        <is>
          <t>PT11882</t>
        </is>
      </c>
      <c r="E161" t="inlineStr">
        <is>
          <t>CREAT</t>
        </is>
      </c>
      <c r="F161" t="inlineStr">
        <is>
          <t>Creatinine</t>
        </is>
      </c>
      <c r="G161" t="n">
        <v>1.86</v>
      </c>
      <c r="H161" t="inlineStr">
        <is>
          <t>mg/dL</t>
        </is>
      </c>
      <c r="I161" t="n">
        <v>0.6</v>
      </c>
      <c r="J161" t="n">
        <v>1.3</v>
      </c>
      <c r="K161" t="inlineStr">
        <is>
          <t>H</t>
        </is>
      </c>
      <c r="L161" t="n">
        <v>36</v>
      </c>
    </row>
    <row r="162">
      <c r="A162" t="inlineStr">
        <is>
          <t>LAB745006</t>
        </is>
      </c>
      <c r="B162" s="30" t="n">
        <v>45936.26666666667</v>
      </c>
      <c r="C162" t="inlineStr">
        <is>
          <t>Bluestone Memorial Hospital</t>
        </is>
      </c>
      <c r="D162" t="inlineStr">
        <is>
          <t>PT10741</t>
        </is>
      </c>
      <c r="E162" t="inlineStr">
        <is>
          <t>K</t>
        </is>
      </c>
      <c r="F162" t="inlineStr">
        <is>
          <t>Potassium</t>
        </is>
      </c>
      <c r="G162" t="n">
        <v>3.9</v>
      </c>
      <c r="H162" t="inlineStr">
        <is>
          <t>mmol/L</t>
        </is>
      </c>
      <c r="I162" t="n">
        <v>3.5</v>
      </c>
      <c r="J162" t="n">
        <v>5.1</v>
      </c>
      <c r="K162" t="inlineStr">
        <is>
          <t>N</t>
        </is>
      </c>
      <c r="L162" t="n">
        <v>36</v>
      </c>
    </row>
    <row r="163">
      <c r="A163" t="inlineStr">
        <is>
          <t>LAB745001</t>
        </is>
      </c>
      <c r="B163" s="30" t="n">
        <v>45936.27083333334</v>
      </c>
      <c r="C163" t="inlineStr">
        <is>
          <t>Bluestone Memorial Hospital</t>
        </is>
      </c>
      <c r="D163" t="inlineStr">
        <is>
          <t>PT10741</t>
        </is>
      </c>
      <c r="E163" t="inlineStr">
        <is>
          <t>GLU</t>
        </is>
      </c>
      <c r="F163" t="inlineStr">
        <is>
          <t>Glucose</t>
        </is>
      </c>
      <c r="G163" t="n">
        <v>109</v>
      </c>
      <c r="H163" t="inlineStr">
        <is>
          <t>mg/dL</t>
        </is>
      </c>
      <c r="I163" t="n">
        <v>70</v>
      </c>
      <c r="J163" t="n">
        <v>99</v>
      </c>
      <c r="K163" t="inlineStr">
        <is>
          <t>H</t>
        </is>
      </c>
      <c r="L163" t="n">
        <v>74</v>
      </c>
    </row>
    <row r="164">
      <c r="A164" t="inlineStr">
        <is>
          <t>LAB745007</t>
        </is>
      </c>
      <c r="B164" s="30" t="n">
        <v>45936.27916666667</v>
      </c>
      <c r="C164" t="inlineStr">
        <is>
          <t>Bluestone Memorial Hospital</t>
        </is>
      </c>
      <c r="D164" t="inlineStr">
        <is>
          <t>PT10741</t>
        </is>
      </c>
      <c r="E164" t="inlineStr">
        <is>
          <t>LACT</t>
        </is>
      </c>
      <c r="F164" t="inlineStr">
        <is>
          <t>Lactate</t>
        </is>
      </c>
      <c r="G164" t="n">
        <v>4.9</v>
      </c>
      <c r="H164" t="inlineStr">
        <is>
          <t>mmol/L</t>
        </is>
      </c>
      <c r="I164" t="n">
        <v>0.5</v>
      </c>
      <c r="J164" t="n">
        <v>2</v>
      </c>
      <c r="K164" t="inlineStr">
        <is>
          <t>HH</t>
        </is>
      </c>
      <c r="L164" t="n">
        <v>49</v>
      </c>
    </row>
    <row r="165">
      <c r="A165" t="inlineStr">
        <is>
          <t>LAB745002</t>
        </is>
      </c>
      <c r="B165" s="30" t="n">
        <v>45936.28402777778</v>
      </c>
      <c r="C165" t="inlineStr">
        <is>
          <t>Bluestone Memorial Hospital</t>
        </is>
      </c>
      <c r="D165" t="inlineStr">
        <is>
          <t>PT10741</t>
        </is>
      </c>
      <c r="E165" t="inlineStr">
        <is>
          <t>CREAT</t>
        </is>
      </c>
      <c r="F165" t="inlineStr">
        <is>
          <t>Creatinine</t>
        </is>
      </c>
      <c r="G165" t="n">
        <v>0.98</v>
      </c>
      <c r="H165" t="inlineStr">
        <is>
          <t>mg/dL</t>
        </is>
      </c>
      <c r="I165" t="n">
        <v>0.6</v>
      </c>
      <c r="J165" t="n">
        <v>1.3</v>
      </c>
      <c r="K165" t="inlineStr">
        <is>
          <t>N</t>
        </is>
      </c>
      <c r="L165" t="n">
        <v>63</v>
      </c>
    </row>
    <row r="166">
      <c r="A166" t="inlineStr">
        <is>
          <t>LAB745186</t>
        </is>
      </c>
      <c r="B166" s="30" t="n">
        <v>45938.55069444444</v>
      </c>
      <c r="C166" t="inlineStr">
        <is>
          <t>Bluestone Memorial Hospital</t>
        </is>
      </c>
      <c r="D166" t="inlineStr">
        <is>
          <t>PT13340</t>
        </is>
      </c>
      <c r="E166" t="inlineStr">
        <is>
          <t>HGB</t>
        </is>
      </c>
      <c r="F166" t="inlineStr">
        <is>
          <t>Hemoglobin</t>
        </is>
      </c>
      <c r="G166" t="n">
        <v>12.3</v>
      </c>
      <c r="H166" t="inlineStr">
        <is>
          <t>g/dL</t>
        </is>
      </c>
      <c r="I166" t="n">
        <v>12</v>
      </c>
      <c r="J166" t="n">
        <v>17.5</v>
      </c>
      <c r="K166" t="inlineStr">
        <is>
          <t>N</t>
        </is>
      </c>
      <c r="L166" t="n">
        <v>25</v>
      </c>
    </row>
    <row r="167">
      <c r="A167" t="inlineStr">
        <is>
          <t>LAB745185</t>
        </is>
      </c>
      <c r="B167" s="30" t="n">
        <v>45938.55555555555</v>
      </c>
      <c r="C167" t="inlineStr">
        <is>
          <t>Bluestone Memorial Hospital</t>
        </is>
      </c>
      <c r="D167" t="inlineStr">
        <is>
          <t>PT13340</t>
        </is>
      </c>
      <c r="E167" t="inlineStr">
        <is>
          <t>WBC</t>
        </is>
      </c>
      <c r="F167" t="inlineStr">
        <is>
          <t>White Blood Cell Count</t>
        </is>
      </c>
      <c r="G167" t="n">
        <v>7.2</v>
      </c>
      <c r="H167" t="inlineStr">
        <is>
          <t>K/uL</t>
        </is>
      </c>
      <c r="I167" t="n">
        <v>4.5</v>
      </c>
      <c r="J167" t="n">
        <v>11</v>
      </c>
      <c r="K167" t="inlineStr">
        <is>
          <t>N</t>
        </is>
      </c>
      <c r="L167" t="n">
        <v>31</v>
      </c>
    </row>
    <row r="168">
      <c r="A168" t="inlineStr">
        <is>
          <t>LAB745187</t>
        </is>
      </c>
      <c r="B168" s="30" t="n">
        <v>45938.56527777778</v>
      </c>
      <c r="C168" t="inlineStr">
        <is>
          <t>Bluestone Memorial Hospital</t>
        </is>
      </c>
      <c r="D168" t="inlineStr">
        <is>
          <t>PT13340</t>
        </is>
      </c>
      <c r="E168" t="inlineStr">
        <is>
          <t>NA</t>
        </is>
      </c>
      <c r="F168" t="inlineStr">
        <is>
          <t>Sodium</t>
        </is>
      </c>
      <c r="G168" t="n">
        <v>140</v>
      </c>
      <c r="H168" t="inlineStr">
        <is>
          <t>mmol/L</t>
        </is>
      </c>
      <c r="I168" t="n">
        <v>136</v>
      </c>
      <c r="J168" t="n">
        <v>145</v>
      </c>
      <c r="K168" t="inlineStr">
        <is>
          <t>N</t>
        </is>
      </c>
      <c r="L168" t="n">
        <v>66</v>
      </c>
    </row>
    <row r="169">
      <c r="A169" t="inlineStr">
        <is>
          <t>LAB745183</t>
        </is>
      </c>
      <c r="B169" s="30" t="n">
        <v>45938.56944444445</v>
      </c>
      <c r="C169" t="inlineStr">
        <is>
          <t>Bluestone Memorial Hospital</t>
        </is>
      </c>
      <c r="D169" t="inlineStr">
        <is>
          <t>PT13340</t>
        </is>
      </c>
      <c r="E169" t="inlineStr">
        <is>
          <t>GLU</t>
        </is>
      </c>
      <c r="F169" t="inlineStr">
        <is>
          <t>Glucose</t>
        </is>
      </c>
      <c r="G169" t="n">
        <v>115</v>
      </c>
      <c r="H169" t="inlineStr">
        <is>
          <t>mg/dL</t>
        </is>
      </c>
      <c r="I169" t="n">
        <v>70</v>
      </c>
      <c r="J169" t="n">
        <v>99</v>
      </c>
      <c r="K169" t="inlineStr">
        <is>
          <t>H</t>
        </is>
      </c>
      <c r="L169" t="n">
        <v>28</v>
      </c>
    </row>
    <row r="170">
      <c r="A170" t="inlineStr">
        <is>
          <t>LAB745188</t>
        </is>
      </c>
      <c r="B170" s="30" t="n">
        <v>45938.57291666666</v>
      </c>
      <c r="C170" t="inlineStr">
        <is>
          <t>Bluestone Memorial Hospital</t>
        </is>
      </c>
      <c r="D170" t="inlineStr">
        <is>
          <t>PT13340</t>
        </is>
      </c>
      <c r="E170" t="inlineStr">
        <is>
          <t>K</t>
        </is>
      </c>
      <c r="F170" t="inlineStr">
        <is>
          <t>Potassium</t>
        </is>
      </c>
      <c r="G170" t="n">
        <v>4.3</v>
      </c>
      <c r="H170" t="inlineStr">
        <is>
          <t>mmol/L</t>
        </is>
      </c>
      <c r="I170" t="n">
        <v>3.5</v>
      </c>
      <c r="J170" t="n">
        <v>5.1</v>
      </c>
      <c r="K170" t="inlineStr">
        <is>
          <t>N</t>
        </is>
      </c>
      <c r="L170" t="n">
        <v>52</v>
      </c>
    </row>
    <row r="171">
      <c r="A171" t="inlineStr">
        <is>
          <t>LAB745184</t>
        </is>
      </c>
      <c r="B171" s="30" t="n">
        <v>45938.59027777778</v>
      </c>
      <c r="C171" t="inlineStr">
        <is>
          <t>Bluestone Memorial Hospital</t>
        </is>
      </c>
      <c r="D171" t="inlineStr">
        <is>
          <t>PT13340</t>
        </is>
      </c>
      <c r="E171" t="inlineStr">
        <is>
          <t>CREAT</t>
        </is>
      </c>
      <c r="F171" t="inlineStr">
        <is>
          <t>Creatinine</t>
        </is>
      </c>
      <c r="G171" t="n">
        <v>0.67</v>
      </c>
      <c r="H171" t="inlineStr">
        <is>
          <t>mg/dL</t>
        </is>
      </c>
      <c r="I171" t="n">
        <v>0.6</v>
      </c>
      <c r="J171" t="n">
        <v>1.3</v>
      </c>
      <c r="K171" t="inlineStr">
        <is>
          <t>N</t>
        </is>
      </c>
      <c r="L171" t="n">
        <v>62</v>
      </c>
    </row>
    <row r="172">
      <c r="A172" t="inlineStr">
        <is>
          <t>LAB745189</t>
        </is>
      </c>
      <c r="B172" s="30" t="n">
        <v>45938.59027777778</v>
      </c>
      <c r="C172" t="inlineStr">
        <is>
          <t>Bluestone Memorial Hospital</t>
        </is>
      </c>
      <c r="D172" t="inlineStr">
        <is>
          <t>PT13340</t>
        </is>
      </c>
      <c r="E172" t="inlineStr">
        <is>
          <t>LACT</t>
        </is>
      </c>
      <c r="F172" t="inlineStr">
        <is>
          <t>Lactate</t>
        </is>
      </c>
      <c r="G172" t="n">
        <v>2.3</v>
      </c>
      <c r="H172" t="inlineStr">
        <is>
          <t>mmol/L</t>
        </is>
      </c>
      <c r="I172" t="n">
        <v>0.5</v>
      </c>
      <c r="J172" t="n">
        <v>2</v>
      </c>
      <c r="K172" t="inlineStr">
        <is>
          <t>H</t>
        </is>
      </c>
      <c r="L172" t="n">
        <v>48</v>
      </c>
    </row>
    <row r="173">
      <c r="A173" t="inlineStr">
        <is>
          <t>LAB745236</t>
        </is>
      </c>
      <c r="B173" s="30" t="n">
        <v>45938.99791666667</v>
      </c>
      <c r="C173" t="inlineStr">
        <is>
          <t>Ashby Falls Community Hospital</t>
        </is>
      </c>
      <c r="D173" t="inlineStr">
        <is>
          <t>PT10148</t>
        </is>
      </c>
      <c r="E173" t="inlineStr">
        <is>
          <t>CREAT</t>
        </is>
      </c>
      <c r="F173" t="inlineStr">
        <is>
          <t>Creatinine</t>
        </is>
      </c>
      <c r="G173" t="n">
        <v>1.64</v>
      </c>
      <c r="H173" t="inlineStr">
        <is>
          <t>mg/dL</t>
        </is>
      </c>
      <c r="I173" t="n">
        <v>0.6</v>
      </c>
      <c r="J173" t="n">
        <v>1.3</v>
      </c>
      <c r="K173" t="inlineStr">
        <is>
          <t>H</t>
        </is>
      </c>
      <c r="L173" t="n">
        <v>50</v>
      </c>
    </row>
    <row r="174">
      <c r="A174" t="inlineStr">
        <is>
          <t>LAB745239</t>
        </is>
      </c>
      <c r="B174" s="30" t="n">
        <v>45939.02291666667</v>
      </c>
      <c r="C174" t="inlineStr">
        <is>
          <t>Ashby Falls Community Hospital</t>
        </is>
      </c>
      <c r="D174" t="inlineStr">
        <is>
          <t>PT10148</t>
        </is>
      </c>
      <c r="E174" t="inlineStr">
        <is>
          <t>LACT</t>
        </is>
      </c>
      <c r="F174" t="inlineStr">
        <is>
          <t>Lactate</t>
        </is>
      </c>
      <c r="G174" t="n">
        <v>2.3</v>
      </c>
      <c r="H174" t="inlineStr">
        <is>
          <t>mmol/L</t>
        </is>
      </c>
      <c r="I174" t="n">
        <v>0.5</v>
      </c>
      <c r="J174" t="n">
        <v>2</v>
      </c>
      <c r="K174" t="inlineStr">
        <is>
          <t>H</t>
        </is>
      </c>
      <c r="L174" t="n">
        <v>56</v>
      </c>
    </row>
    <row r="175">
      <c r="A175" t="inlineStr">
        <is>
          <t>LAB745334</t>
        </is>
      </c>
      <c r="B175" s="30" t="n">
        <v>45940.79861111111</v>
      </c>
      <c r="C175" t="inlineStr">
        <is>
          <t>Ashby Falls Community Hospital</t>
        </is>
      </c>
      <c r="D175" t="inlineStr">
        <is>
          <t>PT12718</t>
        </is>
      </c>
      <c r="E175" t="inlineStr">
        <is>
          <t>PLT</t>
        </is>
      </c>
      <c r="F175" t="inlineStr">
        <is>
          <t>Platelet Count</t>
        </is>
      </c>
      <c r="G175" t="n">
        <v>313</v>
      </c>
      <c r="H175" t="inlineStr">
        <is>
          <t>K/uL</t>
        </is>
      </c>
      <c r="I175" t="n">
        <v>150</v>
      </c>
      <c r="J175" t="n">
        <v>400</v>
      </c>
      <c r="K175" t="inlineStr">
        <is>
          <t>N</t>
        </is>
      </c>
      <c r="L175" t="n">
        <v>54</v>
      </c>
    </row>
    <row r="176">
      <c r="A176" t="inlineStr">
        <is>
          <t>LAB745330</t>
        </is>
      </c>
      <c r="B176" s="30" t="n">
        <v>45940.80555555555</v>
      </c>
      <c r="C176" t="inlineStr">
        <is>
          <t>Ashby Falls Community Hospital</t>
        </is>
      </c>
      <c r="D176" t="inlineStr">
        <is>
          <t>PT12718</t>
        </is>
      </c>
      <c r="E176" t="inlineStr">
        <is>
          <t>CREAT</t>
        </is>
      </c>
      <c r="F176" t="inlineStr">
        <is>
          <t>Creatinine</t>
        </is>
      </c>
      <c r="G176" t="n">
        <v>1.09</v>
      </c>
      <c r="H176" t="inlineStr">
        <is>
          <t>mg/dL</t>
        </is>
      </c>
      <c r="I176" t="n">
        <v>0.6</v>
      </c>
      <c r="J176" t="n">
        <v>1.3</v>
      </c>
      <c r="K176" t="inlineStr">
        <is>
          <t>N</t>
        </is>
      </c>
      <c r="L176" t="n">
        <v>33</v>
      </c>
    </row>
    <row r="177">
      <c r="A177" t="inlineStr">
        <is>
          <t>LAB745331</t>
        </is>
      </c>
      <c r="B177" s="30" t="n">
        <v>45940.8125</v>
      </c>
      <c r="C177" t="inlineStr">
        <is>
          <t>Ashby Falls Community Hospital</t>
        </is>
      </c>
      <c r="D177" t="inlineStr">
        <is>
          <t>PT12718</t>
        </is>
      </c>
      <c r="E177" t="inlineStr">
        <is>
          <t>WBC</t>
        </is>
      </c>
      <c r="F177" t="inlineStr">
        <is>
          <t>White Blood Cell Count</t>
        </is>
      </c>
      <c r="G177" t="n">
        <v>25</v>
      </c>
      <c r="H177" t="inlineStr">
        <is>
          <t>K/uL</t>
        </is>
      </c>
      <c r="I177" t="n">
        <v>4.5</v>
      </c>
      <c r="J177" t="n">
        <v>11</v>
      </c>
      <c r="K177" t="inlineStr">
        <is>
          <t>H</t>
        </is>
      </c>
      <c r="L177" t="n">
        <v>51</v>
      </c>
    </row>
    <row r="178">
      <c r="A178" t="inlineStr">
        <is>
          <t>LAB745329</t>
        </is>
      </c>
      <c r="B178" s="30" t="n">
        <v>45940.82083333333</v>
      </c>
      <c r="C178" t="inlineStr">
        <is>
          <t>Ashby Falls Community Hospital</t>
        </is>
      </c>
      <c r="D178" t="inlineStr">
        <is>
          <t>PT12718</t>
        </is>
      </c>
      <c r="E178" t="inlineStr">
        <is>
          <t>GLU</t>
        </is>
      </c>
      <c r="F178" t="inlineStr">
        <is>
          <t>Glucose</t>
        </is>
      </c>
      <c r="G178" t="n">
        <v>151</v>
      </c>
      <c r="H178" t="inlineStr">
        <is>
          <t>mg/dL</t>
        </is>
      </c>
      <c r="I178" t="n">
        <v>70</v>
      </c>
      <c r="J178" t="n">
        <v>99</v>
      </c>
      <c r="K178" t="inlineStr">
        <is>
          <t>H</t>
        </is>
      </c>
      <c r="L178" t="n">
        <v>43</v>
      </c>
    </row>
    <row r="179">
      <c r="A179" t="inlineStr">
        <is>
          <t>LAB745335</t>
        </is>
      </c>
      <c r="B179" s="30" t="n">
        <v>45940.84097222222</v>
      </c>
      <c r="C179" t="inlineStr">
        <is>
          <t>Ashby Falls Community Hospital</t>
        </is>
      </c>
      <c r="D179" t="inlineStr">
        <is>
          <t>PT12718</t>
        </is>
      </c>
      <c r="E179" t="inlineStr">
        <is>
          <t>LACT</t>
        </is>
      </c>
      <c r="F179" t="inlineStr">
        <is>
          <t>Lactate</t>
        </is>
      </c>
      <c r="G179" t="n">
        <v>3.3</v>
      </c>
      <c r="H179" t="inlineStr">
        <is>
          <t>mmol/L</t>
        </is>
      </c>
      <c r="I179" t="n">
        <v>0.5</v>
      </c>
      <c r="J179" t="n">
        <v>2</v>
      </c>
      <c r="K179" t="inlineStr">
        <is>
          <t>H</t>
        </is>
      </c>
      <c r="L179" t="n">
        <v>42</v>
      </c>
    </row>
    <row r="180">
      <c r="A180" t="inlineStr">
        <is>
          <t>LAB745512</t>
        </is>
      </c>
      <c r="B180" s="30" t="n">
        <v>45943.65416666667</v>
      </c>
      <c r="C180" t="inlineStr">
        <is>
          <t>Ashby Falls Community Hospital</t>
        </is>
      </c>
      <c r="D180" t="inlineStr">
        <is>
          <t>PT11601</t>
        </is>
      </c>
      <c r="E180" t="inlineStr">
        <is>
          <t>WBC</t>
        </is>
      </c>
      <c r="F180" t="inlineStr">
        <is>
          <t>White Blood Cell Count</t>
        </is>
      </c>
      <c r="G180" t="n">
        <v>7.2</v>
      </c>
      <c r="H180" t="inlineStr">
        <is>
          <t>K/uL</t>
        </is>
      </c>
      <c r="I180" t="n">
        <v>4.5</v>
      </c>
      <c r="J180" t="n">
        <v>11</v>
      </c>
      <c r="K180" t="inlineStr">
        <is>
          <t>N</t>
        </is>
      </c>
      <c r="L180" t="n">
        <v>21</v>
      </c>
    </row>
    <row r="181">
      <c r="A181" t="inlineStr">
        <is>
          <t>LAB745514</t>
        </is>
      </c>
      <c r="B181" s="30" t="n">
        <v>45943.68402777778</v>
      </c>
      <c r="C181" t="inlineStr">
        <is>
          <t>Ashby Falls Community Hospital</t>
        </is>
      </c>
      <c r="D181" t="inlineStr">
        <is>
          <t>PT11601</t>
        </is>
      </c>
      <c r="E181" t="inlineStr">
        <is>
          <t>LACT</t>
        </is>
      </c>
      <c r="F181" t="inlineStr">
        <is>
          <t>Lactate</t>
        </is>
      </c>
      <c r="G181" t="n">
        <v>3</v>
      </c>
      <c r="H181" t="inlineStr">
        <is>
          <t>mmol/L</t>
        </is>
      </c>
      <c r="I181" t="n">
        <v>0.5</v>
      </c>
      <c r="J181" t="n">
        <v>2</v>
      </c>
      <c r="K181" t="inlineStr">
        <is>
          <t>H</t>
        </is>
      </c>
      <c r="L181" t="n">
        <v>90</v>
      </c>
    </row>
    <row r="182">
      <c r="A182" t="inlineStr">
        <is>
          <t>LAB745615</t>
        </is>
      </c>
      <c r="B182" s="30" t="n">
        <v>45944.99652777778</v>
      </c>
      <c r="C182" t="inlineStr">
        <is>
          <t>Bluestone Memorial Hospital</t>
        </is>
      </c>
      <c r="D182" t="inlineStr">
        <is>
          <t>PT12210</t>
        </is>
      </c>
      <c r="E182" t="inlineStr">
        <is>
          <t>GLU</t>
        </is>
      </c>
      <c r="F182" t="inlineStr">
        <is>
          <t>Glucose</t>
        </is>
      </c>
      <c r="G182" t="n">
        <v>113</v>
      </c>
      <c r="H182" t="inlineStr">
        <is>
          <t>mg/dL</t>
        </is>
      </c>
      <c r="I182" t="n">
        <v>70</v>
      </c>
      <c r="J182" t="n">
        <v>99</v>
      </c>
      <c r="K182" t="inlineStr">
        <is>
          <t>H</t>
        </is>
      </c>
      <c r="L182" t="n">
        <v>68</v>
      </c>
    </row>
    <row r="183">
      <c r="A183" t="inlineStr">
        <is>
          <t>LAB745616</t>
        </is>
      </c>
      <c r="B183" s="30" t="n">
        <v>45945.00833333333</v>
      </c>
      <c r="C183" t="inlineStr">
        <is>
          <t>Bluestone Memorial Hospital</t>
        </is>
      </c>
      <c r="D183" t="inlineStr">
        <is>
          <t>PT12210</t>
        </is>
      </c>
      <c r="E183" t="inlineStr">
        <is>
          <t>CREAT</t>
        </is>
      </c>
      <c r="F183" t="inlineStr">
        <is>
          <t>Creatinine</t>
        </is>
      </c>
      <c r="G183" t="n">
        <v>1.34</v>
      </c>
      <c r="H183" t="inlineStr">
        <is>
          <t>mg/dL</t>
        </is>
      </c>
      <c r="I183" t="n">
        <v>0.6</v>
      </c>
      <c r="J183" t="n">
        <v>1.3</v>
      </c>
      <c r="K183" t="inlineStr">
        <is>
          <t>H</t>
        </is>
      </c>
      <c r="L183" t="n">
        <v>88</v>
      </c>
    </row>
    <row r="184">
      <c r="A184" t="inlineStr">
        <is>
          <t>LAB745619</t>
        </is>
      </c>
      <c r="B184" s="30" t="n">
        <v>45945.03472222222</v>
      </c>
      <c r="C184" t="inlineStr">
        <is>
          <t>Bluestone Memorial Hospital</t>
        </is>
      </c>
      <c r="D184" t="inlineStr">
        <is>
          <t>PT12210</t>
        </is>
      </c>
      <c r="E184" t="inlineStr">
        <is>
          <t>LACT</t>
        </is>
      </c>
      <c r="F184" t="inlineStr">
        <is>
          <t>Lactate</t>
        </is>
      </c>
      <c r="G184" t="n">
        <v>4.6</v>
      </c>
      <c r="H184" t="inlineStr">
        <is>
          <t>mmol/L</t>
        </is>
      </c>
      <c r="I184" t="n">
        <v>0.5</v>
      </c>
      <c r="J184" t="n">
        <v>2</v>
      </c>
      <c r="K184" t="inlineStr">
        <is>
          <t>HH</t>
        </is>
      </c>
      <c r="L184" t="n">
        <v>38</v>
      </c>
    </row>
    <row r="185">
      <c r="A185" t="inlineStr">
        <is>
          <t>LAB745768</t>
        </is>
      </c>
      <c r="B185" s="30" t="n">
        <v>45947.06944444445</v>
      </c>
      <c r="C185" t="inlineStr">
        <is>
          <t>Bluestone Memorial Hospital</t>
        </is>
      </c>
      <c r="D185" t="inlineStr">
        <is>
          <t>PT12460</t>
        </is>
      </c>
      <c r="E185" t="inlineStr">
        <is>
          <t>LACT</t>
        </is>
      </c>
      <c r="F185" t="inlineStr">
        <is>
          <t>Lactate</t>
        </is>
      </c>
      <c r="G185" t="n">
        <v>2.5</v>
      </c>
      <c r="H185" t="inlineStr">
        <is>
          <t>mmol/L</t>
        </is>
      </c>
      <c r="I185" t="n">
        <v>0.5</v>
      </c>
      <c r="J185" t="n">
        <v>2</v>
      </c>
      <c r="K185" t="inlineStr">
        <is>
          <t>H</t>
        </is>
      </c>
      <c r="L185" t="n">
        <v>65</v>
      </c>
    </row>
    <row r="186">
      <c r="A186" t="inlineStr">
        <is>
          <t>LAB745767</t>
        </is>
      </c>
      <c r="B186" s="30" t="n">
        <v>45947.08888888889</v>
      </c>
      <c r="C186" t="inlineStr">
        <is>
          <t>Bluestone Memorial Hospital</t>
        </is>
      </c>
      <c r="D186" t="inlineStr">
        <is>
          <t>PT12460</t>
        </is>
      </c>
      <c r="E186" t="inlineStr">
        <is>
          <t>HGB</t>
        </is>
      </c>
      <c r="F186" t="inlineStr">
        <is>
          <t>Hemoglobin</t>
        </is>
      </c>
      <c r="G186" t="n">
        <v>14.1</v>
      </c>
      <c r="H186" t="inlineStr">
        <is>
          <t>g/dL</t>
        </is>
      </c>
      <c r="I186" t="n">
        <v>12</v>
      </c>
      <c r="J186" t="n">
        <v>17.5</v>
      </c>
      <c r="K186" t="inlineStr">
        <is>
          <t>N</t>
        </is>
      </c>
      <c r="L186" t="n">
        <v>28</v>
      </c>
    </row>
    <row r="187">
      <c r="A187" t="inlineStr">
        <is>
          <t>LAB745765</t>
        </is>
      </c>
      <c r="B187" s="30" t="n">
        <v>45947.12083333333</v>
      </c>
      <c r="C187" t="inlineStr">
        <is>
          <t>Bluestone Memorial Hospital</t>
        </is>
      </c>
      <c r="D187" t="inlineStr">
        <is>
          <t>PT12460</t>
        </is>
      </c>
      <c r="E187" t="inlineStr">
        <is>
          <t>CREAT</t>
        </is>
      </c>
      <c r="F187" t="inlineStr">
        <is>
          <t>Creatinine</t>
        </is>
      </c>
      <c r="G187" t="n">
        <v>1.34</v>
      </c>
      <c r="H187" t="inlineStr">
        <is>
          <t>mg/dL</t>
        </is>
      </c>
      <c r="I187" t="n">
        <v>0.6</v>
      </c>
      <c r="J187" t="n">
        <v>1.3</v>
      </c>
      <c r="K187" t="inlineStr">
        <is>
          <t>H</t>
        </is>
      </c>
      <c r="L187" t="n">
        <v>18</v>
      </c>
    </row>
    <row r="188">
      <c r="A188" t="inlineStr">
        <is>
          <t>LAB745867</t>
        </is>
      </c>
      <c r="B188" s="30" t="n">
        <v>45948.19236111111</v>
      </c>
      <c r="C188" t="inlineStr">
        <is>
          <t>Bluestone Memorial Hospital</t>
        </is>
      </c>
      <c r="D188" t="inlineStr">
        <is>
          <t>PT10559</t>
        </is>
      </c>
      <c r="E188" t="inlineStr">
        <is>
          <t>HGB</t>
        </is>
      </c>
      <c r="F188" t="inlineStr">
        <is>
          <t>Hemoglobin</t>
        </is>
      </c>
      <c r="G188" t="n">
        <v>14.2</v>
      </c>
      <c r="H188" t="inlineStr">
        <is>
          <t>g/dL</t>
        </is>
      </c>
      <c r="I188" t="n">
        <v>12</v>
      </c>
      <c r="J188" t="n">
        <v>17.5</v>
      </c>
      <c r="K188" t="inlineStr">
        <is>
          <t>N</t>
        </is>
      </c>
      <c r="L188" t="n">
        <v>72</v>
      </c>
    </row>
    <row r="189">
      <c r="A189" t="inlineStr">
        <is>
          <t>LAB745868</t>
        </is>
      </c>
      <c r="B189" s="30" t="n">
        <v>45948.21458333333</v>
      </c>
      <c r="C189" t="inlineStr">
        <is>
          <t>Bluestone Memorial Hospital</t>
        </is>
      </c>
      <c r="D189" t="inlineStr">
        <is>
          <t>PT10559</t>
        </is>
      </c>
      <c r="E189" t="inlineStr">
        <is>
          <t>LACT</t>
        </is>
      </c>
      <c r="F189" t="inlineStr">
        <is>
          <t>Lactate</t>
        </is>
      </c>
      <c r="G189" t="n">
        <v>5.3</v>
      </c>
      <c r="H189" t="inlineStr">
        <is>
          <t>mmol/L</t>
        </is>
      </c>
      <c r="I189" t="n">
        <v>0.5</v>
      </c>
      <c r="J189" t="n">
        <v>2</v>
      </c>
      <c r="K189" t="inlineStr">
        <is>
          <t>HH</t>
        </is>
      </c>
      <c r="L189" t="n">
        <v>77</v>
      </c>
    </row>
    <row r="190">
      <c r="A190" t="inlineStr">
        <is>
          <t>LAB745864</t>
        </is>
      </c>
      <c r="B190" s="30" t="n">
        <v>45948.225</v>
      </c>
      <c r="C190" t="inlineStr">
        <is>
          <t>Bluestone Memorial Hospital</t>
        </is>
      </c>
      <c r="D190" t="inlineStr">
        <is>
          <t>PT10559</t>
        </is>
      </c>
      <c r="E190" t="inlineStr">
        <is>
          <t>GLU</t>
        </is>
      </c>
      <c r="F190" t="inlineStr">
        <is>
          <t>Glucose</t>
        </is>
      </c>
      <c r="G190" t="n">
        <v>115</v>
      </c>
      <c r="H190" t="inlineStr">
        <is>
          <t>mg/dL</t>
        </is>
      </c>
      <c r="I190" t="n">
        <v>70</v>
      </c>
      <c r="J190" t="n">
        <v>99</v>
      </c>
      <c r="K190" t="inlineStr">
        <is>
          <t>H</t>
        </is>
      </c>
      <c r="L190" t="n">
        <v>49</v>
      </c>
    </row>
    <row r="191">
      <c r="A191" t="inlineStr">
        <is>
          <t>LAB745866</t>
        </is>
      </c>
      <c r="B191" s="30" t="n">
        <v>45948.22986111111</v>
      </c>
      <c r="C191" t="inlineStr">
        <is>
          <t>Bluestone Memorial Hospital</t>
        </is>
      </c>
      <c r="D191" t="inlineStr">
        <is>
          <t>PT10559</t>
        </is>
      </c>
      <c r="E191" t="inlineStr">
        <is>
          <t>WBC</t>
        </is>
      </c>
      <c r="F191" t="inlineStr">
        <is>
          <t>White Blood Cell Count</t>
        </is>
      </c>
      <c r="G191" t="n">
        <v>21</v>
      </c>
      <c r="H191" t="inlineStr">
        <is>
          <t>K/uL</t>
        </is>
      </c>
      <c r="I191" t="n">
        <v>4.5</v>
      </c>
      <c r="J191" t="n">
        <v>11</v>
      </c>
      <c r="K191" t="inlineStr">
        <is>
          <t>H</t>
        </is>
      </c>
      <c r="L191" t="n">
        <v>25</v>
      </c>
    </row>
    <row r="192">
      <c r="A192" t="inlineStr">
        <is>
          <t>LAB745865</t>
        </is>
      </c>
      <c r="B192" s="30" t="n">
        <v>45948.24097222222</v>
      </c>
      <c r="C192" t="inlineStr">
        <is>
          <t>Bluestone Memorial Hospital</t>
        </is>
      </c>
      <c r="D192" t="inlineStr">
        <is>
          <t>PT10559</t>
        </is>
      </c>
      <c r="E192" t="inlineStr">
        <is>
          <t>CREAT</t>
        </is>
      </c>
      <c r="F192" t="inlineStr">
        <is>
          <t>Creatinine</t>
        </is>
      </c>
      <c r="G192" t="n">
        <v>1.48</v>
      </c>
      <c r="H192" t="inlineStr">
        <is>
          <t>mg/dL</t>
        </is>
      </c>
      <c r="I192" t="n">
        <v>0.6</v>
      </c>
      <c r="J192" t="n">
        <v>1.3</v>
      </c>
      <c r="K192" t="inlineStr">
        <is>
          <t>H</t>
        </is>
      </c>
      <c r="L192" t="n">
        <v>51</v>
      </c>
    </row>
    <row r="193">
      <c r="A193" t="inlineStr">
        <is>
          <t>LAB746029</t>
        </is>
      </c>
      <c r="B193" s="30" t="n">
        <v>45950.74930555555</v>
      </c>
      <c r="C193" t="inlineStr">
        <is>
          <t>Bluestone Memorial Hospital</t>
        </is>
      </c>
      <c r="D193" t="inlineStr">
        <is>
          <t>PT12578</t>
        </is>
      </c>
      <c r="E193" t="inlineStr">
        <is>
          <t>WBC</t>
        </is>
      </c>
      <c r="F193" t="inlineStr">
        <is>
          <t>White Blood Cell Count</t>
        </is>
      </c>
      <c r="G193" t="n">
        <v>18.6</v>
      </c>
      <c r="H193" t="inlineStr">
        <is>
          <t>K/uL</t>
        </is>
      </c>
      <c r="I193" t="n">
        <v>4.5</v>
      </c>
      <c r="J193" t="n">
        <v>11</v>
      </c>
      <c r="K193" t="inlineStr">
        <is>
          <t>H</t>
        </is>
      </c>
      <c r="L193" t="n">
        <v>123</v>
      </c>
    </row>
    <row r="194">
      <c r="A194" t="inlineStr">
        <is>
          <t>LAB746027</t>
        </is>
      </c>
      <c r="B194" s="30" t="n">
        <v>45950.76597222222</v>
      </c>
      <c r="C194" t="inlineStr">
        <is>
          <t>Bluestone Memorial Hospital</t>
        </is>
      </c>
      <c r="D194" t="inlineStr">
        <is>
          <t>PT12578</t>
        </is>
      </c>
      <c r="E194" t="inlineStr">
        <is>
          <t>GLU</t>
        </is>
      </c>
      <c r="F194" t="inlineStr">
        <is>
          <t>Glucose</t>
        </is>
      </c>
      <c r="G194" t="n">
        <v>171</v>
      </c>
      <c r="H194" t="inlineStr">
        <is>
          <t>mg/dL</t>
        </is>
      </c>
      <c r="I194" t="n">
        <v>70</v>
      </c>
      <c r="J194" t="n">
        <v>99</v>
      </c>
      <c r="K194" t="inlineStr">
        <is>
          <t>H</t>
        </is>
      </c>
      <c r="L194" t="n">
        <v>37</v>
      </c>
    </row>
    <row r="195">
      <c r="A195" t="inlineStr">
        <is>
          <t>LAB746031</t>
        </is>
      </c>
      <c r="B195" s="30" t="n">
        <v>45950.77361111111</v>
      </c>
      <c r="C195" t="inlineStr">
        <is>
          <t>Bluestone Memorial Hospital</t>
        </is>
      </c>
      <c r="D195" t="inlineStr">
        <is>
          <t>PT12578</t>
        </is>
      </c>
      <c r="E195" t="inlineStr">
        <is>
          <t>LACT</t>
        </is>
      </c>
      <c r="F195" t="inlineStr">
        <is>
          <t>Lactate</t>
        </is>
      </c>
      <c r="G195" t="n">
        <v>1.5</v>
      </c>
      <c r="H195" t="inlineStr">
        <is>
          <t>mmol/L</t>
        </is>
      </c>
      <c r="I195" t="n">
        <v>0.5</v>
      </c>
      <c r="J195" t="n">
        <v>2</v>
      </c>
      <c r="K195" t="inlineStr">
        <is>
          <t>N</t>
        </is>
      </c>
      <c r="L195" t="n">
        <v>75</v>
      </c>
    </row>
    <row r="196">
      <c r="A196" t="inlineStr">
        <is>
          <t>LAB746031</t>
        </is>
      </c>
      <c r="B196" s="30" t="n">
        <v>45950.77361111111</v>
      </c>
      <c r="C196" t="inlineStr">
        <is>
          <t>Bluestone Memorial Hospital</t>
        </is>
      </c>
      <c r="D196" t="inlineStr">
        <is>
          <t>PT12578</t>
        </is>
      </c>
      <c r="E196" t="inlineStr">
        <is>
          <t>LACT</t>
        </is>
      </c>
      <c r="F196" t="inlineStr">
        <is>
          <t>Lactate</t>
        </is>
      </c>
      <c r="G196" t="n">
        <v>1.5</v>
      </c>
      <c r="H196" t="inlineStr">
        <is>
          <t>mmol/L</t>
        </is>
      </c>
      <c r="I196" t="n">
        <v>0.5</v>
      </c>
      <c r="J196" t="n">
        <v>2</v>
      </c>
      <c r="K196" t="inlineStr">
        <is>
          <t>N</t>
        </is>
      </c>
      <c r="L196" t="n">
        <v>75</v>
      </c>
    </row>
    <row r="197">
      <c r="A197" t="inlineStr">
        <is>
          <t>LAB746120</t>
        </is>
      </c>
      <c r="B197" s="30" t="n">
        <v>45952.09375</v>
      </c>
      <c r="C197" t="inlineStr">
        <is>
          <t>Bluestone Memorial Hospital</t>
        </is>
      </c>
      <c r="D197" t="inlineStr">
        <is>
          <t>PT12552</t>
        </is>
      </c>
      <c r="E197" t="inlineStr">
        <is>
          <t>LACT</t>
        </is>
      </c>
      <c r="F197" t="inlineStr">
        <is>
          <t>Lactate</t>
        </is>
      </c>
      <c r="G197" t="n">
        <v>2.4</v>
      </c>
      <c r="H197" t="inlineStr">
        <is>
          <t>mmol/L</t>
        </is>
      </c>
      <c r="I197" t="n">
        <v>0.5</v>
      </c>
      <c r="J197" t="n">
        <v>2</v>
      </c>
      <c r="K197" t="inlineStr">
        <is>
          <t>H</t>
        </is>
      </c>
      <c r="L197" t="n">
        <v>69</v>
      </c>
    </row>
    <row r="198">
      <c r="A198" t="inlineStr">
        <is>
          <t>LAB746119</t>
        </is>
      </c>
      <c r="B198" s="30" t="n">
        <v>45952.12847222222</v>
      </c>
      <c r="C198" t="inlineStr">
        <is>
          <t>Bluestone Memorial Hospital</t>
        </is>
      </c>
      <c r="D198" t="inlineStr">
        <is>
          <t>PT12552</t>
        </is>
      </c>
      <c r="E198" t="inlineStr">
        <is>
          <t>HGB</t>
        </is>
      </c>
      <c r="F198" t="inlineStr">
        <is>
          <t>Hemoglobin</t>
        </is>
      </c>
      <c r="G198" t="n">
        <v>14.2</v>
      </c>
      <c r="H198" t="inlineStr">
        <is>
          <t>g/dL</t>
        </is>
      </c>
      <c r="I198" t="n">
        <v>12</v>
      </c>
      <c r="J198" t="n">
        <v>17.5</v>
      </c>
      <c r="K198" t="inlineStr">
        <is>
          <t>N</t>
        </is>
      </c>
      <c r="L198" t="n">
        <v>51</v>
      </c>
    </row>
    <row r="199">
      <c r="A199" t="inlineStr">
        <is>
          <t>LAB746401</t>
        </is>
      </c>
      <c r="B199" s="30" t="n">
        <v>45955.92361111111</v>
      </c>
      <c r="C199" t="inlineStr">
        <is>
          <t>Bluestone Memorial Hospital</t>
        </is>
      </c>
      <c r="D199" t="inlineStr">
        <is>
          <t>PT10874</t>
        </is>
      </c>
      <c r="E199" t="inlineStr">
        <is>
          <t>GLU</t>
        </is>
      </c>
      <c r="F199" t="inlineStr">
        <is>
          <t>Glucose</t>
        </is>
      </c>
      <c r="G199" t="n">
        <v>109</v>
      </c>
      <c r="H199" t="inlineStr">
        <is>
          <t>mg/dL</t>
        </is>
      </c>
      <c r="I199" t="n">
        <v>70</v>
      </c>
      <c r="J199" t="n">
        <v>99</v>
      </c>
      <c r="K199" t="inlineStr">
        <is>
          <t>H</t>
        </is>
      </c>
      <c r="L199" t="n">
        <v>87</v>
      </c>
    </row>
    <row r="200">
      <c r="A200" t="inlineStr">
        <is>
          <t>LAB746407</t>
        </is>
      </c>
      <c r="B200" s="30" t="n">
        <v>45955.92361111111</v>
      </c>
      <c r="C200" t="inlineStr">
        <is>
          <t>Bluestone Memorial Hospital</t>
        </is>
      </c>
      <c r="D200" t="inlineStr">
        <is>
          <t>PT10874</t>
        </is>
      </c>
      <c r="E200" t="inlineStr">
        <is>
          <t>LACT</t>
        </is>
      </c>
      <c r="F200" t="inlineStr">
        <is>
          <t>Lactate</t>
        </is>
      </c>
      <c r="G200" t="n">
        <v>2.9</v>
      </c>
      <c r="H200" t="inlineStr">
        <is>
          <t>mmol/L</t>
        </is>
      </c>
      <c r="I200" t="n">
        <v>0.5</v>
      </c>
      <c r="J200" t="n">
        <v>2</v>
      </c>
      <c r="K200" t="inlineStr">
        <is>
          <t>H</t>
        </is>
      </c>
      <c r="L200" t="n">
        <v>81</v>
      </c>
    </row>
    <row r="201">
      <c r="A201" t="inlineStr">
        <is>
          <t>LAB746402</t>
        </is>
      </c>
      <c r="B201" s="30" t="n">
        <v>45955.93611111111</v>
      </c>
      <c r="C201" t="inlineStr">
        <is>
          <t>Bluestone Memorial Hospital</t>
        </is>
      </c>
      <c r="D201" t="inlineStr">
        <is>
          <t>PT10874</t>
        </is>
      </c>
      <c r="E201" t="inlineStr">
        <is>
          <t>CREAT</t>
        </is>
      </c>
      <c r="F201" t="inlineStr">
        <is>
          <t>Creatinine</t>
        </is>
      </c>
      <c r="G201" t="n">
        <v>0.96</v>
      </c>
      <c r="H201" t="inlineStr">
        <is>
          <t>mg/dL</t>
        </is>
      </c>
      <c r="I201" t="n">
        <v>0.6</v>
      </c>
      <c r="J201" t="n">
        <v>1.3</v>
      </c>
      <c r="K201" t="inlineStr">
        <is>
          <t>N</t>
        </is>
      </c>
      <c r="L201" t="n">
        <v>41</v>
      </c>
    </row>
    <row r="202">
      <c r="A202" t="inlineStr">
        <is>
          <t>LAB746403</t>
        </is>
      </c>
      <c r="B202" s="30" t="n">
        <v>45955.94444444445</v>
      </c>
      <c r="C202" t="inlineStr">
        <is>
          <t>Bluestone Memorial Hospital</t>
        </is>
      </c>
      <c r="D202" t="inlineStr">
        <is>
          <t>PT10874</t>
        </is>
      </c>
      <c r="E202" t="inlineStr">
        <is>
          <t>WBC</t>
        </is>
      </c>
      <c r="F202" t="inlineStr">
        <is>
          <t>White Blood Cell Count</t>
        </is>
      </c>
      <c r="G202" t="n">
        <v>8</v>
      </c>
      <c r="H202" t="inlineStr">
        <is>
          <t>K/uL</t>
        </is>
      </c>
      <c r="I202" t="n">
        <v>4.5</v>
      </c>
      <c r="J202" t="n">
        <v>11</v>
      </c>
      <c r="K202" t="inlineStr">
        <is>
          <t>N</t>
        </is>
      </c>
      <c r="L202" t="n">
        <v>36</v>
      </c>
    </row>
    <row r="203">
      <c r="A203" t="inlineStr">
        <is>
          <t>LAB746405</t>
        </is>
      </c>
      <c r="B203" s="30" t="n">
        <v>45955.94861111111</v>
      </c>
      <c r="C203" t="inlineStr">
        <is>
          <t>Bluestone Memorial Hospital</t>
        </is>
      </c>
      <c r="D203" t="inlineStr">
        <is>
          <t>PT10874</t>
        </is>
      </c>
      <c r="E203" t="inlineStr">
        <is>
          <t>BUN</t>
        </is>
      </c>
      <c r="F203" t="inlineStr">
        <is>
          <t>Blood Urea Nitrogen</t>
        </is>
      </c>
      <c r="G203" t="n">
        <v>14</v>
      </c>
      <c r="H203" t="inlineStr">
        <is>
          <t>mg/dL</t>
        </is>
      </c>
      <c r="I203" t="n">
        <v>7</v>
      </c>
      <c r="J203" t="n">
        <v>20</v>
      </c>
      <c r="K203" t="inlineStr">
        <is>
          <t>N</t>
        </is>
      </c>
      <c r="L203" t="n">
        <v>59</v>
      </c>
    </row>
    <row r="204">
      <c r="A204" t="inlineStr">
        <is>
          <t>LAB746404</t>
        </is>
      </c>
      <c r="B204" s="30" t="n">
        <v>45955.95416666667</v>
      </c>
      <c r="C204" t="inlineStr">
        <is>
          <t>Bluestone Memorial Hospital</t>
        </is>
      </c>
      <c r="D204" t="inlineStr">
        <is>
          <t>PT10874</t>
        </is>
      </c>
      <c r="E204" t="inlineStr">
        <is>
          <t>HGB</t>
        </is>
      </c>
      <c r="F204" t="inlineStr">
        <is>
          <t>Hemoglobin</t>
        </is>
      </c>
      <c r="G204" t="n">
        <v>12.1</v>
      </c>
      <c r="H204" t="inlineStr">
        <is>
          <t>g/dL</t>
        </is>
      </c>
      <c r="I204" t="n">
        <v>12</v>
      </c>
      <c r="J204" t="n">
        <v>17.5</v>
      </c>
      <c r="K204" t="inlineStr">
        <is>
          <t>N</t>
        </is>
      </c>
      <c r="L204" t="n">
        <v>98</v>
      </c>
    </row>
    <row r="205">
      <c r="A205" t="inlineStr">
        <is>
          <t>LAB746511</t>
        </is>
      </c>
      <c r="B205" s="30" t="n">
        <v>45957.55416666667</v>
      </c>
      <c r="C205" t="inlineStr">
        <is>
          <t>Cedar Ridge Medical Center</t>
        </is>
      </c>
      <c r="D205" t="inlineStr">
        <is>
          <t>PT11258</t>
        </is>
      </c>
      <c r="E205" t="inlineStr">
        <is>
          <t>WBC</t>
        </is>
      </c>
      <c r="F205" t="inlineStr">
        <is>
          <t>White Blood Cell Count</t>
        </is>
      </c>
      <c r="G205" t="n">
        <v>8.5</v>
      </c>
      <c r="H205" t="inlineStr">
        <is>
          <t>K/uL</t>
        </is>
      </c>
      <c r="I205" t="n">
        <v>4.5</v>
      </c>
      <c r="J205" t="n">
        <v>11</v>
      </c>
      <c r="K205" t="inlineStr">
        <is>
          <t>N</t>
        </is>
      </c>
      <c r="L205" t="n">
        <v>36</v>
      </c>
    </row>
    <row r="206">
      <c r="A206" t="inlineStr">
        <is>
          <t>LAB746509</t>
        </is>
      </c>
      <c r="B206" s="30" t="n">
        <v>45957.56388888889</v>
      </c>
      <c r="C206" t="inlineStr">
        <is>
          <t>Cedar Ridge Medical Center</t>
        </is>
      </c>
      <c r="D206" t="inlineStr">
        <is>
          <t>PT11258</t>
        </is>
      </c>
      <c r="E206" t="inlineStr">
        <is>
          <t>GLU</t>
        </is>
      </c>
      <c r="F206" t="inlineStr">
        <is>
          <t>Glucose</t>
        </is>
      </c>
      <c r="G206" t="n">
        <v>138</v>
      </c>
      <c r="H206" t="inlineStr">
        <is>
          <t>mg/dL</t>
        </is>
      </c>
      <c r="I206" t="n">
        <v>70</v>
      </c>
      <c r="J206" t="n">
        <v>99</v>
      </c>
      <c r="K206" t="inlineStr">
        <is>
          <t>H</t>
        </is>
      </c>
      <c r="L206" t="n">
        <v>41</v>
      </c>
    </row>
    <row r="207">
      <c r="A207" t="inlineStr">
        <is>
          <t>LAB746510</t>
        </is>
      </c>
      <c r="B207" s="30" t="n">
        <v>45957.57361111111</v>
      </c>
      <c r="C207" t="inlineStr">
        <is>
          <t>Cedar Ridge Medical Center</t>
        </is>
      </c>
      <c r="D207" t="inlineStr">
        <is>
          <t>PT11258</t>
        </is>
      </c>
      <c r="E207" t="inlineStr">
        <is>
          <t>CREAT</t>
        </is>
      </c>
      <c r="F207" t="inlineStr">
        <is>
          <t>Creatinine</t>
        </is>
      </c>
      <c r="G207" t="n">
        <v>0.65</v>
      </c>
      <c r="H207" t="inlineStr">
        <is>
          <t>mg/dL</t>
        </is>
      </c>
      <c r="I207" t="n">
        <v>0.6</v>
      </c>
      <c r="J207" t="n">
        <v>1.3</v>
      </c>
      <c r="K207" t="inlineStr">
        <is>
          <t>N</t>
        </is>
      </c>
      <c r="L207" t="n">
        <v>65</v>
      </c>
    </row>
    <row r="208">
      <c r="A208" t="inlineStr">
        <is>
          <t>LAB746512</t>
        </is>
      </c>
      <c r="B208" s="30" t="n">
        <v>45957.57777777778</v>
      </c>
      <c r="C208" t="inlineStr">
        <is>
          <t>Cedar Ridge Medical Center</t>
        </is>
      </c>
      <c r="D208" t="inlineStr">
        <is>
          <t>PT11258</t>
        </is>
      </c>
      <c r="E208" t="inlineStr">
        <is>
          <t>HGB</t>
        </is>
      </c>
      <c r="F208" t="inlineStr">
        <is>
          <t>Hemoglobin</t>
        </is>
      </c>
      <c r="G208" t="n">
        <v>8.1</v>
      </c>
      <c r="H208" t="inlineStr">
        <is>
          <t>g/dL</t>
        </is>
      </c>
      <c r="I208" t="n">
        <v>12</v>
      </c>
      <c r="J208" t="n">
        <v>17.5</v>
      </c>
      <c r="K208" t="inlineStr">
        <is>
          <t>L</t>
        </is>
      </c>
      <c r="L208" t="n">
        <v>31</v>
      </c>
    </row>
    <row r="209">
      <c r="A209" t="inlineStr">
        <is>
          <t>LAB746513</t>
        </is>
      </c>
      <c r="B209" s="30" t="n">
        <v>45957.61180555556</v>
      </c>
      <c r="C209" t="inlineStr">
        <is>
          <t>Cedar Ridge Medical Center</t>
        </is>
      </c>
      <c r="D209" t="inlineStr">
        <is>
          <t>PT11258</t>
        </is>
      </c>
      <c r="E209" t="inlineStr">
        <is>
          <t>INR</t>
        </is>
      </c>
      <c r="F209" t="inlineStr">
        <is>
          <t>Prothrombin Time INR</t>
        </is>
      </c>
      <c r="G209" t="n">
        <v>0.9</v>
      </c>
      <c r="H209" t="inlineStr">
        <is>
          <t>ratio</t>
        </is>
      </c>
      <c r="I209" t="n">
        <v>0.8</v>
      </c>
      <c r="J209" t="n">
        <v>1.2</v>
      </c>
      <c r="K209" t="inlineStr">
        <is>
          <t>N</t>
        </is>
      </c>
      <c r="L209" t="n">
        <v>33</v>
      </c>
    </row>
    <row r="210">
      <c r="A210" t="inlineStr">
        <is>
          <t>LAB746710</t>
        </is>
      </c>
      <c r="B210" s="30" t="n">
        <v>45959.66875</v>
      </c>
      <c r="C210" t="inlineStr">
        <is>
          <t>Cedar Ridge Medical Center</t>
        </is>
      </c>
      <c r="D210" t="inlineStr">
        <is>
          <t>PT12026</t>
        </is>
      </c>
      <c r="E210" t="inlineStr">
        <is>
          <t>WBC</t>
        </is>
      </c>
      <c r="F210" t="inlineStr">
        <is>
          <t>White Blood Cell Count</t>
        </is>
      </c>
      <c r="G210" t="n">
        <v>24.9</v>
      </c>
      <c r="H210" t="inlineStr">
        <is>
          <t>K/uL</t>
        </is>
      </c>
      <c r="I210" t="n">
        <v>4.5</v>
      </c>
      <c r="J210" t="n">
        <v>11</v>
      </c>
      <c r="K210" t="inlineStr">
        <is>
          <t>H</t>
        </is>
      </c>
      <c r="L210" t="n">
        <v>48</v>
      </c>
    </row>
    <row r="211">
      <c r="A211" t="inlineStr">
        <is>
          <t>LAB746711</t>
        </is>
      </c>
      <c r="B211" s="30" t="n">
        <v>45959.68888888889</v>
      </c>
      <c r="C211" t="inlineStr">
        <is>
          <t>Cedar Ridge Medical Center</t>
        </is>
      </c>
      <c r="D211" t="inlineStr">
        <is>
          <t>PT12026</t>
        </is>
      </c>
      <c r="E211" t="inlineStr">
        <is>
          <t>HGB</t>
        </is>
      </c>
      <c r="F211" t="inlineStr">
        <is>
          <t>Hemoglobin</t>
        </is>
      </c>
      <c r="G211" t="n">
        <v>12.3</v>
      </c>
      <c r="H211" t="inlineStr">
        <is>
          <t>g/dL</t>
        </is>
      </c>
      <c r="I211" t="n">
        <v>12</v>
      </c>
      <c r="J211" t="n">
        <v>17.5</v>
      </c>
      <c r="K211" t="inlineStr">
        <is>
          <t>N</t>
        </is>
      </c>
      <c r="L211" t="n">
        <v>50</v>
      </c>
    </row>
    <row r="212">
      <c r="A212" t="inlineStr">
        <is>
          <t>LAB746708</t>
        </is>
      </c>
      <c r="B212" s="30" t="n">
        <v>45959.69583333333</v>
      </c>
      <c r="C212" t="inlineStr">
        <is>
          <t>Cedar Ridge Medical Center</t>
        </is>
      </c>
      <c r="D212" t="inlineStr">
        <is>
          <t>PT12026</t>
        </is>
      </c>
      <c r="E212" t="inlineStr">
        <is>
          <t>GLU</t>
        </is>
      </c>
      <c r="F212" t="inlineStr">
        <is>
          <t>Glucose</t>
        </is>
      </c>
      <c r="G212" t="n">
        <v>167</v>
      </c>
      <c r="H212" t="inlineStr">
        <is>
          <t>mg/dL</t>
        </is>
      </c>
      <c r="I212" t="n">
        <v>70</v>
      </c>
      <c r="J212" t="n">
        <v>99</v>
      </c>
      <c r="K212" t="inlineStr">
        <is>
          <t>H</t>
        </is>
      </c>
      <c r="L212" t="n">
        <v>43</v>
      </c>
    </row>
    <row r="213">
      <c r="A213" t="inlineStr">
        <is>
          <t>LAB746712</t>
        </is>
      </c>
      <c r="B213" s="30" t="n">
        <v>45959.7</v>
      </c>
      <c r="C213" t="inlineStr">
        <is>
          <t>Cedar Ridge Medical Center</t>
        </is>
      </c>
      <c r="D213" t="inlineStr">
        <is>
          <t>PT12026</t>
        </is>
      </c>
      <c r="E213" t="inlineStr">
        <is>
          <t>LACT</t>
        </is>
      </c>
      <c r="F213" t="inlineStr">
        <is>
          <t>Lactate</t>
        </is>
      </c>
      <c r="G213" t="n">
        <v>5.8</v>
      </c>
      <c r="H213" t="inlineStr">
        <is>
          <t>mmol/L</t>
        </is>
      </c>
      <c r="I213" t="n">
        <v>0.5</v>
      </c>
      <c r="J213" t="n">
        <v>2</v>
      </c>
      <c r="K213" t="inlineStr">
        <is>
          <t>HH</t>
        </is>
      </c>
      <c r="L213" t="n">
        <v>43</v>
      </c>
    </row>
    <row r="214">
      <c r="A214" t="inlineStr">
        <is>
          <t>LAB746822</t>
        </is>
      </c>
      <c r="B214" s="30" t="n">
        <v>45961.06319444445</v>
      </c>
      <c r="C214" t="inlineStr">
        <is>
          <t>Bluestone Memorial Hospital</t>
        </is>
      </c>
      <c r="D214" t="inlineStr">
        <is>
          <t>PT13534</t>
        </is>
      </c>
      <c r="E214" t="inlineStr">
        <is>
          <t>LACT</t>
        </is>
      </c>
      <c r="F214" t="inlineStr">
        <is>
          <t>Lactate</t>
        </is>
      </c>
      <c r="G214" t="n">
        <v>1.6</v>
      </c>
      <c r="H214" t="inlineStr">
        <is>
          <t>mmol/L</t>
        </is>
      </c>
      <c r="I214" t="n">
        <v>0.5</v>
      </c>
      <c r="J214" t="n">
        <v>2</v>
      </c>
      <c r="K214" t="inlineStr">
        <is>
          <t>N</t>
        </is>
      </c>
      <c r="L214" t="n">
        <v>62</v>
      </c>
    </row>
    <row r="215">
      <c r="A215" t="inlineStr">
        <is>
          <t>LAB746820</t>
        </is>
      </c>
      <c r="B215" s="30" t="n">
        <v>45961.11944444444</v>
      </c>
      <c r="C215" t="inlineStr">
        <is>
          <t>Bluestone Memorial Hospital</t>
        </is>
      </c>
      <c r="D215" t="inlineStr">
        <is>
          <t>PT13534</t>
        </is>
      </c>
      <c r="E215" t="inlineStr">
        <is>
          <t>WBC</t>
        </is>
      </c>
      <c r="F215" t="inlineStr">
        <is>
          <t>White Blood Cell Count</t>
        </is>
      </c>
      <c r="G215" t="n">
        <v>17.6</v>
      </c>
      <c r="H215" t="inlineStr">
        <is>
          <t>K/uL</t>
        </is>
      </c>
      <c r="I215" t="n">
        <v>4.5</v>
      </c>
      <c r="J215" t="n">
        <v>11</v>
      </c>
      <c r="K215" t="inlineStr">
        <is>
          <t>H</t>
        </is>
      </c>
      <c r="L215" t="n">
        <v>34</v>
      </c>
    </row>
    <row r="216">
      <c r="A216" t="inlineStr">
        <is>
          <t>LAB746876</t>
        </is>
      </c>
      <c r="B216" s="30" t="n">
        <v>45961.75972222222</v>
      </c>
      <c r="C216" t="inlineStr">
        <is>
          <t>Ashby Falls Community Hospital</t>
        </is>
      </c>
      <c r="D216" t="inlineStr">
        <is>
          <t>PT13782</t>
        </is>
      </c>
      <c r="E216" t="inlineStr">
        <is>
          <t>INR</t>
        </is>
      </c>
      <c r="F216" t="inlineStr">
        <is>
          <t>Prothrombin Time INR</t>
        </is>
      </c>
      <c r="G216" t="n">
        <v>1</v>
      </c>
      <c r="H216" t="inlineStr">
        <is>
          <t>ratio</t>
        </is>
      </c>
      <c r="I216" t="n">
        <v>0.8</v>
      </c>
      <c r="J216" t="n">
        <v>1.2</v>
      </c>
      <c r="K216" t="inlineStr">
        <is>
          <t>N</t>
        </is>
      </c>
      <c r="L216" t="n">
        <v>30</v>
      </c>
    </row>
    <row r="217">
      <c r="A217" t="inlineStr">
        <is>
          <t>LAB746873</t>
        </is>
      </c>
      <c r="B217" s="30" t="n">
        <v>45961.77916666667</v>
      </c>
      <c r="C217" t="inlineStr">
        <is>
          <t>Ashby Falls Community Hospital</t>
        </is>
      </c>
      <c r="D217" t="inlineStr">
        <is>
          <t>PT13782</t>
        </is>
      </c>
      <c r="E217" t="inlineStr">
        <is>
          <t>HGB</t>
        </is>
      </c>
      <c r="F217" t="inlineStr">
        <is>
          <t>Hemoglobin</t>
        </is>
      </c>
      <c r="G217" t="n">
        <v>8.1</v>
      </c>
      <c r="H217" t="inlineStr">
        <is>
          <t>g/dL</t>
        </is>
      </c>
      <c r="I217" t="n">
        <v>12</v>
      </c>
      <c r="J217" t="n">
        <v>17.5</v>
      </c>
      <c r="K217" t="inlineStr">
        <is>
          <t>L</t>
        </is>
      </c>
      <c r="L217" t="n">
        <v>43</v>
      </c>
    </row>
    <row r="218">
      <c r="A218" t="inlineStr">
        <is>
          <t>LAB746870</t>
        </is>
      </c>
      <c r="B218" s="30" t="n">
        <v>45961.78472222222</v>
      </c>
      <c r="C218" t="inlineStr">
        <is>
          <t>Ashby Falls Community Hospital</t>
        </is>
      </c>
      <c r="D218" t="inlineStr">
        <is>
          <t>PT13782</t>
        </is>
      </c>
      <c r="E218" t="inlineStr">
        <is>
          <t>GLU</t>
        </is>
      </c>
      <c r="F218" t="inlineStr">
        <is>
          <t>Glucose</t>
        </is>
      </c>
      <c r="G218" t="n">
        <v>102</v>
      </c>
      <c r="H218" t="inlineStr">
        <is>
          <t>mg/dL</t>
        </is>
      </c>
      <c r="I218" t="n">
        <v>70</v>
      </c>
      <c r="J218" t="n">
        <v>99</v>
      </c>
      <c r="K218" t="inlineStr">
        <is>
          <t>H</t>
        </is>
      </c>
      <c r="L218" t="n">
        <v>24</v>
      </c>
    </row>
    <row r="219">
      <c r="A219" t="inlineStr">
        <is>
          <t>LAB746875</t>
        </is>
      </c>
      <c r="B219" s="30" t="n">
        <v>45961.80972222222</v>
      </c>
      <c r="C219" t="inlineStr">
        <is>
          <t>Ashby Falls Community Hospital</t>
        </is>
      </c>
      <c r="D219" t="inlineStr">
        <is>
          <t>PT13782</t>
        </is>
      </c>
      <c r="E219" t="inlineStr">
        <is>
          <t>K</t>
        </is>
      </c>
      <c r="F219" t="inlineStr">
        <is>
          <t>Potassium</t>
        </is>
      </c>
      <c r="G219" t="n">
        <v>4.2</v>
      </c>
      <c r="H219" t="inlineStr">
        <is>
          <t>mmol/L</t>
        </is>
      </c>
      <c r="I219" t="n">
        <v>3.5</v>
      </c>
      <c r="J219" t="n">
        <v>5.1</v>
      </c>
      <c r="K219" t="inlineStr">
        <is>
          <t>N</t>
        </is>
      </c>
      <c r="L219" t="n">
        <v>73</v>
      </c>
    </row>
    <row r="220">
      <c r="A220" t="inlineStr">
        <is>
          <t>LAB746924</t>
        </is>
      </c>
      <c r="B220" s="30" t="n">
        <v>45961.94861111111</v>
      </c>
      <c r="C220" t="inlineStr">
        <is>
          <t>Ashby Falls Community Hospital</t>
        </is>
      </c>
      <c r="D220" t="inlineStr">
        <is>
          <t>PT11261</t>
        </is>
      </c>
      <c r="E220" t="inlineStr">
        <is>
          <t>WBC</t>
        </is>
      </c>
      <c r="F220" t="inlineStr">
        <is>
          <t>White Blood Cell Count</t>
        </is>
      </c>
      <c r="G220" t="n">
        <v>7</v>
      </c>
      <c r="H220" t="inlineStr">
        <is>
          <t>K/uL</t>
        </is>
      </c>
      <c r="I220" t="n">
        <v>4.5</v>
      </c>
      <c r="J220" t="n">
        <v>11</v>
      </c>
      <c r="K220" t="inlineStr">
        <is>
          <t>N</t>
        </is>
      </c>
      <c r="L220" t="n">
        <v>44</v>
      </c>
    </row>
    <row r="221">
      <c r="A221" t="inlineStr">
        <is>
          <t>LAB746923</t>
        </is>
      </c>
      <c r="B221" s="30" t="n">
        <v>45961.95694444444</v>
      </c>
      <c r="C221" t="inlineStr">
        <is>
          <t>Ashby Falls Community Hospital</t>
        </is>
      </c>
      <c r="D221" t="inlineStr">
        <is>
          <t>PT11261</t>
        </is>
      </c>
      <c r="E221" t="inlineStr">
        <is>
          <t>CREAT</t>
        </is>
      </c>
      <c r="F221" t="inlineStr">
        <is>
          <t>Creatinine</t>
        </is>
      </c>
      <c r="G221" t="n">
        <v>1.29</v>
      </c>
      <c r="H221" t="inlineStr">
        <is>
          <t>mg/dL</t>
        </is>
      </c>
      <c r="I221" t="n">
        <v>0.6</v>
      </c>
      <c r="J221" t="n">
        <v>1.3</v>
      </c>
      <c r="K221" t="inlineStr">
        <is>
          <t>N</t>
        </is>
      </c>
      <c r="L221" t="n">
        <v>31</v>
      </c>
    </row>
    <row r="222">
      <c r="A222" t="inlineStr">
        <is>
          <t>LAB746922</t>
        </is>
      </c>
      <c r="B222" s="30" t="n">
        <v>45961.96319444444</v>
      </c>
      <c r="C222" t="inlineStr">
        <is>
          <t>Ashby Falls Community Hospital</t>
        </is>
      </c>
      <c r="D222" t="inlineStr">
        <is>
          <t>PT11261</t>
        </is>
      </c>
      <c r="E222" t="inlineStr">
        <is>
          <t>GLU</t>
        </is>
      </c>
      <c r="F222" t="inlineStr">
        <is>
          <t>Glucose</t>
        </is>
      </c>
      <c r="G222" t="n">
        <v>87</v>
      </c>
      <c r="H222" t="inlineStr">
        <is>
          <t>mg/dL</t>
        </is>
      </c>
      <c r="I222" t="n">
        <v>70</v>
      </c>
      <c r="J222" t="n">
        <v>99</v>
      </c>
      <c r="K222" t="inlineStr">
        <is>
          <t>N</t>
        </is>
      </c>
      <c r="L222" t="n">
        <v>23</v>
      </c>
    </row>
    <row r="223">
      <c r="A223" t="inlineStr">
        <is>
          <t>LAB746925</t>
        </is>
      </c>
      <c r="B223" s="30" t="n">
        <v>45961.97777777778</v>
      </c>
      <c r="C223" t="inlineStr">
        <is>
          <t>Ashby Falls Community Hospital</t>
        </is>
      </c>
      <c r="D223" t="inlineStr">
        <is>
          <t>PT11261</t>
        </is>
      </c>
      <c r="E223" t="inlineStr">
        <is>
          <t>HGB</t>
        </is>
      </c>
      <c r="F223" t="inlineStr">
        <is>
          <t>Hemoglobin</t>
        </is>
      </c>
      <c r="G223" t="n">
        <v>8.1</v>
      </c>
      <c r="H223" t="inlineStr">
        <is>
          <t>g/dL</t>
        </is>
      </c>
      <c r="I223" t="n">
        <v>12</v>
      </c>
      <c r="J223" t="n">
        <v>17.5</v>
      </c>
      <c r="K223" t="inlineStr">
        <is>
          <t>L</t>
        </is>
      </c>
      <c r="L223" t="n">
        <v>52</v>
      </c>
    </row>
    <row r="224">
      <c r="A224" t="inlineStr">
        <is>
          <t>LAB747274</t>
        </is>
      </c>
      <c r="B224" s="30" t="n">
        <v>45966.97152777778</v>
      </c>
      <c r="C224" t="inlineStr">
        <is>
          <t>Bluestone Memorial Hospital</t>
        </is>
      </c>
      <c r="D224" t="inlineStr">
        <is>
          <t>PT10912</t>
        </is>
      </c>
      <c r="E224" t="inlineStr">
        <is>
          <t>LACT</t>
        </is>
      </c>
      <c r="F224" t="inlineStr">
        <is>
          <t>Lactate</t>
        </is>
      </c>
      <c r="G224" t="n">
        <v>2.2</v>
      </c>
      <c r="H224" t="inlineStr">
        <is>
          <t>mmol/L</t>
        </is>
      </c>
      <c r="I224" t="n">
        <v>0.5</v>
      </c>
      <c r="J224" t="n">
        <v>2</v>
      </c>
      <c r="K224" t="inlineStr">
        <is>
          <t>H</t>
        </is>
      </c>
      <c r="L224" t="n">
        <v>26</v>
      </c>
    </row>
    <row r="225">
      <c r="A225" t="inlineStr">
        <is>
          <t>LAB747272</t>
        </is>
      </c>
      <c r="B225" s="30" t="n">
        <v>45966.98541666667</v>
      </c>
      <c r="C225" t="inlineStr">
        <is>
          <t>Bluestone Memorial Hospital</t>
        </is>
      </c>
      <c r="D225" t="inlineStr">
        <is>
          <t>PT10912</t>
        </is>
      </c>
      <c r="E225" t="inlineStr">
        <is>
          <t>WBC</t>
        </is>
      </c>
      <c r="F225" t="inlineStr">
        <is>
          <t>White Blood Cell Count</t>
        </is>
      </c>
      <c r="G225" t="n">
        <v>7.5</v>
      </c>
      <c r="H225" t="inlineStr">
        <is>
          <t>K/uL</t>
        </is>
      </c>
      <c r="I225" t="n">
        <v>4.5</v>
      </c>
      <c r="J225" t="n">
        <v>11</v>
      </c>
      <c r="K225" t="inlineStr">
        <is>
          <t>N</t>
        </is>
      </c>
      <c r="L225" t="n">
        <v>42</v>
      </c>
    </row>
    <row r="226">
      <c r="A226" t="inlineStr">
        <is>
          <t>LAB747270</t>
        </is>
      </c>
      <c r="B226" s="30" t="n">
        <v>45966.99652777778</v>
      </c>
      <c r="C226" t="inlineStr">
        <is>
          <t>Bluestone Memorial Hospital</t>
        </is>
      </c>
      <c r="D226" t="inlineStr">
        <is>
          <t>PT10912</t>
        </is>
      </c>
      <c r="E226" t="inlineStr">
        <is>
          <t>GLU</t>
        </is>
      </c>
      <c r="F226" t="inlineStr">
        <is>
          <t>Glucose</t>
        </is>
      </c>
      <c r="G226" t="n">
        <v>139</v>
      </c>
      <c r="H226" t="inlineStr">
        <is>
          <t>mg/dL</t>
        </is>
      </c>
      <c r="I226" t="n">
        <v>70</v>
      </c>
      <c r="J226" t="n">
        <v>99</v>
      </c>
      <c r="K226" t="inlineStr">
        <is>
          <t>H</t>
        </is>
      </c>
      <c r="L226" t="n">
        <v>44</v>
      </c>
    </row>
    <row r="227">
      <c r="A227" t="inlineStr">
        <is>
          <t>LAB747273</t>
        </is>
      </c>
      <c r="B227" s="30" t="n">
        <v>45967.00555555556</v>
      </c>
      <c r="C227" t="inlineStr">
        <is>
          <t>Bluestone Memorial Hospital</t>
        </is>
      </c>
      <c r="D227" t="inlineStr">
        <is>
          <t>PT10912</t>
        </is>
      </c>
      <c r="E227" t="inlineStr">
        <is>
          <t>HGB</t>
        </is>
      </c>
      <c r="F227" t="inlineStr">
        <is>
          <t>Hemoglobin</t>
        </is>
      </c>
      <c r="G227" t="n">
        <v>14.7</v>
      </c>
      <c r="H227" t="inlineStr">
        <is>
          <t>g/dL</t>
        </is>
      </c>
      <c r="I227" t="n">
        <v>12</v>
      </c>
      <c r="J227" t="n">
        <v>17.5</v>
      </c>
      <c r="K227" t="inlineStr">
        <is>
          <t>N</t>
        </is>
      </c>
      <c r="L227" t="n">
        <v>33</v>
      </c>
    </row>
    <row r="228">
      <c r="A228" t="inlineStr">
        <is>
          <t>LAB747612</t>
        </is>
      </c>
      <c r="B228" s="30" t="n">
        <v>45971.72013888889</v>
      </c>
      <c r="C228" t="inlineStr">
        <is>
          <t>Bluestone Memorial Hospital</t>
        </is>
      </c>
      <c r="D228" t="inlineStr">
        <is>
          <t>PT11981</t>
        </is>
      </c>
      <c r="E228" t="inlineStr">
        <is>
          <t>PLT</t>
        </is>
      </c>
      <c r="F228" t="inlineStr">
        <is>
          <t>Platelet Count</t>
        </is>
      </c>
      <c r="G228" t="n">
        <v>192</v>
      </c>
      <c r="H228" t="inlineStr">
        <is>
          <t>K/uL</t>
        </is>
      </c>
      <c r="I228" t="n">
        <v>150</v>
      </c>
      <c r="J228" t="n">
        <v>400</v>
      </c>
      <c r="K228" t="inlineStr">
        <is>
          <t>N</t>
        </is>
      </c>
      <c r="L228" t="n">
        <v>29</v>
      </c>
    </row>
    <row r="229">
      <c r="A229" t="inlineStr">
        <is>
          <t>LAB747610</t>
        </is>
      </c>
      <c r="B229" s="30" t="n">
        <v>45971.74930555555</v>
      </c>
      <c r="C229" t="inlineStr">
        <is>
          <t>Bluestone Memorial Hospital</t>
        </is>
      </c>
      <c r="D229" t="inlineStr">
        <is>
          <t>PT11981</t>
        </is>
      </c>
      <c r="E229" t="inlineStr">
        <is>
          <t>HGB</t>
        </is>
      </c>
      <c r="F229" t="inlineStr">
        <is>
          <t>Hemoglobin</t>
        </is>
      </c>
      <c r="G229" t="n">
        <v>14.2</v>
      </c>
      <c r="H229" t="inlineStr">
        <is>
          <t>g/dL</t>
        </is>
      </c>
      <c r="I229" t="n">
        <v>12</v>
      </c>
      <c r="J229" t="n">
        <v>17.5</v>
      </c>
      <c r="K229" t="inlineStr">
        <is>
          <t>N</t>
        </is>
      </c>
      <c r="L229" t="n">
        <v>47</v>
      </c>
    </row>
    <row r="230">
      <c r="A230" t="inlineStr">
        <is>
          <t>LAB747613</t>
        </is>
      </c>
      <c r="B230" s="30" t="n">
        <v>45971.75555555556</v>
      </c>
      <c r="C230" t="inlineStr">
        <is>
          <t>Bluestone Memorial Hospital</t>
        </is>
      </c>
      <c r="D230" t="inlineStr">
        <is>
          <t>PT11981</t>
        </is>
      </c>
      <c r="E230" t="inlineStr">
        <is>
          <t>LACT</t>
        </is>
      </c>
      <c r="F230" t="inlineStr">
        <is>
          <t>Lactate</t>
        </is>
      </c>
      <c r="G230" t="n">
        <v>6</v>
      </c>
      <c r="H230" t="inlineStr">
        <is>
          <t>mmol/L</t>
        </is>
      </c>
      <c r="I230" t="n">
        <v>0.5</v>
      </c>
      <c r="J230" t="n">
        <v>2</v>
      </c>
      <c r="K230" t="inlineStr">
        <is>
          <t>HH</t>
        </is>
      </c>
      <c r="L230" t="n">
        <v>41</v>
      </c>
    </row>
    <row r="231">
      <c r="A231" t="inlineStr">
        <is>
          <t>LAB747608</t>
        </is>
      </c>
      <c r="B231" s="30" t="n">
        <v>45971.76319444444</v>
      </c>
      <c r="C231" t="inlineStr">
        <is>
          <t>Bluestone Memorial Hospital</t>
        </is>
      </c>
      <c r="D231" t="inlineStr">
        <is>
          <t>PT11981</t>
        </is>
      </c>
      <c r="E231" t="inlineStr">
        <is>
          <t>CREAT</t>
        </is>
      </c>
      <c r="F231" t="inlineStr">
        <is>
          <t>Creatinine</t>
        </is>
      </c>
      <c r="G231" t="n">
        <v>1.18</v>
      </c>
      <c r="H231" t="inlineStr">
        <is>
          <t>mg/dL</t>
        </is>
      </c>
      <c r="I231" t="n">
        <v>0.6</v>
      </c>
      <c r="J231" t="n">
        <v>1.3</v>
      </c>
      <c r="K231" t="inlineStr">
        <is>
          <t>N</t>
        </is>
      </c>
      <c r="L231" t="n">
        <v>45</v>
      </c>
    </row>
    <row r="232">
      <c r="A232" t="inlineStr">
        <is>
          <t>LAB747709</t>
        </is>
      </c>
      <c r="B232" s="30" t="n">
        <v>45972.59652777778</v>
      </c>
      <c r="C232" t="inlineStr">
        <is>
          <t>Cedar Ridge Medical Center</t>
        </is>
      </c>
      <c r="D232" t="inlineStr">
        <is>
          <t>PT12206</t>
        </is>
      </c>
      <c r="E232" t="inlineStr">
        <is>
          <t>LACT</t>
        </is>
      </c>
      <c r="F232" t="inlineStr">
        <is>
          <t>Lactate</t>
        </is>
      </c>
      <c r="G232" t="n">
        <v>0.9</v>
      </c>
      <c r="H232" t="inlineStr">
        <is>
          <t>mmol/L</t>
        </is>
      </c>
      <c r="I232" t="n">
        <v>0.5</v>
      </c>
      <c r="J232" t="n">
        <v>2</v>
      </c>
      <c r="K232" t="inlineStr">
        <is>
          <t>N</t>
        </is>
      </c>
      <c r="L232" t="n">
        <v>96</v>
      </c>
    </row>
    <row r="233">
      <c r="A233" t="inlineStr">
        <is>
          <t>LAB747703</t>
        </is>
      </c>
      <c r="B233" s="30" t="n">
        <v>45972.60347222222</v>
      </c>
      <c r="C233" t="inlineStr">
        <is>
          <t>Cedar Ridge Medical Center</t>
        </is>
      </c>
      <c r="D233" t="inlineStr">
        <is>
          <t>PT12206</t>
        </is>
      </c>
      <c r="E233" t="inlineStr">
        <is>
          <t>GLU</t>
        </is>
      </c>
      <c r="F233" t="inlineStr">
        <is>
          <t>Glucose</t>
        </is>
      </c>
      <c r="G233" t="n">
        <v>131</v>
      </c>
      <c r="H233" t="inlineStr">
        <is>
          <t>mg/dL</t>
        </is>
      </c>
      <c r="I233" t="n">
        <v>70</v>
      </c>
      <c r="J233" t="n">
        <v>99</v>
      </c>
      <c r="K233" t="inlineStr">
        <is>
          <t>H</t>
        </is>
      </c>
      <c r="L233" t="n">
        <v>48</v>
      </c>
    </row>
    <row r="234">
      <c r="A234" t="inlineStr">
        <is>
          <t>LAB747704</t>
        </is>
      </c>
      <c r="B234" s="30" t="n">
        <v>45972.61041666667</v>
      </c>
      <c r="C234" t="inlineStr">
        <is>
          <t>Cedar Ridge Medical Center</t>
        </is>
      </c>
      <c r="D234" t="inlineStr">
        <is>
          <t>PT12206</t>
        </is>
      </c>
      <c r="E234" t="inlineStr">
        <is>
          <t>CREAT</t>
        </is>
      </c>
      <c r="F234" t="inlineStr">
        <is>
          <t>Creatinine</t>
        </is>
      </c>
      <c r="G234" t="n">
        <v>2.23</v>
      </c>
      <c r="H234" t="inlineStr">
        <is>
          <t>mg/dL</t>
        </is>
      </c>
      <c r="I234" t="n">
        <v>0.6</v>
      </c>
      <c r="J234" t="n">
        <v>1.3</v>
      </c>
      <c r="K234" t="inlineStr">
        <is>
          <t>H</t>
        </is>
      </c>
      <c r="L234" t="n">
        <v>84</v>
      </c>
    </row>
    <row r="235">
      <c r="A235" t="inlineStr">
        <is>
          <t>LAB747708</t>
        </is>
      </c>
      <c r="B235" s="30" t="n">
        <v>45972.61041666667</v>
      </c>
      <c r="C235" t="inlineStr">
        <is>
          <t>Cedar Ridge Medical Center</t>
        </is>
      </c>
      <c r="D235" t="inlineStr">
        <is>
          <t>PT12206</t>
        </is>
      </c>
      <c r="E235" t="inlineStr">
        <is>
          <t>K</t>
        </is>
      </c>
      <c r="F235" t="inlineStr">
        <is>
          <t>Potassium</t>
        </is>
      </c>
      <c r="G235" t="n">
        <v>3.9</v>
      </c>
      <c r="H235" t="inlineStr">
        <is>
          <t>mmol/L</t>
        </is>
      </c>
      <c r="I235" t="n">
        <v>3.5</v>
      </c>
      <c r="J235" t="n">
        <v>5.1</v>
      </c>
      <c r="K235" t="inlineStr">
        <is>
          <t>N</t>
        </is>
      </c>
      <c r="L235" t="n">
        <v>44</v>
      </c>
    </row>
    <row r="236">
      <c r="A236" t="inlineStr">
        <is>
          <t>LAB747707</t>
        </is>
      </c>
      <c r="B236" s="30" t="n">
        <v>45972.62986111111</v>
      </c>
      <c r="C236" t="inlineStr">
        <is>
          <t>Cedar Ridge Medical Center</t>
        </is>
      </c>
      <c r="D236" t="inlineStr">
        <is>
          <t>PT12206</t>
        </is>
      </c>
      <c r="E236" t="inlineStr">
        <is>
          <t>NA</t>
        </is>
      </c>
      <c r="F236" t="inlineStr">
        <is>
          <t>Sodium</t>
        </is>
      </c>
      <c r="G236" t="n">
        <v>146</v>
      </c>
      <c r="H236" t="inlineStr">
        <is>
          <t>mmol/L</t>
        </is>
      </c>
      <c r="I236" t="n">
        <v>136</v>
      </c>
      <c r="J236" t="n">
        <v>145</v>
      </c>
      <c r="K236" t="inlineStr">
        <is>
          <t>H</t>
        </is>
      </c>
      <c r="L236" t="n">
        <v>28</v>
      </c>
    </row>
    <row r="237">
      <c r="A237" t="inlineStr">
        <is>
          <t>LAB747706</t>
        </is>
      </c>
      <c r="B237" s="30" t="n">
        <v>45972.63333333333</v>
      </c>
      <c r="C237" t="inlineStr">
        <is>
          <t>Cedar Ridge Medical Center</t>
        </is>
      </c>
      <c r="D237" t="inlineStr">
        <is>
          <t>PT12206</t>
        </is>
      </c>
      <c r="E237" t="inlineStr">
        <is>
          <t>HGB</t>
        </is>
      </c>
      <c r="F237" t="inlineStr">
        <is>
          <t>Hemoglobin</t>
        </is>
      </c>
      <c r="G237" t="n">
        <v>13.6</v>
      </c>
      <c r="H237" t="inlineStr">
        <is>
          <t>g/dL</t>
        </is>
      </c>
      <c r="I237" t="n">
        <v>12</v>
      </c>
      <c r="J237" t="n">
        <v>17.5</v>
      </c>
      <c r="K237" t="inlineStr">
        <is>
          <t>N</t>
        </is>
      </c>
      <c r="L237" t="n">
        <v>59</v>
      </c>
    </row>
    <row r="238">
      <c r="A238" t="inlineStr">
        <is>
          <t>LAB748109</t>
        </is>
      </c>
      <c r="B238" s="30" t="n">
        <v>45978.59722222222</v>
      </c>
      <c r="C238" t="inlineStr">
        <is>
          <t>Bluestone Memorial Hospital</t>
        </is>
      </c>
      <c r="D238" t="inlineStr">
        <is>
          <t>PT12924</t>
        </is>
      </c>
      <c r="E238" t="inlineStr">
        <is>
          <t>CREAT</t>
        </is>
      </c>
      <c r="F238" t="inlineStr">
        <is>
          <t>Creatinine</t>
        </is>
      </c>
      <c r="G238" t="n">
        <v>0.83</v>
      </c>
      <c r="H238" t="inlineStr">
        <is>
          <t>mg/dL</t>
        </is>
      </c>
      <c r="I238" t="n">
        <v>0.6</v>
      </c>
      <c r="J238" t="n">
        <v>1.3</v>
      </c>
      <c r="K238" t="inlineStr">
        <is>
          <t>N</t>
        </is>
      </c>
      <c r="L238" t="n">
        <v>26</v>
      </c>
    </row>
    <row r="239">
      <c r="A239" t="inlineStr">
        <is>
          <t>LAB748112</t>
        </is>
      </c>
      <c r="B239" s="30" t="n">
        <v>45978.60555555556</v>
      </c>
      <c r="C239" t="inlineStr">
        <is>
          <t>Bluestone Memorial Hospital</t>
        </is>
      </c>
      <c r="D239" t="inlineStr">
        <is>
          <t>PT12924</t>
        </is>
      </c>
      <c r="E239" t="inlineStr">
        <is>
          <t>LACT</t>
        </is>
      </c>
      <c r="F239" t="inlineStr">
        <is>
          <t>Lactate</t>
        </is>
      </c>
      <c r="G239" t="n">
        <v>2.2</v>
      </c>
      <c r="H239" t="inlineStr">
        <is>
          <t>mmol/L</t>
        </is>
      </c>
      <c r="I239" t="n">
        <v>0.5</v>
      </c>
      <c r="J239" t="n">
        <v>2</v>
      </c>
      <c r="K239" t="inlineStr">
        <is>
          <t>H</t>
        </is>
      </c>
      <c r="L239" t="n">
        <v>44</v>
      </c>
    </row>
    <row r="240">
      <c r="A240" t="inlineStr">
        <is>
          <t>LAB748108</t>
        </is>
      </c>
      <c r="B240" s="30" t="n">
        <v>45978.63680555556</v>
      </c>
      <c r="C240" t="inlineStr">
        <is>
          <t>Bluestone Memorial Hospital</t>
        </is>
      </c>
      <c r="D240" t="inlineStr">
        <is>
          <t>PT12924</t>
        </is>
      </c>
      <c r="E240" t="inlineStr">
        <is>
          <t>GLU</t>
        </is>
      </c>
      <c r="F240" t="inlineStr">
        <is>
          <t>Glucose</t>
        </is>
      </c>
      <c r="G240" t="n">
        <v>135</v>
      </c>
      <c r="H240" t="inlineStr">
        <is>
          <t>mg/dL</t>
        </is>
      </c>
      <c r="I240" t="n">
        <v>70</v>
      </c>
      <c r="J240" t="n">
        <v>99</v>
      </c>
      <c r="K240" t="inlineStr">
        <is>
          <t>H</t>
        </is>
      </c>
      <c r="L240" t="n">
        <v>22</v>
      </c>
    </row>
    <row r="241">
      <c r="A241" t="inlineStr">
        <is>
          <t>LAB748173</t>
        </is>
      </c>
      <c r="B241" s="30" t="n">
        <v>45979.39444444444</v>
      </c>
      <c r="C241" t="inlineStr">
        <is>
          <t>Bluestone Memorial Hospital</t>
        </is>
      </c>
      <c r="D241" t="inlineStr">
        <is>
          <t>PT13350</t>
        </is>
      </c>
      <c r="E241" t="inlineStr">
        <is>
          <t>CREAT</t>
        </is>
      </c>
      <c r="F241" t="inlineStr">
        <is>
          <t>Creatinine</t>
        </is>
      </c>
      <c r="G241" t="n">
        <v>0.5600000000000001</v>
      </c>
      <c r="H241" t="inlineStr">
        <is>
          <t>mg/dL</t>
        </is>
      </c>
      <c r="I241" t="n">
        <v>0.6</v>
      </c>
      <c r="J241" t="n">
        <v>1.3</v>
      </c>
      <c r="K241" t="inlineStr">
        <is>
          <t>L</t>
        </is>
      </c>
      <c r="L241" t="n">
        <v>77</v>
      </c>
    </row>
    <row r="242">
      <c r="A242" t="inlineStr">
        <is>
          <t>LAB748176</t>
        </is>
      </c>
      <c r="B242" s="30" t="n">
        <v>45979.39583333334</v>
      </c>
      <c r="C242" t="inlineStr">
        <is>
          <t>Bluestone Memorial Hospital</t>
        </is>
      </c>
      <c r="D242" t="inlineStr">
        <is>
          <t>PT13350</t>
        </is>
      </c>
      <c r="E242" t="inlineStr">
        <is>
          <t>LACT</t>
        </is>
      </c>
      <c r="F242" t="inlineStr">
        <is>
          <t>Lactate</t>
        </is>
      </c>
      <c r="G242" t="n">
        <v>0.8</v>
      </c>
      <c r="H242" t="inlineStr">
        <is>
          <t>mmol/L</t>
        </is>
      </c>
      <c r="I242" t="n">
        <v>0.5</v>
      </c>
      <c r="J242" t="n">
        <v>2</v>
      </c>
      <c r="K242" t="inlineStr">
        <is>
          <t>N</t>
        </is>
      </c>
      <c r="L242" t="n">
        <v>50</v>
      </c>
    </row>
    <row r="243">
      <c r="A243" t="inlineStr">
        <is>
          <t>LAB748174</t>
        </is>
      </c>
      <c r="B243" s="30" t="n">
        <v>45979.41111111111</v>
      </c>
      <c r="C243" t="inlineStr">
        <is>
          <t>Bluestone Memorial Hospital</t>
        </is>
      </c>
      <c r="D243" t="inlineStr">
        <is>
          <t>PT13350</t>
        </is>
      </c>
      <c r="E243" t="inlineStr">
        <is>
          <t>WBC</t>
        </is>
      </c>
      <c r="F243" t="inlineStr">
        <is>
          <t>White Blood Cell Count</t>
        </is>
      </c>
      <c r="G243" t="n">
        <v>7.4</v>
      </c>
      <c r="H243" t="inlineStr">
        <is>
          <t>K/uL</t>
        </is>
      </c>
      <c r="I243" t="n">
        <v>4.5</v>
      </c>
      <c r="J243" t="n">
        <v>11</v>
      </c>
      <c r="K243" t="inlineStr">
        <is>
          <t>N</t>
        </is>
      </c>
      <c r="L243" t="n">
        <v>46</v>
      </c>
    </row>
    <row r="244">
      <c r="A244" t="inlineStr">
        <is>
          <t>LAB748175</t>
        </is>
      </c>
      <c r="B244" s="30" t="n">
        <v>45979.41666666666</v>
      </c>
      <c r="C244" t="inlineStr">
        <is>
          <t>Bluestone Memorial Hospital</t>
        </is>
      </c>
      <c r="D244" t="inlineStr">
        <is>
          <t>PT13350</t>
        </is>
      </c>
      <c r="E244" t="inlineStr">
        <is>
          <t>HGB</t>
        </is>
      </c>
      <c r="F244" t="inlineStr">
        <is>
          <t>Hemoglobin</t>
        </is>
      </c>
      <c r="G244" t="n">
        <v>13.4</v>
      </c>
      <c r="H244" t="inlineStr">
        <is>
          <t>g/dL</t>
        </is>
      </c>
      <c r="I244" t="n">
        <v>12</v>
      </c>
      <c r="J244" t="n">
        <v>17.5</v>
      </c>
      <c r="K244" t="inlineStr">
        <is>
          <t>N</t>
        </is>
      </c>
      <c r="L244" t="n">
        <v>40</v>
      </c>
    </row>
    <row r="245">
      <c r="A245" t="inlineStr">
        <is>
          <t>LAB748172</t>
        </is>
      </c>
      <c r="B245" s="30" t="n">
        <v>45979.43402777778</v>
      </c>
      <c r="C245" t="inlineStr">
        <is>
          <t>Bluestone Memorial Hospital</t>
        </is>
      </c>
      <c r="D245" t="inlineStr">
        <is>
          <t>PT13350</t>
        </is>
      </c>
      <c r="E245" t="inlineStr">
        <is>
          <t>GLU</t>
        </is>
      </c>
      <c r="F245" t="inlineStr">
        <is>
          <t>Glucose</t>
        </is>
      </c>
      <c r="G245" t="n">
        <v>125</v>
      </c>
      <c r="H245" t="inlineStr">
        <is>
          <t>mg/dL</t>
        </is>
      </c>
      <c r="I245" t="n">
        <v>70</v>
      </c>
      <c r="J245" t="n">
        <v>99</v>
      </c>
      <c r="K245" t="inlineStr">
        <is>
          <t>H</t>
        </is>
      </c>
      <c r="L245" t="n">
        <v>42</v>
      </c>
    </row>
    <row r="246">
      <c r="A246" t="inlineStr">
        <is>
          <t>LAB748186</t>
        </is>
      </c>
      <c r="B246" s="30" t="n">
        <v>45979.64444444444</v>
      </c>
      <c r="C246" t="inlineStr">
        <is>
          <t>Bluestone Memorial Hospital</t>
        </is>
      </c>
      <c r="D246" t="inlineStr">
        <is>
          <t>PT11673</t>
        </is>
      </c>
      <c r="E246" t="inlineStr">
        <is>
          <t>LACT</t>
        </is>
      </c>
      <c r="F246" t="inlineStr">
        <is>
          <t>Lactate</t>
        </is>
      </c>
      <c r="G246" t="n">
        <v>3.4</v>
      </c>
      <c r="H246" t="inlineStr">
        <is>
          <t>mmol/L</t>
        </is>
      </c>
      <c r="I246" t="n">
        <v>0.5</v>
      </c>
      <c r="J246" t="n">
        <v>2</v>
      </c>
      <c r="K246" t="inlineStr">
        <is>
          <t>H</t>
        </is>
      </c>
      <c r="L246" t="n">
        <v>113</v>
      </c>
    </row>
    <row r="247">
      <c r="A247" t="inlineStr">
        <is>
          <t>LAB748183</t>
        </is>
      </c>
      <c r="B247" s="30" t="n">
        <v>45979.65347222222</v>
      </c>
      <c r="C247" t="inlineStr">
        <is>
          <t>Bluestone Memorial Hospital</t>
        </is>
      </c>
      <c r="D247" t="inlineStr">
        <is>
          <t>PT11673</t>
        </is>
      </c>
      <c r="E247" t="inlineStr">
        <is>
          <t>CREAT</t>
        </is>
      </c>
      <c r="F247" t="inlineStr">
        <is>
          <t>Creatinine</t>
        </is>
      </c>
      <c r="G247" t="n">
        <v>1.26</v>
      </c>
      <c r="H247" t="inlineStr">
        <is>
          <t>mg/dL</t>
        </is>
      </c>
      <c r="I247" t="n">
        <v>0.6</v>
      </c>
      <c r="J247" t="n">
        <v>1.3</v>
      </c>
      <c r="K247" t="inlineStr">
        <is>
          <t>N</t>
        </is>
      </c>
      <c r="L247" t="n">
        <v>68</v>
      </c>
    </row>
    <row r="248">
      <c r="A248" t="inlineStr">
        <is>
          <t>LAB748182</t>
        </is>
      </c>
      <c r="B248" s="30" t="n">
        <v>45979.66875</v>
      </c>
      <c r="C248" t="inlineStr">
        <is>
          <t>Bluestone Memorial Hospital</t>
        </is>
      </c>
      <c r="D248" t="inlineStr">
        <is>
          <t>PT11673</t>
        </is>
      </c>
      <c r="E248" t="inlineStr">
        <is>
          <t>GLU</t>
        </is>
      </c>
      <c r="F248" t="inlineStr">
        <is>
          <t>Glucose</t>
        </is>
      </c>
      <c r="G248" t="n">
        <v>147</v>
      </c>
      <c r="H248" t="inlineStr">
        <is>
          <t>mg/dL</t>
        </is>
      </c>
      <c r="I248" t="n">
        <v>70</v>
      </c>
      <c r="J248" t="n">
        <v>99</v>
      </c>
      <c r="K248" t="inlineStr">
        <is>
          <t>H</t>
        </is>
      </c>
      <c r="L248" t="n">
        <v>27</v>
      </c>
    </row>
    <row r="249">
      <c r="A249" t="inlineStr">
        <is>
          <t>LAB748184</t>
        </is>
      </c>
      <c r="B249" s="30" t="n">
        <v>45979.67916666667</v>
      </c>
      <c r="C249" t="inlineStr">
        <is>
          <t>Bluestone Memorial Hospital</t>
        </is>
      </c>
      <c r="D249" t="inlineStr">
        <is>
          <t>PT11673</t>
        </is>
      </c>
      <c r="E249" t="inlineStr">
        <is>
          <t>WBC</t>
        </is>
      </c>
      <c r="F249" t="inlineStr">
        <is>
          <t>White Blood Cell Count</t>
        </is>
      </c>
      <c r="G249" t="n">
        <v>19.9</v>
      </c>
      <c r="H249" t="inlineStr">
        <is>
          <t>K/uL</t>
        </is>
      </c>
      <c r="I249" t="n">
        <v>4.5</v>
      </c>
      <c r="J249" t="n">
        <v>11</v>
      </c>
      <c r="K249" t="inlineStr">
        <is>
          <t>H</t>
        </is>
      </c>
      <c r="L249" t="n">
        <v>44</v>
      </c>
    </row>
    <row r="250">
      <c r="A250" t="inlineStr">
        <is>
          <t>LAB748185</t>
        </is>
      </c>
      <c r="B250" s="30" t="n">
        <v>45979.68194444444</v>
      </c>
      <c r="C250" t="inlineStr">
        <is>
          <t>Bluestone Memorial Hospital</t>
        </is>
      </c>
      <c r="D250" t="inlineStr">
        <is>
          <t>PT11673</t>
        </is>
      </c>
      <c r="E250" t="inlineStr">
        <is>
          <t>HGB</t>
        </is>
      </c>
      <c r="F250" t="inlineStr">
        <is>
          <t>Hemoglobin</t>
        </is>
      </c>
      <c r="G250" t="n">
        <v>14.2</v>
      </c>
      <c r="H250" t="inlineStr">
        <is>
          <t>g/dL</t>
        </is>
      </c>
      <c r="I250" t="n">
        <v>12</v>
      </c>
      <c r="J250" t="n">
        <v>17.5</v>
      </c>
      <c r="K250" t="inlineStr">
        <is>
          <t>N</t>
        </is>
      </c>
      <c r="L250" t="n">
        <v>64</v>
      </c>
    </row>
    <row r="251">
      <c r="A251" t="inlineStr">
        <is>
          <t>LAB748419</t>
        </is>
      </c>
      <c r="B251" s="30" t="n">
        <v>45982.07013888889</v>
      </c>
      <c r="C251" t="inlineStr">
        <is>
          <t>Bluestone Memorial Hospital</t>
        </is>
      </c>
      <c r="D251" t="inlineStr">
        <is>
          <t>PT11834</t>
        </is>
      </c>
      <c r="E251" t="inlineStr">
        <is>
          <t>NA</t>
        </is>
      </c>
      <c r="F251" t="inlineStr">
        <is>
          <t>Sodium</t>
        </is>
      </c>
      <c r="G251" t="n">
        <v>144</v>
      </c>
      <c r="H251" t="inlineStr">
        <is>
          <t>mmol/L</t>
        </is>
      </c>
      <c r="I251" t="n">
        <v>136</v>
      </c>
      <c r="J251" t="n">
        <v>145</v>
      </c>
      <c r="K251" t="inlineStr">
        <is>
          <t>N</t>
        </is>
      </c>
      <c r="L251" t="n">
        <v>24</v>
      </c>
    </row>
    <row r="252">
      <c r="A252" t="inlineStr">
        <is>
          <t>LAB748419</t>
        </is>
      </c>
      <c r="B252" s="30" t="n">
        <v>45982.07013888889</v>
      </c>
      <c r="C252" t="inlineStr">
        <is>
          <t>Bluestone Memorial Hospital</t>
        </is>
      </c>
      <c r="D252" t="inlineStr">
        <is>
          <t>PT11834</t>
        </is>
      </c>
      <c r="E252" t="inlineStr">
        <is>
          <t>NA</t>
        </is>
      </c>
      <c r="F252" t="inlineStr">
        <is>
          <t>Sodium</t>
        </is>
      </c>
      <c r="G252" t="n">
        <v>144</v>
      </c>
      <c r="H252" t="inlineStr">
        <is>
          <t>mmol/L</t>
        </is>
      </c>
      <c r="I252" t="n">
        <v>136</v>
      </c>
      <c r="J252" t="n">
        <v>145</v>
      </c>
      <c r="K252" t="inlineStr">
        <is>
          <t>N</t>
        </is>
      </c>
      <c r="L252" t="n">
        <v>24</v>
      </c>
    </row>
    <row r="253">
      <c r="A253" t="inlineStr">
        <is>
          <t>LAB748421</t>
        </is>
      </c>
      <c r="B253" s="30" t="n">
        <v>45982.07777777778</v>
      </c>
      <c r="C253" t="inlineStr">
        <is>
          <t>Bluestone Memorial Hospital</t>
        </is>
      </c>
      <c r="D253" t="inlineStr">
        <is>
          <t>PT11834</t>
        </is>
      </c>
      <c r="E253" t="inlineStr">
        <is>
          <t>LACT</t>
        </is>
      </c>
      <c r="F253" t="inlineStr">
        <is>
          <t>Lactate</t>
        </is>
      </c>
      <c r="G253" t="n">
        <v>2.1</v>
      </c>
      <c r="H253" t="inlineStr">
        <is>
          <t>mmol/L</t>
        </is>
      </c>
      <c r="I253" t="n">
        <v>0.5</v>
      </c>
      <c r="J253" t="n">
        <v>2</v>
      </c>
      <c r="K253" t="inlineStr">
        <is>
          <t>H</t>
        </is>
      </c>
      <c r="L253" t="n">
        <v>38</v>
      </c>
    </row>
    <row r="254">
      <c r="A254" t="inlineStr">
        <is>
          <t>LAB748417</t>
        </is>
      </c>
      <c r="B254" s="30" t="n">
        <v>45982.09027777778</v>
      </c>
      <c r="C254" t="inlineStr">
        <is>
          <t>Bluestone Memorial Hospital</t>
        </is>
      </c>
      <c r="D254" t="inlineStr">
        <is>
          <t>PT11834</t>
        </is>
      </c>
      <c r="E254" t="inlineStr">
        <is>
          <t>WBC</t>
        </is>
      </c>
      <c r="F254" t="inlineStr">
        <is>
          <t>White Blood Cell Count</t>
        </is>
      </c>
      <c r="G254" t="n">
        <v>15.7</v>
      </c>
      <c r="H254" t="inlineStr">
        <is>
          <t>K/uL</t>
        </is>
      </c>
      <c r="I254" t="n">
        <v>4.5</v>
      </c>
      <c r="J254" t="n">
        <v>11</v>
      </c>
      <c r="K254" t="inlineStr">
        <is>
          <t>H</t>
        </is>
      </c>
      <c r="L254" t="n">
        <v>50</v>
      </c>
    </row>
    <row r="255">
      <c r="A255" t="inlineStr">
        <is>
          <t>LAB748418</t>
        </is>
      </c>
      <c r="B255" s="30" t="n">
        <v>45982.09097222222</v>
      </c>
      <c r="C255" t="inlineStr">
        <is>
          <t>Bluestone Memorial Hospital</t>
        </is>
      </c>
      <c r="D255" t="inlineStr">
        <is>
          <t>PT11834</t>
        </is>
      </c>
      <c r="E255" t="inlineStr">
        <is>
          <t>HGB</t>
        </is>
      </c>
      <c r="F255" t="inlineStr">
        <is>
          <t>Hemoglobin</t>
        </is>
      </c>
      <c r="G255" t="n">
        <v>16.8</v>
      </c>
      <c r="H255" t="inlineStr">
        <is>
          <t>g/dL</t>
        </is>
      </c>
      <c r="I255" t="n">
        <v>12</v>
      </c>
      <c r="J255" t="n">
        <v>17.5</v>
      </c>
      <c r="K255" t="inlineStr">
        <is>
          <t>N</t>
        </is>
      </c>
      <c r="L255" t="n">
        <v>33</v>
      </c>
    </row>
    <row r="256">
      <c r="A256" t="inlineStr">
        <is>
          <t>LAB748420</t>
        </is>
      </c>
      <c r="B256" s="30" t="n">
        <v>45982.09444444445</v>
      </c>
      <c r="C256" t="inlineStr">
        <is>
          <t>Bluestone Memorial Hospital</t>
        </is>
      </c>
      <c r="D256" t="inlineStr">
        <is>
          <t>PT11834</t>
        </is>
      </c>
      <c r="E256" t="inlineStr">
        <is>
          <t>K</t>
        </is>
      </c>
      <c r="F256" t="inlineStr">
        <is>
          <t>Potassium</t>
        </is>
      </c>
      <c r="G256" t="n">
        <v>3.9</v>
      </c>
      <c r="H256" t="inlineStr">
        <is>
          <t>mmol/L</t>
        </is>
      </c>
      <c r="I256" t="n">
        <v>3.5</v>
      </c>
      <c r="J256" t="n">
        <v>5.1</v>
      </c>
      <c r="K256" t="inlineStr">
        <is>
          <t>N</t>
        </is>
      </c>
      <c r="L256" t="n">
        <v>53</v>
      </c>
    </row>
    <row r="257">
      <c r="A257" t="inlineStr">
        <is>
          <t>LAB748761</t>
        </is>
      </c>
      <c r="B257" s="30" t="n">
        <v>45986.84861111111</v>
      </c>
      <c r="C257" t="inlineStr">
        <is>
          <t>Bluestone Memorial Hospital</t>
        </is>
      </c>
      <c r="D257" t="inlineStr">
        <is>
          <t>PT12631</t>
        </is>
      </c>
      <c r="E257" t="inlineStr">
        <is>
          <t>HGB</t>
        </is>
      </c>
      <c r="F257" t="inlineStr">
        <is>
          <t>Hemoglobin</t>
        </is>
      </c>
      <c r="G257" t="n">
        <v>13.1</v>
      </c>
      <c r="H257" t="inlineStr">
        <is>
          <t>g/dL</t>
        </is>
      </c>
      <c r="I257" t="n">
        <v>12</v>
      </c>
      <c r="J257" t="n">
        <v>17.5</v>
      </c>
      <c r="K257" t="inlineStr">
        <is>
          <t>N</t>
        </is>
      </c>
      <c r="L257" t="n">
        <v>27</v>
      </c>
    </row>
    <row r="258">
      <c r="A258" t="inlineStr">
        <is>
          <t>LAB748760</t>
        </is>
      </c>
      <c r="B258" s="30" t="n">
        <v>45986.85069444445</v>
      </c>
      <c r="C258" t="inlineStr">
        <is>
          <t>Bluestone Memorial Hospital</t>
        </is>
      </c>
      <c r="D258" t="inlineStr">
        <is>
          <t>PT12631</t>
        </is>
      </c>
      <c r="E258" t="inlineStr">
        <is>
          <t>WBC</t>
        </is>
      </c>
      <c r="F258" t="inlineStr">
        <is>
          <t>White Blood Cell Count</t>
        </is>
      </c>
      <c r="G258" t="n">
        <v>3.1</v>
      </c>
      <c r="H258" t="inlineStr">
        <is>
          <t>K/uL</t>
        </is>
      </c>
      <c r="I258" t="n">
        <v>4.5</v>
      </c>
      <c r="J258" t="n">
        <v>11</v>
      </c>
      <c r="K258" t="inlineStr">
        <is>
          <t>L</t>
        </is>
      </c>
      <c r="L258" t="n">
        <v>41</v>
      </c>
    </row>
    <row r="259">
      <c r="A259" t="inlineStr">
        <is>
          <t>LAB748762</t>
        </is>
      </c>
      <c r="B259" s="30" t="n">
        <v>45986.85277777778</v>
      </c>
      <c r="C259" t="inlineStr">
        <is>
          <t>Bluestone Memorial Hospital</t>
        </is>
      </c>
      <c r="D259" t="inlineStr">
        <is>
          <t>PT12631</t>
        </is>
      </c>
      <c r="E259" t="inlineStr">
        <is>
          <t>LACT</t>
        </is>
      </c>
      <c r="F259" t="inlineStr">
        <is>
          <t>Lactate</t>
        </is>
      </c>
      <c r="G259" t="n">
        <v>2.9</v>
      </c>
      <c r="H259" t="inlineStr">
        <is>
          <t>mmol/L</t>
        </is>
      </c>
      <c r="I259" t="n">
        <v>0.5</v>
      </c>
      <c r="J259" t="n">
        <v>2</v>
      </c>
      <c r="K259" t="inlineStr">
        <is>
          <t>H</t>
        </is>
      </c>
      <c r="L259" t="n">
        <v>68</v>
      </c>
    </row>
    <row r="260">
      <c r="A260" t="inlineStr">
        <is>
          <t>LAB748759</t>
        </is>
      </c>
      <c r="B260" s="30" t="n">
        <v>45986.85416666666</v>
      </c>
      <c r="C260" t="inlineStr">
        <is>
          <t>Bluestone Memorial Hospital</t>
        </is>
      </c>
      <c r="D260" t="inlineStr">
        <is>
          <t>PT12631</t>
        </is>
      </c>
      <c r="E260" t="inlineStr">
        <is>
          <t>CREAT</t>
        </is>
      </c>
      <c r="F260" t="inlineStr">
        <is>
          <t>Creatinine</t>
        </is>
      </c>
      <c r="G260" t="n">
        <v>1.48</v>
      </c>
      <c r="H260" t="inlineStr">
        <is>
          <t>mg/dL</t>
        </is>
      </c>
      <c r="I260" t="n">
        <v>0.6</v>
      </c>
      <c r="J260" t="n">
        <v>1.3</v>
      </c>
      <c r="K260" t="inlineStr">
        <is>
          <t>H</t>
        </is>
      </c>
      <c r="L260" t="n">
        <v>47</v>
      </c>
    </row>
    <row r="261">
      <c r="A261" t="inlineStr">
        <is>
          <t>LAB748765</t>
        </is>
      </c>
      <c r="B261" s="30" t="n">
        <v>45987.06388888889</v>
      </c>
      <c r="C261" t="inlineStr">
        <is>
          <t>Bluestone Memorial Hospital</t>
        </is>
      </c>
      <c r="D261" t="inlineStr">
        <is>
          <t>PT12191</t>
        </is>
      </c>
      <c r="E261" t="inlineStr">
        <is>
          <t>WBC</t>
        </is>
      </c>
      <c r="F261" t="inlineStr">
        <is>
          <t>White Blood Cell Count</t>
        </is>
      </c>
      <c r="G261" t="n">
        <v>5.4</v>
      </c>
      <c r="H261" t="inlineStr">
        <is>
          <t>K/uL</t>
        </is>
      </c>
      <c r="I261" t="n">
        <v>4.5</v>
      </c>
      <c r="J261" t="n">
        <v>11</v>
      </c>
      <c r="K261" t="inlineStr">
        <is>
          <t>N</t>
        </is>
      </c>
      <c r="L261" t="n">
        <v>15</v>
      </c>
    </row>
    <row r="262">
      <c r="A262" t="inlineStr">
        <is>
          <t>LAB748766</t>
        </is>
      </c>
      <c r="B262" s="30" t="n">
        <v>45987.07847222222</v>
      </c>
      <c r="C262" t="inlineStr">
        <is>
          <t>Bluestone Memorial Hospital</t>
        </is>
      </c>
      <c r="D262" t="inlineStr">
        <is>
          <t>PT12191</t>
        </is>
      </c>
      <c r="E262" t="inlineStr">
        <is>
          <t>HGB</t>
        </is>
      </c>
      <c r="F262" t="inlineStr">
        <is>
          <t>Hemoglobin</t>
        </is>
      </c>
      <c r="G262" t="n">
        <v>15.1</v>
      </c>
      <c r="H262" t="inlineStr">
        <is>
          <t>g/dL</t>
        </is>
      </c>
      <c r="I262" t="n">
        <v>12</v>
      </c>
      <c r="J262" t="n">
        <v>17.5</v>
      </c>
      <c r="K262" t="inlineStr">
        <is>
          <t>N</t>
        </is>
      </c>
      <c r="L262" t="n">
        <v>41</v>
      </c>
    </row>
    <row r="263">
      <c r="A263" t="inlineStr">
        <is>
          <t>LAB748767</t>
        </is>
      </c>
      <c r="B263" s="30" t="n">
        <v>45987.08263888889</v>
      </c>
      <c r="C263" t="inlineStr">
        <is>
          <t>Bluestone Memorial Hospital</t>
        </is>
      </c>
      <c r="D263" t="inlineStr">
        <is>
          <t>PT12191</t>
        </is>
      </c>
      <c r="E263" t="inlineStr">
        <is>
          <t>LACT</t>
        </is>
      </c>
      <c r="F263" t="inlineStr">
        <is>
          <t>Lactate</t>
        </is>
      </c>
      <c r="G263" t="n">
        <v>1.5</v>
      </c>
      <c r="H263" t="inlineStr">
        <is>
          <t>mmol/L</t>
        </is>
      </c>
      <c r="I263" t="n">
        <v>0.5</v>
      </c>
      <c r="J263" t="n">
        <v>2</v>
      </c>
      <c r="K263" t="inlineStr">
        <is>
          <t>N</t>
        </is>
      </c>
      <c r="L263" t="n">
        <v>19</v>
      </c>
    </row>
    <row r="264">
      <c r="A264" t="inlineStr">
        <is>
          <t>LAB748853</t>
        </is>
      </c>
      <c r="B264" s="30" t="n">
        <v>45988.77847222222</v>
      </c>
      <c r="C264" t="inlineStr">
        <is>
          <t>Bluestone Memorial Hospital</t>
        </is>
      </c>
      <c r="D264" t="inlineStr">
        <is>
          <t>PT12789</t>
        </is>
      </c>
      <c r="E264" t="inlineStr">
        <is>
          <t>LACT</t>
        </is>
      </c>
      <c r="F264" t="inlineStr">
        <is>
          <t>Lactate</t>
        </is>
      </c>
      <c r="G264" t="n">
        <v>1.9</v>
      </c>
      <c r="H264" t="inlineStr">
        <is>
          <t>mmol/L</t>
        </is>
      </c>
      <c r="I264" t="n">
        <v>0.5</v>
      </c>
      <c r="J264" t="n">
        <v>2</v>
      </c>
      <c r="K264" t="inlineStr">
        <is>
          <t>N</t>
        </is>
      </c>
      <c r="L264" t="n">
        <v>112</v>
      </c>
    </row>
    <row r="265">
      <c r="A265" t="inlineStr">
        <is>
          <t>LAB748851</t>
        </is>
      </c>
      <c r="B265" s="30" t="n">
        <v>45988.77916666667</v>
      </c>
      <c r="C265" t="inlineStr">
        <is>
          <t>Bluestone Memorial Hospital</t>
        </is>
      </c>
      <c r="D265" t="inlineStr">
        <is>
          <t>PT12789</t>
        </is>
      </c>
      <c r="E265" t="inlineStr">
        <is>
          <t>WBC</t>
        </is>
      </c>
      <c r="F265" t="inlineStr">
        <is>
          <t>White Blood Cell Count</t>
        </is>
      </c>
      <c r="G265" t="n">
        <v>15.7</v>
      </c>
      <c r="H265" t="inlineStr">
        <is>
          <t>K/uL</t>
        </is>
      </c>
      <c r="I265" t="n">
        <v>4.5</v>
      </c>
      <c r="J265" t="n">
        <v>11</v>
      </c>
      <c r="K265" t="inlineStr">
        <is>
          <t>H</t>
        </is>
      </c>
      <c r="L265" t="n">
        <v>60</v>
      </c>
    </row>
    <row r="266">
      <c r="A266" t="inlineStr">
        <is>
          <t>LAB748852</t>
        </is>
      </c>
      <c r="B266" s="30" t="n">
        <v>45988.79166666666</v>
      </c>
      <c r="C266" t="inlineStr">
        <is>
          <t>Bluestone Memorial Hospital</t>
        </is>
      </c>
      <c r="D266" t="inlineStr">
        <is>
          <t>PT12789</t>
        </is>
      </c>
      <c r="E266" t="inlineStr">
        <is>
          <t>HGB</t>
        </is>
      </c>
      <c r="F266" t="inlineStr">
        <is>
          <t>Hemoglobin</t>
        </is>
      </c>
      <c r="G266" t="n">
        <v>14.8</v>
      </c>
      <c r="H266" t="inlineStr">
        <is>
          <t>g/dL</t>
        </is>
      </c>
      <c r="I266" t="n">
        <v>12</v>
      </c>
      <c r="J266" t="n">
        <v>17.5</v>
      </c>
      <c r="K266" t="inlineStr">
        <is>
          <t>N</t>
        </is>
      </c>
      <c r="L266" t="n">
        <v>104</v>
      </c>
    </row>
    <row r="267">
      <c r="A267" t="inlineStr">
        <is>
          <t>LAB748850</t>
        </is>
      </c>
      <c r="B267" s="30" t="n">
        <v>45988.79722222222</v>
      </c>
      <c r="C267" t="inlineStr">
        <is>
          <t>Bluestone Memorial Hospital</t>
        </is>
      </c>
      <c r="D267" t="inlineStr">
        <is>
          <t>PT12789</t>
        </is>
      </c>
      <c r="E267" t="inlineStr">
        <is>
          <t>CREAT</t>
        </is>
      </c>
      <c r="F267" t="inlineStr">
        <is>
          <t>Creatinine</t>
        </is>
      </c>
      <c r="G267" t="n">
        <v>1.42</v>
      </c>
      <c r="H267" t="inlineStr">
        <is>
          <t>mg/dL</t>
        </is>
      </c>
      <c r="I267" t="n">
        <v>0.6</v>
      </c>
      <c r="J267" t="n">
        <v>1.3</v>
      </c>
      <c r="K267" t="inlineStr">
        <is>
          <t>H</t>
        </is>
      </c>
      <c r="L267" t="n">
        <v>64</v>
      </c>
    </row>
    <row r="268">
      <c r="A268" t="inlineStr">
        <is>
          <t>LAB748892</t>
        </is>
      </c>
      <c r="B268" s="30" t="n">
        <v>45989.27291666667</v>
      </c>
      <c r="C268" t="inlineStr">
        <is>
          <t>Bluestone Memorial Hospital</t>
        </is>
      </c>
      <c r="D268" t="inlineStr">
        <is>
          <t>PT10856</t>
        </is>
      </c>
      <c r="E268" t="inlineStr">
        <is>
          <t>K</t>
        </is>
      </c>
      <c r="F268" t="inlineStr">
        <is>
          <t>Potassium</t>
        </is>
      </c>
      <c r="G268" t="n">
        <v>4</v>
      </c>
      <c r="H268" t="inlineStr">
        <is>
          <t>mmol/L</t>
        </is>
      </c>
      <c r="I268" t="n">
        <v>3.5</v>
      </c>
      <c r="J268" t="n">
        <v>5.1</v>
      </c>
      <c r="K268" t="inlineStr">
        <is>
          <t>N</t>
        </is>
      </c>
      <c r="L268" t="n">
        <v>70</v>
      </c>
    </row>
    <row r="269">
      <c r="A269" t="inlineStr">
        <is>
          <t>LAB748887</t>
        </is>
      </c>
      <c r="B269" s="30" t="n">
        <v>45989.27708333333</v>
      </c>
      <c r="C269" t="inlineStr">
        <is>
          <t>Bluestone Memorial Hospital</t>
        </is>
      </c>
      <c r="D269" t="inlineStr">
        <is>
          <t>PT10856</t>
        </is>
      </c>
      <c r="E269" t="inlineStr">
        <is>
          <t>GLU</t>
        </is>
      </c>
      <c r="F269" t="inlineStr">
        <is>
          <t>Glucose</t>
        </is>
      </c>
      <c r="G269" t="n">
        <v>130</v>
      </c>
      <c r="H269" t="inlineStr">
        <is>
          <t>mg/dL</t>
        </is>
      </c>
      <c r="I269" t="n">
        <v>70</v>
      </c>
      <c r="J269" t="n">
        <v>99</v>
      </c>
      <c r="K269" t="inlineStr">
        <is>
          <t>H</t>
        </is>
      </c>
      <c r="L269" t="n">
        <v>29</v>
      </c>
    </row>
    <row r="270">
      <c r="A270" t="inlineStr">
        <is>
          <t>LAB748888</t>
        </is>
      </c>
      <c r="B270" s="30" t="n">
        <v>45989.28263888889</v>
      </c>
      <c r="C270" t="inlineStr">
        <is>
          <t>Bluestone Memorial Hospital</t>
        </is>
      </c>
      <c r="D270" t="inlineStr">
        <is>
          <t>PT10856</t>
        </is>
      </c>
      <c r="E270" t="inlineStr">
        <is>
          <t>CREAT</t>
        </is>
      </c>
      <c r="F270" t="inlineStr">
        <is>
          <t>Creatinine</t>
        </is>
      </c>
      <c r="G270" t="n">
        <v>0.85</v>
      </c>
      <c r="H270" t="inlineStr">
        <is>
          <t>mg/dL</t>
        </is>
      </c>
      <c r="I270" t="n">
        <v>0.6</v>
      </c>
      <c r="J270" t="n">
        <v>1.3</v>
      </c>
      <c r="K270" t="inlineStr">
        <is>
          <t>N</t>
        </is>
      </c>
      <c r="L270" t="n">
        <v>59</v>
      </c>
    </row>
    <row r="271">
      <c r="A271" t="inlineStr">
        <is>
          <t>LAB748893</t>
        </is>
      </c>
      <c r="B271" s="30" t="n">
        <v>45989.30763888889</v>
      </c>
      <c r="C271" t="inlineStr">
        <is>
          <t>Bluestone Memorial Hospital</t>
        </is>
      </c>
      <c r="D271" t="inlineStr">
        <is>
          <t>PT10856</t>
        </is>
      </c>
      <c r="E271" t="inlineStr">
        <is>
          <t>LACT</t>
        </is>
      </c>
      <c r="F271" t="inlineStr">
        <is>
          <t>Lactate</t>
        </is>
      </c>
      <c r="G271" t="n">
        <v>2</v>
      </c>
      <c r="H271" t="inlineStr">
        <is>
          <t>mmol/L</t>
        </is>
      </c>
      <c r="I271" t="n">
        <v>0.5</v>
      </c>
      <c r="J271" t="n">
        <v>2</v>
      </c>
      <c r="K271" t="inlineStr">
        <is>
          <t>N</t>
        </is>
      </c>
      <c r="L271" t="n">
        <v>40</v>
      </c>
    </row>
    <row r="272">
      <c r="A272" t="inlineStr">
        <is>
          <t>LAB748890</t>
        </is>
      </c>
      <c r="B272" s="30" t="n">
        <v>45989.31180555555</v>
      </c>
      <c r="C272" t="inlineStr">
        <is>
          <t>Bluestone Memorial Hospital</t>
        </is>
      </c>
      <c r="D272" t="inlineStr">
        <is>
          <t>PT10856</t>
        </is>
      </c>
      <c r="E272" t="inlineStr">
        <is>
          <t>HGB</t>
        </is>
      </c>
      <c r="F272" t="inlineStr">
        <is>
          <t>Hemoglobin</t>
        </is>
      </c>
      <c r="G272" t="n">
        <v>15</v>
      </c>
      <c r="H272" t="inlineStr">
        <is>
          <t>g/dL</t>
        </is>
      </c>
      <c r="I272" t="n">
        <v>12</v>
      </c>
      <c r="J272" t="n">
        <v>17.5</v>
      </c>
      <c r="K272" t="inlineStr">
        <is>
          <t>N</t>
        </is>
      </c>
      <c r="L272" t="n">
        <v>36</v>
      </c>
    </row>
    <row r="273">
      <c r="A273" t="inlineStr">
        <is>
          <t>LAB749038</t>
        </is>
      </c>
      <c r="B273" s="30" t="n">
        <v>45990.74166666667</v>
      </c>
      <c r="C273" t="inlineStr">
        <is>
          <t>Ashby Falls Community Hospital</t>
        </is>
      </c>
      <c r="D273" t="inlineStr">
        <is>
          <t>PT10270</t>
        </is>
      </c>
      <c r="E273" t="inlineStr">
        <is>
          <t>CREAT</t>
        </is>
      </c>
      <c r="F273" t="inlineStr">
        <is>
          <t>Creatinine</t>
        </is>
      </c>
      <c r="G273" t="n">
        <v>1.15</v>
      </c>
      <c r="H273" t="inlineStr">
        <is>
          <t>mg/dL</t>
        </is>
      </c>
      <c r="I273" t="n">
        <v>0.6</v>
      </c>
      <c r="J273" t="n">
        <v>1.3</v>
      </c>
      <c r="K273" t="inlineStr">
        <is>
          <t>N</t>
        </is>
      </c>
      <c r="L273" t="n">
        <v>48</v>
      </c>
    </row>
    <row r="274">
      <c r="A274" t="inlineStr">
        <is>
          <t>LAB749041</t>
        </is>
      </c>
      <c r="B274" s="30" t="n">
        <v>45990.75277777778</v>
      </c>
      <c r="C274" t="inlineStr">
        <is>
          <t>Ashby Falls Community Hospital</t>
        </is>
      </c>
      <c r="D274" t="inlineStr">
        <is>
          <t>PT10270</t>
        </is>
      </c>
      <c r="E274" t="inlineStr">
        <is>
          <t>INR</t>
        </is>
      </c>
      <c r="F274" t="inlineStr">
        <is>
          <t>Prothrombin Time INR</t>
        </is>
      </c>
      <c r="G274" t="n">
        <v>1.1</v>
      </c>
      <c r="H274" t="inlineStr">
        <is>
          <t>ratio</t>
        </is>
      </c>
      <c r="I274" t="n">
        <v>0.8</v>
      </c>
      <c r="J274" t="n">
        <v>1.2</v>
      </c>
      <c r="K274" t="inlineStr">
        <is>
          <t>N</t>
        </is>
      </c>
      <c r="L274" t="n">
        <v>43</v>
      </c>
    </row>
    <row r="275">
      <c r="A275" t="inlineStr">
        <is>
          <t>LAB749040</t>
        </is>
      </c>
      <c r="B275" s="30" t="n">
        <v>45990.78194444445</v>
      </c>
      <c r="C275" t="inlineStr">
        <is>
          <t>Ashby Falls Community Hospital</t>
        </is>
      </c>
      <c r="D275" t="inlineStr">
        <is>
          <t>PT10270</t>
        </is>
      </c>
      <c r="E275" t="inlineStr">
        <is>
          <t>HGB</t>
        </is>
      </c>
      <c r="F275" t="inlineStr">
        <is>
          <t>Hemoglobin</t>
        </is>
      </c>
      <c r="G275" t="n">
        <v>6.1</v>
      </c>
      <c r="H275" t="inlineStr">
        <is>
          <t>g/dL</t>
        </is>
      </c>
      <c r="I275" t="n">
        <v>12</v>
      </c>
      <c r="J275" t="n">
        <v>17.5</v>
      </c>
      <c r="K275" t="inlineStr">
        <is>
          <t>LL</t>
        </is>
      </c>
      <c r="L275" t="n">
        <v>51</v>
      </c>
    </row>
    <row r="276">
      <c r="A276" t="inlineStr">
        <is>
          <t>LAB749037</t>
        </is>
      </c>
      <c r="B276" s="30" t="n">
        <v>45990.79513888889</v>
      </c>
      <c r="C276" t="inlineStr">
        <is>
          <t>Ashby Falls Community Hospital</t>
        </is>
      </c>
      <c r="D276" t="inlineStr">
        <is>
          <t>PT10270</t>
        </is>
      </c>
      <c r="E276" t="inlineStr">
        <is>
          <t>GLU</t>
        </is>
      </c>
      <c r="F276" t="inlineStr">
        <is>
          <t>Glucose</t>
        </is>
      </c>
      <c r="G276" t="n">
        <v>75</v>
      </c>
      <c r="H276" t="inlineStr">
        <is>
          <t>mg/dL</t>
        </is>
      </c>
      <c r="I276" t="n">
        <v>70</v>
      </c>
      <c r="J276" t="n">
        <v>99</v>
      </c>
      <c r="K276" t="inlineStr">
        <is>
          <t>N</t>
        </is>
      </c>
      <c r="L276" t="n">
        <v>41</v>
      </c>
    </row>
    <row r="277">
      <c r="A277" t="inlineStr">
        <is>
          <t>LAB749168</t>
        </is>
      </c>
      <c r="B277" s="30" t="n">
        <v>45992.62013888889</v>
      </c>
      <c r="C277" t="inlineStr">
        <is>
          <t>Bluestone Memorial Hospital</t>
        </is>
      </c>
      <c r="D277" t="inlineStr">
        <is>
          <t>PT10619</t>
        </is>
      </c>
      <c r="E277" t="inlineStr">
        <is>
          <t>WBC</t>
        </is>
      </c>
      <c r="F277" t="inlineStr">
        <is>
          <t>White Blood Cell Count</t>
        </is>
      </c>
      <c r="G277" t="n">
        <v>20.2</v>
      </c>
      <c r="H277" t="inlineStr">
        <is>
          <t>K/uL</t>
        </is>
      </c>
      <c r="I277" t="n">
        <v>4.5</v>
      </c>
      <c r="J277" t="n">
        <v>11</v>
      </c>
      <c r="K277" t="inlineStr">
        <is>
          <t>H</t>
        </is>
      </c>
      <c r="L277" t="n">
        <v>44</v>
      </c>
    </row>
    <row r="278">
      <c r="A278" t="inlineStr">
        <is>
          <t>LAB749166</t>
        </is>
      </c>
      <c r="B278" s="30" t="n">
        <v>45992.63680555556</v>
      </c>
      <c r="C278" t="inlineStr">
        <is>
          <t>Bluestone Memorial Hospital</t>
        </is>
      </c>
      <c r="D278" t="inlineStr">
        <is>
          <t>PT10619</t>
        </is>
      </c>
      <c r="E278" t="inlineStr">
        <is>
          <t>GLU</t>
        </is>
      </c>
      <c r="F278" t="inlineStr">
        <is>
          <t>Glucose</t>
        </is>
      </c>
      <c r="G278" t="n">
        <v>158</v>
      </c>
      <c r="H278" t="inlineStr">
        <is>
          <t>mg/dL</t>
        </is>
      </c>
      <c r="I278" t="n">
        <v>70</v>
      </c>
      <c r="J278" t="n">
        <v>99</v>
      </c>
      <c r="K278" t="inlineStr">
        <is>
          <t>H</t>
        </is>
      </c>
      <c r="L278" t="n">
        <v>39</v>
      </c>
    </row>
    <row r="279">
      <c r="A279" t="inlineStr">
        <is>
          <t>LAB749171</t>
        </is>
      </c>
      <c r="B279" s="30" t="n">
        <v>45992.65</v>
      </c>
      <c r="C279" t="inlineStr">
        <is>
          <t>Bluestone Memorial Hospital</t>
        </is>
      </c>
      <c r="D279" t="inlineStr">
        <is>
          <t>PT10619</t>
        </is>
      </c>
      <c r="E279" t="inlineStr">
        <is>
          <t>K</t>
        </is>
      </c>
      <c r="F279" t="inlineStr">
        <is>
          <t>Potassium</t>
        </is>
      </c>
      <c r="G279" t="n">
        <v>3.8</v>
      </c>
      <c r="H279" t="inlineStr">
        <is>
          <t>mmol/L</t>
        </is>
      </c>
      <c r="I279" t="n">
        <v>3.5</v>
      </c>
      <c r="J279" t="n">
        <v>5.1</v>
      </c>
      <c r="K279" t="inlineStr">
        <is>
          <t>N</t>
        </is>
      </c>
      <c r="L279" t="n">
        <v>89</v>
      </c>
    </row>
    <row r="280">
      <c r="A280" t="inlineStr">
        <is>
          <t>LAB749172</t>
        </is>
      </c>
      <c r="B280" s="30" t="n">
        <v>45992.65555555555</v>
      </c>
      <c r="C280" t="inlineStr">
        <is>
          <t>Bluestone Memorial Hospital</t>
        </is>
      </c>
      <c r="D280" t="inlineStr">
        <is>
          <t>PT10619</t>
        </is>
      </c>
      <c r="E280" t="inlineStr">
        <is>
          <t>LACT</t>
        </is>
      </c>
      <c r="F280" t="inlineStr">
        <is>
          <t>Lactate</t>
        </is>
      </c>
      <c r="G280" t="n">
        <v>4.2</v>
      </c>
      <c r="H280" t="inlineStr">
        <is>
          <t>mmol/L</t>
        </is>
      </c>
      <c r="I280" t="n">
        <v>0.5</v>
      </c>
      <c r="J280" t="n">
        <v>2</v>
      </c>
      <c r="K280" t="inlineStr">
        <is>
          <t>HH</t>
        </is>
      </c>
      <c r="L280" t="n">
        <v>25</v>
      </c>
    </row>
    <row r="281">
      <c r="A281" t="inlineStr">
        <is>
          <t>LAB749169</t>
        </is>
      </c>
      <c r="B281" s="30" t="n">
        <v>45992.65625</v>
      </c>
      <c r="C281" t="inlineStr">
        <is>
          <t>Bluestone Memorial Hospital</t>
        </is>
      </c>
      <c r="D281" t="inlineStr">
        <is>
          <t>PT10619</t>
        </is>
      </c>
      <c r="E281" t="inlineStr">
        <is>
          <t>HGB</t>
        </is>
      </c>
      <c r="F281" t="inlineStr">
        <is>
          <t>Hemoglobin</t>
        </is>
      </c>
      <c r="G281" t="n">
        <v>12.5</v>
      </c>
      <c r="H281" t="inlineStr">
        <is>
          <t>g/dL</t>
        </is>
      </c>
      <c r="I281" t="n">
        <v>12</v>
      </c>
      <c r="J281" t="n">
        <v>17.5</v>
      </c>
      <c r="K281" t="inlineStr">
        <is>
          <t>N</t>
        </is>
      </c>
      <c r="L281" t="n">
        <v>20</v>
      </c>
    </row>
    <row r="282">
      <c r="A282" t="inlineStr">
        <is>
          <t>LAB749318</t>
        </is>
      </c>
      <c r="B282" s="30" t="n">
        <v>45994.04513888889</v>
      </c>
      <c r="C282" t="inlineStr">
        <is>
          <t>Bluestone Memorial Hospital</t>
        </is>
      </c>
      <c r="D282" t="inlineStr">
        <is>
          <t>PT10419</t>
        </is>
      </c>
      <c r="E282" t="inlineStr">
        <is>
          <t>LACT</t>
        </is>
      </c>
      <c r="F282" t="inlineStr">
        <is>
          <t>Lactate</t>
        </is>
      </c>
      <c r="G282" t="n">
        <v>2.7</v>
      </c>
      <c r="H282" t="inlineStr">
        <is>
          <t>mmol/L</t>
        </is>
      </c>
      <c r="I282" t="n">
        <v>0.5</v>
      </c>
      <c r="J282" t="n">
        <v>2</v>
      </c>
      <c r="K282" t="inlineStr">
        <is>
          <t>H</t>
        </is>
      </c>
      <c r="L282" t="n">
        <v>51</v>
      </c>
    </row>
    <row r="283">
      <c r="A283" t="inlineStr">
        <is>
          <t>LAB749317</t>
        </is>
      </c>
      <c r="B283" s="30" t="n">
        <v>45994.05833333333</v>
      </c>
      <c r="C283" t="inlineStr">
        <is>
          <t>Bluestone Memorial Hospital</t>
        </is>
      </c>
      <c r="D283" t="inlineStr">
        <is>
          <t>PT10419</t>
        </is>
      </c>
      <c r="E283" t="inlineStr">
        <is>
          <t>K</t>
        </is>
      </c>
      <c r="F283" t="inlineStr">
        <is>
          <t>Potassium</t>
        </is>
      </c>
      <c r="G283" t="n">
        <v>4.1</v>
      </c>
      <c r="H283" t="inlineStr">
        <is>
          <t>mmol/L</t>
        </is>
      </c>
      <c r="I283" t="n">
        <v>3.5</v>
      </c>
      <c r="J283" t="n">
        <v>5.1</v>
      </c>
      <c r="K283" t="inlineStr">
        <is>
          <t>N</t>
        </is>
      </c>
      <c r="L283" t="n">
        <v>50</v>
      </c>
    </row>
    <row r="284">
      <c r="A284" t="inlineStr">
        <is>
          <t>LAB749315</t>
        </is>
      </c>
      <c r="B284" s="30" t="n">
        <v>45994.075</v>
      </c>
      <c r="C284" t="inlineStr">
        <is>
          <t>Bluestone Memorial Hospital</t>
        </is>
      </c>
      <c r="D284" t="inlineStr">
        <is>
          <t>PT10419</t>
        </is>
      </c>
      <c r="E284" t="inlineStr">
        <is>
          <t>HGB</t>
        </is>
      </c>
      <c r="F284" t="inlineStr">
        <is>
          <t>Hemoglobin</t>
        </is>
      </c>
      <c r="G284" t="n">
        <v>12.7</v>
      </c>
      <c r="H284" t="inlineStr">
        <is>
          <t>g/dL</t>
        </is>
      </c>
      <c r="I284" t="n">
        <v>12</v>
      </c>
      <c r="J284" t="n">
        <v>17.5</v>
      </c>
      <c r="K284" t="inlineStr">
        <is>
          <t>N</t>
        </is>
      </c>
      <c r="L284" t="n">
        <v>33</v>
      </c>
    </row>
    <row r="285">
      <c r="A285" t="inlineStr">
        <is>
          <t>LAB749401</t>
        </is>
      </c>
      <c r="B285" s="30" t="n">
        <v>45994.73819444444</v>
      </c>
      <c r="C285" t="inlineStr">
        <is>
          <t>Cedar Ridge Medical Center</t>
        </is>
      </c>
      <c r="D285" t="inlineStr">
        <is>
          <t>PT10668</t>
        </is>
      </c>
      <c r="E285" t="inlineStr">
        <is>
          <t>HGB</t>
        </is>
      </c>
      <c r="F285" t="inlineStr">
        <is>
          <t>Hemoglobin</t>
        </is>
      </c>
      <c r="G285" t="n">
        <v>9.800000000000001</v>
      </c>
      <c r="H285" t="inlineStr">
        <is>
          <t>g/dL</t>
        </is>
      </c>
      <c r="I285" t="n">
        <v>12</v>
      </c>
      <c r="J285" t="n">
        <v>17.5</v>
      </c>
      <c r="K285" t="inlineStr">
        <is>
          <t>L</t>
        </is>
      </c>
      <c r="L285" t="n">
        <v>54</v>
      </c>
    </row>
    <row r="286">
      <c r="A286" t="inlineStr">
        <is>
          <t>LAB749402</t>
        </is>
      </c>
      <c r="B286" s="30" t="n">
        <v>45994.78263888889</v>
      </c>
      <c r="C286" t="inlineStr">
        <is>
          <t>Cedar Ridge Medical Center</t>
        </is>
      </c>
      <c r="D286" t="inlineStr">
        <is>
          <t>PT10668</t>
        </is>
      </c>
      <c r="E286" t="inlineStr">
        <is>
          <t>LACT</t>
        </is>
      </c>
      <c r="F286" t="inlineStr">
        <is>
          <t>Lactate</t>
        </is>
      </c>
      <c r="G286" t="n">
        <v>2.6</v>
      </c>
      <c r="H286" t="inlineStr">
        <is>
          <t>mmol/L</t>
        </is>
      </c>
      <c r="I286" t="n">
        <v>0.5</v>
      </c>
      <c r="J286" t="n">
        <v>2</v>
      </c>
      <c r="K286" t="inlineStr">
        <is>
          <t>H</t>
        </is>
      </c>
      <c r="L286" t="n">
        <v>43</v>
      </c>
    </row>
    <row r="287">
      <c r="A287" t="inlineStr">
        <is>
          <t>LAB749400</t>
        </is>
      </c>
      <c r="B287" s="30" t="n">
        <v>45994.78402777778</v>
      </c>
      <c r="C287" t="inlineStr">
        <is>
          <t>Cedar Ridge Medical Center</t>
        </is>
      </c>
      <c r="D287" t="inlineStr">
        <is>
          <t>PT10668</t>
        </is>
      </c>
      <c r="E287" t="inlineStr">
        <is>
          <t>WBC</t>
        </is>
      </c>
      <c r="F287" t="inlineStr">
        <is>
          <t>White Blood Cell Count</t>
        </is>
      </c>
      <c r="G287" t="n">
        <v>23.4</v>
      </c>
      <c r="H287" t="inlineStr">
        <is>
          <t>K/uL</t>
        </is>
      </c>
      <c r="I287" t="n">
        <v>4.5</v>
      </c>
      <c r="J287" t="n">
        <v>11</v>
      </c>
      <c r="K287" t="inlineStr">
        <is>
          <t>H</t>
        </is>
      </c>
      <c r="L287" t="n">
        <v>22</v>
      </c>
    </row>
    <row r="288">
      <c r="A288" t="inlineStr">
        <is>
          <t>LAB749658</t>
        </is>
      </c>
      <c r="B288" s="30" t="n">
        <v>45997.74513888889</v>
      </c>
      <c r="C288" t="inlineStr">
        <is>
          <t>Bluestone Memorial Hospital</t>
        </is>
      </c>
      <c r="D288" t="inlineStr">
        <is>
          <t>PT10196</t>
        </is>
      </c>
      <c r="E288" t="inlineStr">
        <is>
          <t>WBC</t>
        </is>
      </c>
      <c r="F288" t="inlineStr">
        <is>
          <t>White Blood Cell Count</t>
        </is>
      </c>
      <c r="G288" t="n">
        <v>6.6</v>
      </c>
      <c r="H288" t="inlineStr">
        <is>
          <t>K/uL</t>
        </is>
      </c>
      <c r="I288" t="n">
        <v>4.5</v>
      </c>
      <c r="J288" t="n">
        <v>11</v>
      </c>
      <c r="K288" t="inlineStr">
        <is>
          <t>N</t>
        </is>
      </c>
      <c r="L288" t="n">
        <v>31</v>
      </c>
    </row>
    <row r="289">
      <c r="A289" t="inlineStr">
        <is>
          <t>LAB749658</t>
        </is>
      </c>
      <c r="B289" s="30" t="n">
        <v>45997.74513888889</v>
      </c>
      <c r="C289" t="inlineStr">
        <is>
          <t>Bluestone Memorial Hospital</t>
        </is>
      </c>
      <c r="D289" t="inlineStr">
        <is>
          <t>PT10196</t>
        </is>
      </c>
      <c r="E289" t="inlineStr">
        <is>
          <t>WBC</t>
        </is>
      </c>
      <c r="F289" t="inlineStr">
        <is>
          <t>White Blood Cell Count</t>
        </is>
      </c>
      <c r="G289" t="n">
        <v>6.6</v>
      </c>
      <c r="H289" t="inlineStr">
        <is>
          <t>K/uL</t>
        </is>
      </c>
      <c r="I289" t="n">
        <v>4.5</v>
      </c>
      <c r="J289" t="n">
        <v>11</v>
      </c>
      <c r="K289" t="inlineStr">
        <is>
          <t>N</t>
        </is>
      </c>
      <c r="L289" t="n">
        <v>31</v>
      </c>
    </row>
    <row r="290">
      <c r="A290" t="inlineStr">
        <is>
          <t>LAB749658</t>
        </is>
      </c>
      <c r="B290" s="30" t="n">
        <v>45997.74513888889</v>
      </c>
      <c r="C290" t="inlineStr">
        <is>
          <t>Bluestone Memorial Hospital</t>
        </is>
      </c>
      <c r="D290" t="inlineStr">
        <is>
          <t>PT10196</t>
        </is>
      </c>
      <c r="E290" t="inlineStr">
        <is>
          <t>WBC</t>
        </is>
      </c>
      <c r="F290" t="inlineStr">
        <is>
          <t>White Blood Cell Count</t>
        </is>
      </c>
      <c r="G290" t="n">
        <v>6.6</v>
      </c>
      <c r="H290" t="inlineStr">
        <is>
          <t>K/uL</t>
        </is>
      </c>
      <c r="I290" t="n">
        <v>4.5</v>
      </c>
      <c r="J290" t="n">
        <v>11</v>
      </c>
      <c r="K290" t="inlineStr">
        <is>
          <t>N</t>
        </is>
      </c>
      <c r="L290" t="n">
        <v>31</v>
      </c>
    </row>
    <row r="291">
      <c r="A291" t="inlineStr">
        <is>
          <t>LAB749660</t>
        </is>
      </c>
      <c r="B291" s="30" t="n">
        <v>45997.74791666667</v>
      </c>
      <c r="C291" t="inlineStr">
        <is>
          <t>Bluestone Memorial Hospital</t>
        </is>
      </c>
      <c r="D291" t="inlineStr">
        <is>
          <t>PT10196</t>
        </is>
      </c>
      <c r="E291" t="inlineStr">
        <is>
          <t>LACT</t>
        </is>
      </c>
      <c r="F291" t="inlineStr">
        <is>
          <t>Lactate</t>
        </is>
      </c>
      <c r="G291" t="n">
        <v>1.8</v>
      </c>
      <c r="H291" t="inlineStr">
        <is>
          <t>mmol/L</t>
        </is>
      </c>
      <c r="I291" t="n">
        <v>0.5</v>
      </c>
      <c r="J291" t="n">
        <v>2</v>
      </c>
      <c r="K291" t="inlineStr">
        <is>
          <t>N</t>
        </is>
      </c>
      <c r="L291" t="n">
        <v>39</v>
      </c>
    </row>
    <row r="292">
      <c r="A292" t="inlineStr">
        <is>
          <t>LAB749657</t>
        </is>
      </c>
      <c r="B292" s="30" t="n">
        <v>45997.77361111111</v>
      </c>
      <c r="C292" t="inlineStr">
        <is>
          <t>Bluestone Memorial Hospital</t>
        </is>
      </c>
      <c r="D292" t="inlineStr">
        <is>
          <t>PT10196</t>
        </is>
      </c>
      <c r="E292" t="inlineStr">
        <is>
          <t>CREAT</t>
        </is>
      </c>
      <c r="F292" t="inlineStr">
        <is>
          <t>Creatinine</t>
        </is>
      </c>
      <c r="G292" t="n">
        <v>1.16</v>
      </c>
      <c r="H292" t="inlineStr">
        <is>
          <t>mg/dL</t>
        </is>
      </c>
      <c r="I292" t="n">
        <v>0.6</v>
      </c>
      <c r="J292" t="n">
        <v>1.3</v>
      </c>
      <c r="K292" t="inlineStr">
        <is>
          <t>N</t>
        </is>
      </c>
      <c r="L292" t="n">
        <v>67</v>
      </c>
    </row>
    <row r="293">
      <c r="A293" t="inlineStr">
        <is>
          <t>LAB749689</t>
        </is>
      </c>
      <c r="B293" s="30" t="n">
        <v>45998.56111111111</v>
      </c>
      <c r="C293" t="inlineStr">
        <is>
          <t>Cedar Ridge Medical Center</t>
        </is>
      </c>
      <c r="D293" t="inlineStr">
        <is>
          <t>PT11122</t>
        </is>
      </c>
      <c r="E293" t="inlineStr">
        <is>
          <t>HGB</t>
        </is>
      </c>
      <c r="F293" t="inlineStr">
        <is>
          <t>Hemoglobin</t>
        </is>
      </c>
      <c r="G293" t="n">
        <v>14.3</v>
      </c>
      <c r="H293" t="inlineStr">
        <is>
          <t>g/dL</t>
        </is>
      </c>
      <c r="I293" t="n">
        <v>12</v>
      </c>
      <c r="J293" t="n">
        <v>17.5</v>
      </c>
      <c r="K293" t="inlineStr">
        <is>
          <t>N</t>
        </is>
      </c>
      <c r="L293" t="n">
        <v>67</v>
      </c>
    </row>
    <row r="294">
      <c r="A294" t="inlineStr">
        <is>
          <t>LAB749692</t>
        </is>
      </c>
      <c r="B294" s="30" t="n">
        <v>45998.56388888889</v>
      </c>
      <c r="C294" t="inlineStr">
        <is>
          <t>Cedar Ridge Medical Center</t>
        </is>
      </c>
      <c r="D294" t="inlineStr">
        <is>
          <t>PT11122</t>
        </is>
      </c>
      <c r="E294" t="inlineStr">
        <is>
          <t>LACT</t>
        </is>
      </c>
      <c r="F294" t="inlineStr">
        <is>
          <t>Lactate</t>
        </is>
      </c>
      <c r="G294" t="n">
        <v>2.8</v>
      </c>
      <c r="H294" t="inlineStr">
        <is>
          <t>mmol/L</t>
        </is>
      </c>
      <c r="I294" t="n">
        <v>0.5</v>
      </c>
      <c r="J294" t="n">
        <v>2</v>
      </c>
      <c r="K294" t="inlineStr">
        <is>
          <t>H</t>
        </is>
      </c>
      <c r="L294" t="n">
        <v>137</v>
      </c>
    </row>
    <row r="295">
      <c r="A295" t="inlineStr">
        <is>
          <t>LAB749688</t>
        </is>
      </c>
      <c r="B295" s="30" t="n">
        <v>45998.56527777778</v>
      </c>
      <c r="C295" t="inlineStr">
        <is>
          <t>Cedar Ridge Medical Center</t>
        </is>
      </c>
      <c r="D295" t="inlineStr">
        <is>
          <t>PT11122</t>
        </is>
      </c>
      <c r="E295" t="inlineStr">
        <is>
          <t>WBC</t>
        </is>
      </c>
      <c r="F295" t="inlineStr">
        <is>
          <t>White Blood Cell Count</t>
        </is>
      </c>
      <c r="G295" t="n">
        <v>14.9</v>
      </c>
      <c r="H295" t="inlineStr">
        <is>
          <t>K/uL</t>
        </is>
      </c>
      <c r="I295" t="n">
        <v>4.5</v>
      </c>
      <c r="J295" t="n">
        <v>11</v>
      </c>
      <c r="K295" t="inlineStr">
        <is>
          <t>H</t>
        </is>
      </c>
      <c r="L295" t="n">
        <v>37</v>
      </c>
    </row>
    <row r="296">
      <c r="A296" t="inlineStr">
        <is>
          <t>LAB749687</t>
        </is>
      </c>
      <c r="B296" s="30" t="n">
        <v>45998.56875</v>
      </c>
      <c r="C296" t="inlineStr">
        <is>
          <t>Cedar Ridge Medical Center</t>
        </is>
      </c>
      <c r="D296" t="inlineStr">
        <is>
          <t>PT11122</t>
        </is>
      </c>
      <c r="E296" t="inlineStr">
        <is>
          <t>CREAT</t>
        </is>
      </c>
      <c r="F296" t="inlineStr">
        <is>
          <t>Creatinine</t>
        </is>
      </c>
      <c r="G296" t="n">
        <v>1.78</v>
      </c>
      <c r="H296" t="inlineStr">
        <is>
          <t>mg/dL</t>
        </is>
      </c>
      <c r="I296" t="n">
        <v>0.6</v>
      </c>
      <c r="J296" t="n">
        <v>1.3</v>
      </c>
      <c r="K296" t="inlineStr">
        <is>
          <t>H</t>
        </is>
      </c>
      <c r="L296" t="n">
        <v>32</v>
      </c>
    </row>
    <row r="297">
      <c r="A297" t="inlineStr">
        <is>
          <t>LAB749686</t>
        </is>
      </c>
      <c r="B297" s="30" t="n">
        <v>45998.59305555555</v>
      </c>
      <c r="C297" t="inlineStr">
        <is>
          <t>Cedar Ridge Medical Center</t>
        </is>
      </c>
      <c r="D297" t="inlineStr">
        <is>
          <t>PT11122</t>
        </is>
      </c>
      <c r="E297" t="inlineStr">
        <is>
          <t>GLU</t>
        </is>
      </c>
      <c r="F297" t="inlineStr">
        <is>
          <t>Glucose</t>
        </is>
      </c>
      <c r="G297" t="n">
        <v>164</v>
      </c>
      <c r="H297" t="inlineStr">
        <is>
          <t>mg/dL</t>
        </is>
      </c>
      <c r="I297" t="n">
        <v>70</v>
      </c>
      <c r="J297" t="n">
        <v>99</v>
      </c>
      <c r="K297" t="inlineStr">
        <is>
          <t>H</t>
        </is>
      </c>
      <c r="L297" t="n">
        <v>42</v>
      </c>
    </row>
    <row r="298">
      <c r="A298" t="inlineStr">
        <is>
          <t>LAB749935</t>
        </is>
      </c>
      <c r="B298" s="30" t="n">
        <v>46000.77638888889</v>
      </c>
      <c r="C298" t="inlineStr">
        <is>
          <t>Ashby Falls Community Hospital</t>
        </is>
      </c>
      <c r="D298" t="inlineStr">
        <is>
          <t>PT10270</t>
        </is>
      </c>
      <c r="E298" t="inlineStr">
        <is>
          <t>PLT</t>
        </is>
      </c>
      <c r="F298" t="inlineStr">
        <is>
          <t>Platelet Count</t>
        </is>
      </c>
      <c r="G298" t="n">
        <v>297</v>
      </c>
      <c r="H298" t="inlineStr">
        <is>
          <t>K/uL</t>
        </is>
      </c>
      <c r="I298" t="n">
        <v>150</v>
      </c>
      <c r="J298" t="n">
        <v>400</v>
      </c>
      <c r="K298" t="inlineStr">
        <is>
          <t>N</t>
        </is>
      </c>
      <c r="L298" t="n">
        <v>49</v>
      </c>
    </row>
    <row r="299">
      <c r="A299" t="inlineStr">
        <is>
          <t>LAB749936</t>
        </is>
      </c>
      <c r="B299" s="30" t="n">
        <v>46000.77638888889</v>
      </c>
      <c r="C299" t="inlineStr">
        <is>
          <t>Ashby Falls Community Hospital</t>
        </is>
      </c>
      <c r="D299" t="inlineStr">
        <is>
          <t>PT10270</t>
        </is>
      </c>
      <c r="E299" t="inlineStr">
        <is>
          <t>INR</t>
        </is>
      </c>
      <c r="F299" t="inlineStr">
        <is>
          <t>Prothrombin Time INR</t>
        </is>
      </c>
      <c r="G299" t="n">
        <v>0.9</v>
      </c>
      <c r="H299" t="inlineStr">
        <is>
          <t>ratio</t>
        </is>
      </c>
      <c r="I299" t="n">
        <v>0.8</v>
      </c>
      <c r="J299" t="n">
        <v>1.2</v>
      </c>
      <c r="K299" t="inlineStr">
        <is>
          <t>N</t>
        </is>
      </c>
      <c r="L299" t="n">
        <v>32</v>
      </c>
    </row>
    <row r="300">
      <c r="A300" t="inlineStr">
        <is>
          <t>LAB749930</t>
        </is>
      </c>
      <c r="B300" s="30" t="n">
        <v>46000.7875</v>
      </c>
      <c r="C300" t="inlineStr">
        <is>
          <t>Ashby Falls Community Hospital</t>
        </is>
      </c>
      <c r="D300" t="inlineStr">
        <is>
          <t>PT10270</t>
        </is>
      </c>
      <c r="E300" t="inlineStr">
        <is>
          <t>GLU</t>
        </is>
      </c>
      <c r="F300" t="inlineStr">
        <is>
          <t>Glucose</t>
        </is>
      </c>
      <c r="G300" t="n">
        <v>121</v>
      </c>
      <c r="H300" t="inlineStr">
        <is>
          <t>mg/dL</t>
        </is>
      </c>
      <c r="I300" t="n">
        <v>70</v>
      </c>
      <c r="J300" t="n">
        <v>99</v>
      </c>
      <c r="K300" t="inlineStr">
        <is>
          <t>H</t>
        </is>
      </c>
      <c r="L300" t="n">
        <v>76</v>
      </c>
    </row>
    <row r="301">
      <c r="A301" t="inlineStr">
        <is>
          <t>LAB749933</t>
        </is>
      </c>
      <c r="B301" s="30" t="n">
        <v>46000.78888888889</v>
      </c>
      <c r="C301" t="inlineStr">
        <is>
          <t>Ashby Falls Community Hospital</t>
        </is>
      </c>
      <c r="D301" t="inlineStr">
        <is>
          <t>PT10270</t>
        </is>
      </c>
      <c r="E301" t="inlineStr">
        <is>
          <t>HGB</t>
        </is>
      </c>
      <c r="F301" t="inlineStr">
        <is>
          <t>Hemoglobin</t>
        </is>
      </c>
      <c r="G301" t="n">
        <v>10.9</v>
      </c>
      <c r="H301" t="inlineStr">
        <is>
          <t>g/dL</t>
        </is>
      </c>
      <c r="I301" t="n">
        <v>12</v>
      </c>
      <c r="J301" t="n">
        <v>17.5</v>
      </c>
      <c r="K301" t="inlineStr">
        <is>
          <t>L</t>
        </is>
      </c>
      <c r="L301" t="n">
        <v>49</v>
      </c>
    </row>
    <row r="302">
      <c r="A302" t="inlineStr">
        <is>
          <t>LAB749934</t>
        </is>
      </c>
      <c r="B302" s="30" t="n">
        <v>46000.80833333333</v>
      </c>
      <c r="C302" t="inlineStr">
        <is>
          <t>Ashby Falls Community Hospital</t>
        </is>
      </c>
      <c r="D302" t="inlineStr">
        <is>
          <t>PT10270</t>
        </is>
      </c>
      <c r="E302" t="inlineStr">
        <is>
          <t>BUN</t>
        </is>
      </c>
      <c r="F302" t="inlineStr">
        <is>
          <t>Blood Urea Nitrogen</t>
        </is>
      </c>
      <c r="G302" t="n">
        <v>14</v>
      </c>
      <c r="H302" t="inlineStr">
        <is>
          <t>mg/dL</t>
        </is>
      </c>
      <c r="I302" t="n">
        <v>7</v>
      </c>
      <c r="J302" t="n">
        <v>20</v>
      </c>
      <c r="K302" t="inlineStr">
        <is>
          <t>N</t>
        </is>
      </c>
      <c r="L302" t="n">
        <v>42</v>
      </c>
    </row>
    <row r="303">
      <c r="A303" t="inlineStr">
        <is>
          <t>LAB749931</t>
        </is>
      </c>
      <c r="B303" s="30" t="n">
        <v>46000.82083333333</v>
      </c>
      <c r="C303" t="inlineStr">
        <is>
          <t>Ashby Falls Community Hospital</t>
        </is>
      </c>
      <c r="D303" t="inlineStr">
        <is>
          <t>PT10270</t>
        </is>
      </c>
      <c r="E303" t="inlineStr">
        <is>
          <t>CREAT</t>
        </is>
      </c>
      <c r="F303" t="inlineStr">
        <is>
          <t>Creatinine</t>
        </is>
      </c>
      <c r="G303" t="n">
        <v>0.97</v>
      </c>
      <c r="H303" t="inlineStr">
        <is>
          <t>mg/dL</t>
        </is>
      </c>
      <c r="I303" t="n">
        <v>0.6</v>
      </c>
      <c r="J303" t="n">
        <v>1.3</v>
      </c>
      <c r="K303" t="inlineStr">
        <is>
          <t>N</t>
        </is>
      </c>
      <c r="L303" t="n">
        <v>48</v>
      </c>
    </row>
    <row r="304">
      <c r="A304" t="inlineStr">
        <is>
          <t>LAB750021</t>
        </is>
      </c>
      <c r="B304" s="30" t="n">
        <v>46001.96527777778</v>
      </c>
      <c r="C304" t="inlineStr">
        <is>
          <t>Bluestone Memorial Hospital</t>
        </is>
      </c>
      <c r="D304" t="inlineStr">
        <is>
          <t>PT12990</t>
        </is>
      </c>
      <c r="E304" t="inlineStr">
        <is>
          <t>GLU</t>
        </is>
      </c>
      <c r="F304" t="inlineStr">
        <is>
          <t>Glucose</t>
        </is>
      </c>
      <c r="G304" t="n">
        <v>186</v>
      </c>
      <c r="H304" t="inlineStr">
        <is>
          <t>mg/dL</t>
        </is>
      </c>
      <c r="I304" t="n">
        <v>70</v>
      </c>
      <c r="J304" t="n">
        <v>99</v>
      </c>
      <c r="K304" t="inlineStr">
        <is>
          <t>H</t>
        </is>
      </c>
      <c r="L304" t="n">
        <v>74</v>
      </c>
    </row>
    <row r="305">
      <c r="A305" t="inlineStr">
        <is>
          <t>LAB750023</t>
        </is>
      </c>
      <c r="B305" s="30" t="n">
        <v>46001.98611111111</v>
      </c>
      <c r="C305" t="inlineStr">
        <is>
          <t>Bluestone Memorial Hospital</t>
        </is>
      </c>
      <c r="D305" t="inlineStr">
        <is>
          <t>PT12990</t>
        </is>
      </c>
      <c r="E305" t="inlineStr">
        <is>
          <t>WBC</t>
        </is>
      </c>
      <c r="F305" t="inlineStr">
        <is>
          <t>White Blood Cell Count</t>
        </is>
      </c>
      <c r="G305" t="n">
        <v>21.9</v>
      </c>
      <c r="H305" t="inlineStr">
        <is>
          <t>K/uL</t>
        </is>
      </c>
      <c r="I305" t="n">
        <v>4.5</v>
      </c>
      <c r="J305" t="n">
        <v>11</v>
      </c>
      <c r="K305" t="inlineStr">
        <is>
          <t>H</t>
        </is>
      </c>
      <c r="L305" t="n">
        <v>38</v>
      </c>
    </row>
    <row r="306">
      <c r="A306" t="inlineStr">
        <is>
          <t>LAB750025</t>
        </is>
      </c>
      <c r="B306" s="30" t="n">
        <v>46001.98611111111</v>
      </c>
      <c r="C306" t="inlineStr">
        <is>
          <t>Bluestone Memorial Hospital</t>
        </is>
      </c>
      <c r="D306" t="inlineStr">
        <is>
          <t>PT12990</t>
        </is>
      </c>
      <c r="E306" t="inlineStr">
        <is>
          <t>NA</t>
        </is>
      </c>
      <c r="F306" t="inlineStr">
        <is>
          <t>Sodium</t>
        </is>
      </c>
      <c r="G306" t="n">
        <v>136</v>
      </c>
      <c r="H306" t="inlineStr">
        <is>
          <t>mmol/L</t>
        </is>
      </c>
      <c r="I306" t="n">
        <v>136</v>
      </c>
      <c r="J306" t="n">
        <v>145</v>
      </c>
      <c r="K306" t="inlineStr">
        <is>
          <t>N</t>
        </is>
      </c>
      <c r="L306" t="n">
        <v>35</v>
      </c>
    </row>
    <row r="307">
      <c r="A307" t="inlineStr">
        <is>
          <t>LAB750024</t>
        </is>
      </c>
      <c r="B307" s="30" t="n">
        <v>46001.99861111111</v>
      </c>
      <c r="C307" t="inlineStr">
        <is>
          <t>Bluestone Memorial Hospital</t>
        </is>
      </c>
      <c r="D307" t="inlineStr">
        <is>
          <t>PT12990</t>
        </is>
      </c>
      <c r="E307" t="inlineStr">
        <is>
          <t>HGB</t>
        </is>
      </c>
      <c r="F307" t="inlineStr">
        <is>
          <t>Hemoglobin</t>
        </is>
      </c>
      <c r="G307" t="n">
        <v>13.4</v>
      </c>
      <c r="H307" t="inlineStr">
        <is>
          <t>g/dL</t>
        </is>
      </c>
      <c r="I307" t="n">
        <v>12</v>
      </c>
      <c r="J307" t="n">
        <v>17.5</v>
      </c>
      <c r="K307" t="inlineStr">
        <is>
          <t>N</t>
        </is>
      </c>
      <c r="L307" t="n">
        <v>24</v>
      </c>
    </row>
    <row r="308">
      <c r="A308" t="inlineStr">
        <is>
          <t>LAB750027</t>
        </is>
      </c>
      <c r="B308" s="30" t="n">
        <v>46001.99861111111</v>
      </c>
      <c r="C308" t="inlineStr">
        <is>
          <t>Bluestone Memorial Hospital</t>
        </is>
      </c>
      <c r="D308" t="inlineStr">
        <is>
          <t>PT12990</t>
        </is>
      </c>
      <c r="E308" t="inlineStr">
        <is>
          <t>LACT</t>
        </is>
      </c>
      <c r="F308" t="inlineStr">
        <is>
          <t>Lactate</t>
        </is>
      </c>
      <c r="G308" t="n">
        <v>1.8</v>
      </c>
      <c r="H308" t="inlineStr">
        <is>
          <t>mmol/L</t>
        </is>
      </c>
      <c r="I308" t="n">
        <v>0.5</v>
      </c>
      <c r="J308" t="n">
        <v>2</v>
      </c>
      <c r="K308" t="inlineStr">
        <is>
          <t>N</t>
        </is>
      </c>
      <c r="L308" t="n">
        <v>40</v>
      </c>
    </row>
    <row r="309">
      <c r="A309" t="inlineStr">
        <is>
          <t>LAB750026</t>
        </is>
      </c>
      <c r="B309" s="30" t="n">
        <v>46002.00763888889</v>
      </c>
      <c r="C309" t="inlineStr">
        <is>
          <t>Bluestone Memorial Hospital</t>
        </is>
      </c>
      <c r="D309" t="inlineStr">
        <is>
          <t>PT12990</t>
        </is>
      </c>
      <c r="E309" t="inlineStr">
        <is>
          <t>K</t>
        </is>
      </c>
      <c r="F309" t="inlineStr">
        <is>
          <t>Potassium</t>
        </is>
      </c>
      <c r="G309" t="n">
        <v>4</v>
      </c>
      <c r="H309" t="inlineStr">
        <is>
          <t>mmol/L</t>
        </is>
      </c>
      <c r="I309" t="n">
        <v>3.5</v>
      </c>
      <c r="J309" t="n">
        <v>5.1</v>
      </c>
      <c r="K309" t="inlineStr">
        <is>
          <t>N</t>
        </is>
      </c>
      <c r="L309" t="n">
        <v>45</v>
      </c>
    </row>
    <row r="310">
      <c r="A310" t="inlineStr">
        <is>
          <t>LAB750039</t>
        </is>
      </c>
      <c r="B310" s="30" t="n">
        <v>46002.48472222222</v>
      </c>
      <c r="C310" t="inlineStr">
        <is>
          <t>Bluestone Memorial Hospital</t>
        </is>
      </c>
      <c r="D310" t="inlineStr">
        <is>
          <t>PT10283</t>
        </is>
      </c>
      <c r="E310" t="inlineStr">
        <is>
          <t>WBC</t>
        </is>
      </c>
      <c r="F310" t="inlineStr">
        <is>
          <t>White Blood Cell Count</t>
        </is>
      </c>
      <c r="G310" t="n">
        <v>7.1</v>
      </c>
      <c r="H310" t="inlineStr">
        <is>
          <t>K/uL</t>
        </is>
      </c>
      <c r="I310" t="n">
        <v>4.5</v>
      </c>
      <c r="J310" t="n">
        <v>11</v>
      </c>
      <c r="K310" t="inlineStr">
        <is>
          <t>N</t>
        </is>
      </c>
      <c r="L310" t="n">
        <v>73</v>
      </c>
    </row>
    <row r="311">
      <c r="A311" t="inlineStr">
        <is>
          <t>LAB750041</t>
        </is>
      </c>
      <c r="B311" s="30" t="n">
        <v>46002.49930555555</v>
      </c>
      <c r="C311" t="inlineStr">
        <is>
          <t>Bluestone Memorial Hospital</t>
        </is>
      </c>
      <c r="D311" t="inlineStr">
        <is>
          <t>PT10283</t>
        </is>
      </c>
      <c r="E311" t="inlineStr">
        <is>
          <t>LACT</t>
        </is>
      </c>
      <c r="F311" t="inlineStr">
        <is>
          <t>Lactate</t>
        </is>
      </c>
      <c r="G311" t="n">
        <v>2</v>
      </c>
      <c r="H311" t="inlineStr">
        <is>
          <t>mmol/L</t>
        </is>
      </c>
      <c r="I311" t="n">
        <v>0.5</v>
      </c>
      <c r="J311" t="n">
        <v>2</v>
      </c>
      <c r="K311" t="inlineStr">
        <is>
          <t>N</t>
        </is>
      </c>
      <c r="L311" t="n">
        <v>31</v>
      </c>
    </row>
    <row r="312">
      <c r="A312" t="inlineStr">
        <is>
          <t>LAB750273</t>
        </is>
      </c>
      <c r="B312" s="30" t="n">
        <v>46005.59722222222</v>
      </c>
      <c r="C312" t="inlineStr">
        <is>
          <t>Bluestone Memorial Hospital</t>
        </is>
      </c>
      <c r="D312" t="inlineStr">
        <is>
          <t>PT12455</t>
        </is>
      </c>
      <c r="E312" t="inlineStr">
        <is>
          <t>LACT</t>
        </is>
      </c>
      <c r="F312" t="inlineStr">
        <is>
          <t>Lactate</t>
        </is>
      </c>
      <c r="G312" t="n">
        <v>3.1</v>
      </c>
      <c r="H312" t="inlineStr">
        <is>
          <t>mmol/L</t>
        </is>
      </c>
      <c r="I312" t="n">
        <v>0.5</v>
      </c>
      <c r="J312" t="n">
        <v>2</v>
      </c>
      <c r="K312" t="inlineStr">
        <is>
          <t>H</t>
        </is>
      </c>
      <c r="L312" t="n">
        <v>58</v>
      </c>
    </row>
    <row r="313">
      <c r="A313" t="inlineStr">
        <is>
          <t>LAB750272</t>
        </is>
      </c>
      <c r="B313" s="30" t="n">
        <v>46005.60208333333</v>
      </c>
      <c r="C313" t="inlineStr">
        <is>
          <t>Bluestone Memorial Hospital</t>
        </is>
      </c>
      <c r="D313" t="inlineStr">
        <is>
          <t>PT12455</t>
        </is>
      </c>
      <c r="E313" t="inlineStr">
        <is>
          <t>HGB</t>
        </is>
      </c>
      <c r="F313" t="inlineStr">
        <is>
          <t>Hemoglobin</t>
        </is>
      </c>
      <c r="G313" t="n">
        <v>10.1</v>
      </c>
      <c r="H313" t="inlineStr">
        <is>
          <t>g/dL</t>
        </is>
      </c>
      <c r="I313" t="n">
        <v>12</v>
      </c>
      <c r="J313" t="n">
        <v>17.5</v>
      </c>
      <c r="K313" t="inlineStr">
        <is>
          <t>L</t>
        </is>
      </c>
      <c r="L313" t="n">
        <v>60</v>
      </c>
    </row>
    <row r="314">
      <c r="A314" t="inlineStr">
        <is>
          <t>LAB750271</t>
        </is>
      </c>
      <c r="B314" s="30" t="n">
        <v>46005.60486111111</v>
      </c>
      <c r="C314" t="inlineStr">
        <is>
          <t>Bluestone Memorial Hospital</t>
        </is>
      </c>
      <c r="D314" t="inlineStr">
        <is>
          <t>PT12455</t>
        </is>
      </c>
      <c r="E314" t="inlineStr">
        <is>
          <t>WBC</t>
        </is>
      </c>
      <c r="F314" t="inlineStr">
        <is>
          <t>White Blood Cell Count</t>
        </is>
      </c>
      <c r="G314" t="n">
        <v>21.4</v>
      </c>
      <c r="H314" t="inlineStr">
        <is>
          <t>K/uL</t>
        </is>
      </c>
      <c r="I314" t="n">
        <v>4.5</v>
      </c>
      <c r="J314" t="n">
        <v>11</v>
      </c>
      <c r="K314" t="inlineStr">
        <is>
          <t>H</t>
        </is>
      </c>
      <c r="L314" t="n">
        <v>57</v>
      </c>
    </row>
    <row r="315">
      <c r="A315" t="inlineStr">
        <is>
          <t>LAB750339</t>
        </is>
      </c>
      <c r="B315" s="30" t="n">
        <v>46006.55069444444</v>
      </c>
      <c r="C315" t="inlineStr">
        <is>
          <t>Ashby Falls Community Hospital</t>
        </is>
      </c>
      <c r="D315" t="inlineStr">
        <is>
          <t>PT12685</t>
        </is>
      </c>
      <c r="E315" t="inlineStr">
        <is>
          <t>PLT</t>
        </is>
      </c>
      <c r="F315" t="inlineStr">
        <is>
          <t>Platelet Count</t>
        </is>
      </c>
      <c r="G315" t="n">
        <v>282</v>
      </c>
      <c r="H315" t="inlineStr">
        <is>
          <t>K/uL</t>
        </is>
      </c>
      <c r="I315" t="n">
        <v>150</v>
      </c>
      <c r="J315" t="n">
        <v>400</v>
      </c>
      <c r="K315" t="inlineStr">
        <is>
          <t>N</t>
        </is>
      </c>
      <c r="L315" t="n">
        <v>71</v>
      </c>
    </row>
    <row r="316">
      <c r="A316" t="inlineStr">
        <is>
          <t>LAB750337</t>
        </is>
      </c>
      <c r="B316" s="30" t="n">
        <v>46006.55277777778</v>
      </c>
      <c r="C316" t="inlineStr">
        <is>
          <t>Ashby Falls Community Hospital</t>
        </is>
      </c>
      <c r="D316" t="inlineStr">
        <is>
          <t>PT12685</t>
        </is>
      </c>
      <c r="E316" t="inlineStr">
        <is>
          <t>K</t>
        </is>
      </c>
      <c r="F316" t="inlineStr">
        <is>
          <t>Potassium</t>
        </is>
      </c>
      <c r="G316" t="n">
        <v>4</v>
      </c>
      <c r="H316" t="inlineStr">
        <is>
          <t>mmol/L</t>
        </is>
      </c>
      <c r="I316" t="n">
        <v>3.5</v>
      </c>
      <c r="J316" t="n">
        <v>5.1</v>
      </c>
      <c r="K316" t="inlineStr">
        <is>
          <t>N</t>
        </is>
      </c>
      <c r="L316" t="n">
        <v>73</v>
      </c>
    </row>
    <row r="317">
      <c r="A317" t="inlineStr">
        <is>
          <t>LAB750332</t>
        </is>
      </c>
      <c r="B317" s="30" t="n">
        <v>46006.55347222222</v>
      </c>
      <c r="C317" t="inlineStr">
        <is>
          <t>Ashby Falls Community Hospital</t>
        </is>
      </c>
      <c r="D317" t="inlineStr">
        <is>
          <t>PT12685</t>
        </is>
      </c>
      <c r="E317" t="inlineStr">
        <is>
          <t>GLU</t>
        </is>
      </c>
      <c r="F317" t="inlineStr">
        <is>
          <t>Glucose</t>
        </is>
      </c>
      <c r="G317" t="n">
        <v>220</v>
      </c>
      <c r="H317" t="inlineStr">
        <is>
          <t>mg/dL</t>
        </is>
      </c>
      <c r="I317" t="n">
        <v>70</v>
      </c>
      <c r="J317" t="n">
        <v>99</v>
      </c>
      <c r="K317" t="inlineStr">
        <is>
          <t>H</t>
        </is>
      </c>
      <c r="L317" t="n">
        <v>34</v>
      </c>
    </row>
    <row r="318">
      <c r="A318" t="inlineStr">
        <is>
          <t>LAB750334</t>
        </is>
      </c>
      <c r="B318" s="30" t="n">
        <v>46006.55763888889</v>
      </c>
      <c r="C318" t="inlineStr">
        <is>
          <t>Ashby Falls Community Hospital</t>
        </is>
      </c>
      <c r="D318" t="inlineStr">
        <is>
          <t>PT12685</t>
        </is>
      </c>
      <c r="E318" t="inlineStr">
        <is>
          <t>WBC</t>
        </is>
      </c>
      <c r="F318" t="inlineStr">
        <is>
          <t>White Blood Cell Count</t>
        </is>
      </c>
      <c r="G318" t="n">
        <v>3.8</v>
      </c>
      <c r="H318" t="inlineStr">
        <is>
          <t>K/uL</t>
        </is>
      </c>
      <c r="I318" t="n">
        <v>4.5</v>
      </c>
      <c r="J318" t="n">
        <v>11</v>
      </c>
      <c r="K318" t="inlineStr">
        <is>
          <t>L</t>
        </is>
      </c>
      <c r="L318" t="n">
        <v>53</v>
      </c>
    </row>
    <row r="319">
      <c r="A319" t="inlineStr">
        <is>
          <t>LAB750335</t>
        </is>
      </c>
      <c r="B319" s="30" t="n">
        <v>46006.56319444445</v>
      </c>
      <c r="C319" t="inlineStr">
        <is>
          <t>Ashby Falls Community Hospital</t>
        </is>
      </c>
      <c r="D319" t="inlineStr">
        <is>
          <t>PT12685</t>
        </is>
      </c>
      <c r="E319" t="inlineStr">
        <is>
          <t>HGB</t>
        </is>
      </c>
      <c r="F319" t="inlineStr">
        <is>
          <t>Hemoglobin</t>
        </is>
      </c>
      <c r="G319" t="n">
        <v>11.1</v>
      </c>
      <c r="H319" t="inlineStr">
        <is>
          <t>g/dL</t>
        </is>
      </c>
      <c r="I319" t="n">
        <v>12</v>
      </c>
      <c r="J319" t="n">
        <v>17.5</v>
      </c>
      <c r="K319" t="inlineStr">
        <is>
          <t>L</t>
        </is>
      </c>
      <c r="L319" t="n">
        <v>35</v>
      </c>
    </row>
    <row r="320">
      <c r="A320" t="inlineStr">
        <is>
          <t>LAB750333</t>
        </is>
      </c>
      <c r="B320" s="30" t="n">
        <v>46006.56736111111</v>
      </c>
      <c r="C320" t="inlineStr">
        <is>
          <t>Ashby Falls Community Hospital</t>
        </is>
      </c>
      <c r="D320" t="inlineStr">
        <is>
          <t>PT12685</t>
        </is>
      </c>
      <c r="E320" t="inlineStr">
        <is>
          <t>CREAT</t>
        </is>
      </c>
      <c r="F320" t="inlineStr">
        <is>
          <t>Creatinine</t>
        </is>
      </c>
      <c r="G320" t="n">
        <v>1.53</v>
      </c>
      <c r="H320" t="inlineStr">
        <is>
          <t>mg/dL</t>
        </is>
      </c>
      <c r="I320" t="n">
        <v>0.6</v>
      </c>
      <c r="J320" t="n">
        <v>1.3</v>
      </c>
      <c r="K320" t="inlineStr">
        <is>
          <t>H</t>
        </is>
      </c>
      <c r="L320" t="n">
        <v>44</v>
      </c>
    </row>
    <row r="321">
      <c r="A321" t="inlineStr">
        <is>
          <t>LAB750336</t>
        </is>
      </c>
      <c r="B321" s="30" t="n">
        <v>46006.57708333333</v>
      </c>
      <c r="C321" t="inlineStr">
        <is>
          <t>Ashby Falls Community Hospital</t>
        </is>
      </c>
      <c r="D321" t="inlineStr">
        <is>
          <t>PT12685</t>
        </is>
      </c>
      <c r="E321" t="inlineStr">
        <is>
          <t>NA</t>
        </is>
      </c>
      <c r="F321" t="inlineStr">
        <is>
          <t>Sodium</t>
        </is>
      </c>
      <c r="G321" t="n">
        <v>133</v>
      </c>
      <c r="H321" t="inlineStr">
        <is>
          <t>mmol/L</t>
        </is>
      </c>
      <c r="I321" t="n">
        <v>136</v>
      </c>
      <c r="J321" t="n">
        <v>145</v>
      </c>
      <c r="K321" t="inlineStr">
        <is>
          <t>L</t>
        </is>
      </c>
      <c r="L321" t="n">
        <v>33</v>
      </c>
    </row>
    <row r="322">
      <c r="A322" t="inlineStr">
        <is>
          <t>LAB750340</t>
        </is>
      </c>
      <c r="B322" s="30" t="n">
        <v>46006.59097222222</v>
      </c>
      <c r="C322" t="inlineStr">
        <is>
          <t>Ashby Falls Community Hospital</t>
        </is>
      </c>
      <c r="D322" t="inlineStr">
        <is>
          <t>PT12685</t>
        </is>
      </c>
      <c r="E322" t="inlineStr">
        <is>
          <t>LACT</t>
        </is>
      </c>
      <c r="F322" t="inlineStr">
        <is>
          <t>Lactate</t>
        </is>
      </c>
      <c r="G322" t="n">
        <v>2.1</v>
      </c>
      <c r="H322" t="inlineStr">
        <is>
          <t>mmol/L</t>
        </is>
      </c>
      <c r="I322" t="n">
        <v>0.5</v>
      </c>
      <c r="J322" t="n">
        <v>2</v>
      </c>
      <c r="K322" t="inlineStr">
        <is>
          <t>H</t>
        </is>
      </c>
      <c r="L322" t="n">
        <v>49</v>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M258"/>
  <sheetViews>
    <sheetView tabSelected="0" workbookViewId="0">
      <pane ySplit="1" topLeftCell="A2" activePane="bottomLeft" state="frozen"/>
      <selection pane="bottomLeft" activeCell="A1" sqref="A1"/>
    </sheetView>
  </sheetViews>
  <sheetFormatPr baseColWidth="8" defaultRowHeight="15"/>
  <cols>
    <col width="9" customWidth="1" min="1" max="1"/>
    <col width="11" customWidth="1" min="2" max="2"/>
    <col width="40" customWidth="1" min="3" max="3"/>
    <col width="21" customWidth="1" min="4" max="4"/>
    <col width="30" customWidth="1" min="5" max="5"/>
    <col width="28" customWidth="1" min="6" max="6"/>
    <col width="15" customWidth="1" min="7" max="7"/>
    <col width="11" customWidth="1" min="8" max="8"/>
    <col width="10" customWidth="1" min="9" max="9"/>
    <col width="14" customWidth="1" min="10" max="10"/>
    <col width="11" customWidth="1" min="11" max="11"/>
    <col width="15" customWidth="1" min="12" max="12"/>
    <col width="11" customWidth="1" min="13" max="13"/>
  </cols>
  <sheetData>
    <row r="1">
      <c r="A1" s="24" t="inlineStr">
        <is>
          <t>StockID</t>
        </is>
      </c>
      <c r="B1" s="24" t="inlineStr">
        <is>
          <t>SKU</t>
        </is>
      </c>
      <c r="C1" s="24" t="inlineStr">
        <is>
          <t>ItemDescription</t>
        </is>
      </c>
      <c r="D1" s="24" t="inlineStr">
        <is>
          <t>Category</t>
        </is>
      </c>
      <c r="E1" s="24" t="inlineStr">
        <is>
          <t>Facility</t>
        </is>
      </c>
      <c r="F1" s="24" t="inlineStr">
        <is>
          <t>Location</t>
        </is>
      </c>
      <c r="G1" s="24" t="inlineStr">
        <is>
          <t>UnitOfMeasure</t>
        </is>
      </c>
      <c r="H1" s="24" t="inlineStr">
        <is>
          <t>QtyOnHand</t>
        </is>
      </c>
      <c r="I1" s="24" t="inlineStr">
        <is>
          <t>ParLevel</t>
        </is>
      </c>
      <c r="J1" s="24" t="inlineStr">
        <is>
          <t>ReorderPoint</t>
        </is>
      </c>
      <c r="K1" s="24" t="inlineStr">
        <is>
          <t>PctOfPar</t>
        </is>
      </c>
      <c r="L1" s="24" t="inlineStr">
        <is>
          <t>ExpirationDate</t>
        </is>
      </c>
      <c r="M1" s="24" t="inlineStr">
        <is>
          <t>LotNumber</t>
        </is>
      </c>
    </row>
    <row r="2">
      <c r="A2" t="inlineStr">
        <is>
          <t>STK4001</t>
        </is>
      </c>
      <c r="B2" t="inlineStr">
        <is>
          <t>SKU-10007</t>
        </is>
      </c>
      <c r="C2" t="inlineStr">
        <is>
          <t>Nitrile Exam Gloves Small (Box/100)</t>
        </is>
      </c>
      <c r="D2" t="inlineStr">
        <is>
          <t>PPE</t>
        </is>
      </c>
      <c r="E2" t="inlineStr">
        <is>
          <t>Cedar Ridge Medical Center</t>
        </is>
      </c>
      <c r="F2" t="inlineStr">
        <is>
          <t>Emergency Department</t>
        </is>
      </c>
      <c r="G2" t="inlineStr">
        <is>
          <t>Box</t>
        </is>
      </c>
      <c r="H2" t="n">
        <v>527</v>
      </c>
      <c r="I2" t="n">
        <v>481</v>
      </c>
      <c r="J2" t="n">
        <v>140</v>
      </c>
      <c r="K2" s="31" t="n">
        <v>1.095634095634096</v>
      </c>
      <c r="L2" s="25" t="n"/>
    </row>
    <row r="3">
      <c r="A3" t="inlineStr">
        <is>
          <t>STK4002</t>
        </is>
      </c>
      <c r="B3" t="inlineStr">
        <is>
          <t>SKU-10014</t>
        </is>
      </c>
      <c r="C3" t="inlineStr">
        <is>
          <t>Nitrile Exam Gloves Medium (Box/100)</t>
        </is>
      </c>
      <c r="D3" t="inlineStr">
        <is>
          <t>PPE</t>
        </is>
      </c>
      <c r="E3" t="inlineStr">
        <is>
          <t>Bluestone Memorial Hospital</t>
        </is>
      </c>
      <c r="F3" t="inlineStr">
        <is>
          <t>Medical-Surgical 4 West</t>
        </is>
      </c>
      <c r="G3" t="inlineStr">
        <is>
          <t>Box</t>
        </is>
      </c>
      <c r="H3" t="n">
        <v>403</v>
      </c>
      <c r="I3" t="n">
        <v>800</v>
      </c>
      <c r="J3" t="n">
        <v>313</v>
      </c>
      <c r="K3" s="31" t="n">
        <v>0.50375</v>
      </c>
      <c r="L3" s="25" t="n"/>
    </row>
    <row r="4">
      <c r="A4" t="inlineStr">
        <is>
          <t>STK4003</t>
        </is>
      </c>
      <c r="B4" t="inlineStr">
        <is>
          <t>SKU-10014</t>
        </is>
      </c>
      <c r="C4" t="inlineStr">
        <is>
          <t>Nitrile Exam Gloves Medium (Box/100)</t>
        </is>
      </c>
      <c r="D4" t="inlineStr">
        <is>
          <t>PPE</t>
        </is>
      </c>
      <c r="E4" t="inlineStr">
        <is>
          <t>Bluestone Memorial Hospital</t>
        </is>
      </c>
      <c r="F4" t="inlineStr">
        <is>
          <t>Perioperative Services</t>
        </is>
      </c>
      <c r="G4" t="inlineStr">
        <is>
          <t>Box</t>
        </is>
      </c>
      <c r="H4" t="n">
        <v>578</v>
      </c>
      <c r="I4" t="n">
        <v>800</v>
      </c>
      <c r="J4" t="n">
        <v>225</v>
      </c>
      <c r="K4" s="31" t="n">
        <v>0.7225</v>
      </c>
      <c r="L4" s="25" t="n"/>
    </row>
    <row r="5">
      <c r="A5" t="inlineStr">
        <is>
          <t>STK4004</t>
        </is>
      </c>
      <c r="B5" t="inlineStr">
        <is>
          <t>SKU-10021</t>
        </is>
      </c>
      <c r="C5" t="inlineStr">
        <is>
          <t>Nitrile Exam Gloves Large (Box/100)</t>
        </is>
      </c>
      <c r="D5" t="inlineStr">
        <is>
          <t>PPE</t>
        </is>
      </c>
      <c r="E5" t="inlineStr">
        <is>
          <t>Bluestone Memorial Hospital</t>
        </is>
      </c>
      <c r="F5" t="inlineStr">
        <is>
          <t>Pediatrics</t>
        </is>
      </c>
      <c r="G5" t="inlineStr">
        <is>
          <t>Box</t>
        </is>
      </c>
      <c r="H5" t="n">
        <v>550</v>
      </c>
      <c r="I5" t="n">
        <v>491</v>
      </c>
      <c r="J5" t="n">
        <v>179</v>
      </c>
      <c r="K5" s="31" t="n">
        <v>1.120162932790224</v>
      </c>
      <c r="L5" s="25" t="n"/>
    </row>
    <row r="6">
      <c r="A6" t="inlineStr">
        <is>
          <t>STK4005</t>
        </is>
      </c>
      <c r="B6" t="inlineStr">
        <is>
          <t>SKU-10021</t>
        </is>
      </c>
      <c r="C6" t="inlineStr">
        <is>
          <t>Nitrile Exam Gloves Large (Box/100)</t>
        </is>
      </c>
      <c r="D6" t="inlineStr">
        <is>
          <t>PPE</t>
        </is>
      </c>
      <c r="E6" t="inlineStr">
        <is>
          <t>Bluestone Memorial Hospital</t>
        </is>
      </c>
      <c r="F6" t="inlineStr">
        <is>
          <t>Perioperative Services</t>
        </is>
      </c>
      <c r="G6" t="inlineStr">
        <is>
          <t>Box</t>
        </is>
      </c>
      <c r="H6" t="n">
        <v>495</v>
      </c>
      <c r="I6" t="n">
        <v>460</v>
      </c>
      <c r="J6" t="n">
        <v>155</v>
      </c>
      <c r="K6" s="31" t="n">
        <v>1.076086956521739</v>
      </c>
      <c r="L6" s="25" t="n"/>
    </row>
    <row r="7">
      <c r="A7" t="inlineStr">
        <is>
          <t>STK4006</t>
        </is>
      </c>
      <c r="B7" t="inlineStr">
        <is>
          <t>SKU-10021</t>
        </is>
      </c>
      <c r="C7" t="inlineStr">
        <is>
          <t>Nitrile Exam Gloves Large (Box/100)</t>
        </is>
      </c>
      <c r="D7" t="inlineStr">
        <is>
          <t>PPE</t>
        </is>
      </c>
      <c r="E7" t="inlineStr">
        <is>
          <t>Ashby Falls Community Hospital</t>
        </is>
      </c>
      <c r="F7" t="inlineStr">
        <is>
          <t>Medical-Surgical</t>
        </is>
      </c>
      <c r="G7" t="inlineStr">
        <is>
          <t>Box</t>
        </is>
      </c>
      <c r="H7" t="n">
        <v>324</v>
      </c>
      <c r="I7" t="n">
        <v>497</v>
      </c>
      <c r="J7" t="n">
        <v>193</v>
      </c>
      <c r="K7" s="31" t="n">
        <v>0.6519114688128773</v>
      </c>
      <c r="L7" s="25" t="n"/>
    </row>
    <row r="8">
      <c r="A8" t="inlineStr">
        <is>
          <t>STK4007</t>
        </is>
      </c>
      <c r="B8" t="inlineStr">
        <is>
          <t>SKU-10028</t>
        </is>
      </c>
      <c r="C8" t="inlineStr">
        <is>
          <t>Nitrile Exam Gloves X-Large (Box/100)</t>
        </is>
      </c>
      <c r="D8" t="inlineStr">
        <is>
          <t>PPE</t>
        </is>
      </c>
      <c r="E8" t="inlineStr">
        <is>
          <t>Cedar Ridge Medical Center</t>
        </is>
      </c>
      <c r="F8" t="inlineStr">
        <is>
          <t>Emergency Department</t>
        </is>
      </c>
      <c r="G8" t="inlineStr">
        <is>
          <t>Box</t>
        </is>
      </c>
      <c r="H8" t="n">
        <v>703</v>
      </c>
      <c r="I8" t="n">
        <v>788</v>
      </c>
      <c r="J8" t="n">
        <v>290</v>
      </c>
      <c r="K8" s="31" t="n">
        <v>0.8921319796954315</v>
      </c>
      <c r="L8" s="25" t="n"/>
    </row>
    <row r="9">
      <c r="A9" t="inlineStr">
        <is>
          <t>STK4008</t>
        </is>
      </c>
      <c r="B9" t="inlineStr">
        <is>
          <t>SKU-10035</t>
        </is>
      </c>
      <c r="C9" t="inlineStr">
        <is>
          <t>Isolation Gown, Level 2 Regular</t>
        </is>
      </c>
      <c r="D9" t="inlineStr">
        <is>
          <t>PPE</t>
        </is>
      </c>
      <c r="E9" t="inlineStr">
        <is>
          <t>Bluestone Memorial Hospital</t>
        </is>
      </c>
      <c r="F9" t="inlineStr">
        <is>
          <t>Labor &amp; Delivery</t>
        </is>
      </c>
      <c r="G9" t="inlineStr">
        <is>
          <t>Case</t>
        </is>
      </c>
      <c r="H9" t="n">
        <v>0</v>
      </c>
      <c r="I9" t="n">
        <v>72</v>
      </c>
      <c r="J9" t="n">
        <v>18</v>
      </c>
      <c r="K9" s="31" t="n">
        <v>0</v>
      </c>
      <c r="L9" s="25" t="n"/>
    </row>
    <row r="10">
      <c r="A10" t="inlineStr">
        <is>
          <t>STK4009</t>
        </is>
      </c>
      <c r="B10" t="inlineStr">
        <is>
          <t>SKU-10035</t>
        </is>
      </c>
      <c r="C10" t="inlineStr">
        <is>
          <t>Isolation Gown, Level 2 Regular</t>
        </is>
      </c>
      <c r="D10" t="inlineStr">
        <is>
          <t>PPE</t>
        </is>
      </c>
      <c r="E10" t="inlineStr">
        <is>
          <t>Ashby Falls Community Hospital</t>
        </is>
      </c>
      <c r="F10" t="inlineStr">
        <is>
          <t>Emergency Department</t>
        </is>
      </c>
      <c r="G10" t="inlineStr">
        <is>
          <t>Case</t>
        </is>
      </c>
      <c r="H10" t="n">
        <v>47</v>
      </c>
      <c r="I10" t="n">
        <v>174</v>
      </c>
      <c r="J10" t="n">
        <v>48</v>
      </c>
      <c r="K10" s="31" t="n">
        <v>0.2701149425287356</v>
      </c>
      <c r="L10" s="25" t="n"/>
    </row>
    <row r="11">
      <c r="A11" t="inlineStr">
        <is>
          <t>STK4010</t>
        </is>
      </c>
      <c r="B11" t="inlineStr">
        <is>
          <t>SKU-10042</t>
        </is>
      </c>
      <c r="C11" t="inlineStr">
        <is>
          <t>Isolation Gown, Level 2 X-Large</t>
        </is>
      </c>
      <c r="D11" t="inlineStr">
        <is>
          <t>PPE</t>
        </is>
      </c>
      <c r="E11" t="inlineStr">
        <is>
          <t>Bluestone Memorial Hospital</t>
        </is>
      </c>
      <c r="F11" t="inlineStr">
        <is>
          <t>Labor &amp; Delivery</t>
        </is>
      </c>
      <c r="G11" t="inlineStr">
        <is>
          <t>Case</t>
        </is>
      </c>
      <c r="H11" t="n">
        <v>65</v>
      </c>
      <c r="I11" t="n">
        <v>55</v>
      </c>
      <c r="J11" t="n">
        <v>19</v>
      </c>
      <c r="K11" s="31" t="n">
        <v>1.181818181818182</v>
      </c>
      <c r="L11" s="25" t="n"/>
    </row>
    <row r="12">
      <c r="A12" t="inlineStr">
        <is>
          <t>STK4011</t>
        </is>
      </c>
      <c r="B12" t="inlineStr">
        <is>
          <t>SKU-10042</t>
        </is>
      </c>
      <c r="C12" t="inlineStr">
        <is>
          <t>Isolation Gown, Level 2 X-Large</t>
        </is>
      </c>
      <c r="D12" t="inlineStr">
        <is>
          <t>PPE</t>
        </is>
      </c>
      <c r="E12" t="inlineStr">
        <is>
          <t>Bluestone Memorial Hospital</t>
        </is>
      </c>
      <c r="F12" t="inlineStr">
        <is>
          <t>Perioperative Services</t>
        </is>
      </c>
      <c r="G12" t="inlineStr">
        <is>
          <t>Case</t>
        </is>
      </c>
      <c r="H12" t="n">
        <v>82</v>
      </c>
      <c r="I12" t="n">
        <v>77</v>
      </c>
      <c r="J12" t="n">
        <v>26</v>
      </c>
      <c r="K12" s="31" t="n">
        <v>1.064935064935065</v>
      </c>
      <c r="L12" s="25" t="n"/>
    </row>
    <row r="13">
      <c r="A13" t="inlineStr">
        <is>
          <t>STK4012</t>
        </is>
      </c>
      <c r="B13" t="inlineStr">
        <is>
          <t>SKU-10049</t>
        </is>
      </c>
      <c r="C13" t="inlineStr">
        <is>
          <t>N95 Respirator Small (Box/20)</t>
        </is>
      </c>
      <c r="D13" t="inlineStr">
        <is>
          <t>PPE</t>
        </is>
      </c>
      <c r="E13" t="inlineStr">
        <is>
          <t>Bluestone Memorial Hospital</t>
        </is>
      </c>
      <c r="F13" t="inlineStr">
        <is>
          <t>Orthopedics &amp; Spine</t>
        </is>
      </c>
      <c r="G13" t="inlineStr">
        <is>
          <t>Box</t>
        </is>
      </c>
      <c r="H13" t="n">
        <v>263</v>
      </c>
      <c r="I13" t="n">
        <v>226</v>
      </c>
      <c r="J13" t="n">
        <v>86</v>
      </c>
      <c r="K13" s="31" t="n">
        <v>1.163716814159292</v>
      </c>
      <c r="L13" s="25" t="n">
        <v>46367</v>
      </c>
      <c r="M13" t="inlineStr">
        <is>
          <t>L567778</t>
        </is>
      </c>
    </row>
    <row r="14">
      <c r="A14" t="inlineStr">
        <is>
          <t>STK4013</t>
        </is>
      </c>
      <c r="B14" t="inlineStr">
        <is>
          <t>SKU-10049</t>
        </is>
      </c>
      <c r="C14" t="inlineStr">
        <is>
          <t>N95 Respirator Small (Box/20)</t>
        </is>
      </c>
      <c r="D14" t="inlineStr">
        <is>
          <t>PPE</t>
        </is>
      </c>
      <c r="E14" t="inlineStr">
        <is>
          <t>Bluestone Memorial Hospital</t>
        </is>
      </c>
      <c r="F14" t="inlineStr">
        <is>
          <t>Oncology</t>
        </is>
      </c>
      <c r="G14" t="inlineStr">
        <is>
          <t>Box</t>
        </is>
      </c>
      <c r="H14" t="n">
        <v>126</v>
      </c>
      <c r="I14" t="n">
        <v>225</v>
      </c>
      <c r="J14" t="n">
        <v>88</v>
      </c>
      <c r="K14" s="31" t="n">
        <v>0.5600000000000001</v>
      </c>
      <c r="L14" s="25" t="n">
        <v>46181</v>
      </c>
      <c r="M14" t="inlineStr">
        <is>
          <t>L705867</t>
        </is>
      </c>
    </row>
    <row r="15">
      <c r="A15" t="inlineStr">
        <is>
          <t>STK4014</t>
        </is>
      </c>
      <c r="B15" t="inlineStr">
        <is>
          <t>SKU-10049</t>
        </is>
      </c>
      <c r="C15" t="inlineStr">
        <is>
          <t>N95 Respirator Small (Box/20)</t>
        </is>
      </c>
      <c r="D15" t="inlineStr">
        <is>
          <t>PPE</t>
        </is>
      </c>
      <c r="E15" t="inlineStr">
        <is>
          <t>Bluestone Memorial Hospital</t>
        </is>
      </c>
      <c r="F15" t="inlineStr">
        <is>
          <t>Laboratory</t>
        </is>
      </c>
      <c r="G15" t="inlineStr">
        <is>
          <t>Box</t>
        </is>
      </c>
      <c r="H15" t="n">
        <v>37</v>
      </c>
      <c r="I15" t="n">
        <v>150</v>
      </c>
      <c r="J15" t="n">
        <v>53</v>
      </c>
      <c r="K15" s="31" t="n">
        <v>0.2466666666666667</v>
      </c>
      <c r="L15" s="25" t="n">
        <v>46126</v>
      </c>
      <c r="M15" t="inlineStr">
        <is>
          <t>L670999</t>
        </is>
      </c>
    </row>
    <row r="16">
      <c r="A16" t="inlineStr">
        <is>
          <t>STK4015</t>
        </is>
      </c>
      <c r="B16" t="inlineStr">
        <is>
          <t>SKU-10056</t>
        </is>
      </c>
      <c r="C16" t="inlineStr">
        <is>
          <t>N95 Respirator Regular (Box/20)</t>
        </is>
      </c>
      <c r="D16" t="inlineStr">
        <is>
          <t>PPE</t>
        </is>
      </c>
      <c r="E16" t="inlineStr">
        <is>
          <t>Bluestone Memorial Hospital</t>
        </is>
      </c>
      <c r="F16" t="inlineStr">
        <is>
          <t>Medical-Surgical 5 East</t>
        </is>
      </c>
      <c r="G16" t="inlineStr">
        <is>
          <t>Box</t>
        </is>
      </c>
      <c r="H16" t="n">
        <v>121</v>
      </c>
      <c r="I16" t="n">
        <v>148</v>
      </c>
      <c r="J16" t="n">
        <v>39</v>
      </c>
      <c r="K16" s="31" t="n">
        <v>0.8175675675675675</v>
      </c>
      <c r="L16" s="25" t="n">
        <v>46324</v>
      </c>
      <c r="M16" t="inlineStr">
        <is>
          <t>L274021</t>
        </is>
      </c>
    </row>
    <row r="17">
      <c r="A17" t="inlineStr">
        <is>
          <t>STK4016</t>
        </is>
      </c>
      <c r="B17" t="inlineStr">
        <is>
          <t>SKU-10056</t>
        </is>
      </c>
      <c r="C17" t="inlineStr">
        <is>
          <t>N95 Respirator Regular (Box/20)</t>
        </is>
      </c>
      <c r="D17" t="inlineStr">
        <is>
          <t>PPE</t>
        </is>
      </c>
      <c r="E17" t="inlineStr">
        <is>
          <t>Bluestone Memorial Hospital</t>
        </is>
      </c>
      <c r="F17" t="inlineStr">
        <is>
          <t>Labor &amp; Delivery</t>
        </is>
      </c>
      <c r="G17" t="inlineStr">
        <is>
          <t>Box</t>
        </is>
      </c>
      <c r="H17" t="n">
        <v>36</v>
      </c>
      <c r="I17" t="n">
        <v>117</v>
      </c>
      <c r="J17" t="n">
        <v>32</v>
      </c>
      <c r="K17" s="31" t="n">
        <v>0.3076923076923077</v>
      </c>
      <c r="L17" s="25" t="n">
        <v>46487</v>
      </c>
      <c r="M17" t="inlineStr">
        <is>
          <t>L412381</t>
        </is>
      </c>
    </row>
    <row r="18">
      <c r="A18" t="inlineStr">
        <is>
          <t>STK4017</t>
        </is>
      </c>
      <c r="B18" t="inlineStr">
        <is>
          <t>SKU-10056</t>
        </is>
      </c>
      <c r="C18" t="inlineStr">
        <is>
          <t>N95 Respirator Regular (Box/20)</t>
        </is>
      </c>
      <c r="D18" t="inlineStr">
        <is>
          <t>PPE</t>
        </is>
      </c>
      <c r="E18" t="inlineStr">
        <is>
          <t>Bluestone Memorial Hospital</t>
        </is>
      </c>
      <c r="F18" t="inlineStr">
        <is>
          <t>Perioperative Services</t>
        </is>
      </c>
      <c r="G18" t="inlineStr">
        <is>
          <t>Box</t>
        </is>
      </c>
      <c r="H18" t="n">
        <v>71</v>
      </c>
      <c r="I18" t="n">
        <v>153</v>
      </c>
      <c r="J18" t="n">
        <v>60</v>
      </c>
      <c r="K18" s="31" t="n">
        <v>0.4640522875816994</v>
      </c>
      <c r="L18" s="25" t="n">
        <v>46118</v>
      </c>
      <c r="M18" t="inlineStr">
        <is>
          <t>L805667</t>
        </is>
      </c>
    </row>
    <row r="19">
      <c r="A19" t="inlineStr">
        <is>
          <t>STK4018</t>
        </is>
      </c>
      <c r="B19" t="inlineStr">
        <is>
          <t>SKU-10063</t>
        </is>
      </c>
      <c r="C19" t="inlineStr">
        <is>
          <t>Procedure Mask, Ear Loop (Box/50)</t>
        </is>
      </c>
      <c r="D19" t="inlineStr">
        <is>
          <t>PPE</t>
        </is>
      </c>
      <c r="E19" t="inlineStr">
        <is>
          <t>Bluestone Memorial Hospital</t>
        </is>
      </c>
      <c r="F19" t="inlineStr">
        <is>
          <t>Oncology</t>
        </is>
      </c>
      <c r="G19" t="inlineStr">
        <is>
          <t>Box</t>
        </is>
      </c>
      <c r="H19" t="n">
        <v>90</v>
      </c>
      <c r="I19" t="n">
        <v>426</v>
      </c>
      <c r="J19" t="n">
        <v>155</v>
      </c>
      <c r="K19" s="31" t="n">
        <v>0.2112676056338028</v>
      </c>
      <c r="L19" s="25" t="n"/>
    </row>
    <row r="20">
      <c r="A20" t="inlineStr">
        <is>
          <t>STK4019</t>
        </is>
      </c>
      <c r="B20" t="inlineStr">
        <is>
          <t>SKU-10063</t>
        </is>
      </c>
      <c r="C20" t="inlineStr">
        <is>
          <t>Procedure Mask, Ear Loop (Box/50)</t>
        </is>
      </c>
      <c r="D20" t="inlineStr">
        <is>
          <t>PPE</t>
        </is>
      </c>
      <c r="E20" t="inlineStr">
        <is>
          <t>Ashby Falls Community Hospital</t>
        </is>
      </c>
      <c r="F20" t="inlineStr">
        <is>
          <t>Emergency Department</t>
        </is>
      </c>
      <c r="G20" t="inlineStr">
        <is>
          <t>Box</t>
        </is>
      </c>
      <c r="H20" t="n">
        <v>158</v>
      </c>
      <c r="I20" t="n">
        <v>430</v>
      </c>
      <c r="J20" t="n">
        <v>110</v>
      </c>
      <c r="K20" s="31" t="n">
        <v>0.3674418604651163</v>
      </c>
      <c r="L20" s="25" t="n"/>
    </row>
    <row r="21">
      <c r="A21" t="inlineStr">
        <is>
          <t>STK4020</t>
        </is>
      </c>
      <c r="B21" t="inlineStr">
        <is>
          <t>SKU-10063</t>
        </is>
      </c>
      <c r="C21" t="inlineStr">
        <is>
          <t>Procedure Mask, Ear Loop (Box/50)</t>
        </is>
      </c>
      <c r="D21" t="inlineStr">
        <is>
          <t>PPE</t>
        </is>
      </c>
      <c r="E21" t="inlineStr">
        <is>
          <t>Cedar Ridge Medical Center</t>
        </is>
      </c>
      <c r="F21" t="inlineStr">
        <is>
          <t>Medical-Surgical</t>
        </is>
      </c>
      <c r="G21" t="inlineStr">
        <is>
          <t>Box</t>
        </is>
      </c>
      <c r="H21" t="n">
        <v>441</v>
      </c>
      <c r="I21" t="n">
        <v>800</v>
      </c>
      <c r="J21" t="n">
        <v>310</v>
      </c>
      <c r="K21" s="31" t="n">
        <v>0.55125</v>
      </c>
      <c r="L21" s="25" t="n"/>
    </row>
    <row r="22">
      <c r="A22" t="inlineStr">
        <is>
          <t>STK4021</t>
        </is>
      </c>
      <c r="B22" t="inlineStr">
        <is>
          <t>SKU-10070</t>
        </is>
      </c>
      <c r="C22" t="inlineStr">
        <is>
          <t>Face Shield, Full Length (Box/24)</t>
        </is>
      </c>
      <c r="D22" t="inlineStr">
        <is>
          <t>PPE</t>
        </is>
      </c>
      <c r="E22" t="inlineStr">
        <is>
          <t>Bluestone Memorial Hospital</t>
        </is>
      </c>
      <c r="F22" t="inlineStr">
        <is>
          <t>Medical-Surgical 5 East</t>
        </is>
      </c>
      <c r="G22" t="inlineStr">
        <is>
          <t>Box</t>
        </is>
      </c>
      <c r="H22" t="n">
        <v>182</v>
      </c>
      <c r="I22" t="n">
        <v>142</v>
      </c>
      <c r="J22" t="n">
        <v>49</v>
      </c>
      <c r="K22" s="31" t="n">
        <v>1.28169014084507</v>
      </c>
      <c r="L22" s="25" t="n"/>
    </row>
    <row r="23">
      <c r="A23" t="inlineStr">
        <is>
          <t>STK4022</t>
        </is>
      </c>
      <c r="B23" t="inlineStr">
        <is>
          <t>SKU-10070</t>
        </is>
      </c>
      <c r="C23" t="inlineStr">
        <is>
          <t>Face Shield, Full Length (Box/24)</t>
        </is>
      </c>
      <c r="D23" t="inlineStr">
        <is>
          <t>PPE</t>
        </is>
      </c>
      <c r="E23" t="inlineStr">
        <is>
          <t>Bluestone Memorial Hospital</t>
        </is>
      </c>
      <c r="F23" t="inlineStr">
        <is>
          <t>Labor &amp; Delivery</t>
        </is>
      </c>
      <c r="G23" t="inlineStr">
        <is>
          <t>Box</t>
        </is>
      </c>
      <c r="H23" t="n">
        <v>337</v>
      </c>
      <c r="I23" t="n">
        <v>288</v>
      </c>
      <c r="J23" t="n">
        <v>110</v>
      </c>
      <c r="K23" s="31" t="n">
        <v>1.170138888888889</v>
      </c>
      <c r="L23" s="25" t="n"/>
    </row>
    <row r="24">
      <c r="A24" t="inlineStr">
        <is>
          <t>STK4023</t>
        </is>
      </c>
      <c r="B24" t="inlineStr">
        <is>
          <t>SKU-10070</t>
        </is>
      </c>
      <c r="C24" t="inlineStr">
        <is>
          <t>Face Shield, Full Length (Box/24)</t>
        </is>
      </c>
      <c r="D24" t="inlineStr">
        <is>
          <t>PPE</t>
        </is>
      </c>
      <c r="E24" t="inlineStr">
        <is>
          <t>Bluestone Memorial Hospital</t>
        </is>
      </c>
      <c r="F24" t="inlineStr">
        <is>
          <t>Pediatrics</t>
        </is>
      </c>
      <c r="G24" t="inlineStr">
        <is>
          <t>Box</t>
        </is>
      </c>
      <c r="H24" t="n">
        <v>191</v>
      </c>
      <c r="I24" t="n">
        <v>322</v>
      </c>
      <c r="J24" t="n">
        <v>109</v>
      </c>
      <c r="K24" s="31" t="n">
        <v>0.593167701863354</v>
      </c>
      <c r="L24" s="25" t="n"/>
    </row>
    <row r="25">
      <c r="A25" t="inlineStr">
        <is>
          <t>STK4024</t>
        </is>
      </c>
      <c r="B25" t="inlineStr">
        <is>
          <t>SKU-10077</t>
        </is>
      </c>
      <c r="C25" t="inlineStr">
        <is>
          <t>Shoe Covers, Non-Skid (Case/300)</t>
        </is>
      </c>
      <c r="D25" t="inlineStr">
        <is>
          <t>PPE</t>
        </is>
      </c>
      <c r="E25" t="inlineStr">
        <is>
          <t>Bluestone Memorial Hospital</t>
        </is>
      </c>
      <c r="F25" t="inlineStr">
        <is>
          <t>Medical-Surgical 4 West</t>
        </is>
      </c>
      <c r="G25" t="inlineStr">
        <is>
          <t>Case</t>
        </is>
      </c>
      <c r="H25" t="n">
        <v>121</v>
      </c>
      <c r="I25" t="n">
        <v>115</v>
      </c>
      <c r="J25" t="n">
        <v>44</v>
      </c>
      <c r="K25" s="31" t="n">
        <v>1.052173913043478</v>
      </c>
      <c r="L25" s="25" t="n"/>
    </row>
    <row r="26">
      <c r="A26" t="inlineStr">
        <is>
          <t>STK4025</t>
        </is>
      </c>
      <c r="B26" t="inlineStr">
        <is>
          <t>SKU-10077</t>
        </is>
      </c>
      <c r="C26" t="inlineStr">
        <is>
          <t>Shoe Covers, Non-Skid (Case/300)</t>
        </is>
      </c>
      <c r="D26" t="inlineStr">
        <is>
          <t>PPE</t>
        </is>
      </c>
      <c r="E26" t="inlineStr">
        <is>
          <t>Bluestone Memorial Hospital</t>
        </is>
      </c>
      <c r="F26" t="inlineStr">
        <is>
          <t>Orthopedics &amp; Spine</t>
        </is>
      </c>
      <c r="G26" t="inlineStr">
        <is>
          <t>Case</t>
        </is>
      </c>
      <c r="H26" t="n">
        <v>46</v>
      </c>
      <c r="I26" t="n">
        <v>93</v>
      </c>
      <c r="J26" t="n">
        <v>32</v>
      </c>
      <c r="K26" s="31" t="n">
        <v>0.4946236559139785</v>
      </c>
      <c r="L26" s="25" t="n"/>
    </row>
    <row r="27">
      <c r="A27" t="inlineStr">
        <is>
          <t>STK4026</t>
        </is>
      </c>
      <c r="B27" t="inlineStr">
        <is>
          <t>SKU-10077</t>
        </is>
      </c>
      <c r="C27" t="inlineStr">
        <is>
          <t>Shoe Covers, Non-Skid (Case/300)</t>
        </is>
      </c>
      <c r="D27" t="inlineStr">
        <is>
          <t>PPE</t>
        </is>
      </c>
      <c r="E27" t="inlineStr">
        <is>
          <t>Bluestone Memorial Hospital</t>
        </is>
      </c>
      <c r="F27" t="inlineStr">
        <is>
          <t>Perioperative Services</t>
        </is>
      </c>
      <c r="G27" t="inlineStr">
        <is>
          <t>Case</t>
        </is>
      </c>
      <c r="H27" t="n">
        <v>213</v>
      </c>
      <c r="I27" t="n">
        <v>164</v>
      </c>
      <c r="J27" t="n">
        <v>42</v>
      </c>
      <c r="K27" s="31" t="n">
        <v>1.298780487804878</v>
      </c>
      <c r="L27" s="25" t="n"/>
    </row>
    <row r="28">
      <c r="A28" t="inlineStr">
        <is>
          <t>STK4027</t>
        </is>
      </c>
      <c r="B28" t="inlineStr">
        <is>
          <t>SKU-10084</t>
        </is>
      </c>
      <c r="C28" t="inlineStr">
        <is>
          <t>IV Catheter 14G x 1.16 in</t>
        </is>
      </c>
      <c r="D28" t="inlineStr">
        <is>
          <t>IV Supplies</t>
        </is>
      </c>
      <c r="E28" t="inlineStr">
        <is>
          <t>Bluestone Memorial Hospital</t>
        </is>
      </c>
      <c r="F28" t="inlineStr">
        <is>
          <t>Medical-Surgical 4 West</t>
        </is>
      </c>
      <c r="G28" t="inlineStr">
        <is>
          <t>Box</t>
        </is>
      </c>
      <c r="H28" t="n">
        <v>44</v>
      </c>
      <c r="I28" t="n">
        <v>64</v>
      </c>
      <c r="J28" t="n">
        <v>22</v>
      </c>
      <c r="K28" s="31" t="n">
        <v>0.6875</v>
      </c>
      <c r="L28" s="25" t="n">
        <v>46233</v>
      </c>
      <c r="M28" t="inlineStr">
        <is>
          <t>L227031</t>
        </is>
      </c>
    </row>
    <row r="29">
      <c r="A29" t="inlineStr">
        <is>
          <t>STK4028</t>
        </is>
      </c>
      <c r="B29" t="inlineStr">
        <is>
          <t>SKU-10091</t>
        </is>
      </c>
      <c r="C29" t="inlineStr">
        <is>
          <t>IV Catheter 16G x 1.16 in</t>
        </is>
      </c>
      <c r="D29" t="inlineStr">
        <is>
          <t>IV Supplies</t>
        </is>
      </c>
      <c r="E29" t="inlineStr">
        <is>
          <t>Bluestone Memorial Hospital</t>
        </is>
      </c>
      <c r="F29" t="inlineStr">
        <is>
          <t>Medical-Surgical 5 East</t>
        </is>
      </c>
      <c r="G29" t="inlineStr">
        <is>
          <t>Box</t>
        </is>
      </c>
      <c r="H29" t="n">
        <v>71</v>
      </c>
      <c r="I29" t="n">
        <v>108</v>
      </c>
      <c r="J29" t="n">
        <v>40</v>
      </c>
      <c r="K29" s="31" t="n">
        <v>0.6574074074074074</v>
      </c>
      <c r="L29" s="25" t="n">
        <v>46009</v>
      </c>
      <c r="M29" t="inlineStr">
        <is>
          <t>L323955</t>
        </is>
      </c>
    </row>
    <row r="30">
      <c r="A30" t="inlineStr">
        <is>
          <t>STK4029</t>
        </is>
      </c>
      <c r="B30" t="inlineStr">
        <is>
          <t>SKU-10098</t>
        </is>
      </c>
      <c r="C30" t="inlineStr">
        <is>
          <t>IV Catheter 18G x 1.16 in</t>
        </is>
      </c>
      <c r="D30" t="inlineStr">
        <is>
          <t>IV Supplies</t>
        </is>
      </c>
      <c r="E30" t="inlineStr">
        <is>
          <t>Bluestone Memorial Hospital</t>
        </is>
      </c>
      <c r="F30" t="inlineStr">
        <is>
          <t>Oncology</t>
        </is>
      </c>
      <c r="G30" t="inlineStr">
        <is>
          <t>Box</t>
        </is>
      </c>
      <c r="H30" t="n">
        <v>50</v>
      </c>
      <c r="I30" t="n">
        <v>76</v>
      </c>
      <c r="J30" t="n">
        <v>29</v>
      </c>
      <c r="K30" s="31" t="n">
        <v>0.6578947368421053</v>
      </c>
      <c r="L30" s="25" t="n">
        <v>46382</v>
      </c>
      <c r="M30" t="inlineStr">
        <is>
          <t>L551785</t>
        </is>
      </c>
    </row>
    <row r="31">
      <c r="A31" t="inlineStr">
        <is>
          <t>STK4030</t>
        </is>
      </c>
      <c r="B31" t="inlineStr">
        <is>
          <t>SKU-10098</t>
        </is>
      </c>
      <c r="C31" t="inlineStr">
        <is>
          <t>IV Catheter 18G x 1.16 in</t>
        </is>
      </c>
      <c r="D31" t="inlineStr">
        <is>
          <t>IV Supplies</t>
        </is>
      </c>
      <c r="E31" t="inlineStr">
        <is>
          <t>Bluestone Memorial Hospital</t>
        </is>
      </c>
      <c r="F31" t="inlineStr">
        <is>
          <t>Labor &amp; Delivery</t>
        </is>
      </c>
      <c r="G31" t="inlineStr">
        <is>
          <t>Box</t>
        </is>
      </c>
      <c r="H31" t="n">
        <v>118</v>
      </c>
      <c r="I31" t="n">
        <v>132</v>
      </c>
      <c r="J31" t="n">
        <v>46</v>
      </c>
      <c r="K31" s="31" t="n">
        <v>0.8939393939393939</v>
      </c>
      <c r="L31" s="25" t="n">
        <v>46392</v>
      </c>
      <c r="M31" t="inlineStr">
        <is>
          <t>L490763</t>
        </is>
      </c>
    </row>
    <row r="32">
      <c r="A32" t="inlineStr">
        <is>
          <t>STK4031</t>
        </is>
      </c>
      <c r="B32" t="inlineStr">
        <is>
          <t>SKU-10105</t>
        </is>
      </c>
      <c r="C32" t="inlineStr">
        <is>
          <t>IV Catheter 20G x 1.16 in</t>
        </is>
      </c>
      <c r="D32" t="inlineStr">
        <is>
          <t>IV Supplies</t>
        </is>
      </c>
      <c r="E32" t="inlineStr">
        <is>
          <t>Ashby Falls Community Hospital</t>
        </is>
      </c>
      <c r="F32" t="inlineStr">
        <is>
          <t>Medical-Surgical</t>
        </is>
      </c>
      <c r="G32" t="inlineStr">
        <is>
          <t>Box</t>
        </is>
      </c>
      <c r="H32" t="n">
        <v>151</v>
      </c>
      <c r="I32" t="n">
        <v>148</v>
      </c>
      <c r="J32" t="n">
        <v>41</v>
      </c>
      <c r="K32" s="31" t="n">
        <v>1.02027027027027</v>
      </c>
      <c r="L32" s="25" t="n">
        <v>46272</v>
      </c>
      <c r="M32" t="inlineStr">
        <is>
          <t>L262859</t>
        </is>
      </c>
    </row>
    <row r="33">
      <c r="A33" t="inlineStr">
        <is>
          <t>STK4032</t>
        </is>
      </c>
      <c r="B33" t="inlineStr">
        <is>
          <t>SKU-10105</t>
        </is>
      </c>
      <c r="C33" t="inlineStr">
        <is>
          <t>IV Catheter 20G x 1.16 in</t>
        </is>
      </c>
      <c r="D33" t="inlineStr">
        <is>
          <t>IV Supplies</t>
        </is>
      </c>
      <c r="E33" t="inlineStr">
        <is>
          <t>Bluestone Memorial Hospital</t>
        </is>
      </c>
      <c r="F33" t="inlineStr">
        <is>
          <t>Laboratory</t>
        </is>
      </c>
      <c r="G33" t="inlineStr">
        <is>
          <t>Box</t>
        </is>
      </c>
      <c r="H33" t="n">
        <v>104</v>
      </c>
      <c r="I33" t="n">
        <v>190</v>
      </c>
      <c r="J33" t="n">
        <v>74</v>
      </c>
      <c r="K33" s="31" t="n">
        <v>0.5473684210526316</v>
      </c>
      <c r="L33" s="25" t="n">
        <v>46258</v>
      </c>
      <c r="M33" t="inlineStr">
        <is>
          <t>L416786</t>
        </is>
      </c>
    </row>
    <row r="34">
      <c r="A34" t="inlineStr">
        <is>
          <t>STK4033</t>
        </is>
      </c>
      <c r="B34" t="inlineStr">
        <is>
          <t>SKU-10112</t>
        </is>
      </c>
      <c r="C34" t="inlineStr">
        <is>
          <t>IV Catheter 22G x 1.16 in</t>
        </is>
      </c>
      <c r="D34" t="inlineStr">
        <is>
          <t>IV Supplies</t>
        </is>
      </c>
      <c r="E34" t="inlineStr">
        <is>
          <t>Bluestone Memorial Hospital</t>
        </is>
      </c>
      <c r="F34" t="inlineStr">
        <is>
          <t>Oncology</t>
        </is>
      </c>
      <c r="G34" t="inlineStr">
        <is>
          <t>Box</t>
        </is>
      </c>
      <c r="H34" t="n">
        <v>7</v>
      </c>
      <c r="I34" t="n">
        <v>52</v>
      </c>
      <c r="J34" t="n">
        <v>19</v>
      </c>
      <c r="K34" s="31" t="n">
        <v>0.1346153846153846</v>
      </c>
      <c r="L34" s="25" t="n">
        <v>45957</v>
      </c>
      <c r="M34" t="inlineStr">
        <is>
          <t>L236652</t>
        </is>
      </c>
    </row>
    <row r="35">
      <c r="A35" t="inlineStr">
        <is>
          <t>STK4034</t>
        </is>
      </c>
      <c r="B35" t="inlineStr">
        <is>
          <t>SKU-10112</t>
        </is>
      </c>
      <c r="C35" t="inlineStr">
        <is>
          <t>IV Catheter 22G x 1.16 in</t>
        </is>
      </c>
      <c r="D35" t="inlineStr">
        <is>
          <t>IV Supplies</t>
        </is>
      </c>
      <c r="E35" t="inlineStr">
        <is>
          <t>Cedar Ridge Medical Center</t>
        </is>
      </c>
      <c r="F35" t="inlineStr">
        <is>
          <t>Medical-Surgical</t>
        </is>
      </c>
      <c r="G35" t="inlineStr">
        <is>
          <t>Box</t>
        </is>
      </c>
      <c r="H35" t="n">
        <v>15</v>
      </c>
      <c r="I35" t="n">
        <v>132</v>
      </c>
      <c r="J35" t="n">
        <v>35</v>
      </c>
      <c r="K35" s="31" t="n">
        <v>0.1136363636363636</v>
      </c>
      <c r="L35" s="25" t="n">
        <v>46468</v>
      </c>
      <c r="M35" t="inlineStr">
        <is>
          <t>L564515</t>
        </is>
      </c>
    </row>
    <row r="36">
      <c r="A36" t="inlineStr">
        <is>
          <t>STK4035</t>
        </is>
      </c>
      <c r="B36" t="inlineStr">
        <is>
          <t>SKU-10119</t>
        </is>
      </c>
      <c r="C36" t="inlineStr">
        <is>
          <t>IV Catheter 24G x 1.16 in</t>
        </is>
      </c>
      <c r="D36" t="inlineStr">
        <is>
          <t>IV Supplies</t>
        </is>
      </c>
      <c r="E36" t="inlineStr">
        <is>
          <t>Bluestone Memorial Hospital</t>
        </is>
      </c>
      <c r="F36" t="inlineStr">
        <is>
          <t>Orthopedics &amp; Spine</t>
        </is>
      </c>
      <c r="G36" t="inlineStr">
        <is>
          <t>Box</t>
        </is>
      </c>
      <c r="H36" t="n">
        <v>93</v>
      </c>
      <c r="I36" t="n">
        <v>69</v>
      </c>
      <c r="J36" t="n">
        <v>19</v>
      </c>
      <c r="K36" s="31" t="n">
        <v>1.347826086956522</v>
      </c>
      <c r="L36" s="25" t="n">
        <v>46415</v>
      </c>
      <c r="M36" t="inlineStr">
        <is>
          <t>L705292</t>
        </is>
      </c>
    </row>
    <row r="37">
      <c r="A37" t="inlineStr">
        <is>
          <t>STK4036</t>
        </is>
      </c>
      <c r="B37" t="inlineStr">
        <is>
          <t>SKU-10119</t>
        </is>
      </c>
      <c r="C37" t="inlineStr">
        <is>
          <t>IV Catheter 24G x 1.16 in</t>
        </is>
      </c>
      <c r="D37" t="inlineStr">
        <is>
          <t>IV Supplies</t>
        </is>
      </c>
      <c r="E37" t="inlineStr">
        <is>
          <t>Bluestone Memorial Hospital</t>
        </is>
      </c>
      <c r="F37" t="inlineStr">
        <is>
          <t>Pediatrics</t>
        </is>
      </c>
      <c r="G37" t="inlineStr">
        <is>
          <t>Box</t>
        </is>
      </c>
      <c r="H37" t="n">
        <v>33</v>
      </c>
      <c r="I37" t="n">
        <v>92</v>
      </c>
      <c r="J37" t="n">
        <v>28</v>
      </c>
      <c r="K37" s="31" t="n">
        <v>0.358695652173913</v>
      </c>
      <c r="L37" s="25" t="n">
        <v>46464</v>
      </c>
      <c r="M37" t="inlineStr">
        <is>
          <t>L791852</t>
        </is>
      </c>
    </row>
    <row r="38">
      <c r="A38" t="inlineStr">
        <is>
          <t>STK4037</t>
        </is>
      </c>
      <c r="B38" t="inlineStr">
        <is>
          <t>SKU-10119</t>
        </is>
      </c>
      <c r="C38" t="inlineStr">
        <is>
          <t>IV Catheter 24G x 1.16 in</t>
        </is>
      </c>
      <c r="D38" t="inlineStr">
        <is>
          <t>IV Supplies</t>
        </is>
      </c>
      <c r="E38" t="inlineStr">
        <is>
          <t>Ashby Falls Community Hospital</t>
        </is>
      </c>
      <c r="F38" t="inlineStr">
        <is>
          <t>Emergency Department</t>
        </is>
      </c>
      <c r="G38" t="inlineStr">
        <is>
          <t>Box</t>
        </is>
      </c>
      <c r="H38" t="n">
        <v>102</v>
      </c>
      <c r="I38" t="n">
        <v>355</v>
      </c>
      <c r="J38" t="n">
        <v>94</v>
      </c>
      <c r="K38" s="31" t="n">
        <v>0.2873239436619718</v>
      </c>
      <c r="L38" s="25" t="n">
        <v>46869</v>
      </c>
      <c r="M38" t="inlineStr">
        <is>
          <t>L343745</t>
        </is>
      </c>
    </row>
    <row r="39">
      <c r="A39" t="inlineStr">
        <is>
          <t>STK4038</t>
        </is>
      </c>
      <c r="B39" t="inlineStr">
        <is>
          <t>SKU-10126</t>
        </is>
      </c>
      <c r="C39" t="inlineStr">
        <is>
          <t>Primary IV Tubing Set, 60 Drop</t>
        </is>
      </c>
      <c r="D39" t="inlineStr">
        <is>
          <t>IV Supplies</t>
        </is>
      </c>
      <c r="E39" t="inlineStr">
        <is>
          <t>Bluestone Memorial Hospital</t>
        </is>
      </c>
      <c r="F39" t="inlineStr">
        <is>
          <t>Pediatrics</t>
        </is>
      </c>
      <c r="G39" t="inlineStr">
        <is>
          <t>Case</t>
        </is>
      </c>
      <c r="H39" t="n">
        <v>50</v>
      </c>
      <c r="I39" t="n">
        <v>38</v>
      </c>
      <c r="J39" t="n">
        <v>12</v>
      </c>
      <c r="K39" s="31" t="n">
        <v>1.315789473684211</v>
      </c>
      <c r="L39" s="25" t="n">
        <v>46986</v>
      </c>
      <c r="M39" t="inlineStr">
        <is>
          <t>L290377</t>
        </is>
      </c>
    </row>
    <row r="40">
      <c r="A40" t="inlineStr">
        <is>
          <t>STK4039</t>
        </is>
      </c>
      <c r="B40" t="inlineStr">
        <is>
          <t>SKU-10133</t>
        </is>
      </c>
      <c r="C40" t="inlineStr">
        <is>
          <t>Primary IV Tubing Set, 15 Drop</t>
        </is>
      </c>
      <c r="D40" t="inlineStr">
        <is>
          <t>IV Supplies</t>
        </is>
      </c>
      <c r="E40" t="inlineStr">
        <is>
          <t>Bluestone Memorial Hospital</t>
        </is>
      </c>
      <c r="F40" t="inlineStr">
        <is>
          <t>Oncology</t>
        </is>
      </c>
      <c r="G40" t="inlineStr">
        <is>
          <t>Case</t>
        </is>
      </c>
      <c r="H40" t="n">
        <v>47</v>
      </c>
      <c r="I40" t="n">
        <v>88</v>
      </c>
      <c r="J40" t="n">
        <v>26</v>
      </c>
      <c r="K40" s="31" t="n">
        <v>0.5340909090909091</v>
      </c>
      <c r="L40" s="25" t="n">
        <v>46394</v>
      </c>
      <c r="M40" t="inlineStr">
        <is>
          <t>L815156</t>
        </is>
      </c>
    </row>
    <row r="41">
      <c r="A41" t="inlineStr">
        <is>
          <t>STK4040</t>
        </is>
      </c>
      <c r="B41" t="inlineStr">
        <is>
          <t>SKU-10133</t>
        </is>
      </c>
      <c r="C41" t="inlineStr">
        <is>
          <t>Primary IV Tubing Set, 15 Drop</t>
        </is>
      </c>
      <c r="D41" t="inlineStr">
        <is>
          <t>IV Supplies</t>
        </is>
      </c>
      <c r="E41" t="inlineStr">
        <is>
          <t>Ashby Falls Community Hospital</t>
        </is>
      </c>
      <c r="F41" t="inlineStr">
        <is>
          <t>Medical-Surgical</t>
        </is>
      </c>
      <c r="G41" t="inlineStr">
        <is>
          <t>Case</t>
        </is>
      </c>
      <c r="H41" t="n">
        <v>102</v>
      </c>
      <c r="I41" t="n">
        <v>115</v>
      </c>
      <c r="J41" t="n">
        <v>40</v>
      </c>
      <c r="K41" s="31" t="n">
        <v>0.8869565217391304</v>
      </c>
      <c r="L41" s="25" t="n">
        <v>46592</v>
      </c>
      <c r="M41" t="inlineStr">
        <is>
          <t>L747790</t>
        </is>
      </c>
    </row>
    <row r="42">
      <c r="A42" t="inlineStr">
        <is>
          <t>STK4041</t>
        </is>
      </c>
      <c r="B42" t="inlineStr">
        <is>
          <t>SKU-10140</t>
        </is>
      </c>
      <c r="C42" t="inlineStr">
        <is>
          <t>Primary IV Tubing Set, Pump Compatible</t>
        </is>
      </c>
      <c r="D42" t="inlineStr">
        <is>
          <t>IV Supplies</t>
        </is>
      </c>
      <c r="E42" t="inlineStr">
        <is>
          <t>Bluestone Memorial Hospital</t>
        </is>
      </c>
      <c r="F42" t="inlineStr">
        <is>
          <t>Intensive Care Unit</t>
        </is>
      </c>
      <c r="G42" t="inlineStr">
        <is>
          <t>Case</t>
        </is>
      </c>
      <c r="H42" t="n">
        <v>118</v>
      </c>
      <c r="I42" t="n">
        <v>121</v>
      </c>
      <c r="J42" t="n">
        <v>43</v>
      </c>
      <c r="K42" s="31" t="n">
        <v>0.9752066115702479</v>
      </c>
      <c r="L42" s="25" t="n">
        <v>46169</v>
      </c>
      <c r="M42" t="inlineStr">
        <is>
          <t>L880339</t>
        </is>
      </c>
    </row>
    <row r="43">
      <c r="A43" t="inlineStr">
        <is>
          <t>STK4042</t>
        </is>
      </c>
      <c r="B43" t="inlineStr">
        <is>
          <t>SKU-10140</t>
        </is>
      </c>
      <c r="C43" t="inlineStr">
        <is>
          <t>Primary IV Tubing Set, Pump Compatible</t>
        </is>
      </c>
      <c r="D43" t="inlineStr">
        <is>
          <t>IV Supplies</t>
        </is>
      </c>
      <c r="E43" t="inlineStr">
        <is>
          <t>Cedar Ridge Medical Center</t>
        </is>
      </c>
      <c r="F43" t="inlineStr">
        <is>
          <t>Medical-Surgical</t>
        </is>
      </c>
      <c r="G43" t="inlineStr">
        <is>
          <t>Case</t>
        </is>
      </c>
      <c r="H43" t="n">
        <v>50</v>
      </c>
      <c r="I43" t="n">
        <v>102</v>
      </c>
      <c r="J43" t="n">
        <v>32</v>
      </c>
      <c r="K43" s="31" t="n">
        <v>0.4901960784313725</v>
      </c>
      <c r="L43" s="25" t="n">
        <v>46092</v>
      </c>
      <c r="M43" t="inlineStr">
        <is>
          <t>L504964</t>
        </is>
      </c>
    </row>
    <row r="44">
      <c r="A44" t="inlineStr">
        <is>
          <t>STK4043</t>
        </is>
      </c>
      <c r="B44" t="inlineStr">
        <is>
          <t>SKU-10147</t>
        </is>
      </c>
      <c r="C44" t="inlineStr">
        <is>
          <t>Saline Flush Syringe 3 mL (Box/30)</t>
        </is>
      </c>
      <c r="D44" t="inlineStr">
        <is>
          <t>IV Supplies</t>
        </is>
      </c>
      <c r="E44" t="inlineStr">
        <is>
          <t>Bluestone Memorial Hospital</t>
        </is>
      </c>
      <c r="F44" t="inlineStr">
        <is>
          <t>Medical-Surgical 4 West</t>
        </is>
      </c>
      <c r="G44" t="inlineStr">
        <is>
          <t>Box</t>
        </is>
      </c>
      <c r="H44" t="n">
        <v>0</v>
      </c>
      <c r="I44" t="n">
        <v>569</v>
      </c>
      <c r="J44" t="n">
        <v>150</v>
      </c>
      <c r="K44" s="31" t="n">
        <v>0</v>
      </c>
      <c r="L44" s="25" t="n">
        <v>46840</v>
      </c>
      <c r="M44" t="inlineStr">
        <is>
          <t>L146270</t>
        </is>
      </c>
    </row>
    <row r="45">
      <c r="A45" t="inlineStr">
        <is>
          <t>STK4044</t>
        </is>
      </c>
      <c r="B45" t="inlineStr">
        <is>
          <t>SKU-10147</t>
        </is>
      </c>
      <c r="C45" t="inlineStr">
        <is>
          <t>Saline Flush Syringe 3 mL (Box/30)</t>
        </is>
      </c>
      <c r="D45" t="inlineStr">
        <is>
          <t>IV Supplies</t>
        </is>
      </c>
      <c r="E45" t="inlineStr">
        <is>
          <t>Bluestone Memorial Hospital</t>
        </is>
      </c>
      <c r="F45" t="inlineStr">
        <is>
          <t>Intensive Care Unit</t>
        </is>
      </c>
      <c r="G45" t="inlineStr">
        <is>
          <t>Box</t>
        </is>
      </c>
      <c r="H45" t="n">
        <v>430</v>
      </c>
      <c r="I45" t="n">
        <v>336</v>
      </c>
      <c r="J45" t="n">
        <v>109</v>
      </c>
      <c r="K45" s="31" t="n">
        <v>1.279761904761905</v>
      </c>
      <c r="L45" s="25" t="n">
        <v>45969</v>
      </c>
      <c r="M45" t="inlineStr">
        <is>
          <t>L221415</t>
        </is>
      </c>
    </row>
    <row r="46">
      <c r="A46" t="inlineStr">
        <is>
          <t>STK4045</t>
        </is>
      </c>
      <c r="B46" t="inlineStr">
        <is>
          <t>SKU-10147</t>
        </is>
      </c>
      <c r="C46" t="inlineStr">
        <is>
          <t>Saline Flush Syringe 3 mL (Box/30)</t>
        </is>
      </c>
      <c r="D46" t="inlineStr">
        <is>
          <t>IV Supplies</t>
        </is>
      </c>
      <c r="E46" t="inlineStr">
        <is>
          <t>Bluestone Memorial Hospital</t>
        </is>
      </c>
      <c r="F46" t="inlineStr">
        <is>
          <t>Oncology</t>
        </is>
      </c>
      <c r="G46" t="inlineStr">
        <is>
          <t>Box</t>
        </is>
      </c>
      <c r="H46" t="n">
        <v>725</v>
      </c>
      <c r="I46" t="n">
        <v>789</v>
      </c>
      <c r="J46" t="n">
        <v>219</v>
      </c>
      <c r="K46" s="31" t="n">
        <v>0.9188846641318125</v>
      </c>
      <c r="L46" s="25" t="n">
        <v>46329</v>
      </c>
      <c r="M46" t="inlineStr">
        <is>
          <t>L253721</t>
        </is>
      </c>
    </row>
    <row r="47">
      <c r="A47" t="inlineStr">
        <is>
          <t>STK4046</t>
        </is>
      </c>
      <c r="B47" t="inlineStr">
        <is>
          <t>SKU-10147</t>
        </is>
      </c>
      <c r="C47" t="inlineStr">
        <is>
          <t>Saline Flush Syringe 3 mL (Box/30)</t>
        </is>
      </c>
      <c r="D47" t="inlineStr">
        <is>
          <t>IV Supplies</t>
        </is>
      </c>
      <c r="E47" t="inlineStr">
        <is>
          <t>Bluestone Memorial Hospital</t>
        </is>
      </c>
      <c r="F47" t="inlineStr">
        <is>
          <t>Labor &amp; Delivery</t>
        </is>
      </c>
      <c r="G47" t="inlineStr">
        <is>
          <t>Box</t>
        </is>
      </c>
      <c r="H47" t="n">
        <v>362</v>
      </c>
      <c r="I47" t="n">
        <v>800</v>
      </c>
      <c r="J47" t="n">
        <v>203</v>
      </c>
      <c r="K47" s="31" t="n">
        <v>0.4525</v>
      </c>
      <c r="L47" s="25" t="n">
        <v>46928</v>
      </c>
      <c r="M47" t="inlineStr">
        <is>
          <t>L217895</t>
        </is>
      </c>
    </row>
    <row r="48">
      <c r="A48" t="inlineStr">
        <is>
          <t>STK4047</t>
        </is>
      </c>
      <c r="B48" t="inlineStr">
        <is>
          <t>SKU-10154</t>
        </is>
      </c>
      <c r="C48" t="inlineStr">
        <is>
          <t>Saline Flush Syringe 5 mL (Box/30)</t>
        </is>
      </c>
      <c r="D48" t="inlineStr">
        <is>
          <t>IV Supplies</t>
        </is>
      </c>
      <c r="E48" t="inlineStr">
        <is>
          <t>Bluestone Memorial Hospital</t>
        </is>
      </c>
      <c r="F48" t="inlineStr">
        <is>
          <t>Emergency Department</t>
        </is>
      </c>
      <c r="G48" t="inlineStr">
        <is>
          <t>Box</t>
        </is>
      </c>
      <c r="H48" t="n">
        <v>260</v>
      </c>
      <c r="I48" t="n">
        <v>247</v>
      </c>
      <c r="J48" t="n">
        <v>83</v>
      </c>
      <c r="K48" s="31" t="n">
        <v>1.052631578947368</v>
      </c>
      <c r="L48" s="25" t="n">
        <v>46797</v>
      </c>
      <c r="M48" t="inlineStr">
        <is>
          <t>L883793</t>
        </is>
      </c>
    </row>
    <row r="49">
      <c r="A49" t="inlineStr">
        <is>
          <t>STK4048</t>
        </is>
      </c>
      <c r="B49" t="inlineStr">
        <is>
          <t>SKU-10161</t>
        </is>
      </c>
      <c r="C49" t="inlineStr">
        <is>
          <t>Saline Flush Syringe 10 mL (Box/30)</t>
        </is>
      </c>
      <c r="D49" t="inlineStr">
        <is>
          <t>IV Supplies</t>
        </is>
      </c>
      <c r="E49" t="inlineStr">
        <is>
          <t>Bluestone Memorial Hospital</t>
        </is>
      </c>
      <c r="F49" t="inlineStr">
        <is>
          <t>Cardiac Step-Down</t>
        </is>
      </c>
      <c r="G49" t="inlineStr">
        <is>
          <t>Box</t>
        </is>
      </c>
      <c r="H49" t="n">
        <v>192</v>
      </c>
      <c r="I49" t="n">
        <v>457</v>
      </c>
      <c r="J49" t="n">
        <v>151</v>
      </c>
      <c r="K49" s="31" t="n">
        <v>0.4201312910284464</v>
      </c>
      <c r="L49" s="25" t="n">
        <v>46396</v>
      </c>
      <c r="M49" t="inlineStr">
        <is>
          <t>L655616</t>
        </is>
      </c>
    </row>
    <row r="50">
      <c r="A50" t="inlineStr">
        <is>
          <t>STK4049</t>
        </is>
      </c>
      <c r="B50" t="inlineStr">
        <is>
          <t>SKU-10161</t>
        </is>
      </c>
      <c r="C50" t="inlineStr">
        <is>
          <t>Saline Flush Syringe 10 mL (Box/30)</t>
        </is>
      </c>
      <c r="D50" t="inlineStr">
        <is>
          <t>IV Supplies</t>
        </is>
      </c>
      <c r="E50" t="inlineStr">
        <is>
          <t>Bluestone Memorial Hospital</t>
        </is>
      </c>
      <c r="F50" t="inlineStr">
        <is>
          <t>Labor &amp; Delivery</t>
        </is>
      </c>
      <c r="G50" t="inlineStr">
        <is>
          <t>Box</t>
        </is>
      </c>
      <c r="H50" t="n">
        <v>412</v>
      </c>
      <c r="I50" t="n">
        <v>328</v>
      </c>
      <c r="J50" t="n">
        <v>102</v>
      </c>
      <c r="K50" s="31" t="n">
        <v>1.25609756097561</v>
      </c>
      <c r="L50" s="25" t="n">
        <v>46935</v>
      </c>
      <c r="M50" t="inlineStr">
        <is>
          <t>L901870</t>
        </is>
      </c>
    </row>
    <row r="51">
      <c r="A51" t="inlineStr">
        <is>
          <t>STK4050</t>
        </is>
      </c>
      <c r="B51" t="inlineStr">
        <is>
          <t>SKU-10161</t>
        </is>
      </c>
      <c r="C51" t="inlineStr">
        <is>
          <t>Saline Flush Syringe 10 mL (Box/30)</t>
        </is>
      </c>
      <c r="D51" t="inlineStr">
        <is>
          <t>IV Supplies</t>
        </is>
      </c>
      <c r="E51" t="inlineStr">
        <is>
          <t>Ashby Falls Community Hospital</t>
        </is>
      </c>
      <c r="F51" t="inlineStr">
        <is>
          <t>Emergency Department</t>
        </is>
      </c>
      <c r="G51" t="inlineStr">
        <is>
          <t>Box</t>
        </is>
      </c>
      <c r="H51" t="n">
        <v>303</v>
      </c>
      <c r="I51" t="n">
        <v>377</v>
      </c>
      <c r="J51" t="n">
        <v>124</v>
      </c>
      <c r="K51" s="31" t="n">
        <v>0.8037135278514589</v>
      </c>
      <c r="L51" s="25" t="n">
        <v>46270</v>
      </c>
      <c r="M51" t="inlineStr">
        <is>
          <t>L867580</t>
        </is>
      </c>
    </row>
    <row r="52">
      <c r="A52" t="inlineStr">
        <is>
          <t>STK4051</t>
        </is>
      </c>
      <c r="B52" t="inlineStr">
        <is>
          <t>SKU-10168</t>
        </is>
      </c>
      <c r="C52" t="inlineStr">
        <is>
          <t>IV Start Kit with Chlorhexidine</t>
        </is>
      </c>
      <c r="D52" t="inlineStr">
        <is>
          <t>IV Supplies</t>
        </is>
      </c>
      <c r="E52" t="inlineStr">
        <is>
          <t>Bluestone Memorial Hospital</t>
        </is>
      </c>
      <c r="F52" t="inlineStr">
        <is>
          <t>Orthopedics &amp; Spine</t>
        </is>
      </c>
      <c r="G52" t="inlineStr">
        <is>
          <t>Each</t>
        </is>
      </c>
      <c r="H52" t="n">
        <v>921</v>
      </c>
      <c r="I52" t="n">
        <v>800</v>
      </c>
      <c r="J52" t="n">
        <v>255</v>
      </c>
      <c r="K52" s="31" t="n">
        <v>1.15125</v>
      </c>
      <c r="L52" s="25" t="n">
        <v>46737</v>
      </c>
      <c r="M52" t="inlineStr">
        <is>
          <t>L950718</t>
        </is>
      </c>
    </row>
    <row r="53">
      <c r="A53" t="inlineStr">
        <is>
          <t>STK4052</t>
        </is>
      </c>
      <c r="B53" t="inlineStr">
        <is>
          <t>SKU-10168</t>
        </is>
      </c>
      <c r="C53" t="inlineStr">
        <is>
          <t>IV Start Kit with Chlorhexidine</t>
        </is>
      </c>
      <c r="D53" t="inlineStr">
        <is>
          <t>IV Supplies</t>
        </is>
      </c>
      <c r="E53" t="inlineStr">
        <is>
          <t>Bluestone Memorial Hospital</t>
        </is>
      </c>
      <c r="F53" t="inlineStr">
        <is>
          <t>Pediatrics</t>
        </is>
      </c>
      <c r="G53" t="inlineStr">
        <is>
          <t>Each</t>
        </is>
      </c>
      <c r="H53" t="n">
        <v>1061</v>
      </c>
      <c r="I53" t="n">
        <v>800</v>
      </c>
      <c r="J53" t="n">
        <v>307</v>
      </c>
      <c r="K53" s="31" t="n">
        <v>1.32625</v>
      </c>
      <c r="L53" s="25" t="n">
        <v>46913</v>
      </c>
      <c r="M53" t="inlineStr">
        <is>
          <t>L637549</t>
        </is>
      </c>
    </row>
    <row r="54">
      <c r="A54" t="inlineStr">
        <is>
          <t>STK4053</t>
        </is>
      </c>
      <c r="B54" t="inlineStr">
        <is>
          <t>SKU-10168</t>
        </is>
      </c>
      <c r="C54" t="inlineStr">
        <is>
          <t>IV Start Kit with Chlorhexidine</t>
        </is>
      </c>
      <c r="D54" t="inlineStr">
        <is>
          <t>IV Supplies</t>
        </is>
      </c>
      <c r="E54" t="inlineStr">
        <is>
          <t>Ashby Falls Community Hospital</t>
        </is>
      </c>
      <c r="F54" t="inlineStr">
        <is>
          <t>Emergency Department</t>
        </is>
      </c>
      <c r="G54" t="inlineStr">
        <is>
          <t>Each</t>
        </is>
      </c>
      <c r="H54" t="n">
        <v>900</v>
      </c>
      <c r="I54" t="n">
        <v>800</v>
      </c>
      <c r="J54" t="n">
        <v>291</v>
      </c>
      <c r="K54" s="31" t="n">
        <v>1.125</v>
      </c>
      <c r="L54" s="25" t="n">
        <v>46514</v>
      </c>
      <c r="M54" t="inlineStr">
        <is>
          <t>L957908</t>
        </is>
      </c>
    </row>
    <row r="55">
      <c r="A55" t="inlineStr">
        <is>
          <t>STK4054</t>
        </is>
      </c>
      <c r="B55" t="inlineStr">
        <is>
          <t>SKU-10175</t>
        </is>
      </c>
      <c r="C55" t="inlineStr">
        <is>
          <t>IV Extension Set 7 in</t>
        </is>
      </c>
      <c r="D55" t="inlineStr">
        <is>
          <t>IV Supplies</t>
        </is>
      </c>
      <c r="E55" t="inlineStr">
        <is>
          <t>Bluestone Memorial Hospital</t>
        </is>
      </c>
      <c r="F55" t="inlineStr">
        <is>
          <t>Medical-Surgical 4 West</t>
        </is>
      </c>
      <c r="G55" t="inlineStr">
        <is>
          <t>Each</t>
        </is>
      </c>
      <c r="H55" t="n">
        <v>268</v>
      </c>
      <c r="I55" t="n">
        <v>800</v>
      </c>
      <c r="J55" t="n">
        <v>213</v>
      </c>
      <c r="K55" s="31" t="n">
        <v>0.335</v>
      </c>
      <c r="L55" s="25" t="n">
        <v>45996</v>
      </c>
      <c r="M55" t="inlineStr">
        <is>
          <t>L305460</t>
        </is>
      </c>
    </row>
    <row r="56">
      <c r="A56" t="inlineStr">
        <is>
          <t>STK4055</t>
        </is>
      </c>
      <c r="B56" t="inlineStr">
        <is>
          <t>SKU-10182</t>
        </is>
      </c>
      <c r="C56" t="inlineStr">
        <is>
          <t>IV Extension Set 30 in</t>
        </is>
      </c>
      <c r="D56" t="inlineStr">
        <is>
          <t>IV Supplies</t>
        </is>
      </c>
      <c r="E56" t="inlineStr">
        <is>
          <t>Bluestone Memorial Hospital</t>
        </is>
      </c>
      <c r="F56" t="inlineStr">
        <is>
          <t>Orthopedics &amp; Spine</t>
        </is>
      </c>
      <c r="G56" t="inlineStr">
        <is>
          <t>Each</t>
        </is>
      </c>
      <c r="H56" t="n">
        <v>616</v>
      </c>
      <c r="I56" t="n">
        <v>800</v>
      </c>
      <c r="J56" t="n">
        <v>227</v>
      </c>
      <c r="K56" s="31" t="n">
        <v>0.77</v>
      </c>
      <c r="L56" s="25" t="n">
        <v>46308</v>
      </c>
      <c r="M56" t="inlineStr">
        <is>
          <t>L676690</t>
        </is>
      </c>
    </row>
    <row r="57">
      <c r="A57" t="inlineStr">
        <is>
          <t>STK4056</t>
        </is>
      </c>
      <c r="B57" t="inlineStr">
        <is>
          <t>SKU-10182</t>
        </is>
      </c>
      <c r="C57" t="inlineStr">
        <is>
          <t>IV Extension Set 30 in</t>
        </is>
      </c>
      <c r="D57" t="inlineStr">
        <is>
          <t>IV Supplies</t>
        </is>
      </c>
      <c r="E57" t="inlineStr">
        <is>
          <t>Bluestone Memorial Hospital</t>
        </is>
      </c>
      <c r="F57" t="inlineStr">
        <is>
          <t>Pediatrics</t>
        </is>
      </c>
      <c r="G57" t="inlineStr">
        <is>
          <t>Each</t>
        </is>
      </c>
      <c r="H57" t="n">
        <v>544</v>
      </c>
      <c r="I57" t="n">
        <v>800</v>
      </c>
      <c r="J57" t="n">
        <v>278</v>
      </c>
      <c r="K57" s="31" t="n">
        <v>0.68</v>
      </c>
      <c r="L57" s="25" t="n">
        <v>46772</v>
      </c>
      <c r="M57" t="inlineStr">
        <is>
          <t>L889112</t>
        </is>
      </c>
    </row>
    <row r="58">
      <c r="A58" t="inlineStr">
        <is>
          <t>STK4057</t>
        </is>
      </c>
      <c r="B58" t="inlineStr">
        <is>
          <t>SKU-10182</t>
        </is>
      </c>
      <c r="C58" t="inlineStr">
        <is>
          <t>IV Extension Set 30 in</t>
        </is>
      </c>
      <c r="D58" t="inlineStr">
        <is>
          <t>IV Supplies</t>
        </is>
      </c>
      <c r="E58" t="inlineStr">
        <is>
          <t>Bluestone Memorial Hospital</t>
        </is>
      </c>
      <c r="F58" t="inlineStr">
        <is>
          <t>Laboratory</t>
        </is>
      </c>
      <c r="G58" t="inlineStr">
        <is>
          <t>Each</t>
        </is>
      </c>
      <c r="H58" t="n">
        <v>398</v>
      </c>
      <c r="I58" t="n">
        <v>800</v>
      </c>
      <c r="J58" t="n">
        <v>269</v>
      </c>
      <c r="K58" s="31" t="n">
        <v>0.4975</v>
      </c>
      <c r="L58" s="25" t="n">
        <v>46985</v>
      </c>
      <c r="M58" t="inlineStr">
        <is>
          <t>L753895</t>
        </is>
      </c>
    </row>
    <row r="59">
      <c r="A59" t="inlineStr">
        <is>
          <t>STK4058</t>
        </is>
      </c>
      <c r="B59" t="inlineStr">
        <is>
          <t>SKU-10189</t>
        </is>
      </c>
      <c r="C59" t="inlineStr">
        <is>
          <t>Gauze Sponge 2x2 Sterile (Pack/2)</t>
        </is>
      </c>
      <c r="D59" t="inlineStr">
        <is>
          <t>Wound Care</t>
        </is>
      </c>
      <c r="E59" t="inlineStr">
        <is>
          <t>Ashby Falls Community Hospital</t>
        </is>
      </c>
      <c r="F59" t="inlineStr">
        <is>
          <t>Emergency Department</t>
        </is>
      </c>
      <c r="G59" t="inlineStr">
        <is>
          <t>Pack</t>
        </is>
      </c>
      <c r="H59" t="n">
        <v>604</v>
      </c>
      <c r="I59" t="n">
        <v>800</v>
      </c>
      <c r="J59" t="n">
        <v>200</v>
      </c>
      <c r="K59" s="31" t="n">
        <v>0.755</v>
      </c>
      <c r="L59" s="25" t="n">
        <v>45909</v>
      </c>
      <c r="M59" t="inlineStr">
        <is>
          <t>L959544</t>
        </is>
      </c>
    </row>
    <row r="60">
      <c r="A60" t="inlineStr">
        <is>
          <t>STK4059</t>
        </is>
      </c>
      <c r="B60" t="inlineStr">
        <is>
          <t>SKU-10189</t>
        </is>
      </c>
      <c r="C60" t="inlineStr">
        <is>
          <t>Gauze Sponge 2x2 Sterile (Pack/2)</t>
        </is>
      </c>
      <c r="D60" t="inlineStr">
        <is>
          <t>Wound Care</t>
        </is>
      </c>
      <c r="E60" t="inlineStr">
        <is>
          <t>Ashby Falls Community Hospital</t>
        </is>
      </c>
      <c r="F60" t="inlineStr">
        <is>
          <t>Medical-Surgical</t>
        </is>
      </c>
      <c r="G60" t="inlineStr">
        <is>
          <t>Pack</t>
        </is>
      </c>
      <c r="H60" t="n">
        <v>966</v>
      </c>
      <c r="I60" t="n">
        <v>800</v>
      </c>
      <c r="J60" t="n">
        <v>212</v>
      </c>
      <c r="K60" s="31" t="n">
        <v>1.2075</v>
      </c>
      <c r="L60" s="25" t="n">
        <v>46738</v>
      </c>
      <c r="M60" t="inlineStr">
        <is>
          <t>L643166</t>
        </is>
      </c>
    </row>
    <row r="61">
      <c r="A61" t="inlineStr">
        <is>
          <t>STK4060</t>
        </is>
      </c>
      <c r="B61" t="inlineStr">
        <is>
          <t>SKU-10196</t>
        </is>
      </c>
      <c r="C61" t="inlineStr">
        <is>
          <t>Gauze Sponge 4x4 Sterile (Pack/2)</t>
        </is>
      </c>
      <c r="D61" t="inlineStr">
        <is>
          <t>Wound Care</t>
        </is>
      </c>
      <c r="E61" t="inlineStr">
        <is>
          <t>Bluestone Memorial Hospital</t>
        </is>
      </c>
      <c r="F61" t="inlineStr">
        <is>
          <t>Medical-Surgical 5 East</t>
        </is>
      </c>
      <c r="G61" t="inlineStr">
        <is>
          <t>Pack</t>
        </is>
      </c>
      <c r="H61" t="n">
        <v>1051</v>
      </c>
      <c r="I61" t="n">
        <v>800</v>
      </c>
      <c r="J61" t="n">
        <v>294</v>
      </c>
      <c r="K61" s="31" t="n">
        <v>1.31375</v>
      </c>
      <c r="L61" s="25" t="n">
        <v>46701</v>
      </c>
      <c r="M61" t="inlineStr">
        <is>
          <t>L883540</t>
        </is>
      </c>
    </row>
    <row r="62">
      <c r="A62" t="inlineStr">
        <is>
          <t>STK4061</t>
        </is>
      </c>
      <c r="B62" t="inlineStr">
        <is>
          <t>SKU-10196</t>
        </is>
      </c>
      <c r="C62" t="inlineStr">
        <is>
          <t>Gauze Sponge 4x4 Sterile (Pack/2)</t>
        </is>
      </c>
      <c r="D62" t="inlineStr">
        <is>
          <t>Wound Care</t>
        </is>
      </c>
      <c r="E62" t="inlineStr">
        <is>
          <t>Bluestone Memorial Hospital</t>
        </is>
      </c>
      <c r="F62" t="inlineStr">
        <is>
          <t>Labor &amp; Delivery</t>
        </is>
      </c>
      <c r="G62" t="inlineStr">
        <is>
          <t>Pack</t>
        </is>
      </c>
      <c r="H62" t="n">
        <v>380</v>
      </c>
      <c r="I62" t="n">
        <v>800</v>
      </c>
      <c r="J62" t="n">
        <v>253</v>
      </c>
      <c r="K62" s="31" t="n">
        <v>0.475</v>
      </c>
      <c r="L62" s="25" t="n">
        <v>47006</v>
      </c>
      <c r="M62" t="inlineStr">
        <is>
          <t>L862513</t>
        </is>
      </c>
    </row>
    <row r="63">
      <c r="A63" t="inlineStr">
        <is>
          <t>STK4062</t>
        </is>
      </c>
      <c r="B63" t="inlineStr">
        <is>
          <t>SKU-10196</t>
        </is>
      </c>
      <c r="C63" t="inlineStr">
        <is>
          <t>Gauze Sponge 4x4 Sterile (Pack/2)</t>
        </is>
      </c>
      <c r="D63" t="inlineStr">
        <is>
          <t>Wound Care</t>
        </is>
      </c>
      <c r="E63" t="inlineStr">
        <is>
          <t>Ashby Falls Community Hospital</t>
        </is>
      </c>
      <c r="F63" t="inlineStr">
        <is>
          <t>Medical-Surgical</t>
        </is>
      </c>
      <c r="G63" t="inlineStr">
        <is>
          <t>Pack</t>
        </is>
      </c>
      <c r="H63" t="n">
        <v>49</v>
      </c>
      <c r="I63" t="n">
        <v>800</v>
      </c>
      <c r="J63" t="n">
        <v>254</v>
      </c>
      <c r="K63" s="31" t="n">
        <v>0.06125</v>
      </c>
      <c r="L63" s="25" t="n">
        <v>46297</v>
      </c>
      <c r="M63" t="inlineStr">
        <is>
          <t>L490041</t>
        </is>
      </c>
    </row>
    <row r="64">
      <c r="A64" t="inlineStr">
        <is>
          <t>STK4063</t>
        </is>
      </c>
      <c r="B64" t="inlineStr">
        <is>
          <t>SKU-10203</t>
        </is>
      </c>
      <c r="C64" t="inlineStr">
        <is>
          <t>Foam Dressing 3x3</t>
        </is>
      </c>
      <c r="D64" t="inlineStr">
        <is>
          <t>Wound Care</t>
        </is>
      </c>
      <c r="E64" t="inlineStr">
        <is>
          <t>Bluestone Memorial Hospital</t>
        </is>
      </c>
      <c r="F64" t="inlineStr">
        <is>
          <t>Cardiac Step-Down</t>
        </is>
      </c>
      <c r="G64" t="inlineStr">
        <is>
          <t>Each</t>
        </is>
      </c>
      <c r="H64" t="n">
        <v>343</v>
      </c>
      <c r="I64" t="n">
        <v>800</v>
      </c>
      <c r="J64" t="n">
        <v>277</v>
      </c>
      <c r="K64" s="31" t="n">
        <v>0.42875</v>
      </c>
      <c r="L64" s="25" t="n">
        <v>46104</v>
      </c>
      <c r="M64" t="inlineStr">
        <is>
          <t>L623581</t>
        </is>
      </c>
    </row>
    <row r="65">
      <c r="A65" t="inlineStr">
        <is>
          <t>STK4064</t>
        </is>
      </c>
      <c r="B65" t="inlineStr">
        <is>
          <t>SKU-10203</t>
        </is>
      </c>
      <c r="C65" t="inlineStr">
        <is>
          <t>Foam Dressing 3x3</t>
        </is>
      </c>
      <c r="D65" t="inlineStr">
        <is>
          <t>Wound Care</t>
        </is>
      </c>
      <c r="E65" t="inlineStr">
        <is>
          <t>Bluestone Memorial Hospital</t>
        </is>
      </c>
      <c r="F65" t="inlineStr">
        <is>
          <t>Pediatrics</t>
        </is>
      </c>
      <c r="G65" t="inlineStr">
        <is>
          <t>Each</t>
        </is>
      </c>
      <c r="H65" t="n">
        <v>358</v>
      </c>
      <c r="I65" t="n">
        <v>406</v>
      </c>
      <c r="J65" t="n">
        <v>129</v>
      </c>
      <c r="K65" s="31" t="n">
        <v>0.8817733990147784</v>
      </c>
      <c r="L65" s="25" t="n">
        <v>46159</v>
      </c>
      <c r="M65" t="inlineStr">
        <is>
          <t>L497960</t>
        </is>
      </c>
    </row>
    <row r="66">
      <c r="A66" t="inlineStr">
        <is>
          <t>STK4065</t>
        </is>
      </c>
      <c r="B66" t="inlineStr">
        <is>
          <t>SKU-10203</t>
        </is>
      </c>
      <c r="C66" t="inlineStr">
        <is>
          <t>Foam Dressing 3x3</t>
        </is>
      </c>
      <c r="D66" t="inlineStr">
        <is>
          <t>Wound Care</t>
        </is>
      </c>
      <c r="E66" t="inlineStr">
        <is>
          <t>Bluestone Memorial Hospital</t>
        </is>
      </c>
      <c r="F66" t="inlineStr">
        <is>
          <t>Laboratory</t>
        </is>
      </c>
      <c r="G66" t="inlineStr">
        <is>
          <t>Each</t>
        </is>
      </c>
      <c r="H66" t="n">
        <v>235</v>
      </c>
      <c r="I66" t="n">
        <v>410</v>
      </c>
      <c r="J66" t="n">
        <v>133</v>
      </c>
      <c r="K66" s="31" t="n">
        <v>0.573170731707317</v>
      </c>
      <c r="L66" s="25" t="n">
        <v>47000</v>
      </c>
      <c r="M66" t="inlineStr">
        <is>
          <t>L735242</t>
        </is>
      </c>
    </row>
    <row r="67">
      <c r="A67" t="inlineStr">
        <is>
          <t>STK4066</t>
        </is>
      </c>
      <c r="B67" t="inlineStr">
        <is>
          <t>SKU-10210</t>
        </is>
      </c>
      <c r="C67" t="inlineStr">
        <is>
          <t>Foam Dressing 4x4</t>
        </is>
      </c>
      <c r="D67" t="inlineStr">
        <is>
          <t>Wound Care</t>
        </is>
      </c>
      <c r="E67" t="inlineStr">
        <is>
          <t>Bluestone Memorial Hospital</t>
        </is>
      </c>
      <c r="F67" t="inlineStr">
        <is>
          <t>Medical-Surgical 5 East</t>
        </is>
      </c>
      <c r="G67" t="inlineStr">
        <is>
          <t>Each</t>
        </is>
      </c>
      <c r="H67" t="n">
        <v>192</v>
      </c>
      <c r="I67" t="n">
        <v>800</v>
      </c>
      <c r="J67" t="n">
        <v>210</v>
      </c>
      <c r="K67" s="31" t="n">
        <v>0.24</v>
      </c>
      <c r="L67" s="25" t="n">
        <v>46738</v>
      </c>
      <c r="M67" t="inlineStr">
        <is>
          <t>L232324</t>
        </is>
      </c>
    </row>
    <row r="68">
      <c r="A68" t="inlineStr">
        <is>
          <t>STK4067</t>
        </is>
      </c>
      <c r="B68" t="inlineStr">
        <is>
          <t>SKU-10210</t>
        </is>
      </c>
      <c r="C68" t="inlineStr">
        <is>
          <t>Foam Dressing 4x4</t>
        </is>
      </c>
      <c r="D68" t="inlineStr">
        <is>
          <t>Wound Care</t>
        </is>
      </c>
      <c r="E68" t="inlineStr">
        <is>
          <t>Bluestone Memorial Hospital</t>
        </is>
      </c>
      <c r="F68" t="inlineStr">
        <is>
          <t>Oncology</t>
        </is>
      </c>
      <c r="G68" t="inlineStr">
        <is>
          <t>Each</t>
        </is>
      </c>
      <c r="H68" t="n">
        <v>134</v>
      </c>
      <c r="I68" t="n">
        <v>800</v>
      </c>
      <c r="J68" t="n">
        <v>319</v>
      </c>
      <c r="K68" s="31" t="n">
        <v>0.1675</v>
      </c>
      <c r="L68" s="25" t="n">
        <v>46597</v>
      </c>
      <c r="M68" t="inlineStr">
        <is>
          <t>L638150</t>
        </is>
      </c>
    </row>
    <row r="69">
      <c r="A69" t="inlineStr">
        <is>
          <t>STK4068</t>
        </is>
      </c>
      <c r="B69" t="inlineStr">
        <is>
          <t>SKU-10217</t>
        </is>
      </c>
      <c r="C69" t="inlineStr">
        <is>
          <t>Foam Dressing 6x6</t>
        </is>
      </c>
      <c r="D69" t="inlineStr">
        <is>
          <t>Wound Care</t>
        </is>
      </c>
      <c r="E69" t="inlineStr">
        <is>
          <t>Bluestone Memorial Hospital</t>
        </is>
      </c>
      <c r="F69" t="inlineStr">
        <is>
          <t>Cardiac Step-Down</t>
        </is>
      </c>
      <c r="G69" t="inlineStr">
        <is>
          <t>Each</t>
        </is>
      </c>
      <c r="H69" t="n">
        <v>380</v>
      </c>
      <c r="I69" t="n">
        <v>800</v>
      </c>
      <c r="J69" t="n">
        <v>313</v>
      </c>
      <c r="K69" s="31" t="n">
        <v>0.475</v>
      </c>
      <c r="L69" s="25" t="n">
        <v>46783</v>
      </c>
      <c r="M69" t="inlineStr">
        <is>
          <t>L101868</t>
        </is>
      </c>
    </row>
    <row r="70">
      <c r="A70" t="inlineStr">
        <is>
          <t>STK4069</t>
        </is>
      </c>
      <c r="B70" t="inlineStr">
        <is>
          <t>SKU-10217</t>
        </is>
      </c>
      <c r="C70" t="inlineStr">
        <is>
          <t>Foam Dressing 6x6</t>
        </is>
      </c>
      <c r="D70" t="inlineStr">
        <is>
          <t>Wound Care</t>
        </is>
      </c>
      <c r="E70" t="inlineStr">
        <is>
          <t>Bluestone Memorial Hospital</t>
        </is>
      </c>
      <c r="F70" t="inlineStr">
        <is>
          <t>Intensive Care Unit</t>
        </is>
      </c>
      <c r="G70" t="inlineStr">
        <is>
          <t>Each</t>
        </is>
      </c>
      <c r="H70" t="n">
        <v>451</v>
      </c>
      <c r="I70" t="n">
        <v>513</v>
      </c>
      <c r="J70" t="n">
        <v>146</v>
      </c>
      <c r="K70" s="31" t="n">
        <v>0.8791423001949318</v>
      </c>
      <c r="L70" s="25" t="n">
        <v>46648</v>
      </c>
      <c r="M70" t="inlineStr">
        <is>
          <t>L951644</t>
        </is>
      </c>
    </row>
    <row r="71">
      <c r="A71" t="inlineStr">
        <is>
          <t>STK4070</t>
        </is>
      </c>
      <c r="B71" t="inlineStr">
        <is>
          <t>SKU-10217</t>
        </is>
      </c>
      <c r="C71" t="inlineStr">
        <is>
          <t>Foam Dressing 6x6</t>
        </is>
      </c>
      <c r="D71" t="inlineStr">
        <is>
          <t>Wound Care</t>
        </is>
      </c>
      <c r="E71" t="inlineStr">
        <is>
          <t>Bluestone Memorial Hospital</t>
        </is>
      </c>
      <c r="F71" t="inlineStr">
        <is>
          <t>Labor &amp; Delivery</t>
        </is>
      </c>
      <c r="G71" t="inlineStr">
        <is>
          <t>Each</t>
        </is>
      </c>
      <c r="H71" t="n">
        <v>171</v>
      </c>
      <c r="I71" t="n">
        <v>287</v>
      </c>
      <c r="J71" t="n">
        <v>92</v>
      </c>
      <c r="K71" s="31" t="n">
        <v>0.5958188153310104</v>
      </c>
      <c r="L71" s="25" t="n">
        <v>46817</v>
      </c>
      <c r="M71" t="inlineStr">
        <is>
          <t>L842949</t>
        </is>
      </c>
    </row>
    <row r="72">
      <c r="A72" t="inlineStr">
        <is>
          <t>STK4071</t>
        </is>
      </c>
      <c r="B72" t="inlineStr">
        <is>
          <t>SKU-10217</t>
        </is>
      </c>
      <c r="C72" t="inlineStr">
        <is>
          <t>Foam Dressing 6x6</t>
        </is>
      </c>
      <c r="D72" t="inlineStr">
        <is>
          <t>Wound Care</t>
        </is>
      </c>
      <c r="E72" t="inlineStr">
        <is>
          <t>Bluestone Memorial Hospital</t>
        </is>
      </c>
      <c r="F72" t="inlineStr">
        <is>
          <t>Pediatrics</t>
        </is>
      </c>
      <c r="G72" t="inlineStr">
        <is>
          <t>Each</t>
        </is>
      </c>
      <c r="H72" t="n">
        <v>23</v>
      </c>
      <c r="I72" t="n">
        <v>800</v>
      </c>
      <c r="J72" t="n">
        <v>304</v>
      </c>
      <c r="K72" s="31" t="n">
        <v>0.02875</v>
      </c>
      <c r="L72" s="25" t="n">
        <v>46191</v>
      </c>
      <c r="M72" t="inlineStr">
        <is>
          <t>L241779</t>
        </is>
      </c>
    </row>
    <row r="73">
      <c r="A73" t="inlineStr">
        <is>
          <t>STK4072</t>
        </is>
      </c>
      <c r="B73" t="inlineStr">
        <is>
          <t>SKU-10224</t>
        </is>
      </c>
      <c r="C73" t="inlineStr">
        <is>
          <t>Transparent Film Dressing 2.4x2.8</t>
        </is>
      </c>
      <c r="D73" t="inlineStr">
        <is>
          <t>Wound Care</t>
        </is>
      </c>
      <c r="E73" t="inlineStr">
        <is>
          <t>Bluestone Memorial Hospital</t>
        </is>
      </c>
      <c r="F73" t="inlineStr">
        <is>
          <t>Medical-Surgical 4 West</t>
        </is>
      </c>
      <c r="G73" t="inlineStr">
        <is>
          <t>Each</t>
        </is>
      </c>
      <c r="H73" t="n">
        <v>977</v>
      </c>
      <c r="I73" t="n">
        <v>800</v>
      </c>
      <c r="J73" t="n">
        <v>268</v>
      </c>
      <c r="K73" s="31" t="n">
        <v>1.22125</v>
      </c>
      <c r="L73" s="25" t="n">
        <v>46056</v>
      </c>
      <c r="M73" t="inlineStr">
        <is>
          <t>L439364</t>
        </is>
      </c>
    </row>
    <row r="74">
      <c r="A74" t="inlineStr">
        <is>
          <t>STK4073</t>
        </is>
      </c>
      <c r="B74" t="inlineStr">
        <is>
          <t>SKU-10224</t>
        </is>
      </c>
      <c r="C74" t="inlineStr">
        <is>
          <t>Transparent Film Dressing 2.4x2.8</t>
        </is>
      </c>
      <c r="D74" t="inlineStr">
        <is>
          <t>Wound Care</t>
        </is>
      </c>
      <c r="E74" t="inlineStr">
        <is>
          <t>Bluestone Memorial Hospital</t>
        </is>
      </c>
      <c r="F74" t="inlineStr">
        <is>
          <t>Pediatrics</t>
        </is>
      </c>
      <c r="G74" t="inlineStr">
        <is>
          <t>Each</t>
        </is>
      </c>
      <c r="H74" t="n">
        <v>1004</v>
      </c>
      <c r="I74" t="n">
        <v>800</v>
      </c>
      <c r="J74" t="n">
        <v>232</v>
      </c>
      <c r="K74" s="31" t="n">
        <v>1.255</v>
      </c>
      <c r="L74" s="25" t="n">
        <v>46981</v>
      </c>
      <c r="M74" t="inlineStr">
        <is>
          <t>L392397</t>
        </is>
      </c>
    </row>
    <row r="75">
      <c r="A75" t="inlineStr">
        <is>
          <t>STK4074</t>
        </is>
      </c>
      <c r="B75" t="inlineStr">
        <is>
          <t>SKU-10224</t>
        </is>
      </c>
      <c r="C75" t="inlineStr">
        <is>
          <t>Transparent Film Dressing 2.4x2.8</t>
        </is>
      </c>
      <c r="D75" t="inlineStr">
        <is>
          <t>Wound Care</t>
        </is>
      </c>
      <c r="E75" t="inlineStr">
        <is>
          <t>Bluestone Memorial Hospital</t>
        </is>
      </c>
      <c r="F75" t="inlineStr">
        <is>
          <t>Perioperative Services</t>
        </is>
      </c>
      <c r="G75" t="inlineStr">
        <is>
          <t>Each</t>
        </is>
      </c>
      <c r="H75" t="n">
        <v>583</v>
      </c>
      <c r="I75" t="n">
        <v>800</v>
      </c>
      <c r="J75" t="n">
        <v>269</v>
      </c>
      <c r="K75" s="31" t="n">
        <v>0.72875</v>
      </c>
      <c r="L75" s="25" t="n">
        <v>46009</v>
      </c>
      <c r="M75" t="inlineStr">
        <is>
          <t>L557125</t>
        </is>
      </c>
    </row>
    <row r="76">
      <c r="A76" t="inlineStr">
        <is>
          <t>STK4075</t>
        </is>
      </c>
      <c r="B76" t="inlineStr">
        <is>
          <t>SKU-10224</t>
        </is>
      </c>
      <c r="C76" t="inlineStr">
        <is>
          <t>Transparent Film Dressing 2.4x2.8</t>
        </is>
      </c>
      <c r="D76" t="inlineStr">
        <is>
          <t>Wound Care</t>
        </is>
      </c>
      <c r="E76" t="inlineStr">
        <is>
          <t>Ashby Falls Community Hospital</t>
        </is>
      </c>
      <c r="F76" t="inlineStr">
        <is>
          <t>Medical-Surgical</t>
        </is>
      </c>
      <c r="G76" t="inlineStr">
        <is>
          <t>Each</t>
        </is>
      </c>
      <c r="H76" t="n">
        <v>987</v>
      </c>
      <c r="I76" t="n">
        <v>800</v>
      </c>
      <c r="J76" t="n">
        <v>282</v>
      </c>
      <c r="K76" s="31" t="n">
        <v>1.23375</v>
      </c>
      <c r="L76" s="25" t="n">
        <v>46977</v>
      </c>
      <c r="M76" t="inlineStr">
        <is>
          <t>L772202</t>
        </is>
      </c>
    </row>
    <row r="77">
      <c r="A77" t="inlineStr">
        <is>
          <t>STK4076</t>
        </is>
      </c>
      <c r="B77" t="inlineStr">
        <is>
          <t>SKU-10231</t>
        </is>
      </c>
      <c r="C77" t="inlineStr">
        <is>
          <t>Transparent Film Dressing 4x4.75</t>
        </is>
      </c>
      <c r="D77" t="inlineStr">
        <is>
          <t>Wound Care</t>
        </is>
      </c>
      <c r="E77" t="inlineStr">
        <is>
          <t>Bluestone Memorial Hospital</t>
        </is>
      </c>
      <c r="F77" t="inlineStr">
        <is>
          <t>Labor &amp; Delivery</t>
        </is>
      </c>
      <c r="G77" t="inlineStr">
        <is>
          <t>Each</t>
        </is>
      </c>
      <c r="H77" t="n">
        <v>437</v>
      </c>
      <c r="I77" t="n">
        <v>800</v>
      </c>
      <c r="J77" t="n">
        <v>279</v>
      </c>
      <c r="K77" s="31" t="n">
        <v>0.54625</v>
      </c>
      <c r="L77" s="25" t="n">
        <v>45970</v>
      </c>
      <c r="M77" t="inlineStr">
        <is>
          <t>L948932</t>
        </is>
      </c>
    </row>
    <row r="78">
      <c r="A78" t="inlineStr">
        <is>
          <t>STK4077</t>
        </is>
      </c>
      <c r="B78" t="inlineStr">
        <is>
          <t>SKU-10231</t>
        </is>
      </c>
      <c r="C78" t="inlineStr">
        <is>
          <t>Transparent Film Dressing 4x4.75</t>
        </is>
      </c>
      <c r="D78" t="inlineStr">
        <is>
          <t>Wound Care</t>
        </is>
      </c>
      <c r="E78" t="inlineStr">
        <is>
          <t>Bluestone Memorial Hospital</t>
        </is>
      </c>
      <c r="F78" t="inlineStr">
        <is>
          <t>Pediatrics</t>
        </is>
      </c>
      <c r="G78" t="inlineStr">
        <is>
          <t>Each</t>
        </is>
      </c>
      <c r="H78" t="n">
        <v>1028</v>
      </c>
      <c r="I78" t="n">
        <v>800</v>
      </c>
      <c r="J78" t="n">
        <v>251</v>
      </c>
      <c r="K78" s="31" t="n">
        <v>1.285</v>
      </c>
      <c r="L78" s="25" t="n">
        <v>46385</v>
      </c>
      <c r="M78" t="inlineStr">
        <is>
          <t>L123853</t>
        </is>
      </c>
    </row>
    <row r="79">
      <c r="A79" t="inlineStr">
        <is>
          <t>STK4078</t>
        </is>
      </c>
      <c r="B79" t="inlineStr">
        <is>
          <t>SKU-10231</t>
        </is>
      </c>
      <c r="C79" t="inlineStr">
        <is>
          <t>Transparent Film Dressing 4x4.75</t>
        </is>
      </c>
      <c r="D79" t="inlineStr">
        <is>
          <t>Wound Care</t>
        </is>
      </c>
      <c r="E79" t="inlineStr">
        <is>
          <t>Ashby Falls Community Hospital</t>
        </is>
      </c>
      <c r="F79" t="inlineStr">
        <is>
          <t>Medical-Surgical</t>
        </is>
      </c>
      <c r="G79" t="inlineStr">
        <is>
          <t>Each</t>
        </is>
      </c>
      <c r="H79" t="n">
        <v>225</v>
      </c>
      <c r="I79" t="n">
        <v>800</v>
      </c>
      <c r="J79" t="n">
        <v>235</v>
      </c>
      <c r="K79" s="31" t="n">
        <v>0.28125</v>
      </c>
      <c r="L79" s="25" t="n">
        <v>46693</v>
      </c>
      <c r="M79" t="inlineStr">
        <is>
          <t>L209670</t>
        </is>
      </c>
    </row>
    <row r="80">
      <c r="A80" t="inlineStr">
        <is>
          <t>STK4079</t>
        </is>
      </c>
      <c r="B80" t="inlineStr">
        <is>
          <t>SKU-10238</t>
        </is>
      </c>
      <c r="C80" t="inlineStr">
        <is>
          <t>Abdominal Pad 8x10 Sterile</t>
        </is>
      </c>
      <c r="D80" t="inlineStr">
        <is>
          <t>Wound Care</t>
        </is>
      </c>
      <c r="E80" t="inlineStr">
        <is>
          <t>Cedar Ridge Medical Center</t>
        </is>
      </c>
      <c r="F80" t="inlineStr">
        <is>
          <t>Medical-Surgical</t>
        </is>
      </c>
      <c r="G80" t="inlineStr">
        <is>
          <t>Each</t>
        </is>
      </c>
      <c r="H80" t="n">
        <v>0</v>
      </c>
      <c r="I80" t="n">
        <v>800</v>
      </c>
      <c r="J80" t="n">
        <v>241</v>
      </c>
      <c r="K80" s="31" t="n">
        <v>0</v>
      </c>
      <c r="L80" s="25" t="n">
        <v>46236</v>
      </c>
      <c r="M80" t="inlineStr">
        <is>
          <t>L629557</t>
        </is>
      </c>
    </row>
    <row r="81">
      <c r="A81" t="inlineStr">
        <is>
          <t>STK4080</t>
        </is>
      </c>
      <c r="B81" t="inlineStr">
        <is>
          <t>SKU-10245</t>
        </is>
      </c>
      <c r="C81" t="inlineStr">
        <is>
          <t>Silver Alginate Dressing 2x2</t>
        </is>
      </c>
      <c r="D81" t="inlineStr">
        <is>
          <t>Wound Care</t>
        </is>
      </c>
      <c r="E81" t="inlineStr">
        <is>
          <t>Bluestone Memorial Hospital</t>
        </is>
      </c>
      <c r="F81" t="inlineStr">
        <is>
          <t>Oncology</t>
        </is>
      </c>
      <c r="G81" t="inlineStr">
        <is>
          <t>Each</t>
        </is>
      </c>
      <c r="H81" t="n">
        <v>299</v>
      </c>
      <c r="I81" t="n">
        <v>336</v>
      </c>
      <c r="J81" t="n">
        <v>98</v>
      </c>
      <c r="K81" s="31" t="n">
        <v>0.8898809523809523</v>
      </c>
      <c r="L81" s="25" t="n">
        <v>46934</v>
      </c>
      <c r="M81" t="inlineStr">
        <is>
          <t>L411657</t>
        </is>
      </c>
    </row>
    <row r="82">
      <c r="A82" t="inlineStr">
        <is>
          <t>STK4081</t>
        </is>
      </c>
      <c r="B82" t="inlineStr">
        <is>
          <t>SKU-10245</t>
        </is>
      </c>
      <c r="C82" t="inlineStr">
        <is>
          <t>Silver Alginate Dressing 2x2</t>
        </is>
      </c>
      <c r="D82" t="inlineStr">
        <is>
          <t>Wound Care</t>
        </is>
      </c>
      <c r="E82" t="inlineStr">
        <is>
          <t>Bluestone Memorial Hospital</t>
        </is>
      </c>
      <c r="F82" t="inlineStr">
        <is>
          <t>Perioperative Services</t>
        </is>
      </c>
      <c r="G82" t="inlineStr">
        <is>
          <t>Each</t>
        </is>
      </c>
      <c r="H82" t="n">
        <v>725</v>
      </c>
      <c r="I82" t="n">
        <v>577</v>
      </c>
      <c r="J82" t="n">
        <v>156</v>
      </c>
      <c r="K82" s="31" t="n">
        <v>1.256499133448874</v>
      </c>
      <c r="L82" s="25" t="n">
        <v>46552</v>
      </c>
      <c r="M82" t="inlineStr">
        <is>
          <t>L780527</t>
        </is>
      </c>
    </row>
    <row r="83">
      <c r="A83" t="inlineStr">
        <is>
          <t>STK4082</t>
        </is>
      </c>
      <c r="B83" t="inlineStr">
        <is>
          <t>SKU-10252</t>
        </is>
      </c>
      <c r="C83" t="inlineStr">
        <is>
          <t>Silver Alginate Dressing 4x5</t>
        </is>
      </c>
      <c r="D83" t="inlineStr">
        <is>
          <t>Wound Care</t>
        </is>
      </c>
      <c r="E83" t="inlineStr">
        <is>
          <t>Bluestone Memorial Hospital</t>
        </is>
      </c>
      <c r="F83" t="inlineStr">
        <is>
          <t>Orthopedics &amp; Spine</t>
        </is>
      </c>
      <c r="G83" t="inlineStr">
        <is>
          <t>Each</t>
        </is>
      </c>
      <c r="H83" t="n">
        <v>242</v>
      </c>
      <c r="I83" t="n">
        <v>298</v>
      </c>
      <c r="J83" t="n">
        <v>86</v>
      </c>
      <c r="K83" s="31" t="n">
        <v>0.8120805369127517</v>
      </c>
      <c r="L83" s="25" t="n">
        <v>46500</v>
      </c>
      <c r="M83" t="inlineStr">
        <is>
          <t>L955840</t>
        </is>
      </c>
    </row>
    <row r="84">
      <c r="A84" t="inlineStr">
        <is>
          <t>STK4083</t>
        </is>
      </c>
      <c r="B84" t="inlineStr">
        <is>
          <t>SKU-10252</t>
        </is>
      </c>
      <c r="C84" t="inlineStr">
        <is>
          <t>Silver Alginate Dressing 4x5</t>
        </is>
      </c>
      <c r="D84" t="inlineStr">
        <is>
          <t>Wound Care</t>
        </is>
      </c>
      <c r="E84" t="inlineStr">
        <is>
          <t>Bluestone Memorial Hospital</t>
        </is>
      </c>
      <c r="F84" t="inlineStr">
        <is>
          <t>Oncology</t>
        </is>
      </c>
      <c r="G84" t="inlineStr">
        <is>
          <t>Each</t>
        </is>
      </c>
      <c r="H84" t="n">
        <v>152</v>
      </c>
      <c r="I84" t="n">
        <v>218</v>
      </c>
      <c r="J84" t="n">
        <v>82</v>
      </c>
      <c r="K84" s="31" t="n">
        <v>0.6972477064220184</v>
      </c>
      <c r="L84" s="25" t="n">
        <v>46678</v>
      </c>
      <c r="M84" t="inlineStr">
        <is>
          <t>L147835</t>
        </is>
      </c>
    </row>
    <row r="85">
      <c r="A85" t="inlineStr">
        <is>
          <t>STK4084</t>
        </is>
      </c>
      <c r="B85" t="inlineStr">
        <is>
          <t>SKU-10252</t>
        </is>
      </c>
      <c r="C85" t="inlineStr">
        <is>
          <t>Silver Alginate Dressing 4x5</t>
        </is>
      </c>
      <c r="D85" t="inlineStr">
        <is>
          <t>Wound Care</t>
        </is>
      </c>
      <c r="E85" t="inlineStr">
        <is>
          <t>Bluestone Memorial Hospital</t>
        </is>
      </c>
      <c r="F85" t="inlineStr">
        <is>
          <t>Pediatrics</t>
        </is>
      </c>
      <c r="G85" t="inlineStr">
        <is>
          <t>Each</t>
        </is>
      </c>
      <c r="H85" t="n">
        <v>99</v>
      </c>
      <c r="I85" t="n">
        <v>291</v>
      </c>
      <c r="J85" t="n">
        <v>92</v>
      </c>
      <c r="K85" s="31" t="n">
        <v>0.3402061855670103</v>
      </c>
      <c r="L85" s="25" t="n">
        <v>46854</v>
      </c>
      <c r="M85" t="inlineStr">
        <is>
          <t>L691707</t>
        </is>
      </c>
    </row>
    <row r="86">
      <c r="A86" t="inlineStr">
        <is>
          <t>STK4085</t>
        </is>
      </c>
      <c r="B86" t="inlineStr">
        <is>
          <t>SKU-10259</t>
        </is>
      </c>
      <c r="C86" t="inlineStr">
        <is>
          <t>Elastic Bandage 2 in</t>
        </is>
      </c>
      <c r="D86" t="inlineStr">
        <is>
          <t>Wound Care</t>
        </is>
      </c>
      <c r="E86" t="inlineStr">
        <is>
          <t>Bluestone Memorial Hospital</t>
        </is>
      </c>
      <c r="F86" t="inlineStr">
        <is>
          <t>Pediatrics</t>
        </is>
      </c>
      <c r="G86" t="inlineStr">
        <is>
          <t>Each</t>
        </is>
      </c>
      <c r="H86" t="n">
        <v>574</v>
      </c>
      <c r="I86" t="n">
        <v>800</v>
      </c>
      <c r="J86" t="n">
        <v>277</v>
      </c>
      <c r="K86" s="31" t="n">
        <v>0.7175</v>
      </c>
      <c r="L86" s="25" t="n"/>
    </row>
    <row r="87">
      <c r="A87" t="inlineStr">
        <is>
          <t>STK4086</t>
        </is>
      </c>
      <c r="B87" t="inlineStr">
        <is>
          <t>SKU-10259</t>
        </is>
      </c>
      <c r="C87" t="inlineStr">
        <is>
          <t>Elastic Bandage 2 in</t>
        </is>
      </c>
      <c r="D87" t="inlineStr">
        <is>
          <t>Wound Care</t>
        </is>
      </c>
      <c r="E87" t="inlineStr">
        <is>
          <t>Ashby Falls Community Hospital</t>
        </is>
      </c>
      <c r="F87" t="inlineStr">
        <is>
          <t>Emergency Department</t>
        </is>
      </c>
      <c r="G87" t="inlineStr">
        <is>
          <t>Each</t>
        </is>
      </c>
      <c r="H87" t="n">
        <v>878</v>
      </c>
      <c r="I87" t="n">
        <v>800</v>
      </c>
      <c r="J87" t="n">
        <v>275</v>
      </c>
      <c r="K87" s="31" t="n">
        <v>1.0975</v>
      </c>
      <c r="L87" s="25" t="n"/>
    </row>
    <row r="88">
      <c r="A88" t="inlineStr">
        <is>
          <t>STK4087</t>
        </is>
      </c>
      <c r="B88" t="inlineStr">
        <is>
          <t>SKU-10259</t>
        </is>
      </c>
      <c r="C88" t="inlineStr">
        <is>
          <t>Elastic Bandage 2 in</t>
        </is>
      </c>
      <c r="D88" t="inlineStr">
        <is>
          <t>Wound Care</t>
        </is>
      </c>
      <c r="E88" t="inlineStr">
        <is>
          <t>Cedar Ridge Medical Center</t>
        </is>
      </c>
      <c r="F88" t="inlineStr">
        <is>
          <t>Emergency Department</t>
        </is>
      </c>
      <c r="G88" t="inlineStr">
        <is>
          <t>Each</t>
        </is>
      </c>
      <c r="H88" t="n">
        <v>1076</v>
      </c>
      <c r="I88" t="n">
        <v>800</v>
      </c>
      <c r="J88" t="n">
        <v>248</v>
      </c>
      <c r="K88" s="31" t="n">
        <v>1.345</v>
      </c>
      <c r="L88" s="25" t="n"/>
    </row>
    <row r="89">
      <c r="A89" t="inlineStr">
        <is>
          <t>STK4088</t>
        </is>
      </c>
      <c r="B89" t="inlineStr">
        <is>
          <t>SKU-10266</t>
        </is>
      </c>
      <c r="C89" t="inlineStr">
        <is>
          <t>Elastic Bandage 4 in</t>
        </is>
      </c>
      <c r="D89" t="inlineStr">
        <is>
          <t>Wound Care</t>
        </is>
      </c>
      <c r="E89" t="inlineStr">
        <is>
          <t>Bluestone Memorial Hospital</t>
        </is>
      </c>
      <c r="F89" t="inlineStr">
        <is>
          <t>Laboratory</t>
        </is>
      </c>
      <c r="G89" t="inlineStr">
        <is>
          <t>Each</t>
        </is>
      </c>
      <c r="H89" t="n">
        <v>788</v>
      </c>
      <c r="I89" t="n">
        <v>800</v>
      </c>
      <c r="J89" t="n">
        <v>305</v>
      </c>
      <c r="K89" s="31" t="n">
        <v>0.985</v>
      </c>
      <c r="L89" s="25" t="n"/>
    </row>
    <row r="90">
      <c r="A90" t="inlineStr">
        <is>
          <t>STK4089</t>
        </is>
      </c>
      <c r="B90" t="inlineStr">
        <is>
          <t>SKU-10273</t>
        </is>
      </c>
      <c r="C90" t="inlineStr">
        <is>
          <t>Elastic Bandage 6 in</t>
        </is>
      </c>
      <c r="D90" t="inlineStr">
        <is>
          <t>Wound Care</t>
        </is>
      </c>
      <c r="E90" t="inlineStr">
        <is>
          <t>Bluestone Memorial Hospital</t>
        </is>
      </c>
      <c r="F90" t="inlineStr">
        <is>
          <t>Emergency Department</t>
        </is>
      </c>
      <c r="G90" t="inlineStr">
        <is>
          <t>Each</t>
        </is>
      </c>
      <c r="H90" t="n">
        <v>633</v>
      </c>
      <c r="I90" t="n">
        <v>800</v>
      </c>
      <c r="J90" t="n">
        <v>300</v>
      </c>
      <c r="K90" s="31" t="n">
        <v>0.79125</v>
      </c>
      <c r="L90" s="25" t="n"/>
    </row>
    <row r="91">
      <c r="A91" t="inlineStr">
        <is>
          <t>STK4090</t>
        </is>
      </c>
      <c r="B91" t="inlineStr">
        <is>
          <t>SKU-10273</t>
        </is>
      </c>
      <c r="C91" t="inlineStr">
        <is>
          <t>Elastic Bandage 6 in</t>
        </is>
      </c>
      <c r="D91" t="inlineStr">
        <is>
          <t>Wound Care</t>
        </is>
      </c>
      <c r="E91" t="inlineStr">
        <is>
          <t>Bluestone Memorial Hospital</t>
        </is>
      </c>
      <c r="F91" t="inlineStr">
        <is>
          <t>Medical-Surgical 5 East</t>
        </is>
      </c>
      <c r="G91" t="inlineStr">
        <is>
          <t>Each</t>
        </is>
      </c>
      <c r="H91" t="n">
        <v>129</v>
      </c>
      <c r="I91" t="n">
        <v>800</v>
      </c>
      <c r="J91" t="n">
        <v>277</v>
      </c>
      <c r="K91" s="31" t="n">
        <v>0.16125</v>
      </c>
      <c r="L91" s="25" t="n"/>
    </row>
    <row r="92">
      <c r="A92" t="inlineStr">
        <is>
          <t>STK4091</t>
        </is>
      </c>
      <c r="B92" t="inlineStr">
        <is>
          <t>SKU-10273</t>
        </is>
      </c>
      <c r="C92" t="inlineStr">
        <is>
          <t>Elastic Bandage 6 in</t>
        </is>
      </c>
      <c r="D92" t="inlineStr">
        <is>
          <t>Wound Care</t>
        </is>
      </c>
      <c r="E92" t="inlineStr">
        <is>
          <t>Bluestone Memorial Hospital</t>
        </is>
      </c>
      <c r="F92" t="inlineStr">
        <is>
          <t>Cardiac Step-Down</t>
        </is>
      </c>
      <c r="G92" t="inlineStr">
        <is>
          <t>Each</t>
        </is>
      </c>
      <c r="H92" t="n">
        <v>914</v>
      </c>
      <c r="I92" t="n">
        <v>800</v>
      </c>
      <c r="J92" t="n">
        <v>234</v>
      </c>
      <c r="K92" s="31" t="n">
        <v>1.1425</v>
      </c>
      <c r="L92" s="25" t="n"/>
    </row>
    <row r="93">
      <c r="A93" t="inlineStr">
        <is>
          <t>STK4092</t>
        </is>
      </c>
      <c r="B93" t="inlineStr">
        <is>
          <t>SKU-10280</t>
        </is>
      </c>
      <c r="C93" t="inlineStr">
        <is>
          <t>Nasal Cannula, Adult</t>
        </is>
      </c>
      <c r="D93" t="inlineStr">
        <is>
          <t>Respiratory</t>
        </is>
      </c>
      <c r="E93" t="inlineStr">
        <is>
          <t>Ashby Falls Community Hospital</t>
        </is>
      </c>
      <c r="F93" t="inlineStr">
        <is>
          <t>Emergency Department</t>
        </is>
      </c>
      <c r="G93" t="inlineStr">
        <is>
          <t>Each</t>
        </is>
      </c>
      <c r="H93" t="n">
        <v>961</v>
      </c>
      <c r="I93" t="n">
        <v>800</v>
      </c>
      <c r="J93" t="n">
        <v>289</v>
      </c>
      <c r="K93" s="31" t="n">
        <v>1.20125</v>
      </c>
      <c r="L93" s="25" t="n"/>
    </row>
    <row r="94">
      <c r="A94" t="inlineStr">
        <is>
          <t>STK4093</t>
        </is>
      </c>
      <c r="B94" t="inlineStr">
        <is>
          <t>SKU-10287</t>
        </is>
      </c>
      <c r="C94" t="inlineStr">
        <is>
          <t>Nasal Cannula, Pediatric</t>
        </is>
      </c>
      <c r="D94" t="inlineStr">
        <is>
          <t>Respiratory</t>
        </is>
      </c>
      <c r="E94" t="inlineStr">
        <is>
          <t>Bluestone Memorial Hospital</t>
        </is>
      </c>
      <c r="F94" t="inlineStr">
        <is>
          <t>Medical-Surgical 4 West</t>
        </is>
      </c>
      <c r="G94" t="inlineStr">
        <is>
          <t>Each</t>
        </is>
      </c>
      <c r="H94" t="n">
        <v>809</v>
      </c>
      <c r="I94" t="n">
        <v>800</v>
      </c>
      <c r="J94" t="n">
        <v>207</v>
      </c>
      <c r="K94" s="31" t="n">
        <v>1.01125</v>
      </c>
      <c r="L94" s="25" t="n"/>
    </row>
    <row r="95">
      <c r="A95" t="inlineStr">
        <is>
          <t>STK4094</t>
        </is>
      </c>
      <c r="B95" t="inlineStr">
        <is>
          <t>SKU-10287</t>
        </is>
      </c>
      <c r="C95" t="inlineStr">
        <is>
          <t>Nasal Cannula, Pediatric</t>
        </is>
      </c>
      <c r="D95" t="inlineStr">
        <is>
          <t>Respiratory</t>
        </is>
      </c>
      <c r="E95" t="inlineStr">
        <is>
          <t>Bluestone Memorial Hospital</t>
        </is>
      </c>
      <c r="F95" t="inlineStr">
        <is>
          <t>Medical-Surgical 5 East</t>
        </is>
      </c>
      <c r="G95" t="inlineStr">
        <is>
          <t>Each</t>
        </is>
      </c>
      <c r="H95" t="n">
        <v>135</v>
      </c>
      <c r="I95" t="n">
        <v>800</v>
      </c>
      <c r="J95" t="n">
        <v>238</v>
      </c>
      <c r="K95" s="31" t="n">
        <v>0.16875</v>
      </c>
      <c r="L95" s="25" t="n"/>
    </row>
    <row r="96">
      <c r="A96" t="inlineStr">
        <is>
          <t>STK4095</t>
        </is>
      </c>
      <c r="B96" t="inlineStr">
        <is>
          <t>SKU-10294</t>
        </is>
      </c>
      <c r="C96" t="inlineStr">
        <is>
          <t>Nasal Cannula, Infant</t>
        </is>
      </c>
      <c r="D96" t="inlineStr">
        <is>
          <t>Respiratory</t>
        </is>
      </c>
      <c r="E96" t="inlineStr">
        <is>
          <t>Bluestone Memorial Hospital</t>
        </is>
      </c>
      <c r="F96" t="inlineStr">
        <is>
          <t>Medical-Surgical 5 East</t>
        </is>
      </c>
      <c r="G96" t="inlineStr">
        <is>
          <t>Each</t>
        </is>
      </c>
      <c r="H96" t="n">
        <v>974</v>
      </c>
      <c r="I96" t="n">
        <v>800</v>
      </c>
      <c r="J96" t="n">
        <v>228</v>
      </c>
      <c r="K96" s="31" t="n">
        <v>1.2175</v>
      </c>
      <c r="L96" s="25" t="n"/>
    </row>
    <row r="97">
      <c r="A97" t="inlineStr">
        <is>
          <t>STK4096</t>
        </is>
      </c>
      <c r="B97" t="inlineStr">
        <is>
          <t>SKU-10294</t>
        </is>
      </c>
      <c r="C97" t="inlineStr">
        <is>
          <t>Nasal Cannula, Infant</t>
        </is>
      </c>
      <c r="D97" t="inlineStr">
        <is>
          <t>Respiratory</t>
        </is>
      </c>
      <c r="E97" t="inlineStr">
        <is>
          <t>Bluestone Memorial Hospital</t>
        </is>
      </c>
      <c r="F97" t="inlineStr">
        <is>
          <t>Pediatrics</t>
        </is>
      </c>
      <c r="G97" t="inlineStr">
        <is>
          <t>Each</t>
        </is>
      </c>
      <c r="H97" t="n">
        <v>603</v>
      </c>
      <c r="I97" t="n">
        <v>800</v>
      </c>
      <c r="J97" t="n">
        <v>287</v>
      </c>
      <c r="K97" s="31" t="n">
        <v>0.75375</v>
      </c>
      <c r="L97" s="25" t="n"/>
    </row>
    <row r="98">
      <c r="A98" t="inlineStr">
        <is>
          <t>STK4097</t>
        </is>
      </c>
      <c r="B98" t="inlineStr">
        <is>
          <t>SKU-10294</t>
        </is>
      </c>
      <c r="C98" t="inlineStr">
        <is>
          <t>Nasal Cannula, Infant</t>
        </is>
      </c>
      <c r="D98" t="inlineStr">
        <is>
          <t>Respiratory</t>
        </is>
      </c>
      <c r="E98" t="inlineStr">
        <is>
          <t>Ashby Falls Community Hospital</t>
        </is>
      </c>
      <c r="F98" t="inlineStr">
        <is>
          <t>Emergency Department</t>
        </is>
      </c>
      <c r="G98" t="inlineStr">
        <is>
          <t>Each</t>
        </is>
      </c>
      <c r="H98" t="n">
        <v>1016</v>
      </c>
      <c r="I98" t="n">
        <v>800</v>
      </c>
      <c r="J98" t="n">
        <v>271</v>
      </c>
      <c r="K98" s="31" t="n">
        <v>1.27</v>
      </c>
      <c r="L98" s="25" t="n"/>
    </row>
    <row r="99">
      <c r="A99" t="inlineStr">
        <is>
          <t>STK4098</t>
        </is>
      </c>
      <c r="B99" t="inlineStr">
        <is>
          <t>SKU-10301</t>
        </is>
      </c>
      <c r="C99" t="inlineStr">
        <is>
          <t>Non-Rebreather Mask, Adult</t>
        </is>
      </c>
      <c r="D99" t="inlineStr">
        <is>
          <t>Respiratory</t>
        </is>
      </c>
      <c r="E99" t="inlineStr">
        <is>
          <t>Bluestone Memorial Hospital</t>
        </is>
      </c>
      <c r="F99" t="inlineStr">
        <is>
          <t>Medical-Surgical 4 West</t>
        </is>
      </c>
      <c r="G99" t="inlineStr">
        <is>
          <t>Each</t>
        </is>
      </c>
      <c r="H99" t="n">
        <v>947</v>
      </c>
      <c r="I99" t="n">
        <v>800</v>
      </c>
      <c r="J99" t="n">
        <v>238</v>
      </c>
      <c r="K99" s="31" t="n">
        <v>1.18375</v>
      </c>
      <c r="L99" s="25" t="n"/>
    </row>
    <row r="100">
      <c r="A100" t="inlineStr">
        <is>
          <t>STK4099</t>
        </is>
      </c>
      <c r="B100" t="inlineStr">
        <is>
          <t>SKU-10308</t>
        </is>
      </c>
      <c r="C100" t="inlineStr">
        <is>
          <t>Non-Rebreather Mask, Pediatric</t>
        </is>
      </c>
      <c r="D100" t="inlineStr">
        <is>
          <t>Respiratory</t>
        </is>
      </c>
      <c r="E100" t="inlineStr">
        <is>
          <t>Bluestone Memorial Hospital</t>
        </is>
      </c>
      <c r="F100" t="inlineStr">
        <is>
          <t>Emergency Department</t>
        </is>
      </c>
      <c r="G100" t="inlineStr">
        <is>
          <t>Each</t>
        </is>
      </c>
      <c r="H100" t="n">
        <v>477</v>
      </c>
      <c r="I100" t="n">
        <v>800</v>
      </c>
      <c r="J100" t="n">
        <v>204</v>
      </c>
      <c r="K100" s="31" t="n">
        <v>0.5962499999999999</v>
      </c>
      <c r="L100" s="25" t="n"/>
    </row>
    <row r="101">
      <c r="A101" t="inlineStr">
        <is>
          <t>STK4100</t>
        </is>
      </c>
      <c r="B101" t="inlineStr">
        <is>
          <t>SKU-10308</t>
        </is>
      </c>
      <c r="C101" t="inlineStr">
        <is>
          <t>Non-Rebreather Mask, Pediatric</t>
        </is>
      </c>
      <c r="D101" t="inlineStr">
        <is>
          <t>Respiratory</t>
        </is>
      </c>
      <c r="E101" t="inlineStr">
        <is>
          <t>Bluestone Memorial Hospital</t>
        </is>
      </c>
      <c r="F101" t="inlineStr">
        <is>
          <t>Medical-Surgical 4 West</t>
        </is>
      </c>
      <c r="G101" t="inlineStr">
        <is>
          <t>Each</t>
        </is>
      </c>
      <c r="H101" t="n">
        <v>586</v>
      </c>
      <c r="I101" t="n">
        <v>800</v>
      </c>
      <c r="J101" t="n">
        <v>249</v>
      </c>
      <c r="K101" s="31" t="n">
        <v>0.7325</v>
      </c>
      <c r="L101" s="25" t="n"/>
    </row>
    <row r="102">
      <c r="A102" t="inlineStr">
        <is>
          <t>STK4101</t>
        </is>
      </c>
      <c r="B102" t="inlineStr">
        <is>
          <t>SKU-10308</t>
        </is>
      </c>
      <c r="C102" t="inlineStr">
        <is>
          <t>Non-Rebreather Mask, Pediatric</t>
        </is>
      </c>
      <c r="D102" t="inlineStr">
        <is>
          <t>Respiratory</t>
        </is>
      </c>
      <c r="E102" t="inlineStr">
        <is>
          <t>Ashby Falls Community Hospital</t>
        </is>
      </c>
      <c r="F102" t="inlineStr">
        <is>
          <t>Emergency Department</t>
        </is>
      </c>
      <c r="G102" t="inlineStr">
        <is>
          <t>Each</t>
        </is>
      </c>
      <c r="H102" t="n">
        <v>607</v>
      </c>
      <c r="I102" t="n">
        <v>697</v>
      </c>
      <c r="J102" t="n">
        <v>201</v>
      </c>
      <c r="K102" s="31" t="n">
        <v>0.8708751793400287</v>
      </c>
      <c r="L102" s="25" t="n"/>
    </row>
    <row r="103">
      <c r="A103" t="inlineStr">
        <is>
          <t>STK4102</t>
        </is>
      </c>
      <c r="B103" t="inlineStr">
        <is>
          <t>SKU-10315</t>
        </is>
      </c>
      <c r="C103" t="inlineStr">
        <is>
          <t>Nebulizer Kit with Mouthpiece</t>
        </is>
      </c>
      <c r="D103" t="inlineStr">
        <is>
          <t>Respiratory</t>
        </is>
      </c>
      <c r="E103" t="inlineStr">
        <is>
          <t>Bluestone Memorial Hospital</t>
        </is>
      </c>
      <c r="F103" t="inlineStr">
        <is>
          <t>Emergency Department</t>
        </is>
      </c>
      <c r="G103" t="inlineStr">
        <is>
          <t>Each</t>
        </is>
      </c>
      <c r="H103" t="n">
        <v>401</v>
      </c>
      <c r="I103" t="n">
        <v>414</v>
      </c>
      <c r="J103" t="n">
        <v>128</v>
      </c>
      <c r="K103" s="31" t="n">
        <v>0.9685990338164251</v>
      </c>
      <c r="L103" s="25" t="n"/>
    </row>
    <row r="104">
      <c r="A104" t="inlineStr">
        <is>
          <t>STK4103</t>
        </is>
      </c>
      <c r="B104" t="inlineStr">
        <is>
          <t>SKU-10315</t>
        </is>
      </c>
      <c r="C104" t="inlineStr">
        <is>
          <t>Nebulizer Kit with Mouthpiece</t>
        </is>
      </c>
      <c r="D104" t="inlineStr">
        <is>
          <t>Respiratory</t>
        </is>
      </c>
      <c r="E104" t="inlineStr">
        <is>
          <t>Bluestone Memorial Hospital</t>
        </is>
      </c>
      <c r="F104" t="inlineStr">
        <is>
          <t>Medical-Surgical 4 West</t>
        </is>
      </c>
      <c r="G104" t="inlineStr">
        <is>
          <t>Each</t>
        </is>
      </c>
      <c r="H104" t="n">
        <v>1026</v>
      </c>
      <c r="I104" t="n">
        <v>800</v>
      </c>
      <c r="J104" t="n">
        <v>256</v>
      </c>
      <c r="K104" s="31" t="n">
        <v>1.2825</v>
      </c>
      <c r="L104" s="25" t="n"/>
    </row>
    <row r="105">
      <c r="A105" t="inlineStr">
        <is>
          <t>STK4104</t>
        </is>
      </c>
      <c r="B105" t="inlineStr">
        <is>
          <t>SKU-10315</t>
        </is>
      </c>
      <c r="C105" t="inlineStr">
        <is>
          <t>Nebulizer Kit with Mouthpiece</t>
        </is>
      </c>
      <c r="D105" t="inlineStr">
        <is>
          <t>Respiratory</t>
        </is>
      </c>
      <c r="E105" t="inlineStr">
        <is>
          <t>Bluestone Memorial Hospital</t>
        </is>
      </c>
      <c r="F105" t="inlineStr">
        <is>
          <t>Medical-Surgical 5 East</t>
        </is>
      </c>
      <c r="G105" t="inlineStr">
        <is>
          <t>Each</t>
        </is>
      </c>
      <c r="H105" t="n">
        <v>950</v>
      </c>
      <c r="I105" t="n">
        <v>716</v>
      </c>
      <c r="J105" t="n">
        <v>192</v>
      </c>
      <c r="K105" s="31" t="n">
        <v>1.326815642458101</v>
      </c>
      <c r="L105" s="25" t="n"/>
    </row>
    <row r="106">
      <c r="A106" t="inlineStr">
        <is>
          <t>STK4105</t>
        </is>
      </c>
      <c r="B106" t="inlineStr">
        <is>
          <t>SKU-10315</t>
        </is>
      </c>
      <c r="C106" t="inlineStr">
        <is>
          <t>Nebulizer Kit with Mouthpiece</t>
        </is>
      </c>
      <c r="D106" t="inlineStr">
        <is>
          <t>Respiratory</t>
        </is>
      </c>
      <c r="E106" t="inlineStr">
        <is>
          <t>Bluestone Memorial Hospital</t>
        </is>
      </c>
      <c r="F106" t="inlineStr">
        <is>
          <t>Pediatrics</t>
        </is>
      </c>
      <c r="G106" t="inlineStr">
        <is>
          <t>Each</t>
        </is>
      </c>
      <c r="H106" t="n">
        <v>660</v>
      </c>
      <c r="I106" t="n">
        <v>685</v>
      </c>
      <c r="J106" t="n">
        <v>178</v>
      </c>
      <c r="K106" s="31" t="n">
        <v>0.9635036496350365</v>
      </c>
      <c r="L106" s="25" t="n"/>
    </row>
    <row r="107">
      <c r="A107" t="inlineStr">
        <is>
          <t>STK4106</t>
        </is>
      </c>
      <c r="B107" t="inlineStr">
        <is>
          <t>SKU-10322</t>
        </is>
      </c>
      <c r="C107" t="inlineStr">
        <is>
          <t>Suction Canister 1200 mL</t>
        </is>
      </c>
      <c r="D107" t="inlineStr">
        <is>
          <t>Respiratory</t>
        </is>
      </c>
      <c r="E107" t="inlineStr">
        <is>
          <t>Bluestone Memorial Hospital</t>
        </is>
      </c>
      <c r="F107" t="inlineStr">
        <is>
          <t>Intensive Care Unit</t>
        </is>
      </c>
      <c r="G107" t="inlineStr">
        <is>
          <t>Each</t>
        </is>
      </c>
      <c r="H107" t="n">
        <v>299</v>
      </c>
      <c r="I107" t="n">
        <v>800</v>
      </c>
      <c r="J107" t="n">
        <v>238</v>
      </c>
      <c r="K107" s="31" t="n">
        <v>0.37375</v>
      </c>
      <c r="L107" s="25" t="n"/>
    </row>
    <row r="108">
      <c r="A108" t="inlineStr">
        <is>
          <t>STK4107</t>
        </is>
      </c>
      <c r="B108" t="inlineStr">
        <is>
          <t>SKU-10329</t>
        </is>
      </c>
      <c r="C108" t="inlineStr">
        <is>
          <t>Suction Canister 1500 mL</t>
        </is>
      </c>
      <c r="D108" t="inlineStr">
        <is>
          <t>Respiratory</t>
        </is>
      </c>
      <c r="E108" t="inlineStr">
        <is>
          <t>Bluestone Memorial Hospital</t>
        </is>
      </c>
      <c r="F108" t="inlineStr">
        <is>
          <t>Emergency Department</t>
        </is>
      </c>
      <c r="G108" t="inlineStr">
        <is>
          <t>Each</t>
        </is>
      </c>
      <c r="H108" t="n">
        <v>991</v>
      </c>
      <c r="I108" t="n">
        <v>800</v>
      </c>
      <c r="J108" t="n">
        <v>290</v>
      </c>
      <c r="K108" s="31" t="n">
        <v>1.23875</v>
      </c>
      <c r="L108" s="25" t="n"/>
    </row>
    <row r="109">
      <c r="A109" t="inlineStr">
        <is>
          <t>STK4108</t>
        </is>
      </c>
      <c r="B109" t="inlineStr">
        <is>
          <t>SKU-10329</t>
        </is>
      </c>
      <c r="C109" t="inlineStr">
        <is>
          <t>Suction Canister 1500 mL</t>
        </is>
      </c>
      <c r="D109" t="inlineStr">
        <is>
          <t>Respiratory</t>
        </is>
      </c>
      <c r="E109" t="inlineStr">
        <is>
          <t>Bluestone Memorial Hospital</t>
        </is>
      </c>
      <c r="F109" t="inlineStr">
        <is>
          <t>Intensive Care Unit</t>
        </is>
      </c>
      <c r="G109" t="inlineStr">
        <is>
          <t>Each</t>
        </is>
      </c>
      <c r="H109" t="n">
        <v>491</v>
      </c>
      <c r="I109" t="n">
        <v>697</v>
      </c>
      <c r="J109" t="n">
        <v>272</v>
      </c>
      <c r="K109" s="31" t="n">
        <v>0.7044476327116213</v>
      </c>
      <c r="L109" s="25" t="n"/>
    </row>
    <row r="110">
      <c r="A110" t="inlineStr">
        <is>
          <t>STK4109</t>
        </is>
      </c>
      <c r="B110" t="inlineStr">
        <is>
          <t>SKU-10329</t>
        </is>
      </c>
      <c r="C110" t="inlineStr">
        <is>
          <t>Suction Canister 1500 mL</t>
        </is>
      </c>
      <c r="D110" t="inlineStr">
        <is>
          <t>Respiratory</t>
        </is>
      </c>
      <c r="E110" t="inlineStr">
        <is>
          <t>Bluestone Memorial Hospital</t>
        </is>
      </c>
      <c r="F110" t="inlineStr">
        <is>
          <t>Pediatrics</t>
        </is>
      </c>
      <c r="G110" t="inlineStr">
        <is>
          <t>Each</t>
        </is>
      </c>
      <c r="H110" t="n">
        <v>507</v>
      </c>
      <c r="I110" t="n">
        <v>504</v>
      </c>
      <c r="J110" t="n">
        <v>179</v>
      </c>
      <c r="K110" s="31" t="n">
        <v>1.005952380952381</v>
      </c>
      <c r="L110" s="25" t="n"/>
    </row>
    <row r="111">
      <c r="A111" t="inlineStr">
        <is>
          <t>STK4110</t>
        </is>
      </c>
      <c r="B111" t="inlineStr">
        <is>
          <t>SKU-10336</t>
        </is>
      </c>
      <c r="C111" t="inlineStr">
        <is>
          <t>Suction Canister 3000 mL</t>
        </is>
      </c>
      <c r="D111" t="inlineStr">
        <is>
          <t>Respiratory</t>
        </is>
      </c>
      <c r="E111" t="inlineStr">
        <is>
          <t>Bluestone Memorial Hospital</t>
        </is>
      </c>
      <c r="F111" t="inlineStr">
        <is>
          <t>Emergency Department</t>
        </is>
      </c>
      <c r="G111" t="inlineStr">
        <is>
          <t>Each</t>
        </is>
      </c>
      <c r="H111" t="n">
        <v>472</v>
      </c>
      <c r="I111" t="n">
        <v>800</v>
      </c>
      <c r="J111" t="n">
        <v>209</v>
      </c>
      <c r="K111" s="31" t="n">
        <v>0.59</v>
      </c>
      <c r="L111" s="25" t="n"/>
    </row>
    <row r="112">
      <c r="A112" t="inlineStr">
        <is>
          <t>STK4111</t>
        </is>
      </c>
      <c r="B112" t="inlineStr">
        <is>
          <t>SKU-10336</t>
        </is>
      </c>
      <c r="C112" t="inlineStr">
        <is>
          <t>Suction Canister 3000 mL</t>
        </is>
      </c>
      <c r="D112" t="inlineStr">
        <is>
          <t>Respiratory</t>
        </is>
      </c>
      <c r="E112" t="inlineStr">
        <is>
          <t>Bluestone Memorial Hospital</t>
        </is>
      </c>
      <c r="F112" t="inlineStr">
        <is>
          <t>Intensive Care Unit</t>
        </is>
      </c>
      <c r="G112" t="inlineStr">
        <is>
          <t>Each</t>
        </is>
      </c>
      <c r="H112" t="n">
        <v>1046</v>
      </c>
      <c r="I112" t="n">
        <v>800</v>
      </c>
      <c r="J112" t="n">
        <v>294</v>
      </c>
      <c r="K112" s="31" t="n">
        <v>1.3075</v>
      </c>
      <c r="L112" s="25" t="n"/>
    </row>
    <row r="113">
      <c r="A113" t="inlineStr">
        <is>
          <t>STK4112</t>
        </is>
      </c>
      <c r="B113" t="inlineStr">
        <is>
          <t>SKU-10343</t>
        </is>
      </c>
      <c r="C113" t="inlineStr">
        <is>
          <t>Yankauer Suction Tip</t>
        </is>
      </c>
      <c r="D113" t="inlineStr">
        <is>
          <t>Respiratory</t>
        </is>
      </c>
      <c r="E113" t="inlineStr">
        <is>
          <t>Bluestone Memorial Hospital</t>
        </is>
      </c>
      <c r="F113" t="inlineStr">
        <is>
          <t>Intensive Care Unit</t>
        </is>
      </c>
      <c r="G113" t="inlineStr">
        <is>
          <t>Each</t>
        </is>
      </c>
      <c r="H113" t="n">
        <v>752</v>
      </c>
      <c r="I113" t="n">
        <v>800</v>
      </c>
      <c r="J113" t="n">
        <v>265</v>
      </c>
      <c r="K113" s="31" t="n">
        <v>0.9399999999999999</v>
      </c>
      <c r="L113" s="25" t="n"/>
    </row>
    <row r="114">
      <c r="A114" t="inlineStr">
        <is>
          <t>STK4113</t>
        </is>
      </c>
      <c r="B114" t="inlineStr">
        <is>
          <t>SKU-10343</t>
        </is>
      </c>
      <c r="C114" t="inlineStr">
        <is>
          <t>Yankauer Suction Tip</t>
        </is>
      </c>
      <c r="D114" t="inlineStr">
        <is>
          <t>Respiratory</t>
        </is>
      </c>
      <c r="E114" t="inlineStr">
        <is>
          <t>Bluestone Memorial Hospital</t>
        </is>
      </c>
      <c r="F114" t="inlineStr">
        <is>
          <t>Pediatrics</t>
        </is>
      </c>
      <c r="G114" t="inlineStr">
        <is>
          <t>Each</t>
        </is>
      </c>
      <c r="H114" t="n">
        <v>140</v>
      </c>
      <c r="I114" t="n">
        <v>800</v>
      </c>
      <c r="J114" t="n">
        <v>315</v>
      </c>
      <c r="K114" s="31" t="n">
        <v>0.175</v>
      </c>
      <c r="L114" s="25" t="n"/>
    </row>
    <row r="115">
      <c r="A115" t="inlineStr">
        <is>
          <t>STK4114</t>
        </is>
      </c>
      <c r="B115" t="inlineStr">
        <is>
          <t>SKU-10343</t>
        </is>
      </c>
      <c r="C115" t="inlineStr">
        <is>
          <t>Yankauer Suction Tip</t>
        </is>
      </c>
      <c r="D115" t="inlineStr">
        <is>
          <t>Respiratory</t>
        </is>
      </c>
      <c r="E115" t="inlineStr">
        <is>
          <t>Cedar Ridge Medical Center</t>
        </is>
      </c>
      <c r="F115" t="inlineStr">
        <is>
          <t>Emergency Department</t>
        </is>
      </c>
      <c r="G115" t="inlineStr">
        <is>
          <t>Each</t>
        </is>
      </c>
      <c r="H115" t="n">
        <v>478</v>
      </c>
      <c r="I115" t="n">
        <v>800</v>
      </c>
      <c r="J115" t="n">
        <v>274</v>
      </c>
      <c r="K115" s="31" t="n">
        <v>0.5975</v>
      </c>
      <c r="L115" s="25" t="n"/>
    </row>
    <row r="116">
      <c r="A116" t="inlineStr">
        <is>
          <t>STK4115</t>
        </is>
      </c>
      <c r="B116" t="inlineStr">
        <is>
          <t>SKU-10350</t>
        </is>
      </c>
      <c r="C116" t="inlineStr">
        <is>
          <t>Endotracheal Tube 6.5 mm Cuffed</t>
        </is>
      </c>
      <c r="D116" t="inlineStr">
        <is>
          <t>Respiratory</t>
        </is>
      </c>
      <c r="E116" t="inlineStr">
        <is>
          <t>Bluestone Memorial Hospital</t>
        </is>
      </c>
      <c r="F116" t="inlineStr">
        <is>
          <t>Medical-Surgical 4 West</t>
        </is>
      </c>
      <c r="G116" t="inlineStr">
        <is>
          <t>Each</t>
        </is>
      </c>
      <c r="H116" t="n">
        <v>0</v>
      </c>
      <c r="I116" t="n">
        <v>487</v>
      </c>
      <c r="J116" t="n">
        <v>123</v>
      </c>
      <c r="K116" s="31" t="n">
        <v>0</v>
      </c>
      <c r="L116" s="25" t="n">
        <v>46529</v>
      </c>
      <c r="M116" t="inlineStr">
        <is>
          <t>L618214</t>
        </is>
      </c>
    </row>
    <row r="117">
      <c r="A117" t="inlineStr">
        <is>
          <t>STK4116</t>
        </is>
      </c>
      <c r="B117" t="inlineStr">
        <is>
          <t>SKU-10350</t>
        </is>
      </c>
      <c r="C117" t="inlineStr">
        <is>
          <t>Endotracheal Tube 6.5 mm Cuffed</t>
        </is>
      </c>
      <c r="D117" t="inlineStr">
        <is>
          <t>Respiratory</t>
        </is>
      </c>
      <c r="E117" t="inlineStr">
        <is>
          <t>Bluestone Memorial Hospital</t>
        </is>
      </c>
      <c r="F117" t="inlineStr">
        <is>
          <t>Intensive Care Unit</t>
        </is>
      </c>
      <c r="G117" t="inlineStr">
        <is>
          <t>Each</t>
        </is>
      </c>
      <c r="H117" t="n">
        <v>385</v>
      </c>
      <c r="I117" t="n">
        <v>358</v>
      </c>
      <c r="J117" t="n">
        <v>139</v>
      </c>
      <c r="K117" s="31" t="n">
        <v>1.075418994413408</v>
      </c>
      <c r="L117" s="25" t="n">
        <v>46027</v>
      </c>
      <c r="M117" t="inlineStr">
        <is>
          <t>L456539</t>
        </is>
      </c>
    </row>
    <row r="118">
      <c r="A118" t="inlineStr">
        <is>
          <t>STK4117</t>
        </is>
      </c>
      <c r="B118" t="inlineStr">
        <is>
          <t>SKU-10350</t>
        </is>
      </c>
      <c r="C118" t="inlineStr">
        <is>
          <t>Endotracheal Tube 6.5 mm Cuffed</t>
        </is>
      </c>
      <c r="D118" t="inlineStr">
        <is>
          <t>Respiratory</t>
        </is>
      </c>
      <c r="E118" t="inlineStr">
        <is>
          <t>Bluestone Memorial Hospital</t>
        </is>
      </c>
      <c r="F118" t="inlineStr">
        <is>
          <t>Pediatrics</t>
        </is>
      </c>
      <c r="G118" t="inlineStr">
        <is>
          <t>Each</t>
        </is>
      </c>
      <c r="H118" t="n">
        <v>41</v>
      </c>
      <c r="I118" t="n">
        <v>326</v>
      </c>
      <c r="J118" t="n">
        <v>89</v>
      </c>
      <c r="K118" s="31" t="n">
        <v>0.1257668711656442</v>
      </c>
      <c r="L118" s="25" t="n">
        <v>46128</v>
      </c>
      <c r="M118" t="inlineStr">
        <is>
          <t>L672777</t>
        </is>
      </c>
    </row>
    <row r="119">
      <c r="A119" t="inlineStr">
        <is>
          <t>STK4118</t>
        </is>
      </c>
      <c r="B119" t="inlineStr">
        <is>
          <t>SKU-10350</t>
        </is>
      </c>
      <c r="C119" t="inlineStr">
        <is>
          <t>Endotracheal Tube 6.5 mm Cuffed</t>
        </is>
      </c>
      <c r="D119" t="inlineStr">
        <is>
          <t>Respiratory</t>
        </is>
      </c>
      <c r="E119" t="inlineStr">
        <is>
          <t>Ashby Falls Community Hospital</t>
        </is>
      </c>
      <c r="F119" t="inlineStr">
        <is>
          <t>Emergency Department</t>
        </is>
      </c>
      <c r="G119" t="inlineStr">
        <is>
          <t>Each</t>
        </is>
      </c>
      <c r="H119" t="n">
        <v>250</v>
      </c>
      <c r="I119" t="n">
        <v>319</v>
      </c>
      <c r="J119" t="n">
        <v>125</v>
      </c>
      <c r="K119" s="31" t="n">
        <v>0.7836990595611285</v>
      </c>
      <c r="L119" s="25" t="n">
        <v>46741</v>
      </c>
      <c r="M119" t="inlineStr">
        <is>
          <t>L891879</t>
        </is>
      </c>
    </row>
    <row r="120">
      <c r="A120" t="inlineStr">
        <is>
          <t>STK4119</t>
        </is>
      </c>
      <c r="B120" t="inlineStr">
        <is>
          <t>SKU-10357</t>
        </is>
      </c>
      <c r="C120" t="inlineStr">
        <is>
          <t>Endotracheal Tube 7.0 mm Cuffed</t>
        </is>
      </c>
      <c r="D120" t="inlineStr">
        <is>
          <t>Respiratory</t>
        </is>
      </c>
      <c r="E120" t="inlineStr">
        <is>
          <t>Bluestone Memorial Hospital</t>
        </is>
      </c>
      <c r="F120" t="inlineStr">
        <is>
          <t>Intensive Care Unit</t>
        </is>
      </c>
      <c r="G120" t="inlineStr">
        <is>
          <t>Each</t>
        </is>
      </c>
      <c r="H120" t="n">
        <v>206</v>
      </c>
      <c r="I120" t="n">
        <v>401</v>
      </c>
      <c r="J120" t="n">
        <v>132</v>
      </c>
      <c r="K120" s="31" t="n">
        <v>0.513715710723192</v>
      </c>
      <c r="L120" s="25" t="n">
        <v>46296</v>
      </c>
      <c r="M120" t="inlineStr">
        <is>
          <t>L752128</t>
        </is>
      </c>
    </row>
    <row r="121">
      <c r="A121" t="inlineStr">
        <is>
          <t>STK4120</t>
        </is>
      </c>
      <c r="B121" t="inlineStr">
        <is>
          <t>SKU-10357</t>
        </is>
      </c>
      <c r="C121" t="inlineStr">
        <is>
          <t>Endotracheal Tube 7.0 mm Cuffed</t>
        </is>
      </c>
      <c r="D121" t="inlineStr">
        <is>
          <t>Respiratory</t>
        </is>
      </c>
      <c r="E121" t="inlineStr">
        <is>
          <t>Ashby Falls Community Hospital</t>
        </is>
      </c>
      <c r="F121" t="inlineStr">
        <is>
          <t>Emergency Department</t>
        </is>
      </c>
      <c r="G121" t="inlineStr">
        <is>
          <t>Each</t>
        </is>
      </c>
      <c r="H121" t="n">
        <v>41</v>
      </c>
      <c r="I121" t="n">
        <v>754</v>
      </c>
      <c r="J121" t="n">
        <v>244</v>
      </c>
      <c r="K121" s="31" t="n">
        <v>0.05437665782493369</v>
      </c>
      <c r="L121" s="25" t="n">
        <v>46021</v>
      </c>
      <c r="M121" t="inlineStr">
        <is>
          <t>L776015</t>
        </is>
      </c>
    </row>
    <row r="122">
      <c r="A122" t="inlineStr">
        <is>
          <t>STK4121</t>
        </is>
      </c>
      <c r="B122" t="inlineStr">
        <is>
          <t>SKU-10364</t>
        </is>
      </c>
      <c r="C122" t="inlineStr">
        <is>
          <t>Endotracheal Tube 7.5 mm Cuffed</t>
        </is>
      </c>
      <c r="D122" t="inlineStr">
        <is>
          <t>Respiratory</t>
        </is>
      </c>
      <c r="E122" t="inlineStr">
        <is>
          <t>Bluestone Memorial Hospital</t>
        </is>
      </c>
      <c r="F122" t="inlineStr">
        <is>
          <t>Medical-Surgical 5 East</t>
        </is>
      </c>
      <c r="G122" t="inlineStr">
        <is>
          <t>Each</t>
        </is>
      </c>
      <c r="H122" t="n">
        <v>400</v>
      </c>
      <c r="I122" t="n">
        <v>333</v>
      </c>
      <c r="J122" t="n">
        <v>90</v>
      </c>
      <c r="K122" s="31" t="n">
        <v>1.201201201201201</v>
      </c>
      <c r="L122" s="25" t="n">
        <v>45984</v>
      </c>
      <c r="M122" t="inlineStr">
        <is>
          <t>L207562</t>
        </is>
      </c>
    </row>
    <row r="123">
      <c r="A123" t="inlineStr">
        <is>
          <t>STK4122</t>
        </is>
      </c>
      <c r="B123" t="inlineStr">
        <is>
          <t>SKU-10364</t>
        </is>
      </c>
      <c r="C123" t="inlineStr">
        <is>
          <t>Endotracheal Tube 7.5 mm Cuffed</t>
        </is>
      </c>
      <c r="D123" t="inlineStr">
        <is>
          <t>Respiratory</t>
        </is>
      </c>
      <c r="E123" t="inlineStr">
        <is>
          <t>Bluestone Memorial Hospital</t>
        </is>
      </c>
      <c r="F123" t="inlineStr">
        <is>
          <t>Intensive Care Unit</t>
        </is>
      </c>
      <c r="G123" t="inlineStr">
        <is>
          <t>Each</t>
        </is>
      </c>
      <c r="H123" t="n">
        <v>294</v>
      </c>
      <c r="I123" t="n">
        <v>387</v>
      </c>
      <c r="J123" t="n">
        <v>108</v>
      </c>
      <c r="K123" s="31" t="n">
        <v>0.7596899224806202</v>
      </c>
      <c r="L123" s="25" t="n">
        <v>46718</v>
      </c>
      <c r="M123" t="inlineStr">
        <is>
          <t>L633099</t>
        </is>
      </c>
    </row>
    <row r="124">
      <c r="A124" t="inlineStr">
        <is>
          <t>STK4123</t>
        </is>
      </c>
      <c r="B124" t="inlineStr">
        <is>
          <t>SKU-10364</t>
        </is>
      </c>
      <c r="C124" t="inlineStr">
        <is>
          <t>Endotracheal Tube 7.5 mm Cuffed</t>
        </is>
      </c>
      <c r="D124" t="inlineStr">
        <is>
          <t>Respiratory</t>
        </is>
      </c>
      <c r="E124" t="inlineStr">
        <is>
          <t>Ashby Falls Community Hospital</t>
        </is>
      </c>
      <c r="F124" t="inlineStr">
        <is>
          <t>Emergency Department</t>
        </is>
      </c>
      <c r="G124" t="inlineStr">
        <is>
          <t>Each</t>
        </is>
      </c>
      <c r="H124" t="n">
        <v>228</v>
      </c>
      <c r="I124" t="n">
        <v>422</v>
      </c>
      <c r="J124" t="n">
        <v>155</v>
      </c>
      <c r="K124" s="31" t="n">
        <v>0.5402843601895735</v>
      </c>
      <c r="L124" s="25" t="n">
        <v>46102</v>
      </c>
      <c r="M124" t="inlineStr">
        <is>
          <t>L348427</t>
        </is>
      </c>
    </row>
    <row r="125">
      <c r="A125" t="inlineStr">
        <is>
          <t>STK4124</t>
        </is>
      </c>
      <c r="B125" t="inlineStr">
        <is>
          <t>SKU-10371</t>
        </is>
      </c>
      <c r="C125" t="inlineStr">
        <is>
          <t>Endotracheal Tube 8.0 mm Cuffed</t>
        </is>
      </c>
      <c r="D125" t="inlineStr">
        <is>
          <t>Respiratory</t>
        </is>
      </c>
      <c r="E125" t="inlineStr">
        <is>
          <t>Bluestone Memorial Hospital</t>
        </is>
      </c>
      <c r="F125" t="inlineStr">
        <is>
          <t>Emergency Department</t>
        </is>
      </c>
      <c r="G125" t="inlineStr">
        <is>
          <t>Each</t>
        </is>
      </c>
      <c r="H125" t="n">
        <v>641</v>
      </c>
      <c r="I125" t="n">
        <v>791</v>
      </c>
      <c r="J125" t="n">
        <v>300</v>
      </c>
      <c r="K125" s="31" t="n">
        <v>0.8103666245259166</v>
      </c>
      <c r="L125" s="25" t="n">
        <v>46651</v>
      </c>
      <c r="M125" t="inlineStr">
        <is>
          <t>L475434</t>
        </is>
      </c>
    </row>
    <row r="126">
      <c r="A126" t="inlineStr">
        <is>
          <t>STK4125</t>
        </is>
      </c>
      <c r="B126" t="inlineStr">
        <is>
          <t>SKU-10371</t>
        </is>
      </c>
      <c r="C126" t="inlineStr">
        <is>
          <t>Endotracheal Tube 8.0 mm Cuffed</t>
        </is>
      </c>
      <c r="D126" t="inlineStr">
        <is>
          <t>Respiratory</t>
        </is>
      </c>
      <c r="E126" t="inlineStr">
        <is>
          <t>Cedar Ridge Medical Center</t>
        </is>
      </c>
      <c r="F126" t="inlineStr">
        <is>
          <t>Emergency Department</t>
        </is>
      </c>
      <c r="G126" t="inlineStr">
        <is>
          <t>Each</t>
        </is>
      </c>
      <c r="H126" t="n">
        <v>392</v>
      </c>
      <c r="I126" t="n">
        <v>602</v>
      </c>
      <c r="J126" t="n">
        <v>182</v>
      </c>
      <c r="K126" s="31" t="n">
        <v>0.6511627906976745</v>
      </c>
      <c r="L126" s="25" t="n">
        <v>46705</v>
      </c>
      <c r="M126" t="inlineStr">
        <is>
          <t>L857893</t>
        </is>
      </c>
    </row>
    <row r="127">
      <c r="A127" t="inlineStr">
        <is>
          <t>STK4126</t>
        </is>
      </c>
      <c r="B127" t="inlineStr">
        <is>
          <t>SKU-10378</t>
        </is>
      </c>
      <c r="C127" t="inlineStr">
        <is>
          <t>Blood Culture Bottle, Aerobic</t>
        </is>
      </c>
      <c r="D127" t="inlineStr">
        <is>
          <t>Lab Supplies</t>
        </is>
      </c>
      <c r="E127" t="inlineStr">
        <is>
          <t>Bluestone Memorial Hospital</t>
        </is>
      </c>
      <c r="F127" t="inlineStr">
        <is>
          <t>Emergency Department</t>
        </is>
      </c>
      <c r="G127" t="inlineStr">
        <is>
          <t>Each</t>
        </is>
      </c>
      <c r="H127" t="n">
        <v>343</v>
      </c>
      <c r="I127" t="n">
        <v>470</v>
      </c>
      <c r="J127" t="n">
        <v>177</v>
      </c>
      <c r="K127" s="31" t="n">
        <v>0.7297872340425532</v>
      </c>
      <c r="L127" s="25" t="n">
        <v>46315</v>
      </c>
      <c r="M127" t="inlineStr">
        <is>
          <t>L683507</t>
        </is>
      </c>
    </row>
    <row r="128">
      <c r="A128" t="inlineStr">
        <is>
          <t>STK4127</t>
        </is>
      </c>
      <c r="B128" t="inlineStr">
        <is>
          <t>SKU-10378</t>
        </is>
      </c>
      <c r="C128" t="inlineStr">
        <is>
          <t>Blood Culture Bottle, Aerobic</t>
        </is>
      </c>
      <c r="D128" t="inlineStr">
        <is>
          <t>Lab Supplies</t>
        </is>
      </c>
      <c r="E128" t="inlineStr">
        <is>
          <t>Bluestone Memorial Hospital</t>
        </is>
      </c>
      <c r="F128" t="inlineStr">
        <is>
          <t>Intensive Care Unit</t>
        </is>
      </c>
      <c r="G128" t="inlineStr">
        <is>
          <t>Each</t>
        </is>
      </c>
      <c r="H128" t="n">
        <v>244</v>
      </c>
      <c r="I128" t="n">
        <v>281</v>
      </c>
      <c r="J128" t="n">
        <v>96</v>
      </c>
      <c r="K128" s="31" t="n">
        <v>0.8683274021352313</v>
      </c>
      <c r="L128" s="25" t="n">
        <v>46433</v>
      </c>
      <c r="M128" t="inlineStr">
        <is>
          <t>L263639</t>
        </is>
      </c>
    </row>
    <row r="129">
      <c r="A129" t="inlineStr">
        <is>
          <t>STK4128</t>
        </is>
      </c>
      <c r="B129" t="inlineStr">
        <is>
          <t>SKU-10385</t>
        </is>
      </c>
      <c r="C129" t="inlineStr">
        <is>
          <t>Blood Culture Bottle, Anaerobic</t>
        </is>
      </c>
      <c r="D129" t="inlineStr">
        <is>
          <t>Lab Supplies</t>
        </is>
      </c>
      <c r="E129" t="inlineStr">
        <is>
          <t>Bluestone Memorial Hospital</t>
        </is>
      </c>
      <c r="F129" t="inlineStr">
        <is>
          <t>Emergency Department</t>
        </is>
      </c>
      <c r="G129" t="inlineStr">
        <is>
          <t>Each</t>
        </is>
      </c>
      <c r="H129" t="n">
        <v>807</v>
      </c>
      <c r="I129" t="n">
        <v>635</v>
      </c>
      <c r="J129" t="n">
        <v>172</v>
      </c>
      <c r="K129" s="31" t="n">
        <v>1.270866141732284</v>
      </c>
      <c r="L129" s="25" t="n">
        <v>46751</v>
      </c>
      <c r="M129" t="inlineStr">
        <is>
          <t>L369929</t>
        </is>
      </c>
    </row>
    <row r="130">
      <c r="A130" t="inlineStr">
        <is>
          <t>STK4129</t>
        </is>
      </c>
      <c r="B130" t="inlineStr">
        <is>
          <t>SKU-10385</t>
        </is>
      </c>
      <c r="C130" t="inlineStr">
        <is>
          <t>Blood Culture Bottle, Anaerobic</t>
        </is>
      </c>
      <c r="D130" t="inlineStr">
        <is>
          <t>Lab Supplies</t>
        </is>
      </c>
      <c r="E130" t="inlineStr">
        <is>
          <t>Bluestone Memorial Hospital</t>
        </is>
      </c>
      <c r="F130" t="inlineStr">
        <is>
          <t>Intensive Care Unit</t>
        </is>
      </c>
      <c r="G130" t="inlineStr">
        <is>
          <t>Each</t>
        </is>
      </c>
      <c r="H130" t="n">
        <v>567</v>
      </c>
      <c r="I130" t="n">
        <v>491</v>
      </c>
      <c r="J130" t="n">
        <v>157</v>
      </c>
      <c r="K130" s="31" t="n">
        <v>1.154786150712831</v>
      </c>
      <c r="L130" s="25" t="n">
        <v>46670</v>
      </c>
      <c r="M130" t="inlineStr">
        <is>
          <t>L287181</t>
        </is>
      </c>
    </row>
    <row r="131">
      <c r="A131" t="inlineStr">
        <is>
          <t>STK4130</t>
        </is>
      </c>
      <c r="B131" t="inlineStr">
        <is>
          <t>SKU-10385</t>
        </is>
      </c>
      <c r="C131" t="inlineStr">
        <is>
          <t>Blood Culture Bottle, Anaerobic</t>
        </is>
      </c>
      <c r="D131" t="inlineStr">
        <is>
          <t>Lab Supplies</t>
        </is>
      </c>
      <c r="E131" t="inlineStr">
        <is>
          <t>Bluestone Memorial Hospital</t>
        </is>
      </c>
      <c r="F131" t="inlineStr">
        <is>
          <t>Laboratory</t>
        </is>
      </c>
      <c r="G131" t="inlineStr">
        <is>
          <t>Each</t>
        </is>
      </c>
      <c r="H131" t="n">
        <v>277</v>
      </c>
      <c r="I131" t="n">
        <v>786</v>
      </c>
      <c r="J131" t="n">
        <v>251</v>
      </c>
      <c r="K131" s="31" t="n">
        <v>0.3524173027989822</v>
      </c>
      <c r="L131" s="25" t="n">
        <v>46738</v>
      </c>
      <c r="M131" t="inlineStr">
        <is>
          <t>L267601</t>
        </is>
      </c>
    </row>
    <row r="132">
      <c r="A132" t="inlineStr">
        <is>
          <t>STK4131</t>
        </is>
      </c>
      <c r="B132" t="inlineStr">
        <is>
          <t>SKU-10392</t>
        </is>
      </c>
      <c r="C132" t="inlineStr">
        <is>
          <t>Blood Culture Bottle, Pediatric</t>
        </is>
      </c>
      <c r="D132" t="inlineStr">
        <is>
          <t>Lab Supplies</t>
        </is>
      </c>
      <c r="E132" t="inlineStr">
        <is>
          <t>Bluestone Memorial Hospital</t>
        </is>
      </c>
      <c r="F132" t="inlineStr">
        <is>
          <t>Intensive Care Unit</t>
        </is>
      </c>
      <c r="G132" t="inlineStr">
        <is>
          <t>Each</t>
        </is>
      </c>
      <c r="H132" t="n">
        <v>142</v>
      </c>
      <c r="I132" t="n">
        <v>490</v>
      </c>
      <c r="J132" t="n">
        <v>137</v>
      </c>
      <c r="K132" s="31" t="n">
        <v>0.2897959183673469</v>
      </c>
      <c r="L132" s="25" t="n">
        <v>46411</v>
      </c>
      <c r="M132" t="inlineStr">
        <is>
          <t>L198662</t>
        </is>
      </c>
    </row>
    <row r="133">
      <c r="A133" t="inlineStr">
        <is>
          <t>STK4132</t>
        </is>
      </c>
      <c r="B133" t="inlineStr">
        <is>
          <t>SKU-10392</t>
        </is>
      </c>
      <c r="C133" t="inlineStr">
        <is>
          <t>Blood Culture Bottle, Pediatric</t>
        </is>
      </c>
      <c r="D133" t="inlineStr">
        <is>
          <t>Lab Supplies</t>
        </is>
      </c>
      <c r="E133" t="inlineStr">
        <is>
          <t>Bluestone Memorial Hospital</t>
        </is>
      </c>
      <c r="F133" t="inlineStr">
        <is>
          <t>Laboratory</t>
        </is>
      </c>
      <c r="G133" t="inlineStr">
        <is>
          <t>Each</t>
        </is>
      </c>
      <c r="H133" t="n">
        <v>330</v>
      </c>
      <c r="I133" t="n">
        <v>798</v>
      </c>
      <c r="J133" t="n">
        <v>246</v>
      </c>
      <c r="K133" s="31" t="n">
        <v>0.4135338345864661</v>
      </c>
      <c r="L133" s="25" t="n">
        <v>46965</v>
      </c>
      <c r="M133" t="inlineStr">
        <is>
          <t>L980734</t>
        </is>
      </c>
    </row>
    <row r="134">
      <c r="A134" t="inlineStr">
        <is>
          <t>STK4133</t>
        </is>
      </c>
      <c r="B134" t="inlineStr">
        <is>
          <t>SKU-10399</t>
        </is>
      </c>
      <c r="C134" t="inlineStr">
        <is>
          <t>Vacutainer Tube Lavender 4 mL (Box/100)</t>
        </is>
      </c>
      <c r="D134" t="inlineStr">
        <is>
          <t>Lab Supplies</t>
        </is>
      </c>
      <c r="E134" t="inlineStr">
        <is>
          <t>Bluestone Memorial Hospital</t>
        </is>
      </c>
      <c r="F134" t="inlineStr">
        <is>
          <t>Emergency Department</t>
        </is>
      </c>
      <c r="G134" t="inlineStr">
        <is>
          <t>Box</t>
        </is>
      </c>
      <c r="H134" t="n">
        <v>112</v>
      </c>
      <c r="I134" t="n">
        <v>288</v>
      </c>
      <c r="J134" t="n">
        <v>106</v>
      </c>
      <c r="K134" s="31" t="n">
        <v>0.3888888888888889</v>
      </c>
      <c r="L134" s="25" t="n">
        <v>46233</v>
      </c>
      <c r="M134" t="inlineStr">
        <is>
          <t>L191680</t>
        </is>
      </c>
    </row>
    <row r="135">
      <c r="A135" t="inlineStr">
        <is>
          <t>STK4134</t>
        </is>
      </c>
      <c r="B135" t="inlineStr">
        <is>
          <t>SKU-10406</t>
        </is>
      </c>
      <c r="C135" t="inlineStr">
        <is>
          <t>Vacutainer Tube Light Blue 2.7 mL (Box/100)</t>
        </is>
      </c>
      <c r="D135" t="inlineStr">
        <is>
          <t>Lab Supplies</t>
        </is>
      </c>
      <c r="E135" t="inlineStr">
        <is>
          <t>Bluestone Memorial Hospital</t>
        </is>
      </c>
      <c r="F135" t="inlineStr">
        <is>
          <t>Emergency Department</t>
        </is>
      </c>
      <c r="G135" t="inlineStr">
        <is>
          <t>Box</t>
        </is>
      </c>
      <c r="H135" t="n">
        <v>20</v>
      </c>
      <c r="I135" t="n">
        <v>120</v>
      </c>
      <c r="J135" t="n">
        <v>44</v>
      </c>
      <c r="K135" s="31" t="n">
        <v>0.1666666666666667</v>
      </c>
      <c r="L135" s="25" t="n">
        <v>47004</v>
      </c>
      <c r="M135" t="inlineStr">
        <is>
          <t>L128438</t>
        </is>
      </c>
    </row>
    <row r="136">
      <c r="A136" t="inlineStr">
        <is>
          <t>STK4135</t>
        </is>
      </c>
      <c r="B136" t="inlineStr">
        <is>
          <t>SKU-10406</t>
        </is>
      </c>
      <c r="C136" t="inlineStr">
        <is>
          <t>Vacutainer Tube Light Blue 2.7 mL (Box/100)</t>
        </is>
      </c>
      <c r="D136" t="inlineStr">
        <is>
          <t>Lab Supplies</t>
        </is>
      </c>
      <c r="E136" t="inlineStr">
        <is>
          <t>Bluestone Memorial Hospital</t>
        </is>
      </c>
      <c r="F136" t="inlineStr">
        <is>
          <t>Intensive Care Unit</t>
        </is>
      </c>
      <c r="G136" t="inlineStr">
        <is>
          <t>Box</t>
        </is>
      </c>
      <c r="H136" t="n">
        <v>79</v>
      </c>
      <c r="I136" t="n">
        <v>219</v>
      </c>
      <c r="J136" t="n">
        <v>60</v>
      </c>
      <c r="K136" s="31" t="n">
        <v>0.3607305936073059</v>
      </c>
      <c r="L136" s="25" t="n">
        <v>46604</v>
      </c>
      <c r="M136" t="inlineStr">
        <is>
          <t>L223246</t>
        </is>
      </c>
    </row>
    <row r="137">
      <c r="A137" t="inlineStr">
        <is>
          <t>STK4136</t>
        </is>
      </c>
      <c r="B137" t="inlineStr">
        <is>
          <t>SKU-10406</t>
        </is>
      </c>
      <c r="C137" t="inlineStr">
        <is>
          <t>Vacutainer Tube Light Blue 2.7 mL (Box/100)</t>
        </is>
      </c>
      <c r="D137" t="inlineStr">
        <is>
          <t>Lab Supplies</t>
        </is>
      </c>
      <c r="E137" t="inlineStr">
        <is>
          <t>Bluestone Memorial Hospital</t>
        </is>
      </c>
      <c r="F137" t="inlineStr">
        <is>
          <t>Laboratory</t>
        </is>
      </c>
      <c r="G137" t="inlineStr">
        <is>
          <t>Box</t>
        </is>
      </c>
      <c r="H137" t="n">
        <v>366</v>
      </c>
      <c r="I137" t="n">
        <v>362</v>
      </c>
      <c r="J137" t="n">
        <v>106</v>
      </c>
      <c r="K137" s="31" t="n">
        <v>1.011049723756906</v>
      </c>
      <c r="L137" s="25" t="n">
        <v>47017</v>
      </c>
      <c r="M137" t="inlineStr">
        <is>
          <t>L275121</t>
        </is>
      </c>
    </row>
    <row r="138">
      <c r="A138" t="inlineStr">
        <is>
          <t>STK4137</t>
        </is>
      </c>
      <c r="B138" t="inlineStr">
        <is>
          <t>SKU-10413</t>
        </is>
      </c>
      <c r="C138" t="inlineStr">
        <is>
          <t>Vacutainer Tube Gold SST 5 mL (Box/100)</t>
        </is>
      </c>
      <c r="D138" t="inlineStr">
        <is>
          <t>Lab Supplies</t>
        </is>
      </c>
      <c r="E138" t="inlineStr">
        <is>
          <t>Bluestone Memorial Hospital</t>
        </is>
      </c>
      <c r="F138" t="inlineStr">
        <is>
          <t>Emergency Department</t>
        </is>
      </c>
      <c r="G138" t="inlineStr">
        <is>
          <t>Box</t>
        </is>
      </c>
      <c r="H138" t="n">
        <v>34</v>
      </c>
      <c r="I138" t="n">
        <v>395</v>
      </c>
      <c r="J138" t="n">
        <v>133</v>
      </c>
      <c r="K138" s="31" t="n">
        <v>0.08607594936708861</v>
      </c>
      <c r="L138" s="25" t="n">
        <v>46378</v>
      </c>
      <c r="M138" t="inlineStr">
        <is>
          <t>L924519</t>
        </is>
      </c>
    </row>
    <row r="139">
      <c r="A139" t="inlineStr">
        <is>
          <t>STK4138</t>
        </is>
      </c>
      <c r="B139" t="inlineStr">
        <is>
          <t>SKU-10413</t>
        </is>
      </c>
      <c r="C139" t="inlineStr">
        <is>
          <t>Vacutainer Tube Gold SST 5 mL (Box/100)</t>
        </is>
      </c>
      <c r="D139" t="inlineStr">
        <is>
          <t>Lab Supplies</t>
        </is>
      </c>
      <c r="E139" t="inlineStr">
        <is>
          <t>Bluestone Memorial Hospital</t>
        </is>
      </c>
      <c r="F139" t="inlineStr">
        <is>
          <t>Intensive Care Unit</t>
        </is>
      </c>
      <c r="G139" t="inlineStr">
        <is>
          <t>Box</t>
        </is>
      </c>
      <c r="H139" t="n">
        <v>139</v>
      </c>
      <c r="I139" t="n">
        <v>110</v>
      </c>
      <c r="J139" t="n">
        <v>37</v>
      </c>
      <c r="K139" s="31" t="n">
        <v>1.263636363636364</v>
      </c>
      <c r="L139" s="25" t="n">
        <v>47015</v>
      </c>
      <c r="M139" t="inlineStr">
        <is>
          <t>L862034</t>
        </is>
      </c>
    </row>
    <row r="140">
      <c r="A140" t="inlineStr">
        <is>
          <t>STK4139</t>
        </is>
      </c>
      <c r="B140" t="inlineStr">
        <is>
          <t>SKU-10413</t>
        </is>
      </c>
      <c r="C140" t="inlineStr">
        <is>
          <t>Vacutainer Tube Gold SST 5 mL (Box/100)</t>
        </is>
      </c>
      <c r="D140" t="inlineStr">
        <is>
          <t>Lab Supplies</t>
        </is>
      </c>
      <c r="E140" t="inlineStr">
        <is>
          <t>Bluestone Memorial Hospital</t>
        </is>
      </c>
      <c r="F140" t="inlineStr">
        <is>
          <t>Laboratory</t>
        </is>
      </c>
      <c r="G140" t="inlineStr">
        <is>
          <t>Box</t>
        </is>
      </c>
      <c r="H140" t="n">
        <v>147</v>
      </c>
      <c r="I140" t="n">
        <v>231</v>
      </c>
      <c r="J140" t="n">
        <v>91</v>
      </c>
      <c r="K140" s="31" t="n">
        <v>0.6363636363636364</v>
      </c>
      <c r="L140" s="25" t="n">
        <v>46791</v>
      </c>
      <c r="M140" t="inlineStr">
        <is>
          <t>L195017</t>
        </is>
      </c>
    </row>
    <row r="141">
      <c r="A141" t="inlineStr">
        <is>
          <t>STK4140</t>
        </is>
      </c>
      <c r="B141" t="inlineStr">
        <is>
          <t>SKU-10420</t>
        </is>
      </c>
      <c r="C141" t="inlineStr">
        <is>
          <t>Vacutainer Tube Green 4 mL (Box/100)</t>
        </is>
      </c>
      <c r="D141" t="inlineStr">
        <is>
          <t>Lab Supplies</t>
        </is>
      </c>
      <c r="E141" t="inlineStr">
        <is>
          <t>Bluestone Memorial Hospital</t>
        </is>
      </c>
      <c r="F141" t="inlineStr">
        <is>
          <t>Emergency Department</t>
        </is>
      </c>
      <c r="G141" t="inlineStr">
        <is>
          <t>Box</t>
        </is>
      </c>
      <c r="H141" t="n">
        <v>111</v>
      </c>
      <c r="I141" t="n">
        <v>143</v>
      </c>
      <c r="J141" t="n">
        <v>56</v>
      </c>
      <c r="K141" s="31" t="n">
        <v>0.7762237762237763</v>
      </c>
      <c r="L141" s="25" t="n">
        <v>46209</v>
      </c>
      <c r="M141" t="inlineStr">
        <is>
          <t>L202327</t>
        </is>
      </c>
    </row>
    <row r="142">
      <c r="A142" t="inlineStr">
        <is>
          <t>STK4141</t>
        </is>
      </c>
      <c r="B142" t="inlineStr">
        <is>
          <t>SKU-10420</t>
        </is>
      </c>
      <c r="C142" t="inlineStr">
        <is>
          <t>Vacutainer Tube Green 4 mL (Box/100)</t>
        </is>
      </c>
      <c r="D142" t="inlineStr">
        <is>
          <t>Lab Supplies</t>
        </is>
      </c>
      <c r="E142" t="inlineStr">
        <is>
          <t>Bluestone Memorial Hospital</t>
        </is>
      </c>
      <c r="F142" t="inlineStr">
        <is>
          <t>Intensive Care Unit</t>
        </is>
      </c>
      <c r="G142" t="inlineStr">
        <is>
          <t>Box</t>
        </is>
      </c>
      <c r="H142" t="n">
        <v>51</v>
      </c>
      <c r="I142" t="n">
        <v>100</v>
      </c>
      <c r="J142" t="n">
        <v>38</v>
      </c>
      <c r="K142" s="31" t="n">
        <v>0.51</v>
      </c>
      <c r="L142" s="25" t="n">
        <v>46359</v>
      </c>
      <c r="M142" t="inlineStr">
        <is>
          <t>L172766</t>
        </is>
      </c>
    </row>
    <row r="143">
      <c r="A143" t="inlineStr">
        <is>
          <t>STK4142</t>
        </is>
      </c>
      <c r="B143" t="inlineStr">
        <is>
          <t>SKU-10420</t>
        </is>
      </c>
      <c r="C143" t="inlineStr">
        <is>
          <t>Vacutainer Tube Green 4 mL (Box/100)</t>
        </is>
      </c>
      <c r="D143" t="inlineStr">
        <is>
          <t>Lab Supplies</t>
        </is>
      </c>
      <c r="E143" t="inlineStr">
        <is>
          <t>Bluestone Memorial Hospital</t>
        </is>
      </c>
      <c r="F143" t="inlineStr">
        <is>
          <t>Laboratory</t>
        </is>
      </c>
      <c r="G143" t="inlineStr">
        <is>
          <t>Box</t>
        </is>
      </c>
      <c r="H143" t="n">
        <v>44</v>
      </c>
      <c r="I143" t="n">
        <v>105</v>
      </c>
      <c r="J143" t="n">
        <v>30</v>
      </c>
      <c r="K143" s="31" t="n">
        <v>0.4190476190476191</v>
      </c>
      <c r="L143" s="25" t="n">
        <v>46367</v>
      </c>
      <c r="M143" t="inlineStr">
        <is>
          <t>L888933</t>
        </is>
      </c>
    </row>
    <row r="144">
      <c r="A144" t="inlineStr">
        <is>
          <t>STK4143</t>
        </is>
      </c>
      <c r="B144" t="inlineStr">
        <is>
          <t>SKU-10427</t>
        </is>
      </c>
      <c r="C144" t="inlineStr">
        <is>
          <t>Vacutainer Tube Gray 4 mL (Box/100)</t>
        </is>
      </c>
      <c r="D144" t="inlineStr">
        <is>
          <t>Lab Supplies</t>
        </is>
      </c>
      <c r="E144" t="inlineStr">
        <is>
          <t>Bluestone Memorial Hospital</t>
        </is>
      </c>
      <c r="F144" t="inlineStr">
        <is>
          <t>Intensive Care Unit</t>
        </is>
      </c>
      <c r="G144" t="inlineStr">
        <is>
          <t>Box</t>
        </is>
      </c>
      <c r="H144" t="n">
        <v>167</v>
      </c>
      <c r="I144" t="n">
        <v>210</v>
      </c>
      <c r="J144" t="n">
        <v>82</v>
      </c>
      <c r="K144" s="31" t="n">
        <v>0.7952380952380952</v>
      </c>
      <c r="L144" s="25" t="n">
        <v>46227</v>
      </c>
      <c r="M144" t="inlineStr">
        <is>
          <t>L645022</t>
        </is>
      </c>
    </row>
    <row r="145">
      <c r="A145" t="inlineStr">
        <is>
          <t>STK4144</t>
        </is>
      </c>
      <c r="B145" t="inlineStr">
        <is>
          <t>SKU-10427</t>
        </is>
      </c>
      <c r="C145" t="inlineStr">
        <is>
          <t>Vacutainer Tube Gray 4 mL (Box/100)</t>
        </is>
      </c>
      <c r="D145" t="inlineStr">
        <is>
          <t>Lab Supplies</t>
        </is>
      </c>
      <c r="E145" t="inlineStr">
        <is>
          <t>Bluestone Memorial Hospital</t>
        </is>
      </c>
      <c r="F145" t="inlineStr">
        <is>
          <t>Laboratory</t>
        </is>
      </c>
      <c r="G145" t="inlineStr">
        <is>
          <t>Box</t>
        </is>
      </c>
      <c r="H145" t="n">
        <v>156</v>
      </c>
      <c r="I145" t="n">
        <v>259</v>
      </c>
      <c r="J145" t="n">
        <v>87</v>
      </c>
      <c r="K145" s="31" t="n">
        <v>0.6023166023166023</v>
      </c>
      <c r="L145" s="25" t="n">
        <v>46901</v>
      </c>
      <c r="M145" t="inlineStr">
        <is>
          <t>L591818</t>
        </is>
      </c>
    </row>
    <row r="146">
      <c r="A146" t="inlineStr">
        <is>
          <t>STK4145</t>
        </is>
      </c>
      <c r="B146" t="inlineStr">
        <is>
          <t>SKU-10434</t>
        </is>
      </c>
      <c r="C146" t="inlineStr">
        <is>
          <t>Safety Lancet 21G (Box/200)</t>
        </is>
      </c>
      <c r="D146" t="inlineStr">
        <is>
          <t>Lab Supplies</t>
        </is>
      </c>
      <c r="E146" t="inlineStr">
        <is>
          <t>Bluestone Memorial Hospital</t>
        </is>
      </c>
      <c r="F146" t="inlineStr">
        <is>
          <t>Emergency Department</t>
        </is>
      </c>
      <c r="G146" t="inlineStr">
        <is>
          <t>Box</t>
        </is>
      </c>
      <c r="H146" t="n">
        <v>333</v>
      </c>
      <c r="I146" t="n">
        <v>255</v>
      </c>
      <c r="J146" t="n">
        <v>67</v>
      </c>
      <c r="K146" s="31" t="n">
        <v>1.305882352941176</v>
      </c>
      <c r="L146" s="25" t="n">
        <v>46418</v>
      </c>
      <c r="M146" t="inlineStr">
        <is>
          <t>L676170</t>
        </is>
      </c>
    </row>
    <row r="147">
      <c r="A147" t="inlineStr">
        <is>
          <t>STK4146</t>
        </is>
      </c>
      <c r="B147" t="inlineStr">
        <is>
          <t>SKU-10434</t>
        </is>
      </c>
      <c r="C147" t="inlineStr">
        <is>
          <t>Safety Lancet 21G (Box/200)</t>
        </is>
      </c>
      <c r="D147" t="inlineStr">
        <is>
          <t>Lab Supplies</t>
        </is>
      </c>
      <c r="E147" t="inlineStr">
        <is>
          <t>Bluestone Memorial Hospital</t>
        </is>
      </c>
      <c r="F147" t="inlineStr">
        <is>
          <t>Laboratory</t>
        </is>
      </c>
      <c r="G147" t="inlineStr">
        <is>
          <t>Box</t>
        </is>
      </c>
      <c r="H147" t="n">
        <v>351</v>
      </c>
      <c r="I147" t="n">
        <v>423</v>
      </c>
      <c r="J147" t="n">
        <v>116</v>
      </c>
      <c r="K147" s="31" t="n">
        <v>0.8297872340425532</v>
      </c>
      <c r="L147" s="25" t="n">
        <v>46735</v>
      </c>
      <c r="M147" t="inlineStr">
        <is>
          <t>L813216</t>
        </is>
      </c>
    </row>
    <row r="148">
      <c r="A148" t="inlineStr">
        <is>
          <t>STK4147</t>
        </is>
      </c>
      <c r="B148" t="inlineStr">
        <is>
          <t>SKU-10441</t>
        </is>
      </c>
      <c r="C148" t="inlineStr">
        <is>
          <t>Safety Lancet 23G (Box/200)</t>
        </is>
      </c>
      <c r="D148" t="inlineStr">
        <is>
          <t>Lab Supplies</t>
        </is>
      </c>
      <c r="E148" t="inlineStr">
        <is>
          <t>Bluestone Memorial Hospital</t>
        </is>
      </c>
      <c r="F148" t="inlineStr">
        <is>
          <t>Intensive Care Unit</t>
        </is>
      </c>
      <c r="G148" t="inlineStr">
        <is>
          <t>Box</t>
        </is>
      </c>
      <c r="H148" t="n">
        <v>263</v>
      </c>
      <c r="I148" t="n">
        <v>255</v>
      </c>
      <c r="J148" t="n">
        <v>68</v>
      </c>
      <c r="K148" s="31" t="n">
        <v>1.031372549019608</v>
      </c>
      <c r="L148" s="25" t="n">
        <v>46558</v>
      </c>
      <c r="M148" t="inlineStr">
        <is>
          <t>L979392</t>
        </is>
      </c>
    </row>
    <row r="149">
      <c r="A149" t="inlineStr">
        <is>
          <t>STK4148</t>
        </is>
      </c>
      <c r="B149" t="inlineStr">
        <is>
          <t>SKU-10448</t>
        </is>
      </c>
      <c r="C149" t="inlineStr">
        <is>
          <t>Specimen Container 4 oz Sterile</t>
        </is>
      </c>
      <c r="D149" t="inlineStr">
        <is>
          <t>Lab Supplies</t>
        </is>
      </c>
      <c r="E149" t="inlineStr">
        <is>
          <t>Bluestone Memorial Hospital</t>
        </is>
      </c>
      <c r="F149" t="inlineStr">
        <is>
          <t>Emergency Department</t>
        </is>
      </c>
      <c r="G149" t="inlineStr">
        <is>
          <t>Each</t>
        </is>
      </c>
      <c r="H149" t="n">
        <v>223</v>
      </c>
      <c r="I149" t="n">
        <v>800</v>
      </c>
      <c r="J149" t="n">
        <v>248</v>
      </c>
      <c r="K149" s="31" t="n">
        <v>0.27875</v>
      </c>
      <c r="L149" s="25" t="n"/>
    </row>
    <row r="150">
      <c r="A150" t="inlineStr">
        <is>
          <t>STK4149</t>
        </is>
      </c>
      <c r="B150" t="inlineStr">
        <is>
          <t>SKU-10448</t>
        </is>
      </c>
      <c r="C150" t="inlineStr">
        <is>
          <t>Specimen Container 4 oz Sterile</t>
        </is>
      </c>
      <c r="D150" t="inlineStr">
        <is>
          <t>Lab Supplies</t>
        </is>
      </c>
      <c r="E150" t="inlineStr">
        <is>
          <t>Bluestone Memorial Hospital</t>
        </is>
      </c>
      <c r="F150" t="inlineStr">
        <is>
          <t>Intensive Care Unit</t>
        </is>
      </c>
      <c r="G150" t="inlineStr">
        <is>
          <t>Each</t>
        </is>
      </c>
      <c r="H150" t="n">
        <v>985</v>
      </c>
      <c r="I150" t="n">
        <v>800</v>
      </c>
      <c r="J150" t="n">
        <v>268</v>
      </c>
      <c r="K150" s="31" t="n">
        <v>1.23125</v>
      </c>
      <c r="L150" s="25" t="n"/>
    </row>
    <row r="151">
      <c r="A151" t="inlineStr">
        <is>
          <t>STK4150</t>
        </is>
      </c>
      <c r="B151" t="inlineStr">
        <is>
          <t>SKU-10448</t>
        </is>
      </c>
      <c r="C151" t="inlineStr">
        <is>
          <t>Specimen Container 4 oz Sterile</t>
        </is>
      </c>
      <c r="D151" t="inlineStr">
        <is>
          <t>Lab Supplies</t>
        </is>
      </c>
      <c r="E151" t="inlineStr">
        <is>
          <t>Bluestone Memorial Hospital</t>
        </is>
      </c>
      <c r="F151" t="inlineStr">
        <is>
          <t>Laboratory</t>
        </is>
      </c>
      <c r="G151" t="inlineStr">
        <is>
          <t>Each</t>
        </is>
      </c>
      <c r="H151" t="n">
        <v>349</v>
      </c>
      <c r="I151" t="n">
        <v>800</v>
      </c>
      <c r="J151" t="n">
        <v>280</v>
      </c>
      <c r="K151" s="31" t="n">
        <v>0.43625</v>
      </c>
      <c r="L151" s="25" t="n"/>
    </row>
    <row r="152">
      <c r="A152" t="inlineStr">
        <is>
          <t>STK4151</t>
        </is>
      </c>
      <c r="B152" t="inlineStr">
        <is>
          <t>SKU-10455</t>
        </is>
      </c>
      <c r="C152" t="inlineStr">
        <is>
          <t>Glucose Test Strips (Box/50)</t>
        </is>
      </c>
      <c r="D152" t="inlineStr">
        <is>
          <t>Lab Supplies</t>
        </is>
      </c>
      <c r="E152" t="inlineStr">
        <is>
          <t>Bluestone Memorial Hospital</t>
        </is>
      </c>
      <c r="F152" t="inlineStr">
        <is>
          <t>Laboratory</t>
        </is>
      </c>
      <c r="G152" t="inlineStr">
        <is>
          <t>Box</t>
        </is>
      </c>
      <c r="H152" t="n">
        <v>706</v>
      </c>
      <c r="I152" t="n">
        <v>524</v>
      </c>
      <c r="J152" t="n">
        <v>201</v>
      </c>
      <c r="K152" s="31" t="n">
        <v>1.347328244274809</v>
      </c>
      <c r="L152" s="25" t="n">
        <v>46247</v>
      </c>
      <c r="M152" t="inlineStr">
        <is>
          <t>L927136</t>
        </is>
      </c>
    </row>
    <row r="153">
      <c r="A153" t="inlineStr">
        <is>
          <t>STK4152</t>
        </is>
      </c>
      <c r="B153" t="inlineStr">
        <is>
          <t>SKU-10462</t>
        </is>
      </c>
      <c r="C153" t="inlineStr">
        <is>
          <t>Urinalysis Reagent Strips (Bottle/100)</t>
        </is>
      </c>
      <c r="D153" t="inlineStr">
        <is>
          <t>Lab Supplies</t>
        </is>
      </c>
      <c r="E153" t="inlineStr">
        <is>
          <t>Bluestone Memorial Hospital</t>
        </is>
      </c>
      <c r="F153" t="inlineStr">
        <is>
          <t>Emergency Department</t>
        </is>
      </c>
      <c r="G153" t="inlineStr">
        <is>
          <t>Bottle</t>
        </is>
      </c>
      <c r="H153" t="n">
        <v>125</v>
      </c>
      <c r="I153" t="n">
        <v>264</v>
      </c>
      <c r="J153" t="n">
        <v>93</v>
      </c>
      <c r="K153" s="31" t="n">
        <v>0.4734848484848485</v>
      </c>
      <c r="L153" s="25" t="n">
        <v>46657</v>
      </c>
      <c r="M153" t="inlineStr">
        <is>
          <t>L416823</t>
        </is>
      </c>
    </row>
    <row r="154">
      <c r="A154" t="inlineStr">
        <is>
          <t>STK4153</t>
        </is>
      </c>
      <c r="B154" t="inlineStr">
        <is>
          <t>SKU-10462</t>
        </is>
      </c>
      <c r="C154" t="inlineStr">
        <is>
          <t>Urinalysis Reagent Strips (Bottle/100)</t>
        </is>
      </c>
      <c r="D154" t="inlineStr">
        <is>
          <t>Lab Supplies</t>
        </is>
      </c>
      <c r="E154" t="inlineStr">
        <is>
          <t>Bluestone Memorial Hospital</t>
        </is>
      </c>
      <c r="F154" t="inlineStr">
        <is>
          <t>Laboratory</t>
        </is>
      </c>
      <c r="G154" t="inlineStr">
        <is>
          <t>Bottle</t>
        </is>
      </c>
      <c r="H154" t="n">
        <v>94</v>
      </c>
      <c r="I154" t="n">
        <v>188</v>
      </c>
      <c r="J154" t="n">
        <v>58</v>
      </c>
      <c r="K154" s="31" t="n">
        <v>0.5</v>
      </c>
      <c r="L154" s="25" t="n">
        <v>46435</v>
      </c>
      <c r="M154" t="inlineStr">
        <is>
          <t>L602287</t>
        </is>
      </c>
    </row>
    <row r="155">
      <c r="A155" t="inlineStr">
        <is>
          <t>STK4154</t>
        </is>
      </c>
      <c r="B155" t="inlineStr">
        <is>
          <t>SKU-10469</t>
        </is>
      </c>
      <c r="C155" t="inlineStr">
        <is>
          <t>Absorbable Suture 2-0</t>
        </is>
      </c>
      <c r="D155" t="inlineStr">
        <is>
          <t>Surgical</t>
        </is>
      </c>
      <c r="E155" t="inlineStr">
        <is>
          <t>Bluestone Memorial Hospital</t>
        </is>
      </c>
      <c r="F155" t="inlineStr">
        <is>
          <t>Emergency Department</t>
        </is>
      </c>
      <c r="G155" t="inlineStr">
        <is>
          <t>Box</t>
        </is>
      </c>
      <c r="H155" t="n">
        <v>45</v>
      </c>
      <c r="I155" t="n">
        <v>38</v>
      </c>
      <c r="J155" t="n">
        <v>13</v>
      </c>
      <c r="K155" s="31" t="n">
        <v>1.184210526315789</v>
      </c>
      <c r="L155" s="25" t="n">
        <v>46288</v>
      </c>
      <c r="M155" t="inlineStr">
        <is>
          <t>L289056</t>
        </is>
      </c>
    </row>
    <row r="156">
      <c r="A156" t="inlineStr">
        <is>
          <t>STK4155</t>
        </is>
      </c>
      <c r="B156" t="inlineStr">
        <is>
          <t>SKU-10476</t>
        </is>
      </c>
      <c r="C156" t="inlineStr">
        <is>
          <t>Absorbable Suture 3-0</t>
        </is>
      </c>
      <c r="D156" t="inlineStr">
        <is>
          <t>Surgical</t>
        </is>
      </c>
      <c r="E156" t="inlineStr">
        <is>
          <t>Bluestone Memorial Hospital</t>
        </is>
      </c>
      <c r="F156" t="inlineStr">
        <is>
          <t>Emergency Department</t>
        </is>
      </c>
      <c r="G156" t="inlineStr">
        <is>
          <t>Box</t>
        </is>
      </c>
      <c r="H156" t="n">
        <v>95</v>
      </c>
      <c r="I156" t="n">
        <v>93</v>
      </c>
      <c r="J156" t="n">
        <v>35</v>
      </c>
      <c r="K156" s="31" t="n">
        <v>1.021505376344086</v>
      </c>
      <c r="L156" s="25" t="n">
        <v>46400</v>
      </c>
      <c r="M156" t="inlineStr">
        <is>
          <t>L548965</t>
        </is>
      </c>
    </row>
    <row r="157">
      <c r="A157" t="inlineStr">
        <is>
          <t>STK4156</t>
        </is>
      </c>
      <c r="B157" t="inlineStr">
        <is>
          <t>SKU-10476</t>
        </is>
      </c>
      <c r="C157" t="inlineStr">
        <is>
          <t>Absorbable Suture 3-0</t>
        </is>
      </c>
      <c r="D157" t="inlineStr">
        <is>
          <t>Surgical</t>
        </is>
      </c>
      <c r="E157" t="inlineStr">
        <is>
          <t>Ashby Falls Community Hospital</t>
        </is>
      </c>
      <c r="F157" t="inlineStr">
        <is>
          <t>Emergency Department</t>
        </is>
      </c>
      <c r="G157" t="inlineStr">
        <is>
          <t>Box</t>
        </is>
      </c>
      <c r="H157" t="n">
        <v>66</v>
      </c>
      <c r="I157" t="n">
        <v>73</v>
      </c>
      <c r="J157" t="n">
        <v>19</v>
      </c>
      <c r="K157" s="31" t="n">
        <v>0.9041095890410958</v>
      </c>
      <c r="L157" s="25" t="n">
        <v>46049</v>
      </c>
      <c r="M157" t="inlineStr">
        <is>
          <t>L308334</t>
        </is>
      </c>
    </row>
    <row r="158">
      <c r="A158" t="inlineStr">
        <is>
          <t>STK4157</t>
        </is>
      </c>
      <c r="B158" t="inlineStr">
        <is>
          <t>SKU-10483</t>
        </is>
      </c>
      <c r="C158" t="inlineStr">
        <is>
          <t>Absorbable Suture 4-0</t>
        </is>
      </c>
      <c r="D158" t="inlineStr">
        <is>
          <t>Surgical</t>
        </is>
      </c>
      <c r="E158" t="inlineStr">
        <is>
          <t>Ashby Falls Community Hospital</t>
        </is>
      </c>
      <c r="F158" t="inlineStr">
        <is>
          <t>Emergency Department</t>
        </is>
      </c>
      <c r="G158" t="inlineStr">
        <is>
          <t>Box</t>
        </is>
      </c>
      <c r="H158" t="n">
        <v>0</v>
      </c>
      <c r="I158" t="n">
        <v>89</v>
      </c>
      <c r="J158" t="n">
        <v>24</v>
      </c>
      <c r="K158" s="31" t="n">
        <v>0</v>
      </c>
      <c r="L158" s="25" t="n">
        <v>46231</v>
      </c>
      <c r="M158" t="inlineStr">
        <is>
          <t>L190346</t>
        </is>
      </c>
    </row>
    <row r="159">
      <c r="A159" t="inlineStr">
        <is>
          <t>STK4158</t>
        </is>
      </c>
      <c r="B159" t="inlineStr">
        <is>
          <t>SKU-10490</t>
        </is>
      </c>
      <c r="C159" t="inlineStr">
        <is>
          <t>Nylon Suture 3-0</t>
        </is>
      </c>
      <c r="D159" t="inlineStr">
        <is>
          <t>Surgical</t>
        </is>
      </c>
      <c r="E159" t="inlineStr">
        <is>
          <t>Bluestone Memorial Hospital</t>
        </is>
      </c>
      <c r="F159" t="inlineStr">
        <is>
          <t>Perioperative Services</t>
        </is>
      </c>
      <c r="G159" t="inlineStr">
        <is>
          <t>Box</t>
        </is>
      </c>
      <c r="H159" t="n">
        <v>55</v>
      </c>
      <c r="I159" t="n">
        <v>55</v>
      </c>
      <c r="J159" t="n">
        <v>16</v>
      </c>
      <c r="K159" s="31" t="n">
        <v>1</v>
      </c>
      <c r="L159" s="25" t="n">
        <v>46371</v>
      </c>
      <c r="M159" t="inlineStr">
        <is>
          <t>L922768</t>
        </is>
      </c>
    </row>
    <row r="160">
      <c r="A160" t="inlineStr">
        <is>
          <t>STK4159</t>
        </is>
      </c>
      <c r="B160" t="inlineStr">
        <is>
          <t>SKU-10490</t>
        </is>
      </c>
      <c r="C160" t="inlineStr">
        <is>
          <t>Nylon Suture 3-0</t>
        </is>
      </c>
      <c r="D160" t="inlineStr">
        <is>
          <t>Surgical</t>
        </is>
      </c>
      <c r="E160" t="inlineStr">
        <is>
          <t>Ashby Falls Community Hospital</t>
        </is>
      </c>
      <c r="F160" t="inlineStr">
        <is>
          <t>Emergency Department</t>
        </is>
      </c>
      <c r="G160" t="inlineStr">
        <is>
          <t>Box</t>
        </is>
      </c>
      <c r="H160" t="n">
        <v>24</v>
      </c>
      <c r="I160" t="n">
        <v>82</v>
      </c>
      <c r="J160" t="n">
        <v>22</v>
      </c>
      <c r="K160" s="31" t="n">
        <v>0.2926829268292683</v>
      </c>
      <c r="L160" s="25" t="n">
        <v>46121</v>
      </c>
      <c r="M160" t="inlineStr">
        <is>
          <t>L887965</t>
        </is>
      </c>
    </row>
    <row r="161">
      <c r="A161" t="inlineStr">
        <is>
          <t>STK4160</t>
        </is>
      </c>
      <c r="B161" t="inlineStr">
        <is>
          <t>SKU-10497</t>
        </is>
      </c>
      <c r="C161" t="inlineStr">
        <is>
          <t>Nylon Suture 4-0</t>
        </is>
      </c>
      <c r="D161" t="inlineStr">
        <is>
          <t>Surgical</t>
        </is>
      </c>
      <c r="E161" t="inlineStr">
        <is>
          <t>Bluestone Memorial Hospital</t>
        </is>
      </c>
      <c r="F161" t="inlineStr">
        <is>
          <t>Emergency Department</t>
        </is>
      </c>
      <c r="G161" t="inlineStr">
        <is>
          <t>Box</t>
        </is>
      </c>
      <c r="H161" t="n">
        <v>56</v>
      </c>
      <c r="I161" t="n">
        <v>59</v>
      </c>
      <c r="J161" t="n">
        <v>15</v>
      </c>
      <c r="K161" s="31" t="n">
        <v>0.9491525423728814</v>
      </c>
      <c r="L161" s="25" t="n">
        <v>46891</v>
      </c>
      <c r="M161" t="inlineStr">
        <is>
          <t>L263161</t>
        </is>
      </c>
    </row>
    <row r="162">
      <c r="A162" t="inlineStr">
        <is>
          <t>STK4161</t>
        </is>
      </c>
      <c r="B162" t="inlineStr">
        <is>
          <t>SKU-10497</t>
        </is>
      </c>
      <c r="C162" t="inlineStr">
        <is>
          <t>Nylon Suture 4-0</t>
        </is>
      </c>
      <c r="D162" t="inlineStr">
        <is>
          <t>Surgical</t>
        </is>
      </c>
      <c r="E162" t="inlineStr">
        <is>
          <t>Ashby Falls Community Hospital</t>
        </is>
      </c>
      <c r="F162" t="inlineStr">
        <is>
          <t>Emergency Department</t>
        </is>
      </c>
      <c r="G162" t="inlineStr">
        <is>
          <t>Box</t>
        </is>
      </c>
      <c r="H162" t="n">
        <v>13</v>
      </c>
      <c r="I162" t="n">
        <v>127</v>
      </c>
      <c r="J162" t="n">
        <v>44</v>
      </c>
      <c r="K162" s="31" t="n">
        <v>0.1023622047244094</v>
      </c>
      <c r="L162" s="25" t="n">
        <v>46297</v>
      </c>
      <c r="M162" t="inlineStr">
        <is>
          <t>L405637</t>
        </is>
      </c>
    </row>
    <row r="163">
      <c r="A163" t="inlineStr">
        <is>
          <t>STK4162</t>
        </is>
      </c>
      <c r="B163" t="inlineStr">
        <is>
          <t>SKU-10504</t>
        </is>
      </c>
      <c r="C163" t="inlineStr">
        <is>
          <t>Nylon Suture 5-0</t>
        </is>
      </c>
      <c r="D163" t="inlineStr">
        <is>
          <t>Surgical</t>
        </is>
      </c>
      <c r="E163" t="inlineStr">
        <is>
          <t>Bluestone Memorial Hospital</t>
        </is>
      </c>
      <c r="F163" t="inlineStr">
        <is>
          <t>Perioperative Services</t>
        </is>
      </c>
      <c r="G163" t="inlineStr">
        <is>
          <t>Box</t>
        </is>
      </c>
      <c r="H163" t="n">
        <v>0</v>
      </c>
      <c r="I163" t="n">
        <v>52</v>
      </c>
      <c r="J163" t="n">
        <v>14</v>
      </c>
      <c r="K163" s="31" t="n">
        <v>0</v>
      </c>
      <c r="L163" s="25" t="n">
        <v>46865</v>
      </c>
      <c r="M163" t="inlineStr">
        <is>
          <t>L988525</t>
        </is>
      </c>
    </row>
    <row r="164">
      <c r="A164" t="inlineStr">
        <is>
          <t>STK4163</t>
        </is>
      </c>
      <c r="B164" t="inlineStr">
        <is>
          <t>SKU-10504</t>
        </is>
      </c>
      <c r="C164" t="inlineStr">
        <is>
          <t>Nylon Suture 5-0</t>
        </is>
      </c>
      <c r="D164" t="inlineStr">
        <is>
          <t>Surgical</t>
        </is>
      </c>
      <c r="E164" t="inlineStr">
        <is>
          <t>Cedar Ridge Medical Center</t>
        </is>
      </c>
      <c r="F164" t="inlineStr">
        <is>
          <t>Emergency Department</t>
        </is>
      </c>
      <c r="G164" t="inlineStr">
        <is>
          <t>Box</t>
        </is>
      </c>
      <c r="H164" t="n">
        <v>87</v>
      </c>
      <c r="I164" t="n">
        <v>183</v>
      </c>
      <c r="J164" t="n">
        <v>71</v>
      </c>
      <c r="K164" s="31" t="n">
        <v>0.4754098360655737</v>
      </c>
      <c r="L164" s="25" t="n">
        <v>46244</v>
      </c>
      <c r="M164" t="inlineStr">
        <is>
          <t>L755825</t>
        </is>
      </c>
    </row>
    <row r="165">
      <c r="A165" t="inlineStr">
        <is>
          <t>STK4164</t>
        </is>
      </c>
      <c r="B165" t="inlineStr">
        <is>
          <t>SKU-10511</t>
        </is>
      </c>
      <c r="C165" t="inlineStr">
        <is>
          <t>Surgical Blade #10 (Box/50)</t>
        </is>
      </c>
      <c r="D165" t="inlineStr">
        <is>
          <t>Surgical</t>
        </is>
      </c>
      <c r="E165" t="inlineStr">
        <is>
          <t>Cedar Ridge Medical Center</t>
        </is>
      </c>
      <c r="F165" t="inlineStr">
        <is>
          <t>Emergency Department</t>
        </is>
      </c>
      <c r="G165" t="inlineStr">
        <is>
          <t>Box</t>
        </is>
      </c>
      <c r="H165" t="n">
        <v>737</v>
      </c>
      <c r="I165" t="n">
        <v>717</v>
      </c>
      <c r="J165" t="n">
        <v>240</v>
      </c>
      <c r="K165" s="31" t="n">
        <v>1.0278940027894</v>
      </c>
      <c r="L165" s="25" t="n"/>
    </row>
    <row r="166">
      <c r="A166" t="inlineStr">
        <is>
          <t>STK4165</t>
        </is>
      </c>
      <c r="B166" t="inlineStr">
        <is>
          <t>SKU-10518</t>
        </is>
      </c>
      <c r="C166" t="inlineStr">
        <is>
          <t>Surgical Blade #11 (Box/50)</t>
        </is>
      </c>
      <c r="D166" t="inlineStr">
        <is>
          <t>Surgical</t>
        </is>
      </c>
      <c r="E166" t="inlineStr">
        <is>
          <t>Bluestone Memorial Hospital</t>
        </is>
      </c>
      <c r="F166" t="inlineStr">
        <is>
          <t>Emergency Department</t>
        </is>
      </c>
      <c r="G166" t="inlineStr">
        <is>
          <t>Box</t>
        </is>
      </c>
      <c r="H166" t="n">
        <v>192</v>
      </c>
      <c r="I166" t="n">
        <v>210</v>
      </c>
      <c r="J166" t="n">
        <v>71</v>
      </c>
      <c r="K166" s="31" t="n">
        <v>0.9142857142857143</v>
      </c>
      <c r="L166" s="25" t="n"/>
    </row>
    <row r="167">
      <c r="A167" t="inlineStr">
        <is>
          <t>STK4166</t>
        </is>
      </c>
      <c r="B167" t="inlineStr">
        <is>
          <t>SKU-10518</t>
        </is>
      </c>
      <c r="C167" t="inlineStr">
        <is>
          <t>Surgical Blade #11 (Box/50)</t>
        </is>
      </c>
      <c r="D167" t="inlineStr">
        <is>
          <t>Surgical</t>
        </is>
      </c>
      <c r="E167" t="inlineStr">
        <is>
          <t>Bluestone Memorial Hospital</t>
        </is>
      </c>
      <c r="F167" t="inlineStr">
        <is>
          <t>Perioperative Services</t>
        </is>
      </c>
      <c r="G167" t="inlineStr">
        <is>
          <t>Box</t>
        </is>
      </c>
      <c r="H167" t="n">
        <v>66</v>
      </c>
      <c r="I167" t="n">
        <v>187</v>
      </c>
      <c r="J167" t="n">
        <v>51</v>
      </c>
      <c r="K167" s="31" t="n">
        <v>0.3529411764705883</v>
      </c>
      <c r="L167" s="25" t="n"/>
    </row>
    <row r="168">
      <c r="A168" t="inlineStr">
        <is>
          <t>STK4167</t>
        </is>
      </c>
      <c r="B168" t="inlineStr">
        <is>
          <t>SKU-10518</t>
        </is>
      </c>
      <c r="C168" t="inlineStr">
        <is>
          <t>Surgical Blade #11 (Box/50)</t>
        </is>
      </c>
      <c r="D168" t="inlineStr">
        <is>
          <t>Surgical</t>
        </is>
      </c>
      <c r="E168" t="inlineStr">
        <is>
          <t>Cedar Ridge Medical Center</t>
        </is>
      </c>
      <c r="F168" t="inlineStr">
        <is>
          <t>Emergency Department</t>
        </is>
      </c>
      <c r="G168" t="inlineStr">
        <is>
          <t>Box</t>
        </is>
      </c>
      <c r="H168" t="n">
        <v>120</v>
      </c>
      <c r="I168" t="n">
        <v>197</v>
      </c>
      <c r="J168" t="n">
        <v>67</v>
      </c>
      <c r="K168" s="31" t="n">
        <v>0.6091370558375635</v>
      </c>
      <c r="L168" s="25" t="n"/>
    </row>
    <row r="169">
      <c r="A169" t="inlineStr">
        <is>
          <t>STK4168</t>
        </is>
      </c>
      <c r="B169" t="inlineStr">
        <is>
          <t>SKU-10525</t>
        </is>
      </c>
      <c r="C169" t="inlineStr">
        <is>
          <t>Surgical Blade #15 (Box/50)</t>
        </is>
      </c>
      <c r="D169" t="inlineStr">
        <is>
          <t>Surgical</t>
        </is>
      </c>
      <c r="E169" t="inlineStr">
        <is>
          <t>Bluestone Memorial Hospital</t>
        </is>
      </c>
      <c r="F169" t="inlineStr">
        <is>
          <t>Emergency Department</t>
        </is>
      </c>
      <c r="G169" t="inlineStr">
        <is>
          <t>Box</t>
        </is>
      </c>
      <c r="H169" t="n">
        <v>35</v>
      </c>
      <c r="I169" t="n">
        <v>143</v>
      </c>
      <c r="J169" t="n">
        <v>53</v>
      </c>
      <c r="K169" s="31" t="n">
        <v>0.2447552447552448</v>
      </c>
      <c r="L169" s="25" t="n"/>
    </row>
    <row r="170">
      <c r="A170" t="inlineStr">
        <is>
          <t>STK4169</t>
        </is>
      </c>
      <c r="B170" t="inlineStr">
        <is>
          <t>SKU-10525</t>
        </is>
      </c>
      <c r="C170" t="inlineStr">
        <is>
          <t>Surgical Blade #15 (Box/50)</t>
        </is>
      </c>
      <c r="D170" t="inlineStr">
        <is>
          <t>Surgical</t>
        </is>
      </c>
      <c r="E170" t="inlineStr">
        <is>
          <t>Ashby Falls Community Hospital</t>
        </is>
      </c>
      <c r="F170" t="inlineStr">
        <is>
          <t>Emergency Department</t>
        </is>
      </c>
      <c r="G170" t="inlineStr">
        <is>
          <t>Box</t>
        </is>
      </c>
      <c r="H170" t="n">
        <v>345</v>
      </c>
      <c r="I170" t="n">
        <v>307</v>
      </c>
      <c r="J170" t="n">
        <v>102</v>
      </c>
      <c r="K170" s="31" t="n">
        <v>1.123778501628665</v>
      </c>
      <c r="L170" s="25" t="n"/>
    </row>
    <row r="171">
      <c r="A171" t="inlineStr">
        <is>
          <t>STK4170</t>
        </is>
      </c>
      <c r="B171" t="inlineStr">
        <is>
          <t>SKU-10532</t>
        </is>
      </c>
      <c r="C171" t="inlineStr">
        <is>
          <t>Skin Stapler 35W</t>
        </is>
      </c>
      <c r="D171" t="inlineStr">
        <is>
          <t>Surgical</t>
        </is>
      </c>
      <c r="E171" t="inlineStr">
        <is>
          <t>Bluestone Memorial Hospital</t>
        </is>
      </c>
      <c r="F171" t="inlineStr">
        <is>
          <t>Perioperative Services</t>
        </is>
      </c>
      <c r="G171" t="inlineStr">
        <is>
          <t>Each</t>
        </is>
      </c>
      <c r="H171" t="n">
        <v>129</v>
      </c>
      <c r="I171" t="n">
        <v>111</v>
      </c>
      <c r="J171" t="n">
        <v>43</v>
      </c>
      <c r="K171" s="31" t="n">
        <v>1.162162162162162</v>
      </c>
      <c r="L171" s="25" t="n"/>
    </row>
    <row r="172">
      <c r="A172" t="inlineStr">
        <is>
          <t>STK4171</t>
        </is>
      </c>
      <c r="B172" t="inlineStr">
        <is>
          <t>SKU-10532</t>
        </is>
      </c>
      <c r="C172" t="inlineStr">
        <is>
          <t>Skin Stapler 35W</t>
        </is>
      </c>
      <c r="D172" t="inlineStr">
        <is>
          <t>Surgical</t>
        </is>
      </c>
      <c r="E172" t="inlineStr">
        <is>
          <t>Ashby Falls Community Hospital</t>
        </is>
      </c>
      <c r="F172" t="inlineStr">
        <is>
          <t>Emergency Department</t>
        </is>
      </c>
      <c r="G172" t="inlineStr">
        <is>
          <t>Each</t>
        </is>
      </c>
      <c r="H172" t="n">
        <v>355</v>
      </c>
      <c r="I172" t="n">
        <v>335</v>
      </c>
      <c r="J172" t="n">
        <v>93</v>
      </c>
      <c r="K172" s="31" t="n">
        <v>1.059701492537313</v>
      </c>
      <c r="L172" s="25" t="n"/>
    </row>
    <row r="173">
      <c r="A173" t="inlineStr">
        <is>
          <t>STK4172</t>
        </is>
      </c>
      <c r="B173" t="inlineStr">
        <is>
          <t>SKU-10539</t>
        </is>
      </c>
      <c r="C173" t="inlineStr">
        <is>
          <t>Laparoscopic Trocar 5 mm</t>
        </is>
      </c>
      <c r="D173" t="inlineStr">
        <is>
          <t>Surgical</t>
        </is>
      </c>
      <c r="E173" t="inlineStr">
        <is>
          <t>Bluestone Memorial Hospital</t>
        </is>
      </c>
      <c r="F173" t="inlineStr">
        <is>
          <t>Emergency Department</t>
        </is>
      </c>
      <c r="G173" t="inlineStr">
        <is>
          <t>Each</t>
        </is>
      </c>
      <c r="H173" t="n">
        <v>80</v>
      </c>
      <c r="I173" t="n">
        <v>128</v>
      </c>
      <c r="J173" t="n">
        <v>40</v>
      </c>
      <c r="K173" s="31" t="n">
        <v>0.625</v>
      </c>
      <c r="L173" s="25" t="n"/>
    </row>
    <row r="174">
      <c r="A174" t="inlineStr">
        <is>
          <t>STK4173</t>
        </is>
      </c>
      <c r="B174" t="inlineStr">
        <is>
          <t>SKU-10539</t>
        </is>
      </c>
      <c r="C174" t="inlineStr">
        <is>
          <t>Laparoscopic Trocar 5 mm</t>
        </is>
      </c>
      <c r="D174" t="inlineStr">
        <is>
          <t>Surgical</t>
        </is>
      </c>
      <c r="E174" t="inlineStr">
        <is>
          <t>Ashby Falls Community Hospital</t>
        </is>
      </c>
      <c r="F174" t="inlineStr">
        <is>
          <t>Emergency Department</t>
        </is>
      </c>
      <c r="G174" t="inlineStr">
        <is>
          <t>Each</t>
        </is>
      </c>
      <c r="H174" t="n">
        <v>129</v>
      </c>
      <c r="I174" t="n">
        <v>120</v>
      </c>
      <c r="J174" t="n">
        <v>47</v>
      </c>
      <c r="K174" s="31" t="n">
        <v>1.075</v>
      </c>
      <c r="L174" s="25" t="n"/>
    </row>
    <row r="175">
      <c r="A175" t="inlineStr">
        <is>
          <t>STK4174</t>
        </is>
      </c>
      <c r="B175" t="inlineStr">
        <is>
          <t>SKU-10539</t>
        </is>
      </c>
      <c r="C175" t="inlineStr">
        <is>
          <t>Laparoscopic Trocar 5 mm</t>
        </is>
      </c>
      <c r="D175" t="inlineStr">
        <is>
          <t>Surgical</t>
        </is>
      </c>
      <c r="E175" t="inlineStr">
        <is>
          <t>Cedar Ridge Medical Center</t>
        </is>
      </c>
      <c r="F175" t="inlineStr">
        <is>
          <t>Emergency Department</t>
        </is>
      </c>
      <c r="G175" t="inlineStr">
        <is>
          <t>Each</t>
        </is>
      </c>
      <c r="H175" t="n">
        <v>79</v>
      </c>
      <c r="I175" t="n">
        <v>81</v>
      </c>
      <c r="J175" t="n">
        <v>24</v>
      </c>
      <c r="K175" s="31" t="n">
        <v>0.9753086419753086</v>
      </c>
      <c r="L175" s="25" t="n"/>
    </row>
    <row r="176">
      <c r="A176" t="inlineStr">
        <is>
          <t>STK4175</t>
        </is>
      </c>
      <c r="B176" t="inlineStr">
        <is>
          <t>SKU-10546</t>
        </is>
      </c>
      <c r="C176" t="inlineStr">
        <is>
          <t>Laparoscopic Trocar 12 mm</t>
        </is>
      </c>
      <c r="D176" t="inlineStr">
        <is>
          <t>Surgical</t>
        </is>
      </c>
      <c r="E176" t="inlineStr">
        <is>
          <t>Ashby Falls Community Hospital</t>
        </is>
      </c>
      <c r="F176" t="inlineStr">
        <is>
          <t>Emergency Department</t>
        </is>
      </c>
      <c r="G176" t="inlineStr">
        <is>
          <t>Each</t>
        </is>
      </c>
      <c r="H176" t="n">
        <v>45</v>
      </c>
      <c r="I176" t="n">
        <v>81</v>
      </c>
      <c r="J176" t="n">
        <v>26</v>
      </c>
      <c r="K176" s="31" t="n">
        <v>0.5555555555555556</v>
      </c>
      <c r="L176" s="25" t="n"/>
    </row>
    <row r="177">
      <c r="A177" t="inlineStr">
        <is>
          <t>STK4176</t>
        </is>
      </c>
      <c r="B177" t="inlineStr">
        <is>
          <t>SKU-10546</t>
        </is>
      </c>
      <c r="C177" t="inlineStr">
        <is>
          <t>Laparoscopic Trocar 12 mm</t>
        </is>
      </c>
      <c r="D177" t="inlineStr">
        <is>
          <t>Surgical</t>
        </is>
      </c>
      <c r="E177" t="inlineStr">
        <is>
          <t>Cedar Ridge Medical Center</t>
        </is>
      </c>
      <c r="F177" t="inlineStr">
        <is>
          <t>Emergency Department</t>
        </is>
      </c>
      <c r="G177" t="inlineStr">
        <is>
          <t>Each</t>
        </is>
      </c>
      <c r="H177" t="n">
        <v>118</v>
      </c>
      <c r="I177" t="n">
        <v>107</v>
      </c>
      <c r="J177" t="n">
        <v>32</v>
      </c>
      <c r="K177" s="31" t="n">
        <v>1.102803738317757</v>
      </c>
      <c r="L177" s="25" t="n"/>
    </row>
    <row r="178">
      <c r="A178" t="inlineStr">
        <is>
          <t>STK4177</t>
        </is>
      </c>
      <c r="B178" t="inlineStr">
        <is>
          <t>SKU-10553</t>
        </is>
      </c>
      <c r="C178" t="inlineStr">
        <is>
          <t>Universal Surgical Drape Pack</t>
        </is>
      </c>
      <c r="D178" t="inlineStr">
        <is>
          <t>Surgical</t>
        </is>
      </c>
      <c r="E178" t="inlineStr">
        <is>
          <t>Bluestone Memorial Hospital</t>
        </is>
      </c>
      <c r="F178" t="inlineStr">
        <is>
          <t>Emergency Department</t>
        </is>
      </c>
      <c r="G178" t="inlineStr">
        <is>
          <t>Each</t>
        </is>
      </c>
      <c r="H178" t="n">
        <v>358</v>
      </c>
      <c r="I178" t="n">
        <v>511</v>
      </c>
      <c r="J178" t="n">
        <v>142</v>
      </c>
      <c r="K178" s="31" t="n">
        <v>0.7005870841487279</v>
      </c>
      <c r="L178" s="25" t="n"/>
    </row>
    <row r="179">
      <c r="A179" t="inlineStr">
        <is>
          <t>STK4178</t>
        </is>
      </c>
      <c r="B179" t="inlineStr">
        <is>
          <t>SKU-10553</t>
        </is>
      </c>
      <c r="C179" t="inlineStr">
        <is>
          <t>Universal Surgical Drape Pack</t>
        </is>
      </c>
      <c r="D179" t="inlineStr">
        <is>
          <t>Surgical</t>
        </is>
      </c>
      <c r="E179" t="inlineStr">
        <is>
          <t>Bluestone Memorial Hospital</t>
        </is>
      </c>
      <c r="F179" t="inlineStr">
        <is>
          <t>Perioperative Services</t>
        </is>
      </c>
      <c r="G179" t="inlineStr">
        <is>
          <t>Each</t>
        </is>
      </c>
      <c r="H179" t="n">
        <v>221</v>
      </c>
      <c r="I179" t="n">
        <v>194</v>
      </c>
      <c r="J179" t="n">
        <v>57</v>
      </c>
      <c r="K179" s="31" t="n">
        <v>1.139175257731959</v>
      </c>
      <c r="L179" s="25" t="n"/>
    </row>
    <row r="180">
      <c r="A180" t="inlineStr">
        <is>
          <t>STK4179</t>
        </is>
      </c>
      <c r="B180" t="inlineStr">
        <is>
          <t>SKU-10560</t>
        </is>
      </c>
      <c r="C180" t="inlineStr">
        <is>
          <t>Surgical Gown, Sterile Large</t>
        </is>
      </c>
      <c r="D180" t="inlineStr">
        <is>
          <t>Surgical</t>
        </is>
      </c>
      <c r="E180" t="inlineStr">
        <is>
          <t>Bluestone Memorial Hospital</t>
        </is>
      </c>
      <c r="F180" t="inlineStr">
        <is>
          <t>Emergency Department</t>
        </is>
      </c>
      <c r="G180" t="inlineStr">
        <is>
          <t>Each</t>
        </is>
      </c>
      <c r="H180" t="n">
        <v>182</v>
      </c>
      <c r="I180" t="n">
        <v>787</v>
      </c>
      <c r="J180" t="n">
        <v>302</v>
      </c>
      <c r="K180" s="31" t="n">
        <v>0.2312579415501906</v>
      </c>
      <c r="L180" s="25" t="n"/>
    </row>
    <row r="181">
      <c r="A181" t="inlineStr">
        <is>
          <t>STK4180</t>
        </is>
      </c>
      <c r="B181" t="inlineStr">
        <is>
          <t>SKU-10560</t>
        </is>
      </c>
      <c r="C181" t="inlineStr">
        <is>
          <t>Surgical Gown, Sterile Large</t>
        </is>
      </c>
      <c r="D181" t="inlineStr">
        <is>
          <t>Surgical</t>
        </is>
      </c>
      <c r="E181" t="inlineStr">
        <is>
          <t>Bluestone Memorial Hospital</t>
        </is>
      </c>
      <c r="F181" t="inlineStr">
        <is>
          <t>Perioperative Services</t>
        </is>
      </c>
      <c r="G181" t="inlineStr">
        <is>
          <t>Each</t>
        </is>
      </c>
      <c r="H181" t="n">
        <v>299</v>
      </c>
      <c r="I181" t="n">
        <v>313</v>
      </c>
      <c r="J181" t="n">
        <v>120</v>
      </c>
      <c r="K181" s="31" t="n">
        <v>0.9552715654952076</v>
      </c>
      <c r="L181" s="25" t="n"/>
    </row>
    <row r="182">
      <c r="A182" t="inlineStr">
        <is>
          <t>STK4181</t>
        </is>
      </c>
      <c r="B182" t="inlineStr">
        <is>
          <t>SKU-10560</t>
        </is>
      </c>
      <c r="C182" t="inlineStr">
        <is>
          <t>Surgical Gown, Sterile Large</t>
        </is>
      </c>
      <c r="D182" t="inlineStr">
        <is>
          <t>Surgical</t>
        </is>
      </c>
      <c r="E182" t="inlineStr">
        <is>
          <t>Ashby Falls Community Hospital</t>
        </is>
      </c>
      <c r="F182" t="inlineStr">
        <is>
          <t>Emergency Department</t>
        </is>
      </c>
      <c r="G182" t="inlineStr">
        <is>
          <t>Each</t>
        </is>
      </c>
      <c r="H182" t="n">
        <v>734</v>
      </c>
      <c r="I182" t="n">
        <v>800</v>
      </c>
      <c r="J182" t="n">
        <v>213</v>
      </c>
      <c r="K182" s="31" t="n">
        <v>0.9175</v>
      </c>
      <c r="L182" s="25" t="n"/>
    </row>
    <row r="183">
      <c r="A183" t="inlineStr">
        <is>
          <t>STK4182</t>
        </is>
      </c>
      <c r="B183" t="inlineStr">
        <is>
          <t>SKU-10560</t>
        </is>
      </c>
      <c r="C183" t="inlineStr">
        <is>
          <t>Surgical Gown, Sterile Large</t>
        </is>
      </c>
      <c r="D183" t="inlineStr">
        <is>
          <t>Surgical</t>
        </is>
      </c>
      <c r="E183" t="inlineStr">
        <is>
          <t>Cedar Ridge Medical Center</t>
        </is>
      </c>
      <c r="F183" t="inlineStr">
        <is>
          <t>Emergency Department</t>
        </is>
      </c>
      <c r="G183" t="inlineStr">
        <is>
          <t>Each</t>
        </is>
      </c>
      <c r="H183" t="n">
        <v>561</v>
      </c>
      <c r="I183" t="n">
        <v>682</v>
      </c>
      <c r="J183" t="n">
        <v>205</v>
      </c>
      <c r="K183" s="31" t="n">
        <v>0.8225806451612904</v>
      </c>
      <c r="L183" s="25" t="n"/>
    </row>
    <row r="184">
      <c r="A184" t="inlineStr">
        <is>
          <t>STK4183</t>
        </is>
      </c>
      <c r="B184" t="inlineStr">
        <is>
          <t>SKU-10567</t>
        </is>
      </c>
      <c r="C184" t="inlineStr">
        <is>
          <t>Surgical Gown, Sterile X-Large</t>
        </is>
      </c>
      <c r="D184" t="inlineStr">
        <is>
          <t>Surgical</t>
        </is>
      </c>
      <c r="E184" t="inlineStr">
        <is>
          <t>Bluestone Memorial Hospital</t>
        </is>
      </c>
      <c r="F184" t="inlineStr">
        <is>
          <t>Perioperative Services</t>
        </is>
      </c>
      <c r="G184" t="inlineStr">
        <is>
          <t>Each</t>
        </is>
      </c>
      <c r="H184" t="n">
        <v>258</v>
      </c>
      <c r="I184" t="n">
        <v>404</v>
      </c>
      <c r="J184" t="n">
        <v>150</v>
      </c>
      <c r="K184" s="31" t="n">
        <v>0.6386138613861386</v>
      </c>
      <c r="L184" s="25" t="n"/>
    </row>
    <row r="185">
      <c r="A185" t="inlineStr">
        <is>
          <t>STK4184</t>
        </is>
      </c>
      <c r="B185" t="inlineStr">
        <is>
          <t>SKU-10574</t>
        </is>
      </c>
      <c r="C185" t="inlineStr">
        <is>
          <t>Hip Femoral Stem, Size 10</t>
        </is>
      </c>
      <c r="D185" t="inlineStr">
        <is>
          <t>Orthopedic Implants</t>
        </is>
      </c>
      <c r="E185" t="inlineStr">
        <is>
          <t>Bluestone Memorial Hospital</t>
        </is>
      </c>
      <c r="F185" t="inlineStr">
        <is>
          <t>Perioperative Services</t>
        </is>
      </c>
      <c r="G185" t="inlineStr">
        <is>
          <t>Each</t>
        </is>
      </c>
      <c r="H185" t="n">
        <v>12</v>
      </c>
      <c r="I185" t="n">
        <v>9</v>
      </c>
      <c r="J185" t="n">
        <v>3</v>
      </c>
      <c r="K185" s="31" t="n">
        <v>1.333333333333333</v>
      </c>
      <c r="L185" s="25" t="n"/>
    </row>
    <row r="186">
      <c r="A186" t="inlineStr">
        <is>
          <t>STK4185</t>
        </is>
      </c>
      <c r="B186" t="inlineStr">
        <is>
          <t>SKU-10581</t>
        </is>
      </c>
      <c r="C186" t="inlineStr">
        <is>
          <t>Hip Femoral Stem, Size 11</t>
        </is>
      </c>
      <c r="D186" t="inlineStr">
        <is>
          <t>Orthopedic Implants</t>
        </is>
      </c>
      <c r="E186" t="inlineStr">
        <is>
          <t>Bluestone Memorial Hospital</t>
        </is>
      </c>
      <c r="F186" t="inlineStr">
        <is>
          <t>Perioperative Services</t>
        </is>
      </c>
      <c r="G186" t="inlineStr">
        <is>
          <t>Each</t>
        </is>
      </c>
      <c r="H186" t="n">
        <v>5</v>
      </c>
      <c r="I186" t="n">
        <v>4</v>
      </c>
      <c r="J186" t="n">
        <v>1</v>
      </c>
      <c r="K186" s="31" t="n">
        <v>1.25</v>
      </c>
      <c r="L186" s="25" t="n"/>
    </row>
    <row r="187">
      <c r="A187" t="inlineStr">
        <is>
          <t>STK4186</t>
        </is>
      </c>
      <c r="B187" t="inlineStr">
        <is>
          <t>SKU-10588</t>
        </is>
      </c>
      <c r="C187" t="inlineStr">
        <is>
          <t>Hip Femoral Stem, Size 12</t>
        </is>
      </c>
      <c r="D187" t="inlineStr">
        <is>
          <t>Orthopedic Implants</t>
        </is>
      </c>
      <c r="E187" t="inlineStr">
        <is>
          <t>Bluestone Memorial Hospital</t>
        </is>
      </c>
      <c r="F187" t="inlineStr">
        <is>
          <t>Perioperative Services</t>
        </is>
      </c>
      <c r="G187" t="inlineStr">
        <is>
          <t>Each</t>
        </is>
      </c>
      <c r="H187" t="n">
        <v>1</v>
      </c>
      <c r="I187" t="n">
        <v>3</v>
      </c>
      <c r="J187" t="n">
        <v>1</v>
      </c>
      <c r="K187" s="31" t="n">
        <v>0.3333333333333333</v>
      </c>
      <c r="L187" s="25" t="n"/>
    </row>
    <row r="188">
      <c r="A188" t="inlineStr">
        <is>
          <t>STK4187</t>
        </is>
      </c>
      <c r="B188" t="inlineStr">
        <is>
          <t>SKU-10595</t>
        </is>
      </c>
      <c r="C188" t="inlineStr">
        <is>
          <t>Hip Femoral Stem, Size 13</t>
        </is>
      </c>
      <c r="D188" t="inlineStr">
        <is>
          <t>Orthopedic Implants</t>
        </is>
      </c>
      <c r="E188" t="inlineStr">
        <is>
          <t>Bluestone Memorial Hospital</t>
        </is>
      </c>
      <c r="F188" t="inlineStr">
        <is>
          <t>Perioperative Services</t>
        </is>
      </c>
      <c r="G188" t="inlineStr">
        <is>
          <t>Each</t>
        </is>
      </c>
      <c r="H188" t="n">
        <v>5</v>
      </c>
      <c r="I188" t="n">
        <v>17</v>
      </c>
      <c r="J188" t="n">
        <v>5</v>
      </c>
      <c r="K188" s="31" t="n">
        <v>0.2941176470588235</v>
      </c>
      <c r="L188" s="25" t="n"/>
    </row>
    <row r="189">
      <c r="A189" t="inlineStr">
        <is>
          <t>STK4188</t>
        </is>
      </c>
      <c r="B189" t="inlineStr">
        <is>
          <t>SKU-10602</t>
        </is>
      </c>
      <c r="C189" t="inlineStr">
        <is>
          <t>Hip Femoral Stem, Size 14</t>
        </is>
      </c>
      <c r="D189" t="inlineStr">
        <is>
          <t>Orthopedic Implants</t>
        </is>
      </c>
      <c r="E189" t="inlineStr">
        <is>
          <t>Bluestone Memorial Hospital</t>
        </is>
      </c>
      <c r="F189" t="inlineStr">
        <is>
          <t>Perioperative Services</t>
        </is>
      </c>
      <c r="G189" t="inlineStr">
        <is>
          <t>Each</t>
        </is>
      </c>
      <c r="H189" t="n">
        <v>3</v>
      </c>
      <c r="I189" t="n">
        <v>5</v>
      </c>
      <c r="J189" t="n">
        <v>2</v>
      </c>
      <c r="K189" s="31" t="n">
        <v>0.6</v>
      </c>
      <c r="L189" s="25" t="n"/>
    </row>
    <row r="190">
      <c r="A190" t="inlineStr">
        <is>
          <t>STK4189</t>
        </is>
      </c>
      <c r="B190" t="inlineStr">
        <is>
          <t>SKU-10609</t>
        </is>
      </c>
      <c r="C190" t="inlineStr">
        <is>
          <t>Knee Tibial Tray, Size 3</t>
        </is>
      </c>
      <c r="D190" t="inlineStr">
        <is>
          <t>Orthopedic Implants</t>
        </is>
      </c>
      <c r="E190" t="inlineStr">
        <is>
          <t>Bluestone Memorial Hospital</t>
        </is>
      </c>
      <c r="F190" t="inlineStr">
        <is>
          <t>Perioperative Services</t>
        </is>
      </c>
      <c r="G190" t="inlineStr">
        <is>
          <t>Each</t>
        </is>
      </c>
      <c r="H190" t="n">
        <v>6</v>
      </c>
      <c r="I190" t="n">
        <v>6</v>
      </c>
      <c r="J190" t="n">
        <v>2</v>
      </c>
      <c r="K190" s="31" t="n">
        <v>1</v>
      </c>
      <c r="L190" s="25" t="n"/>
    </row>
    <row r="191">
      <c r="A191" t="inlineStr">
        <is>
          <t>STK4190</t>
        </is>
      </c>
      <c r="B191" t="inlineStr">
        <is>
          <t>SKU-10616</t>
        </is>
      </c>
      <c r="C191" t="inlineStr">
        <is>
          <t>Knee Tibial Tray, Size 4</t>
        </is>
      </c>
      <c r="D191" t="inlineStr">
        <is>
          <t>Orthopedic Implants</t>
        </is>
      </c>
      <c r="E191" t="inlineStr">
        <is>
          <t>Bluestone Memorial Hospital</t>
        </is>
      </c>
      <c r="F191" t="inlineStr">
        <is>
          <t>Perioperative Services</t>
        </is>
      </c>
      <c r="G191" t="inlineStr">
        <is>
          <t>Each</t>
        </is>
      </c>
      <c r="H191" t="n">
        <v>4</v>
      </c>
      <c r="I191" t="n">
        <v>4</v>
      </c>
      <c r="J191" t="n">
        <v>1</v>
      </c>
      <c r="K191" s="31" t="n">
        <v>1</v>
      </c>
      <c r="L191" s="25" t="n"/>
    </row>
    <row r="192">
      <c r="A192" t="inlineStr">
        <is>
          <t>STK4191</t>
        </is>
      </c>
      <c r="B192" t="inlineStr">
        <is>
          <t>SKU-10623</t>
        </is>
      </c>
      <c r="C192" t="inlineStr">
        <is>
          <t>Knee Tibial Tray, Size 5</t>
        </is>
      </c>
      <c r="D192" t="inlineStr">
        <is>
          <t>Orthopedic Implants</t>
        </is>
      </c>
      <c r="E192" t="inlineStr">
        <is>
          <t>Bluestone Memorial Hospital</t>
        </is>
      </c>
      <c r="F192" t="inlineStr">
        <is>
          <t>Perioperative Services</t>
        </is>
      </c>
      <c r="G192" t="inlineStr">
        <is>
          <t>Each</t>
        </is>
      </c>
      <c r="H192" t="n">
        <v>2</v>
      </c>
      <c r="I192" t="n">
        <v>12</v>
      </c>
      <c r="J192" t="n">
        <v>3</v>
      </c>
      <c r="K192" s="31" t="n">
        <v>0.1666666666666667</v>
      </c>
      <c r="L192" s="25" t="n"/>
    </row>
    <row r="193">
      <c r="A193" t="inlineStr">
        <is>
          <t>STK4192</t>
        </is>
      </c>
      <c r="B193" t="inlineStr">
        <is>
          <t>SKU-10630</t>
        </is>
      </c>
      <c r="C193" t="inlineStr">
        <is>
          <t>Knee Tibial Tray, Size 6</t>
        </is>
      </c>
      <c r="D193" t="inlineStr">
        <is>
          <t>Orthopedic Implants</t>
        </is>
      </c>
      <c r="E193" t="inlineStr">
        <is>
          <t>Bluestone Memorial Hospital</t>
        </is>
      </c>
      <c r="F193" t="inlineStr">
        <is>
          <t>Perioperative Services</t>
        </is>
      </c>
      <c r="G193" t="inlineStr">
        <is>
          <t>Each</t>
        </is>
      </c>
      <c r="H193" t="n">
        <v>5</v>
      </c>
      <c r="I193" t="n">
        <v>9</v>
      </c>
      <c r="J193" t="n">
        <v>3</v>
      </c>
      <c r="K193" s="31" t="n">
        <v>0.5555555555555556</v>
      </c>
      <c r="L193" s="25" t="n"/>
    </row>
    <row r="194">
      <c r="A194" t="inlineStr">
        <is>
          <t>STK4193</t>
        </is>
      </c>
      <c r="B194" t="inlineStr">
        <is>
          <t>SKU-10637</t>
        </is>
      </c>
      <c r="C194" t="inlineStr">
        <is>
          <t>Cortical Screw 3.5 mm x 20 mm</t>
        </is>
      </c>
      <c r="D194" t="inlineStr">
        <is>
          <t>Orthopedic Implants</t>
        </is>
      </c>
      <c r="E194" t="inlineStr">
        <is>
          <t>Bluestone Memorial Hospital</t>
        </is>
      </c>
      <c r="F194" t="inlineStr">
        <is>
          <t>Perioperative Services</t>
        </is>
      </c>
      <c r="G194" t="inlineStr">
        <is>
          <t>Each</t>
        </is>
      </c>
      <c r="H194" t="n">
        <v>205</v>
      </c>
      <c r="I194" t="n">
        <v>205</v>
      </c>
      <c r="J194" t="n">
        <v>72</v>
      </c>
      <c r="K194" s="31" t="n">
        <v>1</v>
      </c>
      <c r="L194" s="25" t="n"/>
    </row>
    <row r="195">
      <c r="A195" t="inlineStr">
        <is>
          <t>STK4194</t>
        </is>
      </c>
      <c r="B195" t="inlineStr">
        <is>
          <t>SKU-10644</t>
        </is>
      </c>
      <c r="C195" t="inlineStr">
        <is>
          <t>Cortical Screw 3.5 mm x 30 mm</t>
        </is>
      </c>
      <c r="D195" t="inlineStr">
        <is>
          <t>Orthopedic Implants</t>
        </is>
      </c>
      <c r="E195" t="inlineStr">
        <is>
          <t>Bluestone Memorial Hospital</t>
        </is>
      </c>
      <c r="F195" t="inlineStr">
        <is>
          <t>Perioperative Services</t>
        </is>
      </c>
      <c r="G195" t="inlineStr">
        <is>
          <t>Each</t>
        </is>
      </c>
      <c r="H195" t="n">
        <v>25</v>
      </c>
      <c r="I195" t="n">
        <v>58</v>
      </c>
      <c r="J195" t="n">
        <v>21</v>
      </c>
      <c r="K195" s="31" t="n">
        <v>0.4310344827586207</v>
      </c>
      <c r="L195" s="25" t="n"/>
    </row>
    <row r="196">
      <c r="A196" t="inlineStr">
        <is>
          <t>STK4195</t>
        </is>
      </c>
      <c r="B196" t="inlineStr">
        <is>
          <t>SKU-10651</t>
        </is>
      </c>
      <c r="C196" t="inlineStr">
        <is>
          <t>Cortical Screw 3.5 mm x 40 mm</t>
        </is>
      </c>
      <c r="D196" t="inlineStr">
        <is>
          <t>Orthopedic Implants</t>
        </is>
      </c>
      <c r="E196" t="inlineStr">
        <is>
          <t>Bluestone Memorial Hospital</t>
        </is>
      </c>
      <c r="F196" t="inlineStr">
        <is>
          <t>Perioperative Services</t>
        </is>
      </c>
      <c r="G196" t="inlineStr">
        <is>
          <t>Each</t>
        </is>
      </c>
      <c r="H196" t="n">
        <v>146</v>
      </c>
      <c r="I196" t="n">
        <v>200</v>
      </c>
      <c r="J196" t="n">
        <v>66</v>
      </c>
      <c r="K196" s="31" t="n">
        <v>0.73</v>
      </c>
      <c r="L196" s="25" t="n"/>
    </row>
    <row r="197">
      <c r="A197" t="inlineStr">
        <is>
          <t>STK4196</t>
        </is>
      </c>
      <c r="B197" t="inlineStr">
        <is>
          <t>SKU-10658</t>
        </is>
      </c>
      <c r="C197" t="inlineStr">
        <is>
          <t>Locking Plate 6-Hole</t>
        </is>
      </c>
      <c r="D197" t="inlineStr">
        <is>
          <t>Orthopedic Implants</t>
        </is>
      </c>
      <c r="E197" t="inlineStr">
        <is>
          <t>Bluestone Memorial Hospital</t>
        </is>
      </c>
      <c r="F197" t="inlineStr">
        <is>
          <t>Perioperative Services</t>
        </is>
      </c>
      <c r="G197" t="inlineStr">
        <is>
          <t>Each</t>
        </is>
      </c>
      <c r="H197" t="n">
        <v>22</v>
      </c>
      <c r="I197" t="n">
        <v>23</v>
      </c>
      <c r="J197" t="n">
        <v>9</v>
      </c>
      <c r="K197" s="31" t="n">
        <v>0.9565217391304348</v>
      </c>
      <c r="L197" s="25" t="n"/>
    </row>
    <row r="198">
      <c r="A198" t="inlineStr">
        <is>
          <t>STK4197</t>
        </is>
      </c>
      <c r="B198" t="inlineStr">
        <is>
          <t>SKU-10665</t>
        </is>
      </c>
      <c r="C198" t="inlineStr">
        <is>
          <t>Locking Plate 8-Hole</t>
        </is>
      </c>
      <c r="D198" t="inlineStr">
        <is>
          <t>Orthopedic Implants</t>
        </is>
      </c>
      <c r="E198" t="inlineStr">
        <is>
          <t>Bluestone Memorial Hospital</t>
        </is>
      </c>
      <c r="F198" t="inlineStr">
        <is>
          <t>Perioperative Services</t>
        </is>
      </c>
      <c r="G198" t="inlineStr">
        <is>
          <t>Each</t>
        </is>
      </c>
      <c r="H198" t="n">
        <v>12</v>
      </c>
      <c r="I198" t="n">
        <v>14</v>
      </c>
      <c r="J198" t="n">
        <v>5</v>
      </c>
      <c r="K198" s="31" t="n">
        <v>0.8571428571428571</v>
      </c>
      <c r="L198" s="25" t="n"/>
    </row>
    <row r="199">
      <c r="A199" t="inlineStr">
        <is>
          <t>STK4198</t>
        </is>
      </c>
      <c r="B199" t="inlineStr">
        <is>
          <t>SKU-10672</t>
        </is>
      </c>
      <c r="C199" t="inlineStr">
        <is>
          <t>Locking Plate 10-Hole</t>
        </is>
      </c>
      <c r="D199" t="inlineStr">
        <is>
          <t>Orthopedic Implants</t>
        </is>
      </c>
      <c r="E199" t="inlineStr">
        <is>
          <t>Bluestone Memorial Hospital</t>
        </is>
      </c>
      <c r="F199" t="inlineStr">
        <is>
          <t>Perioperative Services</t>
        </is>
      </c>
      <c r="G199" t="inlineStr">
        <is>
          <t>Each</t>
        </is>
      </c>
      <c r="H199" t="n">
        <v>2</v>
      </c>
      <c r="I199" t="n">
        <v>21</v>
      </c>
      <c r="J199" t="n">
        <v>6</v>
      </c>
      <c r="K199" s="31" t="n">
        <v>0.09523809523809523</v>
      </c>
      <c r="L199" s="25" t="n"/>
    </row>
    <row r="200">
      <c r="A200" t="inlineStr">
        <is>
          <t>STK4199</t>
        </is>
      </c>
      <c r="B200" t="inlineStr">
        <is>
          <t>SKU-10679</t>
        </is>
      </c>
      <c r="C200" t="inlineStr">
        <is>
          <t>Drug-Eluting Stent 2.5 x 18 mm</t>
        </is>
      </c>
      <c r="D200" t="inlineStr">
        <is>
          <t>Cardiac</t>
        </is>
      </c>
      <c r="E200" t="inlineStr">
        <is>
          <t>Bluestone Memorial Hospital</t>
        </is>
      </c>
      <c r="F200" t="inlineStr">
        <is>
          <t>Intensive Care Unit</t>
        </is>
      </c>
      <c r="G200" t="inlineStr">
        <is>
          <t>Each</t>
        </is>
      </c>
      <c r="H200" t="n">
        <v>18</v>
      </c>
      <c r="I200" t="n">
        <v>15</v>
      </c>
      <c r="J200" t="n">
        <v>6</v>
      </c>
      <c r="K200" s="31" t="n">
        <v>1.2</v>
      </c>
      <c r="L200" s="25" t="n">
        <v>46393</v>
      </c>
      <c r="M200" t="inlineStr">
        <is>
          <t>L597164</t>
        </is>
      </c>
    </row>
    <row r="201">
      <c r="A201" t="inlineStr">
        <is>
          <t>STK4200</t>
        </is>
      </c>
      <c r="B201" t="inlineStr">
        <is>
          <t>SKU-10686</t>
        </is>
      </c>
      <c r="C201" t="inlineStr">
        <is>
          <t>Drug-Eluting Stent 3.0 x 18 mm</t>
        </is>
      </c>
      <c r="D201" t="inlineStr">
        <is>
          <t>Cardiac</t>
        </is>
      </c>
      <c r="E201" t="inlineStr">
        <is>
          <t>Bluestone Memorial Hospital</t>
        </is>
      </c>
      <c r="F201" t="inlineStr">
        <is>
          <t>Cardiac Step-Down</t>
        </is>
      </c>
      <c r="G201" t="inlineStr">
        <is>
          <t>Each</t>
        </is>
      </c>
      <c r="H201" t="n">
        <v>7</v>
      </c>
      <c r="I201" t="n">
        <v>9</v>
      </c>
      <c r="J201" t="n">
        <v>3</v>
      </c>
      <c r="K201" s="31" t="n">
        <v>0.7777777777777778</v>
      </c>
      <c r="L201" s="25" t="n">
        <v>46324</v>
      </c>
      <c r="M201" t="inlineStr">
        <is>
          <t>L863579</t>
        </is>
      </c>
    </row>
    <row r="202">
      <c r="A202" t="inlineStr">
        <is>
          <t>STK4201</t>
        </is>
      </c>
      <c r="B202" t="inlineStr">
        <is>
          <t>SKU-10686</t>
        </is>
      </c>
      <c r="C202" t="inlineStr">
        <is>
          <t>Drug-Eluting Stent 3.0 x 18 mm</t>
        </is>
      </c>
      <c r="D202" t="inlineStr">
        <is>
          <t>Cardiac</t>
        </is>
      </c>
      <c r="E202" t="inlineStr">
        <is>
          <t>Bluestone Memorial Hospital</t>
        </is>
      </c>
      <c r="F202" t="inlineStr">
        <is>
          <t>Intensive Care Unit</t>
        </is>
      </c>
      <c r="G202" t="inlineStr">
        <is>
          <t>Each</t>
        </is>
      </c>
      <c r="H202" t="n">
        <v>17</v>
      </c>
      <c r="I202" t="n">
        <v>13</v>
      </c>
      <c r="J202" t="n">
        <v>5</v>
      </c>
      <c r="K202" s="31" t="n">
        <v>1.307692307692308</v>
      </c>
      <c r="L202" s="25" t="n">
        <v>46070</v>
      </c>
      <c r="M202" t="inlineStr">
        <is>
          <t>L717064</t>
        </is>
      </c>
    </row>
    <row r="203">
      <c r="A203" t="inlineStr">
        <is>
          <t>STK4202</t>
        </is>
      </c>
      <c r="B203" t="inlineStr">
        <is>
          <t>SKU-10686</t>
        </is>
      </c>
      <c r="C203" t="inlineStr">
        <is>
          <t>Drug-Eluting Stent 3.0 x 18 mm</t>
        </is>
      </c>
      <c r="D203" t="inlineStr">
        <is>
          <t>Cardiac</t>
        </is>
      </c>
      <c r="E203" t="inlineStr">
        <is>
          <t>Bluestone Memorial Hospital</t>
        </is>
      </c>
      <c r="F203" t="inlineStr">
        <is>
          <t>Perioperative Services</t>
        </is>
      </c>
      <c r="G203" t="inlineStr">
        <is>
          <t>Each</t>
        </is>
      </c>
      <c r="H203" t="n">
        <v>6</v>
      </c>
      <c r="I203" t="n">
        <v>11</v>
      </c>
      <c r="J203" t="n">
        <v>4</v>
      </c>
      <c r="K203" s="31" t="n">
        <v>0.5454545454545454</v>
      </c>
      <c r="L203" s="25" t="n">
        <v>46918</v>
      </c>
      <c r="M203" t="inlineStr">
        <is>
          <t>L696204</t>
        </is>
      </c>
    </row>
    <row r="204">
      <c r="A204" t="inlineStr">
        <is>
          <t>STK4203</t>
        </is>
      </c>
      <c r="B204" t="inlineStr">
        <is>
          <t>SKU-10693</t>
        </is>
      </c>
      <c r="C204" t="inlineStr">
        <is>
          <t>Drug-Eluting Stent 3.5 x 23 mm</t>
        </is>
      </c>
      <c r="D204" t="inlineStr">
        <is>
          <t>Cardiac</t>
        </is>
      </c>
      <c r="E204" t="inlineStr">
        <is>
          <t>Bluestone Memorial Hospital</t>
        </is>
      </c>
      <c r="F204" t="inlineStr">
        <is>
          <t>Emergency Department</t>
        </is>
      </c>
      <c r="G204" t="inlineStr">
        <is>
          <t>Each</t>
        </is>
      </c>
      <c r="H204" t="n">
        <v>4</v>
      </c>
      <c r="I204" t="n">
        <v>10</v>
      </c>
      <c r="J204" t="n">
        <v>3</v>
      </c>
      <c r="K204" s="31" t="n">
        <v>0.4</v>
      </c>
      <c r="L204" s="25" t="n">
        <v>46732</v>
      </c>
      <c r="M204" t="inlineStr">
        <is>
          <t>L673777</t>
        </is>
      </c>
    </row>
    <row r="205">
      <c r="A205" t="inlineStr">
        <is>
          <t>STK4204</t>
        </is>
      </c>
      <c r="B205" t="inlineStr">
        <is>
          <t>SKU-10693</t>
        </is>
      </c>
      <c r="C205" t="inlineStr">
        <is>
          <t>Drug-Eluting Stent 3.5 x 23 mm</t>
        </is>
      </c>
      <c r="D205" t="inlineStr">
        <is>
          <t>Cardiac</t>
        </is>
      </c>
      <c r="E205" t="inlineStr">
        <is>
          <t>Bluestone Memorial Hospital</t>
        </is>
      </c>
      <c r="F205" t="inlineStr">
        <is>
          <t>Cardiac Step-Down</t>
        </is>
      </c>
      <c r="G205" t="inlineStr">
        <is>
          <t>Each</t>
        </is>
      </c>
      <c r="H205" t="n">
        <v>8</v>
      </c>
      <c r="I205" t="n">
        <v>6</v>
      </c>
      <c r="J205" t="n">
        <v>2</v>
      </c>
      <c r="K205" s="31" t="n">
        <v>1.333333333333333</v>
      </c>
      <c r="L205" s="25" t="n">
        <v>46813</v>
      </c>
      <c r="M205" t="inlineStr">
        <is>
          <t>L686202</t>
        </is>
      </c>
    </row>
    <row r="206">
      <c r="A206" t="inlineStr">
        <is>
          <t>STK4205</t>
        </is>
      </c>
      <c r="B206" t="inlineStr">
        <is>
          <t>SKU-10693</t>
        </is>
      </c>
      <c r="C206" t="inlineStr">
        <is>
          <t>Drug-Eluting Stent 3.5 x 23 mm</t>
        </is>
      </c>
      <c r="D206" t="inlineStr">
        <is>
          <t>Cardiac</t>
        </is>
      </c>
      <c r="E206" t="inlineStr">
        <is>
          <t>Bluestone Memorial Hospital</t>
        </is>
      </c>
      <c r="F206" t="inlineStr">
        <is>
          <t>Intensive Care Unit</t>
        </is>
      </c>
      <c r="G206" t="inlineStr">
        <is>
          <t>Each</t>
        </is>
      </c>
      <c r="H206" t="n">
        <v>17</v>
      </c>
      <c r="I206" t="n">
        <v>18</v>
      </c>
      <c r="J206" t="n">
        <v>7</v>
      </c>
      <c r="K206" s="31" t="n">
        <v>0.9444444444444444</v>
      </c>
      <c r="L206" s="25" t="n">
        <v>46785</v>
      </c>
      <c r="M206" t="inlineStr">
        <is>
          <t>L619521</t>
        </is>
      </c>
    </row>
    <row r="207">
      <c r="A207" t="inlineStr">
        <is>
          <t>STK4206</t>
        </is>
      </c>
      <c r="B207" t="inlineStr">
        <is>
          <t>SKU-10700</t>
        </is>
      </c>
      <c r="C207" t="inlineStr">
        <is>
          <t>Guide Wire 0.035 in x 150 cm</t>
        </is>
      </c>
      <c r="D207" t="inlineStr">
        <is>
          <t>Cardiac</t>
        </is>
      </c>
      <c r="E207" t="inlineStr">
        <is>
          <t>Bluestone Memorial Hospital</t>
        </is>
      </c>
      <c r="F207" t="inlineStr">
        <is>
          <t>Cardiac Step-Down</t>
        </is>
      </c>
      <c r="G207" t="inlineStr">
        <is>
          <t>Each</t>
        </is>
      </c>
      <c r="H207" t="n">
        <v>75</v>
      </c>
      <c r="I207" t="n">
        <v>228</v>
      </c>
      <c r="J207" t="n">
        <v>91</v>
      </c>
      <c r="K207" s="31" t="n">
        <v>0.3289473684210527</v>
      </c>
      <c r="L207" s="25" t="n">
        <v>46664</v>
      </c>
      <c r="M207" t="inlineStr">
        <is>
          <t>L989259</t>
        </is>
      </c>
    </row>
    <row r="208">
      <c r="A208" t="inlineStr">
        <is>
          <t>STK4207</t>
        </is>
      </c>
      <c r="B208" t="inlineStr">
        <is>
          <t>SKU-10700</t>
        </is>
      </c>
      <c r="C208" t="inlineStr">
        <is>
          <t>Guide Wire 0.035 in x 150 cm</t>
        </is>
      </c>
      <c r="D208" t="inlineStr">
        <is>
          <t>Cardiac</t>
        </is>
      </c>
      <c r="E208" t="inlineStr">
        <is>
          <t>Bluestone Memorial Hospital</t>
        </is>
      </c>
      <c r="F208" t="inlineStr">
        <is>
          <t>Intensive Care Unit</t>
        </is>
      </c>
      <c r="G208" t="inlineStr">
        <is>
          <t>Each</t>
        </is>
      </c>
      <c r="H208" t="n">
        <v>161</v>
      </c>
      <c r="I208" t="n">
        <v>198</v>
      </c>
      <c r="J208" t="n">
        <v>70</v>
      </c>
      <c r="K208" s="31" t="n">
        <v>0.8131313131313131</v>
      </c>
      <c r="L208" s="25" t="n">
        <v>46458</v>
      </c>
      <c r="M208" t="inlineStr">
        <is>
          <t>L953245</t>
        </is>
      </c>
    </row>
    <row r="209">
      <c r="A209" t="inlineStr">
        <is>
          <t>STK4208</t>
        </is>
      </c>
      <c r="B209" t="inlineStr">
        <is>
          <t>SKU-10707</t>
        </is>
      </c>
      <c r="C209" t="inlineStr">
        <is>
          <t>Guide Wire 0.035 in x 260 cm</t>
        </is>
      </c>
      <c r="D209" t="inlineStr">
        <is>
          <t>Cardiac</t>
        </is>
      </c>
      <c r="E209" t="inlineStr">
        <is>
          <t>Bluestone Memorial Hospital</t>
        </is>
      </c>
      <c r="F209" t="inlineStr">
        <is>
          <t>Emergency Department</t>
        </is>
      </c>
      <c r="G209" t="inlineStr">
        <is>
          <t>Each</t>
        </is>
      </c>
      <c r="H209" t="n">
        <v>0</v>
      </c>
      <c r="I209" t="n">
        <v>83</v>
      </c>
      <c r="J209" t="n">
        <v>25</v>
      </c>
      <c r="K209" s="31" t="n">
        <v>0</v>
      </c>
      <c r="L209" s="25" t="n">
        <v>46255</v>
      </c>
      <c r="M209" t="inlineStr">
        <is>
          <t>L724793</t>
        </is>
      </c>
    </row>
    <row r="210">
      <c r="A210" t="inlineStr">
        <is>
          <t>STK4209</t>
        </is>
      </c>
      <c r="B210" t="inlineStr">
        <is>
          <t>SKU-10707</t>
        </is>
      </c>
      <c r="C210" t="inlineStr">
        <is>
          <t>Guide Wire 0.035 in x 260 cm</t>
        </is>
      </c>
      <c r="D210" t="inlineStr">
        <is>
          <t>Cardiac</t>
        </is>
      </c>
      <c r="E210" t="inlineStr">
        <is>
          <t>Bluestone Memorial Hospital</t>
        </is>
      </c>
      <c r="F210" t="inlineStr">
        <is>
          <t>Perioperative Services</t>
        </is>
      </c>
      <c r="G210" t="inlineStr">
        <is>
          <t>Each</t>
        </is>
      </c>
      <c r="H210" t="n">
        <v>329</v>
      </c>
      <c r="I210" t="n">
        <v>319</v>
      </c>
      <c r="J210" t="n">
        <v>118</v>
      </c>
      <c r="K210" s="31" t="n">
        <v>1.031347962382445</v>
      </c>
      <c r="L210" s="25" t="n">
        <v>46484</v>
      </c>
      <c r="M210" t="inlineStr">
        <is>
          <t>L766796</t>
        </is>
      </c>
    </row>
    <row r="211">
      <c r="A211" t="inlineStr">
        <is>
          <t>STK4210</t>
        </is>
      </c>
      <c r="B211" t="inlineStr">
        <is>
          <t>SKU-10714</t>
        </is>
      </c>
      <c r="C211" t="inlineStr">
        <is>
          <t>ECG Electrodes (Pack/30)</t>
        </is>
      </c>
      <c r="D211" t="inlineStr">
        <is>
          <t>Cardiac</t>
        </is>
      </c>
      <c r="E211" t="inlineStr">
        <is>
          <t>Bluestone Memorial Hospital</t>
        </is>
      </c>
      <c r="F211" t="inlineStr">
        <is>
          <t>Cardiac Step-Down</t>
        </is>
      </c>
      <c r="G211" t="inlineStr">
        <is>
          <t>Pack</t>
        </is>
      </c>
      <c r="H211" t="n">
        <v>877</v>
      </c>
      <c r="I211" t="n">
        <v>800</v>
      </c>
      <c r="J211" t="n">
        <v>295</v>
      </c>
      <c r="K211" s="31" t="n">
        <v>1.09625</v>
      </c>
      <c r="L211" s="25" t="n">
        <v>46308</v>
      </c>
      <c r="M211" t="inlineStr">
        <is>
          <t>L273814</t>
        </is>
      </c>
    </row>
    <row r="212">
      <c r="A212" t="inlineStr">
        <is>
          <t>STK4211</t>
        </is>
      </c>
      <c r="B212" t="inlineStr">
        <is>
          <t>SKU-10714</t>
        </is>
      </c>
      <c r="C212" t="inlineStr">
        <is>
          <t>ECG Electrodes (Pack/30)</t>
        </is>
      </c>
      <c r="D212" t="inlineStr">
        <is>
          <t>Cardiac</t>
        </is>
      </c>
      <c r="E212" t="inlineStr">
        <is>
          <t>Bluestone Memorial Hospital</t>
        </is>
      </c>
      <c r="F212" t="inlineStr">
        <is>
          <t>Perioperative Services</t>
        </is>
      </c>
      <c r="G212" t="inlineStr">
        <is>
          <t>Pack</t>
        </is>
      </c>
      <c r="H212" t="n">
        <v>358</v>
      </c>
      <c r="I212" t="n">
        <v>270</v>
      </c>
      <c r="J212" t="n">
        <v>96</v>
      </c>
      <c r="K212" s="31" t="n">
        <v>1.325925925925926</v>
      </c>
      <c r="L212" s="25" t="n">
        <v>46834</v>
      </c>
      <c r="M212" t="inlineStr">
        <is>
          <t>L866223</t>
        </is>
      </c>
    </row>
    <row r="213">
      <c r="A213" t="inlineStr">
        <is>
          <t>STK4212</t>
        </is>
      </c>
      <c r="B213" t="inlineStr">
        <is>
          <t>SKU-10721</t>
        </is>
      </c>
      <c r="C213" t="inlineStr">
        <is>
          <t>Defibrillator Pads, Adult</t>
        </is>
      </c>
      <c r="D213" t="inlineStr">
        <is>
          <t>Cardiac</t>
        </is>
      </c>
      <c r="E213" t="inlineStr">
        <is>
          <t>Bluestone Memorial Hospital</t>
        </is>
      </c>
      <c r="F213" t="inlineStr">
        <is>
          <t>Perioperative Services</t>
        </is>
      </c>
      <c r="G213" t="inlineStr">
        <is>
          <t>Pair</t>
        </is>
      </c>
      <c r="H213" t="n">
        <v>32</v>
      </c>
      <c r="I213" t="n">
        <v>168</v>
      </c>
      <c r="J213" t="n">
        <v>50</v>
      </c>
      <c r="K213" s="31" t="n">
        <v>0.1904761904761905</v>
      </c>
      <c r="L213" s="25" t="n">
        <v>46451</v>
      </c>
      <c r="M213" t="inlineStr">
        <is>
          <t>L337962</t>
        </is>
      </c>
    </row>
    <row r="214">
      <c r="A214" t="inlineStr">
        <is>
          <t>STK4213</t>
        </is>
      </c>
      <c r="B214" t="inlineStr">
        <is>
          <t>SKU-10728</t>
        </is>
      </c>
      <c r="C214" t="inlineStr">
        <is>
          <t>Defibrillator Pads, Pediatric</t>
        </is>
      </c>
      <c r="D214" t="inlineStr">
        <is>
          <t>Cardiac</t>
        </is>
      </c>
      <c r="E214" t="inlineStr">
        <is>
          <t>Bluestone Memorial Hospital</t>
        </is>
      </c>
      <c r="F214" t="inlineStr">
        <is>
          <t>Cardiac Step-Down</t>
        </is>
      </c>
      <c r="G214" t="inlineStr">
        <is>
          <t>Pair</t>
        </is>
      </c>
      <c r="H214" t="n">
        <v>208</v>
      </c>
      <c r="I214" t="n">
        <v>212</v>
      </c>
      <c r="J214" t="n">
        <v>73</v>
      </c>
      <c r="K214" s="31" t="n">
        <v>0.9811320754716981</v>
      </c>
      <c r="L214" s="25" t="n">
        <v>46996</v>
      </c>
      <c r="M214" t="inlineStr">
        <is>
          <t>L329003</t>
        </is>
      </c>
    </row>
    <row r="215">
      <c r="A215" t="inlineStr">
        <is>
          <t>STK4214</t>
        </is>
      </c>
      <c r="B215" t="inlineStr">
        <is>
          <t>SKU-10728</t>
        </is>
      </c>
      <c r="C215" t="inlineStr">
        <is>
          <t>Defibrillator Pads, Pediatric</t>
        </is>
      </c>
      <c r="D215" t="inlineStr">
        <is>
          <t>Cardiac</t>
        </is>
      </c>
      <c r="E215" t="inlineStr">
        <is>
          <t>Bluestone Memorial Hospital</t>
        </is>
      </c>
      <c r="F215" t="inlineStr">
        <is>
          <t>Intensive Care Unit</t>
        </is>
      </c>
      <c r="G215" t="inlineStr">
        <is>
          <t>Pair</t>
        </is>
      </c>
      <c r="H215" t="n">
        <v>95</v>
      </c>
      <c r="I215" t="n">
        <v>154</v>
      </c>
      <c r="J215" t="n">
        <v>55</v>
      </c>
      <c r="K215" s="31" t="n">
        <v>0.6168831168831169</v>
      </c>
      <c r="L215" s="25" t="n">
        <v>46853</v>
      </c>
      <c r="M215" t="inlineStr">
        <is>
          <t>L738041</t>
        </is>
      </c>
    </row>
    <row r="216">
      <c r="A216" t="inlineStr">
        <is>
          <t>STK4215</t>
        </is>
      </c>
      <c r="B216" t="inlineStr">
        <is>
          <t>SKU-10728</t>
        </is>
      </c>
      <c r="C216" t="inlineStr">
        <is>
          <t>Defibrillator Pads, Pediatric</t>
        </is>
      </c>
      <c r="D216" t="inlineStr">
        <is>
          <t>Cardiac</t>
        </is>
      </c>
      <c r="E216" t="inlineStr">
        <is>
          <t>Bluestone Memorial Hospital</t>
        </is>
      </c>
      <c r="F216" t="inlineStr">
        <is>
          <t>Perioperative Services</t>
        </is>
      </c>
      <c r="G216" t="inlineStr">
        <is>
          <t>Pair</t>
        </is>
      </c>
      <c r="H216" t="n">
        <v>0</v>
      </c>
      <c r="I216" t="n">
        <v>195</v>
      </c>
      <c r="J216" t="n">
        <v>59</v>
      </c>
      <c r="K216" s="31" t="n">
        <v>0</v>
      </c>
      <c r="L216" s="25" t="n">
        <v>46385</v>
      </c>
      <c r="M216" t="inlineStr">
        <is>
          <t>L354334</t>
        </is>
      </c>
    </row>
    <row r="217">
      <c r="A217" t="inlineStr">
        <is>
          <t>STK4216</t>
        </is>
      </c>
      <c r="B217" t="inlineStr">
        <is>
          <t>SKU-10735</t>
        </is>
      </c>
      <c r="C217" t="inlineStr">
        <is>
          <t>Patient Gown, Standard</t>
        </is>
      </c>
      <c r="D217" t="inlineStr">
        <is>
          <t>Linens</t>
        </is>
      </c>
      <c r="E217" t="inlineStr">
        <is>
          <t>Bluestone Memorial Hospital</t>
        </is>
      </c>
      <c r="F217" t="inlineStr">
        <is>
          <t>Medical-Surgical 4 West</t>
        </is>
      </c>
      <c r="G217" t="inlineStr">
        <is>
          <t>Dozen</t>
        </is>
      </c>
      <c r="H217" t="n">
        <v>171</v>
      </c>
      <c r="I217" t="n">
        <v>172</v>
      </c>
      <c r="J217" t="n">
        <v>56</v>
      </c>
      <c r="K217" s="31" t="n">
        <v>0.9941860465116279</v>
      </c>
      <c r="L217" s="25" t="n"/>
    </row>
    <row r="218">
      <c r="A218" t="inlineStr">
        <is>
          <t>STK4217</t>
        </is>
      </c>
      <c r="B218" t="inlineStr">
        <is>
          <t>SKU-10735</t>
        </is>
      </c>
      <c r="C218" t="inlineStr">
        <is>
          <t>Patient Gown, Standard</t>
        </is>
      </c>
      <c r="D218" t="inlineStr">
        <is>
          <t>Linens</t>
        </is>
      </c>
      <c r="E218" t="inlineStr">
        <is>
          <t>Bluestone Memorial Hospital</t>
        </is>
      </c>
      <c r="F218" t="inlineStr">
        <is>
          <t>Perioperative Services</t>
        </is>
      </c>
      <c r="G218" t="inlineStr">
        <is>
          <t>Dozen</t>
        </is>
      </c>
      <c r="H218" t="n">
        <v>18</v>
      </c>
      <c r="I218" t="n">
        <v>119</v>
      </c>
      <c r="J218" t="n">
        <v>36</v>
      </c>
      <c r="K218" s="31" t="n">
        <v>0.1512605042016807</v>
      </c>
      <c r="L218" s="25" t="n"/>
    </row>
    <row r="219">
      <c r="A219" t="inlineStr">
        <is>
          <t>STK4218</t>
        </is>
      </c>
      <c r="B219" t="inlineStr">
        <is>
          <t>SKU-10742</t>
        </is>
      </c>
      <c r="C219" t="inlineStr">
        <is>
          <t>Patient Gown, Bariatric</t>
        </is>
      </c>
      <c r="D219" t="inlineStr">
        <is>
          <t>Linens</t>
        </is>
      </c>
      <c r="E219" t="inlineStr">
        <is>
          <t>Bluestone Memorial Hospital</t>
        </is>
      </c>
      <c r="F219" t="inlineStr">
        <is>
          <t>Labor &amp; Delivery</t>
        </is>
      </c>
      <c r="G219" t="inlineStr">
        <is>
          <t>Dozen</t>
        </is>
      </c>
      <c r="H219" t="n">
        <v>329</v>
      </c>
      <c r="I219" t="n">
        <v>277</v>
      </c>
      <c r="J219" t="n">
        <v>92</v>
      </c>
      <c r="K219" s="31" t="n">
        <v>1.187725631768953</v>
      </c>
      <c r="L219" s="25" t="n"/>
    </row>
    <row r="220">
      <c r="A220" t="inlineStr">
        <is>
          <t>STK4219</t>
        </is>
      </c>
      <c r="B220" t="inlineStr">
        <is>
          <t>SKU-10742</t>
        </is>
      </c>
      <c r="C220" t="inlineStr">
        <is>
          <t>Patient Gown, Bariatric</t>
        </is>
      </c>
      <c r="D220" t="inlineStr">
        <is>
          <t>Linens</t>
        </is>
      </c>
      <c r="E220" t="inlineStr">
        <is>
          <t>Bluestone Memorial Hospital</t>
        </is>
      </c>
      <c r="F220" t="inlineStr">
        <is>
          <t>Pediatrics</t>
        </is>
      </c>
      <c r="G220" t="inlineStr">
        <is>
          <t>Dozen</t>
        </is>
      </c>
      <c r="H220" t="n">
        <v>97</v>
      </c>
      <c r="I220" t="n">
        <v>98</v>
      </c>
      <c r="J220" t="n">
        <v>36</v>
      </c>
      <c r="K220" s="31" t="n">
        <v>0.9897959183673469</v>
      </c>
      <c r="L220" s="25" t="n"/>
    </row>
    <row r="221">
      <c r="A221" t="inlineStr">
        <is>
          <t>STK4220</t>
        </is>
      </c>
      <c r="B221" t="inlineStr">
        <is>
          <t>SKU-10749</t>
        </is>
      </c>
      <c r="C221" t="inlineStr">
        <is>
          <t>Patient Gown, Pediatric</t>
        </is>
      </c>
      <c r="D221" t="inlineStr">
        <is>
          <t>Linens</t>
        </is>
      </c>
      <c r="E221" t="inlineStr">
        <is>
          <t>Ashby Falls Community Hospital</t>
        </is>
      </c>
      <c r="F221" t="inlineStr">
        <is>
          <t>Medical-Surgical</t>
        </is>
      </c>
      <c r="G221" t="inlineStr">
        <is>
          <t>Dozen</t>
        </is>
      </c>
      <c r="H221" t="n">
        <v>165</v>
      </c>
      <c r="I221" t="n">
        <v>250</v>
      </c>
      <c r="J221" t="n">
        <v>77</v>
      </c>
      <c r="K221" s="31" t="n">
        <v>0.66</v>
      </c>
      <c r="L221" s="25" t="n"/>
    </row>
    <row r="222">
      <c r="A222" t="inlineStr">
        <is>
          <t>STK4221</t>
        </is>
      </c>
      <c r="B222" t="inlineStr">
        <is>
          <t>SKU-10756</t>
        </is>
      </c>
      <c r="C222" t="inlineStr">
        <is>
          <t>Bath Blanket</t>
        </is>
      </c>
      <c r="D222" t="inlineStr">
        <is>
          <t>Linens</t>
        </is>
      </c>
      <c r="E222" t="inlineStr">
        <is>
          <t>Bluestone Memorial Hospital</t>
        </is>
      </c>
      <c r="F222" t="inlineStr">
        <is>
          <t>Labor &amp; Delivery</t>
        </is>
      </c>
      <c r="G222" t="inlineStr">
        <is>
          <t>Dozen</t>
        </is>
      </c>
      <c r="H222" t="n">
        <v>92</v>
      </c>
      <c r="I222" t="n">
        <v>69</v>
      </c>
      <c r="J222" t="n">
        <v>24</v>
      </c>
      <c r="K222" s="31" t="n">
        <v>1.333333333333333</v>
      </c>
      <c r="L222" s="25" t="n"/>
    </row>
    <row r="223">
      <c r="A223" t="inlineStr">
        <is>
          <t>STK4222</t>
        </is>
      </c>
      <c r="B223" t="inlineStr">
        <is>
          <t>SKU-10756</t>
        </is>
      </c>
      <c r="C223" t="inlineStr">
        <is>
          <t>Bath Blanket</t>
        </is>
      </c>
      <c r="D223" t="inlineStr">
        <is>
          <t>Linens</t>
        </is>
      </c>
      <c r="E223" t="inlineStr">
        <is>
          <t>Ashby Falls Community Hospital</t>
        </is>
      </c>
      <c r="F223" t="inlineStr">
        <is>
          <t>Emergency Department</t>
        </is>
      </c>
      <c r="G223" t="inlineStr">
        <is>
          <t>Dozen</t>
        </is>
      </c>
      <c r="H223" t="n">
        <v>227</v>
      </c>
      <c r="I223" t="n">
        <v>288</v>
      </c>
      <c r="J223" t="n">
        <v>107</v>
      </c>
      <c r="K223" s="31" t="n">
        <v>0.7881944444444444</v>
      </c>
      <c r="L223" s="25" t="n"/>
    </row>
    <row r="224">
      <c r="A224" t="inlineStr">
        <is>
          <t>STK4223</t>
        </is>
      </c>
      <c r="B224" t="inlineStr">
        <is>
          <t>SKU-10763</t>
        </is>
      </c>
      <c r="C224" t="inlineStr">
        <is>
          <t>Fitted Bed Sheet</t>
        </is>
      </c>
      <c r="D224" t="inlineStr">
        <is>
          <t>Linens</t>
        </is>
      </c>
      <c r="E224" t="inlineStr">
        <is>
          <t>Bluestone Memorial Hospital</t>
        </is>
      </c>
      <c r="F224" t="inlineStr">
        <is>
          <t>Labor &amp; Delivery</t>
        </is>
      </c>
      <c r="G224" t="inlineStr">
        <is>
          <t>Dozen</t>
        </is>
      </c>
      <c r="H224" t="n">
        <v>24</v>
      </c>
      <c r="I224" t="n">
        <v>54</v>
      </c>
      <c r="J224" t="n">
        <v>18</v>
      </c>
      <c r="K224" s="31" t="n">
        <v>0.4444444444444444</v>
      </c>
      <c r="L224" s="25" t="n"/>
    </row>
    <row r="225">
      <c r="A225" t="inlineStr">
        <is>
          <t>STK4224</t>
        </is>
      </c>
      <c r="B225" t="inlineStr">
        <is>
          <t>SKU-10763</t>
        </is>
      </c>
      <c r="C225" t="inlineStr">
        <is>
          <t>Fitted Bed Sheet</t>
        </is>
      </c>
      <c r="D225" t="inlineStr">
        <is>
          <t>Linens</t>
        </is>
      </c>
      <c r="E225" t="inlineStr">
        <is>
          <t>Bluestone Memorial Hospital</t>
        </is>
      </c>
      <c r="F225" t="inlineStr">
        <is>
          <t>Laboratory</t>
        </is>
      </c>
      <c r="G225" t="inlineStr">
        <is>
          <t>Dozen</t>
        </is>
      </c>
      <c r="H225" t="n">
        <v>241</v>
      </c>
      <c r="I225" t="n">
        <v>187</v>
      </c>
      <c r="J225" t="n">
        <v>70</v>
      </c>
      <c r="K225" s="31" t="n">
        <v>1.288770053475936</v>
      </c>
      <c r="L225" s="25" t="n"/>
    </row>
    <row r="226">
      <c r="A226" t="inlineStr">
        <is>
          <t>STK4225</t>
        </is>
      </c>
      <c r="B226" t="inlineStr">
        <is>
          <t>SKU-10770</t>
        </is>
      </c>
      <c r="C226" t="inlineStr">
        <is>
          <t>Foley Catheter Tray 14 Fr</t>
        </is>
      </c>
      <c r="D226" t="inlineStr">
        <is>
          <t>Patient Care</t>
        </is>
      </c>
      <c r="E226" t="inlineStr">
        <is>
          <t>Bluestone Memorial Hospital</t>
        </is>
      </c>
      <c r="F226" t="inlineStr">
        <is>
          <t>Cardiac Step-Down</t>
        </is>
      </c>
      <c r="G226" t="inlineStr">
        <is>
          <t>Each</t>
        </is>
      </c>
      <c r="H226" t="n">
        <v>204</v>
      </c>
      <c r="I226" t="n">
        <v>318</v>
      </c>
      <c r="J226" t="n">
        <v>112</v>
      </c>
      <c r="K226" s="31" t="n">
        <v>0.6415094339622641</v>
      </c>
      <c r="L226" s="25" t="n">
        <v>46298</v>
      </c>
      <c r="M226" t="inlineStr">
        <is>
          <t>L963468</t>
        </is>
      </c>
    </row>
    <row r="227">
      <c r="A227" t="inlineStr">
        <is>
          <t>STK4226</t>
        </is>
      </c>
      <c r="B227" t="inlineStr">
        <is>
          <t>SKU-10770</t>
        </is>
      </c>
      <c r="C227" t="inlineStr">
        <is>
          <t>Foley Catheter Tray 14 Fr</t>
        </is>
      </c>
      <c r="D227" t="inlineStr">
        <is>
          <t>Patient Care</t>
        </is>
      </c>
      <c r="E227" t="inlineStr">
        <is>
          <t>Bluestone Memorial Hospital</t>
        </is>
      </c>
      <c r="F227" t="inlineStr">
        <is>
          <t>Oncology</t>
        </is>
      </c>
      <c r="G227" t="inlineStr">
        <is>
          <t>Each</t>
        </is>
      </c>
      <c r="H227" t="n">
        <v>58</v>
      </c>
      <c r="I227" t="n">
        <v>163</v>
      </c>
      <c r="J227" t="n">
        <v>41</v>
      </c>
      <c r="K227" s="31" t="n">
        <v>0.3558282208588957</v>
      </c>
      <c r="L227" s="25" t="n">
        <v>46855</v>
      </c>
      <c r="M227" t="inlineStr">
        <is>
          <t>L257408</t>
        </is>
      </c>
    </row>
    <row r="228">
      <c r="A228" t="inlineStr">
        <is>
          <t>STK4227</t>
        </is>
      </c>
      <c r="B228" t="inlineStr">
        <is>
          <t>SKU-10777</t>
        </is>
      </c>
      <c r="C228" t="inlineStr">
        <is>
          <t>Foley Catheter Tray 16 Fr</t>
        </is>
      </c>
      <c r="D228" t="inlineStr">
        <is>
          <t>Patient Care</t>
        </is>
      </c>
      <c r="E228" t="inlineStr">
        <is>
          <t>Bluestone Memorial Hospital</t>
        </is>
      </c>
      <c r="F228" t="inlineStr">
        <is>
          <t>Emergency Department</t>
        </is>
      </c>
      <c r="G228" t="inlineStr">
        <is>
          <t>Each</t>
        </is>
      </c>
      <c r="H228" t="n">
        <v>257</v>
      </c>
      <c r="I228" t="n">
        <v>235</v>
      </c>
      <c r="J228" t="n">
        <v>63</v>
      </c>
      <c r="K228" s="31" t="n">
        <v>1.093617021276596</v>
      </c>
      <c r="L228" s="25" t="n">
        <v>46966</v>
      </c>
      <c r="M228" t="inlineStr">
        <is>
          <t>L603441</t>
        </is>
      </c>
    </row>
    <row r="229">
      <c r="A229" t="inlineStr">
        <is>
          <t>STK4228</t>
        </is>
      </c>
      <c r="B229" t="inlineStr">
        <is>
          <t>SKU-10777</t>
        </is>
      </c>
      <c r="C229" t="inlineStr">
        <is>
          <t>Foley Catheter Tray 16 Fr</t>
        </is>
      </c>
      <c r="D229" t="inlineStr">
        <is>
          <t>Patient Care</t>
        </is>
      </c>
      <c r="E229" t="inlineStr">
        <is>
          <t>Bluestone Memorial Hospital</t>
        </is>
      </c>
      <c r="F229" t="inlineStr">
        <is>
          <t>Intensive Care Unit</t>
        </is>
      </c>
      <c r="G229" t="inlineStr">
        <is>
          <t>Each</t>
        </is>
      </c>
      <c r="H229" t="n">
        <v>143</v>
      </c>
      <c r="I229" t="n">
        <v>175</v>
      </c>
      <c r="J229" t="n">
        <v>64</v>
      </c>
      <c r="K229" s="31" t="n">
        <v>0.8171428571428572</v>
      </c>
      <c r="L229" s="25" t="n">
        <v>46607</v>
      </c>
      <c r="M229" t="inlineStr">
        <is>
          <t>L771391</t>
        </is>
      </c>
    </row>
    <row r="230">
      <c r="A230" t="inlineStr">
        <is>
          <t>STK4229</t>
        </is>
      </c>
      <c r="B230" t="inlineStr">
        <is>
          <t>SKU-10777</t>
        </is>
      </c>
      <c r="C230" t="inlineStr">
        <is>
          <t>Foley Catheter Tray 16 Fr</t>
        </is>
      </c>
      <c r="D230" t="inlineStr">
        <is>
          <t>Patient Care</t>
        </is>
      </c>
      <c r="E230" t="inlineStr">
        <is>
          <t>Bluestone Memorial Hospital</t>
        </is>
      </c>
      <c r="F230" t="inlineStr">
        <is>
          <t>Labor &amp; Delivery</t>
        </is>
      </c>
      <c r="G230" t="inlineStr">
        <is>
          <t>Each</t>
        </is>
      </c>
      <c r="H230" t="n">
        <v>208</v>
      </c>
      <c r="I230" t="n">
        <v>546</v>
      </c>
      <c r="J230" t="n">
        <v>174</v>
      </c>
      <c r="K230" s="31" t="n">
        <v>0.3809523809523809</v>
      </c>
      <c r="L230" s="25" t="n">
        <v>46379</v>
      </c>
      <c r="M230" t="inlineStr">
        <is>
          <t>L622391</t>
        </is>
      </c>
    </row>
    <row r="231">
      <c r="A231" t="inlineStr">
        <is>
          <t>STK4230</t>
        </is>
      </c>
      <c r="B231" t="inlineStr">
        <is>
          <t>SKU-10784</t>
        </is>
      </c>
      <c r="C231" t="inlineStr">
        <is>
          <t>Foley Catheter Tray 18 Fr</t>
        </is>
      </c>
      <c r="D231" t="inlineStr">
        <is>
          <t>Patient Care</t>
        </is>
      </c>
      <c r="E231" t="inlineStr">
        <is>
          <t>Bluestone Memorial Hospital</t>
        </is>
      </c>
      <c r="F231" t="inlineStr">
        <is>
          <t>Medical-Surgical 4 West</t>
        </is>
      </c>
      <c r="G231" t="inlineStr">
        <is>
          <t>Each</t>
        </is>
      </c>
      <c r="H231" t="n">
        <v>240</v>
      </c>
      <c r="I231" t="n">
        <v>255</v>
      </c>
      <c r="J231" t="n">
        <v>101</v>
      </c>
      <c r="K231" s="31" t="n">
        <v>0.9411764705882353</v>
      </c>
      <c r="L231" s="25" t="n">
        <v>46553</v>
      </c>
      <c r="M231" t="inlineStr">
        <is>
          <t>L216747</t>
        </is>
      </c>
    </row>
    <row r="232">
      <c r="A232" t="inlineStr">
        <is>
          <t>STK4231</t>
        </is>
      </c>
      <c r="B232" t="inlineStr">
        <is>
          <t>SKU-10784</t>
        </is>
      </c>
      <c r="C232" t="inlineStr">
        <is>
          <t>Foley Catheter Tray 18 Fr</t>
        </is>
      </c>
      <c r="D232" t="inlineStr">
        <is>
          <t>Patient Care</t>
        </is>
      </c>
      <c r="E232" t="inlineStr">
        <is>
          <t>Bluestone Memorial Hospital</t>
        </is>
      </c>
      <c r="F232" t="inlineStr">
        <is>
          <t>Orthopedics &amp; Spine</t>
        </is>
      </c>
      <c r="G232" t="inlineStr">
        <is>
          <t>Each</t>
        </is>
      </c>
      <c r="H232" t="n">
        <v>270</v>
      </c>
      <c r="I232" t="n">
        <v>211</v>
      </c>
      <c r="J232" t="n">
        <v>65</v>
      </c>
      <c r="K232" s="31" t="n">
        <v>1.279620853080569</v>
      </c>
      <c r="L232" s="25" t="n">
        <v>45967</v>
      </c>
      <c r="M232" t="inlineStr">
        <is>
          <t>L245650</t>
        </is>
      </c>
    </row>
    <row r="233">
      <c r="A233" t="inlineStr">
        <is>
          <t>STK4232</t>
        </is>
      </c>
      <c r="B233" t="inlineStr">
        <is>
          <t>SKU-10791</t>
        </is>
      </c>
      <c r="C233" t="inlineStr">
        <is>
          <t>Incontinence Brief, Medium (Pack/18)</t>
        </is>
      </c>
      <c r="D233" t="inlineStr">
        <is>
          <t>Patient Care</t>
        </is>
      </c>
      <c r="E233" t="inlineStr">
        <is>
          <t>Bluestone Memorial Hospital</t>
        </is>
      </c>
      <c r="F233" t="inlineStr">
        <is>
          <t>Emergency Department</t>
        </is>
      </c>
      <c r="G233" t="inlineStr">
        <is>
          <t>Pack</t>
        </is>
      </c>
      <c r="H233" t="n">
        <v>463</v>
      </c>
      <c r="I233" t="n">
        <v>580</v>
      </c>
      <c r="J233" t="n">
        <v>197</v>
      </c>
      <c r="K233" s="31" t="n">
        <v>0.7982758620689655</v>
      </c>
      <c r="L233" s="25" t="n"/>
    </row>
    <row r="234">
      <c r="A234" t="inlineStr">
        <is>
          <t>STK4233</t>
        </is>
      </c>
      <c r="B234" t="inlineStr">
        <is>
          <t>SKU-10791</t>
        </is>
      </c>
      <c r="C234" t="inlineStr">
        <is>
          <t>Incontinence Brief, Medium (Pack/18)</t>
        </is>
      </c>
      <c r="D234" t="inlineStr">
        <is>
          <t>Patient Care</t>
        </is>
      </c>
      <c r="E234" t="inlineStr">
        <is>
          <t>Bluestone Memorial Hospital</t>
        </is>
      </c>
      <c r="F234" t="inlineStr">
        <is>
          <t>Intensive Care Unit</t>
        </is>
      </c>
      <c r="G234" t="inlineStr">
        <is>
          <t>Pack</t>
        </is>
      </c>
      <c r="H234" t="n">
        <v>419</v>
      </c>
      <c r="I234" t="n">
        <v>343</v>
      </c>
      <c r="J234" t="n">
        <v>90</v>
      </c>
      <c r="K234" s="31" t="n">
        <v>1.221574344023324</v>
      </c>
      <c r="L234" s="25" t="n"/>
    </row>
    <row r="235">
      <c r="A235" t="inlineStr">
        <is>
          <t>STK4234</t>
        </is>
      </c>
      <c r="B235" t="inlineStr">
        <is>
          <t>SKU-10791</t>
        </is>
      </c>
      <c r="C235" t="inlineStr">
        <is>
          <t>Incontinence Brief, Medium (Pack/18)</t>
        </is>
      </c>
      <c r="D235" t="inlineStr">
        <is>
          <t>Patient Care</t>
        </is>
      </c>
      <c r="E235" t="inlineStr">
        <is>
          <t>Ashby Falls Community Hospital</t>
        </is>
      </c>
      <c r="F235" t="inlineStr">
        <is>
          <t>Medical-Surgical</t>
        </is>
      </c>
      <c r="G235" t="inlineStr">
        <is>
          <t>Pack</t>
        </is>
      </c>
      <c r="H235" t="n">
        <v>102</v>
      </c>
      <c r="I235" t="n">
        <v>206</v>
      </c>
      <c r="J235" t="n">
        <v>75</v>
      </c>
      <c r="K235" s="31" t="n">
        <v>0.4951456310679612</v>
      </c>
      <c r="L235" s="25" t="n"/>
    </row>
    <row r="236">
      <c r="A236" t="inlineStr">
        <is>
          <t>STK4235</t>
        </is>
      </c>
      <c r="B236" t="inlineStr">
        <is>
          <t>SKU-10798</t>
        </is>
      </c>
      <c r="C236" t="inlineStr">
        <is>
          <t>Incontinence Brief, Large (Pack/18)</t>
        </is>
      </c>
      <c r="D236" t="inlineStr">
        <is>
          <t>Patient Care</t>
        </is>
      </c>
      <c r="E236" t="inlineStr">
        <is>
          <t>Bluestone Memorial Hospital</t>
        </is>
      </c>
      <c r="F236" t="inlineStr">
        <is>
          <t>Orthopedics &amp; Spine</t>
        </is>
      </c>
      <c r="G236" t="inlineStr">
        <is>
          <t>Pack</t>
        </is>
      </c>
      <c r="H236" t="n">
        <v>217</v>
      </c>
      <c r="I236" t="n">
        <v>244</v>
      </c>
      <c r="J236" t="n">
        <v>93</v>
      </c>
      <c r="K236" s="31" t="n">
        <v>0.889344262295082</v>
      </c>
      <c r="L236" s="25" t="n"/>
    </row>
    <row r="237">
      <c r="A237" t="inlineStr">
        <is>
          <t>STK4236</t>
        </is>
      </c>
      <c r="B237" t="inlineStr">
        <is>
          <t>SKU-10798</t>
        </is>
      </c>
      <c r="C237" t="inlineStr">
        <is>
          <t>Incontinence Brief, Large (Pack/18)</t>
        </is>
      </c>
      <c r="D237" t="inlineStr">
        <is>
          <t>Patient Care</t>
        </is>
      </c>
      <c r="E237" t="inlineStr">
        <is>
          <t>Bluestone Memorial Hospital</t>
        </is>
      </c>
      <c r="F237" t="inlineStr">
        <is>
          <t>Labor &amp; Delivery</t>
        </is>
      </c>
      <c r="G237" t="inlineStr">
        <is>
          <t>Pack</t>
        </is>
      </c>
      <c r="H237" t="n">
        <v>76</v>
      </c>
      <c r="I237" t="n">
        <v>258</v>
      </c>
      <c r="J237" t="n">
        <v>65</v>
      </c>
      <c r="K237" s="31" t="n">
        <v>0.2945736434108527</v>
      </c>
      <c r="L237" s="25" t="n"/>
    </row>
    <row r="238">
      <c r="A238" t="inlineStr">
        <is>
          <t>STK4237</t>
        </is>
      </c>
      <c r="B238" t="inlineStr">
        <is>
          <t>SKU-10805</t>
        </is>
      </c>
      <c r="C238" t="inlineStr">
        <is>
          <t>Incontinence Brief, X-Large (Pack/18)</t>
        </is>
      </c>
      <c r="D238" t="inlineStr">
        <is>
          <t>Patient Care</t>
        </is>
      </c>
      <c r="E238" t="inlineStr">
        <is>
          <t>Bluestone Memorial Hospital</t>
        </is>
      </c>
      <c r="F238" t="inlineStr">
        <is>
          <t>Pediatrics</t>
        </is>
      </c>
      <c r="G238" t="inlineStr">
        <is>
          <t>Pack</t>
        </is>
      </c>
      <c r="H238" t="n">
        <v>97</v>
      </c>
      <c r="I238" t="n">
        <v>300</v>
      </c>
      <c r="J238" t="n">
        <v>105</v>
      </c>
      <c r="K238" s="31" t="n">
        <v>0.3233333333333333</v>
      </c>
      <c r="L238" s="25" t="n"/>
    </row>
    <row r="239">
      <c r="A239" t="inlineStr">
        <is>
          <t>STK4238</t>
        </is>
      </c>
      <c r="B239" t="inlineStr">
        <is>
          <t>SKU-10805</t>
        </is>
      </c>
      <c r="C239" t="inlineStr">
        <is>
          <t>Incontinence Brief, X-Large (Pack/18)</t>
        </is>
      </c>
      <c r="D239" t="inlineStr">
        <is>
          <t>Patient Care</t>
        </is>
      </c>
      <c r="E239" t="inlineStr">
        <is>
          <t>Bluestone Memorial Hospital</t>
        </is>
      </c>
      <c r="F239" t="inlineStr">
        <is>
          <t>Laboratory</t>
        </is>
      </c>
      <c r="G239" t="inlineStr">
        <is>
          <t>Pack</t>
        </is>
      </c>
      <c r="H239" t="n">
        <v>198</v>
      </c>
      <c r="I239" t="n">
        <v>450</v>
      </c>
      <c r="J239" t="n">
        <v>123</v>
      </c>
      <c r="K239" s="31" t="n">
        <v>0.44</v>
      </c>
      <c r="L239" s="25" t="n"/>
    </row>
    <row r="240">
      <c r="A240" t="inlineStr">
        <is>
          <t>STK4239</t>
        </is>
      </c>
      <c r="B240" t="inlineStr">
        <is>
          <t>SKU-10812</t>
        </is>
      </c>
      <c r="C240" t="inlineStr">
        <is>
          <t>Thermometer Probe Covers (Box/200)</t>
        </is>
      </c>
      <c r="D240" t="inlineStr">
        <is>
          <t>Patient Care</t>
        </is>
      </c>
      <c r="E240" t="inlineStr">
        <is>
          <t>Ashby Falls Community Hospital</t>
        </is>
      </c>
      <c r="F240" t="inlineStr">
        <is>
          <t>Emergency Department</t>
        </is>
      </c>
      <c r="G240" t="inlineStr">
        <is>
          <t>Box</t>
        </is>
      </c>
      <c r="H240" t="n">
        <v>12</v>
      </c>
      <c r="I240" t="n">
        <v>195</v>
      </c>
      <c r="J240" t="n">
        <v>64</v>
      </c>
      <c r="K240" s="31" t="n">
        <v>0.06153846153846154</v>
      </c>
      <c r="L240" s="25" t="n"/>
    </row>
    <row r="241">
      <c r="A241" t="inlineStr">
        <is>
          <t>STK4240</t>
        </is>
      </c>
      <c r="B241" t="inlineStr">
        <is>
          <t>SKU-10812</t>
        </is>
      </c>
      <c r="C241" t="inlineStr">
        <is>
          <t>Thermometer Probe Covers (Box/200)</t>
        </is>
      </c>
      <c r="D241" t="inlineStr">
        <is>
          <t>Patient Care</t>
        </is>
      </c>
      <c r="E241" t="inlineStr">
        <is>
          <t>Ashby Falls Community Hospital</t>
        </is>
      </c>
      <c r="F241" t="inlineStr">
        <is>
          <t>Medical-Surgical</t>
        </is>
      </c>
      <c r="G241" t="inlineStr">
        <is>
          <t>Box</t>
        </is>
      </c>
      <c r="H241" t="n">
        <v>318</v>
      </c>
      <c r="I241" t="n">
        <v>800</v>
      </c>
      <c r="J241" t="n">
        <v>207</v>
      </c>
      <c r="K241" s="31" t="n">
        <v>0.3975</v>
      </c>
      <c r="L241" s="25" t="n"/>
    </row>
    <row r="242">
      <c r="A242" t="inlineStr">
        <is>
          <t>STK4241</t>
        </is>
      </c>
      <c r="B242" t="inlineStr">
        <is>
          <t>SKU-10819</t>
        </is>
      </c>
      <c r="C242" t="inlineStr">
        <is>
          <t>Disposable Washcloths (Pack/8)</t>
        </is>
      </c>
      <c r="D242" t="inlineStr">
        <is>
          <t>Patient Care</t>
        </is>
      </c>
      <c r="E242" t="inlineStr">
        <is>
          <t>Bluestone Memorial Hospital</t>
        </is>
      </c>
      <c r="F242" t="inlineStr">
        <is>
          <t>Cardiac Step-Down</t>
        </is>
      </c>
      <c r="G242" t="inlineStr">
        <is>
          <t>Pack</t>
        </is>
      </c>
      <c r="H242" t="n">
        <v>345</v>
      </c>
      <c r="I242" t="n">
        <v>800</v>
      </c>
      <c r="J242" t="n">
        <v>237</v>
      </c>
      <c r="K242" s="31" t="n">
        <v>0.43125</v>
      </c>
      <c r="L242" s="25" t="n"/>
    </row>
    <row r="243">
      <c r="A243" t="inlineStr">
        <is>
          <t>STK4242</t>
        </is>
      </c>
      <c r="B243" t="inlineStr">
        <is>
          <t>SKU-10819</t>
        </is>
      </c>
      <c r="C243" t="inlineStr">
        <is>
          <t>Disposable Washcloths (Pack/8)</t>
        </is>
      </c>
      <c r="D243" t="inlineStr">
        <is>
          <t>Patient Care</t>
        </is>
      </c>
      <c r="E243" t="inlineStr">
        <is>
          <t>Cedar Ridge Medical Center</t>
        </is>
      </c>
      <c r="F243" t="inlineStr">
        <is>
          <t>Emergency Department</t>
        </is>
      </c>
      <c r="G243" t="inlineStr">
        <is>
          <t>Pack</t>
        </is>
      </c>
      <c r="H243" t="n">
        <v>303</v>
      </c>
      <c r="I243" t="n">
        <v>800</v>
      </c>
      <c r="J243" t="n">
        <v>297</v>
      </c>
      <c r="K243" s="31" t="n">
        <v>0.37875</v>
      </c>
      <c r="L243" s="25" t="n"/>
    </row>
    <row r="244">
      <c r="A244" t="inlineStr">
        <is>
          <t>STK4243</t>
        </is>
      </c>
      <c r="B244" t="inlineStr">
        <is>
          <t>SKU-10826</t>
        </is>
      </c>
      <c r="C244" t="inlineStr">
        <is>
          <t>Sequential Compression Sleeve, Knee Length</t>
        </is>
      </c>
      <c r="D244" t="inlineStr">
        <is>
          <t>Patient Care</t>
        </is>
      </c>
      <c r="E244" t="inlineStr">
        <is>
          <t>Bluestone Memorial Hospital</t>
        </is>
      </c>
      <c r="F244" t="inlineStr">
        <is>
          <t>Labor &amp; Delivery</t>
        </is>
      </c>
      <c r="G244" t="inlineStr">
        <is>
          <t>Pair</t>
        </is>
      </c>
      <c r="H244" t="n">
        <v>102</v>
      </c>
      <c r="I244" t="n">
        <v>236</v>
      </c>
      <c r="J244" t="n">
        <v>90</v>
      </c>
      <c r="K244" s="31" t="n">
        <v>0.4322033898305085</v>
      </c>
      <c r="L244" s="25" t="n"/>
    </row>
    <row r="245">
      <c r="A245" t="inlineStr">
        <is>
          <t>STK4244</t>
        </is>
      </c>
      <c r="B245" t="inlineStr">
        <is>
          <t>SKU-10833</t>
        </is>
      </c>
      <c r="C245" t="inlineStr">
        <is>
          <t>Sequential Compression Sleeve, Thigh Length</t>
        </is>
      </c>
      <c r="D245" t="inlineStr">
        <is>
          <t>Patient Care</t>
        </is>
      </c>
      <c r="E245" t="inlineStr">
        <is>
          <t>Bluestone Memorial Hospital</t>
        </is>
      </c>
      <c r="F245" t="inlineStr">
        <is>
          <t>Intensive Care Unit</t>
        </is>
      </c>
      <c r="G245" t="inlineStr">
        <is>
          <t>Pair</t>
        </is>
      </c>
      <c r="H245" t="n">
        <v>7</v>
      </c>
      <c r="I245" t="n">
        <v>167</v>
      </c>
      <c r="J245" t="n">
        <v>42</v>
      </c>
      <c r="K245" s="31" t="n">
        <v>0.04191616766467066</v>
      </c>
      <c r="L245" s="25" t="n"/>
    </row>
    <row r="246">
      <c r="A246" t="inlineStr">
        <is>
          <t>STK4245</t>
        </is>
      </c>
      <c r="B246" t="inlineStr">
        <is>
          <t>SKU-10840</t>
        </is>
      </c>
      <c r="C246" t="inlineStr">
        <is>
          <t>Hand Sanitizer Foam 1000 mL</t>
        </is>
      </c>
      <c r="D246" t="inlineStr">
        <is>
          <t>Patient Care</t>
        </is>
      </c>
      <c r="E246" t="inlineStr">
        <is>
          <t>Bluestone Memorial Hospital</t>
        </is>
      </c>
      <c r="F246" t="inlineStr">
        <is>
          <t>Medical-Surgical 4 West</t>
        </is>
      </c>
      <c r="G246" t="inlineStr">
        <is>
          <t>Each</t>
        </is>
      </c>
      <c r="H246" t="n">
        <v>303</v>
      </c>
      <c r="I246" t="n">
        <v>594</v>
      </c>
      <c r="J246" t="n">
        <v>221</v>
      </c>
      <c r="K246" s="31" t="n">
        <v>0.5101010101010101</v>
      </c>
      <c r="L246" s="25" t="n">
        <v>46362</v>
      </c>
      <c r="M246" t="inlineStr">
        <is>
          <t>L312690</t>
        </is>
      </c>
    </row>
    <row r="247">
      <c r="A247" t="inlineStr">
        <is>
          <t>STK4246</t>
        </is>
      </c>
      <c r="B247" t="inlineStr">
        <is>
          <t>SKU-10840</t>
        </is>
      </c>
      <c r="C247" t="inlineStr">
        <is>
          <t>Hand Sanitizer Foam 1000 mL</t>
        </is>
      </c>
      <c r="D247" t="inlineStr">
        <is>
          <t>Patient Care</t>
        </is>
      </c>
      <c r="E247" t="inlineStr">
        <is>
          <t>Bluestone Memorial Hospital</t>
        </is>
      </c>
      <c r="F247" t="inlineStr">
        <is>
          <t>Orthopedics &amp; Spine</t>
        </is>
      </c>
      <c r="G247" t="inlineStr">
        <is>
          <t>Each</t>
        </is>
      </c>
      <c r="H247" t="n">
        <v>361</v>
      </c>
      <c r="I247" t="n">
        <v>379</v>
      </c>
      <c r="J247" t="n">
        <v>129</v>
      </c>
      <c r="K247" s="31" t="n">
        <v>0.9525065963060686</v>
      </c>
      <c r="L247" s="25" t="n">
        <v>46727</v>
      </c>
      <c r="M247" t="inlineStr">
        <is>
          <t>L551698</t>
        </is>
      </c>
    </row>
    <row r="248">
      <c r="A248" t="inlineStr">
        <is>
          <t>STK4247</t>
        </is>
      </c>
      <c r="B248" t="inlineStr">
        <is>
          <t>SKU-10847</t>
        </is>
      </c>
      <c r="C248" t="inlineStr">
        <is>
          <t>Oral Syringe 1 mL (Box/100)</t>
        </is>
      </c>
      <c r="D248" t="inlineStr">
        <is>
          <t>Pharmacy Supplies</t>
        </is>
      </c>
      <c r="E248" t="inlineStr">
        <is>
          <t>Bluestone Memorial Hospital</t>
        </is>
      </c>
      <c r="F248" t="inlineStr">
        <is>
          <t>Cardiac Step-Down</t>
        </is>
      </c>
      <c r="G248" t="inlineStr">
        <is>
          <t>Box</t>
        </is>
      </c>
      <c r="H248" t="n">
        <v>400</v>
      </c>
      <c r="I248" t="n">
        <v>658</v>
      </c>
      <c r="J248" t="n">
        <v>220</v>
      </c>
      <c r="K248" s="31" t="n">
        <v>0.60790273556231</v>
      </c>
      <c r="L248" s="25" t="n"/>
    </row>
    <row r="249">
      <c r="A249" t="inlineStr">
        <is>
          <t>STK4248</t>
        </is>
      </c>
      <c r="B249" t="inlineStr">
        <is>
          <t>SKU-10847</t>
        </is>
      </c>
      <c r="C249" t="inlineStr">
        <is>
          <t>Oral Syringe 1 mL (Box/100)</t>
        </is>
      </c>
      <c r="D249" t="inlineStr">
        <is>
          <t>Pharmacy Supplies</t>
        </is>
      </c>
      <c r="E249" t="inlineStr">
        <is>
          <t>Bluestone Memorial Hospital</t>
        </is>
      </c>
      <c r="F249" t="inlineStr">
        <is>
          <t>Labor &amp; Delivery</t>
        </is>
      </c>
      <c r="G249" t="inlineStr">
        <is>
          <t>Box</t>
        </is>
      </c>
      <c r="H249" t="n">
        <v>739</v>
      </c>
      <c r="I249" t="n">
        <v>606</v>
      </c>
      <c r="J249" t="n">
        <v>159</v>
      </c>
      <c r="K249" s="31" t="n">
        <v>1.21947194719472</v>
      </c>
      <c r="L249" s="25" t="n"/>
    </row>
    <row r="250">
      <c r="A250" t="inlineStr">
        <is>
          <t>STK4249</t>
        </is>
      </c>
      <c r="B250" t="inlineStr">
        <is>
          <t>SKU-10847</t>
        </is>
      </c>
      <c r="C250" t="inlineStr">
        <is>
          <t>Oral Syringe 1 mL (Box/100)</t>
        </is>
      </c>
      <c r="D250" t="inlineStr">
        <is>
          <t>Pharmacy Supplies</t>
        </is>
      </c>
      <c r="E250" t="inlineStr">
        <is>
          <t>Ashby Falls Community Hospital</t>
        </is>
      </c>
      <c r="F250" t="inlineStr">
        <is>
          <t>Emergency Department</t>
        </is>
      </c>
      <c r="G250" t="inlineStr">
        <is>
          <t>Box</t>
        </is>
      </c>
      <c r="H250" t="n">
        <v>631</v>
      </c>
      <c r="I250" t="n">
        <v>800</v>
      </c>
      <c r="J250" t="n">
        <v>206</v>
      </c>
      <c r="K250" s="31" t="n">
        <v>0.78875</v>
      </c>
      <c r="L250" s="25" t="n"/>
    </row>
    <row r="251">
      <c r="A251" t="inlineStr">
        <is>
          <t>STK4250</t>
        </is>
      </c>
      <c r="B251" t="inlineStr">
        <is>
          <t>SKU-10854</t>
        </is>
      </c>
      <c r="C251" t="inlineStr">
        <is>
          <t>Oral Syringe 5 mL (Box/100)</t>
        </is>
      </c>
      <c r="D251" t="inlineStr">
        <is>
          <t>Pharmacy Supplies</t>
        </is>
      </c>
      <c r="E251" t="inlineStr">
        <is>
          <t>Ashby Falls Community Hospital</t>
        </is>
      </c>
      <c r="F251" t="inlineStr">
        <is>
          <t>Medical-Surgical</t>
        </is>
      </c>
      <c r="G251" t="inlineStr">
        <is>
          <t>Box</t>
        </is>
      </c>
      <c r="H251" t="n">
        <v>186</v>
      </c>
      <c r="I251" t="n">
        <v>279</v>
      </c>
      <c r="J251" t="n">
        <v>100</v>
      </c>
      <c r="K251" s="31" t="n">
        <v>0.6666666666666666</v>
      </c>
      <c r="L251" s="25" t="n"/>
    </row>
    <row r="252">
      <c r="A252" t="inlineStr">
        <is>
          <t>STK4251</t>
        </is>
      </c>
      <c r="B252" t="inlineStr">
        <is>
          <t>SKU-10854</t>
        </is>
      </c>
      <c r="C252" t="inlineStr">
        <is>
          <t>Oral Syringe 5 mL (Box/100)</t>
        </is>
      </c>
      <c r="D252" t="inlineStr">
        <is>
          <t>Pharmacy Supplies</t>
        </is>
      </c>
      <c r="E252" t="inlineStr">
        <is>
          <t>Bluestone Memorial Hospital</t>
        </is>
      </c>
      <c r="F252" t="inlineStr">
        <is>
          <t>Laboratory</t>
        </is>
      </c>
      <c r="G252" t="inlineStr">
        <is>
          <t>Box</t>
        </is>
      </c>
      <c r="H252" t="n">
        <v>167</v>
      </c>
      <c r="I252" t="n">
        <v>221</v>
      </c>
      <c r="J252" t="n">
        <v>74</v>
      </c>
      <c r="K252" s="31" t="n">
        <v>0.755656108597285</v>
      </c>
      <c r="L252" s="25" t="n"/>
    </row>
    <row r="253">
      <c r="A253" t="inlineStr">
        <is>
          <t>STK4252</t>
        </is>
      </c>
      <c r="B253" t="inlineStr">
        <is>
          <t>SKU-10861</t>
        </is>
      </c>
      <c r="C253" t="inlineStr">
        <is>
          <t>Oral Syringe 10 mL (Box/100)</t>
        </is>
      </c>
      <c r="D253" t="inlineStr">
        <is>
          <t>Pharmacy Supplies</t>
        </is>
      </c>
      <c r="E253" t="inlineStr">
        <is>
          <t>Bluestone Memorial Hospital</t>
        </is>
      </c>
      <c r="F253" t="inlineStr">
        <is>
          <t>Labor &amp; Delivery</t>
        </is>
      </c>
      <c r="G253" t="inlineStr">
        <is>
          <t>Box</t>
        </is>
      </c>
      <c r="H253" t="n">
        <v>270</v>
      </c>
      <c r="I253" t="n">
        <v>335</v>
      </c>
      <c r="J253" t="n">
        <v>104</v>
      </c>
      <c r="K253" s="31" t="n">
        <v>0.8059701492537313</v>
      </c>
      <c r="L253" s="25" t="n"/>
    </row>
    <row r="254">
      <c r="A254" t="inlineStr">
        <is>
          <t>STK4253</t>
        </is>
      </c>
      <c r="B254" t="inlineStr">
        <is>
          <t>SKU-10861</t>
        </is>
      </c>
      <c r="C254" t="inlineStr">
        <is>
          <t>Oral Syringe 10 mL (Box/100)</t>
        </is>
      </c>
      <c r="D254" t="inlineStr">
        <is>
          <t>Pharmacy Supplies</t>
        </is>
      </c>
      <c r="E254" t="inlineStr">
        <is>
          <t>Ashby Falls Community Hospital</t>
        </is>
      </c>
      <c r="F254" t="inlineStr">
        <is>
          <t>Medical-Surgical</t>
        </is>
      </c>
      <c r="G254" t="inlineStr">
        <is>
          <t>Box</t>
        </is>
      </c>
      <c r="H254" t="n">
        <v>204</v>
      </c>
      <c r="I254" t="n">
        <v>630</v>
      </c>
      <c r="J254" t="n">
        <v>241</v>
      </c>
      <c r="K254" s="31" t="n">
        <v>0.3238095238095238</v>
      </c>
      <c r="L254" s="25" t="n"/>
    </row>
    <row r="255">
      <c r="A255" t="inlineStr">
        <is>
          <t>STK4254</t>
        </is>
      </c>
      <c r="B255" t="inlineStr">
        <is>
          <t>SKU-10868</t>
        </is>
      </c>
      <c r="C255" t="inlineStr">
        <is>
          <t>Pill Crusher Pouches (Box/1000)</t>
        </is>
      </c>
      <c r="D255" t="inlineStr">
        <is>
          <t>Pharmacy Supplies</t>
        </is>
      </c>
      <c r="E255" t="inlineStr">
        <is>
          <t>Bluestone Memorial Hospital</t>
        </is>
      </c>
      <c r="F255" t="inlineStr">
        <is>
          <t>Emergency Department</t>
        </is>
      </c>
      <c r="G255" t="inlineStr">
        <is>
          <t>Box</t>
        </is>
      </c>
      <c r="H255" t="n">
        <v>183</v>
      </c>
      <c r="I255" t="n">
        <v>216</v>
      </c>
      <c r="J255" t="n">
        <v>81</v>
      </c>
      <c r="K255" s="31" t="n">
        <v>0.8472222222222222</v>
      </c>
      <c r="L255" s="25" t="n"/>
    </row>
    <row r="256">
      <c r="A256" t="inlineStr">
        <is>
          <t>STK4255</t>
        </is>
      </c>
      <c r="B256" t="inlineStr">
        <is>
          <t>SKU-10868</t>
        </is>
      </c>
      <c r="C256" t="inlineStr">
        <is>
          <t>Pill Crusher Pouches (Box/1000)</t>
        </is>
      </c>
      <c r="D256" t="inlineStr">
        <is>
          <t>Pharmacy Supplies</t>
        </is>
      </c>
      <c r="E256" t="inlineStr">
        <is>
          <t>Bluestone Memorial Hospital</t>
        </is>
      </c>
      <c r="F256" t="inlineStr">
        <is>
          <t>Labor &amp; Delivery</t>
        </is>
      </c>
      <c r="G256" t="inlineStr">
        <is>
          <t>Box</t>
        </is>
      </c>
      <c r="H256" t="n">
        <v>111</v>
      </c>
      <c r="I256" t="n">
        <v>138</v>
      </c>
      <c r="J256" t="n">
        <v>54</v>
      </c>
      <c r="K256" s="31" t="n">
        <v>0.8043478260869565</v>
      </c>
      <c r="L256" s="25" t="n"/>
    </row>
    <row r="257">
      <c r="A257" t="inlineStr">
        <is>
          <t>STK4256</t>
        </is>
      </c>
      <c r="B257" t="inlineStr">
        <is>
          <t>SKU-10875</t>
        </is>
      </c>
      <c r="C257" t="inlineStr">
        <is>
          <t>IV Bag Label Roll</t>
        </is>
      </c>
      <c r="D257" t="inlineStr">
        <is>
          <t>Pharmacy Supplies</t>
        </is>
      </c>
      <c r="E257" t="inlineStr">
        <is>
          <t>Bluestone Memorial Hospital</t>
        </is>
      </c>
      <c r="F257" t="inlineStr">
        <is>
          <t>Medical-Surgical 5 East</t>
        </is>
      </c>
      <c r="G257" t="inlineStr">
        <is>
          <t>Roll</t>
        </is>
      </c>
      <c r="H257" t="n">
        <v>0</v>
      </c>
      <c r="I257" t="n">
        <v>447</v>
      </c>
      <c r="J257" t="n">
        <v>148</v>
      </c>
      <c r="K257" s="31" t="n">
        <v>0</v>
      </c>
      <c r="L257" s="25" t="n"/>
    </row>
    <row r="258">
      <c r="A258" t="inlineStr">
        <is>
          <t>STK4257</t>
        </is>
      </c>
      <c r="B258" t="inlineStr">
        <is>
          <t>SKU-10875</t>
        </is>
      </c>
      <c r="C258" t="inlineStr">
        <is>
          <t>IV Bag Label Roll</t>
        </is>
      </c>
      <c r="D258" t="inlineStr">
        <is>
          <t>Pharmacy Supplies</t>
        </is>
      </c>
      <c r="E258" t="inlineStr">
        <is>
          <t>Bluestone Memorial Hospital</t>
        </is>
      </c>
      <c r="F258" t="inlineStr">
        <is>
          <t>Pediatrics</t>
        </is>
      </c>
      <c r="G258" t="inlineStr">
        <is>
          <t>Roll</t>
        </is>
      </c>
      <c r="H258" t="n">
        <v>752</v>
      </c>
      <c r="I258" t="n">
        <v>655</v>
      </c>
      <c r="J258" t="n">
        <v>228</v>
      </c>
      <c r="K258" s="31" t="n">
        <v>1.148091603053435</v>
      </c>
      <c r="L258" s="25" t="n"/>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F62"/>
  <sheetViews>
    <sheetView tabSelected="0"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16" customWidth="1" min="5" max="5"/>
    <col width="12" customWidth="1" min="6" max="6"/>
  </cols>
  <sheetData>
    <row r="1">
      <c r="A1" s="24" t="inlineStr">
        <is>
          <t>CensusDate</t>
        </is>
      </c>
      <c r="B1" s="24" t="inlineStr">
        <is>
          <t>StaffedBeds</t>
        </is>
      </c>
      <c r="C1" s="24" t="inlineStr">
        <is>
          <t>Admissions</t>
        </is>
      </c>
      <c r="D1" s="24" t="inlineStr">
        <is>
          <t>Discharges</t>
        </is>
      </c>
      <c r="E1" s="24" t="inlineStr">
        <is>
          <t>MidnightCensus</t>
        </is>
      </c>
      <c r="F1" s="24" t="inlineStr">
        <is>
          <t>Occupancy</t>
        </is>
      </c>
    </row>
    <row r="2">
      <c r="A2" s="25" t="n">
        <v>45962</v>
      </c>
      <c r="B2" t="n">
        <v>32</v>
      </c>
      <c r="C2" t="n">
        <v>4</v>
      </c>
      <c r="D2" t="n">
        <v>3</v>
      </c>
      <c r="E2" t="n">
        <v>27</v>
      </c>
      <c r="F2" s="32" t="n">
        <v>0.84375</v>
      </c>
    </row>
    <row r="3">
      <c r="A3" s="25" t="n">
        <v>45963</v>
      </c>
      <c r="B3" t="n">
        <v>32</v>
      </c>
      <c r="C3" t="n">
        <v>8</v>
      </c>
      <c r="D3" t="n">
        <v>8</v>
      </c>
      <c r="E3" t="n">
        <v>27</v>
      </c>
      <c r="F3" s="32" t="n">
        <v>0.84375</v>
      </c>
    </row>
    <row r="4">
      <c r="A4" s="25" t="n">
        <v>45964</v>
      </c>
      <c r="B4" t="n">
        <v>32</v>
      </c>
      <c r="C4" t="n">
        <v>1</v>
      </c>
      <c r="D4" t="n">
        <v>0</v>
      </c>
      <c r="E4" t="n">
        <v>28</v>
      </c>
      <c r="F4" s="32" t="n">
        <v>0.875</v>
      </c>
    </row>
    <row r="5">
      <c r="A5" s="25" t="n">
        <v>45965</v>
      </c>
      <c r="B5" t="n">
        <v>32</v>
      </c>
      <c r="C5" t="n">
        <v>5</v>
      </c>
      <c r="D5" t="n">
        <v>5</v>
      </c>
      <c r="E5" t="n">
        <v>28</v>
      </c>
      <c r="F5" s="32" t="n">
        <v>0.875</v>
      </c>
    </row>
    <row r="6">
      <c r="A6" s="25" t="n">
        <v>45966</v>
      </c>
      <c r="B6" t="n">
        <v>32</v>
      </c>
      <c r="C6" t="n">
        <v>5</v>
      </c>
      <c r="D6" t="n">
        <v>4</v>
      </c>
      <c r="E6" t="n">
        <v>29</v>
      </c>
      <c r="F6" s="32" t="n">
        <v>0.90625</v>
      </c>
    </row>
    <row r="7">
      <c r="A7" s="25" t="n">
        <v>45967</v>
      </c>
      <c r="B7" t="n">
        <v>32</v>
      </c>
      <c r="C7" t="n">
        <v>9</v>
      </c>
      <c r="D7" t="n">
        <v>9</v>
      </c>
      <c r="E7" t="n">
        <v>29</v>
      </c>
      <c r="F7" s="32" t="n">
        <v>0.90625</v>
      </c>
    </row>
    <row r="8">
      <c r="A8" s="25" t="n">
        <v>45968</v>
      </c>
      <c r="B8" t="n">
        <v>32</v>
      </c>
      <c r="C8" t="n">
        <v>8</v>
      </c>
      <c r="D8" t="n">
        <v>8</v>
      </c>
      <c r="E8" t="n">
        <v>29</v>
      </c>
      <c r="F8" s="32" t="n">
        <v>0.90625</v>
      </c>
    </row>
    <row r="9">
      <c r="A9" s="25" t="n">
        <v>45969</v>
      </c>
      <c r="B9" t="n">
        <v>32</v>
      </c>
      <c r="C9" t="n">
        <v>4</v>
      </c>
      <c r="D9" t="n">
        <v>5</v>
      </c>
      <c r="E9" t="n">
        <v>28</v>
      </c>
      <c r="F9" s="32" t="n">
        <v>0.875</v>
      </c>
    </row>
    <row r="10">
      <c r="A10" s="25" t="n">
        <v>45970</v>
      </c>
      <c r="B10" t="n">
        <v>32</v>
      </c>
      <c r="C10" t="n">
        <v>2</v>
      </c>
      <c r="D10" t="n">
        <v>2</v>
      </c>
      <c r="E10" t="n">
        <v>28</v>
      </c>
      <c r="F10" s="32" t="n">
        <v>0.875</v>
      </c>
    </row>
    <row r="11">
      <c r="A11" s="25" t="n">
        <v>45971</v>
      </c>
      <c r="B11" t="n">
        <v>32</v>
      </c>
      <c r="C11" t="n">
        <v>10</v>
      </c>
      <c r="D11" t="n">
        <v>8</v>
      </c>
      <c r="E11" t="n">
        <v>30</v>
      </c>
      <c r="F11" s="32" t="n">
        <v>0.9375</v>
      </c>
    </row>
    <row r="12">
      <c r="A12" s="25" t="n">
        <v>45972</v>
      </c>
      <c r="B12" t="n">
        <v>32</v>
      </c>
      <c r="C12" t="n">
        <v>11</v>
      </c>
      <c r="D12" t="n">
        <v>11</v>
      </c>
      <c r="E12" t="n">
        <v>30</v>
      </c>
      <c r="F12" s="32" t="n">
        <v>0.9375</v>
      </c>
    </row>
    <row r="13">
      <c r="A13" s="25" t="n">
        <v>45973</v>
      </c>
      <c r="B13" t="n">
        <v>32</v>
      </c>
      <c r="C13" t="n">
        <v>6</v>
      </c>
      <c r="D13" t="n">
        <v>5</v>
      </c>
      <c r="E13" t="n">
        <v>31</v>
      </c>
      <c r="F13" s="32" t="n">
        <v>0.96875</v>
      </c>
    </row>
    <row r="14">
      <c r="A14" s="25" t="n">
        <v>45974</v>
      </c>
      <c r="B14" t="n">
        <v>32</v>
      </c>
      <c r="C14" t="n">
        <v>10</v>
      </c>
      <c r="D14" t="n">
        <v>9</v>
      </c>
      <c r="E14" t="n">
        <v>32</v>
      </c>
      <c r="F14" s="32" t="n">
        <v>1</v>
      </c>
    </row>
    <row r="15">
      <c r="A15" s="25" t="n">
        <v>45975</v>
      </c>
      <c r="B15" t="n">
        <v>32</v>
      </c>
      <c r="C15" t="n">
        <v>9</v>
      </c>
      <c r="D15" t="n">
        <v>10</v>
      </c>
      <c r="E15" t="n">
        <v>31</v>
      </c>
      <c r="F15" s="32" t="n">
        <v>0.96875</v>
      </c>
    </row>
    <row r="16">
      <c r="A16" s="25" t="n">
        <v>45976</v>
      </c>
      <c r="B16" t="n">
        <v>32</v>
      </c>
      <c r="C16" t="n">
        <v>10</v>
      </c>
      <c r="D16" t="n">
        <v>11</v>
      </c>
      <c r="E16" t="n">
        <v>30</v>
      </c>
      <c r="F16" s="32" t="n">
        <v>0.9375</v>
      </c>
    </row>
    <row r="17">
      <c r="A17" s="25" t="n">
        <v>45977</v>
      </c>
      <c r="B17" t="n">
        <v>32</v>
      </c>
      <c r="C17" t="n">
        <v>4</v>
      </c>
      <c r="D17" t="n">
        <v>4</v>
      </c>
      <c r="E17" t="n">
        <v>30</v>
      </c>
      <c r="F17" s="32" t="n">
        <v>0.9375</v>
      </c>
    </row>
    <row r="18">
      <c r="A18" s="25" t="n">
        <v>45978</v>
      </c>
      <c r="B18" t="n">
        <v>32</v>
      </c>
      <c r="C18" t="n">
        <v>6</v>
      </c>
      <c r="D18" t="n">
        <v>5</v>
      </c>
      <c r="E18" t="n">
        <v>31</v>
      </c>
      <c r="F18" s="32" t="n">
        <v>0.96875</v>
      </c>
    </row>
    <row r="19">
      <c r="A19" s="25" t="n">
        <v>45979</v>
      </c>
      <c r="B19" t="n">
        <v>32</v>
      </c>
      <c r="C19" t="n">
        <v>7</v>
      </c>
      <c r="D19" t="n">
        <v>7</v>
      </c>
      <c r="E19" t="n">
        <v>31</v>
      </c>
      <c r="F19" s="32" t="n">
        <v>0.96875</v>
      </c>
    </row>
    <row r="20">
      <c r="A20" s="25" t="n">
        <v>45980</v>
      </c>
      <c r="B20" t="n">
        <v>32</v>
      </c>
      <c r="C20" t="n">
        <v>8</v>
      </c>
      <c r="D20" t="n">
        <v>10</v>
      </c>
      <c r="E20" t="n">
        <v>29</v>
      </c>
      <c r="F20" s="32" t="n">
        <v>0.90625</v>
      </c>
    </row>
    <row r="21">
      <c r="A21" s="25" t="n">
        <v>45981</v>
      </c>
      <c r="B21" t="n">
        <v>32</v>
      </c>
      <c r="C21" t="n">
        <v>6</v>
      </c>
      <c r="D21" t="n">
        <v>8</v>
      </c>
      <c r="E21" t="n">
        <v>27</v>
      </c>
      <c r="F21" s="32" t="n">
        <v>0.84375</v>
      </c>
    </row>
    <row r="22">
      <c r="A22" s="25" t="n">
        <v>45982</v>
      </c>
      <c r="B22" t="n">
        <v>32</v>
      </c>
      <c r="C22" t="n">
        <v>6</v>
      </c>
      <c r="D22" t="n">
        <v>5</v>
      </c>
      <c r="E22" t="n">
        <v>28</v>
      </c>
      <c r="F22" s="32" t="n">
        <v>0.875</v>
      </c>
    </row>
    <row r="23">
      <c r="A23" s="25" t="n">
        <v>45983</v>
      </c>
      <c r="B23" t="n">
        <v>32</v>
      </c>
      <c r="C23" t="n">
        <v>12</v>
      </c>
      <c r="D23" t="n">
        <v>12</v>
      </c>
      <c r="E23" t="n">
        <v>28</v>
      </c>
      <c r="F23" s="32" t="n">
        <v>0.875</v>
      </c>
    </row>
    <row r="24">
      <c r="A24" s="25" t="n">
        <v>45984</v>
      </c>
      <c r="B24" t="n">
        <v>32</v>
      </c>
      <c r="C24" t="n">
        <v>6</v>
      </c>
      <c r="D24" t="n">
        <v>6</v>
      </c>
      <c r="E24" t="n">
        <v>28</v>
      </c>
      <c r="F24" s="32" t="n">
        <v>0.875</v>
      </c>
    </row>
    <row r="25">
      <c r="A25" s="25" t="n">
        <v>45985</v>
      </c>
      <c r="B25" t="n">
        <v>32</v>
      </c>
      <c r="C25" t="n">
        <v>7</v>
      </c>
      <c r="D25" t="n">
        <v>2</v>
      </c>
      <c r="E25" t="n">
        <v>33</v>
      </c>
      <c r="F25" s="32" t="n">
        <v>1.03125</v>
      </c>
    </row>
    <row r="26">
      <c r="A26" s="25" t="n">
        <v>45986</v>
      </c>
      <c r="B26" t="n">
        <v>32</v>
      </c>
      <c r="C26" t="n">
        <v>6</v>
      </c>
      <c r="D26" t="n">
        <v>5</v>
      </c>
      <c r="E26" t="n">
        <v>34</v>
      </c>
      <c r="F26" s="32" t="n">
        <v>1.0625</v>
      </c>
    </row>
    <row r="27">
      <c r="A27" s="25" t="n">
        <v>45987</v>
      </c>
      <c r="B27" t="n">
        <v>32</v>
      </c>
      <c r="C27" t="n">
        <v>6</v>
      </c>
      <c r="D27" t="n">
        <v>7</v>
      </c>
      <c r="E27" t="n">
        <v>33</v>
      </c>
      <c r="F27" s="32" t="n">
        <v>1.03125</v>
      </c>
    </row>
    <row r="28">
      <c r="A28" s="25" t="n">
        <v>45988</v>
      </c>
      <c r="B28" t="n">
        <v>32</v>
      </c>
      <c r="C28" t="n">
        <v>6</v>
      </c>
      <c r="D28" t="n">
        <v>8</v>
      </c>
      <c r="E28" t="n">
        <v>31</v>
      </c>
      <c r="F28" s="32" t="n">
        <v>0.96875</v>
      </c>
    </row>
    <row r="29">
      <c r="A29" s="25" t="n">
        <v>45989</v>
      </c>
      <c r="B29" t="n">
        <v>32</v>
      </c>
      <c r="C29" t="n">
        <v>7</v>
      </c>
      <c r="D29" t="n">
        <v>7</v>
      </c>
      <c r="E29" t="n">
        <v>31</v>
      </c>
      <c r="F29" s="32" t="n">
        <v>0.96875</v>
      </c>
    </row>
    <row r="30">
      <c r="A30" s="25" t="n">
        <v>45990</v>
      </c>
      <c r="B30" t="n">
        <v>32</v>
      </c>
      <c r="C30" t="n">
        <v>8</v>
      </c>
      <c r="D30" t="n">
        <v>8</v>
      </c>
      <c r="E30" t="n">
        <v>31</v>
      </c>
      <c r="F30" s="32" t="n">
        <v>0.96875</v>
      </c>
    </row>
    <row r="31">
      <c r="A31" s="25" t="n">
        <v>45991</v>
      </c>
      <c r="B31" t="n">
        <v>32</v>
      </c>
      <c r="C31" t="n">
        <v>6</v>
      </c>
      <c r="D31" t="n">
        <v>7</v>
      </c>
      <c r="E31" t="n">
        <v>30</v>
      </c>
      <c r="F31" s="32" t="n">
        <v>0.9375</v>
      </c>
    </row>
    <row r="32">
      <c r="A32" s="25" t="n">
        <v>45992</v>
      </c>
      <c r="B32" t="n">
        <v>32</v>
      </c>
      <c r="C32" t="n">
        <v>9</v>
      </c>
      <c r="D32" t="n">
        <v>6</v>
      </c>
      <c r="E32" t="n">
        <v>33</v>
      </c>
      <c r="F32" s="32" t="n">
        <v>1.03125</v>
      </c>
    </row>
    <row r="33">
      <c r="A33" s="25" t="n">
        <v>45993</v>
      </c>
      <c r="B33" t="n">
        <v>32</v>
      </c>
      <c r="C33" t="n">
        <v>11</v>
      </c>
      <c r="D33" t="n">
        <v>13</v>
      </c>
      <c r="E33" t="n">
        <v>31</v>
      </c>
      <c r="F33" s="32" t="n">
        <v>0.96875</v>
      </c>
    </row>
    <row r="34">
      <c r="A34" s="25" t="n">
        <v>45994</v>
      </c>
      <c r="B34" t="n">
        <v>32</v>
      </c>
      <c r="C34" t="n">
        <v>4</v>
      </c>
      <c r="D34" t="n">
        <v>5</v>
      </c>
      <c r="E34" t="n">
        <v>30</v>
      </c>
      <c r="F34" s="32" t="n">
        <v>0.9375</v>
      </c>
    </row>
    <row r="35">
      <c r="A35" s="25" t="n">
        <v>45995</v>
      </c>
      <c r="B35" t="n">
        <v>32</v>
      </c>
      <c r="C35" t="n">
        <v>8</v>
      </c>
      <c r="D35" t="n">
        <v>7</v>
      </c>
      <c r="E35" t="n">
        <v>31</v>
      </c>
      <c r="F35" s="32" t="n">
        <v>0.96875</v>
      </c>
    </row>
    <row r="36">
      <c r="A36" s="25" t="n">
        <v>45996</v>
      </c>
      <c r="B36" t="n">
        <v>32</v>
      </c>
      <c r="C36" t="n">
        <v>10</v>
      </c>
      <c r="D36" t="n">
        <v>11</v>
      </c>
      <c r="E36" t="n">
        <v>30</v>
      </c>
      <c r="F36" s="32" t="n">
        <v>0.9375</v>
      </c>
    </row>
    <row r="37">
      <c r="A37" s="25" t="n">
        <v>45997</v>
      </c>
      <c r="B37" t="n">
        <v>32</v>
      </c>
      <c r="C37" t="n">
        <v>4</v>
      </c>
      <c r="D37" t="n">
        <v>6</v>
      </c>
      <c r="E37" t="n">
        <v>28</v>
      </c>
      <c r="F37" s="32" t="n">
        <v>0.875</v>
      </c>
    </row>
    <row r="38">
      <c r="A38" s="25" t="n">
        <v>45998</v>
      </c>
      <c r="B38" t="n">
        <v>32</v>
      </c>
      <c r="C38" t="n">
        <v>6</v>
      </c>
      <c r="D38" t="n">
        <v>5</v>
      </c>
      <c r="E38" t="n">
        <v>29</v>
      </c>
      <c r="F38" s="32" t="n">
        <v>0.90625</v>
      </c>
    </row>
    <row r="39">
      <c r="A39" s="25" t="n">
        <v>45999</v>
      </c>
      <c r="B39" t="n">
        <v>32</v>
      </c>
      <c r="C39" t="n">
        <v>8</v>
      </c>
      <c r="D39" t="n">
        <v>7</v>
      </c>
      <c r="E39" t="n">
        <v>30</v>
      </c>
      <c r="F39" s="32" t="n">
        <v>0.9375</v>
      </c>
    </row>
    <row r="40">
      <c r="A40" s="25" t="n">
        <v>46000</v>
      </c>
      <c r="B40" t="n">
        <v>32</v>
      </c>
      <c r="C40" t="n">
        <v>10</v>
      </c>
      <c r="D40" t="n">
        <v>9</v>
      </c>
      <c r="E40" t="n">
        <v>31</v>
      </c>
      <c r="F40" s="32" t="n">
        <v>0.96875</v>
      </c>
    </row>
    <row r="41">
      <c r="A41" s="25" t="n">
        <v>46001</v>
      </c>
      <c r="B41" t="n">
        <v>32</v>
      </c>
      <c r="C41" t="n">
        <v>9</v>
      </c>
      <c r="D41" t="n">
        <v>11</v>
      </c>
      <c r="E41" t="n">
        <v>29</v>
      </c>
      <c r="F41" s="32" t="n">
        <v>0.90625</v>
      </c>
    </row>
    <row r="42">
      <c r="A42" s="25" t="n">
        <v>46002</v>
      </c>
      <c r="B42" t="n">
        <v>32</v>
      </c>
      <c r="C42" t="n">
        <v>3</v>
      </c>
      <c r="D42" t="n">
        <v>3</v>
      </c>
      <c r="E42" t="n">
        <v>29</v>
      </c>
      <c r="F42" s="32" t="n">
        <v>0.90625</v>
      </c>
    </row>
    <row r="43">
      <c r="A43" s="25" t="n">
        <v>46003</v>
      </c>
      <c r="B43" t="n">
        <v>32</v>
      </c>
      <c r="C43" t="n">
        <v>11</v>
      </c>
      <c r="D43" t="n">
        <v>11</v>
      </c>
      <c r="E43" t="n">
        <v>29</v>
      </c>
      <c r="F43" s="32" t="n">
        <v>0.90625</v>
      </c>
    </row>
    <row r="44">
      <c r="A44" s="25" t="n">
        <v>46004</v>
      </c>
      <c r="B44" t="n">
        <v>32</v>
      </c>
      <c r="C44" t="n">
        <v>8</v>
      </c>
      <c r="D44" t="n">
        <v>9</v>
      </c>
      <c r="E44" t="n">
        <v>28</v>
      </c>
      <c r="F44" s="32" t="n">
        <v>0.875</v>
      </c>
    </row>
    <row r="45">
      <c r="A45" s="25" t="n">
        <v>46005</v>
      </c>
      <c r="B45" t="n">
        <v>32</v>
      </c>
      <c r="C45" t="n">
        <v>8</v>
      </c>
      <c r="D45" t="n">
        <v>7</v>
      </c>
      <c r="E45" t="n">
        <v>29</v>
      </c>
      <c r="F45" s="32" t="n">
        <v>0.90625</v>
      </c>
    </row>
    <row r="46">
      <c r="A46" s="25" t="n">
        <v>46006</v>
      </c>
      <c r="B46" t="n">
        <v>32</v>
      </c>
      <c r="C46" t="n">
        <v>11</v>
      </c>
      <c r="D46" t="n">
        <v>10</v>
      </c>
      <c r="E46" t="n">
        <v>30</v>
      </c>
      <c r="F46" s="32" t="n">
        <v>0.9375</v>
      </c>
    </row>
    <row r="47">
      <c r="A47" s="25" t="n">
        <v>46007</v>
      </c>
      <c r="B47" t="n">
        <v>32</v>
      </c>
      <c r="C47" t="n">
        <v>6</v>
      </c>
      <c r="D47" t="n">
        <v>5</v>
      </c>
      <c r="E47" t="n">
        <v>31</v>
      </c>
      <c r="F47" s="32" t="n">
        <v>0.96875</v>
      </c>
    </row>
    <row r="48">
      <c r="A48" s="25" t="n">
        <v>46008</v>
      </c>
      <c r="B48" t="n">
        <v>32</v>
      </c>
      <c r="C48" t="n">
        <v>3</v>
      </c>
      <c r="D48" t="n">
        <v>3</v>
      </c>
      <c r="E48" t="n">
        <v>31</v>
      </c>
      <c r="F48" s="32" t="n">
        <v>0.96875</v>
      </c>
    </row>
    <row r="49">
      <c r="A49" s="25" t="n">
        <v>46009</v>
      </c>
      <c r="B49" t="n">
        <v>32</v>
      </c>
      <c r="C49" t="n">
        <v>10</v>
      </c>
      <c r="D49" t="n">
        <v>12</v>
      </c>
      <c r="E49" t="n">
        <v>29</v>
      </c>
      <c r="F49" s="32" t="n">
        <v>0.90625</v>
      </c>
    </row>
    <row r="50">
      <c r="A50" s="25" t="n">
        <v>46010</v>
      </c>
      <c r="B50" t="n">
        <v>32</v>
      </c>
      <c r="C50" t="n">
        <v>10</v>
      </c>
      <c r="D50" t="n">
        <v>10</v>
      </c>
      <c r="E50" t="n">
        <v>29</v>
      </c>
      <c r="F50" s="32" t="n">
        <v>0.90625</v>
      </c>
    </row>
    <row r="51">
      <c r="A51" s="25" t="n">
        <v>46011</v>
      </c>
      <c r="B51" t="n">
        <v>32</v>
      </c>
      <c r="C51" t="n">
        <v>5</v>
      </c>
      <c r="D51" t="n">
        <v>7</v>
      </c>
      <c r="E51" t="n">
        <v>27</v>
      </c>
      <c r="F51" s="32" t="n">
        <v>0.84375</v>
      </c>
    </row>
    <row r="52">
      <c r="A52" s="25" t="n">
        <v>46012</v>
      </c>
      <c r="B52" t="n">
        <v>32</v>
      </c>
      <c r="C52" t="n">
        <v>7</v>
      </c>
      <c r="D52" t="n">
        <v>6</v>
      </c>
      <c r="E52" t="n">
        <v>28</v>
      </c>
      <c r="F52" s="32" t="n">
        <v>0.875</v>
      </c>
    </row>
    <row r="53">
      <c r="A53" s="25" t="n">
        <v>46013</v>
      </c>
      <c r="B53" t="n">
        <v>32</v>
      </c>
      <c r="C53" t="n">
        <v>9</v>
      </c>
      <c r="D53" t="n">
        <v>8</v>
      </c>
      <c r="E53" t="n">
        <v>29</v>
      </c>
      <c r="F53" s="32" t="n">
        <v>0.90625</v>
      </c>
    </row>
    <row r="54">
      <c r="A54" s="25" t="n">
        <v>46014</v>
      </c>
      <c r="B54" t="n">
        <v>32</v>
      </c>
      <c r="C54" t="n">
        <v>6</v>
      </c>
      <c r="D54" t="n">
        <v>6</v>
      </c>
      <c r="E54" t="n">
        <v>29</v>
      </c>
      <c r="F54" s="32" t="n">
        <v>0.90625</v>
      </c>
    </row>
    <row r="55">
      <c r="A55" s="25" t="n">
        <v>46015</v>
      </c>
      <c r="B55" t="n">
        <v>32</v>
      </c>
      <c r="C55" t="n">
        <v>1</v>
      </c>
      <c r="D55" t="n">
        <v>2</v>
      </c>
      <c r="E55" t="n">
        <v>28</v>
      </c>
      <c r="F55" s="32" t="n">
        <v>0.875</v>
      </c>
    </row>
    <row r="56">
      <c r="A56" s="25" t="n">
        <v>46016</v>
      </c>
      <c r="B56" t="n">
        <v>32</v>
      </c>
      <c r="C56" t="n">
        <v>6</v>
      </c>
      <c r="D56" t="n">
        <v>7</v>
      </c>
      <c r="E56" t="n">
        <v>27</v>
      </c>
      <c r="F56" s="32" t="n">
        <v>0.84375</v>
      </c>
    </row>
    <row r="57">
      <c r="A57" s="25" t="n">
        <v>46017</v>
      </c>
      <c r="B57" t="n">
        <v>32</v>
      </c>
      <c r="C57" t="n">
        <v>1</v>
      </c>
      <c r="D57" t="n">
        <v>0</v>
      </c>
      <c r="E57" t="n">
        <v>28</v>
      </c>
      <c r="F57" s="32" t="n">
        <v>0.875</v>
      </c>
    </row>
    <row r="58">
      <c r="A58" s="25" t="n">
        <v>46018</v>
      </c>
      <c r="B58" t="n">
        <v>32</v>
      </c>
      <c r="C58" t="n">
        <v>6</v>
      </c>
      <c r="D58" t="n">
        <v>5</v>
      </c>
      <c r="E58" t="n">
        <v>29</v>
      </c>
      <c r="F58" s="32" t="n">
        <v>0.90625</v>
      </c>
    </row>
    <row r="59">
      <c r="A59" s="25" t="n">
        <v>46019</v>
      </c>
      <c r="B59" t="n">
        <v>32</v>
      </c>
      <c r="C59" t="n">
        <v>8</v>
      </c>
      <c r="D59" t="n">
        <v>9</v>
      </c>
      <c r="E59" t="n">
        <v>28</v>
      </c>
      <c r="F59" s="32" t="n">
        <v>0.875</v>
      </c>
    </row>
    <row r="60">
      <c r="A60" s="25" t="n">
        <v>46020</v>
      </c>
      <c r="B60" t="n">
        <v>32</v>
      </c>
      <c r="C60" t="n">
        <v>6</v>
      </c>
      <c r="D60" t="n">
        <v>5</v>
      </c>
      <c r="E60" t="n">
        <v>29</v>
      </c>
      <c r="F60" s="32" t="n">
        <v>0.90625</v>
      </c>
    </row>
    <row r="61">
      <c r="A61" s="25" t="n">
        <v>46021</v>
      </c>
      <c r="B61" t="n">
        <v>32</v>
      </c>
      <c r="C61" t="n">
        <v>8</v>
      </c>
      <c r="D61" t="n">
        <v>8</v>
      </c>
      <c r="E61" t="n">
        <v>29</v>
      </c>
      <c r="F61" s="32" t="n">
        <v>0.90625</v>
      </c>
    </row>
    <row r="62">
      <c r="A62" s="25" t="n">
        <v>46022</v>
      </c>
      <c r="B62" t="n">
        <v>32</v>
      </c>
      <c r="C62" t="n">
        <v>3</v>
      </c>
      <c r="D62" t="n">
        <v>3</v>
      </c>
      <c r="E62" t="n">
        <v>29</v>
      </c>
      <c r="F62" s="32" t="n">
        <v>0.90625</v>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tabColor rgb="00BF9000"/>
    <outlinePr summaryBelow="1" summaryRight="1"/>
    <pageSetUpPr fitToPage="1"/>
  </sheetPr>
  <dimension ref="A1:E9"/>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3.2 · Bonus: The 7 a.m. bed huddle board</t>
        </is>
      </c>
    </row>
    <row r="2" ht="64" customHeight="1">
      <c r="A2" s="14" t="inlineStr">
        <is>
          <t>It's 7 a.m. on Wednesday, November 26, 2025, the day before Thanksgiving. The house supervisor runs the system bed huddle from the Huddle sheet: one row per inpatient unit, with the midnight census for 11/24 and 11/25, the overnight change, and occupancy. Make the board readable at a glance, then build the unit selector that drives the gray unit card (B6:B9). The card reads the NovCensus sheet (every unit, Nov 1–25). The board's data is in rows 12–29.</t>
        </is>
      </c>
    </row>
    <row r="3" ht="34" customHeight="1">
      <c r="A3" s="15" t="inlineStr">
        <is>
          <t>Type a formula or value in each yellow cell. The Check column turns green when your answer matches. Stuck? Read the hint, then the lesson guide. Answers: right-click a sheet tab → Unhide… → 'Bonus Key'.</t>
        </is>
      </c>
    </row>
    <row r="4">
      <c r="A4" s="16">
        <f>"Score: "&amp;COUNTIF(E6:E9,"✔*")&amp;" of 4 auto-checked tasks correct"</f>
        <v/>
      </c>
    </row>
    <row r="5">
      <c r="A5" s="17" t="inlineStr">
        <is>
          <t>#</t>
        </is>
      </c>
      <c r="B5" s="17" t="inlineStr">
        <is>
          <t>Task</t>
        </is>
      </c>
      <c r="C5" s="17" t="inlineStr">
        <is>
          <t>Hint</t>
        </is>
      </c>
      <c r="D5" s="17" t="inlineStr">
        <is>
          <t>Your Answer</t>
        </is>
      </c>
      <c r="E5" s="17" t="inlineStr">
        <is>
          <t>Check</t>
        </is>
      </c>
    </row>
    <row r="6" ht="66" customHeight="1">
      <c r="A6" s="18" t="inlineStr">
        <is>
          <t>B1</t>
        </is>
      </c>
      <c r="B6" s="19" t="inlineStr">
        <is>
          <t>Apply a 3-color scale to Occupancy (G12:G29): Minimum = Lowest Value (green), Midpoint = Number 0.85 (yellow, the planning target), Maximum = Highest Value (red). How many units are shaded on the red side of yellow (occupancy above 85%)?</t>
        </is>
      </c>
      <c r="C6" s="20" t="inlineStr">
        <is>
          <t>New Rule → Format all cells based on their values → 3-Color Scale</t>
        </is>
      </c>
      <c r="D6" s="21" t="n"/>
      <c r="E6" s="22">
        <f>IF(IFERROR(D6="",FALSE),"",IF(IFERROR(AND(ISNUMBER(D6),OR(ABS(D6-'Bonus Key'!$C$5)&lt;=0.0001)),FALSE),"✔ Correct","✘ Not yet"))</f>
        <v/>
      </c>
    </row>
    <row r="7" ht="51" customHeight="1">
      <c r="A7" s="18" t="inlineStr">
        <is>
          <t>B2</t>
        </is>
      </c>
      <c r="B7" s="19" t="inlineStr">
        <is>
          <t>Apply Icon Sets → 3 Arrows (Colored) to Change (F12:F29). Edit the rule so both Types are Number: up arrow when the value is &gt;= 1, sideways arrow when it is &gt;= 0, down arrow otherwise. How many units show an up arrow?</t>
        </is>
      </c>
      <c r="C7" s="20" t="inlineStr">
        <is>
          <t>Type = Number, not the default Percent</t>
        </is>
      </c>
      <c r="D7" s="21" t="n"/>
      <c r="E7" s="22">
        <f>IF(IFERROR(D7="",FALSE),"",IF(IFERROR(AND(ISNUMBER(D7),OR(ABS(D7-'Bonus Key'!$C$6)&lt;=0.0001)),FALSE),"✔ Correct","✘ Not yet"))</f>
        <v/>
      </c>
    </row>
    <row r="8" ht="66" customHeight="1">
      <c r="A8" s="18" t="inlineStr">
        <is>
          <t>B3</t>
        </is>
      </c>
      <c r="B8" s="19" t="inlineStr">
        <is>
          <t>Add two formula rules to the whole board (A12:G29): a red fill when the 11/25 census is above staffed beds (overflow), and an amber fill when occupancy is at least 90%. In Manage Rules, put the overflow rule above the amber rule. How many rows end up amber?</t>
        </is>
      </c>
      <c r="C8" s="20" t="inlineStr">
        <is>
          <t>Both rules are TRUE for an overflow unit, and the rule on top wins the fill</t>
        </is>
      </c>
      <c r="D8" s="21" t="n"/>
      <c r="E8" s="22">
        <f>IF(IFERROR(D8="",FALSE),"",IF(IFERROR(AND(ISNUMBER(D8),OR(ABS(D8-'Bonus Key'!$C$7)&lt;=0.0001)),FALSE),"✔ Correct","✘ Not yet"))</f>
        <v/>
      </c>
    </row>
    <row r="9" ht="66" customHeight="1">
      <c r="A9" s="18" t="inlineStr">
        <is>
          <t>B4</t>
        </is>
      </c>
      <c r="B9" s="19" t="inlineStr">
        <is>
          <t>Build the unit selector. Give B4 a List validation from the Hospitals list (I12:I14). Give B5 a dependent List built from the board's own Facility and Unit columns, with no named ranges. Then choose Cedar Ridge Medical Center → Intensive Care Unit. The gray cell shows the card's Nov 1–25 occupancy. What is it?</t>
        </is>
      </c>
      <c r="C9" s="20" t="inlineStr">
        <is>
          <t>OFFSET(start, rows down, 0, height, 1) with MATCH for the first row and COUNTIF for the height</t>
        </is>
      </c>
      <c r="D9" cm="1" s="33">
        <f t="array" ref="D9">IF(Huddle!$B$8="","",Huddle!$B$8)</f>
        <v/>
      </c>
      <c r="E9" s="22">
        <f>IF(IFERROR(D9="",FALSE),"",IF(IFERROR(AND(ISNUMBER(D9),OR(ABS(D9-'Bonus Key'!$C$8)&lt;=0.00051,ABS(D9-'Bonus Key'!$C$8*100)&lt;=0.051000000000000004)),FALSE),"✔ Correct","✘ Not yet"))</f>
        <v/>
      </c>
    </row>
  </sheetData>
  <mergeCells count="3">
    <mergeCell ref="A2:E2"/>
    <mergeCell ref="A4:C4"/>
    <mergeCell ref="A3:E3"/>
  </mergeCells>
  <conditionalFormatting sqref="E6:E9">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9.xml><?xml version="1.0" encoding="utf-8"?>
<worksheet xmlns="http://schemas.openxmlformats.org/spreadsheetml/2006/main">
  <sheetPr>
    <tabColor rgb="00BF9000"/>
    <outlinePr summaryBelow="1" summaryRight="1"/>
    <pageSetUpPr/>
  </sheetPr>
  <dimension ref="A1:I29"/>
  <sheetViews>
    <sheetView tabSelected="0" workbookViewId="0">
      <pane ySplit="11" topLeftCell="A12" activePane="bottomLeft" state="frozen"/>
      <selection pane="bottomLeft" activeCell="A1" sqref="A1"/>
    </sheetView>
  </sheetViews>
  <sheetFormatPr baseColWidth="8" defaultRowHeight="15"/>
  <cols>
    <col width="32" customWidth="1" min="1" max="1"/>
    <col width="30" customWidth="1" min="2" max="2"/>
    <col width="9" customWidth="1" min="3" max="3"/>
    <col width="9" customWidth="1" min="4" max="4"/>
    <col width="9" customWidth="1" min="5" max="5"/>
    <col width="9" customWidth="1" min="6" max="6"/>
    <col width="11" customWidth="1" min="7" max="7"/>
    <col width="3" customWidth="1" min="8" max="8"/>
    <col width="32" customWidth="1" min="9" max="9"/>
  </cols>
  <sheetData>
    <row r="1">
      <c r="A1" s="13" t="inlineStr">
        <is>
          <t>7 a.m. Bed Huddle · Wednesday, November 26, 2025</t>
        </is>
      </c>
    </row>
    <row r="2">
      <c r="A2" s="3" t="inlineStr">
        <is>
          <t>Midnight census for Tuesday 11/25 vs Monday 11/24, every inpatient unit in the system. Yellow cells are yours, and gray cells hold formulas.</t>
        </is>
      </c>
    </row>
    <row r="3">
      <c r="A3" s="34" t="inlineStr">
        <is>
          <t>UNIT SELECTOR</t>
        </is>
      </c>
      <c r="B3" s="5" t="n"/>
    </row>
    <row r="4">
      <c r="A4" s="35" t="inlineStr">
        <is>
          <t>Facility</t>
        </is>
      </c>
      <c r="B4" s="36" t="n"/>
    </row>
    <row r="5">
      <c r="A5" s="35" t="inlineStr">
        <is>
          <t>Unit</t>
        </is>
      </c>
      <c r="B5" s="36" t="n"/>
    </row>
    <row r="6">
      <c r="A6" s="35" t="inlineStr">
        <is>
          <t>Staffed beds</t>
        </is>
      </c>
      <c r="B6" s="37">
        <f>IF(OR($B$4="",$B$5=""),"",IF(COUNTIFS($A$12:$A$29,$B$4,$B$12:$B$29,$B$5)=0,"n/a",SUMIFS($C$12:$C$29,$A$12:$A$29,$B$4,$B$12:$B$29,$B$5)))</f>
        <v/>
      </c>
    </row>
    <row r="7">
      <c r="A7" s="35" t="inlineStr">
        <is>
          <t>Census 11/25</t>
        </is>
      </c>
      <c r="B7" s="37">
        <f>IF(OR($B$4="",$B$5=""),"",IF(COUNTIFS($A$12:$A$29,$B$4,$B$12:$B$29,$B$5)=0,"n/a",SUMIFS($E$12:$E$29,$A$12:$A$29,$B$4,$B$12:$B$29,$B$5)))</f>
        <v/>
      </c>
    </row>
    <row r="8">
      <c r="A8" s="35" t="inlineStr">
        <is>
          <t>Occupancy, Nov 1–25</t>
        </is>
      </c>
      <c r="B8" s="38">
        <f>IF(OR($B$4="",$B$5=""),"",IFERROR(SUMIFS(NovCensus!$E$2:$E$451,NovCensus!$B$2:$B$451,$B$4,NovCensus!$C$2:$C$451,$B$5)/SUMIFS(NovCensus!$D$2:$D$451,NovCensus!$B$2:$B$451,$B$4,NovCensus!$C$2:$C$451,$B$5),"n/a"))</f>
        <v/>
      </c>
    </row>
    <row r="9">
      <c r="A9" s="35" t="inlineStr">
        <is>
          <t>Overflow days, Nov 1–25</t>
        </is>
      </c>
      <c r="B9" s="37">
        <f>IF(OR($B$4="",$B$5=""),"",IF(COUNTIFS(NovCensus!$B$2:$B$451,$B$4,NovCensus!$C$2:$C$451,$B$5)=0,"n/a",COUNTIFS(NovCensus!$B$2:$B$451,$B$4,NovCensus!$C$2:$C$451,$B$5,NovCensus!$F$2:$F$451,"&gt;1")))</f>
        <v/>
      </c>
    </row>
    <row r="11" ht="30" customHeight="1">
      <c r="A11" s="39" t="inlineStr">
        <is>
          <t>Facility</t>
        </is>
      </c>
      <c r="B11" s="39" t="inlineStr">
        <is>
          <t>Unit</t>
        </is>
      </c>
      <c r="C11" s="39" t="inlineStr">
        <is>
          <t>Staffed beds</t>
        </is>
      </c>
      <c r="D11" s="39" t="inlineStr">
        <is>
          <t>Census 11/24</t>
        </is>
      </c>
      <c r="E11" s="39" t="inlineStr">
        <is>
          <t>Census 11/25</t>
        </is>
      </c>
      <c r="F11" s="39" t="inlineStr">
        <is>
          <t>Change</t>
        </is>
      </c>
      <c r="G11" s="39" t="inlineStr">
        <is>
          <t>Occupancy</t>
        </is>
      </c>
      <c r="I11" s="34" t="inlineStr">
        <is>
          <t>Hospitals</t>
        </is>
      </c>
    </row>
    <row r="12">
      <c r="A12" s="28" t="inlineStr">
        <is>
          <t>Bluestone Memorial Hospital</t>
        </is>
      </c>
      <c r="B12" s="28" t="inlineStr">
        <is>
          <t>Medical-Surgical 4 West</t>
        </is>
      </c>
      <c r="C12" s="28" t="n">
        <v>36</v>
      </c>
      <c r="D12" s="28" t="n">
        <v>32</v>
      </c>
      <c r="E12" s="28" t="n">
        <v>32</v>
      </c>
      <c r="F12" s="40">
        <f>E12-D12</f>
        <v/>
      </c>
      <c r="G12" s="41">
        <f>E12/C12</f>
        <v/>
      </c>
      <c r="I12" s="28" t="inlineStr">
        <is>
          <t>Bluestone Memorial Hospital</t>
        </is>
      </c>
    </row>
    <row r="13">
      <c r="A13" s="28" t="inlineStr">
        <is>
          <t>Bluestone Memorial Hospital</t>
        </is>
      </c>
      <c r="B13" s="28" t="inlineStr">
        <is>
          <t>Medical-Surgical 5 East</t>
        </is>
      </c>
      <c r="C13" s="28" t="n">
        <v>32</v>
      </c>
      <c r="D13" s="28" t="n">
        <v>33</v>
      </c>
      <c r="E13" s="28" t="n">
        <v>34</v>
      </c>
      <c r="F13" s="40">
        <f>E13-D13</f>
        <v/>
      </c>
      <c r="G13" s="41">
        <f>E13/C13</f>
        <v/>
      </c>
      <c r="I13" s="28" t="inlineStr">
        <is>
          <t>Ashby Falls Community Hospital</t>
        </is>
      </c>
    </row>
    <row r="14">
      <c r="A14" s="28" t="inlineStr">
        <is>
          <t>Bluestone Memorial Hospital</t>
        </is>
      </c>
      <c r="B14" s="28" t="inlineStr">
        <is>
          <t>Cardiac Step-Down</t>
        </is>
      </c>
      <c r="C14" s="28" t="n">
        <v>24</v>
      </c>
      <c r="D14" s="28" t="n">
        <v>19</v>
      </c>
      <c r="E14" s="28" t="n">
        <v>19</v>
      </c>
      <c r="F14" s="40">
        <f>E14-D14</f>
        <v/>
      </c>
      <c r="G14" s="41">
        <f>E14/C14</f>
        <v/>
      </c>
      <c r="I14" s="28" t="inlineStr">
        <is>
          <t>Cedar Ridge Medical Center</t>
        </is>
      </c>
    </row>
    <row r="15">
      <c r="A15" s="28" t="inlineStr">
        <is>
          <t>Bluestone Memorial Hospital</t>
        </is>
      </c>
      <c r="B15" s="28" t="inlineStr">
        <is>
          <t>Intensive Care Unit</t>
        </is>
      </c>
      <c r="C15" s="28" t="n">
        <v>20</v>
      </c>
      <c r="D15" s="28" t="n">
        <v>17</v>
      </c>
      <c r="E15" s="28" t="n">
        <v>18</v>
      </c>
      <c r="F15" s="40">
        <f>E15-D15</f>
        <v/>
      </c>
      <c r="G15" s="41">
        <f>E15/C15</f>
        <v/>
      </c>
    </row>
    <row r="16">
      <c r="A16" s="28" t="inlineStr">
        <is>
          <t>Bluestone Memorial Hospital</t>
        </is>
      </c>
      <c r="B16" s="28" t="inlineStr">
        <is>
          <t>Orthopedics &amp; Spine</t>
        </is>
      </c>
      <c r="C16" s="28" t="n">
        <v>22</v>
      </c>
      <c r="D16" s="28" t="n">
        <v>15</v>
      </c>
      <c r="E16" s="28" t="n">
        <v>16</v>
      </c>
      <c r="F16" s="40">
        <f>E16-D16</f>
        <v/>
      </c>
      <c r="G16" s="41">
        <f>E16/C16</f>
        <v/>
      </c>
    </row>
    <row r="17">
      <c r="A17" s="28" t="inlineStr">
        <is>
          <t>Bluestone Memorial Hospital</t>
        </is>
      </c>
      <c r="B17" s="28" t="inlineStr">
        <is>
          <t>Oncology</t>
        </is>
      </c>
      <c r="C17" s="28" t="n">
        <v>18</v>
      </c>
      <c r="D17" s="28" t="n">
        <v>16</v>
      </c>
      <c r="E17" s="28" t="n">
        <v>16</v>
      </c>
      <c r="F17" s="40">
        <f>E17-D17</f>
        <v/>
      </c>
      <c r="G17" s="41">
        <f>E17/C17</f>
        <v/>
      </c>
    </row>
    <row r="18">
      <c r="A18" s="28" t="inlineStr">
        <is>
          <t>Bluestone Memorial Hospital</t>
        </is>
      </c>
      <c r="B18" s="28" t="inlineStr">
        <is>
          <t>Neuroscience &amp; Stroke</t>
        </is>
      </c>
      <c r="C18" s="28" t="n">
        <v>16</v>
      </c>
      <c r="D18" s="28" t="n">
        <v>12</v>
      </c>
      <c r="E18" s="28" t="n">
        <v>12</v>
      </c>
      <c r="F18" s="40">
        <f>E18-D18</f>
        <v/>
      </c>
      <c r="G18" s="41">
        <f>E18/C18</f>
        <v/>
      </c>
    </row>
    <row r="19">
      <c r="A19" s="28" t="inlineStr">
        <is>
          <t>Bluestone Memorial Hospital</t>
        </is>
      </c>
      <c r="B19" s="28" t="inlineStr">
        <is>
          <t>Labor &amp; Delivery</t>
        </is>
      </c>
      <c r="C19" s="28" t="n">
        <v>20</v>
      </c>
      <c r="D19" s="28" t="n">
        <v>13</v>
      </c>
      <c r="E19" s="28" t="n">
        <v>14</v>
      </c>
      <c r="F19" s="40">
        <f>E19-D19</f>
        <v/>
      </c>
      <c r="G19" s="41">
        <f>E19/C19</f>
        <v/>
      </c>
    </row>
    <row r="20">
      <c r="A20" s="28" t="inlineStr">
        <is>
          <t>Bluestone Memorial Hospital</t>
        </is>
      </c>
      <c r="B20" s="28" t="inlineStr">
        <is>
          <t>Pediatrics</t>
        </is>
      </c>
      <c r="C20" s="28" t="n">
        <v>14</v>
      </c>
      <c r="D20" s="28" t="n">
        <v>9</v>
      </c>
      <c r="E20" s="28" t="n">
        <v>9</v>
      </c>
      <c r="F20" s="40">
        <f>E20-D20</f>
        <v/>
      </c>
      <c r="G20" s="41">
        <f>E20/C20</f>
        <v/>
      </c>
    </row>
    <row r="21">
      <c r="A21" s="28" t="inlineStr">
        <is>
          <t>Bluestone Memorial Hospital</t>
        </is>
      </c>
      <c r="B21" s="28" t="inlineStr">
        <is>
          <t>Behavioral Health</t>
        </is>
      </c>
      <c r="C21" s="28" t="n">
        <v>18</v>
      </c>
      <c r="D21" s="28" t="n">
        <v>19</v>
      </c>
      <c r="E21" s="28" t="n">
        <v>19</v>
      </c>
      <c r="F21" s="40">
        <f>E21-D21</f>
        <v/>
      </c>
      <c r="G21" s="41">
        <f>E21/C21</f>
        <v/>
      </c>
    </row>
    <row r="22">
      <c r="A22" s="28" t="inlineStr">
        <is>
          <t>Bluestone Memorial Hospital</t>
        </is>
      </c>
      <c r="B22" s="28" t="inlineStr">
        <is>
          <t>Observation Unit</t>
        </is>
      </c>
      <c r="C22" s="28" t="n">
        <v>12</v>
      </c>
      <c r="D22" s="28" t="n">
        <v>8</v>
      </c>
      <c r="E22" s="28" t="n">
        <v>8</v>
      </c>
      <c r="F22" s="40">
        <f>E22-D22</f>
        <v/>
      </c>
      <c r="G22" s="41">
        <f>E22/C22</f>
        <v/>
      </c>
    </row>
    <row r="23">
      <c r="A23" s="28" t="inlineStr">
        <is>
          <t>Ashby Falls Community Hospital</t>
        </is>
      </c>
      <c r="B23" s="28" t="inlineStr">
        <is>
          <t>Medical-Surgical</t>
        </is>
      </c>
      <c r="C23" s="28" t="n">
        <v>28</v>
      </c>
      <c r="D23" s="28" t="n">
        <v>25</v>
      </c>
      <c r="E23" s="28" t="n">
        <v>25</v>
      </c>
      <c r="F23" s="40">
        <f>E23-D23</f>
        <v/>
      </c>
      <c r="G23" s="41">
        <f>E23/C23</f>
        <v/>
      </c>
    </row>
    <row r="24">
      <c r="A24" s="28" t="inlineStr">
        <is>
          <t>Ashby Falls Community Hospital</t>
        </is>
      </c>
      <c r="B24" s="28" t="inlineStr">
        <is>
          <t>Intensive Care Unit</t>
        </is>
      </c>
      <c r="C24" s="28" t="n">
        <v>8</v>
      </c>
      <c r="D24" s="28" t="n">
        <v>6</v>
      </c>
      <c r="E24" s="28" t="n">
        <v>6</v>
      </c>
      <c r="F24" s="40">
        <f>E24-D24</f>
        <v/>
      </c>
      <c r="G24" s="41">
        <f>E24/C24</f>
        <v/>
      </c>
    </row>
    <row r="25">
      <c r="A25" s="28" t="inlineStr">
        <is>
          <t>Ashby Falls Community Hospital</t>
        </is>
      </c>
      <c r="B25" s="28" t="inlineStr">
        <is>
          <t>Labor &amp; Delivery</t>
        </is>
      </c>
      <c r="C25" s="28" t="n">
        <v>10</v>
      </c>
      <c r="D25" s="28" t="n">
        <v>5</v>
      </c>
      <c r="E25" s="28" t="n">
        <v>6</v>
      </c>
      <c r="F25" s="40">
        <f>E25-D25</f>
        <v/>
      </c>
      <c r="G25" s="41">
        <f>E25/C25</f>
        <v/>
      </c>
    </row>
    <row r="26">
      <c r="A26" s="28" t="inlineStr">
        <is>
          <t>Cedar Ridge Medical Center</t>
        </is>
      </c>
      <c r="B26" s="28" t="inlineStr">
        <is>
          <t>Medical-Surgical</t>
        </is>
      </c>
      <c r="C26" s="28" t="n">
        <v>30</v>
      </c>
      <c r="D26" s="28" t="n">
        <v>28</v>
      </c>
      <c r="E26" s="28" t="n">
        <v>27</v>
      </c>
      <c r="F26" s="40">
        <f>E26-D26</f>
        <v/>
      </c>
      <c r="G26" s="41">
        <f>E26/C26</f>
        <v/>
      </c>
    </row>
    <row r="27">
      <c r="A27" s="28" t="inlineStr">
        <is>
          <t>Cedar Ridge Medical Center</t>
        </is>
      </c>
      <c r="B27" s="28" t="inlineStr">
        <is>
          <t>Cardiac Step-Down</t>
        </is>
      </c>
      <c r="C27" s="28" t="n">
        <v>16</v>
      </c>
      <c r="D27" s="28" t="n">
        <v>14</v>
      </c>
      <c r="E27" s="28" t="n">
        <v>14</v>
      </c>
      <c r="F27" s="40">
        <f>E27-D27</f>
        <v/>
      </c>
      <c r="G27" s="41">
        <f>E27/C27</f>
        <v/>
      </c>
    </row>
    <row r="28">
      <c r="A28" s="28" t="inlineStr">
        <is>
          <t>Cedar Ridge Medical Center</t>
        </is>
      </c>
      <c r="B28" s="28" t="inlineStr">
        <is>
          <t>Intensive Care Unit</t>
        </is>
      </c>
      <c r="C28" s="28" t="n">
        <v>12</v>
      </c>
      <c r="D28" s="28" t="n">
        <v>10</v>
      </c>
      <c r="E28" s="28" t="n">
        <v>11</v>
      </c>
      <c r="F28" s="40">
        <f>E28-D28</f>
        <v/>
      </c>
      <c r="G28" s="41">
        <f>E28/C28</f>
        <v/>
      </c>
    </row>
    <row r="29">
      <c r="A29" s="28" t="inlineStr">
        <is>
          <t>Cedar Ridge Medical Center</t>
        </is>
      </c>
      <c r="B29" s="28" t="inlineStr">
        <is>
          <t>Orthopedics</t>
        </is>
      </c>
      <c r="C29" s="28" t="n">
        <v>14</v>
      </c>
      <c r="D29" s="28" t="n">
        <v>10</v>
      </c>
      <c r="E29" s="28" t="n">
        <v>11</v>
      </c>
      <c r="F29" s="40">
        <f>E29-D29</f>
        <v/>
      </c>
      <c r="G29" s="41">
        <f>E29/C29</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51"/>
  <sheetViews>
    <sheetView tabSelected="0" workbookViewId="0">
      <pane ySplit="1" topLeftCell="A2" activePane="bottomLeft" state="frozen"/>
      <selection pane="bottomLeft" activeCell="A1" sqref="A1"/>
    </sheetView>
  </sheetViews>
  <sheetFormatPr baseColWidth="8" defaultRowHeight="15"/>
  <cols>
    <col width="12" customWidth="1" min="1" max="1"/>
    <col width="32" customWidth="1" min="2" max="2"/>
    <col width="26" customWidth="1" min="3" max="3"/>
    <col width="13" customWidth="1" min="4" max="4"/>
    <col width="16" customWidth="1" min="5" max="5"/>
    <col width="21" customWidth="1" min="6" max="6"/>
  </cols>
  <sheetData>
    <row r="1">
      <c r="A1" s="24" t="inlineStr">
        <is>
          <t>CensusDate</t>
        </is>
      </c>
      <c r="B1" s="24" t="inlineStr">
        <is>
          <t>Facility</t>
        </is>
      </c>
      <c r="C1" s="24" t="inlineStr">
        <is>
          <t>Unit</t>
        </is>
      </c>
      <c r="D1" s="24" t="inlineStr">
        <is>
          <t>StaffedBeds</t>
        </is>
      </c>
      <c r="E1" s="24" t="inlineStr">
        <is>
          <t>MidnightCensus</t>
        </is>
      </c>
      <c r="F1" s="24" t="inlineStr">
        <is>
          <t>Occupancy</t>
        </is>
      </c>
    </row>
    <row r="2">
      <c r="A2" s="25" t="n">
        <v>45962</v>
      </c>
      <c r="B2" t="inlineStr">
        <is>
          <t>Bluestone Memorial Hospital</t>
        </is>
      </c>
      <c r="C2" t="inlineStr">
        <is>
          <t>Medical-Surgical 4 West</t>
        </is>
      </c>
      <c r="D2" t="n">
        <v>36</v>
      </c>
      <c r="E2" t="n">
        <v>29</v>
      </c>
      <c r="F2" s="32" t="n">
        <v>0.8055555555555556</v>
      </c>
    </row>
    <row r="3">
      <c r="A3" s="25" t="n">
        <v>45963</v>
      </c>
      <c r="B3" t="inlineStr">
        <is>
          <t>Bluestone Memorial Hospital</t>
        </is>
      </c>
      <c r="C3" t="inlineStr">
        <is>
          <t>Medical-Surgical 4 West</t>
        </is>
      </c>
      <c r="D3" t="n">
        <v>36</v>
      </c>
      <c r="E3" t="n">
        <v>32</v>
      </c>
      <c r="F3" s="32" t="n">
        <v>0.8888888888888888</v>
      </c>
    </row>
    <row r="4">
      <c r="A4" s="25" t="n">
        <v>45964</v>
      </c>
      <c r="B4" t="inlineStr">
        <is>
          <t>Bluestone Memorial Hospital</t>
        </is>
      </c>
      <c r="C4" t="inlineStr">
        <is>
          <t>Medical-Surgical 4 West</t>
        </is>
      </c>
      <c r="D4" t="n">
        <v>36</v>
      </c>
      <c r="E4" t="n">
        <v>34</v>
      </c>
      <c r="F4" s="32" t="n">
        <v>0.9444444444444444</v>
      </c>
    </row>
    <row r="5">
      <c r="A5" s="25" t="n">
        <v>45965</v>
      </c>
      <c r="B5" t="inlineStr">
        <is>
          <t>Bluestone Memorial Hospital</t>
        </is>
      </c>
      <c r="C5" t="inlineStr">
        <is>
          <t>Medical-Surgical 4 West</t>
        </is>
      </c>
      <c r="D5" t="n">
        <v>36</v>
      </c>
      <c r="E5" t="n">
        <v>34</v>
      </c>
      <c r="F5" s="32" t="n">
        <v>0.9444444444444444</v>
      </c>
    </row>
    <row r="6">
      <c r="A6" s="25" t="n">
        <v>45966</v>
      </c>
      <c r="B6" t="inlineStr">
        <is>
          <t>Bluestone Memorial Hospital</t>
        </is>
      </c>
      <c r="C6" t="inlineStr">
        <is>
          <t>Medical-Surgical 4 West</t>
        </is>
      </c>
      <c r="D6" t="n">
        <v>36</v>
      </c>
      <c r="E6" t="n">
        <v>34</v>
      </c>
      <c r="F6" s="32" t="n">
        <v>0.9444444444444444</v>
      </c>
    </row>
    <row r="7">
      <c r="A7" s="25" t="n">
        <v>45967</v>
      </c>
      <c r="B7" t="inlineStr">
        <is>
          <t>Bluestone Memorial Hospital</t>
        </is>
      </c>
      <c r="C7" t="inlineStr">
        <is>
          <t>Medical-Surgical 4 West</t>
        </is>
      </c>
      <c r="D7" t="n">
        <v>36</v>
      </c>
      <c r="E7" t="n">
        <v>32</v>
      </c>
      <c r="F7" s="32" t="n">
        <v>0.8888888888888888</v>
      </c>
    </row>
    <row r="8">
      <c r="A8" s="25" t="n">
        <v>45968</v>
      </c>
      <c r="B8" t="inlineStr">
        <is>
          <t>Bluestone Memorial Hospital</t>
        </is>
      </c>
      <c r="C8" t="inlineStr">
        <is>
          <t>Medical-Surgical 4 West</t>
        </is>
      </c>
      <c r="D8" t="n">
        <v>36</v>
      </c>
      <c r="E8" t="n">
        <v>31</v>
      </c>
      <c r="F8" s="32" t="n">
        <v>0.8611111111111112</v>
      </c>
    </row>
    <row r="9">
      <c r="A9" s="25" t="n">
        <v>45969</v>
      </c>
      <c r="B9" t="inlineStr">
        <is>
          <t>Bluestone Memorial Hospital</t>
        </is>
      </c>
      <c r="C9" t="inlineStr">
        <is>
          <t>Medical-Surgical 4 West</t>
        </is>
      </c>
      <c r="D9" t="n">
        <v>36</v>
      </c>
      <c r="E9" t="n">
        <v>26</v>
      </c>
      <c r="F9" s="32" t="n">
        <v>0.7222222222222222</v>
      </c>
    </row>
    <row r="10">
      <c r="A10" s="25" t="n">
        <v>45970</v>
      </c>
      <c r="B10" t="inlineStr">
        <is>
          <t>Bluestone Memorial Hospital</t>
        </is>
      </c>
      <c r="C10" t="inlineStr">
        <is>
          <t>Medical-Surgical 4 West</t>
        </is>
      </c>
      <c r="D10" t="n">
        <v>36</v>
      </c>
      <c r="E10" t="n">
        <v>27</v>
      </c>
      <c r="F10" s="32" t="n">
        <v>0.75</v>
      </c>
    </row>
    <row r="11">
      <c r="A11" s="25" t="n">
        <v>45971</v>
      </c>
      <c r="B11" t="inlineStr">
        <is>
          <t>Bluestone Memorial Hospital</t>
        </is>
      </c>
      <c r="C11" t="inlineStr">
        <is>
          <t>Medical-Surgical 4 West</t>
        </is>
      </c>
      <c r="D11" t="n">
        <v>36</v>
      </c>
      <c r="E11" t="n">
        <v>30</v>
      </c>
      <c r="F11" s="32" t="n">
        <v>0.8333333333333334</v>
      </c>
    </row>
    <row r="12">
      <c r="A12" s="25" t="n">
        <v>45972</v>
      </c>
      <c r="B12" t="inlineStr">
        <is>
          <t>Bluestone Memorial Hospital</t>
        </is>
      </c>
      <c r="C12" t="inlineStr">
        <is>
          <t>Medical-Surgical 4 West</t>
        </is>
      </c>
      <c r="D12" t="n">
        <v>36</v>
      </c>
      <c r="E12" t="n">
        <v>31</v>
      </c>
      <c r="F12" s="32" t="n">
        <v>0.8611111111111112</v>
      </c>
    </row>
    <row r="13">
      <c r="A13" s="25" t="n">
        <v>45973</v>
      </c>
      <c r="B13" t="inlineStr">
        <is>
          <t>Bluestone Memorial Hospital</t>
        </is>
      </c>
      <c r="C13" t="inlineStr">
        <is>
          <t>Medical-Surgical 4 West</t>
        </is>
      </c>
      <c r="D13" t="n">
        <v>36</v>
      </c>
      <c r="E13" t="n">
        <v>34</v>
      </c>
      <c r="F13" s="32" t="n">
        <v>0.9444444444444444</v>
      </c>
    </row>
    <row r="14">
      <c r="A14" s="25" t="n">
        <v>45974</v>
      </c>
      <c r="B14" t="inlineStr">
        <is>
          <t>Bluestone Memorial Hospital</t>
        </is>
      </c>
      <c r="C14" t="inlineStr">
        <is>
          <t>Medical-Surgical 4 West</t>
        </is>
      </c>
      <c r="D14" t="n">
        <v>36</v>
      </c>
      <c r="E14" t="n">
        <v>33</v>
      </c>
      <c r="F14" s="32" t="n">
        <v>0.9166666666666666</v>
      </c>
    </row>
    <row r="15">
      <c r="A15" s="25" t="n">
        <v>45975</v>
      </c>
      <c r="B15" t="inlineStr">
        <is>
          <t>Bluestone Memorial Hospital</t>
        </is>
      </c>
      <c r="C15" t="inlineStr">
        <is>
          <t>Medical-Surgical 4 West</t>
        </is>
      </c>
      <c r="D15" t="n">
        <v>36</v>
      </c>
      <c r="E15" t="n">
        <v>34</v>
      </c>
      <c r="F15" s="32" t="n">
        <v>0.9444444444444444</v>
      </c>
    </row>
    <row r="16">
      <c r="A16" s="25" t="n">
        <v>45976</v>
      </c>
      <c r="B16" t="inlineStr">
        <is>
          <t>Bluestone Memorial Hospital</t>
        </is>
      </c>
      <c r="C16" t="inlineStr">
        <is>
          <t>Medical-Surgical 4 West</t>
        </is>
      </c>
      <c r="D16" t="n">
        <v>36</v>
      </c>
      <c r="E16" t="n">
        <v>34</v>
      </c>
      <c r="F16" s="32" t="n">
        <v>0.9444444444444444</v>
      </c>
    </row>
    <row r="17">
      <c r="A17" s="25" t="n">
        <v>45977</v>
      </c>
      <c r="B17" t="inlineStr">
        <is>
          <t>Bluestone Memorial Hospital</t>
        </is>
      </c>
      <c r="C17" t="inlineStr">
        <is>
          <t>Medical-Surgical 4 West</t>
        </is>
      </c>
      <c r="D17" t="n">
        <v>36</v>
      </c>
      <c r="E17" t="n">
        <v>34</v>
      </c>
      <c r="F17" s="32" t="n">
        <v>0.9444444444444444</v>
      </c>
    </row>
    <row r="18">
      <c r="A18" s="25" t="n">
        <v>45978</v>
      </c>
      <c r="B18" t="inlineStr">
        <is>
          <t>Bluestone Memorial Hospital</t>
        </is>
      </c>
      <c r="C18" t="inlineStr">
        <is>
          <t>Medical-Surgical 4 West</t>
        </is>
      </c>
      <c r="D18" t="n">
        <v>36</v>
      </c>
      <c r="E18" t="n">
        <v>34</v>
      </c>
      <c r="F18" s="32" t="n">
        <v>0.9444444444444444</v>
      </c>
    </row>
    <row r="19">
      <c r="A19" s="25" t="n">
        <v>45979</v>
      </c>
      <c r="B19" t="inlineStr">
        <is>
          <t>Bluestone Memorial Hospital</t>
        </is>
      </c>
      <c r="C19" t="inlineStr">
        <is>
          <t>Medical-Surgical 4 West</t>
        </is>
      </c>
      <c r="D19" t="n">
        <v>36</v>
      </c>
      <c r="E19" t="n">
        <v>33</v>
      </c>
      <c r="F19" s="32" t="n">
        <v>0.9166666666666666</v>
      </c>
    </row>
    <row r="20">
      <c r="A20" s="25" t="n">
        <v>45980</v>
      </c>
      <c r="B20" t="inlineStr">
        <is>
          <t>Bluestone Memorial Hospital</t>
        </is>
      </c>
      <c r="C20" t="inlineStr">
        <is>
          <t>Medical-Surgical 4 West</t>
        </is>
      </c>
      <c r="D20" t="n">
        <v>36</v>
      </c>
      <c r="E20" t="n">
        <v>34</v>
      </c>
      <c r="F20" s="32" t="n">
        <v>0.9444444444444444</v>
      </c>
    </row>
    <row r="21">
      <c r="A21" s="25" t="n">
        <v>45981</v>
      </c>
      <c r="B21" t="inlineStr">
        <is>
          <t>Bluestone Memorial Hospital</t>
        </is>
      </c>
      <c r="C21" t="inlineStr">
        <is>
          <t>Medical-Surgical 4 West</t>
        </is>
      </c>
      <c r="D21" t="n">
        <v>36</v>
      </c>
      <c r="E21" t="n">
        <v>33</v>
      </c>
      <c r="F21" s="32" t="n">
        <v>0.9166666666666666</v>
      </c>
    </row>
    <row r="22">
      <c r="A22" s="25" t="n">
        <v>45982</v>
      </c>
      <c r="B22" t="inlineStr">
        <is>
          <t>Bluestone Memorial Hospital</t>
        </is>
      </c>
      <c r="C22" t="inlineStr">
        <is>
          <t>Medical-Surgical 4 West</t>
        </is>
      </c>
      <c r="D22" t="n">
        <v>36</v>
      </c>
      <c r="E22" t="n">
        <v>31</v>
      </c>
      <c r="F22" s="32" t="n">
        <v>0.8611111111111112</v>
      </c>
    </row>
    <row r="23">
      <c r="A23" s="25" t="n">
        <v>45983</v>
      </c>
      <c r="B23" t="inlineStr">
        <is>
          <t>Bluestone Memorial Hospital</t>
        </is>
      </c>
      <c r="C23" t="inlineStr">
        <is>
          <t>Medical-Surgical 4 West</t>
        </is>
      </c>
      <c r="D23" t="n">
        <v>36</v>
      </c>
      <c r="E23" t="n">
        <v>30</v>
      </c>
      <c r="F23" s="32" t="n">
        <v>0.8333333333333334</v>
      </c>
    </row>
    <row r="24">
      <c r="A24" s="25" t="n">
        <v>45984</v>
      </c>
      <c r="B24" t="inlineStr">
        <is>
          <t>Bluestone Memorial Hospital</t>
        </is>
      </c>
      <c r="C24" t="inlineStr">
        <is>
          <t>Medical-Surgical 4 West</t>
        </is>
      </c>
      <c r="D24" t="n">
        <v>36</v>
      </c>
      <c r="E24" t="n">
        <v>31</v>
      </c>
      <c r="F24" s="32" t="n">
        <v>0.8611111111111112</v>
      </c>
    </row>
    <row r="25">
      <c r="A25" s="25" t="n">
        <v>45985</v>
      </c>
      <c r="B25" t="inlineStr">
        <is>
          <t>Bluestone Memorial Hospital</t>
        </is>
      </c>
      <c r="C25" t="inlineStr">
        <is>
          <t>Medical-Surgical 4 West</t>
        </is>
      </c>
      <c r="D25" t="n">
        <v>36</v>
      </c>
      <c r="E25" t="n">
        <v>32</v>
      </c>
      <c r="F25" s="32" t="n">
        <v>0.8888888888888888</v>
      </c>
    </row>
    <row r="26">
      <c r="A26" s="25" t="n">
        <v>45986</v>
      </c>
      <c r="B26" t="inlineStr">
        <is>
          <t>Bluestone Memorial Hospital</t>
        </is>
      </c>
      <c r="C26" t="inlineStr">
        <is>
          <t>Medical-Surgical 4 West</t>
        </is>
      </c>
      <c r="D26" t="n">
        <v>36</v>
      </c>
      <c r="E26" t="n">
        <v>32</v>
      </c>
      <c r="F26" s="32" t="n">
        <v>0.8888888888888888</v>
      </c>
    </row>
    <row r="27">
      <c r="A27" s="25" t="n">
        <v>45962</v>
      </c>
      <c r="B27" t="inlineStr">
        <is>
          <t>Bluestone Memorial Hospital</t>
        </is>
      </c>
      <c r="C27" t="inlineStr">
        <is>
          <t>Medical-Surgical 5 East</t>
        </is>
      </c>
      <c r="D27" t="n">
        <v>32</v>
      </c>
      <c r="E27" t="n">
        <v>27</v>
      </c>
      <c r="F27" s="32" t="n">
        <v>0.84375</v>
      </c>
    </row>
    <row r="28">
      <c r="A28" s="25" t="n">
        <v>45963</v>
      </c>
      <c r="B28" t="inlineStr">
        <is>
          <t>Bluestone Memorial Hospital</t>
        </is>
      </c>
      <c r="C28" t="inlineStr">
        <is>
          <t>Medical-Surgical 5 East</t>
        </is>
      </c>
      <c r="D28" t="n">
        <v>32</v>
      </c>
      <c r="E28" t="n">
        <v>27</v>
      </c>
      <c r="F28" s="32" t="n">
        <v>0.84375</v>
      </c>
    </row>
    <row r="29">
      <c r="A29" s="25" t="n">
        <v>45964</v>
      </c>
      <c r="B29" t="inlineStr">
        <is>
          <t>Bluestone Memorial Hospital</t>
        </is>
      </c>
      <c r="C29" t="inlineStr">
        <is>
          <t>Medical-Surgical 5 East</t>
        </is>
      </c>
      <c r="D29" t="n">
        <v>32</v>
      </c>
      <c r="E29" t="n">
        <v>28</v>
      </c>
      <c r="F29" s="32" t="n">
        <v>0.875</v>
      </c>
    </row>
    <row r="30">
      <c r="A30" s="25" t="n">
        <v>45965</v>
      </c>
      <c r="B30" t="inlineStr">
        <is>
          <t>Bluestone Memorial Hospital</t>
        </is>
      </c>
      <c r="C30" t="inlineStr">
        <is>
          <t>Medical-Surgical 5 East</t>
        </is>
      </c>
      <c r="D30" t="n">
        <v>32</v>
      </c>
      <c r="E30" t="n">
        <v>28</v>
      </c>
      <c r="F30" s="32" t="n">
        <v>0.875</v>
      </c>
    </row>
    <row r="31">
      <c r="A31" s="25" t="n">
        <v>45966</v>
      </c>
      <c r="B31" t="inlineStr">
        <is>
          <t>Bluestone Memorial Hospital</t>
        </is>
      </c>
      <c r="C31" t="inlineStr">
        <is>
          <t>Medical-Surgical 5 East</t>
        </is>
      </c>
      <c r="D31" t="n">
        <v>32</v>
      </c>
      <c r="E31" t="n">
        <v>29</v>
      </c>
      <c r="F31" s="32" t="n">
        <v>0.90625</v>
      </c>
    </row>
    <row r="32">
      <c r="A32" s="25" t="n">
        <v>45967</v>
      </c>
      <c r="B32" t="inlineStr">
        <is>
          <t>Bluestone Memorial Hospital</t>
        </is>
      </c>
      <c r="C32" t="inlineStr">
        <is>
          <t>Medical-Surgical 5 East</t>
        </is>
      </c>
      <c r="D32" t="n">
        <v>32</v>
      </c>
      <c r="E32" t="n">
        <v>29</v>
      </c>
      <c r="F32" s="32" t="n">
        <v>0.90625</v>
      </c>
    </row>
    <row r="33">
      <c r="A33" s="25" t="n">
        <v>45968</v>
      </c>
      <c r="B33" t="inlineStr">
        <is>
          <t>Bluestone Memorial Hospital</t>
        </is>
      </c>
      <c r="C33" t="inlineStr">
        <is>
          <t>Medical-Surgical 5 East</t>
        </is>
      </c>
      <c r="D33" t="n">
        <v>32</v>
      </c>
      <c r="E33" t="n">
        <v>29</v>
      </c>
      <c r="F33" s="32" t="n">
        <v>0.90625</v>
      </c>
    </row>
    <row r="34">
      <c r="A34" s="25" t="n">
        <v>45969</v>
      </c>
      <c r="B34" t="inlineStr">
        <is>
          <t>Bluestone Memorial Hospital</t>
        </is>
      </c>
      <c r="C34" t="inlineStr">
        <is>
          <t>Medical-Surgical 5 East</t>
        </is>
      </c>
      <c r="D34" t="n">
        <v>32</v>
      </c>
      <c r="E34" t="n">
        <v>28</v>
      </c>
      <c r="F34" s="32" t="n">
        <v>0.875</v>
      </c>
    </row>
    <row r="35">
      <c r="A35" s="25" t="n">
        <v>45970</v>
      </c>
      <c r="B35" t="inlineStr">
        <is>
          <t>Bluestone Memorial Hospital</t>
        </is>
      </c>
      <c r="C35" t="inlineStr">
        <is>
          <t>Medical-Surgical 5 East</t>
        </is>
      </c>
      <c r="D35" t="n">
        <v>32</v>
      </c>
      <c r="E35" t="n">
        <v>28</v>
      </c>
      <c r="F35" s="32" t="n">
        <v>0.875</v>
      </c>
    </row>
    <row r="36">
      <c r="A36" s="25" t="n">
        <v>45971</v>
      </c>
      <c r="B36" t="inlineStr">
        <is>
          <t>Bluestone Memorial Hospital</t>
        </is>
      </c>
      <c r="C36" t="inlineStr">
        <is>
          <t>Medical-Surgical 5 East</t>
        </is>
      </c>
      <c r="D36" t="n">
        <v>32</v>
      </c>
      <c r="E36" t="n">
        <v>30</v>
      </c>
      <c r="F36" s="32" t="n">
        <v>0.9375</v>
      </c>
    </row>
    <row r="37">
      <c r="A37" s="25" t="n">
        <v>45972</v>
      </c>
      <c r="B37" t="inlineStr">
        <is>
          <t>Bluestone Memorial Hospital</t>
        </is>
      </c>
      <c r="C37" t="inlineStr">
        <is>
          <t>Medical-Surgical 5 East</t>
        </is>
      </c>
      <c r="D37" t="n">
        <v>32</v>
      </c>
      <c r="E37" t="n">
        <v>30</v>
      </c>
      <c r="F37" s="32" t="n">
        <v>0.9375</v>
      </c>
    </row>
    <row r="38">
      <c r="A38" s="25" t="n">
        <v>45973</v>
      </c>
      <c r="B38" t="inlineStr">
        <is>
          <t>Bluestone Memorial Hospital</t>
        </is>
      </c>
      <c r="C38" t="inlineStr">
        <is>
          <t>Medical-Surgical 5 East</t>
        </is>
      </c>
      <c r="D38" t="n">
        <v>32</v>
      </c>
      <c r="E38" t="n">
        <v>31</v>
      </c>
      <c r="F38" s="32" t="n">
        <v>0.96875</v>
      </c>
    </row>
    <row r="39">
      <c r="A39" s="25" t="n">
        <v>45974</v>
      </c>
      <c r="B39" t="inlineStr">
        <is>
          <t>Bluestone Memorial Hospital</t>
        </is>
      </c>
      <c r="C39" t="inlineStr">
        <is>
          <t>Medical-Surgical 5 East</t>
        </is>
      </c>
      <c r="D39" t="n">
        <v>32</v>
      </c>
      <c r="E39" t="n">
        <v>32</v>
      </c>
      <c r="F39" s="32" t="n">
        <v>1</v>
      </c>
    </row>
    <row r="40">
      <c r="A40" s="25" t="n">
        <v>45975</v>
      </c>
      <c r="B40" t="inlineStr">
        <is>
          <t>Bluestone Memorial Hospital</t>
        </is>
      </c>
      <c r="C40" t="inlineStr">
        <is>
          <t>Medical-Surgical 5 East</t>
        </is>
      </c>
      <c r="D40" t="n">
        <v>32</v>
      </c>
      <c r="E40" t="n">
        <v>31</v>
      </c>
      <c r="F40" s="32" t="n">
        <v>0.96875</v>
      </c>
    </row>
    <row r="41">
      <c r="A41" s="25" t="n">
        <v>45976</v>
      </c>
      <c r="B41" t="inlineStr">
        <is>
          <t>Bluestone Memorial Hospital</t>
        </is>
      </c>
      <c r="C41" t="inlineStr">
        <is>
          <t>Medical-Surgical 5 East</t>
        </is>
      </c>
      <c r="D41" t="n">
        <v>32</v>
      </c>
      <c r="E41" t="n">
        <v>30</v>
      </c>
      <c r="F41" s="32" t="n">
        <v>0.9375</v>
      </c>
    </row>
    <row r="42">
      <c r="A42" s="25" t="n">
        <v>45977</v>
      </c>
      <c r="B42" t="inlineStr">
        <is>
          <t>Bluestone Memorial Hospital</t>
        </is>
      </c>
      <c r="C42" t="inlineStr">
        <is>
          <t>Medical-Surgical 5 East</t>
        </is>
      </c>
      <c r="D42" t="n">
        <v>32</v>
      </c>
      <c r="E42" t="n">
        <v>30</v>
      </c>
      <c r="F42" s="32" t="n">
        <v>0.9375</v>
      </c>
    </row>
    <row r="43">
      <c r="A43" s="25" t="n">
        <v>45978</v>
      </c>
      <c r="B43" t="inlineStr">
        <is>
          <t>Bluestone Memorial Hospital</t>
        </is>
      </c>
      <c r="C43" t="inlineStr">
        <is>
          <t>Medical-Surgical 5 East</t>
        </is>
      </c>
      <c r="D43" t="n">
        <v>32</v>
      </c>
      <c r="E43" t="n">
        <v>31</v>
      </c>
      <c r="F43" s="32" t="n">
        <v>0.96875</v>
      </c>
    </row>
    <row r="44">
      <c r="A44" s="25" t="n">
        <v>45979</v>
      </c>
      <c r="B44" t="inlineStr">
        <is>
          <t>Bluestone Memorial Hospital</t>
        </is>
      </c>
      <c r="C44" t="inlineStr">
        <is>
          <t>Medical-Surgical 5 East</t>
        </is>
      </c>
      <c r="D44" t="n">
        <v>32</v>
      </c>
      <c r="E44" t="n">
        <v>31</v>
      </c>
      <c r="F44" s="32" t="n">
        <v>0.96875</v>
      </c>
    </row>
    <row r="45">
      <c r="A45" s="25" t="n">
        <v>45980</v>
      </c>
      <c r="B45" t="inlineStr">
        <is>
          <t>Bluestone Memorial Hospital</t>
        </is>
      </c>
      <c r="C45" t="inlineStr">
        <is>
          <t>Medical-Surgical 5 East</t>
        </is>
      </c>
      <c r="D45" t="n">
        <v>32</v>
      </c>
      <c r="E45" t="n">
        <v>29</v>
      </c>
      <c r="F45" s="32" t="n">
        <v>0.90625</v>
      </c>
    </row>
    <row r="46">
      <c r="A46" s="25" t="n">
        <v>45981</v>
      </c>
      <c r="B46" t="inlineStr">
        <is>
          <t>Bluestone Memorial Hospital</t>
        </is>
      </c>
      <c r="C46" t="inlineStr">
        <is>
          <t>Medical-Surgical 5 East</t>
        </is>
      </c>
      <c r="D46" t="n">
        <v>32</v>
      </c>
      <c r="E46" t="n">
        <v>27</v>
      </c>
      <c r="F46" s="32" t="n">
        <v>0.84375</v>
      </c>
    </row>
    <row r="47">
      <c r="A47" s="25" t="n">
        <v>45982</v>
      </c>
      <c r="B47" t="inlineStr">
        <is>
          <t>Bluestone Memorial Hospital</t>
        </is>
      </c>
      <c r="C47" t="inlineStr">
        <is>
          <t>Medical-Surgical 5 East</t>
        </is>
      </c>
      <c r="D47" t="n">
        <v>32</v>
      </c>
      <c r="E47" t="n">
        <v>28</v>
      </c>
      <c r="F47" s="32" t="n">
        <v>0.875</v>
      </c>
    </row>
    <row r="48">
      <c r="A48" s="25" t="n">
        <v>45983</v>
      </c>
      <c r="B48" t="inlineStr">
        <is>
          <t>Bluestone Memorial Hospital</t>
        </is>
      </c>
      <c r="C48" t="inlineStr">
        <is>
          <t>Medical-Surgical 5 East</t>
        </is>
      </c>
      <c r="D48" t="n">
        <v>32</v>
      </c>
      <c r="E48" t="n">
        <v>28</v>
      </c>
      <c r="F48" s="32" t="n">
        <v>0.875</v>
      </c>
    </row>
    <row r="49">
      <c r="A49" s="25" t="n">
        <v>45984</v>
      </c>
      <c r="B49" t="inlineStr">
        <is>
          <t>Bluestone Memorial Hospital</t>
        </is>
      </c>
      <c r="C49" t="inlineStr">
        <is>
          <t>Medical-Surgical 5 East</t>
        </is>
      </c>
      <c r="D49" t="n">
        <v>32</v>
      </c>
      <c r="E49" t="n">
        <v>28</v>
      </c>
      <c r="F49" s="32" t="n">
        <v>0.875</v>
      </c>
    </row>
    <row r="50">
      <c r="A50" s="25" t="n">
        <v>45985</v>
      </c>
      <c r="B50" t="inlineStr">
        <is>
          <t>Bluestone Memorial Hospital</t>
        </is>
      </c>
      <c r="C50" t="inlineStr">
        <is>
          <t>Medical-Surgical 5 East</t>
        </is>
      </c>
      <c r="D50" t="n">
        <v>32</v>
      </c>
      <c r="E50" t="n">
        <v>33</v>
      </c>
      <c r="F50" s="32" t="n">
        <v>1.03125</v>
      </c>
    </row>
    <row r="51">
      <c r="A51" s="25" t="n">
        <v>45986</v>
      </c>
      <c r="B51" t="inlineStr">
        <is>
          <t>Bluestone Memorial Hospital</t>
        </is>
      </c>
      <c r="C51" t="inlineStr">
        <is>
          <t>Medical-Surgical 5 East</t>
        </is>
      </c>
      <c r="D51" t="n">
        <v>32</v>
      </c>
      <c r="E51" t="n">
        <v>34</v>
      </c>
      <c r="F51" s="32" t="n">
        <v>1.0625</v>
      </c>
    </row>
    <row r="52">
      <c r="A52" s="25" t="n">
        <v>45962</v>
      </c>
      <c r="B52" t="inlineStr">
        <is>
          <t>Bluestone Memorial Hospital</t>
        </is>
      </c>
      <c r="C52" t="inlineStr">
        <is>
          <t>Cardiac Step-Down</t>
        </is>
      </c>
      <c r="D52" t="n">
        <v>24</v>
      </c>
      <c r="E52" t="n">
        <v>18</v>
      </c>
      <c r="F52" s="32" t="n">
        <v>0.75</v>
      </c>
    </row>
    <row r="53">
      <c r="A53" s="25" t="n">
        <v>45963</v>
      </c>
      <c r="B53" t="inlineStr">
        <is>
          <t>Bluestone Memorial Hospital</t>
        </is>
      </c>
      <c r="C53" t="inlineStr">
        <is>
          <t>Cardiac Step-Down</t>
        </is>
      </c>
      <c r="D53" t="n">
        <v>24</v>
      </c>
      <c r="E53" t="n">
        <v>19</v>
      </c>
      <c r="F53" s="32" t="n">
        <v>0.7916666666666666</v>
      </c>
    </row>
    <row r="54">
      <c r="A54" s="25" t="n">
        <v>45964</v>
      </c>
      <c r="B54" t="inlineStr">
        <is>
          <t>Bluestone Memorial Hospital</t>
        </is>
      </c>
      <c r="C54" t="inlineStr">
        <is>
          <t>Cardiac Step-Down</t>
        </is>
      </c>
      <c r="D54" t="n">
        <v>24</v>
      </c>
      <c r="E54" t="n">
        <v>20</v>
      </c>
      <c r="F54" s="32" t="n">
        <v>0.8333333333333334</v>
      </c>
    </row>
    <row r="55">
      <c r="A55" s="25" t="n">
        <v>45965</v>
      </c>
      <c r="B55" t="inlineStr">
        <is>
          <t>Bluestone Memorial Hospital</t>
        </is>
      </c>
      <c r="C55" t="inlineStr">
        <is>
          <t>Cardiac Step-Down</t>
        </is>
      </c>
      <c r="D55" t="n">
        <v>24</v>
      </c>
      <c r="E55" t="n">
        <v>21</v>
      </c>
      <c r="F55" s="32" t="n">
        <v>0.875</v>
      </c>
    </row>
    <row r="56">
      <c r="A56" s="25" t="n">
        <v>45966</v>
      </c>
      <c r="B56" t="inlineStr">
        <is>
          <t>Bluestone Memorial Hospital</t>
        </is>
      </c>
      <c r="C56" t="inlineStr">
        <is>
          <t>Cardiac Step-Down</t>
        </is>
      </c>
      <c r="D56" t="n">
        <v>24</v>
      </c>
      <c r="E56" t="n">
        <v>20</v>
      </c>
      <c r="F56" s="32" t="n">
        <v>0.8333333333333334</v>
      </c>
    </row>
    <row r="57">
      <c r="A57" s="25" t="n">
        <v>45967</v>
      </c>
      <c r="B57" t="inlineStr">
        <is>
          <t>Bluestone Memorial Hospital</t>
        </is>
      </c>
      <c r="C57" t="inlineStr">
        <is>
          <t>Cardiac Step-Down</t>
        </is>
      </c>
      <c r="D57" t="n">
        <v>24</v>
      </c>
      <c r="E57" t="n">
        <v>20</v>
      </c>
      <c r="F57" s="32" t="n">
        <v>0.8333333333333334</v>
      </c>
    </row>
    <row r="58">
      <c r="A58" s="25" t="n">
        <v>45968</v>
      </c>
      <c r="B58" t="inlineStr">
        <is>
          <t>Bluestone Memorial Hospital</t>
        </is>
      </c>
      <c r="C58" t="inlineStr">
        <is>
          <t>Cardiac Step-Down</t>
        </is>
      </c>
      <c r="D58" t="n">
        <v>24</v>
      </c>
      <c r="E58" t="n">
        <v>19</v>
      </c>
      <c r="F58" s="32" t="n">
        <v>0.7916666666666666</v>
      </c>
    </row>
    <row r="59">
      <c r="A59" s="25" t="n">
        <v>45969</v>
      </c>
      <c r="B59" t="inlineStr">
        <is>
          <t>Bluestone Memorial Hospital</t>
        </is>
      </c>
      <c r="C59" t="inlineStr">
        <is>
          <t>Cardiac Step-Down</t>
        </is>
      </c>
      <c r="D59" t="n">
        <v>24</v>
      </c>
      <c r="E59" t="n">
        <v>18</v>
      </c>
      <c r="F59" s="32" t="n">
        <v>0.75</v>
      </c>
    </row>
    <row r="60">
      <c r="A60" s="25" t="n">
        <v>45970</v>
      </c>
      <c r="B60" t="inlineStr">
        <is>
          <t>Bluestone Memorial Hospital</t>
        </is>
      </c>
      <c r="C60" t="inlineStr">
        <is>
          <t>Cardiac Step-Down</t>
        </is>
      </c>
      <c r="D60" t="n">
        <v>24</v>
      </c>
      <c r="E60" t="n">
        <v>18</v>
      </c>
      <c r="F60" s="32" t="n">
        <v>0.75</v>
      </c>
    </row>
    <row r="61">
      <c r="A61" s="25" t="n">
        <v>45971</v>
      </c>
      <c r="B61" t="inlineStr">
        <is>
          <t>Bluestone Memorial Hospital</t>
        </is>
      </c>
      <c r="C61" t="inlineStr">
        <is>
          <t>Cardiac Step-Down</t>
        </is>
      </c>
      <c r="D61" t="n">
        <v>24</v>
      </c>
      <c r="E61" t="n">
        <v>19</v>
      </c>
      <c r="F61" s="32" t="n">
        <v>0.7916666666666666</v>
      </c>
    </row>
    <row r="62">
      <c r="A62" s="25" t="n">
        <v>45972</v>
      </c>
      <c r="B62" t="inlineStr">
        <is>
          <t>Bluestone Memorial Hospital</t>
        </is>
      </c>
      <c r="C62" t="inlineStr">
        <is>
          <t>Cardiac Step-Down</t>
        </is>
      </c>
      <c r="D62" t="n">
        <v>24</v>
      </c>
      <c r="E62" t="n">
        <v>19</v>
      </c>
      <c r="F62" s="32" t="n">
        <v>0.7916666666666666</v>
      </c>
    </row>
    <row r="63">
      <c r="A63" s="25" t="n">
        <v>45973</v>
      </c>
      <c r="B63" t="inlineStr">
        <is>
          <t>Bluestone Memorial Hospital</t>
        </is>
      </c>
      <c r="C63" t="inlineStr">
        <is>
          <t>Cardiac Step-Down</t>
        </is>
      </c>
      <c r="D63" t="n">
        <v>24</v>
      </c>
      <c r="E63" t="n">
        <v>20</v>
      </c>
      <c r="F63" s="32" t="n">
        <v>0.8333333333333334</v>
      </c>
    </row>
    <row r="64">
      <c r="A64" s="25" t="n">
        <v>45974</v>
      </c>
      <c r="B64" t="inlineStr">
        <is>
          <t>Bluestone Memorial Hospital</t>
        </is>
      </c>
      <c r="C64" t="inlineStr">
        <is>
          <t>Cardiac Step-Down</t>
        </is>
      </c>
      <c r="D64" t="n">
        <v>24</v>
      </c>
      <c r="E64" t="n">
        <v>20</v>
      </c>
      <c r="F64" s="32" t="n">
        <v>0.8333333333333334</v>
      </c>
    </row>
    <row r="65">
      <c r="A65" s="25" t="n">
        <v>45975</v>
      </c>
      <c r="B65" t="inlineStr">
        <is>
          <t>Bluestone Memorial Hospital</t>
        </is>
      </c>
      <c r="C65" t="inlineStr">
        <is>
          <t>Cardiac Step-Down</t>
        </is>
      </c>
      <c r="D65" t="n">
        <v>24</v>
      </c>
      <c r="E65" t="n">
        <v>21</v>
      </c>
      <c r="F65" s="32" t="n">
        <v>0.875</v>
      </c>
    </row>
    <row r="66">
      <c r="A66" s="25" t="n">
        <v>45976</v>
      </c>
      <c r="B66" t="inlineStr">
        <is>
          <t>Bluestone Memorial Hospital</t>
        </is>
      </c>
      <c r="C66" t="inlineStr">
        <is>
          <t>Cardiac Step-Down</t>
        </is>
      </c>
      <c r="D66" t="n">
        <v>24</v>
      </c>
      <c r="E66" t="n">
        <v>19</v>
      </c>
      <c r="F66" s="32" t="n">
        <v>0.7916666666666666</v>
      </c>
    </row>
    <row r="67">
      <c r="A67" s="25" t="n">
        <v>45977</v>
      </c>
      <c r="B67" t="inlineStr">
        <is>
          <t>Bluestone Memorial Hospital</t>
        </is>
      </c>
      <c r="C67" t="inlineStr">
        <is>
          <t>Cardiac Step-Down</t>
        </is>
      </c>
      <c r="D67" t="n">
        <v>24</v>
      </c>
      <c r="E67" t="n">
        <v>20</v>
      </c>
      <c r="F67" s="32" t="n">
        <v>0.8333333333333334</v>
      </c>
    </row>
    <row r="68">
      <c r="A68" s="25" t="n">
        <v>45978</v>
      </c>
      <c r="B68" t="inlineStr">
        <is>
          <t>Bluestone Memorial Hospital</t>
        </is>
      </c>
      <c r="C68" t="inlineStr">
        <is>
          <t>Cardiac Step-Down</t>
        </is>
      </c>
      <c r="D68" t="n">
        <v>24</v>
      </c>
      <c r="E68" t="n">
        <v>21</v>
      </c>
      <c r="F68" s="32" t="n">
        <v>0.875</v>
      </c>
    </row>
    <row r="69">
      <c r="A69" s="25" t="n">
        <v>45979</v>
      </c>
      <c r="B69" t="inlineStr">
        <is>
          <t>Bluestone Memorial Hospital</t>
        </is>
      </c>
      <c r="C69" t="inlineStr">
        <is>
          <t>Cardiac Step-Down</t>
        </is>
      </c>
      <c r="D69" t="n">
        <v>24</v>
      </c>
      <c r="E69" t="n">
        <v>21</v>
      </c>
      <c r="F69" s="32" t="n">
        <v>0.875</v>
      </c>
    </row>
    <row r="70">
      <c r="A70" s="25" t="n">
        <v>45980</v>
      </c>
      <c r="B70" t="inlineStr">
        <is>
          <t>Bluestone Memorial Hospital</t>
        </is>
      </c>
      <c r="C70" t="inlineStr">
        <is>
          <t>Cardiac Step-Down</t>
        </is>
      </c>
      <c r="D70" t="n">
        <v>24</v>
      </c>
      <c r="E70" t="n">
        <v>21</v>
      </c>
      <c r="F70" s="32" t="n">
        <v>0.875</v>
      </c>
    </row>
    <row r="71">
      <c r="A71" s="25" t="n">
        <v>45981</v>
      </c>
      <c r="B71" t="inlineStr">
        <is>
          <t>Bluestone Memorial Hospital</t>
        </is>
      </c>
      <c r="C71" t="inlineStr">
        <is>
          <t>Cardiac Step-Down</t>
        </is>
      </c>
      <c r="D71" t="n">
        <v>24</v>
      </c>
      <c r="E71" t="n">
        <v>21</v>
      </c>
      <c r="F71" s="32" t="n">
        <v>0.875</v>
      </c>
    </row>
    <row r="72">
      <c r="A72" s="25" t="n">
        <v>45982</v>
      </c>
      <c r="B72" t="inlineStr">
        <is>
          <t>Bluestone Memorial Hospital</t>
        </is>
      </c>
      <c r="C72" t="inlineStr">
        <is>
          <t>Cardiac Step-Down</t>
        </is>
      </c>
      <c r="D72" t="n">
        <v>24</v>
      </c>
      <c r="E72" t="n">
        <v>20</v>
      </c>
      <c r="F72" s="32" t="n">
        <v>0.8333333333333334</v>
      </c>
    </row>
    <row r="73">
      <c r="A73" s="25" t="n">
        <v>45983</v>
      </c>
      <c r="B73" t="inlineStr">
        <is>
          <t>Bluestone Memorial Hospital</t>
        </is>
      </c>
      <c r="C73" t="inlineStr">
        <is>
          <t>Cardiac Step-Down</t>
        </is>
      </c>
      <c r="D73" t="n">
        <v>24</v>
      </c>
      <c r="E73" t="n">
        <v>20</v>
      </c>
      <c r="F73" s="32" t="n">
        <v>0.8333333333333334</v>
      </c>
    </row>
    <row r="74">
      <c r="A74" s="25" t="n">
        <v>45984</v>
      </c>
      <c r="B74" t="inlineStr">
        <is>
          <t>Bluestone Memorial Hospital</t>
        </is>
      </c>
      <c r="C74" t="inlineStr">
        <is>
          <t>Cardiac Step-Down</t>
        </is>
      </c>
      <c r="D74" t="n">
        <v>24</v>
      </c>
      <c r="E74" t="n">
        <v>18</v>
      </c>
      <c r="F74" s="32" t="n">
        <v>0.75</v>
      </c>
    </row>
    <row r="75">
      <c r="A75" s="25" t="n">
        <v>45985</v>
      </c>
      <c r="B75" t="inlineStr">
        <is>
          <t>Bluestone Memorial Hospital</t>
        </is>
      </c>
      <c r="C75" t="inlineStr">
        <is>
          <t>Cardiac Step-Down</t>
        </is>
      </c>
      <c r="D75" t="n">
        <v>24</v>
      </c>
      <c r="E75" t="n">
        <v>19</v>
      </c>
      <c r="F75" s="32" t="n">
        <v>0.7916666666666666</v>
      </c>
    </row>
    <row r="76">
      <c r="A76" s="25" t="n">
        <v>45986</v>
      </c>
      <c r="B76" t="inlineStr">
        <is>
          <t>Bluestone Memorial Hospital</t>
        </is>
      </c>
      <c r="C76" t="inlineStr">
        <is>
          <t>Cardiac Step-Down</t>
        </is>
      </c>
      <c r="D76" t="n">
        <v>24</v>
      </c>
      <c r="E76" t="n">
        <v>19</v>
      </c>
      <c r="F76" s="32" t="n">
        <v>0.7916666666666666</v>
      </c>
    </row>
    <row r="77">
      <c r="A77" s="25" t="n">
        <v>45962</v>
      </c>
      <c r="B77" t="inlineStr">
        <is>
          <t>Bluestone Memorial Hospital</t>
        </is>
      </c>
      <c r="C77" t="inlineStr">
        <is>
          <t>Intensive Care Unit</t>
        </is>
      </c>
      <c r="D77" t="n">
        <v>20</v>
      </c>
      <c r="E77" t="n">
        <v>17</v>
      </c>
      <c r="F77" s="32" t="n">
        <v>0.85</v>
      </c>
    </row>
    <row r="78">
      <c r="A78" s="25" t="n">
        <v>45963</v>
      </c>
      <c r="B78" t="inlineStr">
        <is>
          <t>Bluestone Memorial Hospital</t>
        </is>
      </c>
      <c r="C78" t="inlineStr">
        <is>
          <t>Intensive Care Unit</t>
        </is>
      </c>
      <c r="D78" t="n">
        <v>20</v>
      </c>
      <c r="E78" t="n">
        <v>17</v>
      </c>
      <c r="F78" s="32" t="n">
        <v>0.85</v>
      </c>
    </row>
    <row r="79">
      <c r="A79" s="25" t="n">
        <v>45964</v>
      </c>
      <c r="B79" t="inlineStr">
        <is>
          <t>Bluestone Memorial Hospital</t>
        </is>
      </c>
      <c r="C79" t="inlineStr">
        <is>
          <t>Intensive Care Unit</t>
        </is>
      </c>
      <c r="D79" t="n">
        <v>20</v>
      </c>
      <c r="E79" t="n">
        <v>17</v>
      </c>
      <c r="F79" s="32" t="n">
        <v>0.85</v>
      </c>
    </row>
    <row r="80">
      <c r="A80" s="25" t="n">
        <v>45965</v>
      </c>
      <c r="B80" t="inlineStr">
        <is>
          <t>Bluestone Memorial Hospital</t>
        </is>
      </c>
      <c r="C80" t="inlineStr">
        <is>
          <t>Intensive Care Unit</t>
        </is>
      </c>
      <c r="D80" t="n">
        <v>20</v>
      </c>
      <c r="E80" t="n">
        <v>15</v>
      </c>
      <c r="F80" s="32" t="n">
        <v>0.75</v>
      </c>
    </row>
    <row r="81">
      <c r="A81" s="25" t="n">
        <v>45966</v>
      </c>
      <c r="B81" t="inlineStr">
        <is>
          <t>Bluestone Memorial Hospital</t>
        </is>
      </c>
      <c r="C81" t="inlineStr">
        <is>
          <t>Intensive Care Unit</t>
        </is>
      </c>
      <c r="D81" t="n">
        <v>20</v>
      </c>
      <c r="E81" t="n">
        <v>15</v>
      </c>
      <c r="F81" s="32" t="n">
        <v>0.75</v>
      </c>
    </row>
    <row r="82">
      <c r="A82" s="25" t="n">
        <v>45967</v>
      </c>
      <c r="B82" t="inlineStr">
        <is>
          <t>Bluestone Memorial Hospital</t>
        </is>
      </c>
      <c r="C82" t="inlineStr">
        <is>
          <t>Intensive Care Unit</t>
        </is>
      </c>
      <c r="D82" t="n">
        <v>20</v>
      </c>
      <c r="E82" t="n">
        <v>15</v>
      </c>
      <c r="F82" s="32" t="n">
        <v>0.75</v>
      </c>
    </row>
    <row r="83">
      <c r="A83" s="25" t="n">
        <v>45968</v>
      </c>
      <c r="B83" t="inlineStr">
        <is>
          <t>Bluestone Memorial Hospital</t>
        </is>
      </c>
      <c r="C83" t="inlineStr">
        <is>
          <t>Intensive Care Unit</t>
        </is>
      </c>
      <c r="D83" t="n">
        <v>20</v>
      </c>
      <c r="E83" t="n">
        <v>16</v>
      </c>
      <c r="F83" s="32" t="n">
        <v>0.8</v>
      </c>
    </row>
    <row r="84">
      <c r="A84" s="25" t="n">
        <v>45969</v>
      </c>
      <c r="B84" t="inlineStr">
        <is>
          <t>Bluestone Memorial Hospital</t>
        </is>
      </c>
      <c r="C84" t="inlineStr">
        <is>
          <t>Intensive Care Unit</t>
        </is>
      </c>
      <c r="D84" t="n">
        <v>20</v>
      </c>
      <c r="E84" t="n">
        <v>17</v>
      </c>
      <c r="F84" s="32" t="n">
        <v>0.85</v>
      </c>
    </row>
    <row r="85">
      <c r="A85" s="25" t="n">
        <v>45970</v>
      </c>
      <c r="B85" t="inlineStr">
        <is>
          <t>Bluestone Memorial Hospital</t>
        </is>
      </c>
      <c r="C85" t="inlineStr">
        <is>
          <t>Intensive Care Unit</t>
        </is>
      </c>
      <c r="D85" t="n">
        <v>20</v>
      </c>
      <c r="E85" t="n">
        <v>17</v>
      </c>
      <c r="F85" s="32" t="n">
        <v>0.85</v>
      </c>
    </row>
    <row r="86">
      <c r="A86" s="25" t="n">
        <v>45971</v>
      </c>
      <c r="B86" t="inlineStr">
        <is>
          <t>Bluestone Memorial Hospital</t>
        </is>
      </c>
      <c r="C86" t="inlineStr">
        <is>
          <t>Intensive Care Unit</t>
        </is>
      </c>
      <c r="D86" t="n">
        <v>20</v>
      </c>
      <c r="E86" t="n">
        <v>17</v>
      </c>
      <c r="F86" s="32" t="n">
        <v>0.85</v>
      </c>
    </row>
    <row r="87">
      <c r="A87" s="25" t="n">
        <v>45972</v>
      </c>
      <c r="B87" t="inlineStr">
        <is>
          <t>Bluestone Memorial Hospital</t>
        </is>
      </c>
      <c r="C87" t="inlineStr">
        <is>
          <t>Intensive Care Unit</t>
        </is>
      </c>
      <c r="D87" t="n">
        <v>20</v>
      </c>
      <c r="E87" t="n">
        <v>17</v>
      </c>
      <c r="F87" s="32" t="n">
        <v>0.85</v>
      </c>
    </row>
    <row r="88">
      <c r="A88" s="25" t="n">
        <v>45973</v>
      </c>
      <c r="B88" t="inlineStr">
        <is>
          <t>Bluestone Memorial Hospital</t>
        </is>
      </c>
      <c r="C88" t="inlineStr">
        <is>
          <t>Intensive Care Unit</t>
        </is>
      </c>
      <c r="D88" t="n">
        <v>20</v>
      </c>
      <c r="E88" t="n">
        <v>17</v>
      </c>
      <c r="F88" s="32" t="n">
        <v>0.85</v>
      </c>
    </row>
    <row r="89">
      <c r="A89" s="25" t="n">
        <v>45974</v>
      </c>
      <c r="B89" t="inlineStr">
        <is>
          <t>Bluestone Memorial Hospital</t>
        </is>
      </c>
      <c r="C89" t="inlineStr">
        <is>
          <t>Intensive Care Unit</t>
        </is>
      </c>
      <c r="D89" t="n">
        <v>20</v>
      </c>
      <c r="E89" t="n">
        <v>17</v>
      </c>
      <c r="F89" s="32" t="n">
        <v>0.85</v>
      </c>
    </row>
    <row r="90">
      <c r="A90" s="25" t="n">
        <v>45975</v>
      </c>
      <c r="B90" t="inlineStr">
        <is>
          <t>Bluestone Memorial Hospital</t>
        </is>
      </c>
      <c r="C90" t="inlineStr">
        <is>
          <t>Intensive Care Unit</t>
        </is>
      </c>
      <c r="D90" t="n">
        <v>20</v>
      </c>
      <c r="E90" t="n">
        <v>17</v>
      </c>
      <c r="F90" s="32" t="n">
        <v>0.85</v>
      </c>
    </row>
    <row r="91">
      <c r="A91" s="25" t="n">
        <v>45976</v>
      </c>
      <c r="B91" t="inlineStr">
        <is>
          <t>Bluestone Memorial Hospital</t>
        </is>
      </c>
      <c r="C91" t="inlineStr">
        <is>
          <t>Intensive Care Unit</t>
        </is>
      </c>
      <c r="D91" t="n">
        <v>20</v>
      </c>
      <c r="E91" t="n">
        <v>18</v>
      </c>
      <c r="F91" s="32" t="n">
        <v>0.9</v>
      </c>
    </row>
    <row r="92">
      <c r="A92" s="25" t="n">
        <v>45977</v>
      </c>
      <c r="B92" t="inlineStr">
        <is>
          <t>Bluestone Memorial Hospital</t>
        </is>
      </c>
      <c r="C92" t="inlineStr">
        <is>
          <t>Intensive Care Unit</t>
        </is>
      </c>
      <c r="D92" t="n">
        <v>20</v>
      </c>
      <c r="E92" t="n">
        <v>19</v>
      </c>
      <c r="F92" s="32" t="n">
        <v>0.95</v>
      </c>
    </row>
    <row r="93">
      <c r="A93" s="25" t="n">
        <v>45978</v>
      </c>
      <c r="B93" t="inlineStr">
        <is>
          <t>Bluestone Memorial Hospital</t>
        </is>
      </c>
      <c r="C93" t="inlineStr">
        <is>
          <t>Intensive Care Unit</t>
        </is>
      </c>
      <c r="D93" t="n">
        <v>20</v>
      </c>
      <c r="E93" t="n">
        <v>18</v>
      </c>
      <c r="F93" s="32" t="n">
        <v>0.9</v>
      </c>
    </row>
    <row r="94">
      <c r="A94" s="25" t="n">
        <v>45979</v>
      </c>
      <c r="B94" t="inlineStr">
        <is>
          <t>Bluestone Memorial Hospital</t>
        </is>
      </c>
      <c r="C94" t="inlineStr">
        <is>
          <t>Intensive Care Unit</t>
        </is>
      </c>
      <c r="D94" t="n">
        <v>20</v>
      </c>
      <c r="E94" t="n">
        <v>18</v>
      </c>
      <c r="F94" s="32" t="n">
        <v>0.9</v>
      </c>
    </row>
    <row r="95">
      <c r="A95" s="25" t="n">
        <v>45980</v>
      </c>
      <c r="B95" t="inlineStr">
        <is>
          <t>Bluestone Memorial Hospital</t>
        </is>
      </c>
      <c r="C95" t="inlineStr">
        <is>
          <t>Intensive Care Unit</t>
        </is>
      </c>
      <c r="D95" t="n">
        <v>20</v>
      </c>
      <c r="E95" t="n">
        <v>17</v>
      </c>
      <c r="F95" s="32" t="n">
        <v>0.85</v>
      </c>
    </row>
    <row r="96">
      <c r="A96" s="25" t="n">
        <v>45981</v>
      </c>
      <c r="B96" t="inlineStr">
        <is>
          <t>Bluestone Memorial Hospital</t>
        </is>
      </c>
      <c r="C96" t="inlineStr">
        <is>
          <t>Intensive Care Unit</t>
        </is>
      </c>
      <c r="D96" t="n">
        <v>20</v>
      </c>
      <c r="E96" t="n">
        <v>18</v>
      </c>
      <c r="F96" s="32" t="n">
        <v>0.9</v>
      </c>
    </row>
    <row r="97">
      <c r="A97" s="25" t="n">
        <v>45982</v>
      </c>
      <c r="B97" t="inlineStr">
        <is>
          <t>Bluestone Memorial Hospital</t>
        </is>
      </c>
      <c r="C97" t="inlineStr">
        <is>
          <t>Intensive Care Unit</t>
        </is>
      </c>
      <c r="D97" t="n">
        <v>20</v>
      </c>
      <c r="E97" t="n">
        <v>19</v>
      </c>
      <c r="F97" s="32" t="n">
        <v>0.95</v>
      </c>
    </row>
    <row r="98">
      <c r="A98" s="25" t="n">
        <v>45983</v>
      </c>
      <c r="B98" t="inlineStr">
        <is>
          <t>Bluestone Memorial Hospital</t>
        </is>
      </c>
      <c r="C98" t="inlineStr">
        <is>
          <t>Intensive Care Unit</t>
        </is>
      </c>
      <c r="D98" t="n">
        <v>20</v>
      </c>
      <c r="E98" t="n">
        <v>19</v>
      </c>
      <c r="F98" s="32" t="n">
        <v>0.95</v>
      </c>
    </row>
    <row r="99">
      <c r="A99" s="25" t="n">
        <v>45984</v>
      </c>
      <c r="B99" t="inlineStr">
        <is>
          <t>Bluestone Memorial Hospital</t>
        </is>
      </c>
      <c r="C99" t="inlineStr">
        <is>
          <t>Intensive Care Unit</t>
        </is>
      </c>
      <c r="D99" t="n">
        <v>20</v>
      </c>
      <c r="E99" t="n">
        <v>19</v>
      </c>
      <c r="F99" s="32" t="n">
        <v>0.95</v>
      </c>
    </row>
    <row r="100">
      <c r="A100" s="25" t="n">
        <v>45985</v>
      </c>
      <c r="B100" t="inlineStr">
        <is>
          <t>Bluestone Memorial Hospital</t>
        </is>
      </c>
      <c r="C100" t="inlineStr">
        <is>
          <t>Intensive Care Unit</t>
        </is>
      </c>
      <c r="D100" t="n">
        <v>20</v>
      </c>
      <c r="E100" t="n">
        <v>17</v>
      </c>
      <c r="F100" s="32" t="n">
        <v>0.85</v>
      </c>
    </row>
    <row r="101">
      <c r="A101" s="25" t="n">
        <v>45986</v>
      </c>
      <c r="B101" t="inlineStr">
        <is>
          <t>Bluestone Memorial Hospital</t>
        </is>
      </c>
      <c r="C101" t="inlineStr">
        <is>
          <t>Intensive Care Unit</t>
        </is>
      </c>
      <c r="D101" t="n">
        <v>20</v>
      </c>
      <c r="E101" t="n">
        <v>18</v>
      </c>
      <c r="F101" s="32" t="n">
        <v>0.9</v>
      </c>
    </row>
    <row r="102">
      <c r="A102" s="25" t="n">
        <v>45962</v>
      </c>
      <c r="B102" t="inlineStr">
        <is>
          <t>Bluestone Memorial Hospital</t>
        </is>
      </c>
      <c r="C102" t="inlineStr">
        <is>
          <t>Orthopedics &amp; Spine</t>
        </is>
      </c>
      <c r="D102" t="n">
        <v>22</v>
      </c>
      <c r="E102" t="n">
        <v>12</v>
      </c>
      <c r="F102" s="32" t="n">
        <v>0.5454545454545454</v>
      </c>
    </row>
    <row r="103">
      <c r="A103" s="25" t="n">
        <v>45963</v>
      </c>
      <c r="B103" t="inlineStr">
        <is>
          <t>Bluestone Memorial Hospital</t>
        </is>
      </c>
      <c r="C103" t="inlineStr">
        <is>
          <t>Orthopedics &amp; Spine</t>
        </is>
      </c>
      <c r="D103" t="n">
        <v>22</v>
      </c>
      <c r="E103" t="n">
        <v>11</v>
      </c>
      <c r="F103" s="32" t="n">
        <v>0.5</v>
      </c>
    </row>
    <row r="104">
      <c r="A104" s="25" t="n">
        <v>45964</v>
      </c>
      <c r="B104" t="inlineStr">
        <is>
          <t>Bluestone Memorial Hospital</t>
        </is>
      </c>
      <c r="C104" t="inlineStr">
        <is>
          <t>Orthopedics &amp; Spine</t>
        </is>
      </c>
      <c r="D104" t="n">
        <v>22</v>
      </c>
      <c r="E104" t="n">
        <v>15</v>
      </c>
      <c r="F104" s="32" t="n">
        <v>0.6818181818181818</v>
      </c>
    </row>
    <row r="105">
      <c r="A105" s="25" t="n">
        <v>45965</v>
      </c>
      <c r="B105" t="inlineStr">
        <is>
          <t>Bluestone Memorial Hospital</t>
        </is>
      </c>
      <c r="C105" t="inlineStr">
        <is>
          <t>Orthopedics &amp; Spine</t>
        </is>
      </c>
      <c r="D105" t="n">
        <v>22</v>
      </c>
      <c r="E105" t="n">
        <v>16</v>
      </c>
      <c r="F105" s="32" t="n">
        <v>0.7272727272727273</v>
      </c>
    </row>
    <row r="106">
      <c r="A106" s="25" t="n">
        <v>45966</v>
      </c>
      <c r="B106" t="inlineStr">
        <is>
          <t>Bluestone Memorial Hospital</t>
        </is>
      </c>
      <c r="C106" t="inlineStr">
        <is>
          <t>Orthopedics &amp; Spine</t>
        </is>
      </c>
      <c r="D106" t="n">
        <v>22</v>
      </c>
      <c r="E106" t="n">
        <v>16</v>
      </c>
      <c r="F106" s="32" t="n">
        <v>0.7272727272727273</v>
      </c>
    </row>
    <row r="107">
      <c r="A107" s="25" t="n">
        <v>45967</v>
      </c>
      <c r="B107" t="inlineStr">
        <is>
          <t>Bluestone Memorial Hospital</t>
        </is>
      </c>
      <c r="C107" t="inlineStr">
        <is>
          <t>Orthopedics &amp; Spine</t>
        </is>
      </c>
      <c r="D107" t="n">
        <v>22</v>
      </c>
      <c r="E107" t="n">
        <v>16</v>
      </c>
      <c r="F107" s="32" t="n">
        <v>0.7272727272727273</v>
      </c>
    </row>
    <row r="108">
      <c r="A108" s="25" t="n">
        <v>45968</v>
      </c>
      <c r="B108" t="inlineStr">
        <is>
          <t>Bluestone Memorial Hospital</t>
        </is>
      </c>
      <c r="C108" t="inlineStr">
        <is>
          <t>Orthopedics &amp; Spine</t>
        </is>
      </c>
      <c r="D108" t="n">
        <v>22</v>
      </c>
      <c r="E108" t="n">
        <v>15</v>
      </c>
      <c r="F108" s="32" t="n">
        <v>0.6818181818181818</v>
      </c>
    </row>
    <row r="109">
      <c r="A109" s="25" t="n">
        <v>45969</v>
      </c>
      <c r="B109" t="inlineStr">
        <is>
          <t>Bluestone Memorial Hospital</t>
        </is>
      </c>
      <c r="C109" t="inlineStr">
        <is>
          <t>Orthopedics &amp; Spine</t>
        </is>
      </c>
      <c r="D109" t="n">
        <v>22</v>
      </c>
      <c r="E109" t="n">
        <v>12</v>
      </c>
      <c r="F109" s="32" t="n">
        <v>0.5454545454545454</v>
      </c>
    </row>
    <row r="110">
      <c r="A110" s="25" t="n">
        <v>45970</v>
      </c>
      <c r="B110" t="inlineStr">
        <is>
          <t>Bluestone Memorial Hospital</t>
        </is>
      </c>
      <c r="C110" t="inlineStr">
        <is>
          <t>Orthopedics &amp; Spine</t>
        </is>
      </c>
      <c r="D110" t="n">
        <v>22</v>
      </c>
      <c r="E110" t="n">
        <v>13</v>
      </c>
      <c r="F110" s="32" t="n">
        <v>0.5909090909090909</v>
      </c>
    </row>
    <row r="111">
      <c r="A111" s="25" t="n">
        <v>45971</v>
      </c>
      <c r="B111" t="inlineStr">
        <is>
          <t>Bluestone Memorial Hospital</t>
        </is>
      </c>
      <c r="C111" t="inlineStr">
        <is>
          <t>Orthopedics &amp; Spine</t>
        </is>
      </c>
      <c r="D111" t="n">
        <v>22</v>
      </c>
      <c r="E111" t="n">
        <v>16</v>
      </c>
      <c r="F111" s="32" t="n">
        <v>0.7272727272727273</v>
      </c>
    </row>
    <row r="112">
      <c r="A112" s="25" t="n">
        <v>45972</v>
      </c>
      <c r="B112" t="inlineStr">
        <is>
          <t>Bluestone Memorial Hospital</t>
        </is>
      </c>
      <c r="C112" t="inlineStr">
        <is>
          <t>Orthopedics &amp; Spine</t>
        </is>
      </c>
      <c r="D112" t="n">
        <v>22</v>
      </c>
      <c r="E112" t="n">
        <v>17</v>
      </c>
      <c r="F112" s="32" t="n">
        <v>0.7727272727272727</v>
      </c>
    </row>
    <row r="113">
      <c r="A113" s="25" t="n">
        <v>45973</v>
      </c>
      <c r="B113" t="inlineStr">
        <is>
          <t>Bluestone Memorial Hospital</t>
        </is>
      </c>
      <c r="C113" t="inlineStr">
        <is>
          <t>Orthopedics &amp; Spine</t>
        </is>
      </c>
      <c r="D113" t="n">
        <v>22</v>
      </c>
      <c r="E113" t="n">
        <v>17</v>
      </c>
      <c r="F113" s="32" t="n">
        <v>0.7727272727272727</v>
      </c>
    </row>
    <row r="114">
      <c r="A114" s="25" t="n">
        <v>45974</v>
      </c>
      <c r="B114" t="inlineStr">
        <is>
          <t>Bluestone Memorial Hospital</t>
        </is>
      </c>
      <c r="C114" t="inlineStr">
        <is>
          <t>Orthopedics &amp; Spine</t>
        </is>
      </c>
      <c r="D114" t="n">
        <v>22</v>
      </c>
      <c r="E114" t="n">
        <v>17</v>
      </c>
      <c r="F114" s="32" t="n">
        <v>0.7727272727272727</v>
      </c>
    </row>
    <row r="115">
      <c r="A115" s="25" t="n">
        <v>45975</v>
      </c>
      <c r="B115" t="inlineStr">
        <is>
          <t>Bluestone Memorial Hospital</t>
        </is>
      </c>
      <c r="C115" t="inlineStr">
        <is>
          <t>Orthopedics &amp; Spine</t>
        </is>
      </c>
      <c r="D115" t="n">
        <v>22</v>
      </c>
      <c r="E115" t="n">
        <v>14</v>
      </c>
      <c r="F115" s="32" t="n">
        <v>0.6363636363636364</v>
      </c>
    </row>
    <row r="116">
      <c r="A116" s="25" t="n">
        <v>45976</v>
      </c>
      <c r="B116" t="inlineStr">
        <is>
          <t>Bluestone Memorial Hospital</t>
        </is>
      </c>
      <c r="C116" t="inlineStr">
        <is>
          <t>Orthopedics &amp; Spine</t>
        </is>
      </c>
      <c r="D116" t="n">
        <v>22</v>
      </c>
      <c r="E116" t="n">
        <v>11</v>
      </c>
      <c r="F116" s="32" t="n">
        <v>0.5</v>
      </c>
    </row>
    <row r="117">
      <c r="A117" s="25" t="n">
        <v>45977</v>
      </c>
      <c r="B117" t="inlineStr">
        <is>
          <t>Bluestone Memorial Hospital</t>
        </is>
      </c>
      <c r="C117" t="inlineStr">
        <is>
          <t>Orthopedics &amp; Spine</t>
        </is>
      </c>
      <c r="D117" t="n">
        <v>22</v>
      </c>
      <c r="E117" t="n">
        <v>10</v>
      </c>
      <c r="F117" s="32" t="n">
        <v>0.4545454545454545</v>
      </c>
    </row>
    <row r="118">
      <c r="A118" s="25" t="n">
        <v>45978</v>
      </c>
      <c r="B118" t="inlineStr">
        <is>
          <t>Bluestone Memorial Hospital</t>
        </is>
      </c>
      <c r="C118" t="inlineStr">
        <is>
          <t>Orthopedics &amp; Spine</t>
        </is>
      </c>
      <c r="D118" t="n">
        <v>22</v>
      </c>
      <c r="E118" t="n">
        <v>14</v>
      </c>
      <c r="F118" s="32" t="n">
        <v>0.6363636363636364</v>
      </c>
    </row>
    <row r="119">
      <c r="A119" s="25" t="n">
        <v>45979</v>
      </c>
      <c r="B119" t="inlineStr">
        <is>
          <t>Bluestone Memorial Hospital</t>
        </is>
      </c>
      <c r="C119" t="inlineStr">
        <is>
          <t>Orthopedics &amp; Spine</t>
        </is>
      </c>
      <c r="D119" t="n">
        <v>22</v>
      </c>
      <c r="E119" t="n">
        <v>17</v>
      </c>
      <c r="F119" s="32" t="n">
        <v>0.7727272727272727</v>
      </c>
    </row>
    <row r="120">
      <c r="A120" s="25" t="n">
        <v>45980</v>
      </c>
      <c r="B120" t="inlineStr">
        <is>
          <t>Bluestone Memorial Hospital</t>
        </is>
      </c>
      <c r="C120" t="inlineStr">
        <is>
          <t>Orthopedics &amp; Spine</t>
        </is>
      </c>
      <c r="D120" t="n">
        <v>22</v>
      </c>
      <c r="E120" t="n">
        <v>17</v>
      </c>
      <c r="F120" s="32" t="n">
        <v>0.7727272727272727</v>
      </c>
    </row>
    <row r="121">
      <c r="A121" s="25" t="n">
        <v>45981</v>
      </c>
      <c r="B121" t="inlineStr">
        <is>
          <t>Bluestone Memorial Hospital</t>
        </is>
      </c>
      <c r="C121" t="inlineStr">
        <is>
          <t>Orthopedics &amp; Spine</t>
        </is>
      </c>
      <c r="D121" t="n">
        <v>22</v>
      </c>
      <c r="E121" t="n">
        <v>16</v>
      </c>
      <c r="F121" s="32" t="n">
        <v>0.7272727272727273</v>
      </c>
    </row>
    <row r="122">
      <c r="A122" s="25" t="n">
        <v>45982</v>
      </c>
      <c r="B122" t="inlineStr">
        <is>
          <t>Bluestone Memorial Hospital</t>
        </is>
      </c>
      <c r="C122" t="inlineStr">
        <is>
          <t>Orthopedics &amp; Spine</t>
        </is>
      </c>
      <c r="D122" t="n">
        <v>22</v>
      </c>
      <c r="E122" t="n">
        <v>15</v>
      </c>
      <c r="F122" s="32" t="n">
        <v>0.6818181818181818</v>
      </c>
    </row>
    <row r="123">
      <c r="A123" s="25" t="n">
        <v>45983</v>
      </c>
      <c r="B123" t="inlineStr">
        <is>
          <t>Bluestone Memorial Hospital</t>
        </is>
      </c>
      <c r="C123" t="inlineStr">
        <is>
          <t>Orthopedics &amp; Spine</t>
        </is>
      </c>
      <c r="D123" t="n">
        <v>22</v>
      </c>
      <c r="E123" t="n">
        <v>13</v>
      </c>
      <c r="F123" s="32" t="n">
        <v>0.5909090909090909</v>
      </c>
    </row>
    <row r="124">
      <c r="A124" s="25" t="n">
        <v>45984</v>
      </c>
      <c r="B124" t="inlineStr">
        <is>
          <t>Bluestone Memorial Hospital</t>
        </is>
      </c>
      <c r="C124" t="inlineStr">
        <is>
          <t>Orthopedics &amp; Spine</t>
        </is>
      </c>
      <c r="D124" t="n">
        <v>22</v>
      </c>
      <c r="E124" t="n">
        <v>13</v>
      </c>
      <c r="F124" s="32" t="n">
        <v>0.5909090909090909</v>
      </c>
    </row>
    <row r="125">
      <c r="A125" s="25" t="n">
        <v>45985</v>
      </c>
      <c r="B125" t="inlineStr">
        <is>
          <t>Bluestone Memorial Hospital</t>
        </is>
      </c>
      <c r="C125" t="inlineStr">
        <is>
          <t>Orthopedics &amp; Spine</t>
        </is>
      </c>
      <c r="D125" t="n">
        <v>22</v>
      </c>
      <c r="E125" t="n">
        <v>15</v>
      </c>
      <c r="F125" s="32" t="n">
        <v>0.6818181818181818</v>
      </c>
    </row>
    <row r="126">
      <c r="A126" s="25" t="n">
        <v>45986</v>
      </c>
      <c r="B126" t="inlineStr">
        <is>
          <t>Bluestone Memorial Hospital</t>
        </is>
      </c>
      <c r="C126" t="inlineStr">
        <is>
          <t>Orthopedics &amp; Spine</t>
        </is>
      </c>
      <c r="D126" t="n">
        <v>22</v>
      </c>
      <c r="E126" t="n">
        <v>16</v>
      </c>
      <c r="F126" s="32" t="n">
        <v>0.7272727272727273</v>
      </c>
    </row>
    <row r="127">
      <c r="A127" s="25" t="n">
        <v>45962</v>
      </c>
      <c r="B127" t="inlineStr">
        <is>
          <t>Bluestone Memorial Hospital</t>
        </is>
      </c>
      <c r="C127" t="inlineStr">
        <is>
          <t>Oncology</t>
        </is>
      </c>
      <c r="D127" t="n">
        <v>18</v>
      </c>
      <c r="E127" t="n">
        <v>14</v>
      </c>
      <c r="F127" s="32" t="n">
        <v>0.7777777777777778</v>
      </c>
    </row>
    <row r="128">
      <c r="A128" s="25" t="n">
        <v>45963</v>
      </c>
      <c r="B128" t="inlineStr">
        <is>
          <t>Bluestone Memorial Hospital</t>
        </is>
      </c>
      <c r="C128" t="inlineStr">
        <is>
          <t>Oncology</t>
        </is>
      </c>
      <c r="D128" t="n">
        <v>18</v>
      </c>
      <c r="E128" t="n">
        <v>15</v>
      </c>
      <c r="F128" s="32" t="n">
        <v>0.8333333333333334</v>
      </c>
    </row>
    <row r="129">
      <c r="A129" s="25" t="n">
        <v>45964</v>
      </c>
      <c r="B129" t="inlineStr">
        <is>
          <t>Bluestone Memorial Hospital</t>
        </is>
      </c>
      <c r="C129" t="inlineStr">
        <is>
          <t>Oncology</t>
        </is>
      </c>
      <c r="D129" t="n">
        <v>18</v>
      </c>
      <c r="E129" t="n">
        <v>15</v>
      </c>
      <c r="F129" s="32" t="n">
        <v>0.8333333333333334</v>
      </c>
    </row>
    <row r="130">
      <c r="A130" s="25" t="n">
        <v>45965</v>
      </c>
      <c r="B130" t="inlineStr">
        <is>
          <t>Bluestone Memorial Hospital</t>
        </is>
      </c>
      <c r="C130" t="inlineStr">
        <is>
          <t>Oncology</t>
        </is>
      </c>
      <c r="D130" t="n">
        <v>18</v>
      </c>
      <c r="E130" t="n">
        <v>14</v>
      </c>
      <c r="F130" s="32" t="n">
        <v>0.7777777777777778</v>
      </c>
    </row>
    <row r="131">
      <c r="A131" s="25" t="n">
        <v>45966</v>
      </c>
      <c r="B131" t="inlineStr">
        <is>
          <t>Bluestone Memorial Hospital</t>
        </is>
      </c>
      <c r="C131" t="inlineStr">
        <is>
          <t>Oncology</t>
        </is>
      </c>
      <c r="D131" t="n">
        <v>18</v>
      </c>
      <c r="E131" t="n">
        <v>14</v>
      </c>
      <c r="F131" s="32" t="n">
        <v>0.7777777777777778</v>
      </c>
    </row>
    <row r="132">
      <c r="A132" s="25" t="n">
        <v>45967</v>
      </c>
      <c r="B132" t="inlineStr">
        <is>
          <t>Bluestone Memorial Hospital</t>
        </is>
      </c>
      <c r="C132" t="inlineStr">
        <is>
          <t>Oncology</t>
        </is>
      </c>
      <c r="D132" t="n">
        <v>18</v>
      </c>
      <c r="E132" t="n">
        <v>14</v>
      </c>
      <c r="F132" s="32" t="n">
        <v>0.7777777777777778</v>
      </c>
    </row>
    <row r="133">
      <c r="A133" s="25" t="n">
        <v>45968</v>
      </c>
      <c r="B133" t="inlineStr">
        <is>
          <t>Bluestone Memorial Hospital</t>
        </is>
      </c>
      <c r="C133" t="inlineStr">
        <is>
          <t>Oncology</t>
        </is>
      </c>
      <c r="D133" t="n">
        <v>18</v>
      </c>
      <c r="E133" t="n">
        <v>15</v>
      </c>
      <c r="F133" s="32" t="n">
        <v>0.8333333333333334</v>
      </c>
    </row>
    <row r="134">
      <c r="A134" s="25" t="n">
        <v>45969</v>
      </c>
      <c r="B134" t="inlineStr">
        <is>
          <t>Bluestone Memorial Hospital</t>
        </is>
      </c>
      <c r="C134" t="inlineStr">
        <is>
          <t>Oncology</t>
        </is>
      </c>
      <c r="D134" t="n">
        <v>18</v>
      </c>
      <c r="E134" t="n">
        <v>14</v>
      </c>
      <c r="F134" s="32" t="n">
        <v>0.7777777777777778</v>
      </c>
    </row>
    <row r="135">
      <c r="A135" s="25" t="n">
        <v>45970</v>
      </c>
      <c r="B135" t="inlineStr">
        <is>
          <t>Bluestone Memorial Hospital</t>
        </is>
      </c>
      <c r="C135" t="inlineStr">
        <is>
          <t>Oncology</t>
        </is>
      </c>
      <c r="D135" t="n">
        <v>18</v>
      </c>
      <c r="E135" t="n">
        <v>14</v>
      </c>
      <c r="F135" s="32" t="n">
        <v>0.7777777777777778</v>
      </c>
    </row>
    <row r="136">
      <c r="A136" s="25" t="n">
        <v>45971</v>
      </c>
      <c r="B136" t="inlineStr">
        <is>
          <t>Bluestone Memorial Hospital</t>
        </is>
      </c>
      <c r="C136" t="inlineStr">
        <is>
          <t>Oncology</t>
        </is>
      </c>
      <c r="D136" t="n">
        <v>18</v>
      </c>
      <c r="E136" t="n">
        <v>15</v>
      </c>
      <c r="F136" s="32" t="n">
        <v>0.8333333333333334</v>
      </c>
    </row>
    <row r="137">
      <c r="A137" s="25" t="n">
        <v>45972</v>
      </c>
      <c r="B137" t="inlineStr">
        <is>
          <t>Bluestone Memorial Hospital</t>
        </is>
      </c>
      <c r="C137" t="inlineStr">
        <is>
          <t>Oncology</t>
        </is>
      </c>
      <c r="D137" t="n">
        <v>18</v>
      </c>
      <c r="E137" t="n">
        <v>15</v>
      </c>
      <c r="F137" s="32" t="n">
        <v>0.8333333333333334</v>
      </c>
    </row>
    <row r="138">
      <c r="A138" s="25" t="n">
        <v>45973</v>
      </c>
      <c r="B138" t="inlineStr">
        <is>
          <t>Bluestone Memorial Hospital</t>
        </is>
      </c>
      <c r="C138" t="inlineStr">
        <is>
          <t>Oncology</t>
        </is>
      </c>
      <c r="D138" t="n">
        <v>18</v>
      </c>
      <c r="E138" t="n">
        <v>14</v>
      </c>
      <c r="F138" s="32" t="n">
        <v>0.7777777777777778</v>
      </c>
    </row>
    <row r="139">
      <c r="A139" s="25" t="n">
        <v>45974</v>
      </c>
      <c r="B139" t="inlineStr">
        <is>
          <t>Bluestone Memorial Hospital</t>
        </is>
      </c>
      <c r="C139" t="inlineStr">
        <is>
          <t>Oncology</t>
        </is>
      </c>
      <c r="D139" t="n">
        <v>18</v>
      </c>
      <c r="E139" t="n">
        <v>14</v>
      </c>
      <c r="F139" s="32" t="n">
        <v>0.7777777777777778</v>
      </c>
    </row>
    <row r="140">
      <c r="A140" s="25" t="n">
        <v>45975</v>
      </c>
      <c r="B140" t="inlineStr">
        <is>
          <t>Bluestone Memorial Hospital</t>
        </is>
      </c>
      <c r="C140" t="inlineStr">
        <is>
          <t>Oncology</t>
        </is>
      </c>
      <c r="D140" t="n">
        <v>18</v>
      </c>
      <c r="E140" t="n">
        <v>14</v>
      </c>
      <c r="F140" s="32" t="n">
        <v>0.7777777777777778</v>
      </c>
    </row>
    <row r="141">
      <c r="A141" s="25" t="n">
        <v>45976</v>
      </c>
      <c r="B141" t="inlineStr">
        <is>
          <t>Bluestone Memorial Hospital</t>
        </is>
      </c>
      <c r="C141" t="inlineStr">
        <is>
          <t>Oncology</t>
        </is>
      </c>
      <c r="D141" t="n">
        <v>18</v>
      </c>
      <c r="E141" t="n">
        <v>13</v>
      </c>
      <c r="F141" s="32" t="n">
        <v>0.7222222222222222</v>
      </c>
    </row>
    <row r="142">
      <c r="A142" s="25" t="n">
        <v>45977</v>
      </c>
      <c r="B142" t="inlineStr">
        <is>
          <t>Bluestone Memorial Hospital</t>
        </is>
      </c>
      <c r="C142" t="inlineStr">
        <is>
          <t>Oncology</t>
        </is>
      </c>
      <c r="D142" t="n">
        <v>18</v>
      </c>
      <c r="E142" t="n">
        <v>12</v>
      </c>
      <c r="F142" s="32" t="n">
        <v>0.6666666666666666</v>
      </c>
    </row>
    <row r="143">
      <c r="A143" s="25" t="n">
        <v>45978</v>
      </c>
      <c r="B143" t="inlineStr">
        <is>
          <t>Bluestone Memorial Hospital</t>
        </is>
      </c>
      <c r="C143" t="inlineStr">
        <is>
          <t>Oncology</t>
        </is>
      </c>
      <c r="D143" t="n">
        <v>18</v>
      </c>
      <c r="E143" t="n">
        <v>13</v>
      </c>
      <c r="F143" s="32" t="n">
        <v>0.7222222222222222</v>
      </c>
    </row>
    <row r="144">
      <c r="A144" s="25" t="n">
        <v>45979</v>
      </c>
      <c r="B144" t="inlineStr">
        <is>
          <t>Bluestone Memorial Hospital</t>
        </is>
      </c>
      <c r="C144" t="inlineStr">
        <is>
          <t>Oncology</t>
        </is>
      </c>
      <c r="D144" t="n">
        <v>18</v>
      </c>
      <c r="E144" t="n">
        <v>13</v>
      </c>
      <c r="F144" s="32" t="n">
        <v>0.7222222222222222</v>
      </c>
    </row>
    <row r="145">
      <c r="A145" s="25" t="n">
        <v>45980</v>
      </c>
      <c r="B145" t="inlineStr">
        <is>
          <t>Bluestone Memorial Hospital</t>
        </is>
      </c>
      <c r="C145" t="inlineStr">
        <is>
          <t>Oncology</t>
        </is>
      </c>
      <c r="D145" t="n">
        <v>18</v>
      </c>
      <c r="E145" t="n">
        <v>12</v>
      </c>
      <c r="F145" s="32" t="n">
        <v>0.6666666666666666</v>
      </c>
    </row>
    <row r="146">
      <c r="A146" s="25" t="n">
        <v>45981</v>
      </c>
      <c r="B146" t="inlineStr">
        <is>
          <t>Bluestone Memorial Hospital</t>
        </is>
      </c>
      <c r="C146" t="inlineStr">
        <is>
          <t>Oncology</t>
        </is>
      </c>
      <c r="D146" t="n">
        <v>18</v>
      </c>
      <c r="E146" t="n">
        <v>14</v>
      </c>
      <c r="F146" s="32" t="n">
        <v>0.7777777777777778</v>
      </c>
    </row>
    <row r="147">
      <c r="A147" s="25" t="n">
        <v>45982</v>
      </c>
      <c r="B147" t="inlineStr">
        <is>
          <t>Bluestone Memorial Hospital</t>
        </is>
      </c>
      <c r="C147" t="inlineStr">
        <is>
          <t>Oncology</t>
        </is>
      </c>
      <c r="D147" t="n">
        <v>18</v>
      </c>
      <c r="E147" t="n">
        <v>14</v>
      </c>
      <c r="F147" s="32" t="n">
        <v>0.7777777777777778</v>
      </c>
    </row>
    <row r="148">
      <c r="A148" s="25" t="n">
        <v>45983</v>
      </c>
      <c r="B148" t="inlineStr">
        <is>
          <t>Bluestone Memorial Hospital</t>
        </is>
      </c>
      <c r="C148" t="inlineStr">
        <is>
          <t>Oncology</t>
        </is>
      </c>
      <c r="D148" t="n">
        <v>18</v>
      </c>
      <c r="E148" t="n">
        <v>14</v>
      </c>
      <c r="F148" s="32" t="n">
        <v>0.7777777777777778</v>
      </c>
    </row>
    <row r="149">
      <c r="A149" s="25" t="n">
        <v>45984</v>
      </c>
      <c r="B149" t="inlineStr">
        <is>
          <t>Bluestone Memorial Hospital</t>
        </is>
      </c>
      <c r="C149" t="inlineStr">
        <is>
          <t>Oncology</t>
        </is>
      </c>
      <c r="D149" t="n">
        <v>18</v>
      </c>
      <c r="E149" t="n">
        <v>15</v>
      </c>
      <c r="F149" s="32" t="n">
        <v>0.8333333333333334</v>
      </c>
    </row>
    <row r="150">
      <c r="A150" s="25" t="n">
        <v>45985</v>
      </c>
      <c r="B150" t="inlineStr">
        <is>
          <t>Bluestone Memorial Hospital</t>
        </is>
      </c>
      <c r="C150" t="inlineStr">
        <is>
          <t>Oncology</t>
        </is>
      </c>
      <c r="D150" t="n">
        <v>18</v>
      </c>
      <c r="E150" t="n">
        <v>16</v>
      </c>
      <c r="F150" s="32" t="n">
        <v>0.8888888888888888</v>
      </c>
    </row>
    <row r="151">
      <c r="A151" s="25" t="n">
        <v>45986</v>
      </c>
      <c r="B151" t="inlineStr">
        <is>
          <t>Bluestone Memorial Hospital</t>
        </is>
      </c>
      <c r="C151" t="inlineStr">
        <is>
          <t>Oncology</t>
        </is>
      </c>
      <c r="D151" t="n">
        <v>18</v>
      </c>
      <c r="E151" t="n">
        <v>16</v>
      </c>
      <c r="F151" s="32" t="n">
        <v>0.8888888888888888</v>
      </c>
    </row>
    <row r="152">
      <c r="A152" s="25" t="n">
        <v>45962</v>
      </c>
      <c r="B152" t="inlineStr">
        <is>
          <t>Bluestone Memorial Hospital</t>
        </is>
      </c>
      <c r="C152" t="inlineStr">
        <is>
          <t>Neuroscience &amp; Stroke</t>
        </is>
      </c>
      <c r="D152" t="n">
        <v>16</v>
      </c>
      <c r="E152" t="n">
        <v>14</v>
      </c>
      <c r="F152" s="32" t="n">
        <v>0.875</v>
      </c>
    </row>
    <row r="153">
      <c r="A153" s="25" t="n">
        <v>45963</v>
      </c>
      <c r="B153" t="inlineStr">
        <is>
          <t>Bluestone Memorial Hospital</t>
        </is>
      </c>
      <c r="C153" t="inlineStr">
        <is>
          <t>Neuroscience &amp; Stroke</t>
        </is>
      </c>
      <c r="D153" t="n">
        <v>16</v>
      </c>
      <c r="E153" t="n">
        <v>13</v>
      </c>
      <c r="F153" s="32" t="n">
        <v>0.8125</v>
      </c>
    </row>
    <row r="154">
      <c r="A154" s="25" t="n">
        <v>45964</v>
      </c>
      <c r="B154" t="inlineStr">
        <is>
          <t>Bluestone Memorial Hospital</t>
        </is>
      </c>
      <c r="C154" t="inlineStr">
        <is>
          <t>Neuroscience &amp; Stroke</t>
        </is>
      </c>
      <c r="D154" t="n">
        <v>16</v>
      </c>
      <c r="E154" t="n">
        <v>13</v>
      </c>
      <c r="F154" s="32" t="n">
        <v>0.8125</v>
      </c>
    </row>
    <row r="155">
      <c r="A155" s="25" t="n">
        <v>45965</v>
      </c>
      <c r="B155" t="inlineStr">
        <is>
          <t>Bluestone Memorial Hospital</t>
        </is>
      </c>
      <c r="C155" t="inlineStr">
        <is>
          <t>Neuroscience &amp; Stroke</t>
        </is>
      </c>
      <c r="D155" t="n">
        <v>16</v>
      </c>
      <c r="E155" t="n">
        <v>13</v>
      </c>
      <c r="F155" s="32" t="n">
        <v>0.8125</v>
      </c>
    </row>
    <row r="156">
      <c r="A156" s="25" t="n">
        <v>45966</v>
      </c>
      <c r="B156" t="inlineStr">
        <is>
          <t>Bluestone Memorial Hospital</t>
        </is>
      </c>
      <c r="C156" t="inlineStr">
        <is>
          <t>Neuroscience &amp; Stroke</t>
        </is>
      </c>
      <c r="D156" t="n">
        <v>16</v>
      </c>
      <c r="E156" t="n">
        <v>13</v>
      </c>
      <c r="F156" s="32" t="n">
        <v>0.8125</v>
      </c>
    </row>
    <row r="157">
      <c r="A157" s="25" t="n">
        <v>45967</v>
      </c>
      <c r="B157" t="inlineStr">
        <is>
          <t>Bluestone Memorial Hospital</t>
        </is>
      </c>
      <c r="C157" t="inlineStr">
        <is>
          <t>Neuroscience &amp; Stroke</t>
        </is>
      </c>
      <c r="D157" t="n">
        <v>16</v>
      </c>
      <c r="E157" t="n">
        <v>12</v>
      </c>
      <c r="F157" s="32" t="n">
        <v>0.75</v>
      </c>
    </row>
    <row r="158">
      <c r="A158" s="25" t="n">
        <v>45968</v>
      </c>
      <c r="B158" t="inlineStr">
        <is>
          <t>Bluestone Memorial Hospital</t>
        </is>
      </c>
      <c r="C158" t="inlineStr">
        <is>
          <t>Neuroscience &amp; Stroke</t>
        </is>
      </c>
      <c r="D158" t="n">
        <v>16</v>
      </c>
      <c r="E158" t="n">
        <v>12</v>
      </c>
      <c r="F158" s="32" t="n">
        <v>0.75</v>
      </c>
    </row>
    <row r="159">
      <c r="A159" s="25" t="n">
        <v>45969</v>
      </c>
      <c r="B159" t="inlineStr">
        <is>
          <t>Bluestone Memorial Hospital</t>
        </is>
      </c>
      <c r="C159" t="inlineStr">
        <is>
          <t>Neuroscience &amp; Stroke</t>
        </is>
      </c>
      <c r="D159" t="n">
        <v>16</v>
      </c>
      <c r="E159" t="n">
        <v>12</v>
      </c>
      <c r="F159" s="32" t="n">
        <v>0.75</v>
      </c>
    </row>
    <row r="160">
      <c r="A160" s="25" t="n">
        <v>45970</v>
      </c>
      <c r="B160" t="inlineStr">
        <is>
          <t>Bluestone Memorial Hospital</t>
        </is>
      </c>
      <c r="C160" t="inlineStr">
        <is>
          <t>Neuroscience &amp; Stroke</t>
        </is>
      </c>
      <c r="D160" t="n">
        <v>16</v>
      </c>
      <c r="E160" t="n">
        <v>13</v>
      </c>
      <c r="F160" s="32" t="n">
        <v>0.8125</v>
      </c>
    </row>
    <row r="161">
      <c r="A161" s="25" t="n">
        <v>45971</v>
      </c>
      <c r="B161" t="inlineStr">
        <is>
          <t>Bluestone Memorial Hospital</t>
        </is>
      </c>
      <c r="C161" t="inlineStr">
        <is>
          <t>Neuroscience &amp; Stroke</t>
        </is>
      </c>
      <c r="D161" t="n">
        <v>16</v>
      </c>
      <c r="E161" t="n">
        <v>12</v>
      </c>
      <c r="F161" s="32" t="n">
        <v>0.75</v>
      </c>
    </row>
    <row r="162">
      <c r="A162" s="25" t="n">
        <v>45972</v>
      </c>
      <c r="B162" t="inlineStr">
        <is>
          <t>Bluestone Memorial Hospital</t>
        </is>
      </c>
      <c r="C162" t="inlineStr">
        <is>
          <t>Neuroscience &amp; Stroke</t>
        </is>
      </c>
      <c r="D162" t="n">
        <v>16</v>
      </c>
      <c r="E162" t="n">
        <v>12</v>
      </c>
      <c r="F162" s="32" t="n">
        <v>0.75</v>
      </c>
    </row>
    <row r="163">
      <c r="A163" s="25" t="n">
        <v>45973</v>
      </c>
      <c r="B163" t="inlineStr">
        <is>
          <t>Bluestone Memorial Hospital</t>
        </is>
      </c>
      <c r="C163" t="inlineStr">
        <is>
          <t>Neuroscience &amp; Stroke</t>
        </is>
      </c>
      <c r="D163" t="n">
        <v>16</v>
      </c>
      <c r="E163" t="n">
        <v>12</v>
      </c>
      <c r="F163" s="32" t="n">
        <v>0.75</v>
      </c>
    </row>
    <row r="164">
      <c r="A164" s="25" t="n">
        <v>45974</v>
      </c>
      <c r="B164" t="inlineStr">
        <is>
          <t>Bluestone Memorial Hospital</t>
        </is>
      </c>
      <c r="C164" t="inlineStr">
        <is>
          <t>Neuroscience &amp; Stroke</t>
        </is>
      </c>
      <c r="D164" t="n">
        <v>16</v>
      </c>
      <c r="E164" t="n">
        <v>12</v>
      </c>
      <c r="F164" s="32" t="n">
        <v>0.75</v>
      </c>
    </row>
    <row r="165">
      <c r="A165" s="25" t="n">
        <v>45975</v>
      </c>
      <c r="B165" t="inlineStr">
        <is>
          <t>Bluestone Memorial Hospital</t>
        </is>
      </c>
      <c r="C165" t="inlineStr">
        <is>
          <t>Neuroscience &amp; Stroke</t>
        </is>
      </c>
      <c r="D165" t="n">
        <v>16</v>
      </c>
      <c r="E165" t="n">
        <v>13</v>
      </c>
      <c r="F165" s="32" t="n">
        <v>0.8125</v>
      </c>
    </row>
    <row r="166">
      <c r="A166" s="25" t="n">
        <v>45976</v>
      </c>
      <c r="B166" t="inlineStr">
        <is>
          <t>Bluestone Memorial Hospital</t>
        </is>
      </c>
      <c r="C166" t="inlineStr">
        <is>
          <t>Neuroscience &amp; Stroke</t>
        </is>
      </c>
      <c r="D166" t="n">
        <v>16</v>
      </c>
      <c r="E166" t="n">
        <v>12</v>
      </c>
      <c r="F166" s="32" t="n">
        <v>0.75</v>
      </c>
    </row>
    <row r="167">
      <c r="A167" s="25" t="n">
        <v>45977</v>
      </c>
      <c r="B167" t="inlineStr">
        <is>
          <t>Bluestone Memorial Hospital</t>
        </is>
      </c>
      <c r="C167" t="inlineStr">
        <is>
          <t>Neuroscience &amp; Stroke</t>
        </is>
      </c>
      <c r="D167" t="n">
        <v>16</v>
      </c>
      <c r="E167" t="n">
        <v>13</v>
      </c>
      <c r="F167" s="32" t="n">
        <v>0.8125</v>
      </c>
    </row>
    <row r="168">
      <c r="A168" s="25" t="n">
        <v>45978</v>
      </c>
      <c r="B168" t="inlineStr">
        <is>
          <t>Bluestone Memorial Hospital</t>
        </is>
      </c>
      <c r="C168" t="inlineStr">
        <is>
          <t>Neuroscience &amp; Stroke</t>
        </is>
      </c>
      <c r="D168" t="n">
        <v>16</v>
      </c>
      <c r="E168" t="n">
        <v>14</v>
      </c>
      <c r="F168" s="32" t="n">
        <v>0.875</v>
      </c>
    </row>
    <row r="169">
      <c r="A169" s="25" t="n">
        <v>45979</v>
      </c>
      <c r="B169" t="inlineStr">
        <is>
          <t>Bluestone Memorial Hospital</t>
        </is>
      </c>
      <c r="C169" t="inlineStr">
        <is>
          <t>Neuroscience &amp; Stroke</t>
        </is>
      </c>
      <c r="D169" t="n">
        <v>16</v>
      </c>
      <c r="E169" t="n">
        <v>13</v>
      </c>
      <c r="F169" s="32" t="n">
        <v>0.8125</v>
      </c>
    </row>
    <row r="170">
      <c r="A170" s="25" t="n">
        <v>45980</v>
      </c>
      <c r="B170" t="inlineStr">
        <is>
          <t>Bluestone Memorial Hospital</t>
        </is>
      </c>
      <c r="C170" t="inlineStr">
        <is>
          <t>Neuroscience &amp; Stroke</t>
        </is>
      </c>
      <c r="D170" t="n">
        <v>16</v>
      </c>
      <c r="E170" t="n">
        <v>13</v>
      </c>
      <c r="F170" s="32" t="n">
        <v>0.8125</v>
      </c>
    </row>
    <row r="171">
      <c r="A171" s="25" t="n">
        <v>45981</v>
      </c>
      <c r="B171" t="inlineStr">
        <is>
          <t>Bluestone Memorial Hospital</t>
        </is>
      </c>
      <c r="C171" t="inlineStr">
        <is>
          <t>Neuroscience &amp; Stroke</t>
        </is>
      </c>
      <c r="D171" t="n">
        <v>16</v>
      </c>
      <c r="E171" t="n">
        <v>13</v>
      </c>
      <c r="F171" s="32" t="n">
        <v>0.8125</v>
      </c>
    </row>
    <row r="172">
      <c r="A172" s="25" t="n">
        <v>45982</v>
      </c>
      <c r="B172" t="inlineStr">
        <is>
          <t>Bluestone Memorial Hospital</t>
        </is>
      </c>
      <c r="C172" t="inlineStr">
        <is>
          <t>Neuroscience &amp; Stroke</t>
        </is>
      </c>
      <c r="D172" t="n">
        <v>16</v>
      </c>
      <c r="E172" t="n">
        <v>12</v>
      </c>
      <c r="F172" s="32" t="n">
        <v>0.75</v>
      </c>
    </row>
    <row r="173">
      <c r="A173" s="25" t="n">
        <v>45983</v>
      </c>
      <c r="B173" t="inlineStr">
        <is>
          <t>Bluestone Memorial Hospital</t>
        </is>
      </c>
      <c r="C173" t="inlineStr">
        <is>
          <t>Neuroscience &amp; Stroke</t>
        </is>
      </c>
      <c r="D173" t="n">
        <v>16</v>
      </c>
      <c r="E173" t="n">
        <v>12</v>
      </c>
      <c r="F173" s="32" t="n">
        <v>0.75</v>
      </c>
    </row>
    <row r="174">
      <c r="A174" s="25" t="n">
        <v>45984</v>
      </c>
      <c r="B174" t="inlineStr">
        <is>
          <t>Bluestone Memorial Hospital</t>
        </is>
      </c>
      <c r="C174" t="inlineStr">
        <is>
          <t>Neuroscience &amp; Stroke</t>
        </is>
      </c>
      <c r="D174" t="n">
        <v>16</v>
      </c>
      <c r="E174" t="n">
        <v>12</v>
      </c>
      <c r="F174" s="32" t="n">
        <v>0.75</v>
      </c>
    </row>
    <row r="175">
      <c r="A175" s="25" t="n">
        <v>45985</v>
      </c>
      <c r="B175" t="inlineStr">
        <is>
          <t>Bluestone Memorial Hospital</t>
        </is>
      </c>
      <c r="C175" t="inlineStr">
        <is>
          <t>Neuroscience &amp; Stroke</t>
        </is>
      </c>
      <c r="D175" t="n">
        <v>16</v>
      </c>
      <c r="E175" t="n">
        <v>12</v>
      </c>
      <c r="F175" s="32" t="n">
        <v>0.75</v>
      </c>
    </row>
    <row r="176">
      <c r="A176" s="25" t="n">
        <v>45986</v>
      </c>
      <c r="B176" t="inlineStr">
        <is>
          <t>Bluestone Memorial Hospital</t>
        </is>
      </c>
      <c r="C176" t="inlineStr">
        <is>
          <t>Neuroscience &amp; Stroke</t>
        </is>
      </c>
      <c r="D176" t="n">
        <v>16</v>
      </c>
      <c r="E176" t="n">
        <v>12</v>
      </c>
      <c r="F176" s="32" t="n">
        <v>0.75</v>
      </c>
    </row>
    <row r="177">
      <c r="A177" s="25" t="n">
        <v>45962</v>
      </c>
      <c r="B177" t="inlineStr">
        <is>
          <t>Bluestone Memorial Hospital</t>
        </is>
      </c>
      <c r="C177" t="inlineStr">
        <is>
          <t>Labor &amp; Delivery</t>
        </is>
      </c>
      <c r="D177" t="n">
        <v>20</v>
      </c>
      <c r="E177" t="n">
        <v>13</v>
      </c>
      <c r="F177" s="32" t="n">
        <v>0.65</v>
      </c>
    </row>
    <row r="178">
      <c r="A178" s="25" t="n">
        <v>45963</v>
      </c>
      <c r="B178" t="inlineStr">
        <is>
          <t>Bluestone Memorial Hospital</t>
        </is>
      </c>
      <c r="C178" t="inlineStr">
        <is>
          <t>Labor &amp; Delivery</t>
        </is>
      </c>
      <c r="D178" t="n">
        <v>20</v>
      </c>
      <c r="E178" t="n">
        <v>12</v>
      </c>
      <c r="F178" s="32" t="n">
        <v>0.6</v>
      </c>
    </row>
    <row r="179">
      <c r="A179" s="25" t="n">
        <v>45964</v>
      </c>
      <c r="B179" t="inlineStr">
        <is>
          <t>Bluestone Memorial Hospital</t>
        </is>
      </c>
      <c r="C179" t="inlineStr">
        <is>
          <t>Labor &amp; Delivery</t>
        </is>
      </c>
      <c r="D179" t="n">
        <v>20</v>
      </c>
      <c r="E179" t="n">
        <v>13</v>
      </c>
      <c r="F179" s="32" t="n">
        <v>0.65</v>
      </c>
    </row>
    <row r="180">
      <c r="A180" s="25" t="n">
        <v>45965</v>
      </c>
      <c r="B180" t="inlineStr">
        <is>
          <t>Bluestone Memorial Hospital</t>
        </is>
      </c>
      <c r="C180" t="inlineStr">
        <is>
          <t>Labor &amp; Delivery</t>
        </is>
      </c>
      <c r="D180" t="n">
        <v>20</v>
      </c>
      <c r="E180" t="n">
        <v>14</v>
      </c>
      <c r="F180" s="32" t="n">
        <v>0.7</v>
      </c>
    </row>
    <row r="181">
      <c r="A181" s="25" t="n">
        <v>45966</v>
      </c>
      <c r="B181" t="inlineStr">
        <is>
          <t>Bluestone Memorial Hospital</t>
        </is>
      </c>
      <c r="C181" t="inlineStr">
        <is>
          <t>Labor &amp; Delivery</t>
        </is>
      </c>
      <c r="D181" t="n">
        <v>20</v>
      </c>
      <c r="E181" t="n">
        <v>14</v>
      </c>
      <c r="F181" s="32" t="n">
        <v>0.7</v>
      </c>
    </row>
    <row r="182">
      <c r="A182" s="25" t="n">
        <v>45967</v>
      </c>
      <c r="B182" t="inlineStr">
        <is>
          <t>Bluestone Memorial Hospital</t>
        </is>
      </c>
      <c r="C182" t="inlineStr">
        <is>
          <t>Labor &amp; Delivery</t>
        </is>
      </c>
      <c r="D182" t="n">
        <v>20</v>
      </c>
      <c r="E182" t="n">
        <v>14</v>
      </c>
      <c r="F182" s="32" t="n">
        <v>0.7</v>
      </c>
    </row>
    <row r="183">
      <c r="A183" s="25" t="n">
        <v>45968</v>
      </c>
      <c r="B183" t="inlineStr">
        <is>
          <t>Bluestone Memorial Hospital</t>
        </is>
      </c>
      <c r="C183" t="inlineStr">
        <is>
          <t>Labor &amp; Delivery</t>
        </is>
      </c>
      <c r="D183" t="n">
        <v>20</v>
      </c>
      <c r="E183" t="n">
        <v>13</v>
      </c>
      <c r="F183" s="32" t="n">
        <v>0.65</v>
      </c>
    </row>
    <row r="184">
      <c r="A184" s="25" t="n">
        <v>45969</v>
      </c>
      <c r="B184" t="inlineStr">
        <is>
          <t>Bluestone Memorial Hospital</t>
        </is>
      </c>
      <c r="C184" t="inlineStr">
        <is>
          <t>Labor &amp; Delivery</t>
        </is>
      </c>
      <c r="D184" t="n">
        <v>20</v>
      </c>
      <c r="E184" t="n">
        <v>11</v>
      </c>
      <c r="F184" s="32" t="n">
        <v>0.55</v>
      </c>
    </row>
    <row r="185">
      <c r="A185" s="25" t="n">
        <v>45970</v>
      </c>
      <c r="B185" t="inlineStr">
        <is>
          <t>Bluestone Memorial Hospital</t>
        </is>
      </c>
      <c r="C185" t="inlineStr">
        <is>
          <t>Labor &amp; Delivery</t>
        </is>
      </c>
      <c r="D185" t="n">
        <v>20</v>
      </c>
      <c r="E185" t="n">
        <v>11</v>
      </c>
      <c r="F185" s="32" t="n">
        <v>0.55</v>
      </c>
    </row>
    <row r="186">
      <c r="A186" s="25" t="n">
        <v>45971</v>
      </c>
      <c r="B186" t="inlineStr">
        <is>
          <t>Bluestone Memorial Hospital</t>
        </is>
      </c>
      <c r="C186" t="inlineStr">
        <is>
          <t>Labor &amp; Delivery</t>
        </is>
      </c>
      <c r="D186" t="n">
        <v>20</v>
      </c>
      <c r="E186" t="n">
        <v>13</v>
      </c>
      <c r="F186" s="32" t="n">
        <v>0.65</v>
      </c>
    </row>
    <row r="187">
      <c r="A187" s="25" t="n">
        <v>45972</v>
      </c>
      <c r="B187" t="inlineStr">
        <is>
          <t>Bluestone Memorial Hospital</t>
        </is>
      </c>
      <c r="C187" t="inlineStr">
        <is>
          <t>Labor &amp; Delivery</t>
        </is>
      </c>
      <c r="D187" t="n">
        <v>20</v>
      </c>
      <c r="E187" t="n">
        <v>13</v>
      </c>
      <c r="F187" s="32" t="n">
        <v>0.65</v>
      </c>
    </row>
    <row r="188">
      <c r="A188" s="25" t="n">
        <v>45973</v>
      </c>
      <c r="B188" t="inlineStr">
        <is>
          <t>Bluestone Memorial Hospital</t>
        </is>
      </c>
      <c r="C188" t="inlineStr">
        <is>
          <t>Labor &amp; Delivery</t>
        </is>
      </c>
      <c r="D188" t="n">
        <v>20</v>
      </c>
      <c r="E188" t="n">
        <v>14</v>
      </c>
      <c r="F188" s="32" t="n">
        <v>0.7</v>
      </c>
    </row>
    <row r="189">
      <c r="A189" s="25" t="n">
        <v>45974</v>
      </c>
      <c r="B189" t="inlineStr">
        <is>
          <t>Bluestone Memorial Hospital</t>
        </is>
      </c>
      <c r="C189" t="inlineStr">
        <is>
          <t>Labor &amp; Delivery</t>
        </is>
      </c>
      <c r="D189" t="n">
        <v>20</v>
      </c>
      <c r="E189" t="n">
        <v>13</v>
      </c>
      <c r="F189" s="32" t="n">
        <v>0.65</v>
      </c>
    </row>
    <row r="190">
      <c r="A190" s="25" t="n">
        <v>45975</v>
      </c>
      <c r="B190" t="inlineStr">
        <is>
          <t>Bluestone Memorial Hospital</t>
        </is>
      </c>
      <c r="C190" t="inlineStr">
        <is>
          <t>Labor &amp; Delivery</t>
        </is>
      </c>
      <c r="D190" t="n">
        <v>20</v>
      </c>
      <c r="E190" t="n">
        <v>13</v>
      </c>
      <c r="F190" s="32" t="n">
        <v>0.65</v>
      </c>
    </row>
    <row r="191">
      <c r="A191" s="25" t="n">
        <v>45976</v>
      </c>
      <c r="B191" t="inlineStr">
        <is>
          <t>Bluestone Memorial Hospital</t>
        </is>
      </c>
      <c r="C191" t="inlineStr">
        <is>
          <t>Labor &amp; Delivery</t>
        </is>
      </c>
      <c r="D191" t="n">
        <v>20</v>
      </c>
      <c r="E191" t="n">
        <v>13</v>
      </c>
      <c r="F191" s="32" t="n">
        <v>0.65</v>
      </c>
    </row>
    <row r="192">
      <c r="A192" s="25" t="n">
        <v>45977</v>
      </c>
      <c r="B192" t="inlineStr">
        <is>
          <t>Bluestone Memorial Hospital</t>
        </is>
      </c>
      <c r="C192" t="inlineStr">
        <is>
          <t>Labor &amp; Delivery</t>
        </is>
      </c>
      <c r="D192" t="n">
        <v>20</v>
      </c>
      <c r="E192" t="n">
        <v>12</v>
      </c>
      <c r="F192" s="32" t="n">
        <v>0.6</v>
      </c>
    </row>
    <row r="193">
      <c r="A193" s="25" t="n">
        <v>45978</v>
      </c>
      <c r="B193" t="inlineStr">
        <is>
          <t>Bluestone Memorial Hospital</t>
        </is>
      </c>
      <c r="C193" t="inlineStr">
        <is>
          <t>Labor &amp; Delivery</t>
        </is>
      </c>
      <c r="D193" t="n">
        <v>20</v>
      </c>
      <c r="E193" t="n">
        <v>14</v>
      </c>
      <c r="F193" s="32" t="n">
        <v>0.7</v>
      </c>
    </row>
    <row r="194">
      <c r="A194" s="25" t="n">
        <v>45979</v>
      </c>
      <c r="B194" t="inlineStr">
        <is>
          <t>Bluestone Memorial Hospital</t>
        </is>
      </c>
      <c r="C194" t="inlineStr">
        <is>
          <t>Labor &amp; Delivery</t>
        </is>
      </c>
      <c r="D194" t="n">
        <v>20</v>
      </c>
      <c r="E194" t="n">
        <v>14</v>
      </c>
      <c r="F194" s="32" t="n">
        <v>0.7</v>
      </c>
    </row>
    <row r="195">
      <c r="A195" s="25" t="n">
        <v>45980</v>
      </c>
      <c r="B195" t="inlineStr">
        <is>
          <t>Bluestone Memorial Hospital</t>
        </is>
      </c>
      <c r="C195" t="inlineStr">
        <is>
          <t>Labor &amp; Delivery</t>
        </is>
      </c>
      <c r="D195" t="n">
        <v>20</v>
      </c>
      <c r="E195" t="n">
        <v>14</v>
      </c>
      <c r="F195" s="32" t="n">
        <v>0.7</v>
      </c>
    </row>
    <row r="196">
      <c r="A196" s="25" t="n">
        <v>45981</v>
      </c>
      <c r="B196" t="inlineStr">
        <is>
          <t>Bluestone Memorial Hospital</t>
        </is>
      </c>
      <c r="C196" t="inlineStr">
        <is>
          <t>Labor &amp; Delivery</t>
        </is>
      </c>
      <c r="D196" t="n">
        <v>20</v>
      </c>
      <c r="E196" t="n">
        <v>13</v>
      </c>
      <c r="F196" s="32" t="n">
        <v>0.65</v>
      </c>
    </row>
    <row r="197">
      <c r="A197" s="25" t="n">
        <v>45982</v>
      </c>
      <c r="B197" t="inlineStr">
        <is>
          <t>Bluestone Memorial Hospital</t>
        </is>
      </c>
      <c r="C197" t="inlineStr">
        <is>
          <t>Labor &amp; Delivery</t>
        </is>
      </c>
      <c r="D197" t="n">
        <v>20</v>
      </c>
      <c r="E197" t="n">
        <v>13</v>
      </c>
      <c r="F197" s="32" t="n">
        <v>0.65</v>
      </c>
    </row>
    <row r="198">
      <c r="A198" s="25" t="n">
        <v>45983</v>
      </c>
      <c r="B198" t="inlineStr">
        <is>
          <t>Bluestone Memorial Hospital</t>
        </is>
      </c>
      <c r="C198" t="inlineStr">
        <is>
          <t>Labor &amp; Delivery</t>
        </is>
      </c>
      <c r="D198" t="n">
        <v>20</v>
      </c>
      <c r="E198" t="n">
        <v>12</v>
      </c>
      <c r="F198" s="32" t="n">
        <v>0.6</v>
      </c>
    </row>
    <row r="199">
      <c r="A199" s="25" t="n">
        <v>45984</v>
      </c>
      <c r="B199" t="inlineStr">
        <is>
          <t>Bluestone Memorial Hospital</t>
        </is>
      </c>
      <c r="C199" t="inlineStr">
        <is>
          <t>Labor &amp; Delivery</t>
        </is>
      </c>
      <c r="D199" t="n">
        <v>20</v>
      </c>
      <c r="E199" t="n">
        <v>13</v>
      </c>
      <c r="F199" s="32" t="n">
        <v>0.65</v>
      </c>
    </row>
    <row r="200">
      <c r="A200" s="25" t="n">
        <v>45985</v>
      </c>
      <c r="B200" t="inlineStr">
        <is>
          <t>Bluestone Memorial Hospital</t>
        </is>
      </c>
      <c r="C200" t="inlineStr">
        <is>
          <t>Labor &amp; Delivery</t>
        </is>
      </c>
      <c r="D200" t="n">
        <v>20</v>
      </c>
      <c r="E200" t="n">
        <v>13</v>
      </c>
      <c r="F200" s="32" t="n">
        <v>0.65</v>
      </c>
    </row>
    <row r="201">
      <c r="A201" s="25" t="n">
        <v>45986</v>
      </c>
      <c r="B201" t="inlineStr">
        <is>
          <t>Bluestone Memorial Hospital</t>
        </is>
      </c>
      <c r="C201" t="inlineStr">
        <is>
          <t>Labor &amp; Delivery</t>
        </is>
      </c>
      <c r="D201" t="n">
        <v>20</v>
      </c>
      <c r="E201" t="n">
        <v>14</v>
      </c>
      <c r="F201" s="32" t="n">
        <v>0.7</v>
      </c>
    </row>
    <row r="202">
      <c r="A202" s="25" t="n">
        <v>45962</v>
      </c>
      <c r="B202" t="inlineStr">
        <is>
          <t>Bluestone Memorial Hospital</t>
        </is>
      </c>
      <c r="C202" t="inlineStr">
        <is>
          <t>Pediatrics</t>
        </is>
      </c>
      <c r="D202" t="n">
        <v>14</v>
      </c>
      <c r="E202" t="n">
        <v>9</v>
      </c>
      <c r="F202" s="32" t="n">
        <v>0.6428571428571429</v>
      </c>
    </row>
    <row r="203">
      <c r="A203" s="25" t="n">
        <v>45963</v>
      </c>
      <c r="B203" t="inlineStr">
        <is>
          <t>Bluestone Memorial Hospital</t>
        </is>
      </c>
      <c r="C203" t="inlineStr">
        <is>
          <t>Pediatrics</t>
        </is>
      </c>
      <c r="D203" t="n">
        <v>14</v>
      </c>
      <c r="E203" t="n">
        <v>9</v>
      </c>
      <c r="F203" s="32" t="n">
        <v>0.6428571428571429</v>
      </c>
    </row>
    <row r="204">
      <c r="A204" s="25" t="n">
        <v>45964</v>
      </c>
      <c r="B204" t="inlineStr">
        <is>
          <t>Bluestone Memorial Hospital</t>
        </is>
      </c>
      <c r="C204" t="inlineStr">
        <is>
          <t>Pediatrics</t>
        </is>
      </c>
      <c r="D204" t="n">
        <v>14</v>
      </c>
      <c r="E204" t="n">
        <v>9</v>
      </c>
      <c r="F204" s="32" t="n">
        <v>0.6428571428571429</v>
      </c>
    </row>
    <row r="205">
      <c r="A205" s="25" t="n">
        <v>45965</v>
      </c>
      <c r="B205" t="inlineStr">
        <is>
          <t>Bluestone Memorial Hospital</t>
        </is>
      </c>
      <c r="C205" t="inlineStr">
        <is>
          <t>Pediatrics</t>
        </is>
      </c>
      <c r="D205" t="n">
        <v>14</v>
      </c>
      <c r="E205" t="n">
        <v>10</v>
      </c>
      <c r="F205" s="32" t="n">
        <v>0.7142857142857143</v>
      </c>
    </row>
    <row r="206">
      <c r="A206" s="25" t="n">
        <v>45966</v>
      </c>
      <c r="B206" t="inlineStr">
        <is>
          <t>Bluestone Memorial Hospital</t>
        </is>
      </c>
      <c r="C206" t="inlineStr">
        <is>
          <t>Pediatrics</t>
        </is>
      </c>
      <c r="D206" t="n">
        <v>14</v>
      </c>
      <c r="E206" t="n">
        <v>9</v>
      </c>
      <c r="F206" s="32" t="n">
        <v>0.6428571428571429</v>
      </c>
    </row>
    <row r="207">
      <c r="A207" s="25" t="n">
        <v>45967</v>
      </c>
      <c r="B207" t="inlineStr">
        <is>
          <t>Bluestone Memorial Hospital</t>
        </is>
      </c>
      <c r="C207" t="inlineStr">
        <is>
          <t>Pediatrics</t>
        </is>
      </c>
      <c r="D207" t="n">
        <v>14</v>
      </c>
      <c r="E207" t="n">
        <v>10</v>
      </c>
      <c r="F207" s="32" t="n">
        <v>0.7142857142857143</v>
      </c>
    </row>
    <row r="208">
      <c r="A208" s="25" t="n">
        <v>45968</v>
      </c>
      <c r="B208" t="inlineStr">
        <is>
          <t>Bluestone Memorial Hospital</t>
        </is>
      </c>
      <c r="C208" t="inlineStr">
        <is>
          <t>Pediatrics</t>
        </is>
      </c>
      <c r="D208" t="n">
        <v>14</v>
      </c>
      <c r="E208" t="n">
        <v>10</v>
      </c>
      <c r="F208" s="32" t="n">
        <v>0.7142857142857143</v>
      </c>
    </row>
    <row r="209">
      <c r="A209" s="25" t="n">
        <v>45969</v>
      </c>
      <c r="B209" t="inlineStr">
        <is>
          <t>Bluestone Memorial Hospital</t>
        </is>
      </c>
      <c r="C209" t="inlineStr">
        <is>
          <t>Pediatrics</t>
        </is>
      </c>
      <c r="D209" t="n">
        <v>14</v>
      </c>
      <c r="E209" t="n">
        <v>9</v>
      </c>
      <c r="F209" s="32" t="n">
        <v>0.6428571428571429</v>
      </c>
    </row>
    <row r="210">
      <c r="A210" s="25" t="n">
        <v>45970</v>
      </c>
      <c r="B210" t="inlineStr">
        <is>
          <t>Bluestone Memorial Hospital</t>
        </is>
      </c>
      <c r="C210" t="inlineStr">
        <is>
          <t>Pediatrics</t>
        </is>
      </c>
      <c r="D210" t="n">
        <v>14</v>
      </c>
      <c r="E210" t="n">
        <v>9</v>
      </c>
      <c r="F210" s="32" t="n">
        <v>0.6428571428571429</v>
      </c>
    </row>
    <row r="211">
      <c r="A211" s="25" t="n">
        <v>45971</v>
      </c>
      <c r="B211" t="inlineStr">
        <is>
          <t>Bluestone Memorial Hospital</t>
        </is>
      </c>
      <c r="C211" t="inlineStr">
        <is>
          <t>Pediatrics</t>
        </is>
      </c>
      <c r="D211" t="n">
        <v>14</v>
      </c>
      <c r="E211" t="n">
        <v>9</v>
      </c>
      <c r="F211" s="32" t="n">
        <v>0.6428571428571429</v>
      </c>
    </row>
    <row r="212">
      <c r="A212" s="25" t="n">
        <v>45972</v>
      </c>
      <c r="B212" t="inlineStr">
        <is>
          <t>Bluestone Memorial Hospital</t>
        </is>
      </c>
      <c r="C212" t="inlineStr">
        <is>
          <t>Pediatrics</t>
        </is>
      </c>
      <c r="D212" t="n">
        <v>14</v>
      </c>
      <c r="E212" t="n">
        <v>8</v>
      </c>
      <c r="F212" s="32" t="n">
        <v>0.5714285714285714</v>
      </c>
    </row>
    <row r="213">
      <c r="A213" s="25" t="n">
        <v>45973</v>
      </c>
      <c r="B213" t="inlineStr">
        <is>
          <t>Bluestone Memorial Hospital</t>
        </is>
      </c>
      <c r="C213" t="inlineStr">
        <is>
          <t>Pediatrics</t>
        </is>
      </c>
      <c r="D213" t="n">
        <v>14</v>
      </c>
      <c r="E213" t="n">
        <v>8</v>
      </c>
      <c r="F213" s="32" t="n">
        <v>0.5714285714285714</v>
      </c>
    </row>
    <row r="214">
      <c r="A214" s="25" t="n">
        <v>45974</v>
      </c>
      <c r="B214" t="inlineStr">
        <is>
          <t>Bluestone Memorial Hospital</t>
        </is>
      </c>
      <c r="C214" t="inlineStr">
        <is>
          <t>Pediatrics</t>
        </is>
      </c>
      <c r="D214" t="n">
        <v>14</v>
      </c>
      <c r="E214" t="n">
        <v>9</v>
      </c>
      <c r="F214" s="32" t="n">
        <v>0.6428571428571429</v>
      </c>
    </row>
    <row r="215">
      <c r="A215" s="25" t="n">
        <v>45975</v>
      </c>
      <c r="B215" t="inlineStr">
        <is>
          <t>Bluestone Memorial Hospital</t>
        </is>
      </c>
      <c r="C215" t="inlineStr">
        <is>
          <t>Pediatrics</t>
        </is>
      </c>
      <c r="D215" t="n">
        <v>14</v>
      </c>
      <c r="E215" t="n">
        <v>9</v>
      </c>
      <c r="F215" s="32" t="n">
        <v>0.6428571428571429</v>
      </c>
    </row>
    <row r="216">
      <c r="A216" s="25" t="n">
        <v>45976</v>
      </c>
      <c r="B216" t="inlineStr">
        <is>
          <t>Bluestone Memorial Hospital</t>
        </is>
      </c>
      <c r="C216" t="inlineStr">
        <is>
          <t>Pediatrics</t>
        </is>
      </c>
      <c r="D216" t="n">
        <v>14</v>
      </c>
      <c r="E216" t="n">
        <v>9</v>
      </c>
      <c r="F216" s="32" t="n">
        <v>0.6428571428571429</v>
      </c>
    </row>
    <row r="217">
      <c r="A217" s="25" t="n">
        <v>45977</v>
      </c>
      <c r="B217" t="inlineStr">
        <is>
          <t>Bluestone Memorial Hospital</t>
        </is>
      </c>
      <c r="C217" t="inlineStr">
        <is>
          <t>Pediatrics</t>
        </is>
      </c>
      <c r="D217" t="n">
        <v>14</v>
      </c>
      <c r="E217" t="n">
        <v>9</v>
      </c>
      <c r="F217" s="32" t="n">
        <v>0.6428571428571429</v>
      </c>
    </row>
    <row r="218">
      <c r="A218" s="25" t="n">
        <v>45978</v>
      </c>
      <c r="B218" t="inlineStr">
        <is>
          <t>Bluestone Memorial Hospital</t>
        </is>
      </c>
      <c r="C218" t="inlineStr">
        <is>
          <t>Pediatrics</t>
        </is>
      </c>
      <c r="D218" t="n">
        <v>14</v>
      </c>
      <c r="E218" t="n">
        <v>9</v>
      </c>
      <c r="F218" s="32" t="n">
        <v>0.6428571428571429</v>
      </c>
    </row>
    <row r="219">
      <c r="A219" s="25" t="n">
        <v>45979</v>
      </c>
      <c r="B219" t="inlineStr">
        <is>
          <t>Bluestone Memorial Hospital</t>
        </is>
      </c>
      <c r="C219" t="inlineStr">
        <is>
          <t>Pediatrics</t>
        </is>
      </c>
      <c r="D219" t="n">
        <v>14</v>
      </c>
      <c r="E219" t="n">
        <v>9</v>
      </c>
      <c r="F219" s="32" t="n">
        <v>0.6428571428571429</v>
      </c>
    </row>
    <row r="220">
      <c r="A220" s="25" t="n">
        <v>45980</v>
      </c>
      <c r="B220" t="inlineStr">
        <is>
          <t>Bluestone Memorial Hospital</t>
        </is>
      </c>
      <c r="C220" t="inlineStr">
        <is>
          <t>Pediatrics</t>
        </is>
      </c>
      <c r="D220" t="n">
        <v>14</v>
      </c>
      <c r="E220" t="n">
        <v>9</v>
      </c>
      <c r="F220" s="32" t="n">
        <v>0.6428571428571429</v>
      </c>
    </row>
    <row r="221">
      <c r="A221" s="25" t="n">
        <v>45981</v>
      </c>
      <c r="B221" t="inlineStr">
        <is>
          <t>Bluestone Memorial Hospital</t>
        </is>
      </c>
      <c r="C221" t="inlineStr">
        <is>
          <t>Pediatrics</t>
        </is>
      </c>
      <c r="D221" t="n">
        <v>14</v>
      </c>
      <c r="E221" t="n">
        <v>9</v>
      </c>
      <c r="F221" s="32" t="n">
        <v>0.6428571428571429</v>
      </c>
    </row>
    <row r="222">
      <c r="A222" s="25" t="n">
        <v>45982</v>
      </c>
      <c r="B222" t="inlineStr">
        <is>
          <t>Bluestone Memorial Hospital</t>
        </is>
      </c>
      <c r="C222" t="inlineStr">
        <is>
          <t>Pediatrics</t>
        </is>
      </c>
      <c r="D222" t="n">
        <v>14</v>
      </c>
      <c r="E222" t="n">
        <v>8</v>
      </c>
      <c r="F222" s="32" t="n">
        <v>0.5714285714285714</v>
      </c>
    </row>
    <row r="223">
      <c r="A223" s="25" t="n">
        <v>45983</v>
      </c>
      <c r="B223" t="inlineStr">
        <is>
          <t>Bluestone Memorial Hospital</t>
        </is>
      </c>
      <c r="C223" t="inlineStr">
        <is>
          <t>Pediatrics</t>
        </is>
      </c>
      <c r="D223" t="n">
        <v>14</v>
      </c>
      <c r="E223" t="n">
        <v>9</v>
      </c>
      <c r="F223" s="32" t="n">
        <v>0.6428571428571429</v>
      </c>
    </row>
    <row r="224">
      <c r="A224" s="25" t="n">
        <v>45984</v>
      </c>
      <c r="B224" t="inlineStr">
        <is>
          <t>Bluestone Memorial Hospital</t>
        </is>
      </c>
      <c r="C224" t="inlineStr">
        <is>
          <t>Pediatrics</t>
        </is>
      </c>
      <c r="D224" t="n">
        <v>14</v>
      </c>
      <c r="E224" t="n">
        <v>9</v>
      </c>
      <c r="F224" s="32" t="n">
        <v>0.6428571428571429</v>
      </c>
    </row>
    <row r="225">
      <c r="A225" s="25" t="n">
        <v>45985</v>
      </c>
      <c r="B225" t="inlineStr">
        <is>
          <t>Bluestone Memorial Hospital</t>
        </is>
      </c>
      <c r="C225" t="inlineStr">
        <is>
          <t>Pediatrics</t>
        </is>
      </c>
      <c r="D225" t="n">
        <v>14</v>
      </c>
      <c r="E225" t="n">
        <v>9</v>
      </c>
      <c r="F225" s="32" t="n">
        <v>0.6428571428571429</v>
      </c>
    </row>
    <row r="226">
      <c r="A226" s="25" t="n">
        <v>45986</v>
      </c>
      <c r="B226" t="inlineStr">
        <is>
          <t>Bluestone Memorial Hospital</t>
        </is>
      </c>
      <c r="C226" t="inlineStr">
        <is>
          <t>Pediatrics</t>
        </is>
      </c>
      <c r="D226" t="n">
        <v>14</v>
      </c>
      <c r="E226" t="n">
        <v>9</v>
      </c>
      <c r="F226" s="32" t="n">
        <v>0.6428571428571429</v>
      </c>
    </row>
    <row r="227">
      <c r="A227" s="25" t="n">
        <v>45962</v>
      </c>
      <c r="B227" t="inlineStr">
        <is>
          <t>Bluestone Memorial Hospital</t>
        </is>
      </c>
      <c r="C227" t="inlineStr">
        <is>
          <t>Behavioral Health</t>
        </is>
      </c>
      <c r="D227" t="n">
        <v>18</v>
      </c>
      <c r="E227" t="n">
        <v>18</v>
      </c>
      <c r="F227" s="32" t="n">
        <v>1</v>
      </c>
    </row>
    <row r="228">
      <c r="A228" s="25" t="n">
        <v>45963</v>
      </c>
      <c r="B228" t="inlineStr">
        <is>
          <t>Bluestone Memorial Hospital</t>
        </is>
      </c>
      <c r="C228" t="inlineStr">
        <is>
          <t>Behavioral Health</t>
        </is>
      </c>
      <c r="D228" t="n">
        <v>18</v>
      </c>
      <c r="E228" t="n">
        <v>18</v>
      </c>
      <c r="F228" s="32" t="n">
        <v>1</v>
      </c>
    </row>
    <row r="229">
      <c r="A229" s="25" t="n">
        <v>45964</v>
      </c>
      <c r="B229" t="inlineStr">
        <is>
          <t>Bluestone Memorial Hospital</t>
        </is>
      </c>
      <c r="C229" t="inlineStr">
        <is>
          <t>Behavioral Health</t>
        </is>
      </c>
      <c r="D229" t="n">
        <v>18</v>
      </c>
      <c r="E229" t="n">
        <v>17</v>
      </c>
      <c r="F229" s="32" t="n">
        <v>0.9444444444444444</v>
      </c>
    </row>
    <row r="230">
      <c r="A230" s="25" t="n">
        <v>45965</v>
      </c>
      <c r="B230" t="inlineStr">
        <is>
          <t>Bluestone Memorial Hospital</t>
        </is>
      </c>
      <c r="C230" t="inlineStr">
        <is>
          <t>Behavioral Health</t>
        </is>
      </c>
      <c r="D230" t="n">
        <v>18</v>
      </c>
      <c r="E230" t="n">
        <v>17</v>
      </c>
      <c r="F230" s="32" t="n">
        <v>0.9444444444444444</v>
      </c>
    </row>
    <row r="231">
      <c r="A231" s="25" t="n">
        <v>45966</v>
      </c>
      <c r="B231" t="inlineStr">
        <is>
          <t>Bluestone Memorial Hospital</t>
        </is>
      </c>
      <c r="C231" t="inlineStr">
        <is>
          <t>Behavioral Health</t>
        </is>
      </c>
      <c r="D231" t="n">
        <v>18</v>
      </c>
      <c r="E231" t="n">
        <v>16</v>
      </c>
      <c r="F231" s="32" t="n">
        <v>0.8888888888888888</v>
      </c>
    </row>
    <row r="232">
      <c r="A232" s="25" t="n">
        <v>45967</v>
      </c>
      <c r="B232" t="inlineStr">
        <is>
          <t>Bluestone Memorial Hospital</t>
        </is>
      </c>
      <c r="C232" t="inlineStr">
        <is>
          <t>Behavioral Health</t>
        </is>
      </c>
      <c r="D232" t="n">
        <v>18</v>
      </c>
      <c r="E232" t="n">
        <v>16</v>
      </c>
      <c r="F232" s="32" t="n">
        <v>0.8888888888888888</v>
      </c>
    </row>
    <row r="233">
      <c r="A233" s="25" t="n">
        <v>45968</v>
      </c>
      <c r="B233" t="inlineStr">
        <is>
          <t>Bluestone Memorial Hospital</t>
        </is>
      </c>
      <c r="C233" t="inlineStr">
        <is>
          <t>Behavioral Health</t>
        </is>
      </c>
      <c r="D233" t="n">
        <v>18</v>
      </c>
      <c r="E233" t="n">
        <v>16</v>
      </c>
      <c r="F233" s="32" t="n">
        <v>0.8888888888888888</v>
      </c>
    </row>
    <row r="234">
      <c r="A234" s="25" t="n">
        <v>45969</v>
      </c>
      <c r="B234" t="inlineStr">
        <is>
          <t>Bluestone Memorial Hospital</t>
        </is>
      </c>
      <c r="C234" t="inlineStr">
        <is>
          <t>Behavioral Health</t>
        </is>
      </c>
      <c r="D234" t="n">
        <v>18</v>
      </c>
      <c r="E234" t="n">
        <v>16</v>
      </c>
      <c r="F234" s="32" t="n">
        <v>0.8888888888888888</v>
      </c>
    </row>
    <row r="235">
      <c r="A235" s="25" t="n">
        <v>45970</v>
      </c>
      <c r="B235" t="inlineStr">
        <is>
          <t>Bluestone Memorial Hospital</t>
        </is>
      </c>
      <c r="C235" t="inlineStr">
        <is>
          <t>Behavioral Health</t>
        </is>
      </c>
      <c r="D235" t="n">
        <v>18</v>
      </c>
      <c r="E235" t="n">
        <v>17</v>
      </c>
      <c r="F235" s="32" t="n">
        <v>0.9444444444444444</v>
      </c>
    </row>
    <row r="236">
      <c r="A236" s="25" t="n">
        <v>45971</v>
      </c>
      <c r="B236" t="inlineStr">
        <is>
          <t>Bluestone Memorial Hospital</t>
        </is>
      </c>
      <c r="C236" t="inlineStr">
        <is>
          <t>Behavioral Health</t>
        </is>
      </c>
      <c r="D236" t="n">
        <v>18</v>
      </c>
      <c r="E236" t="n">
        <v>16</v>
      </c>
      <c r="F236" s="32" t="n">
        <v>0.8888888888888888</v>
      </c>
    </row>
    <row r="237">
      <c r="A237" s="25" t="n">
        <v>45972</v>
      </c>
      <c r="B237" t="inlineStr">
        <is>
          <t>Bluestone Memorial Hospital</t>
        </is>
      </c>
      <c r="C237" t="inlineStr">
        <is>
          <t>Behavioral Health</t>
        </is>
      </c>
      <c r="D237" t="n">
        <v>18</v>
      </c>
      <c r="E237" t="n">
        <v>17</v>
      </c>
      <c r="F237" s="32" t="n">
        <v>0.9444444444444444</v>
      </c>
    </row>
    <row r="238">
      <c r="A238" s="25" t="n">
        <v>45973</v>
      </c>
      <c r="B238" t="inlineStr">
        <is>
          <t>Bluestone Memorial Hospital</t>
        </is>
      </c>
      <c r="C238" t="inlineStr">
        <is>
          <t>Behavioral Health</t>
        </is>
      </c>
      <c r="D238" t="n">
        <v>18</v>
      </c>
      <c r="E238" t="n">
        <v>17</v>
      </c>
      <c r="F238" s="32" t="n">
        <v>0.9444444444444444</v>
      </c>
    </row>
    <row r="239">
      <c r="A239" s="25" t="n">
        <v>45974</v>
      </c>
      <c r="B239" t="inlineStr">
        <is>
          <t>Bluestone Memorial Hospital</t>
        </is>
      </c>
      <c r="C239" t="inlineStr">
        <is>
          <t>Behavioral Health</t>
        </is>
      </c>
      <c r="D239" t="n">
        <v>18</v>
      </c>
      <c r="E239" t="n">
        <v>17</v>
      </c>
      <c r="F239" s="32" t="n">
        <v>0.9444444444444444</v>
      </c>
    </row>
    <row r="240">
      <c r="A240" s="25" t="n">
        <v>45975</v>
      </c>
      <c r="B240" t="inlineStr">
        <is>
          <t>Bluestone Memorial Hospital</t>
        </is>
      </c>
      <c r="C240" t="inlineStr">
        <is>
          <t>Behavioral Health</t>
        </is>
      </c>
      <c r="D240" t="n">
        <v>18</v>
      </c>
      <c r="E240" t="n">
        <v>16</v>
      </c>
      <c r="F240" s="32" t="n">
        <v>0.8888888888888888</v>
      </c>
    </row>
    <row r="241">
      <c r="A241" s="25" t="n">
        <v>45976</v>
      </c>
      <c r="B241" t="inlineStr">
        <is>
          <t>Bluestone Memorial Hospital</t>
        </is>
      </c>
      <c r="C241" t="inlineStr">
        <is>
          <t>Behavioral Health</t>
        </is>
      </c>
      <c r="D241" t="n">
        <v>18</v>
      </c>
      <c r="E241" t="n">
        <v>17</v>
      </c>
      <c r="F241" s="32" t="n">
        <v>0.9444444444444444</v>
      </c>
    </row>
    <row r="242">
      <c r="A242" s="25" t="n">
        <v>45977</v>
      </c>
      <c r="B242" t="inlineStr">
        <is>
          <t>Bluestone Memorial Hospital</t>
        </is>
      </c>
      <c r="C242" t="inlineStr">
        <is>
          <t>Behavioral Health</t>
        </is>
      </c>
      <c r="D242" t="n">
        <v>18</v>
      </c>
      <c r="E242" t="n">
        <v>18</v>
      </c>
      <c r="F242" s="32" t="n">
        <v>1</v>
      </c>
    </row>
    <row r="243">
      <c r="A243" s="25" t="n">
        <v>45978</v>
      </c>
      <c r="B243" t="inlineStr">
        <is>
          <t>Bluestone Memorial Hospital</t>
        </is>
      </c>
      <c r="C243" t="inlineStr">
        <is>
          <t>Behavioral Health</t>
        </is>
      </c>
      <c r="D243" t="n">
        <v>18</v>
      </c>
      <c r="E243" t="n">
        <v>18</v>
      </c>
      <c r="F243" s="32" t="n">
        <v>1</v>
      </c>
    </row>
    <row r="244">
      <c r="A244" s="25" t="n">
        <v>45979</v>
      </c>
      <c r="B244" t="inlineStr">
        <is>
          <t>Bluestone Memorial Hospital</t>
        </is>
      </c>
      <c r="C244" t="inlineStr">
        <is>
          <t>Behavioral Health</t>
        </is>
      </c>
      <c r="D244" t="n">
        <v>18</v>
      </c>
      <c r="E244" t="n">
        <v>18</v>
      </c>
      <c r="F244" s="32" t="n">
        <v>1</v>
      </c>
    </row>
    <row r="245">
      <c r="A245" s="25" t="n">
        <v>45980</v>
      </c>
      <c r="B245" t="inlineStr">
        <is>
          <t>Bluestone Memorial Hospital</t>
        </is>
      </c>
      <c r="C245" t="inlineStr">
        <is>
          <t>Behavioral Health</t>
        </is>
      </c>
      <c r="D245" t="n">
        <v>18</v>
      </c>
      <c r="E245" t="n">
        <v>18</v>
      </c>
      <c r="F245" s="32" t="n">
        <v>1</v>
      </c>
    </row>
    <row r="246">
      <c r="A246" s="25" t="n">
        <v>45981</v>
      </c>
      <c r="B246" t="inlineStr">
        <is>
          <t>Bluestone Memorial Hospital</t>
        </is>
      </c>
      <c r="C246" t="inlineStr">
        <is>
          <t>Behavioral Health</t>
        </is>
      </c>
      <c r="D246" t="n">
        <v>18</v>
      </c>
      <c r="E246" t="n">
        <v>19</v>
      </c>
      <c r="F246" s="32" t="n">
        <v>1.055555555555556</v>
      </c>
    </row>
    <row r="247">
      <c r="A247" s="25" t="n">
        <v>45982</v>
      </c>
      <c r="B247" t="inlineStr">
        <is>
          <t>Bluestone Memorial Hospital</t>
        </is>
      </c>
      <c r="C247" t="inlineStr">
        <is>
          <t>Behavioral Health</t>
        </is>
      </c>
      <c r="D247" t="n">
        <v>18</v>
      </c>
      <c r="E247" t="n">
        <v>18</v>
      </c>
      <c r="F247" s="32" t="n">
        <v>1</v>
      </c>
    </row>
    <row r="248">
      <c r="A248" s="25" t="n">
        <v>45983</v>
      </c>
      <c r="B248" t="inlineStr">
        <is>
          <t>Bluestone Memorial Hospital</t>
        </is>
      </c>
      <c r="C248" t="inlineStr">
        <is>
          <t>Behavioral Health</t>
        </is>
      </c>
      <c r="D248" t="n">
        <v>18</v>
      </c>
      <c r="E248" t="n">
        <v>19</v>
      </c>
      <c r="F248" s="32" t="n">
        <v>1.055555555555556</v>
      </c>
    </row>
    <row r="249">
      <c r="A249" s="25" t="n">
        <v>45984</v>
      </c>
      <c r="B249" t="inlineStr">
        <is>
          <t>Bluestone Memorial Hospital</t>
        </is>
      </c>
      <c r="C249" t="inlineStr">
        <is>
          <t>Behavioral Health</t>
        </is>
      </c>
      <c r="D249" t="n">
        <v>18</v>
      </c>
      <c r="E249" t="n">
        <v>19</v>
      </c>
      <c r="F249" s="32" t="n">
        <v>1.055555555555556</v>
      </c>
    </row>
    <row r="250">
      <c r="A250" s="25" t="n">
        <v>45985</v>
      </c>
      <c r="B250" t="inlineStr">
        <is>
          <t>Bluestone Memorial Hospital</t>
        </is>
      </c>
      <c r="C250" t="inlineStr">
        <is>
          <t>Behavioral Health</t>
        </is>
      </c>
      <c r="D250" t="n">
        <v>18</v>
      </c>
      <c r="E250" t="n">
        <v>19</v>
      </c>
      <c r="F250" s="32" t="n">
        <v>1.055555555555556</v>
      </c>
    </row>
    <row r="251">
      <c r="A251" s="25" t="n">
        <v>45986</v>
      </c>
      <c r="B251" t="inlineStr">
        <is>
          <t>Bluestone Memorial Hospital</t>
        </is>
      </c>
      <c r="C251" t="inlineStr">
        <is>
          <t>Behavioral Health</t>
        </is>
      </c>
      <c r="D251" t="n">
        <v>18</v>
      </c>
      <c r="E251" t="n">
        <v>19</v>
      </c>
      <c r="F251" s="32" t="n">
        <v>1.055555555555556</v>
      </c>
    </row>
    <row r="252">
      <c r="A252" s="25" t="n">
        <v>45962</v>
      </c>
      <c r="B252" t="inlineStr">
        <is>
          <t>Bluestone Memorial Hospital</t>
        </is>
      </c>
      <c r="C252" t="inlineStr">
        <is>
          <t>Observation Unit</t>
        </is>
      </c>
      <c r="D252" t="n">
        <v>12</v>
      </c>
      <c r="E252" t="n">
        <v>8</v>
      </c>
      <c r="F252" s="32" t="n">
        <v>0.6666666666666666</v>
      </c>
    </row>
    <row r="253">
      <c r="A253" s="25" t="n">
        <v>45963</v>
      </c>
      <c r="B253" t="inlineStr">
        <is>
          <t>Bluestone Memorial Hospital</t>
        </is>
      </c>
      <c r="C253" t="inlineStr">
        <is>
          <t>Observation Unit</t>
        </is>
      </c>
      <c r="D253" t="n">
        <v>12</v>
      </c>
      <c r="E253" t="n">
        <v>9</v>
      </c>
      <c r="F253" s="32" t="n">
        <v>0.75</v>
      </c>
    </row>
    <row r="254">
      <c r="A254" s="25" t="n">
        <v>45964</v>
      </c>
      <c r="B254" t="inlineStr">
        <is>
          <t>Bluestone Memorial Hospital</t>
        </is>
      </c>
      <c r="C254" t="inlineStr">
        <is>
          <t>Observation Unit</t>
        </is>
      </c>
      <c r="D254" t="n">
        <v>12</v>
      </c>
      <c r="E254" t="n">
        <v>9</v>
      </c>
      <c r="F254" s="32" t="n">
        <v>0.75</v>
      </c>
    </row>
    <row r="255">
      <c r="A255" s="25" t="n">
        <v>45965</v>
      </c>
      <c r="B255" t="inlineStr">
        <is>
          <t>Bluestone Memorial Hospital</t>
        </is>
      </c>
      <c r="C255" t="inlineStr">
        <is>
          <t>Observation Unit</t>
        </is>
      </c>
      <c r="D255" t="n">
        <v>12</v>
      </c>
      <c r="E255" t="n">
        <v>9</v>
      </c>
      <c r="F255" s="32" t="n">
        <v>0.75</v>
      </c>
    </row>
    <row r="256">
      <c r="A256" s="25" t="n">
        <v>45966</v>
      </c>
      <c r="B256" t="inlineStr">
        <is>
          <t>Bluestone Memorial Hospital</t>
        </is>
      </c>
      <c r="C256" t="inlineStr">
        <is>
          <t>Observation Unit</t>
        </is>
      </c>
      <c r="D256" t="n">
        <v>12</v>
      </c>
      <c r="E256" t="n">
        <v>9</v>
      </c>
      <c r="F256" s="32" t="n">
        <v>0.75</v>
      </c>
    </row>
    <row r="257">
      <c r="A257" s="25" t="n">
        <v>45967</v>
      </c>
      <c r="B257" t="inlineStr">
        <is>
          <t>Bluestone Memorial Hospital</t>
        </is>
      </c>
      <c r="C257" t="inlineStr">
        <is>
          <t>Observation Unit</t>
        </is>
      </c>
      <c r="D257" t="n">
        <v>12</v>
      </c>
      <c r="E257" t="n">
        <v>9</v>
      </c>
      <c r="F257" s="32" t="n">
        <v>0.75</v>
      </c>
    </row>
    <row r="258">
      <c r="A258" s="25" t="n">
        <v>45968</v>
      </c>
      <c r="B258" t="inlineStr">
        <is>
          <t>Bluestone Memorial Hospital</t>
        </is>
      </c>
      <c r="C258" t="inlineStr">
        <is>
          <t>Observation Unit</t>
        </is>
      </c>
      <c r="D258" t="n">
        <v>12</v>
      </c>
      <c r="E258" t="n">
        <v>8</v>
      </c>
      <c r="F258" s="32" t="n">
        <v>0.6666666666666666</v>
      </c>
    </row>
    <row r="259">
      <c r="A259" s="25" t="n">
        <v>45969</v>
      </c>
      <c r="B259" t="inlineStr">
        <is>
          <t>Bluestone Memorial Hospital</t>
        </is>
      </c>
      <c r="C259" t="inlineStr">
        <is>
          <t>Observation Unit</t>
        </is>
      </c>
      <c r="D259" t="n">
        <v>12</v>
      </c>
      <c r="E259" t="n">
        <v>7</v>
      </c>
      <c r="F259" s="32" t="n">
        <v>0.5833333333333334</v>
      </c>
    </row>
    <row r="260">
      <c r="A260" s="25" t="n">
        <v>45970</v>
      </c>
      <c r="B260" t="inlineStr">
        <is>
          <t>Bluestone Memorial Hospital</t>
        </is>
      </c>
      <c r="C260" t="inlineStr">
        <is>
          <t>Observation Unit</t>
        </is>
      </c>
      <c r="D260" t="n">
        <v>12</v>
      </c>
      <c r="E260" t="n">
        <v>7</v>
      </c>
      <c r="F260" s="32" t="n">
        <v>0.5833333333333334</v>
      </c>
    </row>
    <row r="261">
      <c r="A261" s="25" t="n">
        <v>45971</v>
      </c>
      <c r="B261" t="inlineStr">
        <is>
          <t>Bluestone Memorial Hospital</t>
        </is>
      </c>
      <c r="C261" t="inlineStr">
        <is>
          <t>Observation Unit</t>
        </is>
      </c>
      <c r="D261" t="n">
        <v>12</v>
      </c>
      <c r="E261" t="n">
        <v>7</v>
      </c>
      <c r="F261" s="32" t="n">
        <v>0.5833333333333334</v>
      </c>
    </row>
    <row r="262">
      <c r="A262" s="25" t="n">
        <v>45972</v>
      </c>
      <c r="B262" t="inlineStr">
        <is>
          <t>Bluestone Memorial Hospital</t>
        </is>
      </c>
      <c r="C262" t="inlineStr">
        <is>
          <t>Observation Unit</t>
        </is>
      </c>
      <c r="D262" t="n">
        <v>12</v>
      </c>
      <c r="E262" t="n">
        <v>8</v>
      </c>
      <c r="F262" s="32" t="n">
        <v>0.6666666666666666</v>
      </c>
    </row>
    <row r="263">
      <c r="A263" s="25" t="n">
        <v>45973</v>
      </c>
      <c r="B263" t="inlineStr">
        <is>
          <t>Bluestone Memorial Hospital</t>
        </is>
      </c>
      <c r="C263" t="inlineStr">
        <is>
          <t>Observation Unit</t>
        </is>
      </c>
      <c r="D263" t="n">
        <v>12</v>
      </c>
      <c r="E263" t="n">
        <v>8</v>
      </c>
      <c r="F263" s="32" t="n">
        <v>0.6666666666666666</v>
      </c>
    </row>
    <row r="264">
      <c r="A264" s="25" t="n">
        <v>45974</v>
      </c>
      <c r="B264" t="inlineStr">
        <is>
          <t>Bluestone Memorial Hospital</t>
        </is>
      </c>
      <c r="C264" t="inlineStr">
        <is>
          <t>Observation Unit</t>
        </is>
      </c>
      <c r="D264" t="n">
        <v>12</v>
      </c>
      <c r="E264" t="n">
        <v>9</v>
      </c>
      <c r="F264" s="32" t="n">
        <v>0.75</v>
      </c>
    </row>
    <row r="265">
      <c r="A265" s="25" t="n">
        <v>45975</v>
      </c>
      <c r="B265" t="inlineStr">
        <is>
          <t>Bluestone Memorial Hospital</t>
        </is>
      </c>
      <c r="C265" t="inlineStr">
        <is>
          <t>Observation Unit</t>
        </is>
      </c>
      <c r="D265" t="n">
        <v>12</v>
      </c>
      <c r="E265" t="n">
        <v>9</v>
      </c>
      <c r="F265" s="32" t="n">
        <v>0.75</v>
      </c>
    </row>
    <row r="266">
      <c r="A266" s="25" t="n">
        <v>45976</v>
      </c>
      <c r="B266" t="inlineStr">
        <is>
          <t>Bluestone Memorial Hospital</t>
        </is>
      </c>
      <c r="C266" t="inlineStr">
        <is>
          <t>Observation Unit</t>
        </is>
      </c>
      <c r="D266" t="n">
        <v>12</v>
      </c>
      <c r="E266" t="n">
        <v>8</v>
      </c>
      <c r="F266" s="32" t="n">
        <v>0.6666666666666666</v>
      </c>
    </row>
    <row r="267">
      <c r="A267" s="25" t="n">
        <v>45977</v>
      </c>
      <c r="B267" t="inlineStr">
        <is>
          <t>Bluestone Memorial Hospital</t>
        </is>
      </c>
      <c r="C267" t="inlineStr">
        <is>
          <t>Observation Unit</t>
        </is>
      </c>
      <c r="D267" t="n">
        <v>12</v>
      </c>
      <c r="E267" t="n">
        <v>7</v>
      </c>
      <c r="F267" s="32" t="n">
        <v>0.5833333333333334</v>
      </c>
    </row>
    <row r="268">
      <c r="A268" s="25" t="n">
        <v>45978</v>
      </c>
      <c r="B268" t="inlineStr">
        <is>
          <t>Bluestone Memorial Hospital</t>
        </is>
      </c>
      <c r="C268" t="inlineStr">
        <is>
          <t>Observation Unit</t>
        </is>
      </c>
      <c r="D268" t="n">
        <v>12</v>
      </c>
      <c r="E268" t="n">
        <v>8</v>
      </c>
      <c r="F268" s="32" t="n">
        <v>0.6666666666666666</v>
      </c>
    </row>
    <row r="269">
      <c r="A269" s="25" t="n">
        <v>45979</v>
      </c>
      <c r="B269" t="inlineStr">
        <is>
          <t>Bluestone Memorial Hospital</t>
        </is>
      </c>
      <c r="C269" t="inlineStr">
        <is>
          <t>Observation Unit</t>
        </is>
      </c>
      <c r="D269" t="n">
        <v>12</v>
      </c>
      <c r="E269" t="n">
        <v>8</v>
      </c>
      <c r="F269" s="32" t="n">
        <v>0.6666666666666666</v>
      </c>
    </row>
    <row r="270">
      <c r="A270" s="25" t="n">
        <v>45980</v>
      </c>
      <c r="B270" t="inlineStr">
        <is>
          <t>Bluestone Memorial Hospital</t>
        </is>
      </c>
      <c r="C270" t="inlineStr">
        <is>
          <t>Observation Unit</t>
        </is>
      </c>
      <c r="D270" t="n">
        <v>12</v>
      </c>
      <c r="E270" t="n">
        <v>7</v>
      </c>
      <c r="F270" s="32" t="n">
        <v>0.5833333333333334</v>
      </c>
    </row>
    <row r="271">
      <c r="A271" s="25" t="n">
        <v>45981</v>
      </c>
      <c r="B271" t="inlineStr">
        <is>
          <t>Bluestone Memorial Hospital</t>
        </is>
      </c>
      <c r="C271" t="inlineStr">
        <is>
          <t>Observation Unit</t>
        </is>
      </c>
      <c r="D271" t="n">
        <v>12</v>
      </c>
      <c r="E271" t="n">
        <v>7</v>
      </c>
      <c r="F271" s="32" t="n">
        <v>0.5833333333333334</v>
      </c>
    </row>
    <row r="272">
      <c r="A272" s="25" t="n">
        <v>45982</v>
      </c>
      <c r="B272" t="inlineStr">
        <is>
          <t>Bluestone Memorial Hospital</t>
        </is>
      </c>
      <c r="C272" t="inlineStr">
        <is>
          <t>Observation Unit</t>
        </is>
      </c>
      <c r="D272" t="n">
        <v>12</v>
      </c>
      <c r="E272" t="n">
        <v>7</v>
      </c>
      <c r="F272" s="32" t="n">
        <v>0.5833333333333334</v>
      </c>
    </row>
    <row r="273">
      <c r="A273" s="25" t="n">
        <v>45983</v>
      </c>
      <c r="B273" t="inlineStr">
        <is>
          <t>Bluestone Memorial Hospital</t>
        </is>
      </c>
      <c r="C273" t="inlineStr">
        <is>
          <t>Observation Unit</t>
        </is>
      </c>
      <c r="D273" t="n">
        <v>12</v>
      </c>
      <c r="E273" t="n">
        <v>7</v>
      </c>
      <c r="F273" s="32" t="n">
        <v>0.5833333333333334</v>
      </c>
    </row>
    <row r="274">
      <c r="A274" s="25" t="n">
        <v>45984</v>
      </c>
      <c r="B274" t="inlineStr">
        <is>
          <t>Bluestone Memorial Hospital</t>
        </is>
      </c>
      <c r="C274" t="inlineStr">
        <is>
          <t>Observation Unit</t>
        </is>
      </c>
      <c r="D274" t="n">
        <v>12</v>
      </c>
      <c r="E274" t="n">
        <v>7</v>
      </c>
      <c r="F274" s="32" t="n">
        <v>0.5833333333333334</v>
      </c>
    </row>
    <row r="275">
      <c r="A275" s="25" t="n">
        <v>45985</v>
      </c>
      <c r="B275" t="inlineStr">
        <is>
          <t>Bluestone Memorial Hospital</t>
        </is>
      </c>
      <c r="C275" t="inlineStr">
        <is>
          <t>Observation Unit</t>
        </is>
      </c>
      <c r="D275" t="n">
        <v>12</v>
      </c>
      <c r="E275" t="n">
        <v>8</v>
      </c>
      <c r="F275" s="32" t="n">
        <v>0.6666666666666666</v>
      </c>
    </row>
    <row r="276">
      <c r="A276" s="25" t="n">
        <v>45986</v>
      </c>
      <c r="B276" t="inlineStr">
        <is>
          <t>Bluestone Memorial Hospital</t>
        </is>
      </c>
      <c r="C276" t="inlineStr">
        <is>
          <t>Observation Unit</t>
        </is>
      </c>
      <c r="D276" t="n">
        <v>12</v>
      </c>
      <c r="E276" t="n">
        <v>8</v>
      </c>
      <c r="F276" s="32" t="n">
        <v>0.6666666666666666</v>
      </c>
    </row>
    <row r="277">
      <c r="A277" s="25" t="n">
        <v>45962</v>
      </c>
      <c r="B277" t="inlineStr">
        <is>
          <t>Ashby Falls Community Hospital</t>
        </is>
      </c>
      <c r="C277" t="inlineStr">
        <is>
          <t>Medical-Surgical</t>
        </is>
      </c>
      <c r="D277" t="n">
        <v>28</v>
      </c>
      <c r="E277" t="n">
        <v>24</v>
      </c>
      <c r="F277" s="32" t="n">
        <v>0.8571428571428571</v>
      </c>
    </row>
    <row r="278">
      <c r="A278" s="25" t="n">
        <v>45963</v>
      </c>
      <c r="B278" t="inlineStr">
        <is>
          <t>Ashby Falls Community Hospital</t>
        </is>
      </c>
      <c r="C278" t="inlineStr">
        <is>
          <t>Medical-Surgical</t>
        </is>
      </c>
      <c r="D278" t="n">
        <v>28</v>
      </c>
      <c r="E278" t="n">
        <v>25</v>
      </c>
      <c r="F278" s="32" t="n">
        <v>0.8928571428571429</v>
      </c>
    </row>
    <row r="279">
      <c r="A279" s="25" t="n">
        <v>45964</v>
      </c>
      <c r="B279" t="inlineStr">
        <is>
          <t>Ashby Falls Community Hospital</t>
        </is>
      </c>
      <c r="C279" t="inlineStr">
        <is>
          <t>Medical-Surgical</t>
        </is>
      </c>
      <c r="D279" t="n">
        <v>28</v>
      </c>
      <c r="E279" t="n">
        <v>26</v>
      </c>
      <c r="F279" s="32" t="n">
        <v>0.9285714285714286</v>
      </c>
    </row>
    <row r="280">
      <c r="A280" s="25" t="n">
        <v>45965</v>
      </c>
      <c r="B280" t="inlineStr">
        <is>
          <t>Ashby Falls Community Hospital</t>
        </is>
      </c>
      <c r="C280" t="inlineStr">
        <is>
          <t>Medical-Surgical</t>
        </is>
      </c>
      <c r="D280" t="n">
        <v>28</v>
      </c>
      <c r="E280" t="n">
        <v>25</v>
      </c>
      <c r="F280" s="32" t="n">
        <v>0.8928571428571429</v>
      </c>
    </row>
    <row r="281">
      <c r="A281" s="25" t="n">
        <v>45966</v>
      </c>
      <c r="B281" t="inlineStr">
        <is>
          <t>Ashby Falls Community Hospital</t>
        </is>
      </c>
      <c r="C281" t="inlineStr">
        <is>
          <t>Medical-Surgical</t>
        </is>
      </c>
      <c r="D281" t="n">
        <v>28</v>
      </c>
      <c r="E281" t="n">
        <v>23</v>
      </c>
      <c r="F281" s="32" t="n">
        <v>0.8214285714285714</v>
      </c>
    </row>
    <row r="282">
      <c r="A282" s="25" t="n">
        <v>45967</v>
      </c>
      <c r="B282" t="inlineStr">
        <is>
          <t>Ashby Falls Community Hospital</t>
        </is>
      </c>
      <c r="C282" t="inlineStr">
        <is>
          <t>Medical-Surgical</t>
        </is>
      </c>
      <c r="D282" t="n">
        <v>28</v>
      </c>
      <c r="E282" t="n">
        <v>22</v>
      </c>
      <c r="F282" s="32" t="n">
        <v>0.7857142857142857</v>
      </c>
    </row>
    <row r="283">
      <c r="A283" s="25" t="n">
        <v>45968</v>
      </c>
      <c r="B283" t="inlineStr">
        <is>
          <t>Ashby Falls Community Hospital</t>
        </is>
      </c>
      <c r="C283" t="inlineStr">
        <is>
          <t>Medical-Surgical</t>
        </is>
      </c>
      <c r="D283" t="n">
        <v>28</v>
      </c>
      <c r="E283" t="n">
        <v>22</v>
      </c>
      <c r="F283" s="32" t="n">
        <v>0.7857142857142857</v>
      </c>
    </row>
    <row r="284">
      <c r="A284" s="25" t="n">
        <v>45969</v>
      </c>
      <c r="B284" t="inlineStr">
        <is>
          <t>Ashby Falls Community Hospital</t>
        </is>
      </c>
      <c r="C284" t="inlineStr">
        <is>
          <t>Medical-Surgical</t>
        </is>
      </c>
      <c r="D284" t="n">
        <v>28</v>
      </c>
      <c r="E284" t="n">
        <v>22</v>
      </c>
      <c r="F284" s="32" t="n">
        <v>0.7857142857142857</v>
      </c>
    </row>
    <row r="285">
      <c r="A285" s="25" t="n">
        <v>45970</v>
      </c>
      <c r="B285" t="inlineStr">
        <is>
          <t>Ashby Falls Community Hospital</t>
        </is>
      </c>
      <c r="C285" t="inlineStr">
        <is>
          <t>Medical-Surgical</t>
        </is>
      </c>
      <c r="D285" t="n">
        <v>28</v>
      </c>
      <c r="E285" t="n">
        <v>21</v>
      </c>
      <c r="F285" s="32" t="n">
        <v>0.75</v>
      </c>
    </row>
    <row r="286">
      <c r="A286" s="25" t="n">
        <v>45971</v>
      </c>
      <c r="B286" t="inlineStr">
        <is>
          <t>Ashby Falls Community Hospital</t>
        </is>
      </c>
      <c r="C286" t="inlineStr">
        <is>
          <t>Medical-Surgical</t>
        </is>
      </c>
      <c r="D286" t="n">
        <v>28</v>
      </c>
      <c r="E286" t="n">
        <v>22</v>
      </c>
      <c r="F286" s="32" t="n">
        <v>0.7857142857142857</v>
      </c>
    </row>
    <row r="287">
      <c r="A287" s="25" t="n">
        <v>45972</v>
      </c>
      <c r="B287" t="inlineStr">
        <is>
          <t>Ashby Falls Community Hospital</t>
        </is>
      </c>
      <c r="C287" t="inlineStr">
        <is>
          <t>Medical-Surgical</t>
        </is>
      </c>
      <c r="D287" t="n">
        <v>28</v>
      </c>
      <c r="E287" t="n">
        <v>23</v>
      </c>
      <c r="F287" s="32" t="n">
        <v>0.8214285714285714</v>
      </c>
    </row>
    <row r="288">
      <c r="A288" s="25" t="n">
        <v>45973</v>
      </c>
      <c r="B288" t="inlineStr">
        <is>
          <t>Ashby Falls Community Hospital</t>
        </is>
      </c>
      <c r="C288" t="inlineStr">
        <is>
          <t>Medical-Surgical</t>
        </is>
      </c>
      <c r="D288" t="n">
        <v>28</v>
      </c>
      <c r="E288" t="n">
        <v>23</v>
      </c>
      <c r="F288" s="32" t="n">
        <v>0.8214285714285714</v>
      </c>
    </row>
    <row r="289">
      <c r="A289" s="25" t="n">
        <v>45974</v>
      </c>
      <c r="B289" t="inlineStr">
        <is>
          <t>Ashby Falls Community Hospital</t>
        </is>
      </c>
      <c r="C289" t="inlineStr">
        <is>
          <t>Medical-Surgical</t>
        </is>
      </c>
      <c r="D289" t="n">
        <v>28</v>
      </c>
      <c r="E289" t="n">
        <v>23</v>
      </c>
      <c r="F289" s="32" t="n">
        <v>0.8214285714285714</v>
      </c>
    </row>
    <row r="290">
      <c r="A290" s="25" t="n">
        <v>45975</v>
      </c>
      <c r="B290" t="inlineStr">
        <is>
          <t>Ashby Falls Community Hospital</t>
        </is>
      </c>
      <c r="C290" t="inlineStr">
        <is>
          <t>Medical-Surgical</t>
        </is>
      </c>
      <c r="D290" t="n">
        <v>28</v>
      </c>
      <c r="E290" t="n">
        <v>22</v>
      </c>
      <c r="F290" s="32" t="n">
        <v>0.7857142857142857</v>
      </c>
    </row>
    <row r="291">
      <c r="A291" s="25" t="n">
        <v>45976</v>
      </c>
      <c r="B291" t="inlineStr">
        <is>
          <t>Ashby Falls Community Hospital</t>
        </is>
      </c>
      <c r="C291" t="inlineStr">
        <is>
          <t>Medical-Surgical</t>
        </is>
      </c>
      <c r="D291" t="n">
        <v>28</v>
      </c>
      <c r="E291" t="n">
        <v>22</v>
      </c>
      <c r="F291" s="32" t="n">
        <v>0.7857142857142857</v>
      </c>
    </row>
    <row r="292">
      <c r="A292" s="25" t="n">
        <v>45977</v>
      </c>
      <c r="B292" t="inlineStr">
        <is>
          <t>Ashby Falls Community Hospital</t>
        </is>
      </c>
      <c r="C292" t="inlineStr">
        <is>
          <t>Medical-Surgical</t>
        </is>
      </c>
      <c r="D292" t="n">
        <v>28</v>
      </c>
      <c r="E292" t="n">
        <v>21</v>
      </c>
      <c r="F292" s="32" t="n">
        <v>0.75</v>
      </c>
    </row>
    <row r="293">
      <c r="A293" s="25" t="n">
        <v>45978</v>
      </c>
      <c r="B293" t="inlineStr">
        <is>
          <t>Ashby Falls Community Hospital</t>
        </is>
      </c>
      <c r="C293" t="inlineStr">
        <is>
          <t>Medical-Surgical</t>
        </is>
      </c>
      <c r="D293" t="n">
        <v>28</v>
      </c>
      <c r="E293" t="n">
        <v>24</v>
      </c>
      <c r="F293" s="32" t="n">
        <v>0.8571428571428571</v>
      </c>
    </row>
    <row r="294">
      <c r="A294" s="25" t="n">
        <v>45979</v>
      </c>
      <c r="B294" t="inlineStr">
        <is>
          <t>Ashby Falls Community Hospital</t>
        </is>
      </c>
      <c r="C294" t="inlineStr">
        <is>
          <t>Medical-Surgical</t>
        </is>
      </c>
      <c r="D294" t="n">
        <v>28</v>
      </c>
      <c r="E294" t="n">
        <v>25</v>
      </c>
      <c r="F294" s="32" t="n">
        <v>0.8928571428571429</v>
      </c>
    </row>
    <row r="295">
      <c r="A295" s="25" t="n">
        <v>45980</v>
      </c>
      <c r="B295" t="inlineStr">
        <is>
          <t>Ashby Falls Community Hospital</t>
        </is>
      </c>
      <c r="C295" t="inlineStr">
        <is>
          <t>Medical-Surgical</t>
        </is>
      </c>
      <c r="D295" t="n">
        <v>28</v>
      </c>
      <c r="E295" t="n">
        <v>27</v>
      </c>
      <c r="F295" s="32" t="n">
        <v>0.9642857142857143</v>
      </c>
    </row>
    <row r="296">
      <c r="A296" s="25" t="n">
        <v>45981</v>
      </c>
      <c r="B296" t="inlineStr">
        <is>
          <t>Ashby Falls Community Hospital</t>
        </is>
      </c>
      <c r="C296" t="inlineStr">
        <is>
          <t>Medical-Surgical</t>
        </is>
      </c>
      <c r="D296" t="n">
        <v>28</v>
      </c>
      <c r="E296" t="n">
        <v>25</v>
      </c>
      <c r="F296" s="32" t="n">
        <v>0.8928571428571429</v>
      </c>
    </row>
    <row r="297">
      <c r="A297" s="25" t="n">
        <v>45982</v>
      </c>
      <c r="B297" t="inlineStr">
        <is>
          <t>Ashby Falls Community Hospital</t>
        </is>
      </c>
      <c r="C297" t="inlineStr">
        <is>
          <t>Medical-Surgical</t>
        </is>
      </c>
      <c r="D297" t="n">
        <v>28</v>
      </c>
      <c r="E297" t="n">
        <v>24</v>
      </c>
      <c r="F297" s="32" t="n">
        <v>0.8571428571428571</v>
      </c>
    </row>
    <row r="298">
      <c r="A298" s="25" t="n">
        <v>45983</v>
      </c>
      <c r="B298" t="inlineStr">
        <is>
          <t>Ashby Falls Community Hospital</t>
        </is>
      </c>
      <c r="C298" t="inlineStr">
        <is>
          <t>Medical-Surgical</t>
        </is>
      </c>
      <c r="D298" t="n">
        <v>28</v>
      </c>
      <c r="E298" t="n">
        <v>24</v>
      </c>
      <c r="F298" s="32" t="n">
        <v>0.8571428571428571</v>
      </c>
    </row>
    <row r="299">
      <c r="A299" s="25" t="n">
        <v>45984</v>
      </c>
      <c r="B299" t="inlineStr">
        <is>
          <t>Ashby Falls Community Hospital</t>
        </is>
      </c>
      <c r="C299" t="inlineStr">
        <is>
          <t>Medical-Surgical</t>
        </is>
      </c>
      <c r="D299" t="n">
        <v>28</v>
      </c>
      <c r="E299" t="n">
        <v>24</v>
      </c>
      <c r="F299" s="32" t="n">
        <v>0.8571428571428571</v>
      </c>
    </row>
    <row r="300">
      <c r="A300" s="25" t="n">
        <v>45985</v>
      </c>
      <c r="B300" t="inlineStr">
        <is>
          <t>Ashby Falls Community Hospital</t>
        </is>
      </c>
      <c r="C300" t="inlineStr">
        <is>
          <t>Medical-Surgical</t>
        </is>
      </c>
      <c r="D300" t="n">
        <v>28</v>
      </c>
      <c r="E300" t="n">
        <v>25</v>
      </c>
      <c r="F300" s="32" t="n">
        <v>0.8928571428571429</v>
      </c>
    </row>
    <row r="301">
      <c r="A301" s="25" t="n">
        <v>45986</v>
      </c>
      <c r="B301" t="inlineStr">
        <is>
          <t>Ashby Falls Community Hospital</t>
        </is>
      </c>
      <c r="C301" t="inlineStr">
        <is>
          <t>Medical-Surgical</t>
        </is>
      </c>
      <c r="D301" t="n">
        <v>28</v>
      </c>
      <c r="E301" t="n">
        <v>25</v>
      </c>
      <c r="F301" s="32" t="n">
        <v>0.8928571428571429</v>
      </c>
    </row>
    <row r="302">
      <c r="A302" s="25" t="n">
        <v>45962</v>
      </c>
      <c r="B302" t="inlineStr">
        <is>
          <t>Ashby Falls Community Hospital</t>
        </is>
      </c>
      <c r="C302" t="inlineStr">
        <is>
          <t>Intensive Care Unit</t>
        </is>
      </c>
      <c r="D302" t="n">
        <v>8</v>
      </c>
      <c r="E302" t="n">
        <v>6</v>
      </c>
      <c r="F302" s="32" t="n">
        <v>0.75</v>
      </c>
    </row>
    <row r="303">
      <c r="A303" s="25" t="n">
        <v>45963</v>
      </c>
      <c r="B303" t="inlineStr">
        <is>
          <t>Ashby Falls Community Hospital</t>
        </is>
      </c>
      <c r="C303" t="inlineStr">
        <is>
          <t>Intensive Care Unit</t>
        </is>
      </c>
      <c r="D303" t="n">
        <v>8</v>
      </c>
      <c r="E303" t="n">
        <v>6</v>
      </c>
      <c r="F303" s="32" t="n">
        <v>0.75</v>
      </c>
    </row>
    <row r="304">
      <c r="A304" s="25" t="n">
        <v>45964</v>
      </c>
      <c r="B304" t="inlineStr">
        <is>
          <t>Ashby Falls Community Hospital</t>
        </is>
      </c>
      <c r="C304" t="inlineStr">
        <is>
          <t>Intensive Care Unit</t>
        </is>
      </c>
      <c r="D304" t="n">
        <v>8</v>
      </c>
      <c r="E304" t="n">
        <v>6</v>
      </c>
      <c r="F304" s="32" t="n">
        <v>0.75</v>
      </c>
    </row>
    <row r="305">
      <c r="A305" s="25" t="n">
        <v>45965</v>
      </c>
      <c r="B305" t="inlineStr">
        <is>
          <t>Ashby Falls Community Hospital</t>
        </is>
      </c>
      <c r="C305" t="inlineStr">
        <is>
          <t>Intensive Care Unit</t>
        </is>
      </c>
      <c r="D305" t="n">
        <v>8</v>
      </c>
      <c r="E305" t="n">
        <v>6</v>
      </c>
      <c r="F305" s="32" t="n">
        <v>0.75</v>
      </c>
    </row>
    <row r="306">
      <c r="A306" s="25" t="n">
        <v>45966</v>
      </c>
      <c r="B306" t="inlineStr">
        <is>
          <t>Ashby Falls Community Hospital</t>
        </is>
      </c>
      <c r="C306" t="inlineStr">
        <is>
          <t>Intensive Care Unit</t>
        </is>
      </c>
      <c r="D306" t="n">
        <v>8</v>
      </c>
      <c r="E306" t="n">
        <v>6</v>
      </c>
      <c r="F306" s="32" t="n">
        <v>0.75</v>
      </c>
    </row>
    <row r="307">
      <c r="A307" s="25" t="n">
        <v>45967</v>
      </c>
      <c r="B307" t="inlineStr">
        <is>
          <t>Ashby Falls Community Hospital</t>
        </is>
      </c>
      <c r="C307" t="inlineStr">
        <is>
          <t>Intensive Care Unit</t>
        </is>
      </c>
      <c r="D307" t="n">
        <v>8</v>
      </c>
      <c r="E307" t="n">
        <v>6</v>
      </c>
      <c r="F307" s="32" t="n">
        <v>0.75</v>
      </c>
    </row>
    <row r="308">
      <c r="A308" s="25" t="n">
        <v>45968</v>
      </c>
      <c r="B308" t="inlineStr">
        <is>
          <t>Ashby Falls Community Hospital</t>
        </is>
      </c>
      <c r="C308" t="inlineStr">
        <is>
          <t>Intensive Care Unit</t>
        </is>
      </c>
      <c r="D308" t="n">
        <v>8</v>
      </c>
      <c r="E308" t="n">
        <v>6</v>
      </c>
      <c r="F308" s="32" t="n">
        <v>0.75</v>
      </c>
    </row>
    <row r="309">
      <c r="A309" s="25" t="n">
        <v>45969</v>
      </c>
      <c r="B309" t="inlineStr">
        <is>
          <t>Ashby Falls Community Hospital</t>
        </is>
      </c>
      <c r="C309" t="inlineStr">
        <is>
          <t>Intensive Care Unit</t>
        </is>
      </c>
      <c r="D309" t="n">
        <v>8</v>
      </c>
      <c r="E309" t="n">
        <v>6</v>
      </c>
      <c r="F309" s="32" t="n">
        <v>0.75</v>
      </c>
    </row>
    <row r="310">
      <c r="A310" s="25" t="n">
        <v>45970</v>
      </c>
      <c r="B310" t="inlineStr">
        <is>
          <t>Ashby Falls Community Hospital</t>
        </is>
      </c>
      <c r="C310" t="inlineStr">
        <is>
          <t>Intensive Care Unit</t>
        </is>
      </c>
      <c r="D310" t="n">
        <v>8</v>
      </c>
      <c r="E310" t="n">
        <v>6</v>
      </c>
      <c r="F310" s="32" t="n">
        <v>0.75</v>
      </c>
    </row>
    <row r="311">
      <c r="A311" s="25" t="n">
        <v>45971</v>
      </c>
      <c r="B311" t="inlineStr">
        <is>
          <t>Ashby Falls Community Hospital</t>
        </is>
      </c>
      <c r="C311" t="inlineStr">
        <is>
          <t>Intensive Care Unit</t>
        </is>
      </c>
      <c r="D311" t="n">
        <v>8</v>
      </c>
      <c r="E311" t="n">
        <v>6</v>
      </c>
      <c r="F311" s="32" t="n">
        <v>0.75</v>
      </c>
    </row>
    <row r="312">
      <c r="A312" s="25" t="n">
        <v>45972</v>
      </c>
      <c r="B312" t="inlineStr">
        <is>
          <t>Ashby Falls Community Hospital</t>
        </is>
      </c>
      <c r="C312" t="inlineStr">
        <is>
          <t>Intensive Care Unit</t>
        </is>
      </c>
      <c r="D312" t="n">
        <v>8</v>
      </c>
      <c r="E312" t="n">
        <v>6</v>
      </c>
      <c r="F312" s="32" t="n">
        <v>0.75</v>
      </c>
    </row>
    <row r="313">
      <c r="A313" s="25" t="n">
        <v>45973</v>
      </c>
      <c r="B313" t="inlineStr">
        <is>
          <t>Ashby Falls Community Hospital</t>
        </is>
      </c>
      <c r="C313" t="inlineStr">
        <is>
          <t>Intensive Care Unit</t>
        </is>
      </c>
      <c r="D313" t="n">
        <v>8</v>
      </c>
      <c r="E313" t="n">
        <v>6</v>
      </c>
      <c r="F313" s="32" t="n">
        <v>0.75</v>
      </c>
    </row>
    <row r="314">
      <c r="A314" s="25" t="n">
        <v>45974</v>
      </c>
      <c r="B314" t="inlineStr">
        <is>
          <t>Ashby Falls Community Hospital</t>
        </is>
      </c>
      <c r="C314" t="inlineStr">
        <is>
          <t>Intensive Care Unit</t>
        </is>
      </c>
      <c r="D314" t="n">
        <v>8</v>
      </c>
      <c r="E314" t="n">
        <v>6</v>
      </c>
      <c r="F314" s="32" t="n">
        <v>0.75</v>
      </c>
    </row>
    <row r="315">
      <c r="A315" s="25" t="n">
        <v>45975</v>
      </c>
      <c r="B315" t="inlineStr">
        <is>
          <t>Ashby Falls Community Hospital</t>
        </is>
      </c>
      <c r="C315" t="inlineStr">
        <is>
          <t>Intensive Care Unit</t>
        </is>
      </c>
      <c r="D315" t="n">
        <v>8</v>
      </c>
      <c r="E315" t="n">
        <v>6</v>
      </c>
      <c r="F315" s="32" t="n">
        <v>0.75</v>
      </c>
    </row>
    <row r="316">
      <c r="A316" s="25" t="n">
        <v>45976</v>
      </c>
      <c r="B316" t="inlineStr">
        <is>
          <t>Ashby Falls Community Hospital</t>
        </is>
      </c>
      <c r="C316" t="inlineStr">
        <is>
          <t>Intensive Care Unit</t>
        </is>
      </c>
      <c r="D316" t="n">
        <v>8</v>
      </c>
      <c r="E316" t="n">
        <v>5</v>
      </c>
      <c r="F316" s="32" t="n">
        <v>0.625</v>
      </c>
    </row>
    <row r="317">
      <c r="A317" s="25" t="n">
        <v>45977</v>
      </c>
      <c r="B317" t="inlineStr">
        <is>
          <t>Ashby Falls Community Hospital</t>
        </is>
      </c>
      <c r="C317" t="inlineStr">
        <is>
          <t>Intensive Care Unit</t>
        </is>
      </c>
      <c r="D317" t="n">
        <v>8</v>
      </c>
      <c r="E317" t="n">
        <v>5</v>
      </c>
      <c r="F317" s="32" t="n">
        <v>0.625</v>
      </c>
    </row>
    <row r="318">
      <c r="A318" s="25" t="n">
        <v>45978</v>
      </c>
      <c r="B318" t="inlineStr">
        <is>
          <t>Ashby Falls Community Hospital</t>
        </is>
      </c>
      <c r="C318" t="inlineStr">
        <is>
          <t>Intensive Care Unit</t>
        </is>
      </c>
      <c r="D318" t="n">
        <v>8</v>
      </c>
      <c r="E318" t="n">
        <v>5</v>
      </c>
      <c r="F318" s="32" t="n">
        <v>0.625</v>
      </c>
    </row>
    <row r="319">
      <c r="A319" s="25" t="n">
        <v>45979</v>
      </c>
      <c r="B319" t="inlineStr">
        <is>
          <t>Ashby Falls Community Hospital</t>
        </is>
      </c>
      <c r="C319" t="inlineStr">
        <is>
          <t>Intensive Care Unit</t>
        </is>
      </c>
      <c r="D319" t="n">
        <v>8</v>
      </c>
      <c r="E319" t="n">
        <v>6</v>
      </c>
      <c r="F319" s="32" t="n">
        <v>0.75</v>
      </c>
    </row>
    <row r="320">
      <c r="A320" s="25" t="n">
        <v>45980</v>
      </c>
      <c r="B320" t="inlineStr">
        <is>
          <t>Ashby Falls Community Hospital</t>
        </is>
      </c>
      <c r="C320" t="inlineStr">
        <is>
          <t>Intensive Care Unit</t>
        </is>
      </c>
      <c r="D320" t="n">
        <v>8</v>
      </c>
      <c r="E320" t="n">
        <v>6</v>
      </c>
      <c r="F320" s="32" t="n">
        <v>0.75</v>
      </c>
    </row>
    <row r="321">
      <c r="A321" s="25" t="n">
        <v>45981</v>
      </c>
      <c r="B321" t="inlineStr">
        <is>
          <t>Ashby Falls Community Hospital</t>
        </is>
      </c>
      <c r="C321" t="inlineStr">
        <is>
          <t>Intensive Care Unit</t>
        </is>
      </c>
      <c r="D321" t="n">
        <v>8</v>
      </c>
      <c r="E321" t="n">
        <v>6</v>
      </c>
      <c r="F321" s="32" t="n">
        <v>0.75</v>
      </c>
    </row>
    <row r="322">
      <c r="A322" s="25" t="n">
        <v>45982</v>
      </c>
      <c r="B322" t="inlineStr">
        <is>
          <t>Ashby Falls Community Hospital</t>
        </is>
      </c>
      <c r="C322" t="inlineStr">
        <is>
          <t>Intensive Care Unit</t>
        </is>
      </c>
      <c r="D322" t="n">
        <v>8</v>
      </c>
      <c r="E322" t="n">
        <v>5</v>
      </c>
      <c r="F322" s="32" t="n">
        <v>0.625</v>
      </c>
    </row>
    <row r="323">
      <c r="A323" s="25" t="n">
        <v>45983</v>
      </c>
      <c r="B323" t="inlineStr">
        <is>
          <t>Ashby Falls Community Hospital</t>
        </is>
      </c>
      <c r="C323" t="inlineStr">
        <is>
          <t>Intensive Care Unit</t>
        </is>
      </c>
      <c r="D323" t="n">
        <v>8</v>
      </c>
      <c r="E323" t="n">
        <v>5</v>
      </c>
      <c r="F323" s="32" t="n">
        <v>0.625</v>
      </c>
    </row>
    <row r="324">
      <c r="A324" s="25" t="n">
        <v>45984</v>
      </c>
      <c r="B324" t="inlineStr">
        <is>
          <t>Ashby Falls Community Hospital</t>
        </is>
      </c>
      <c r="C324" t="inlineStr">
        <is>
          <t>Intensive Care Unit</t>
        </is>
      </c>
      <c r="D324" t="n">
        <v>8</v>
      </c>
      <c r="E324" t="n">
        <v>6</v>
      </c>
      <c r="F324" s="32" t="n">
        <v>0.75</v>
      </c>
    </row>
    <row r="325">
      <c r="A325" s="25" t="n">
        <v>45985</v>
      </c>
      <c r="B325" t="inlineStr">
        <is>
          <t>Ashby Falls Community Hospital</t>
        </is>
      </c>
      <c r="C325" t="inlineStr">
        <is>
          <t>Intensive Care Unit</t>
        </is>
      </c>
      <c r="D325" t="n">
        <v>8</v>
      </c>
      <c r="E325" t="n">
        <v>6</v>
      </c>
      <c r="F325" s="32" t="n">
        <v>0.75</v>
      </c>
    </row>
    <row r="326">
      <c r="A326" s="25" t="n">
        <v>45986</v>
      </c>
      <c r="B326" t="inlineStr">
        <is>
          <t>Ashby Falls Community Hospital</t>
        </is>
      </c>
      <c r="C326" t="inlineStr">
        <is>
          <t>Intensive Care Unit</t>
        </is>
      </c>
      <c r="D326" t="n">
        <v>8</v>
      </c>
      <c r="E326" t="n">
        <v>6</v>
      </c>
      <c r="F326" s="32" t="n">
        <v>0.75</v>
      </c>
    </row>
    <row r="327">
      <c r="A327" s="25" t="n">
        <v>45962</v>
      </c>
      <c r="B327" t="inlineStr">
        <is>
          <t>Ashby Falls Community Hospital</t>
        </is>
      </c>
      <c r="C327" t="inlineStr">
        <is>
          <t>Labor &amp; Delivery</t>
        </is>
      </c>
      <c r="D327" t="n">
        <v>10</v>
      </c>
      <c r="E327" t="n">
        <v>5</v>
      </c>
      <c r="F327" s="32" t="n">
        <v>0.5</v>
      </c>
    </row>
    <row r="328">
      <c r="A328" s="25" t="n">
        <v>45963</v>
      </c>
      <c r="B328" t="inlineStr">
        <is>
          <t>Ashby Falls Community Hospital</t>
        </is>
      </c>
      <c r="C328" t="inlineStr">
        <is>
          <t>Labor &amp; Delivery</t>
        </is>
      </c>
      <c r="D328" t="n">
        <v>10</v>
      </c>
      <c r="E328" t="n">
        <v>5</v>
      </c>
      <c r="F328" s="32" t="n">
        <v>0.5</v>
      </c>
    </row>
    <row r="329">
      <c r="A329" s="25" t="n">
        <v>45964</v>
      </c>
      <c r="B329" t="inlineStr">
        <is>
          <t>Ashby Falls Community Hospital</t>
        </is>
      </c>
      <c r="C329" t="inlineStr">
        <is>
          <t>Labor &amp; Delivery</t>
        </is>
      </c>
      <c r="D329" t="n">
        <v>10</v>
      </c>
      <c r="E329" t="n">
        <v>5</v>
      </c>
      <c r="F329" s="32" t="n">
        <v>0.5</v>
      </c>
    </row>
    <row r="330">
      <c r="A330" s="25" t="n">
        <v>45965</v>
      </c>
      <c r="B330" t="inlineStr">
        <is>
          <t>Ashby Falls Community Hospital</t>
        </is>
      </c>
      <c r="C330" t="inlineStr">
        <is>
          <t>Labor &amp; Delivery</t>
        </is>
      </c>
      <c r="D330" t="n">
        <v>10</v>
      </c>
      <c r="E330" t="n">
        <v>6</v>
      </c>
      <c r="F330" s="32" t="n">
        <v>0.6</v>
      </c>
    </row>
    <row r="331">
      <c r="A331" s="25" t="n">
        <v>45966</v>
      </c>
      <c r="B331" t="inlineStr">
        <is>
          <t>Ashby Falls Community Hospital</t>
        </is>
      </c>
      <c r="C331" t="inlineStr">
        <is>
          <t>Labor &amp; Delivery</t>
        </is>
      </c>
      <c r="D331" t="n">
        <v>10</v>
      </c>
      <c r="E331" t="n">
        <v>6</v>
      </c>
      <c r="F331" s="32" t="n">
        <v>0.6</v>
      </c>
    </row>
    <row r="332">
      <c r="A332" s="25" t="n">
        <v>45967</v>
      </c>
      <c r="B332" t="inlineStr">
        <is>
          <t>Ashby Falls Community Hospital</t>
        </is>
      </c>
      <c r="C332" t="inlineStr">
        <is>
          <t>Labor &amp; Delivery</t>
        </is>
      </c>
      <c r="D332" t="n">
        <v>10</v>
      </c>
      <c r="E332" t="n">
        <v>7</v>
      </c>
      <c r="F332" s="32" t="n">
        <v>0.7</v>
      </c>
    </row>
    <row r="333">
      <c r="A333" s="25" t="n">
        <v>45968</v>
      </c>
      <c r="B333" t="inlineStr">
        <is>
          <t>Ashby Falls Community Hospital</t>
        </is>
      </c>
      <c r="C333" t="inlineStr">
        <is>
          <t>Labor &amp; Delivery</t>
        </is>
      </c>
      <c r="D333" t="n">
        <v>10</v>
      </c>
      <c r="E333" t="n">
        <v>6</v>
      </c>
      <c r="F333" s="32" t="n">
        <v>0.6</v>
      </c>
    </row>
    <row r="334">
      <c r="A334" s="25" t="n">
        <v>45969</v>
      </c>
      <c r="B334" t="inlineStr">
        <is>
          <t>Ashby Falls Community Hospital</t>
        </is>
      </c>
      <c r="C334" t="inlineStr">
        <is>
          <t>Labor &amp; Delivery</t>
        </is>
      </c>
      <c r="D334" t="n">
        <v>10</v>
      </c>
      <c r="E334" t="n">
        <v>5</v>
      </c>
      <c r="F334" s="32" t="n">
        <v>0.5</v>
      </c>
    </row>
    <row r="335">
      <c r="A335" s="25" t="n">
        <v>45970</v>
      </c>
      <c r="B335" t="inlineStr">
        <is>
          <t>Ashby Falls Community Hospital</t>
        </is>
      </c>
      <c r="C335" t="inlineStr">
        <is>
          <t>Labor &amp; Delivery</t>
        </is>
      </c>
      <c r="D335" t="n">
        <v>10</v>
      </c>
      <c r="E335" t="n">
        <v>6</v>
      </c>
      <c r="F335" s="32" t="n">
        <v>0.6</v>
      </c>
    </row>
    <row r="336">
      <c r="A336" s="25" t="n">
        <v>45971</v>
      </c>
      <c r="B336" t="inlineStr">
        <is>
          <t>Ashby Falls Community Hospital</t>
        </is>
      </c>
      <c r="C336" t="inlineStr">
        <is>
          <t>Labor &amp; Delivery</t>
        </is>
      </c>
      <c r="D336" t="n">
        <v>10</v>
      </c>
      <c r="E336" t="n">
        <v>7</v>
      </c>
      <c r="F336" s="32" t="n">
        <v>0.7</v>
      </c>
    </row>
    <row r="337">
      <c r="A337" s="25" t="n">
        <v>45972</v>
      </c>
      <c r="B337" t="inlineStr">
        <is>
          <t>Ashby Falls Community Hospital</t>
        </is>
      </c>
      <c r="C337" t="inlineStr">
        <is>
          <t>Labor &amp; Delivery</t>
        </is>
      </c>
      <c r="D337" t="n">
        <v>10</v>
      </c>
      <c r="E337" t="n">
        <v>7</v>
      </c>
      <c r="F337" s="32" t="n">
        <v>0.7</v>
      </c>
    </row>
    <row r="338">
      <c r="A338" s="25" t="n">
        <v>45973</v>
      </c>
      <c r="B338" t="inlineStr">
        <is>
          <t>Ashby Falls Community Hospital</t>
        </is>
      </c>
      <c r="C338" t="inlineStr">
        <is>
          <t>Labor &amp; Delivery</t>
        </is>
      </c>
      <c r="D338" t="n">
        <v>10</v>
      </c>
      <c r="E338" t="n">
        <v>7</v>
      </c>
      <c r="F338" s="32" t="n">
        <v>0.7</v>
      </c>
    </row>
    <row r="339">
      <c r="A339" s="25" t="n">
        <v>45974</v>
      </c>
      <c r="B339" t="inlineStr">
        <is>
          <t>Ashby Falls Community Hospital</t>
        </is>
      </c>
      <c r="C339" t="inlineStr">
        <is>
          <t>Labor &amp; Delivery</t>
        </is>
      </c>
      <c r="D339" t="n">
        <v>10</v>
      </c>
      <c r="E339" t="n">
        <v>6</v>
      </c>
      <c r="F339" s="32" t="n">
        <v>0.6</v>
      </c>
    </row>
    <row r="340">
      <c r="A340" s="25" t="n">
        <v>45975</v>
      </c>
      <c r="B340" t="inlineStr">
        <is>
          <t>Ashby Falls Community Hospital</t>
        </is>
      </c>
      <c r="C340" t="inlineStr">
        <is>
          <t>Labor &amp; Delivery</t>
        </is>
      </c>
      <c r="D340" t="n">
        <v>10</v>
      </c>
      <c r="E340" t="n">
        <v>6</v>
      </c>
      <c r="F340" s="32" t="n">
        <v>0.6</v>
      </c>
    </row>
    <row r="341">
      <c r="A341" s="25" t="n">
        <v>45976</v>
      </c>
      <c r="B341" t="inlineStr">
        <is>
          <t>Ashby Falls Community Hospital</t>
        </is>
      </c>
      <c r="C341" t="inlineStr">
        <is>
          <t>Labor &amp; Delivery</t>
        </is>
      </c>
      <c r="D341" t="n">
        <v>10</v>
      </c>
      <c r="E341" t="n">
        <v>5</v>
      </c>
      <c r="F341" s="32" t="n">
        <v>0.5</v>
      </c>
    </row>
    <row r="342">
      <c r="A342" s="25" t="n">
        <v>45977</v>
      </c>
      <c r="B342" t="inlineStr">
        <is>
          <t>Ashby Falls Community Hospital</t>
        </is>
      </c>
      <c r="C342" t="inlineStr">
        <is>
          <t>Labor &amp; Delivery</t>
        </is>
      </c>
      <c r="D342" t="n">
        <v>10</v>
      </c>
      <c r="E342" t="n">
        <v>6</v>
      </c>
      <c r="F342" s="32" t="n">
        <v>0.6</v>
      </c>
    </row>
    <row r="343">
      <c r="A343" s="25" t="n">
        <v>45978</v>
      </c>
      <c r="B343" t="inlineStr">
        <is>
          <t>Ashby Falls Community Hospital</t>
        </is>
      </c>
      <c r="C343" t="inlineStr">
        <is>
          <t>Labor &amp; Delivery</t>
        </is>
      </c>
      <c r="D343" t="n">
        <v>10</v>
      </c>
      <c r="E343" t="n">
        <v>6</v>
      </c>
      <c r="F343" s="32" t="n">
        <v>0.6</v>
      </c>
    </row>
    <row r="344">
      <c r="A344" s="25" t="n">
        <v>45979</v>
      </c>
      <c r="B344" t="inlineStr">
        <is>
          <t>Ashby Falls Community Hospital</t>
        </is>
      </c>
      <c r="C344" t="inlineStr">
        <is>
          <t>Labor &amp; Delivery</t>
        </is>
      </c>
      <c r="D344" t="n">
        <v>10</v>
      </c>
      <c r="E344" t="n">
        <v>6</v>
      </c>
      <c r="F344" s="32" t="n">
        <v>0.6</v>
      </c>
    </row>
    <row r="345">
      <c r="A345" s="25" t="n">
        <v>45980</v>
      </c>
      <c r="B345" t="inlineStr">
        <is>
          <t>Ashby Falls Community Hospital</t>
        </is>
      </c>
      <c r="C345" t="inlineStr">
        <is>
          <t>Labor &amp; Delivery</t>
        </is>
      </c>
      <c r="D345" t="n">
        <v>10</v>
      </c>
      <c r="E345" t="n">
        <v>6</v>
      </c>
      <c r="F345" s="32" t="n">
        <v>0.6</v>
      </c>
    </row>
    <row r="346">
      <c r="A346" s="25" t="n">
        <v>45981</v>
      </c>
      <c r="B346" t="inlineStr">
        <is>
          <t>Ashby Falls Community Hospital</t>
        </is>
      </c>
      <c r="C346" t="inlineStr">
        <is>
          <t>Labor &amp; Delivery</t>
        </is>
      </c>
      <c r="D346" t="n">
        <v>10</v>
      </c>
      <c r="E346" t="n">
        <v>6</v>
      </c>
      <c r="F346" s="32" t="n">
        <v>0.6</v>
      </c>
    </row>
    <row r="347">
      <c r="A347" s="25" t="n">
        <v>45982</v>
      </c>
      <c r="B347" t="inlineStr">
        <is>
          <t>Ashby Falls Community Hospital</t>
        </is>
      </c>
      <c r="C347" t="inlineStr">
        <is>
          <t>Labor &amp; Delivery</t>
        </is>
      </c>
      <c r="D347" t="n">
        <v>10</v>
      </c>
      <c r="E347" t="n">
        <v>5</v>
      </c>
      <c r="F347" s="32" t="n">
        <v>0.5</v>
      </c>
    </row>
    <row r="348">
      <c r="A348" s="25" t="n">
        <v>45983</v>
      </c>
      <c r="B348" t="inlineStr">
        <is>
          <t>Ashby Falls Community Hospital</t>
        </is>
      </c>
      <c r="C348" t="inlineStr">
        <is>
          <t>Labor &amp; Delivery</t>
        </is>
      </c>
      <c r="D348" t="n">
        <v>10</v>
      </c>
      <c r="E348" t="n">
        <v>5</v>
      </c>
      <c r="F348" s="32" t="n">
        <v>0.5</v>
      </c>
    </row>
    <row r="349">
      <c r="A349" s="25" t="n">
        <v>45984</v>
      </c>
      <c r="B349" t="inlineStr">
        <is>
          <t>Ashby Falls Community Hospital</t>
        </is>
      </c>
      <c r="C349" t="inlineStr">
        <is>
          <t>Labor &amp; Delivery</t>
        </is>
      </c>
      <c r="D349" t="n">
        <v>10</v>
      </c>
      <c r="E349" t="n">
        <v>5</v>
      </c>
      <c r="F349" s="32" t="n">
        <v>0.5</v>
      </c>
    </row>
    <row r="350">
      <c r="A350" s="25" t="n">
        <v>45985</v>
      </c>
      <c r="B350" t="inlineStr">
        <is>
          <t>Ashby Falls Community Hospital</t>
        </is>
      </c>
      <c r="C350" t="inlineStr">
        <is>
          <t>Labor &amp; Delivery</t>
        </is>
      </c>
      <c r="D350" t="n">
        <v>10</v>
      </c>
      <c r="E350" t="n">
        <v>5</v>
      </c>
      <c r="F350" s="32" t="n">
        <v>0.5</v>
      </c>
    </row>
    <row r="351">
      <c r="A351" s="25" t="n">
        <v>45986</v>
      </c>
      <c r="B351" t="inlineStr">
        <is>
          <t>Ashby Falls Community Hospital</t>
        </is>
      </c>
      <c r="C351" t="inlineStr">
        <is>
          <t>Labor &amp; Delivery</t>
        </is>
      </c>
      <c r="D351" t="n">
        <v>10</v>
      </c>
      <c r="E351" t="n">
        <v>6</v>
      </c>
      <c r="F351" s="32" t="n">
        <v>0.6</v>
      </c>
    </row>
    <row r="352">
      <c r="A352" s="25" t="n">
        <v>45962</v>
      </c>
      <c r="B352" t="inlineStr">
        <is>
          <t>Cedar Ridge Medical Center</t>
        </is>
      </c>
      <c r="C352" t="inlineStr">
        <is>
          <t>Medical-Surgical</t>
        </is>
      </c>
      <c r="D352" t="n">
        <v>30</v>
      </c>
      <c r="E352" t="n">
        <v>28</v>
      </c>
      <c r="F352" s="32" t="n">
        <v>0.9333333333333333</v>
      </c>
    </row>
    <row r="353">
      <c r="A353" s="25" t="n">
        <v>45963</v>
      </c>
      <c r="B353" t="inlineStr">
        <is>
          <t>Cedar Ridge Medical Center</t>
        </is>
      </c>
      <c r="C353" t="inlineStr">
        <is>
          <t>Medical-Surgical</t>
        </is>
      </c>
      <c r="D353" t="n">
        <v>30</v>
      </c>
      <c r="E353" t="n">
        <v>28</v>
      </c>
      <c r="F353" s="32" t="n">
        <v>0.9333333333333333</v>
      </c>
    </row>
    <row r="354">
      <c r="A354" s="25" t="n">
        <v>45964</v>
      </c>
      <c r="B354" t="inlineStr">
        <is>
          <t>Cedar Ridge Medical Center</t>
        </is>
      </c>
      <c r="C354" t="inlineStr">
        <is>
          <t>Medical-Surgical</t>
        </is>
      </c>
      <c r="D354" t="n">
        <v>30</v>
      </c>
      <c r="E354" t="n">
        <v>29</v>
      </c>
      <c r="F354" s="32" t="n">
        <v>0.9666666666666667</v>
      </c>
    </row>
    <row r="355">
      <c r="A355" s="25" t="n">
        <v>45965</v>
      </c>
      <c r="B355" t="inlineStr">
        <is>
          <t>Cedar Ridge Medical Center</t>
        </is>
      </c>
      <c r="C355" t="inlineStr">
        <is>
          <t>Medical-Surgical</t>
        </is>
      </c>
      <c r="D355" t="n">
        <v>30</v>
      </c>
      <c r="E355" t="n">
        <v>29</v>
      </c>
      <c r="F355" s="32" t="n">
        <v>0.9666666666666667</v>
      </c>
    </row>
    <row r="356">
      <c r="A356" s="25" t="n">
        <v>45966</v>
      </c>
      <c r="B356" t="inlineStr">
        <is>
          <t>Cedar Ridge Medical Center</t>
        </is>
      </c>
      <c r="C356" t="inlineStr">
        <is>
          <t>Medical-Surgical</t>
        </is>
      </c>
      <c r="D356" t="n">
        <v>30</v>
      </c>
      <c r="E356" t="n">
        <v>29</v>
      </c>
      <c r="F356" s="32" t="n">
        <v>0.9666666666666667</v>
      </c>
    </row>
    <row r="357">
      <c r="A357" s="25" t="n">
        <v>45967</v>
      </c>
      <c r="B357" t="inlineStr">
        <is>
          <t>Cedar Ridge Medical Center</t>
        </is>
      </c>
      <c r="C357" t="inlineStr">
        <is>
          <t>Medical-Surgical</t>
        </is>
      </c>
      <c r="D357" t="n">
        <v>30</v>
      </c>
      <c r="E357" t="n">
        <v>28</v>
      </c>
      <c r="F357" s="32" t="n">
        <v>0.9333333333333333</v>
      </c>
    </row>
    <row r="358">
      <c r="A358" s="25" t="n">
        <v>45968</v>
      </c>
      <c r="B358" t="inlineStr">
        <is>
          <t>Cedar Ridge Medical Center</t>
        </is>
      </c>
      <c r="C358" t="inlineStr">
        <is>
          <t>Medical-Surgical</t>
        </is>
      </c>
      <c r="D358" t="n">
        <v>30</v>
      </c>
      <c r="E358" t="n">
        <v>28</v>
      </c>
      <c r="F358" s="32" t="n">
        <v>0.9333333333333333</v>
      </c>
    </row>
    <row r="359">
      <c r="A359" s="25" t="n">
        <v>45969</v>
      </c>
      <c r="B359" t="inlineStr">
        <is>
          <t>Cedar Ridge Medical Center</t>
        </is>
      </c>
      <c r="C359" t="inlineStr">
        <is>
          <t>Medical-Surgical</t>
        </is>
      </c>
      <c r="D359" t="n">
        <v>30</v>
      </c>
      <c r="E359" t="n">
        <v>29</v>
      </c>
      <c r="F359" s="32" t="n">
        <v>0.9666666666666667</v>
      </c>
    </row>
    <row r="360">
      <c r="A360" s="25" t="n">
        <v>45970</v>
      </c>
      <c r="B360" t="inlineStr">
        <is>
          <t>Cedar Ridge Medical Center</t>
        </is>
      </c>
      <c r="C360" t="inlineStr">
        <is>
          <t>Medical-Surgical</t>
        </is>
      </c>
      <c r="D360" t="n">
        <v>30</v>
      </c>
      <c r="E360" t="n">
        <v>27</v>
      </c>
      <c r="F360" s="32" t="n">
        <v>0.9</v>
      </c>
    </row>
    <row r="361">
      <c r="A361" s="25" t="n">
        <v>45971</v>
      </c>
      <c r="B361" t="inlineStr">
        <is>
          <t>Cedar Ridge Medical Center</t>
        </is>
      </c>
      <c r="C361" t="inlineStr">
        <is>
          <t>Medical-Surgical</t>
        </is>
      </c>
      <c r="D361" t="n">
        <v>30</v>
      </c>
      <c r="E361" t="n">
        <v>26</v>
      </c>
      <c r="F361" s="32" t="n">
        <v>0.8666666666666667</v>
      </c>
    </row>
    <row r="362">
      <c r="A362" s="25" t="n">
        <v>45972</v>
      </c>
      <c r="B362" t="inlineStr">
        <is>
          <t>Cedar Ridge Medical Center</t>
        </is>
      </c>
      <c r="C362" t="inlineStr">
        <is>
          <t>Medical-Surgical</t>
        </is>
      </c>
      <c r="D362" t="n">
        <v>30</v>
      </c>
      <c r="E362" t="n">
        <v>27</v>
      </c>
      <c r="F362" s="32" t="n">
        <v>0.9</v>
      </c>
    </row>
    <row r="363">
      <c r="A363" s="25" t="n">
        <v>45973</v>
      </c>
      <c r="B363" t="inlineStr">
        <is>
          <t>Cedar Ridge Medical Center</t>
        </is>
      </c>
      <c r="C363" t="inlineStr">
        <is>
          <t>Medical-Surgical</t>
        </is>
      </c>
      <c r="D363" t="n">
        <v>30</v>
      </c>
      <c r="E363" t="n">
        <v>27</v>
      </c>
      <c r="F363" s="32" t="n">
        <v>0.9</v>
      </c>
    </row>
    <row r="364">
      <c r="A364" s="25" t="n">
        <v>45974</v>
      </c>
      <c r="B364" t="inlineStr">
        <is>
          <t>Cedar Ridge Medical Center</t>
        </is>
      </c>
      <c r="C364" t="inlineStr">
        <is>
          <t>Medical-Surgical</t>
        </is>
      </c>
      <c r="D364" t="n">
        <v>30</v>
      </c>
      <c r="E364" t="n">
        <v>27</v>
      </c>
      <c r="F364" s="32" t="n">
        <v>0.9</v>
      </c>
    </row>
    <row r="365">
      <c r="A365" s="25" t="n">
        <v>45975</v>
      </c>
      <c r="B365" t="inlineStr">
        <is>
          <t>Cedar Ridge Medical Center</t>
        </is>
      </c>
      <c r="C365" t="inlineStr">
        <is>
          <t>Medical-Surgical</t>
        </is>
      </c>
      <c r="D365" t="n">
        <v>30</v>
      </c>
      <c r="E365" t="n">
        <v>25</v>
      </c>
      <c r="F365" s="32" t="n">
        <v>0.8333333333333334</v>
      </c>
    </row>
    <row r="366">
      <c r="A366" s="25" t="n">
        <v>45976</v>
      </c>
      <c r="B366" t="inlineStr">
        <is>
          <t>Cedar Ridge Medical Center</t>
        </is>
      </c>
      <c r="C366" t="inlineStr">
        <is>
          <t>Medical-Surgical</t>
        </is>
      </c>
      <c r="D366" t="n">
        <v>30</v>
      </c>
      <c r="E366" t="n">
        <v>25</v>
      </c>
      <c r="F366" s="32" t="n">
        <v>0.8333333333333334</v>
      </c>
    </row>
    <row r="367">
      <c r="A367" s="25" t="n">
        <v>45977</v>
      </c>
      <c r="B367" t="inlineStr">
        <is>
          <t>Cedar Ridge Medical Center</t>
        </is>
      </c>
      <c r="C367" t="inlineStr">
        <is>
          <t>Medical-Surgical</t>
        </is>
      </c>
      <c r="D367" t="n">
        <v>30</v>
      </c>
      <c r="E367" t="n">
        <v>26</v>
      </c>
      <c r="F367" s="32" t="n">
        <v>0.8666666666666667</v>
      </c>
    </row>
    <row r="368">
      <c r="A368" s="25" t="n">
        <v>45978</v>
      </c>
      <c r="B368" t="inlineStr">
        <is>
          <t>Cedar Ridge Medical Center</t>
        </is>
      </c>
      <c r="C368" t="inlineStr">
        <is>
          <t>Medical-Surgical</t>
        </is>
      </c>
      <c r="D368" t="n">
        <v>30</v>
      </c>
      <c r="E368" t="n">
        <v>28</v>
      </c>
      <c r="F368" s="32" t="n">
        <v>0.9333333333333333</v>
      </c>
    </row>
    <row r="369">
      <c r="A369" s="25" t="n">
        <v>45979</v>
      </c>
      <c r="B369" t="inlineStr">
        <is>
          <t>Cedar Ridge Medical Center</t>
        </is>
      </c>
      <c r="C369" t="inlineStr">
        <is>
          <t>Medical-Surgical</t>
        </is>
      </c>
      <c r="D369" t="n">
        <v>30</v>
      </c>
      <c r="E369" t="n">
        <v>28</v>
      </c>
      <c r="F369" s="32" t="n">
        <v>0.9333333333333333</v>
      </c>
    </row>
    <row r="370">
      <c r="A370" s="25" t="n">
        <v>45980</v>
      </c>
      <c r="B370" t="inlineStr">
        <is>
          <t>Cedar Ridge Medical Center</t>
        </is>
      </c>
      <c r="C370" t="inlineStr">
        <is>
          <t>Medical-Surgical</t>
        </is>
      </c>
      <c r="D370" t="n">
        <v>30</v>
      </c>
      <c r="E370" t="n">
        <v>28</v>
      </c>
      <c r="F370" s="32" t="n">
        <v>0.9333333333333333</v>
      </c>
    </row>
    <row r="371">
      <c r="A371" s="25" t="n">
        <v>45981</v>
      </c>
      <c r="B371" t="inlineStr">
        <is>
          <t>Cedar Ridge Medical Center</t>
        </is>
      </c>
      <c r="C371" t="inlineStr">
        <is>
          <t>Medical-Surgical</t>
        </is>
      </c>
      <c r="D371" t="n">
        <v>30</v>
      </c>
      <c r="E371" t="n">
        <v>27</v>
      </c>
      <c r="F371" s="32" t="n">
        <v>0.9</v>
      </c>
    </row>
    <row r="372">
      <c r="A372" s="25" t="n">
        <v>45982</v>
      </c>
      <c r="B372" t="inlineStr">
        <is>
          <t>Cedar Ridge Medical Center</t>
        </is>
      </c>
      <c r="C372" t="inlineStr">
        <is>
          <t>Medical-Surgical</t>
        </is>
      </c>
      <c r="D372" t="n">
        <v>30</v>
      </c>
      <c r="E372" t="n">
        <v>26</v>
      </c>
      <c r="F372" s="32" t="n">
        <v>0.8666666666666667</v>
      </c>
    </row>
    <row r="373">
      <c r="A373" s="25" t="n">
        <v>45983</v>
      </c>
      <c r="B373" t="inlineStr">
        <is>
          <t>Cedar Ridge Medical Center</t>
        </is>
      </c>
      <c r="C373" t="inlineStr">
        <is>
          <t>Medical-Surgical</t>
        </is>
      </c>
      <c r="D373" t="n">
        <v>30</v>
      </c>
      <c r="E373" t="n">
        <v>24</v>
      </c>
      <c r="F373" s="32" t="n">
        <v>0.8</v>
      </c>
    </row>
    <row r="374">
      <c r="A374" s="25" t="n">
        <v>45984</v>
      </c>
      <c r="B374" t="inlineStr">
        <is>
          <t>Cedar Ridge Medical Center</t>
        </is>
      </c>
      <c r="C374" t="inlineStr">
        <is>
          <t>Medical-Surgical</t>
        </is>
      </c>
      <c r="D374" t="n">
        <v>30</v>
      </c>
      <c r="E374" t="n">
        <v>25</v>
      </c>
      <c r="F374" s="32" t="n">
        <v>0.8333333333333334</v>
      </c>
    </row>
    <row r="375">
      <c r="A375" s="25" t="n">
        <v>45985</v>
      </c>
      <c r="B375" t="inlineStr">
        <is>
          <t>Cedar Ridge Medical Center</t>
        </is>
      </c>
      <c r="C375" t="inlineStr">
        <is>
          <t>Medical-Surgical</t>
        </is>
      </c>
      <c r="D375" t="n">
        <v>30</v>
      </c>
      <c r="E375" t="n">
        <v>28</v>
      </c>
      <c r="F375" s="32" t="n">
        <v>0.9333333333333333</v>
      </c>
    </row>
    <row r="376">
      <c r="A376" s="25" t="n">
        <v>45986</v>
      </c>
      <c r="B376" t="inlineStr">
        <is>
          <t>Cedar Ridge Medical Center</t>
        </is>
      </c>
      <c r="C376" t="inlineStr">
        <is>
          <t>Medical-Surgical</t>
        </is>
      </c>
      <c r="D376" t="n">
        <v>30</v>
      </c>
      <c r="E376" t="n">
        <v>27</v>
      </c>
      <c r="F376" s="32" t="n">
        <v>0.9</v>
      </c>
    </row>
    <row r="377">
      <c r="A377" s="25" t="n">
        <v>45962</v>
      </c>
      <c r="B377" t="inlineStr">
        <is>
          <t>Cedar Ridge Medical Center</t>
        </is>
      </c>
      <c r="C377" t="inlineStr">
        <is>
          <t>Cardiac Step-Down</t>
        </is>
      </c>
      <c r="D377" t="n">
        <v>16</v>
      </c>
      <c r="E377" t="n">
        <v>13</v>
      </c>
      <c r="F377" s="32" t="n">
        <v>0.8125</v>
      </c>
    </row>
    <row r="378">
      <c r="A378" s="25" t="n">
        <v>45963</v>
      </c>
      <c r="B378" t="inlineStr">
        <is>
          <t>Cedar Ridge Medical Center</t>
        </is>
      </c>
      <c r="C378" t="inlineStr">
        <is>
          <t>Cardiac Step-Down</t>
        </is>
      </c>
      <c r="D378" t="n">
        <v>16</v>
      </c>
      <c r="E378" t="n">
        <v>13</v>
      </c>
      <c r="F378" s="32" t="n">
        <v>0.8125</v>
      </c>
    </row>
    <row r="379">
      <c r="A379" s="25" t="n">
        <v>45964</v>
      </c>
      <c r="B379" t="inlineStr">
        <is>
          <t>Cedar Ridge Medical Center</t>
        </is>
      </c>
      <c r="C379" t="inlineStr">
        <is>
          <t>Cardiac Step-Down</t>
        </is>
      </c>
      <c r="D379" t="n">
        <v>16</v>
      </c>
      <c r="E379" t="n">
        <v>14</v>
      </c>
      <c r="F379" s="32" t="n">
        <v>0.875</v>
      </c>
    </row>
    <row r="380">
      <c r="A380" s="25" t="n">
        <v>45965</v>
      </c>
      <c r="B380" t="inlineStr">
        <is>
          <t>Cedar Ridge Medical Center</t>
        </is>
      </c>
      <c r="C380" t="inlineStr">
        <is>
          <t>Cardiac Step-Down</t>
        </is>
      </c>
      <c r="D380" t="n">
        <v>16</v>
      </c>
      <c r="E380" t="n">
        <v>13</v>
      </c>
      <c r="F380" s="32" t="n">
        <v>0.8125</v>
      </c>
    </row>
    <row r="381">
      <c r="A381" s="25" t="n">
        <v>45966</v>
      </c>
      <c r="B381" t="inlineStr">
        <is>
          <t>Cedar Ridge Medical Center</t>
        </is>
      </c>
      <c r="C381" t="inlineStr">
        <is>
          <t>Cardiac Step-Down</t>
        </is>
      </c>
      <c r="D381" t="n">
        <v>16</v>
      </c>
      <c r="E381" t="n">
        <v>14</v>
      </c>
      <c r="F381" s="32" t="n">
        <v>0.875</v>
      </c>
    </row>
    <row r="382">
      <c r="A382" s="25" t="n">
        <v>45967</v>
      </c>
      <c r="B382" t="inlineStr">
        <is>
          <t>Cedar Ridge Medical Center</t>
        </is>
      </c>
      <c r="C382" t="inlineStr">
        <is>
          <t>Cardiac Step-Down</t>
        </is>
      </c>
      <c r="D382" t="n">
        <v>16</v>
      </c>
      <c r="E382" t="n">
        <v>14</v>
      </c>
      <c r="F382" s="32" t="n">
        <v>0.875</v>
      </c>
    </row>
    <row r="383">
      <c r="A383" s="25" t="n">
        <v>45968</v>
      </c>
      <c r="B383" t="inlineStr">
        <is>
          <t>Cedar Ridge Medical Center</t>
        </is>
      </c>
      <c r="C383" t="inlineStr">
        <is>
          <t>Cardiac Step-Down</t>
        </is>
      </c>
      <c r="D383" t="n">
        <v>16</v>
      </c>
      <c r="E383" t="n">
        <v>13</v>
      </c>
      <c r="F383" s="32" t="n">
        <v>0.8125</v>
      </c>
    </row>
    <row r="384">
      <c r="A384" s="25" t="n">
        <v>45969</v>
      </c>
      <c r="B384" t="inlineStr">
        <is>
          <t>Cedar Ridge Medical Center</t>
        </is>
      </c>
      <c r="C384" t="inlineStr">
        <is>
          <t>Cardiac Step-Down</t>
        </is>
      </c>
      <c r="D384" t="n">
        <v>16</v>
      </c>
      <c r="E384" t="n">
        <v>14</v>
      </c>
      <c r="F384" s="32" t="n">
        <v>0.875</v>
      </c>
    </row>
    <row r="385">
      <c r="A385" s="25" t="n">
        <v>45970</v>
      </c>
      <c r="B385" t="inlineStr">
        <is>
          <t>Cedar Ridge Medical Center</t>
        </is>
      </c>
      <c r="C385" t="inlineStr">
        <is>
          <t>Cardiac Step-Down</t>
        </is>
      </c>
      <c r="D385" t="n">
        <v>16</v>
      </c>
      <c r="E385" t="n">
        <v>13</v>
      </c>
      <c r="F385" s="32" t="n">
        <v>0.8125</v>
      </c>
    </row>
    <row r="386">
      <c r="A386" s="25" t="n">
        <v>45971</v>
      </c>
      <c r="B386" t="inlineStr">
        <is>
          <t>Cedar Ridge Medical Center</t>
        </is>
      </c>
      <c r="C386" t="inlineStr">
        <is>
          <t>Cardiac Step-Down</t>
        </is>
      </c>
      <c r="D386" t="n">
        <v>16</v>
      </c>
      <c r="E386" t="n">
        <v>14</v>
      </c>
      <c r="F386" s="32" t="n">
        <v>0.875</v>
      </c>
    </row>
    <row r="387">
      <c r="A387" s="25" t="n">
        <v>45972</v>
      </c>
      <c r="B387" t="inlineStr">
        <is>
          <t>Cedar Ridge Medical Center</t>
        </is>
      </c>
      <c r="C387" t="inlineStr">
        <is>
          <t>Cardiac Step-Down</t>
        </is>
      </c>
      <c r="D387" t="n">
        <v>16</v>
      </c>
      <c r="E387" t="n">
        <v>13</v>
      </c>
      <c r="F387" s="32" t="n">
        <v>0.8125</v>
      </c>
    </row>
    <row r="388">
      <c r="A388" s="25" t="n">
        <v>45973</v>
      </c>
      <c r="B388" t="inlineStr">
        <is>
          <t>Cedar Ridge Medical Center</t>
        </is>
      </c>
      <c r="C388" t="inlineStr">
        <is>
          <t>Cardiac Step-Down</t>
        </is>
      </c>
      <c r="D388" t="n">
        <v>16</v>
      </c>
      <c r="E388" t="n">
        <v>14</v>
      </c>
      <c r="F388" s="32" t="n">
        <v>0.875</v>
      </c>
    </row>
    <row r="389">
      <c r="A389" s="25" t="n">
        <v>45974</v>
      </c>
      <c r="B389" t="inlineStr">
        <is>
          <t>Cedar Ridge Medical Center</t>
        </is>
      </c>
      <c r="C389" t="inlineStr">
        <is>
          <t>Cardiac Step-Down</t>
        </is>
      </c>
      <c r="D389" t="n">
        <v>16</v>
      </c>
      <c r="E389" t="n">
        <v>13</v>
      </c>
      <c r="F389" s="32" t="n">
        <v>0.8125</v>
      </c>
    </row>
    <row r="390">
      <c r="A390" s="25" t="n">
        <v>45975</v>
      </c>
      <c r="B390" t="inlineStr">
        <is>
          <t>Cedar Ridge Medical Center</t>
        </is>
      </c>
      <c r="C390" t="inlineStr">
        <is>
          <t>Cardiac Step-Down</t>
        </is>
      </c>
      <c r="D390" t="n">
        <v>16</v>
      </c>
      <c r="E390" t="n">
        <v>13</v>
      </c>
      <c r="F390" s="32" t="n">
        <v>0.8125</v>
      </c>
    </row>
    <row r="391">
      <c r="A391" s="25" t="n">
        <v>45976</v>
      </c>
      <c r="B391" t="inlineStr">
        <is>
          <t>Cedar Ridge Medical Center</t>
        </is>
      </c>
      <c r="C391" t="inlineStr">
        <is>
          <t>Cardiac Step-Down</t>
        </is>
      </c>
      <c r="D391" t="n">
        <v>16</v>
      </c>
      <c r="E391" t="n">
        <v>13</v>
      </c>
      <c r="F391" s="32" t="n">
        <v>0.8125</v>
      </c>
    </row>
    <row r="392">
      <c r="A392" s="25" t="n">
        <v>45977</v>
      </c>
      <c r="B392" t="inlineStr">
        <is>
          <t>Cedar Ridge Medical Center</t>
        </is>
      </c>
      <c r="C392" t="inlineStr">
        <is>
          <t>Cardiac Step-Down</t>
        </is>
      </c>
      <c r="D392" t="n">
        <v>16</v>
      </c>
      <c r="E392" t="n">
        <v>12</v>
      </c>
      <c r="F392" s="32" t="n">
        <v>0.75</v>
      </c>
    </row>
    <row r="393">
      <c r="A393" s="25" t="n">
        <v>45978</v>
      </c>
      <c r="B393" t="inlineStr">
        <is>
          <t>Cedar Ridge Medical Center</t>
        </is>
      </c>
      <c r="C393" t="inlineStr">
        <is>
          <t>Cardiac Step-Down</t>
        </is>
      </c>
      <c r="D393" t="n">
        <v>16</v>
      </c>
      <c r="E393" t="n">
        <v>12</v>
      </c>
      <c r="F393" s="32" t="n">
        <v>0.75</v>
      </c>
    </row>
    <row r="394">
      <c r="A394" s="25" t="n">
        <v>45979</v>
      </c>
      <c r="B394" t="inlineStr">
        <is>
          <t>Cedar Ridge Medical Center</t>
        </is>
      </c>
      <c r="C394" t="inlineStr">
        <is>
          <t>Cardiac Step-Down</t>
        </is>
      </c>
      <c r="D394" t="n">
        <v>16</v>
      </c>
      <c r="E394" t="n">
        <v>13</v>
      </c>
      <c r="F394" s="32" t="n">
        <v>0.8125</v>
      </c>
    </row>
    <row r="395">
      <c r="A395" s="25" t="n">
        <v>45980</v>
      </c>
      <c r="B395" t="inlineStr">
        <is>
          <t>Cedar Ridge Medical Center</t>
        </is>
      </c>
      <c r="C395" t="inlineStr">
        <is>
          <t>Cardiac Step-Down</t>
        </is>
      </c>
      <c r="D395" t="n">
        <v>16</v>
      </c>
      <c r="E395" t="n">
        <v>14</v>
      </c>
      <c r="F395" s="32" t="n">
        <v>0.875</v>
      </c>
    </row>
    <row r="396">
      <c r="A396" s="25" t="n">
        <v>45981</v>
      </c>
      <c r="B396" t="inlineStr">
        <is>
          <t>Cedar Ridge Medical Center</t>
        </is>
      </c>
      <c r="C396" t="inlineStr">
        <is>
          <t>Cardiac Step-Down</t>
        </is>
      </c>
      <c r="D396" t="n">
        <v>16</v>
      </c>
      <c r="E396" t="n">
        <v>13</v>
      </c>
      <c r="F396" s="32" t="n">
        <v>0.8125</v>
      </c>
    </row>
    <row r="397">
      <c r="A397" s="25" t="n">
        <v>45982</v>
      </c>
      <c r="B397" t="inlineStr">
        <is>
          <t>Cedar Ridge Medical Center</t>
        </is>
      </c>
      <c r="C397" t="inlineStr">
        <is>
          <t>Cardiac Step-Down</t>
        </is>
      </c>
      <c r="D397" t="n">
        <v>16</v>
      </c>
      <c r="E397" t="n">
        <v>14</v>
      </c>
      <c r="F397" s="32" t="n">
        <v>0.875</v>
      </c>
    </row>
    <row r="398">
      <c r="A398" s="25" t="n">
        <v>45983</v>
      </c>
      <c r="B398" t="inlineStr">
        <is>
          <t>Cedar Ridge Medical Center</t>
        </is>
      </c>
      <c r="C398" t="inlineStr">
        <is>
          <t>Cardiac Step-Down</t>
        </is>
      </c>
      <c r="D398" t="n">
        <v>16</v>
      </c>
      <c r="E398" t="n">
        <v>13</v>
      </c>
      <c r="F398" s="32" t="n">
        <v>0.8125</v>
      </c>
    </row>
    <row r="399">
      <c r="A399" s="25" t="n">
        <v>45984</v>
      </c>
      <c r="B399" t="inlineStr">
        <is>
          <t>Cedar Ridge Medical Center</t>
        </is>
      </c>
      <c r="C399" t="inlineStr">
        <is>
          <t>Cardiac Step-Down</t>
        </is>
      </c>
      <c r="D399" t="n">
        <v>16</v>
      </c>
      <c r="E399" t="n">
        <v>13</v>
      </c>
      <c r="F399" s="32" t="n">
        <v>0.8125</v>
      </c>
    </row>
    <row r="400">
      <c r="A400" s="25" t="n">
        <v>45985</v>
      </c>
      <c r="B400" t="inlineStr">
        <is>
          <t>Cedar Ridge Medical Center</t>
        </is>
      </c>
      <c r="C400" t="inlineStr">
        <is>
          <t>Cardiac Step-Down</t>
        </is>
      </c>
      <c r="D400" t="n">
        <v>16</v>
      </c>
      <c r="E400" t="n">
        <v>14</v>
      </c>
      <c r="F400" s="32" t="n">
        <v>0.875</v>
      </c>
    </row>
    <row r="401">
      <c r="A401" s="25" t="n">
        <v>45986</v>
      </c>
      <c r="B401" t="inlineStr">
        <is>
          <t>Cedar Ridge Medical Center</t>
        </is>
      </c>
      <c r="C401" t="inlineStr">
        <is>
          <t>Cardiac Step-Down</t>
        </is>
      </c>
      <c r="D401" t="n">
        <v>16</v>
      </c>
      <c r="E401" t="n">
        <v>14</v>
      </c>
      <c r="F401" s="32" t="n">
        <v>0.875</v>
      </c>
    </row>
    <row r="402">
      <c r="A402" s="25" t="n">
        <v>45962</v>
      </c>
      <c r="B402" t="inlineStr">
        <is>
          <t>Cedar Ridge Medical Center</t>
        </is>
      </c>
      <c r="C402" t="inlineStr">
        <is>
          <t>Intensive Care Unit</t>
        </is>
      </c>
      <c r="D402" t="n">
        <v>12</v>
      </c>
      <c r="E402" t="n">
        <v>9</v>
      </c>
      <c r="F402" s="32" t="n">
        <v>0.75</v>
      </c>
    </row>
    <row r="403">
      <c r="A403" s="25" t="n">
        <v>45963</v>
      </c>
      <c r="B403" t="inlineStr">
        <is>
          <t>Cedar Ridge Medical Center</t>
        </is>
      </c>
      <c r="C403" t="inlineStr">
        <is>
          <t>Intensive Care Unit</t>
        </is>
      </c>
      <c r="D403" t="n">
        <v>12</v>
      </c>
      <c r="E403" t="n">
        <v>9</v>
      </c>
      <c r="F403" s="32" t="n">
        <v>0.75</v>
      </c>
    </row>
    <row r="404">
      <c r="A404" s="25" t="n">
        <v>45964</v>
      </c>
      <c r="B404" t="inlineStr">
        <is>
          <t>Cedar Ridge Medical Center</t>
        </is>
      </c>
      <c r="C404" t="inlineStr">
        <is>
          <t>Intensive Care Unit</t>
        </is>
      </c>
      <c r="D404" t="n">
        <v>12</v>
      </c>
      <c r="E404" t="n">
        <v>9</v>
      </c>
      <c r="F404" s="32" t="n">
        <v>0.75</v>
      </c>
    </row>
    <row r="405">
      <c r="A405" s="25" t="n">
        <v>45965</v>
      </c>
      <c r="B405" t="inlineStr">
        <is>
          <t>Cedar Ridge Medical Center</t>
        </is>
      </c>
      <c r="C405" t="inlineStr">
        <is>
          <t>Intensive Care Unit</t>
        </is>
      </c>
      <c r="D405" t="n">
        <v>12</v>
      </c>
      <c r="E405" t="n">
        <v>9</v>
      </c>
      <c r="F405" s="32" t="n">
        <v>0.75</v>
      </c>
    </row>
    <row r="406">
      <c r="A406" s="25" t="n">
        <v>45966</v>
      </c>
      <c r="B406" t="inlineStr">
        <is>
          <t>Cedar Ridge Medical Center</t>
        </is>
      </c>
      <c r="C406" t="inlineStr">
        <is>
          <t>Intensive Care Unit</t>
        </is>
      </c>
      <c r="D406" t="n">
        <v>12</v>
      </c>
      <c r="E406" t="n">
        <v>9</v>
      </c>
      <c r="F406" s="32" t="n">
        <v>0.75</v>
      </c>
    </row>
    <row r="407">
      <c r="A407" s="25" t="n">
        <v>45967</v>
      </c>
      <c r="B407" t="inlineStr">
        <is>
          <t>Cedar Ridge Medical Center</t>
        </is>
      </c>
      <c r="C407" t="inlineStr">
        <is>
          <t>Intensive Care Unit</t>
        </is>
      </c>
      <c r="D407" t="n">
        <v>12</v>
      </c>
      <c r="E407" t="n">
        <v>10</v>
      </c>
      <c r="F407" s="32" t="n">
        <v>0.8333333333333334</v>
      </c>
    </row>
    <row r="408">
      <c r="A408" s="25" t="n">
        <v>45968</v>
      </c>
      <c r="B408" t="inlineStr">
        <is>
          <t>Cedar Ridge Medical Center</t>
        </is>
      </c>
      <c r="C408" t="inlineStr">
        <is>
          <t>Intensive Care Unit</t>
        </is>
      </c>
      <c r="D408" t="n">
        <v>12</v>
      </c>
      <c r="E408" t="n">
        <v>9</v>
      </c>
      <c r="F408" s="32" t="n">
        <v>0.75</v>
      </c>
    </row>
    <row r="409">
      <c r="A409" s="25" t="n">
        <v>45969</v>
      </c>
      <c r="B409" t="inlineStr">
        <is>
          <t>Cedar Ridge Medical Center</t>
        </is>
      </c>
      <c r="C409" t="inlineStr">
        <is>
          <t>Intensive Care Unit</t>
        </is>
      </c>
      <c r="D409" t="n">
        <v>12</v>
      </c>
      <c r="E409" t="n">
        <v>9</v>
      </c>
      <c r="F409" s="32" t="n">
        <v>0.75</v>
      </c>
    </row>
    <row r="410">
      <c r="A410" s="25" t="n">
        <v>45970</v>
      </c>
      <c r="B410" t="inlineStr">
        <is>
          <t>Cedar Ridge Medical Center</t>
        </is>
      </c>
      <c r="C410" t="inlineStr">
        <is>
          <t>Intensive Care Unit</t>
        </is>
      </c>
      <c r="D410" t="n">
        <v>12</v>
      </c>
      <c r="E410" t="n">
        <v>9</v>
      </c>
      <c r="F410" s="32" t="n">
        <v>0.75</v>
      </c>
    </row>
    <row r="411">
      <c r="A411" s="25" t="n">
        <v>45971</v>
      </c>
      <c r="B411" t="inlineStr">
        <is>
          <t>Cedar Ridge Medical Center</t>
        </is>
      </c>
      <c r="C411" t="inlineStr">
        <is>
          <t>Intensive Care Unit</t>
        </is>
      </c>
      <c r="D411" t="n">
        <v>12</v>
      </c>
      <c r="E411" t="n">
        <v>9</v>
      </c>
      <c r="F411" s="32" t="n">
        <v>0.75</v>
      </c>
    </row>
    <row r="412">
      <c r="A412" s="25" t="n">
        <v>45972</v>
      </c>
      <c r="B412" t="inlineStr">
        <is>
          <t>Cedar Ridge Medical Center</t>
        </is>
      </c>
      <c r="C412" t="inlineStr">
        <is>
          <t>Intensive Care Unit</t>
        </is>
      </c>
      <c r="D412" t="n">
        <v>12</v>
      </c>
      <c r="E412" t="n">
        <v>10</v>
      </c>
      <c r="F412" s="32" t="n">
        <v>0.8333333333333334</v>
      </c>
    </row>
    <row r="413">
      <c r="A413" s="25" t="n">
        <v>45973</v>
      </c>
      <c r="B413" t="inlineStr">
        <is>
          <t>Cedar Ridge Medical Center</t>
        </is>
      </c>
      <c r="C413" t="inlineStr">
        <is>
          <t>Intensive Care Unit</t>
        </is>
      </c>
      <c r="D413" t="n">
        <v>12</v>
      </c>
      <c r="E413" t="n">
        <v>10</v>
      </c>
      <c r="F413" s="32" t="n">
        <v>0.8333333333333334</v>
      </c>
    </row>
    <row r="414">
      <c r="A414" s="25" t="n">
        <v>45974</v>
      </c>
      <c r="B414" t="inlineStr">
        <is>
          <t>Cedar Ridge Medical Center</t>
        </is>
      </c>
      <c r="C414" t="inlineStr">
        <is>
          <t>Intensive Care Unit</t>
        </is>
      </c>
      <c r="D414" t="n">
        <v>12</v>
      </c>
      <c r="E414" t="n">
        <v>11</v>
      </c>
      <c r="F414" s="32" t="n">
        <v>0.9166666666666666</v>
      </c>
    </row>
    <row r="415">
      <c r="A415" s="25" t="n">
        <v>45975</v>
      </c>
      <c r="B415" t="inlineStr">
        <is>
          <t>Cedar Ridge Medical Center</t>
        </is>
      </c>
      <c r="C415" t="inlineStr">
        <is>
          <t>Intensive Care Unit</t>
        </is>
      </c>
      <c r="D415" t="n">
        <v>12</v>
      </c>
      <c r="E415" t="n">
        <v>11</v>
      </c>
      <c r="F415" s="32" t="n">
        <v>0.9166666666666666</v>
      </c>
    </row>
    <row r="416">
      <c r="A416" s="25" t="n">
        <v>45976</v>
      </c>
      <c r="B416" t="inlineStr">
        <is>
          <t>Cedar Ridge Medical Center</t>
        </is>
      </c>
      <c r="C416" t="inlineStr">
        <is>
          <t>Intensive Care Unit</t>
        </is>
      </c>
      <c r="D416" t="n">
        <v>12</v>
      </c>
      <c r="E416" t="n">
        <v>10</v>
      </c>
      <c r="F416" s="32" t="n">
        <v>0.8333333333333334</v>
      </c>
    </row>
    <row r="417">
      <c r="A417" s="25" t="n">
        <v>45977</v>
      </c>
      <c r="B417" t="inlineStr">
        <is>
          <t>Cedar Ridge Medical Center</t>
        </is>
      </c>
      <c r="C417" t="inlineStr">
        <is>
          <t>Intensive Care Unit</t>
        </is>
      </c>
      <c r="D417" t="n">
        <v>12</v>
      </c>
      <c r="E417" t="n">
        <v>11</v>
      </c>
      <c r="F417" s="32" t="n">
        <v>0.9166666666666666</v>
      </c>
    </row>
    <row r="418">
      <c r="A418" s="25" t="n">
        <v>45978</v>
      </c>
      <c r="B418" t="inlineStr">
        <is>
          <t>Cedar Ridge Medical Center</t>
        </is>
      </c>
      <c r="C418" t="inlineStr">
        <is>
          <t>Intensive Care Unit</t>
        </is>
      </c>
      <c r="D418" t="n">
        <v>12</v>
      </c>
      <c r="E418" t="n">
        <v>11</v>
      </c>
      <c r="F418" s="32" t="n">
        <v>0.9166666666666666</v>
      </c>
    </row>
    <row r="419">
      <c r="A419" s="25" t="n">
        <v>45979</v>
      </c>
      <c r="B419" t="inlineStr">
        <is>
          <t>Cedar Ridge Medical Center</t>
        </is>
      </c>
      <c r="C419" t="inlineStr">
        <is>
          <t>Intensive Care Unit</t>
        </is>
      </c>
      <c r="D419" t="n">
        <v>12</v>
      </c>
      <c r="E419" t="n">
        <v>11</v>
      </c>
      <c r="F419" s="32" t="n">
        <v>0.9166666666666666</v>
      </c>
    </row>
    <row r="420">
      <c r="A420" s="25" t="n">
        <v>45980</v>
      </c>
      <c r="B420" t="inlineStr">
        <is>
          <t>Cedar Ridge Medical Center</t>
        </is>
      </c>
      <c r="C420" t="inlineStr">
        <is>
          <t>Intensive Care Unit</t>
        </is>
      </c>
      <c r="D420" t="n">
        <v>12</v>
      </c>
      <c r="E420" t="n">
        <v>11</v>
      </c>
      <c r="F420" s="32" t="n">
        <v>0.9166666666666666</v>
      </c>
    </row>
    <row r="421">
      <c r="A421" s="25" t="n">
        <v>45981</v>
      </c>
      <c r="B421" t="inlineStr">
        <is>
          <t>Cedar Ridge Medical Center</t>
        </is>
      </c>
      <c r="C421" t="inlineStr">
        <is>
          <t>Intensive Care Unit</t>
        </is>
      </c>
      <c r="D421" t="n">
        <v>12</v>
      </c>
      <c r="E421" t="n">
        <v>11</v>
      </c>
      <c r="F421" s="32" t="n">
        <v>0.9166666666666666</v>
      </c>
    </row>
    <row r="422">
      <c r="A422" s="25" t="n">
        <v>45982</v>
      </c>
      <c r="B422" t="inlineStr">
        <is>
          <t>Cedar Ridge Medical Center</t>
        </is>
      </c>
      <c r="C422" t="inlineStr">
        <is>
          <t>Intensive Care Unit</t>
        </is>
      </c>
      <c r="D422" t="n">
        <v>12</v>
      </c>
      <c r="E422" t="n">
        <v>11</v>
      </c>
      <c r="F422" s="32" t="n">
        <v>0.9166666666666666</v>
      </c>
    </row>
    <row r="423">
      <c r="A423" s="25" t="n">
        <v>45983</v>
      </c>
      <c r="B423" t="inlineStr">
        <is>
          <t>Cedar Ridge Medical Center</t>
        </is>
      </c>
      <c r="C423" t="inlineStr">
        <is>
          <t>Intensive Care Unit</t>
        </is>
      </c>
      <c r="D423" t="n">
        <v>12</v>
      </c>
      <c r="E423" t="n">
        <v>11</v>
      </c>
      <c r="F423" s="32" t="n">
        <v>0.9166666666666666</v>
      </c>
    </row>
    <row r="424">
      <c r="A424" s="25" t="n">
        <v>45984</v>
      </c>
      <c r="B424" t="inlineStr">
        <is>
          <t>Cedar Ridge Medical Center</t>
        </is>
      </c>
      <c r="C424" t="inlineStr">
        <is>
          <t>Intensive Care Unit</t>
        </is>
      </c>
      <c r="D424" t="n">
        <v>12</v>
      </c>
      <c r="E424" t="n">
        <v>10</v>
      </c>
      <c r="F424" s="32" t="n">
        <v>0.8333333333333334</v>
      </c>
    </row>
    <row r="425">
      <c r="A425" s="25" t="n">
        <v>45985</v>
      </c>
      <c r="B425" t="inlineStr">
        <is>
          <t>Cedar Ridge Medical Center</t>
        </is>
      </c>
      <c r="C425" t="inlineStr">
        <is>
          <t>Intensive Care Unit</t>
        </is>
      </c>
      <c r="D425" t="n">
        <v>12</v>
      </c>
      <c r="E425" t="n">
        <v>10</v>
      </c>
      <c r="F425" s="32" t="n">
        <v>0.8333333333333334</v>
      </c>
    </row>
    <row r="426">
      <c r="A426" s="25" t="n">
        <v>45986</v>
      </c>
      <c r="B426" t="inlineStr">
        <is>
          <t>Cedar Ridge Medical Center</t>
        </is>
      </c>
      <c r="C426" t="inlineStr">
        <is>
          <t>Intensive Care Unit</t>
        </is>
      </c>
      <c r="D426" t="n">
        <v>12</v>
      </c>
      <c r="E426" t="n">
        <v>11</v>
      </c>
      <c r="F426" s="32" t="n">
        <v>0.9166666666666666</v>
      </c>
    </row>
    <row r="427">
      <c r="A427" s="25" t="n">
        <v>45962</v>
      </c>
      <c r="B427" t="inlineStr">
        <is>
          <t>Cedar Ridge Medical Center</t>
        </is>
      </c>
      <c r="C427" t="inlineStr">
        <is>
          <t>Orthopedics</t>
        </is>
      </c>
      <c r="D427" t="n">
        <v>14</v>
      </c>
      <c r="E427" t="n">
        <v>9</v>
      </c>
      <c r="F427" s="32" t="n">
        <v>0.6428571428571429</v>
      </c>
    </row>
    <row r="428">
      <c r="A428" s="25" t="n">
        <v>45963</v>
      </c>
      <c r="B428" t="inlineStr">
        <is>
          <t>Cedar Ridge Medical Center</t>
        </is>
      </c>
      <c r="C428" t="inlineStr">
        <is>
          <t>Orthopedics</t>
        </is>
      </c>
      <c r="D428" t="n">
        <v>14</v>
      </c>
      <c r="E428" t="n">
        <v>9</v>
      </c>
      <c r="F428" s="32" t="n">
        <v>0.6428571428571429</v>
      </c>
    </row>
    <row r="429">
      <c r="A429" s="25" t="n">
        <v>45964</v>
      </c>
      <c r="B429" t="inlineStr">
        <is>
          <t>Cedar Ridge Medical Center</t>
        </is>
      </c>
      <c r="C429" t="inlineStr">
        <is>
          <t>Orthopedics</t>
        </is>
      </c>
      <c r="D429" t="n">
        <v>14</v>
      </c>
      <c r="E429" t="n">
        <v>11</v>
      </c>
      <c r="F429" s="32" t="n">
        <v>0.7857142857142857</v>
      </c>
    </row>
    <row r="430">
      <c r="A430" s="25" t="n">
        <v>45965</v>
      </c>
      <c r="B430" t="inlineStr">
        <is>
          <t>Cedar Ridge Medical Center</t>
        </is>
      </c>
      <c r="C430" t="inlineStr">
        <is>
          <t>Orthopedics</t>
        </is>
      </c>
      <c r="D430" t="n">
        <v>14</v>
      </c>
      <c r="E430" t="n">
        <v>12</v>
      </c>
      <c r="F430" s="32" t="n">
        <v>0.8571428571428571</v>
      </c>
    </row>
    <row r="431">
      <c r="A431" s="25" t="n">
        <v>45966</v>
      </c>
      <c r="B431" t="inlineStr">
        <is>
          <t>Cedar Ridge Medical Center</t>
        </is>
      </c>
      <c r="C431" t="inlineStr">
        <is>
          <t>Orthopedics</t>
        </is>
      </c>
      <c r="D431" t="n">
        <v>14</v>
      </c>
      <c r="E431" t="n">
        <v>11</v>
      </c>
      <c r="F431" s="32" t="n">
        <v>0.7857142857142857</v>
      </c>
    </row>
    <row r="432">
      <c r="A432" s="25" t="n">
        <v>45967</v>
      </c>
      <c r="B432" t="inlineStr">
        <is>
          <t>Cedar Ridge Medical Center</t>
        </is>
      </c>
      <c r="C432" t="inlineStr">
        <is>
          <t>Orthopedics</t>
        </is>
      </c>
      <c r="D432" t="n">
        <v>14</v>
      </c>
      <c r="E432" t="n">
        <v>11</v>
      </c>
      <c r="F432" s="32" t="n">
        <v>0.7857142857142857</v>
      </c>
    </row>
    <row r="433">
      <c r="A433" s="25" t="n">
        <v>45968</v>
      </c>
      <c r="B433" t="inlineStr">
        <is>
          <t>Cedar Ridge Medical Center</t>
        </is>
      </c>
      <c r="C433" t="inlineStr">
        <is>
          <t>Orthopedics</t>
        </is>
      </c>
      <c r="D433" t="n">
        <v>14</v>
      </c>
      <c r="E433" t="n">
        <v>10</v>
      </c>
      <c r="F433" s="32" t="n">
        <v>0.7142857142857143</v>
      </c>
    </row>
    <row r="434">
      <c r="A434" s="25" t="n">
        <v>45969</v>
      </c>
      <c r="B434" t="inlineStr">
        <is>
          <t>Cedar Ridge Medical Center</t>
        </is>
      </c>
      <c r="C434" t="inlineStr">
        <is>
          <t>Orthopedics</t>
        </is>
      </c>
      <c r="D434" t="n">
        <v>14</v>
      </c>
      <c r="E434" t="n">
        <v>10</v>
      </c>
      <c r="F434" s="32" t="n">
        <v>0.7142857142857143</v>
      </c>
    </row>
    <row r="435">
      <c r="A435" s="25" t="n">
        <v>45970</v>
      </c>
      <c r="B435" t="inlineStr">
        <is>
          <t>Cedar Ridge Medical Center</t>
        </is>
      </c>
      <c r="C435" t="inlineStr">
        <is>
          <t>Orthopedics</t>
        </is>
      </c>
      <c r="D435" t="n">
        <v>14</v>
      </c>
      <c r="E435" t="n">
        <v>11</v>
      </c>
      <c r="F435" s="32" t="n">
        <v>0.7857142857142857</v>
      </c>
    </row>
    <row r="436">
      <c r="A436" s="25" t="n">
        <v>45971</v>
      </c>
      <c r="B436" t="inlineStr">
        <is>
          <t>Cedar Ridge Medical Center</t>
        </is>
      </c>
      <c r="C436" t="inlineStr">
        <is>
          <t>Orthopedics</t>
        </is>
      </c>
      <c r="D436" t="n">
        <v>14</v>
      </c>
      <c r="E436" t="n">
        <v>12</v>
      </c>
      <c r="F436" s="32" t="n">
        <v>0.8571428571428571</v>
      </c>
    </row>
    <row r="437">
      <c r="A437" s="25" t="n">
        <v>45972</v>
      </c>
      <c r="B437" t="inlineStr">
        <is>
          <t>Cedar Ridge Medical Center</t>
        </is>
      </c>
      <c r="C437" t="inlineStr">
        <is>
          <t>Orthopedics</t>
        </is>
      </c>
      <c r="D437" t="n">
        <v>14</v>
      </c>
      <c r="E437" t="n">
        <v>13</v>
      </c>
      <c r="F437" s="32" t="n">
        <v>0.9285714285714286</v>
      </c>
    </row>
    <row r="438">
      <c r="A438" s="25" t="n">
        <v>45973</v>
      </c>
      <c r="B438" t="inlineStr">
        <is>
          <t>Cedar Ridge Medical Center</t>
        </is>
      </c>
      <c r="C438" t="inlineStr">
        <is>
          <t>Orthopedics</t>
        </is>
      </c>
      <c r="D438" t="n">
        <v>14</v>
      </c>
      <c r="E438" t="n">
        <v>13</v>
      </c>
      <c r="F438" s="32" t="n">
        <v>0.9285714285714286</v>
      </c>
    </row>
    <row r="439">
      <c r="A439" s="25" t="n">
        <v>45974</v>
      </c>
      <c r="B439" t="inlineStr">
        <is>
          <t>Cedar Ridge Medical Center</t>
        </is>
      </c>
      <c r="C439" t="inlineStr">
        <is>
          <t>Orthopedics</t>
        </is>
      </c>
      <c r="D439" t="n">
        <v>14</v>
      </c>
      <c r="E439" t="n">
        <v>13</v>
      </c>
      <c r="F439" s="32" t="n">
        <v>0.9285714285714286</v>
      </c>
    </row>
    <row r="440">
      <c r="A440" s="25" t="n">
        <v>45975</v>
      </c>
      <c r="B440" t="inlineStr">
        <is>
          <t>Cedar Ridge Medical Center</t>
        </is>
      </c>
      <c r="C440" t="inlineStr">
        <is>
          <t>Orthopedics</t>
        </is>
      </c>
      <c r="D440" t="n">
        <v>14</v>
      </c>
      <c r="E440" t="n">
        <v>11</v>
      </c>
      <c r="F440" s="32" t="n">
        <v>0.7857142857142857</v>
      </c>
    </row>
    <row r="441">
      <c r="A441" s="25" t="n">
        <v>45976</v>
      </c>
      <c r="B441" t="inlineStr">
        <is>
          <t>Cedar Ridge Medical Center</t>
        </is>
      </c>
      <c r="C441" t="inlineStr">
        <is>
          <t>Orthopedics</t>
        </is>
      </c>
      <c r="D441" t="n">
        <v>14</v>
      </c>
      <c r="E441" t="n">
        <v>9</v>
      </c>
      <c r="F441" s="32" t="n">
        <v>0.6428571428571429</v>
      </c>
    </row>
    <row r="442">
      <c r="A442" s="25" t="n">
        <v>45977</v>
      </c>
      <c r="B442" t="inlineStr">
        <is>
          <t>Cedar Ridge Medical Center</t>
        </is>
      </c>
      <c r="C442" t="inlineStr">
        <is>
          <t>Orthopedics</t>
        </is>
      </c>
      <c r="D442" t="n">
        <v>14</v>
      </c>
      <c r="E442" t="n">
        <v>9</v>
      </c>
      <c r="F442" s="32" t="n">
        <v>0.6428571428571429</v>
      </c>
    </row>
    <row r="443">
      <c r="A443" s="25" t="n">
        <v>45978</v>
      </c>
      <c r="B443" t="inlineStr">
        <is>
          <t>Cedar Ridge Medical Center</t>
        </is>
      </c>
      <c r="C443" t="inlineStr">
        <is>
          <t>Orthopedics</t>
        </is>
      </c>
      <c r="D443" t="n">
        <v>14</v>
      </c>
      <c r="E443" t="n">
        <v>11</v>
      </c>
      <c r="F443" s="32" t="n">
        <v>0.7857142857142857</v>
      </c>
    </row>
    <row r="444">
      <c r="A444" s="25" t="n">
        <v>45979</v>
      </c>
      <c r="B444" t="inlineStr">
        <is>
          <t>Cedar Ridge Medical Center</t>
        </is>
      </c>
      <c r="C444" t="inlineStr">
        <is>
          <t>Orthopedics</t>
        </is>
      </c>
      <c r="D444" t="n">
        <v>14</v>
      </c>
      <c r="E444" t="n">
        <v>12</v>
      </c>
      <c r="F444" s="32" t="n">
        <v>0.8571428571428571</v>
      </c>
    </row>
    <row r="445">
      <c r="A445" s="25" t="n">
        <v>45980</v>
      </c>
      <c r="B445" t="inlineStr">
        <is>
          <t>Cedar Ridge Medical Center</t>
        </is>
      </c>
      <c r="C445" t="inlineStr">
        <is>
          <t>Orthopedics</t>
        </is>
      </c>
      <c r="D445" t="n">
        <v>14</v>
      </c>
      <c r="E445" t="n">
        <v>11</v>
      </c>
      <c r="F445" s="32" t="n">
        <v>0.7857142857142857</v>
      </c>
    </row>
    <row r="446">
      <c r="A446" s="25" t="n">
        <v>45981</v>
      </c>
      <c r="B446" t="inlineStr">
        <is>
          <t>Cedar Ridge Medical Center</t>
        </is>
      </c>
      <c r="C446" t="inlineStr">
        <is>
          <t>Orthopedics</t>
        </is>
      </c>
      <c r="D446" t="n">
        <v>14</v>
      </c>
      <c r="E446" t="n">
        <v>12</v>
      </c>
      <c r="F446" s="32" t="n">
        <v>0.8571428571428571</v>
      </c>
    </row>
    <row r="447">
      <c r="A447" s="25" t="n">
        <v>45982</v>
      </c>
      <c r="B447" t="inlineStr">
        <is>
          <t>Cedar Ridge Medical Center</t>
        </is>
      </c>
      <c r="C447" t="inlineStr">
        <is>
          <t>Orthopedics</t>
        </is>
      </c>
      <c r="D447" t="n">
        <v>14</v>
      </c>
      <c r="E447" t="n">
        <v>10</v>
      </c>
      <c r="F447" s="32" t="n">
        <v>0.7142857142857143</v>
      </c>
    </row>
    <row r="448">
      <c r="A448" s="25" t="n">
        <v>45983</v>
      </c>
      <c r="B448" t="inlineStr">
        <is>
          <t>Cedar Ridge Medical Center</t>
        </is>
      </c>
      <c r="C448" t="inlineStr">
        <is>
          <t>Orthopedics</t>
        </is>
      </c>
      <c r="D448" t="n">
        <v>14</v>
      </c>
      <c r="E448" t="n">
        <v>8</v>
      </c>
      <c r="F448" s="32" t="n">
        <v>0.5714285714285714</v>
      </c>
    </row>
    <row r="449">
      <c r="A449" s="25" t="n">
        <v>45984</v>
      </c>
      <c r="B449" t="inlineStr">
        <is>
          <t>Cedar Ridge Medical Center</t>
        </is>
      </c>
      <c r="C449" t="inlineStr">
        <is>
          <t>Orthopedics</t>
        </is>
      </c>
      <c r="D449" t="n">
        <v>14</v>
      </c>
      <c r="E449" t="n">
        <v>9</v>
      </c>
      <c r="F449" s="32" t="n">
        <v>0.6428571428571429</v>
      </c>
    </row>
    <row r="450">
      <c r="A450" s="25" t="n">
        <v>45985</v>
      </c>
      <c r="B450" t="inlineStr">
        <is>
          <t>Cedar Ridge Medical Center</t>
        </is>
      </c>
      <c r="C450" t="inlineStr">
        <is>
          <t>Orthopedics</t>
        </is>
      </c>
      <c r="D450" t="n">
        <v>14</v>
      </c>
      <c r="E450" t="n">
        <v>10</v>
      </c>
      <c r="F450" s="32" t="n">
        <v>0.7142857142857143</v>
      </c>
    </row>
    <row r="451">
      <c r="A451" s="25" t="n">
        <v>45986</v>
      </c>
      <c r="B451" t="inlineStr">
        <is>
          <t>Cedar Ridge Medical Center</t>
        </is>
      </c>
      <c r="C451" t="inlineStr">
        <is>
          <t>Orthopedics</t>
        </is>
      </c>
      <c r="D451" t="n">
        <v>14</v>
      </c>
      <c r="E451" t="n">
        <v>11</v>
      </c>
      <c r="F451" s="32" t="n">
        <v>0.7857142857142857</v>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tabColor rgb="00C00000"/>
    <outlinePr summaryBelow="1" summaryRight="1"/>
    <pageSetUpPr fitToPage="1"/>
  </sheetPr>
  <dimension ref="A1:F17"/>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6" customWidth="1" min="5" max="5"/>
    <col width="62" customWidth="1" min="6" max="6"/>
  </cols>
  <sheetData>
    <row r="1">
      <c r="A1" s="42" t="inlineStr">
        <is>
          <t>🔑 Answer Key — Lesson 3.2</t>
        </is>
      </c>
    </row>
    <row r="2" ht="32" customHeight="1">
      <c r="A2" s="43" t="inlineStr">
        <is>
          <t>Spoiler alert — try every task before reading this sheet. Column C is the value the Check column compares against. Column D is a sample solution; column E is that same formula, live, proving it works.</t>
        </is>
      </c>
    </row>
    <row r="4">
      <c r="A4" s="44" t="inlineStr">
        <is>
          <t>#</t>
        </is>
      </c>
      <c r="B4" s="44" t="inlineStr">
        <is>
          <t>Task</t>
        </is>
      </c>
      <c r="C4" s="44" t="inlineStr">
        <is>
          <t>Answer</t>
        </is>
      </c>
      <c r="D4" s="44" t="inlineStr">
        <is>
          <t>Sample solution</t>
        </is>
      </c>
      <c r="E4" s="44" t="inlineStr">
        <is>
          <t>Live result</t>
        </is>
      </c>
      <c r="F4" s="44" t="inlineStr">
        <is>
          <t>Explanation</t>
        </is>
      </c>
    </row>
    <row r="5" ht="216" customHeight="1">
      <c r="A5" s="18" t="inlineStr">
        <is>
          <t>1</t>
        </is>
      </c>
      <c r="B5" s="19" t="inlineStr">
        <is>
          <t>IntakeLog, Payer column (F2:F51): add a List validation whose Source is the payer list on the Lists sheet (Lists!$A$2:$A$9). Then circle invalid data. How many Payer cells are circled?</t>
        </is>
      </c>
      <c r="C5" s="45" t="n">
        <v>5</v>
      </c>
      <c r="D5" s="46" t="inlineStr">
        <is>
          <t>1. On IntakeLog, select F2:F51.
2. Data → Data Validation (Windows: Alt, A, V, V). On the Settings tab set Allow to List.
3. Click in Source, switch to the Lists sheet, and select A2:A9. The box reads =Lists!$A$2:$A$9. Click OK.
4. Click the arrow on Data → Data Validation, then Circle Invalid Data. (Clear Validation Circles removes them.) You see 5 circles.
Equivalent formula: =SUMPRODUCT(--(COUNTIF(Lists!$A$2:$A$9,IntakeLog!F2:F51)=0))</t>
        </is>
      </c>
      <c r="E5" cm="1" s="47">
        <f t="array" ref="E5">SUMPRODUCT(--(COUNTIF(Lists!$A$2:$A$9,IntakeLog!F2:F51)=0))</f>
        <v/>
      </c>
      <c r="F5" s="19" t="inlineStr">
        <is>
          <t>A validation rule only checks values as someone types them, so the bad payers already in the log stay until you circle them. Each one is a near miss of a real payer: "Self Pay" instead of "Self-Pay", "Medicaid" instead of "State Medicaid". A drop-down list prevents exactly this. The formula counts entries whose COUNTIF in the payer list is 0, which means they aren't on it.</t>
        </is>
      </c>
    </row>
    <row r="6" ht="201" customHeight="1">
      <c r="A6" s="18" t="inlineStr">
        <is>
          <t>2</t>
        </is>
      </c>
      <c r="B6" s="19" t="inlineStr">
        <is>
          <t>IntakeLog, VisitDate (B2:B51): the log covers December 2025 only. Allow a Date between 12/01/2025 and 12/31/2025 (type =DATE(2025,12,1) and =DATE(2025,12,31) in the boxes so it works in any regional setting). How many VisitDate cells are circled?</t>
        </is>
      </c>
      <c r="C6" s="45" t="n">
        <v>4</v>
      </c>
      <c r="D6" s="46" t="inlineStr">
        <is>
          <t>1. Select B2:B51 on IntakeLog.
2. Data → Data Validation → Settings: Allow = Date, Data = between, Start date = =DATE(2025,12,1), End date = =DATE(2025,12,31). Click OK.
3. Click the arrow on Data → Data Validation, then Circle Invalid Data. (Clear Validation Circles removes them.) You see 4 circles.
Equivalent formula: =ROWS(IntakeLog!B2:B51)-COUNTIFS(IntakeLog!B2:B51,"&gt;="&amp;DATE(2025,12,1),IntakeLog!B2:B51,"&lt;="&amp;DATE(2025,12,31))</t>
        </is>
      </c>
      <c r="E6" cm="1" s="47">
        <f t="array" ref="E6">ROWS(IntakeLog!B2:B51)-COUNTIFS(IntakeLog!B2:B51,"&gt;="&amp;DATE(2025,12,1),IntakeLog!B2:B51,"&lt;="&amp;DATE(2025,12,31))</f>
        <v/>
      </c>
      <c r="F6" s="19" t="inlineStr">
        <is>
          <t>Two entries are text that only looks like a date: 12/32/2025 doesn't exist, and 19/12/2025 was imported day-first. Both sit at the left of the cell, which is the clue that they're text. A Date rule rejects text automatically. The other two are real dates with the wrong year (2026 and 2015). COUNTIFS skips text, so "all rows minus rows with a December 2025 date" counts every bad entry.</t>
        </is>
      </c>
    </row>
    <row r="7" ht="231" customHeight="1">
      <c r="A7" s="18" t="inlineStr">
        <is>
          <t>3</t>
        </is>
      </c>
      <c r="B7" s="19" t="inlineStr">
        <is>
          <t>IntakeLog, CopayAmt (G2:G51): allow a Decimal between 0 and 100. On the Input Message tab, add the title Copay and the message "Enter the amount collected, $0 to $100." Leave the Error Alert style as Stop. How many CopayAmt cells are circled?</t>
        </is>
      </c>
      <c r="C7" s="45" t="n">
        <v>3</v>
      </c>
      <c r="D7" s="46" t="inlineStr">
        <is>
          <t>1. Select G2:G51.
2. Data → Data Validation → Settings: Allow = Decimal, Data = between, Minimum = 0, Maximum = 100.
3. Input Message tab: Title Copay, message Enter the amount collected, $0 to $100.
4. Error Alert tab: keep Style = Stop. Click OK.
5. Click the arrow on Data → Data Validation, then Circle Invalid Data. (Clear Validation Circles removes them.) You see 3 circles.
Equivalent formula: =COUNTIF(IntakeLog!G2:G51,"&lt;0")+COUNTIF(IntakeLog!G2:G51,"&gt;100")</t>
        </is>
      </c>
      <c r="E7" cm="1" s="47">
        <f t="array" ref="E7">COUNTIF(IntakeLog!G2:G51,"&lt;0")+COUNTIF(IntakeLog!G2:G51,"&gt;100")</f>
        <v/>
      </c>
      <c r="F7" s="19" t="inlineStr">
        <is>
          <t>"Between" includes both limits, so the $0.00 and $100.00 copays in the log are valid. The circled values are a negative amount (a refund typed into the wrong field), 2,500 (almost certainly $25.00 typed without the decimal point), and 350. Click any cell in the column to see your input message.</t>
        </is>
      </c>
    </row>
    <row r="8" ht="171" customHeight="1">
      <c r="A8" s="18" t="inlineStr">
        <is>
          <t>4</t>
        </is>
      </c>
      <c r="B8" s="19" t="inlineStr">
        <is>
          <t>IntakeLog, ZIP (E2:E51): allow Text length equal to 5. How many ZIP cells are circled?</t>
        </is>
      </c>
      <c r="C8" s="45" t="n">
        <v>3</v>
      </c>
      <c r="D8" s="46" t="inlineStr">
        <is>
          <t>1. Select E2:E51.
2. Data → Data Validation → Settings: Allow = Text length, Data = equal to, Length = 5. Click OK.
3. Click the arrow on Data → Data Validation, then Circle Invalid Data. (Clear Validation Circles removes them.) You see 3 circles.
Equivalent formula: =SUMPRODUCT(--(LEN(IntakeLog!E2:E51)&lt;&gt;5))</t>
        </is>
      </c>
      <c r="E8" cm="1" s="47">
        <f t="array" ref="E8">SUMPRODUCT(--(LEN(IntakeLog!E2:E51)&lt;&gt;5))</f>
        <v/>
      </c>
      <c r="F8" s="19" t="inlineStr">
        <is>
          <t>Text length counts characters, so the 4-digit ZIP, the 6-digit ZIP, and the ZIP+4 entry (10 characters including the hyphen) fail. The rule also works on numbers. One ZIP in the log was stored as the number 45502 (it's right-aligned), and it passes because it has 5 characters.</t>
        </is>
      </c>
    </row>
    <row r="9" ht="216" customHeight="1">
      <c r="A9" s="18" t="inlineStr">
        <is>
          <t>5</t>
        </is>
      </c>
      <c r="B9" s="19" t="inlineStr">
        <is>
          <t>IntakeLog, MRN (C2:C51): an MRN must be exactly 8 characters, and all of them digits. Select the column with C2 as the active cell and add a Custom validation rule that is TRUE only for a valid MRN. How many MRN cells are circled?</t>
        </is>
      </c>
      <c r="C9" s="45" t="n">
        <v>4</v>
      </c>
      <c r="D9" s="46" t="inlineStr">
        <is>
          <t>1. Type C2:C51 in the Name Box and press Enter. The range is selected and C2 is the active cell.
2. Data → Data Validation → Settings: Allow = Custom, Formula = =AND(LEN(C2)=8,ISNUMBER(--C2)). Click OK.
3. Click the arrow on Data → Data Validation, then Circle Invalid Data. (Clear Validation Circles removes them.) You see 4 circles.
Equivalent formula: =ROWS(IntakeLog!C2:C51)-SUMPRODUCT((LEN(IntakeLog!C2:C51)=8)*ISNUMBER(--IntakeLog!C2:C51))</t>
        </is>
      </c>
      <c r="E9" cm="1" s="47">
        <f t="array" ref="E9">ROWS(IntakeLog!C2:C51)-SUMPRODUCT((LEN(IntakeLog!C2:C51)=8)*ISNUMBER(--IntakeLog!C2:C51))</f>
        <v/>
      </c>
      <c r="F9" s="19" t="inlineStr">
        <is>
          <t>LEN catches the 7- and 9-character MRNs and the MRN that was stored as a number (Excel dropped its leading zero, leaving 7 digits). ISNUMBER(--C2) catches O9127341, where the letter O replaced a zero: the double minus tries to turn the text into a number and fails. Each test misses something the other catches, so both go inside AND. You write the formula for C2 only, and Excel adjusts it for C3, C4, and so on.</t>
        </is>
      </c>
    </row>
    <row r="10" ht="321" customHeight="1">
      <c r="A10" s="18" t="inlineStr">
        <is>
          <t>6</t>
        </is>
      </c>
      <c r="B10" s="19" t="inlineStr">
        <is>
          <t>Dependent drop-down: on the Lists sheet, name each department column after its facility (Formulas → Create from Selection → Top row, one column at a time: E1:E16, F1:F5, G1:G6, H1:H7). Give IntakeLog Facility (H2:H51) a List validation from Lists!$C$2:$C$5. Then give Department (I2:I51) a List validation whose Source is =INDIRECT(SUBSTITUTE($H2," ","_")). How many Department cells are circled?</t>
        </is>
      </c>
      <c r="C10" s="45" t="n">
        <v>4</v>
      </c>
      <c r="D10" s="46" t="inlineStr">
        <is>
          <t>1. On Lists, select E1:E16 and choose Formulas → Create from Selection, tick only Top row, and click OK. Repeat for F1:F5, G1:G6, H1:H7. Formulas → Name Manager (Ctrl + F3) now lists four names such as Cedar_Ridge_Medical_Center.
2. Select H2:H51 on IntakeLog → Data Validation → List, Source =Lists!$C$2:$C$5.
3. Select I2:I51 with I2 active → Data Validation → List, Source =INDIRECT(SUBSTITUTE($H2," ","_")). Click OK.
4. Click the arrow on Data → Data Validation, then Circle Invalid Data. (Clear Validation Circles removes them.) You see 4 circles.
Equivalent formula (uses the facility–department map in Lists!J:K): =SUMPRODUCT(--(COUNTIFS(Lists!$J$2:$J$31,IntakeLog!H2:H51,Lists!$K$2:$K$31,IntakeLog!I2:I51)=0))</t>
        </is>
      </c>
      <c r="E10" cm="1" s="47">
        <f t="array" ref="E10">SUMPRODUCT(--(COUNTIFS(Lists!$J$2:$J$31,IntakeLog!H2:H51,Lists!$K$2:$K$31,IntakeLog!I2:I51)=0))</f>
        <v/>
      </c>
      <c r="F10" s="19" t="inlineStr">
        <is>
          <t>Create from Selection turns the header "Cedar Ridge Medical Center" into the name Cedar_Ridge_Medical_Center, because names can't contain spaces. SUBSTITUTE makes the same change to the facility in column H, and INDIRECT turns that text into a reference to the named range. Because $H2 has no $ before the row, every row builds its list from its own facility. The circled entries are real departments at the wrong facility: Pediatric Clinic, for example, is at the Outpatient Pavilion, not at Bluestone Memorial Hospital.</t>
        </is>
      </c>
    </row>
    <row r="11" ht="171" customHeight="1">
      <c r="A11" s="18" t="inlineStr">
        <is>
          <t>7</t>
        </is>
      </c>
      <c r="B11" s="19" t="inlineStr">
        <is>
          <t>Labs sheet: the lab interface re-sent some results, so a few LabResultIDs appear more than once. Select A2:A322 and apply Highlight Cells Rules → Duplicate Values. How many cells are highlighted?</t>
        </is>
      </c>
      <c r="C11" s="45" t="n">
        <v>13</v>
      </c>
      <c r="D11" s="46" t="inlineStr">
        <is>
          <t>1. On Labs, select A2:A322.
2. Home → Conditional Formatting → Highlight Cells Rules → Duplicate Values. Keep Duplicate and the light red fill, then click OK.
3. Count the highlighted cells (or filter the column by color and read the status bar): 13.
Equivalent formula: =SUMPRODUCT(--(COUNTIF(Labs!A2:A322,Labs!A2:A322)&gt;1))</t>
        </is>
      </c>
      <c r="E11" cm="1" s="47">
        <f t="array" ref="E11">SUMPRODUCT(--(COUNTIF(Labs!A2:A322,Labs!A2:A322)&gt;1))</f>
        <v/>
      </c>
      <c r="F11" s="19" t="inlineStr">
        <is>
          <t>Duplicate Values highlights every copy of a repeated value, including the first one. There are 6 repeated IDs: five appear twice and one appears three times, so 13 cells light up even though only 7 rows are extra. When you clean the feed, you delete 7 rows, not 13.</t>
        </is>
      </c>
    </row>
    <row r="12" ht="126" customHeight="1">
      <c r="A12" s="18" t="inlineStr">
        <is>
          <t>8</t>
        </is>
      </c>
      <c r="B12" s="19" t="inlineStr">
        <is>
          <t>Labs, TATMin (L2:L322): turnaround minutes from specimen collection to result. Apply Top/Bottom Rules → Top 10 Items. What is the smallest TAT that your rule highlights?</t>
        </is>
      </c>
      <c r="C12" s="45" t="n">
        <v>99</v>
      </c>
      <c r="D12" s="46" t="inlineStr">
        <is>
          <t>1. Select L2:L322.
2. Home → Conditional Formatting → Top/Bottom Rules → Top 10 Items. Keep 10, click OK.
3. Sort or filter by color to read the smallest highlighted value.
Equivalent formula: =LARGE(Labs!L2:L322,10)</t>
        </is>
      </c>
      <c r="E12" cm="1" s="47">
        <f t="array" ref="E12">LARGE(Labs!L2:L322,10)</f>
        <v/>
      </c>
      <c r="F12" s="19" t="inlineStr">
        <is>
          <t>Top 10 Items highlights the 10 largest values plus any cell tied with the 10th, so a tie at the boundary can light up 11 or 12 cells. Here there's no tie at the boundary, so exactly 10 cells are highlighted. Either way, the smallest highlighted value is LARGE(range,10).</t>
        </is>
      </c>
    </row>
    <row r="13" ht="171" customHeight="1">
      <c r="A13" s="18" t="inlineStr">
        <is>
          <t>9</t>
        </is>
      </c>
      <c r="B13" s="19" t="inlineStr">
        <is>
          <t>Supplies, PctOfPar (K2:K258) = QtyOnHand ÷ ParLevel. Add Data Bars, then edit the rule so Minimum is Number 0 and Maximum is Number 1. A full bar now means "stocked to par." How many items show a completely full bar?</t>
        </is>
      </c>
      <c r="C13" s="45" t="n">
        <v>78</v>
      </c>
      <c r="D13" s="46" t="inlineStr">
        <is>
          <t>1. On Supplies, select K2:K258.
2. Home → Conditional Formatting → Data Bars and pick any fill.
3. Conditional Formatting → Manage Rules → Edit Rule. Set Minimum Type = Number, Value = 0, and Maximum Type = Number, Value = 1. Click OK twice.
4. Count the full bars: 78.
Equivalent formula: =COUNTIF(Supplies!K2:K258,"&gt;=1")</t>
        </is>
      </c>
      <c r="E13" cm="1" s="47">
        <f t="array" ref="E13">COUNTIF(Supplies!K2:K258,"&gt;=1")</f>
        <v/>
      </c>
      <c r="F13" s="19" t="inlineStr">
        <is>
          <t>With the default Automatic settings, the longest bar belongs to the largest value (about 135% of par), so an item stocked exactly to par looks only about three-quarters full. Fixing the Maximum at 1 gives bar length a meaning: every item at or above 100% of par gets a full bar, and an item at 50% gets a half bar.</t>
        </is>
      </c>
    </row>
    <row r="14" ht="171" customHeight="1">
      <c r="A14" s="18" t="inlineStr">
        <is>
          <t>10</t>
        </is>
      </c>
      <c r="B14" s="19" t="inlineStr">
        <is>
          <t>Census sheet (Medical-Surgical 5 East, Nov–Dec 2025): apply the Red - Yellow - Green Color Scale to Occupancy (F2:F62) so the fullest days are red. In Manage Rules → Edit Rule you'll see the midpoint is the 50th percentile. Which occupancy gets the pure yellow midpoint color? Enter it as a percentage to 1 decimal place.</t>
        </is>
      </c>
      <c r="C14" s="48" t="n">
        <v>0.90625</v>
      </c>
      <c r="D14" s="46" t="inlineStr">
        <is>
          <t>1. On Census, select F2:F62.
2. Home → Conditional Formatting → Color Scales → Red - Yellow - Green Color Scale. The first color in the name goes to the highest values, so high occupancy is red.
3. Conditional Formatting → Manage Rules → Edit Rule shows Minimum = Lowest Value, Midpoint = Percentile 50, Maximum = Highest Value.
Equivalent formula: =MEDIAN(Census!F2:F62)</t>
        </is>
      </c>
      <c r="E14" cm="1" s="49">
        <f t="array" ref="E14">MEDIAN(Census!F2:F62)</f>
        <v/>
      </c>
      <c r="F14" s="19" t="inlineStr">
        <is>
          <t>The 50th percentile is the median, the middle value when you sort the days by occupancy. Here 17 days have exactly that occupancy, so they show pure yellow. So the default color scale's middle color marks a typical day for this unit, not a target. To color against a target such as 85%, change the midpoint Type to Number (you'll do that in the bonus).</t>
        </is>
      </c>
    </row>
    <row r="15" ht="186" customHeight="1">
      <c r="A15" s="18" t="inlineStr">
        <is>
          <t>11</t>
        </is>
      </c>
      <c r="B15" s="19" t="inlineStr">
        <is>
          <t>Labs, TATMin: apply Icon Sets → 3 Traffic Lights (Unrimmed). Edit the rule: click Reverse Icon Order, set both Types to Number, and make red show when the value is &gt;= 60 and yellow when it is &gt;= 45 (green below 45). How many cells show a yellow light?</t>
        </is>
      </c>
      <c r="C15" s="45" t="n">
        <v>79</v>
      </c>
      <c r="D15" s="46" t="inlineStr">
        <is>
          <t>1. Select L2:L322 → Home → Conditional Formatting → Icon Sets → 3 Traffic Lights (Unrimmed).
2. Manage Rules → Edit Rule. Click Reverse Icon Order so red is on top.
3. Red: &gt;=, Value 60, Type Number. Yellow: &gt;=, Value 45, Type Number. Green covers everything below 45. Click OK twice.
Equivalent formula: =COUNTIFS(Labs!L2:L322,"&gt;=45",Labs!L2:L322,"&lt;60")</t>
        </is>
      </c>
      <c r="E15" cm="1" s="47">
        <f t="array" ref="E15">COUNTIFS(Labs!L2:L322,"&gt;=45",Labs!L2:L322,"&lt;60")</f>
        <v/>
      </c>
      <c r="F15" s="19" t="inlineStr">
        <is>
          <t>The default thresholds are Percent 67 and 33. They split the span between the lowest and highest TAT into thirds, so they don't mean minutes at all. Switching the Type to Number makes the thresholds literal. Reverse Icon Order puts red on the high (slow) values. Yellow covers 45 ≤ TAT &lt; 60 because each icon's test is "&gt;=" and the red test is checked first. (83 results are red.)</t>
        </is>
      </c>
    </row>
    <row r="16" ht="186" customHeight="1">
      <c r="A16" s="18" t="inlineStr">
        <is>
          <t>12</t>
        </is>
      </c>
      <c r="B16" s="19" t="inlineStr">
        <is>
          <t>Labs: highlight the entire row of every critical result (AbnormalFlag HH or LL). Select A2:L322 with A2 active, choose New Rule → "Use a formula to determine which cells to format," and set a red fill. How many rows are highlighted?</t>
        </is>
      </c>
      <c r="C16" s="45" t="n">
        <v>14</v>
      </c>
      <c r="D16" s="46" t="inlineStr">
        <is>
          <t>1. On Labs, type A2:L322 in the Name Box and press Enter. The rows are selected and A2 is the active cell.
2. Home → Conditional Formatting → New Rule → Use a formula to determine which cells to format.
3. Formula: =OR($K2="HH",$K2="LL"). Click Format → Fill, pick red, then OK twice.
Equivalent formula: =COUNTIF(Labs!K2:K322,"HH")+COUNTIF(Labs!K2:K322,"LL")</t>
        </is>
      </c>
      <c r="E16" cm="1" s="47">
        <f t="array" ref="E16">COUNTIF(Labs!K2:K322,"HH")+COUNTIF(Labs!K2:K322,"LL")</f>
        <v/>
      </c>
      <c r="F16" s="19" t="inlineStr">
        <is>
          <t>You write the rule for the active cell's row (row 2), and Excel shifts it for every other cell in the Applies-to range. $K keeps every cell in the row looking at column K, and the unlocked 2 lets each row check its own flag. Without the $, cell B2 would test L2 and the rule breaks. There are 12 HH and 2 LL results, so 14 rows turn red.</t>
        </is>
      </c>
    </row>
    <row r="17" ht="291" customHeight="1">
      <c r="A17" s="18" t="inlineStr">
        <is>
          <t>13</t>
        </is>
      </c>
      <c r="B17" s="19" t="inlineStr">
        <is>
          <t>Supplies: add two formula rules to A2:M258. Rule 1 (red fill): the item has expired, meaning ExpirationDate is not blank and is on or before ReportDate. Rule 2 (amber fill): ExpirationDate is not blank and is on or before ReportDate + ExpiringWindowDays. ReportDate (12/31/2025) and ExpiringWindowDays (90) are named cells on the Lists sheet. Excel puts each new rule at the top of the list, so open Manage Rules and move the red rule above the amber rule. How many rows are amber?</t>
        </is>
      </c>
      <c r="C17" s="45" t="n">
        <v>7</v>
      </c>
      <c r="D17" s="46" t="inlineStr">
        <is>
          <t>1. On Supplies, select A2:M258 with A2 active.
2. New Rule → Use a formula: =AND($L2&lt;&gt;"",$L2&lt;=ReportDate) with a red fill → OK.
3. With the same range selected, add a second rule: =AND($L2&lt;&gt;"",$L2&lt;=ReportDate+ExpiringWindowDays) with an amber (light orange) fill → OK.
4. Conditional Formatting → Manage Rules, set Show formatting rules for: This Worksheet. The amber rule is on top because Excel adds each new rule at the top of the list. Select the red rule and click ▲ (Move Up) so it sits above the amber rule, then click OK.
Equivalent formula: =COUNTIFS(Supplies!L2:L258,"&gt;"&amp;ReportDate,Supplies!L2:L258,"&lt;="&amp;ReportDate+ExpiringWindowDays)</t>
        </is>
      </c>
      <c r="E17" cm="1" s="47">
        <f t="array" ref="E17">COUNTIFS(Supplies!L2:L258,"&gt;"&amp;ReportDate,Supplies!L2:L258,"&lt;="&amp;ReportDate+ExpiringWindowDays)</f>
        <v/>
      </c>
      <c r="F17" s="19" t="inlineStr">
        <is>
          <t>Rule 2 is TRUE for 17 rows, because every expired item also expires before ReportDate + 90. The red rule sits above it and both rules set a fill, so red wins on the 10 expired rows and 7 rows stay amber. If you skip the move, the newer amber rule stays on top and you'd see 17 amber rows and no red. The $L2&lt;&gt;"" guard matters too: an empty cell counts as 0 (the date 1/0/1900), which is "on or before ReportDate," so without the guard all 121 non-perishable items would turn red.</t>
        </is>
      </c>
    </row>
  </sheetData>
  <mergeCells count="1">
    <mergeCell ref="A2:F2"/>
  </mergeCells>
  <pageMargins left="0.75" right="0.75" top="1" bottom="1" header="0.5" footer="0.5"/>
  <pageSetup orientation="landscape" fitToHeight="0" fitToWidth="1"/>
</worksheet>
</file>

<file path=xl/worksheets/sheet12.xml><?xml version="1.0" encoding="utf-8"?>
<worksheet xmlns="http://schemas.openxmlformats.org/spreadsheetml/2006/main">
  <sheetPr>
    <tabColor rgb="00C00000"/>
    <outlinePr summaryBelow="1" summaryRight="1"/>
    <pageSetUpPr fitToPage="1"/>
  </sheetPr>
  <dimension ref="A1:F8"/>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6" customWidth="1" min="5" max="5"/>
    <col width="62" customWidth="1" min="6" max="6"/>
  </cols>
  <sheetData>
    <row r="1">
      <c r="A1" s="42" t="inlineStr">
        <is>
          <t>🔑 Bonus Key — Lesson 3.2</t>
        </is>
      </c>
    </row>
    <row r="2" ht="32" customHeight="1">
      <c r="A2" s="43" t="inlineStr">
        <is>
          <t>Spoiler alert — try every task before reading this sheet. Column C is the value the Check column compares against. Column D is a sample solution; column E is that same formula, live, proving it works.</t>
        </is>
      </c>
    </row>
    <row r="4">
      <c r="A4" s="44" t="inlineStr">
        <is>
          <t>#</t>
        </is>
      </c>
      <c r="B4" s="44" t="inlineStr">
        <is>
          <t>Task</t>
        </is>
      </c>
      <c r="C4" s="44" t="inlineStr">
        <is>
          <t>Answer</t>
        </is>
      </c>
      <c r="D4" s="44" t="inlineStr">
        <is>
          <t>Sample solution</t>
        </is>
      </c>
      <c r="E4" s="44" t="inlineStr">
        <is>
          <t>Live result</t>
        </is>
      </c>
      <c r="F4" s="44" t="inlineStr">
        <is>
          <t>Explanation</t>
        </is>
      </c>
    </row>
    <row r="5" ht="156" customHeight="1">
      <c r="A5" s="18" t="inlineStr">
        <is>
          <t>B1</t>
        </is>
      </c>
      <c r="B5" s="19" t="inlineStr">
        <is>
          <t>Apply a 3-color scale to Occupancy (G12:G29): Minimum = Lowest Value (green), Midpoint = Number 0.85 (yellow, the planning target), Maximum = Highest Value (red). How many units are shaded on the red side of yellow (occupancy above 85%)?</t>
        </is>
      </c>
      <c r="C5" s="45" t="n">
        <v>9</v>
      </c>
      <c r="D5" s="46" t="inlineStr">
        <is>
          <t>1. Select G12:G29 on Huddle → Conditional Formatting → New Rule → Format all cells based on their values.
2. Format Style = 3-Color Scale. Minimum: Lowest Value, green. Midpoint: Type Number, Value 0.85, yellow. Maximum: Highest Value, red. Click OK.
Equivalent formula: =COUNTIF(Huddle!G12:G29,"&gt;0.85")</t>
        </is>
      </c>
      <c r="E5" cm="1" s="47">
        <f t="array" ref="E5">COUNTIF(Huddle!G12:G29,"&gt;0.85")</f>
        <v/>
      </c>
      <c r="F5" s="19" t="inlineStr">
        <is>
          <t>With a Number midpoint, yellow means "exactly at target" instead of "a typical unit." Every unit above 85% shades from yellow toward red, and the reddest cell is simply the fullest unit.</t>
        </is>
      </c>
    </row>
    <row r="6" ht="141" customHeight="1">
      <c r="A6" s="18" t="inlineStr">
        <is>
          <t>B2</t>
        </is>
      </c>
      <c r="B6" s="19" t="inlineStr">
        <is>
          <t>Apply Icon Sets → 3 Arrows (Colored) to Change (F12:F29). Edit the rule so both Types are Number: up arrow when the value is &gt;= 1, sideways arrow when it is &gt;= 0, down arrow otherwise. How many units show an up arrow?</t>
        </is>
      </c>
      <c r="C6" s="45" t="n">
        <v>7</v>
      </c>
      <c r="D6" s="46" t="inlineStr">
        <is>
          <t>1. Select F12:F29 → Conditional Formatting → Icon Sets → 3 Arrows (Colored).
2. Manage Rules → Edit Rule: green up arrow &gt;= 1 Number, yellow sideways arrow &gt;= 0 Number. The red down arrow covers negative changes. Click OK twice.
Equivalent formula: =COUNTIF(Huddle!F12:F29,"&gt;=1")</t>
        </is>
      </c>
      <c r="E6" cm="1" s="47">
        <f t="array" ref="E6">COUNTIF(Huddle!F12:F29,"&gt;=1")</f>
        <v/>
      </c>
      <c r="F6" s="19" t="inlineStr">
        <is>
          <t>Census rose overnight on 7 units, held steady on 10, and fell on 1. Number thresholds keep the arrows honest on any day. The default Percent thresholds depend on the day's smallest and largest change, so a unit that gained one patient could show a sideways arrow on a busier day.</t>
        </is>
      </c>
    </row>
    <row r="7" ht="186" customHeight="1">
      <c r="A7" s="18" t="inlineStr">
        <is>
          <t>B3</t>
        </is>
      </c>
      <c r="B7" s="19" t="inlineStr">
        <is>
          <t>Add two formula rules to the whole board (A12:G29): a red fill when the 11/25 census is above staffed beds (overflow), and an amber fill when occupancy is at least 90%. In Manage Rules, put the overflow rule above the amber rule. How many rows end up amber?</t>
        </is>
      </c>
      <c r="C7" s="45" t="n">
        <v>3</v>
      </c>
      <c r="D7" s="46" t="inlineStr">
        <is>
          <t>1. Select A12:G29 with A12 active.
2. New Rule → Use a formula: =$E12&gt;$C12, red fill.
3. New Rule → Use a formula: =$G12&gt;=0.9, amber fill.
4. Manage Rules (This Worksheet): Excel added the amber rule at the top because it's newer. Select the overflow rule and click ▲ so it's on top.
Equivalent formula: =SUMPRODUCT((Huddle!G12:G29&gt;=0.9)*(Huddle!E12:E29&lt;=Huddle!C12:C29))</t>
        </is>
      </c>
      <c r="E7" cm="1" s="47">
        <f t="array" ref="E7">SUMPRODUCT((Huddle!G12:G29&gt;=0.9)*(Huddle!E12:E29&lt;=Huddle!C12:C29))</f>
        <v/>
      </c>
      <c r="F7" s="19" t="inlineStr">
        <is>
          <t>There are 2 overflow units, and both rules are TRUE for them. The overflow rule is on top, so those rows stay red, and 3 rows are amber. Two of those amber units sit at exactly 90.0%, so writing &gt; 0.9 instead of &gt;= 0.9 would lose them. With the rules in the wrong order every overflow row would turn amber too.</t>
        </is>
      </c>
    </row>
    <row r="8" ht="381" customHeight="1">
      <c r="A8" s="18" t="inlineStr">
        <is>
          <t>B4</t>
        </is>
      </c>
      <c r="B8" s="19" t="inlineStr">
        <is>
          <t>Build the unit selector. Give B4 a List validation from the Hospitals list (I12:I14). Give B5 a dependent List built from the board's own Facility and Unit columns, with no named ranges. Then choose Cedar Ridge Medical Center → Intensive Care Unit. The gray cell shows the card's Nov 1–25 occupancy. What is it?</t>
        </is>
      </c>
      <c r="C8" s="48" t="n">
        <v>0.8366666666666667</v>
      </c>
      <c r="D8" s="46" t="inlineStr">
        <is>
          <t>1. Select B4 on Huddle → Data Validation → List, Source =$I$12:$I$14.
2. Select B5 → Data Validation → List, Source:
   =OFFSET($B$11,MATCH($B$4,$A$12:$A$29,0),0,COUNTIF($A$12:$A$29,$B$4),1)
   MATCH finds the facility's first row on the board, and COUNTIF counts its units. The board is sorted by facility, so OFFSET returns exactly that facility's block of unit names. If B4 is still empty, Excel warns that the source currently evaluates to an error. Click Yes, or pick a facility in B4 first.
3. Pick Cedar Ridge Medical Center in B4, then Intensive Care Unit in B5. Read the card.
If you prefer INDIRECT, copy each hospital's units into its own column under the hospital's name (like the Lists sheet in task 6), name the columns with Create from Selection, and use =INDIRECT(SUBSTITUTE($B$4," ","_")). The result is the same.</t>
        </is>
      </c>
      <c r="E8" cm="1" s="49">
        <f t="array" ref="E8">SUMIFS(NovCensus!$E$2:$E$451,NovCensus!$B$2:$B$451,"Cedar Ridge Medical Center",NovCensus!$C$2:$C$451,"Intensive Care Unit")/SUMIFS(NovCensus!$D$2:$D$451,NovCensus!$B$2:$B$451,"Cedar Ridge Medical Center",NovCensus!$C$2:$C$451,"Intensive Care Unit")</f>
        <v/>
      </c>
      <c r="F8" s="19" t="inlineStr">
        <is>
          <t>Three hospitals each have an Intensive Care Unit, so the unit name alone is ambiguous. The dependent list forces a facility first and then offers only that facility's units, and the card's SUMIFS uses both cells. The OFFSET version needs no named ranges, so it keeps working when you add a unit to the board (as long as the board stays sorted by facility).</t>
        </is>
      </c>
    </row>
  </sheetData>
  <mergeCells count="1">
    <mergeCell ref="A2:F2"/>
  </mergeCells>
  <pageMargins left="0.75" right="0.75" top="1" bottom="1" header="0.5" footer="0.5"/>
  <pageSetup orientation="landscape" fitToHeight="0" fitToWidth="1"/>
</worksheet>
</file>

<file path=xl/worksheets/sheet13.xml><?xml version="1.0" encoding="utf-8"?>
<worksheet xmlns="http://schemas.openxmlformats.org/spreadsheetml/2006/main">
  <sheetPr>
    <tabColor rgb="00C00000"/>
    <outlinePr summaryBelow="1" summaryRight="1"/>
    <pageSetUpPr/>
  </sheetPr>
  <dimension ref="A1:I29"/>
  <sheetViews>
    <sheetView tabSelected="0" workbookViewId="0">
      <pane ySplit="11" topLeftCell="A12" activePane="bottomLeft" state="frozen"/>
      <selection pane="bottomLeft" activeCell="A1" sqref="A1"/>
    </sheetView>
  </sheetViews>
  <sheetFormatPr baseColWidth="8" defaultRowHeight="15"/>
  <cols>
    <col width="32" customWidth="1" min="1" max="1"/>
    <col width="30" customWidth="1" min="2" max="2"/>
    <col width="9" customWidth="1" min="3" max="3"/>
    <col width="9" customWidth="1" min="4" max="4"/>
    <col width="9" customWidth="1" min="5" max="5"/>
    <col width="9" customWidth="1" min="6" max="6"/>
    <col width="11" customWidth="1" min="7" max="7"/>
    <col width="3" customWidth="1" min="8" max="8"/>
    <col width="32" customWidth="1" min="9" max="9"/>
  </cols>
  <sheetData>
    <row r="1">
      <c r="A1" s="13" t="inlineStr">
        <is>
          <t>7 a.m. Bed Huddle · Wednesday, November 26, 2025 (finished key)</t>
        </is>
      </c>
    </row>
    <row r="2">
      <c r="A2" s="3" t="inlineStr">
        <is>
          <t>Midnight census for Tuesday 11/25 vs Monday 11/24, every inpatient unit in the system. Yellow cells are yours, and gray cells hold formulas.</t>
        </is>
      </c>
    </row>
    <row r="3">
      <c r="A3" s="34" t="inlineStr">
        <is>
          <t>UNIT SELECTOR</t>
        </is>
      </c>
      <c r="B3" s="5" t="n"/>
    </row>
    <row r="4">
      <c r="A4" s="35" t="inlineStr">
        <is>
          <t>Facility</t>
        </is>
      </c>
      <c r="B4" s="36" t="inlineStr">
        <is>
          <t>Cedar Ridge Medical Center</t>
        </is>
      </c>
    </row>
    <row r="5">
      <c r="A5" s="35" t="inlineStr">
        <is>
          <t>Unit</t>
        </is>
      </c>
      <c r="B5" s="36" t="inlineStr">
        <is>
          <t>Intensive Care Unit</t>
        </is>
      </c>
    </row>
    <row r="6">
      <c r="A6" s="35" t="inlineStr">
        <is>
          <t>Staffed beds</t>
        </is>
      </c>
      <c r="B6" s="37">
        <f>IF(OR($B$4="",$B$5=""),"",IF(COUNTIFS($A$12:$A$29,$B$4,$B$12:$B$29,$B$5)=0,"n/a",SUMIFS($C$12:$C$29,$A$12:$A$29,$B$4,$B$12:$B$29,$B$5)))</f>
        <v/>
      </c>
    </row>
    <row r="7">
      <c r="A7" s="35" t="inlineStr">
        <is>
          <t>Census 11/25</t>
        </is>
      </c>
      <c r="B7" s="37">
        <f>IF(OR($B$4="",$B$5=""),"",IF(COUNTIFS($A$12:$A$29,$B$4,$B$12:$B$29,$B$5)=0,"n/a",SUMIFS($E$12:$E$29,$A$12:$A$29,$B$4,$B$12:$B$29,$B$5)))</f>
        <v/>
      </c>
    </row>
    <row r="8">
      <c r="A8" s="35" t="inlineStr">
        <is>
          <t>Occupancy, Nov 1–25</t>
        </is>
      </c>
      <c r="B8" s="38">
        <f>IF(OR($B$4="",$B$5=""),"",IFERROR(SUMIFS(NovCensus!$E$2:$E$451,NovCensus!$B$2:$B$451,$B$4,NovCensus!$C$2:$C$451,$B$5)/SUMIFS(NovCensus!$D$2:$D$451,NovCensus!$B$2:$B$451,$B$4,NovCensus!$C$2:$C$451,$B$5),"n/a"))</f>
        <v/>
      </c>
    </row>
    <row r="9">
      <c r="A9" s="35" t="inlineStr">
        <is>
          <t>Overflow days, Nov 1–25</t>
        </is>
      </c>
      <c r="B9" s="37">
        <f>IF(OR($B$4="",$B$5=""),"",IF(COUNTIFS(NovCensus!$B$2:$B$451,$B$4,NovCensus!$C$2:$C$451,$B$5)=0,"n/a",COUNTIFS(NovCensus!$B$2:$B$451,$B$4,NovCensus!$C$2:$C$451,$B$5,NovCensus!$F$2:$F$451,"&gt;1")))</f>
        <v/>
      </c>
    </row>
    <row r="11" ht="30" customHeight="1">
      <c r="A11" s="39" t="inlineStr">
        <is>
          <t>Facility</t>
        </is>
      </c>
      <c r="B11" s="39" t="inlineStr">
        <is>
          <t>Unit</t>
        </is>
      </c>
      <c r="C11" s="39" t="inlineStr">
        <is>
          <t>Staffed beds</t>
        </is>
      </c>
      <c r="D11" s="39" t="inlineStr">
        <is>
          <t>Census 11/24</t>
        </is>
      </c>
      <c r="E11" s="39" t="inlineStr">
        <is>
          <t>Census 11/25</t>
        </is>
      </c>
      <c r="F11" s="39" t="inlineStr">
        <is>
          <t>Change</t>
        </is>
      </c>
      <c r="G11" s="39" t="inlineStr">
        <is>
          <t>Occupancy</t>
        </is>
      </c>
      <c r="I11" s="34" t="inlineStr">
        <is>
          <t>Hospitals</t>
        </is>
      </c>
    </row>
    <row r="12">
      <c r="A12" s="28" t="inlineStr">
        <is>
          <t>Bluestone Memorial Hospital</t>
        </is>
      </c>
      <c r="B12" s="28" t="inlineStr">
        <is>
          <t>Medical-Surgical 4 West</t>
        </is>
      </c>
      <c r="C12" s="28" t="n">
        <v>36</v>
      </c>
      <c r="D12" s="28" t="n">
        <v>32</v>
      </c>
      <c r="E12" s="28" t="n">
        <v>32</v>
      </c>
      <c r="F12" s="40">
        <f>E12-D12</f>
        <v/>
      </c>
      <c r="G12" s="41">
        <f>E12/C12</f>
        <v/>
      </c>
      <c r="I12" s="28" t="inlineStr">
        <is>
          <t>Bluestone Memorial Hospital</t>
        </is>
      </c>
    </row>
    <row r="13">
      <c r="A13" s="28" t="inlineStr">
        <is>
          <t>Bluestone Memorial Hospital</t>
        </is>
      </c>
      <c r="B13" s="28" t="inlineStr">
        <is>
          <t>Medical-Surgical 5 East</t>
        </is>
      </c>
      <c r="C13" s="28" t="n">
        <v>32</v>
      </c>
      <c r="D13" s="28" t="n">
        <v>33</v>
      </c>
      <c r="E13" s="28" t="n">
        <v>34</v>
      </c>
      <c r="F13" s="40">
        <f>E13-D13</f>
        <v/>
      </c>
      <c r="G13" s="41">
        <f>E13/C13</f>
        <v/>
      </c>
      <c r="I13" s="28" t="inlineStr">
        <is>
          <t>Ashby Falls Community Hospital</t>
        </is>
      </c>
    </row>
    <row r="14">
      <c r="A14" s="28" t="inlineStr">
        <is>
          <t>Bluestone Memorial Hospital</t>
        </is>
      </c>
      <c r="B14" s="28" t="inlineStr">
        <is>
          <t>Cardiac Step-Down</t>
        </is>
      </c>
      <c r="C14" s="28" t="n">
        <v>24</v>
      </c>
      <c r="D14" s="28" t="n">
        <v>19</v>
      </c>
      <c r="E14" s="28" t="n">
        <v>19</v>
      </c>
      <c r="F14" s="40">
        <f>E14-D14</f>
        <v/>
      </c>
      <c r="G14" s="41">
        <f>E14/C14</f>
        <v/>
      </c>
      <c r="I14" s="28" t="inlineStr">
        <is>
          <t>Cedar Ridge Medical Center</t>
        </is>
      </c>
    </row>
    <row r="15">
      <c r="A15" s="28" t="inlineStr">
        <is>
          <t>Bluestone Memorial Hospital</t>
        </is>
      </c>
      <c r="B15" s="28" t="inlineStr">
        <is>
          <t>Intensive Care Unit</t>
        </is>
      </c>
      <c r="C15" s="28" t="n">
        <v>20</v>
      </c>
      <c r="D15" s="28" t="n">
        <v>17</v>
      </c>
      <c r="E15" s="28" t="n">
        <v>18</v>
      </c>
      <c r="F15" s="40">
        <f>E15-D15</f>
        <v/>
      </c>
      <c r="G15" s="41">
        <f>E15/C15</f>
        <v/>
      </c>
    </row>
    <row r="16">
      <c r="A16" s="28" t="inlineStr">
        <is>
          <t>Bluestone Memorial Hospital</t>
        </is>
      </c>
      <c r="B16" s="28" t="inlineStr">
        <is>
          <t>Orthopedics &amp; Spine</t>
        </is>
      </c>
      <c r="C16" s="28" t="n">
        <v>22</v>
      </c>
      <c r="D16" s="28" t="n">
        <v>15</v>
      </c>
      <c r="E16" s="28" t="n">
        <v>16</v>
      </c>
      <c r="F16" s="40">
        <f>E16-D16</f>
        <v/>
      </c>
      <c r="G16" s="41">
        <f>E16/C16</f>
        <v/>
      </c>
    </row>
    <row r="17">
      <c r="A17" s="28" t="inlineStr">
        <is>
          <t>Bluestone Memorial Hospital</t>
        </is>
      </c>
      <c r="B17" s="28" t="inlineStr">
        <is>
          <t>Oncology</t>
        </is>
      </c>
      <c r="C17" s="28" t="n">
        <v>18</v>
      </c>
      <c r="D17" s="28" t="n">
        <v>16</v>
      </c>
      <c r="E17" s="28" t="n">
        <v>16</v>
      </c>
      <c r="F17" s="40">
        <f>E17-D17</f>
        <v/>
      </c>
      <c r="G17" s="41">
        <f>E17/C17</f>
        <v/>
      </c>
    </row>
    <row r="18">
      <c r="A18" s="28" t="inlineStr">
        <is>
          <t>Bluestone Memorial Hospital</t>
        </is>
      </c>
      <c r="B18" s="28" t="inlineStr">
        <is>
          <t>Neuroscience &amp; Stroke</t>
        </is>
      </c>
      <c r="C18" s="28" t="n">
        <v>16</v>
      </c>
      <c r="D18" s="28" t="n">
        <v>12</v>
      </c>
      <c r="E18" s="28" t="n">
        <v>12</v>
      </c>
      <c r="F18" s="40">
        <f>E18-D18</f>
        <v/>
      </c>
      <c r="G18" s="41">
        <f>E18/C18</f>
        <v/>
      </c>
    </row>
    <row r="19">
      <c r="A19" s="28" t="inlineStr">
        <is>
          <t>Bluestone Memorial Hospital</t>
        </is>
      </c>
      <c r="B19" s="28" t="inlineStr">
        <is>
          <t>Labor &amp; Delivery</t>
        </is>
      </c>
      <c r="C19" s="28" t="n">
        <v>20</v>
      </c>
      <c r="D19" s="28" t="n">
        <v>13</v>
      </c>
      <c r="E19" s="28" t="n">
        <v>14</v>
      </c>
      <c r="F19" s="40">
        <f>E19-D19</f>
        <v/>
      </c>
      <c r="G19" s="41">
        <f>E19/C19</f>
        <v/>
      </c>
    </row>
    <row r="20">
      <c r="A20" s="28" t="inlineStr">
        <is>
          <t>Bluestone Memorial Hospital</t>
        </is>
      </c>
      <c r="B20" s="28" t="inlineStr">
        <is>
          <t>Pediatrics</t>
        </is>
      </c>
      <c r="C20" s="28" t="n">
        <v>14</v>
      </c>
      <c r="D20" s="28" t="n">
        <v>9</v>
      </c>
      <c r="E20" s="28" t="n">
        <v>9</v>
      </c>
      <c r="F20" s="40">
        <f>E20-D20</f>
        <v/>
      </c>
      <c r="G20" s="41">
        <f>E20/C20</f>
        <v/>
      </c>
    </row>
    <row r="21">
      <c r="A21" s="28" t="inlineStr">
        <is>
          <t>Bluestone Memorial Hospital</t>
        </is>
      </c>
      <c r="B21" s="28" t="inlineStr">
        <is>
          <t>Behavioral Health</t>
        </is>
      </c>
      <c r="C21" s="28" t="n">
        <v>18</v>
      </c>
      <c r="D21" s="28" t="n">
        <v>19</v>
      </c>
      <c r="E21" s="28" t="n">
        <v>19</v>
      </c>
      <c r="F21" s="40">
        <f>E21-D21</f>
        <v/>
      </c>
      <c r="G21" s="41">
        <f>E21/C21</f>
        <v/>
      </c>
    </row>
    <row r="22">
      <c r="A22" s="28" t="inlineStr">
        <is>
          <t>Bluestone Memorial Hospital</t>
        </is>
      </c>
      <c r="B22" s="28" t="inlineStr">
        <is>
          <t>Observation Unit</t>
        </is>
      </c>
      <c r="C22" s="28" t="n">
        <v>12</v>
      </c>
      <c r="D22" s="28" t="n">
        <v>8</v>
      </c>
      <c r="E22" s="28" t="n">
        <v>8</v>
      </c>
      <c r="F22" s="40">
        <f>E22-D22</f>
        <v/>
      </c>
      <c r="G22" s="41">
        <f>E22/C22</f>
        <v/>
      </c>
    </row>
    <row r="23">
      <c r="A23" s="28" t="inlineStr">
        <is>
          <t>Ashby Falls Community Hospital</t>
        </is>
      </c>
      <c r="B23" s="28" t="inlineStr">
        <is>
          <t>Medical-Surgical</t>
        </is>
      </c>
      <c r="C23" s="28" t="n">
        <v>28</v>
      </c>
      <c r="D23" s="28" t="n">
        <v>25</v>
      </c>
      <c r="E23" s="28" t="n">
        <v>25</v>
      </c>
      <c r="F23" s="40">
        <f>E23-D23</f>
        <v/>
      </c>
      <c r="G23" s="41">
        <f>E23/C23</f>
        <v/>
      </c>
    </row>
    <row r="24">
      <c r="A24" s="28" t="inlineStr">
        <is>
          <t>Ashby Falls Community Hospital</t>
        </is>
      </c>
      <c r="B24" s="28" t="inlineStr">
        <is>
          <t>Intensive Care Unit</t>
        </is>
      </c>
      <c r="C24" s="28" t="n">
        <v>8</v>
      </c>
      <c r="D24" s="28" t="n">
        <v>6</v>
      </c>
      <c r="E24" s="28" t="n">
        <v>6</v>
      </c>
      <c r="F24" s="40">
        <f>E24-D24</f>
        <v/>
      </c>
      <c r="G24" s="41">
        <f>E24/C24</f>
        <v/>
      </c>
    </row>
    <row r="25">
      <c r="A25" s="28" t="inlineStr">
        <is>
          <t>Ashby Falls Community Hospital</t>
        </is>
      </c>
      <c r="B25" s="28" t="inlineStr">
        <is>
          <t>Labor &amp; Delivery</t>
        </is>
      </c>
      <c r="C25" s="28" t="n">
        <v>10</v>
      </c>
      <c r="D25" s="28" t="n">
        <v>5</v>
      </c>
      <c r="E25" s="28" t="n">
        <v>6</v>
      </c>
      <c r="F25" s="40">
        <f>E25-D25</f>
        <v/>
      </c>
      <c r="G25" s="41">
        <f>E25/C25</f>
        <v/>
      </c>
    </row>
    <row r="26">
      <c r="A26" s="28" t="inlineStr">
        <is>
          <t>Cedar Ridge Medical Center</t>
        </is>
      </c>
      <c r="B26" s="28" t="inlineStr">
        <is>
          <t>Medical-Surgical</t>
        </is>
      </c>
      <c r="C26" s="28" t="n">
        <v>30</v>
      </c>
      <c r="D26" s="28" t="n">
        <v>28</v>
      </c>
      <c r="E26" s="28" t="n">
        <v>27</v>
      </c>
      <c r="F26" s="40">
        <f>E26-D26</f>
        <v/>
      </c>
      <c r="G26" s="41">
        <f>E26/C26</f>
        <v/>
      </c>
    </row>
    <row r="27">
      <c r="A27" s="28" t="inlineStr">
        <is>
          <t>Cedar Ridge Medical Center</t>
        </is>
      </c>
      <c r="B27" s="28" t="inlineStr">
        <is>
          <t>Cardiac Step-Down</t>
        </is>
      </c>
      <c r="C27" s="28" t="n">
        <v>16</v>
      </c>
      <c r="D27" s="28" t="n">
        <v>14</v>
      </c>
      <c r="E27" s="28" t="n">
        <v>14</v>
      </c>
      <c r="F27" s="40">
        <f>E27-D27</f>
        <v/>
      </c>
      <c r="G27" s="41">
        <f>E27/C27</f>
        <v/>
      </c>
    </row>
    <row r="28">
      <c r="A28" s="28" t="inlineStr">
        <is>
          <t>Cedar Ridge Medical Center</t>
        </is>
      </c>
      <c r="B28" s="28" t="inlineStr">
        <is>
          <t>Intensive Care Unit</t>
        </is>
      </c>
      <c r="C28" s="28" t="n">
        <v>12</v>
      </c>
      <c r="D28" s="28" t="n">
        <v>10</v>
      </c>
      <c r="E28" s="28" t="n">
        <v>11</v>
      </c>
      <c r="F28" s="40">
        <f>E28-D28</f>
        <v/>
      </c>
      <c r="G28" s="41">
        <f>E28/C28</f>
        <v/>
      </c>
    </row>
    <row r="29">
      <c r="A29" s="28" t="inlineStr">
        <is>
          <t>Cedar Ridge Medical Center</t>
        </is>
      </c>
      <c r="B29" s="28" t="inlineStr">
        <is>
          <t>Orthopedics</t>
        </is>
      </c>
      <c r="C29" s="28" t="n">
        <v>14</v>
      </c>
      <c r="D29" s="28" t="n">
        <v>10</v>
      </c>
      <c r="E29" s="28" t="n">
        <v>11</v>
      </c>
      <c r="F29" s="40">
        <f>E29-D29</f>
        <v/>
      </c>
      <c r="G29" s="41">
        <f>E29/C29</f>
        <v/>
      </c>
    </row>
  </sheetData>
  <conditionalFormatting sqref="A12:G29">
    <cfRule type="expression" priority="1" dxfId="2" stopIfTrue="0">
      <formula>$E12&gt;$C12</formula>
    </cfRule>
    <cfRule type="expression" priority="2" dxfId="3">
      <formula>$G12&gt;=0.9</formula>
    </cfRule>
  </conditionalFormatting>
  <conditionalFormatting sqref="G12:G29">
    <cfRule type="colorScale" priority="3">
      <colorScale>
        <cfvo type="min"/>
        <cfvo type="num" val="0.85"/>
        <cfvo type="max"/>
        <color rgb="0063BE7B"/>
        <color rgb="00FFEB84"/>
        <color rgb="00F8696B"/>
      </colorScale>
    </cfRule>
  </conditionalFormatting>
  <conditionalFormatting sqref="F12:F29">
    <cfRule type="iconSet" priority="4">
      <iconSet iconSet="3Arrows">
        <cfvo type="percent" val="0"/>
        <cfvo type="num" val="0"/>
        <cfvo type="num" val="1"/>
      </iconSet>
    </cfRule>
  </conditionalFormatting>
  <dataValidations count="2">
    <dataValidation sqref="B4" showDropDown="0" showInputMessage="0" showErrorMessage="0" allowBlank="1" type="list">
      <formula1>$I$12:$I$14</formula1>
    </dataValidation>
    <dataValidation sqref="B5" showDropDown="0" showInputMessage="0" showErrorMessage="0" allowBlank="1" type="list">
      <formula1>OFFSET($B$11,MATCH($B$4,$A$12:$A$29,0),0,COUNTIF($A$12:$A$29,$B$4),1)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Learn Excel · Bluestone Health course</dc:creator>
  <dc:title>Lesson 3.2 — Data Validation &amp; Conditional Formatting</dc:title>
  <dcterms:created xsi:type="dcterms:W3CDTF">2026-10-02T16:18:30Z</dcterms:created>
  <dcterms:modified xsi:type="dcterms:W3CDTF">2026-10-02T16:18:30Z</dcterms:modified>
</cp:coreProperties>
</file>
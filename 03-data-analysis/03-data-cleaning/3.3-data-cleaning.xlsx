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Raw" sheetId="3" state="visible" r:id="rId3"/>
    <sheet name="Clean" sheetId="4" state="visible" r:id="rId4"/>
    <sheet name="PayerMap" sheetId="5" state="visible" r:id="rId5"/>
    <sheet name="CensusExport" sheetId="6" state="visible" r:id="rId6"/>
    <sheet name="LabFeed" sheetId="7" state="visible" r:id="rId7"/>
    <sheet name="CleaningLog" sheetId="8" state="visible" r:id="rId8"/>
    <sheet name="Bonus" sheetId="9" state="visible" r:id="rId9"/>
    <sheet name="Answer Key" sheetId="10" state="hidden" r:id="rId10"/>
    <sheet name="Bonus Key" sheetId="11" state="hidden" r:id="rId11"/>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4">
    <numFmt numFmtId="164" formatCode="mm/dd/yyyy"/>
    <numFmt numFmtId="165" formatCode="mm/dd/yyyy hh:mm"/>
    <numFmt numFmtId="166" formatCode="yyyy-mm-dd"/>
    <numFmt numFmtId="167" formatCode="yyyy-mm-dd h:mm:ss"/>
  </numFmts>
  <fonts count="17">
    <font>
      <name val="Calibri"/>
      <family val="2"/>
      <color theme="1"/>
      <sz val="11"/>
      <scheme val="minor"/>
    </font>
    <font>
      <b val="1"/>
      <color rgb="00FFFFFF"/>
    </font>
    <font>
      <b val="1"/>
    </font>
    <font>
      <b val="1"/>
      <color rgb="00000000"/>
    </font>
    <font>
      <b val="1"/>
      <color rgb="007B2C2C"/>
      <sz val="16"/>
    </font>
    <font>
      <i val="1"/>
      <color rgb="00595959"/>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s>
  <fills count="9">
    <fill>
      <patternFill/>
    </fill>
    <fill>
      <patternFill patternType="gray125"/>
    </fill>
    <fill>
      <patternFill patternType="solid">
        <fgColor rgb="001F4E79"/>
      </patternFill>
    </fill>
    <fill>
      <patternFill patternType="solid">
        <fgColor rgb="00FFD966"/>
      </patternFill>
    </fill>
    <fill>
      <patternFill patternType="solid">
        <fgColor rgb="00FFF2CC"/>
      </patternFill>
    </fill>
    <fill>
      <patternFill patternType="solid">
        <fgColor rgb="007B2C2C"/>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45">
    <xf numFmtId="0" fontId="0" fillId="0" borderId="0" pivotButton="0" quotePrefix="0" xfId="0"/>
    <xf numFmtId="0" fontId="13" fillId="0" borderId="0" pivotButton="0" quotePrefix="0" xfId="0"/>
    <xf numFmtId="0" fontId="14" fillId="0" borderId="0" pivotButton="0" quotePrefix="0" xfId="0"/>
    <xf numFmtId="0" fontId="5" fillId="0" borderId="0" pivotButton="0" quotePrefix="0" xfId="0"/>
    <xf numFmtId="0" fontId="15" fillId="2" borderId="0" pivotButton="0" quotePrefix="0" xfId="0"/>
    <xf numFmtId="0" fontId="0" fillId="2"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1"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4" borderId="2" applyAlignment="1" pivotButton="0" quotePrefix="0" xfId="0">
      <alignment horizontal="right" vertical="top"/>
    </xf>
    <xf numFmtId="0" fontId="2" fillId="0" borderId="1" applyAlignment="1" pivotButton="0" quotePrefix="0" xfId="0">
      <alignment vertical="top"/>
    </xf>
    <xf numFmtId="0" fontId="11" fillId="6" borderId="1" applyAlignment="1" pivotButton="0" quotePrefix="0" xfId="0">
      <alignment horizontal="right" vertical="top"/>
    </xf>
    <xf numFmtId="2" fontId="11" fillId="6" borderId="1" applyAlignment="1" pivotButton="0" quotePrefix="0" xfId="0">
      <alignment horizontal="right" vertical="top"/>
    </xf>
    <xf numFmtId="0" fontId="1" fillId="2" borderId="0" pivotButton="0" quotePrefix="0" xfId="0"/>
    <xf numFmtId="0" fontId="2" fillId="0" borderId="0" pivotButton="0" quotePrefix="0" xfId="0"/>
    <xf numFmtId="0" fontId="3" fillId="3" borderId="0" pivotButton="0" quotePrefix="0" xfId="0"/>
    <xf numFmtId="0" fontId="0" fillId="4" borderId="0" pivotButton="0" quotePrefix="0" xfId="0"/>
    <xf numFmtId="164" fontId="0" fillId="4" borderId="0" pivotButton="0" quotePrefix="0" xfId="0"/>
    <xf numFmtId="165" fontId="0" fillId="4" borderId="0" pivotButton="0" quotePrefix="0" xfId="0"/>
    <xf numFmtId="164" fontId="0" fillId="0" borderId="0" pivotButton="0" quotePrefix="0" xfId="0"/>
    <xf numFmtId="0" fontId="0" fillId="0" borderId="0" applyAlignment="1" pivotButton="0" quotePrefix="0" xfId="0">
      <alignment vertical="top"/>
    </xf>
    <xf numFmtId="0" fontId="0" fillId="4" borderId="0" applyAlignment="1" pivotButton="0" quotePrefix="0" xfId="0">
      <alignment vertical="top" wrapText="1"/>
    </xf>
    <xf numFmtId="0" fontId="0" fillId="4" borderId="0" applyAlignment="1" pivotButton="0" quotePrefix="0" xfId="0">
      <alignment vertical="top"/>
    </xf>
    <xf numFmtId="165" fontId="0" fillId="4" borderId="2" applyAlignment="1" pivotButton="0" quotePrefix="0" xfId="0">
      <alignment horizontal="right" vertical="top"/>
    </xf>
    <xf numFmtId="0" fontId="4" fillId="0" borderId="0" pivotButton="0" quotePrefix="0" xfId="0"/>
    <xf numFmtId="0" fontId="5" fillId="0" borderId="0" applyAlignment="1" pivotButton="0" quotePrefix="0" xfId="0">
      <alignment vertical="top" wrapText="1"/>
    </xf>
    <xf numFmtId="0" fontId="1" fillId="5" borderId="1" pivotButton="0" quotePrefix="0" xfId="0"/>
    <xf numFmtId="0" fontId="2" fillId="0" borderId="1" applyAlignment="1" pivotButton="0" quotePrefix="0" xfId="0">
      <alignment vertical="top" wrapText="1"/>
    </xf>
    <xf numFmtId="0" fontId="6" fillId="0" borderId="1" applyAlignment="1" pivotButton="0" quotePrefix="1" xfId="0">
      <alignment vertical="top" wrapText="1"/>
    </xf>
    <xf numFmtId="2" fontId="2" fillId="0" borderId="1" applyAlignment="1" pivotButton="0" quotePrefix="0" xfId="0">
      <alignment vertical="top" wrapText="1"/>
    </xf>
    <xf numFmtId="2" fontId="0" fillId="0" borderId="1" applyAlignment="1" pivotButton="0" quotePrefix="0" xfId="0">
      <alignment vertical="top" wrapText="1"/>
    </xf>
    <xf numFmtId="165" fontId="2"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 Id="rIdXlcMeta" Type="http://schemas.openxmlformats.org/officeDocument/2006/relationships/sheetMetadata" Target="metadata.xml"/></Relationships>
</file>

<file path=xl/tables/table1.xml><?xml version="1.0" encoding="utf-8"?>
<table xmlns="http://schemas.openxmlformats.org/spreadsheetml/2006/main" id="1" name="tblClean" displayName="tblClean" ref="A1:S651" headerRowCount="1">
  <autoFilter ref="A1:S651"/>
  <tableColumns count="19">
    <tableColumn id="1" name="RecordID"/>
    <tableColumn id="2" name="PatientName"/>
    <tableColumn id="3" name="DOB"/>
    <tableColumn id="4" name="Sex"/>
    <tableColumn id="5" name="Phone"/>
    <tableColumn id="6" name="Email"/>
    <tableColumn id="7" name="CityStateZip"/>
    <tableColumn id="8" name="Insurance"/>
    <tableColumn id="9" name="MRN"/>
    <tableColumn id="10" name="RegisteredOn"/>
    <tableColumn id="11" name="NameClean"/>
    <tableColumn id="12" name="DOBClean"/>
    <tableColumn id="13" name="SexClean"/>
    <tableColumn id="14" name="PhoneClean"/>
    <tableColumn id="15" name="ZIP5"/>
    <tableColumn id="16" name="PayerID"/>
    <tableColumn id="17" name="MRNClean"/>
    <tableColumn id="18" name="RegisteredClean"/>
    <tableColumn id="19" name="Keep"/>
  </tableColumns>
  <tableStyleInfo name="TableStyleMedium2" showRowStripes="1"/>
</table>
</file>

<file path=xl/tables/table2.xml><?xml version="1.0" encoding="utf-8"?>
<table xmlns="http://schemas.openxmlformats.org/spreadsheetml/2006/main" id="2" name="tblPayerMap" displayName="tblPayerMap" ref="A1:D20" headerRowCount="1">
  <autoFilter ref="A1:D20"/>
  <tableColumns count="4">
    <tableColumn id="1" name="Variant"/>
    <tableColumn id="2" name="PayerID"/>
    <tableColumn id="3" name="StandardName"/>
    <tableColumn id="4" name="Note"/>
  </tableColumns>
  <tableStyleInfo name="TableStyleMedium2" showRowStripes="1"/>
</table>
</file>

<file path=xl/tables/table3.xml><?xml version="1.0" encoding="utf-8"?>
<table xmlns="http://schemas.openxmlformats.org/spreadsheetml/2006/main" id="3" name="tblLog" displayName="tblLog" ref="A1:F10" headerRowCount="1">
  <autoFilter ref="A1:F10"/>
  <tableColumns count="6">
    <tableColumn id="1" name="Step"/>
    <tableColumn id="2" name="Column"/>
    <tableColumn id="3" name="ProblemFound"/>
    <tableColumn id="4" name="FixApplied"/>
    <tableColumn id="5" name="RowsChanged"/>
    <tableColumn id="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8.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001F4E79"/>
    <outlinePr summaryBelow="1" summaryRight="1"/>
    <pageSetUpPr fitToPage="1"/>
  </sheetPr>
  <dimension ref="B1:C38"/>
  <sheetViews>
    <sheetView tabSelected="1" workbookViewId="0">
      <selection activeCell="A1" sqref="A1"/>
    </sheetView>
  </sheetViews>
  <sheetFormatPr baseColWidth="8" defaultRowHeight="15"/>
  <cols>
    <col width="3" customWidth="1" min="1" max="1"/>
    <col width="26" customWidth="1" min="2" max="2"/>
    <col width="95" customWidth="1" min="3" max="3"/>
  </cols>
  <sheetData>
    <row r="1"/>
    <row r="2">
      <c r="B2" s="1" t="inlineStr">
        <is>
          <t>Lesson 3.3</t>
        </is>
      </c>
    </row>
    <row r="3">
      <c r="B3" s="2" t="inlineStr">
        <is>
          <t>Cleaning Messy Data</t>
        </is>
      </c>
    </row>
    <row r="4">
      <c r="B4" s="3" t="inlineStr">
        <is>
          <t>Intermediate  ·  about 145 minutes  ·  Bluestone Health System (fictional)</t>
        </is>
      </c>
    </row>
    <row r="5"/>
    <row r="6">
      <c r="B6" s="4" t="inlineStr">
        <is>
          <t>What you'll learn</t>
        </is>
      </c>
      <c r="C6" s="5" t="n"/>
    </row>
    <row r="7" ht="18" customHeight="1">
      <c r="B7" s="6" t="inlineStr">
        <is>
          <t>•</t>
        </is>
      </c>
      <c r="C7" s="7" t="inlineStr">
        <is>
          <t>Spot common data problems: stray spaces, inconsistent case and categories, text dates, duplicates</t>
        </is>
      </c>
    </row>
    <row r="8" ht="18" customHeight="1">
      <c r="B8" s="6" t="inlineStr">
        <is>
          <t>•</t>
        </is>
      </c>
      <c r="C8" s="7" t="inlineStr">
        <is>
          <t>Fix them with TRIM, PROPER, SUBSTITUTE, VALUE, DATEVALUE, and lookup mapping tables</t>
        </is>
      </c>
    </row>
    <row r="9" ht="18" customHeight="1">
      <c r="B9" s="6" t="inlineStr">
        <is>
          <t>•</t>
        </is>
      </c>
      <c r="C9" s="7" t="inlineStr">
        <is>
          <t>Use Text to Columns, Flash Fill, Remove Duplicates, and Go To Special</t>
        </is>
      </c>
    </row>
    <row r="10" ht="18" customHeight="1">
      <c r="B10" s="6" t="inlineStr">
        <is>
          <t>•</t>
        </is>
      </c>
      <c r="C10" s="7" t="inlineStr">
        <is>
          <t>Document a repeatable cleaning process</t>
        </is>
      </c>
    </row>
    <row r="11"/>
    <row r="12">
      <c r="B12" s="4" t="inlineStr">
        <is>
          <t>How to use this workbook</t>
        </is>
      </c>
      <c r="C12" s="5" t="n"/>
    </row>
    <row r="13" ht="33" customHeight="1">
      <c r="B13" s="8" t="inlineStr">
        <is>
          <t>1. Read the guide</t>
        </is>
      </c>
      <c r="C13" s="7" t="inlineStr">
        <is>
          <t>The lesson guide (README) explains each skill with examples: https://github.com/lmansf/learn-excel/tree/main/03-data-analysis/03-data-cleaning</t>
        </is>
      </c>
    </row>
    <row r="14" ht="48" customHeight="1">
      <c r="B14" s="8" t="inlineStr">
        <is>
          <t>2. Practice</t>
        </is>
      </c>
      <c r="C14" s="7" t="inlineStr">
        <is>
          <t>Go to the 'Practice' sheet. Type your answers to tasks 1 and 3 in its yellow cells. For tasks 2 and 4–12, do the work on the sheet the task names (Clean, CensusExport, LabFeed, or CleaningLog), and the task's gray cell on Practice reads it.</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18" customHeight="1">
      <c r="B18" s="8" t="inlineStr">
        <is>
          <t>Note</t>
        </is>
      </c>
      <c r="C18" s="7" t="inlineStr">
        <is>
          <t>Clean's last two yellow columns (RegisteredClean and Keep) belong to the Bonus.</t>
        </is>
      </c>
    </row>
    <row r="19" ht="48" customHeight="1">
      <c r="B19" s="8" t="inlineStr">
        <is>
          <t>Note</t>
        </is>
      </c>
      <c r="C19" s="7" t="inlineStr">
        <is>
          <t>Task 3 deletes rows, so do it on a copy of Raw (right-click the Raw tab → Move or Copy → Create a copy). Tasks 4 and 9 change the CensusExport and LabFeed sheets in place. If something goes wrong, press Ctrl + Z (Mac: ⌘ + Z) or download a fresh workbook.</t>
        </is>
      </c>
    </row>
    <row r="20" ht="48" customHeight="1">
      <c r="B20" s="8" t="inlineStr">
        <is>
          <t>Note</t>
        </is>
      </c>
      <c r="C20" s="7" t="inlineStr">
        <is>
          <t>Version notes: XLOOKUP needs Microsoft 365 or Excel 2021+ (use VLOOKUP with FALSE in older versions). MAXIFS needs Excel 2019+. Flash Fill needs Excel 2013+ on Windows, or Excel 2019 / Microsoft 365 on a Mac.</t>
        </is>
      </c>
    </row>
    <row r="21"/>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It reads the work you did on another sheet, so don't type over it.</t>
        </is>
      </c>
    </row>
    <row r="25" ht="18" customHeight="1">
      <c r="B25" s="11" t="inlineStr">
        <is>
          <t>✔ Correct</t>
        </is>
      </c>
      <c r="C25" s="7" t="inlineStr">
        <is>
          <t>Your answer matches the key.</t>
        </is>
      </c>
    </row>
    <row r="26" ht="18" customHeight="1">
      <c r="B26" s="12" t="inlineStr">
        <is>
          <t>✘ Not yet</t>
        </is>
      </c>
      <c r="C26" s="7" t="inlineStr">
        <is>
          <t>Not matching yet. Check the hint and try again.</t>
        </is>
      </c>
    </row>
    <row r="27"/>
    <row r="28">
      <c r="B28" s="4" t="inlineStr">
        <is>
          <t>Sheets in this workbook</t>
        </is>
      </c>
      <c r="C28" s="5" t="n"/>
    </row>
    <row r="29" ht="18" customHeight="1">
      <c r="B29" s="8" t="inlineStr">
        <is>
          <t>Practice</t>
        </is>
      </c>
      <c r="C29" s="7" t="inlineStr">
        <is>
          <t>12 practice tasks, each with a Check cell.</t>
        </is>
      </c>
    </row>
    <row r="30" ht="18" customHeight="1">
      <c r="B30" s="8" t="inlineStr">
        <is>
          <t>Raw</t>
        </is>
      </c>
      <c r="C30" s="7" t="inlineStr">
        <is>
          <t>Data: 650 rows. The registration export exactly as received. Read it, but never edit it.</t>
        </is>
      </c>
    </row>
    <row r="31" ht="33" customHeight="1">
      <c r="B31" s="8" t="inlineStr">
        <is>
          <t>Clean</t>
        </is>
      </c>
      <c r="C31" s="7" t="inlineStr">
        <is>
          <t>Data: 650 rows, in the Excel Table 'tblClean'. Your working copy of Raw. Fill its yellow columns: K–Q in the practice tasks, and R–S in the bonus.</t>
        </is>
      </c>
    </row>
    <row r="32" ht="33" customHeight="1">
      <c r="B32" s="8" t="inlineStr">
        <is>
          <t>PayerMap</t>
        </is>
      </c>
      <c r="C32" s="7" t="inlineStr">
        <is>
          <t>Data: 19 rows, in the Excel Table 'tblPayerMap'. The mapping table that turns each insurance spelling into a PayerID (task 8).</t>
        </is>
      </c>
    </row>
    <row r="33" ht="33" customHeight="1">
      <c r="B33" s="8" t="inlineStr">
        <is>
          <t>CensusExport</t>
        </is>
      </c>
      <c r="C33" s="7" t="inlineStr">
        <is>
          <t>Data: 49 rows. A one-week bed-board census export with blank Facility and Unit cells to fill (task 4).</t>
        </is>
      </c>
    </row>
    <row r="34" ht="18" customHeight="1">
      <c r="B34" s="8" t="inlineStr">
        <is>
          <t>LabFeed</t>
        </is>
      </c>
      <c r="C34" s="7" t="inlineStr">
        <is>
          <t>Data: 116 rows. A pipe-delimited lab interface feed to split with Text to Columns (task 9).</t>
        </is>
      </c>
    </row>
    <row r="35" ht="33" customHeight="1">
      <c r="B35" s="8" t="inlineStr">
        <is>
          <t>CleaningLog</t>
        </is>
      </c>
      <c r="C35" s="7" t="inlineStr">
        <is>
          <t>Data: 9 rows, in the Excel Table 'tblLog'. Your cleaning log. Fill in its yellow cells as you go. Task 12 checks step 2's RowsChanged cell.</t>
        </is>
      </c>
    </row>
    <row r="36" ht="18" customHeight="1">
      <c r="B36" s="8" t="inlineStr">
        <is>
          <t>Bonus</t>
        </is>
      </c>
      <c r="C36" s="7" t="inlineStr">
        <is>
          <t>The bonus challenge (5 parts).</t>
        </is>
      </c>
    </row>
    <row r="37" ht="48" customHeight="1">
      <c r="B37" s="8" t="inlineStr">
        <is>
          <t>About the data</t>
        </is>
      </c>
      <c r="C37" s="7" t="inlineStr">
        <is>
          <t>A 650-row patient registration export from Bluestone's legacy registration system (names, DOBs, phones, insurance, and MRNs typed every which way, plus duplicates), a payer mapping table, a one-week bed-board census export, and a 116-line lab interface feed from Cedar Ridge Medical Center.</t>
        </is>
      </c>
    </row>
    <row r="38" ht="18" customHeight="1">
      <c r="B38" s="8" t="inlineStr">
        <is>
          <t>Disclaimer</t>
        </is>
      </c>
      <c r="C38"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7"/>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3.3 · Practice</t>
        </is>
      </c>
    </row>
    <row r="2" ht="49" customHeight="1">
      <c r="A2" s="14" t="inlineStr">
        <is>
          <t>Raw is the untouched export: never edit it. Clean is your working copy of the same 650 rows, with yellow columns to fill. For a column task, type the formula in row 2 of the yellow column. Clean is an Excel Table, so the formula fills down by itself. A gray cell here then checks the whole column. Other tasks use the CensusExport, LabFeed, and CleaningLog sheets.</t>
        </is>
      </c>
    </row>
    <row r="3" ht="34" customHeight="1">
      <c r="A3" s="15" t="inlineStr">
        <is>
          <t>For tasks 1 and 3, type a formula or value in the yellow cell. For the other tasks, do the work on the sheet the task names, and the gray cell here reads it. The Check column turns green when your answer matches. Stuck? Read the hint, then the lesson guide. Answers: right-click a sheet tab → Unhide… → 'Answer Key'.</t>
        </is>
      </c>
    </row>
    <row r="4">
      <c r="A4" s="16">
        <f>"Score: "&amp;COUNTIF(E6:E17,"✔*")&amp;" of 12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Profile first. On the Raw sheet, how many PatientName values contain extra spaces (leading, trailing, or doubled)? Compare each name's length with the length of its TRIMmed version.</t>
        </is>
      </c>
      <c r="C6" s="20" t="inlineStr">
        <is>
          <t>LEN(x)&lt;&gt;LEN(TRIM(x)) is TRUE when TRIM would remove something. SUMPRODUCT(--(…)) counts the TRUEs</t>
        </is>
      </c>
      <c r="D6" s="21" t="n"/>
      <c r="E6" s="22">
        <f>IF(IFERROR(D6="",FALSE),"",IF(IFERROR(AND(ISNUMBER(D6),OR(ABS(D6-'Answer Key'!$C$5)&lt;=0.0001)),FALSE),"✔ Correct","✘ Not yet"))</f>
        <v/>
      </c>
    </row>
    <row r="7" ht="66" customHeight="1">
      <c r="A7" s="18" t="inlineStr">
        <is>
          <t>2</t>
        </is>
      </c>
      <c r="B7" s="19" t="inlineStr">
        <is>
          <t>On the Clean sheet, fill the yellow SexClean column (M) with a single capital letter, F or M. The raw Sex column has 10 spellings, including Female, MALE, lowercase f, and values with a stray space. The gray cell counts cells that are exactly F (case-sensitive).</t>
        </is>
      </c>
      <c r="C7" s="20" t="inlineStr">
        <is>
          <t>TRIM first, then take the first letter, then capitalize it</t>
        </is>
      </c>
      <c r="D7" cm="1" s="23">
        <f t="array" ref="D7">IF(COUNTA(Clean!M2:M651)=0,"",SUMPRODUCT(--EXACT(Clean!M2:M651,"F")))</f>
        <v/>
      </c>
      <c r="E7" s="22">
        <f>IF(IFERROR(D7="",FALSE),"",IF(IFERROR(AND(ISNUMBER(D7),OR(ABS(D7-'Answer Key'!$C$6)&lt;=0.0001)),FALSE),"✔ Correct","✘ Not yet"))</f>
        <v/>
      </c>
    </row>
    <row r="8" ht="81" customHeight="1">
      <c r="A8" s="18" t="inlineStr">
        <is>
          <t>3</t>
        </is>
      </c>
      <c r="B8" s="19" t="inlineStr">
        <is>
          <t>Make a copy of the Raw sheet (right-click its tab → Move or Copy… → tick Create a copy). On the copy, run Data → Remove Duplicates on all the data (A1:J651) with every column ticked except RecordID (each row has its own RecordID, so leaving it ticked finds nothing). How many duplicate rows does Excel remove?</t>
        </is>
      </c>
      <c r="C8" s="20" t="inlineStr">
        <is>
          <t>Untick RecordID in the Remove Duplicates dialog. Excel's message tells you the count</t>
        </is>
      </c>
      <c r="D8" s="21" t="n"/>
      <c r="E8" s="22">
        <f>IF(IFERROR(D8="",FALSE),"",IF(IFERROR(AND(ISNUMBER(D8),OR(ABS(D8-'Answer Key'!$C$7)&lt;=0.0001)),FALSE),"✔ Correct","✘ Not yet"))</f>
        <v/>
      </c>
    </row>
    <row r="9" ht="96" customHeight="1">
      <c r="A9" s="18" t="inlineStr">
        <is>
          <t>4</t>
        </is>
      </c>
      <c r="B9" s="19" t="inlineStr">
        <is>
          <t>Switch to CensusExport, a bed-board report that prints each Facility and Unit only on the first row of its block. Fill every blank cell in A2:B50 with the value above it: select that range, use Go To Special → Blanks, type = and press the Up arrow, then press Ctrl + Enter (Mac: ⌘ + Return). The gray cell stays blank until every gap is filled, then totals the week's midnight census for the Intensive Care Unit at Cedar Ridge Medical Center (ICU patient days).</t>
        </is>
      </c>
      <c r="C9" s="20" t="inlineStr">
        <is>
          <t>Go To Special selects only the blanks, and Ctrl + Enter fills them all with one relative formula</t>
        </is>
      </c>
      <c r="D9" cm="1" s="23">
        <f t="array" ref="D9">IF(COUNTBLANK(CensusExport!A2:B50)&gt;0,"",SUMIFS(CensusExport!E2:E50,CensusExport!A2:A50,"Cedar Ridge Medical Center",CensusExport!B2:B50,"Intensive Care Unit"))</f>
        <v/>
      </c>
      <c r="E9" s="22">
        <f>IF(IFERROR(D9="",FALSE),"",IF(IFERROR(AND(ISNUMBER(D9),OR(ABS(D9-'Answer Key'!$C$8)&lt;=0.0001)),FALSE),"✔ Correct","✘ Not yet"))</f>
        <v/>
      </c>
    </row>
    <row r="10" ht="96" customHeight="1">
      <c r="A10" s="18" t="inlineStr">
        <is>
          <t>5</t>
        </is>
      </c>
      <c r="B10" s="19" t="inlineStr">
        <is>
          <t>Back on Clean, use Flash Fill to fill the yellow ZIP5 column (O) with the 5-digit ZIP from CityStateZip. 101 rows carry a ZIP+4 such as 45501-8106, and those must become 45501. Type three examples yourself: rows 2 and 3, plus the first ZIP+4 row (row 11). Then select the first empty cell and press Ctrl + E (Mac: Data → Flash Fill). The gray cell counts the distinct ZIP codes in your column.</t>
        </is>
      </c>
      <c r="C10" s="20" t="inlineStr">
        <is>
          <t>Give Flash Fill an example from each layout, especially a ZIP+4 row</t>
        </is>
      </c>
      <c r="D10" cm="1" s="23">
        <f t="array" ref="D10">IF(COUNTA(Clean!O2:O651)=0,"",SUMPRODUCT((Clean!O2:O651&lt;&gt;"")/COUNTIF(Clean!O2:O651,Clean!O2:O651&amp;"")))</f>
        <v/>
      </c>
      <c r="E10" s="22">
        <f>IF(IFERROR(D10="",FALSE),"",IF(IFERROR(AND(ISNUMBER(D10),OR(ABS(D10-'Answer Key'!$C$9)&lt;=0.0001)),FALSE),"✔ Correct","✘ Not yet"))</f>
        <v/>
      </c>
    </row>
    <row r="11" ht="66" customHeight="1">
      <c r="A11" s="18" t="inlineStr">
        <is>
          <t>6</t>
        </is>
      </c>
      <c r="B11" s="19" t="inlineStr">
        <is>
          <t>Fill the yellow PhoneClean column (N) with each phone as exactly 10 digits and nothing else, or an empty result when Phone is blank. Phones arrive as (555) 476-7432, 555-722-8468, 555.468.7891, 5553869767, and +1 555 597 3811. The gray cell counts rows that end up with exactly 10 digits.</t>
        </is>
      </c>
      <c r="C11" s="20" t="inlineStr">
        <is>
          <t>Nest one SUBSTITUTE per unwanted character, then keep the RIGHT 10 characters</t>
        </is>
      </c>
      <c r="D11" cm="1" s="23">
        <f t="array" ref="D11">IF(COUNTA(Clean!N2:N651)=0,"",SUMPRODUCT((LEN(Clean!N2:N651)=10)*ISNUMBER(--Clean!N2:N651)))</f>
        <v/>
      </c>
      <c r="E11" s="22">
        <f>IF(IFERROR(D11="",FALSE),"",IF(IFERROR(AND(ISNUMBER(D11),OR(ABS(D11-'Answer Key'!$C$10)&lt;=0.0001)),FALSE),"✔ Correct","✘ Not yet"))</f>
        <v/>
      </c>
    </row>
    <row r="12" ht="66" customHeight="1">
      <c r="A12" s="18" t="inlineStr">
        <is>
          <t>7</t>
        </is>
      </c>
      <c r="B12" s="19" t="inlineStr">
        <is>
          <t>Fill the yellow MRNClean column (Q) with every MRN as 8-digit text: 05927600, not MRN-05927600, and 01955231, not 1955231. The gray cell first checks that every value is 8 characters long, then counts the distinct MRNs, which is the number of real patients in the file.</t>
        </is>
      </c>
      <c r="C12" s="20" t="inlineStr">
        <is>
          <t>Remove the prefix with SUBSTITUTE, make it a number with VALUE, then pad it back with TEXT(…,"00000000")</t>
        </is>
      </c>
      <c r="D12" cm="1" s="23">
        <f t="array" ref="D12">IF(COUNTA(Clean!Q2:Q651)=0,"",IF(SUMPRODUCT(--(LEN(Clean!Q2:Q651)&lt;&gt;8))&gt;0,"MRN not 8 chars",SUMPRODUCT((Clean!Q2:Q651&lt;&gt;"")/COUNTIF(Clean!Q2:Q651,Clean!Q2:Q651&amp;""))))</f>
        <v/>
      </c>
      <c r="E12" s="22">
        <f>IF(IFERROR(D12="",FALSE),"",IF(IFERROR(AND(ISNUMBER(D12),OR(ABS(D12-'Answer Key'!$C$11)&lt;=0.0001)),FALSE),"✔ Correct","✘ Not yet"))</f>
        <v/>
      </c>
    </row>
    <row r="13" ht="81" customHeight="1">
      <c r="A13" s="18" t="inlineStr">
        <is>
          <t>8</t>
        </is>
      </c>
      <c r="B13" s="19" t="inlineStr">
        <is>
          <t>Fill the yellow PayerID column (P) by looking up each Insurance value in the PayerMap table, so all 30 spellings become one of seven PayerIDs. Some values carry a trailing space. Return UNMAPPED for anything missing from the map. The gray cell shows a warning if any row is unmapped. Otherwise it counts PY02 (Silverline Medicare Advantage) rows.</t>
        </is>
      </c>
      <c r="C13" s="20" t="inlineStr">
        <is>
          <t>XLOOKUP the TRIMmed Insurance value in tblPayerMap, and use XLOOKUP's if_not_found argument for UNMAPPED</t>
        </is>
      </c>
      <c r="D13" cm="1" s="23">
        <f t="array" ref="D13">IF(COUNTA(Clean!P2:P651)=0,"",IF(COUNTIF(Clean!P2:P651,"PY*")&lt;ROWS(Clean!P2:P651),"Unmapped rows",COUNTIF(Clean!P2:P651,"PY02")))</f>
        <v/>
      </c>
      <c r="E13" s="22">
        <f>IF(IFERROR(D13="",FALSE),"",IF(IFERROR(AND(ISNUMBER(D13),OR(ABS(D13-'Answer Key'!$C$12)&lt;=0.0001)),FALSE),"✔ Correct","✘ Not yet"))</f>
        <v/>
      </c>
    </row>
    <row r="14" ht="96" customHeight="1">
      <c r="A14" s="18" t="inlineStr">
        <is>
          <t>9</t>
        </is>
      </c>
      <c r="B14" s="19" t="inlineStr">
        <is>
          <t>Switch to LabFeed: 116 STAT results from a lab interface, each crammed into one cell as MRN|TestCode|Result|Units|CollectedDateTime. Split A1:A117 into five columns with Data → Text to Columns (Delimited, Other: |). In step 3 of the wizard, set the MRN column's format to Text so its leading zeros survive. The gray cell checks the MRNs, then shows the average potassium (TestCode K) result in mmol/L.</t>
        </is>
      </c>
      <c r="C14" s="20" t="inlineStr">
        <is>
          <t>Text to Columns step 3: click the first column in the preview, then choose Text</t>
        </is>
      </c>
      <c r="D14" cm="1" s="24">
        <f t="array" ref="D14">IF(COUNTA(LabFeed!C2:C117)=0,"",IF(SUMPRODUCT(--(LEN(LabFeed!A2:A117)&lt;&gt;8))&gt;0,"MRN lost zeros",AVERAGEIF(LabFeed!B2:B117,"K",LabFeed!C2:C117)))</f>
        <v/>
      </c>
      <c r="E14" s="22">
        <f>IF(IFERROR(D14="",FALSE),"",IF(IFERROR(AND(ISNUMBER(D14),OR(ABS(D14-'Answer Key'!$C$13)&lt;=0.0051)),FALSE),"✔ Correct","✘ Not yet"))</f>
        <v/>
      </c>
    </row>
    <row r="15" ht="96" customHeight="1">
      <c r="A15" s="18" t="inlineStr">
        <is>
          <t>10</t>
        </is>
      </c>
      <c r="B15" s="19" t="inlineStr">
        <is>
          <t>Fill the yellow NameClean column (K) with every name as First Last in Proper Case, with single spaces. For example, "Haddad, Jonathan" becomes Jonathan Haddad, "  Alexander ,  Gary " becomes Gary Alexander, and "Amber White" stays Amber White. 92 rows are already First Last (no comma). The gray cell warns if any name still has extra spaces or is ALL CAPS or all lowercase. Otherwise it counts distinct names.</t>
        </is>
      </c>
      <c r="C15" s="20" t="inlineStr">
        <is>
          <t>IF(ISNUMBER(FIND(",",B2)), flip the two parts, just TRIM), then wrap everything in PROPER</t>
        </is>
      </c>
      <c r="D15" cm="1" s="23">
        <f t="array" ref="D15">IF(COUNTA(Clean!K2:K651)=0,"",IF(SUMPRODUCT(EXACT(Clean!K2:K651,UPPER(Clean!K2:K651))+EXACT(Clean!K2:K651,LOWER(Clean!K2:K651))+NOT(EXACT(Clean!K2:K651,TRIM(Clean!K2:K651))))&gt;0,"Fix spaces/case",SUMPRODUCT((Clean!K2:K651&lt;&gt;"")/COUNTIF(Clean!K2:K651,Clean!K2:K651&amp;""))))</f>
        <v/>
      </c>
      <c r="E15" s="22">
        <f>IF(IFERROR(D15="",FALSE),"",IF(IFERROR(AND(ISNUMBER(D15),OR(ABS(D15-'Answer Key'!$C$14)&lt;=0.0001)),FALSE),"✔ Correct","✘ Not yet"))</f>
        <v/>
      </c>
    </row>
    <row r="16" ht="96" customHeight="1">
      <c r="A16" s="18" t="inlineStr">
        <is>
          <t>11</t>
        </is>
      </c>
      <c r="B16" s="19" t="inlineStr">
        <is>
          <t>Fill the yellow DOBClean column (L) with real dates. DOB is text in five layouts: 2002-03-31, 03-Apr-1957, 08/06/1989, 3/22/1961, and 01.11.2003. The export is from a U.S. system, so the slash and dot layouts are month first. The gray cell checks that every row is a real date, then counts DOBs that fall on the 13th or later of their month (a quick test that month and day weren't swapped).</t>
        </is>
      </c>
      <c r="C16" s="20" t="inlineStr">
        <is>
          <t>DATEVALUE can't read 01.11.2003 until the dots become slashes. For a version that works with any regional setting, build DATE(year, month, day) from the pieces</t>
        </is>
      </c>
      <c r="D16" cm="1" s="23">
        <f t="array" ref="D16">IF(COUNTA(Clean!L2:L651)=0,"",IF(COUNT(Clean!L2:L651)&lt;ROWS(Clean!L2:L651),"Not all dates yet",SUMPRODUCT(--(DAY(Clean!L2:L651)&gt;12))))</f>
        <v/>
      </c>
      <c r="E16" s="22">
        <f>IF(IFERROR(D16="",FALSE),"",IF(IFERROR(AND(ISNUMBER(D16),OR(ABS(D16-'Answer Key'!$C$15)&lt;=0.0001)),FALSE),"✔ Correct","✘ Not yet"))</f>
        <v/>
      </c>
    </row>
    <row r="17" ht="66" customHeight="1">
      <c r="A17" s="18" t="inlineStr">
        <is>
          <t>12</t>
        </is>
      </c>
      <c r="B17" s="19" t="inlineStr">
        <is>
          <t>Document your work. On the CleaningLog sheet, put a formula in the yellow RowsChanged cell for step 2 (E3) that counts how many rows your SexClean column actually changed: rows where the raw Sex value is not exactly the same as SexClean (case-sensitive). The gray cell here reads your log entry.</t>
        </is>
      </c>
      <c r="C17" s="20" t="inlineStr">
        <is>
          <t>EXACT compares case-sensitively, NOT flips TRUE and FALSE, and SUMPRODUCT(--…) counts the TRUEs</t>
        </is>
      </c>
      <c r="D17" cm="1" s="23">
        <f t="array" ref="D17">IF(CleaningLog!E3="","",CleaningLog!E3)</f>
        <v/>
      </c>
      <c r="E17" s="22">
        <f>IF(IFERROR(D17="",FALSE),"",IF(IFERROR(AND(ISNUMBER(D17),OR(ABS(D17-'Answer Key'!$C$16)&lt;=0.0001)),FALSE),"✔ Correct","✘ Not yet"))</f>
        <v/>
      </c>
    </row>
  </sheetData>
  <mergeCells count="3">
    <mergeCell ref="A2:E2"/>
    <mergeCell ref="A4:C4"/>
    <mergeCell ref="A3:E3"/>
  </mergeCells>
  <conditionalFormatting sqref="E6:E17">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7F7F7F"/>
    <outlinePr summaryBelow="1" summaryRight="1"/>
    <pageSetUpPr/>
  </sheetPr>
  <dimension ref="A1:J651"/>
  <sheetViews>
    <sheetView tabSelected="0" workbookViewId="0">
      <pane ySplit="1" topLeftCell="A2" activePane="bottomLeft" state="frozen"/>
      <selection pane="bottomLeft" activeCell="A1" sqref="A1"/>
    </sheetView>
  </sheetViews>
  <sheetFormatPr baseColWidth="8" defaultRowHeight="15"/>
  <cols>
    <col width="10" customWidth="1" min="1" max="1"/>
    <col width="26" customWidth="1" min="2" max="2"/>
    <col width="12" customWidth="1" min="3" max="3"/>
    <col width="8" customWidth="1" min="4" max="4"/>
    <col width="17" customWidth="1" min="5" max="5"/>
    <col width="34" customWidth="1" min="6" max="6"/>
    <col width="28" customWidth="1" min="7" max="7"/>
    <col width="30" customWidth="1" min="8" max="8"/>
    <col width="14" customWidth="1" min="9" max="9"/>
    <col width="21" customWidth="1" min="10" max="10"/>
  </cols>
  <sheetData>
    <row r="1">
      <c r="A1" s="25" t="inlineStr">
        <is>
          <t>RecordID</t>
        </is>
      </c>
      <c r="B1" s="25" t="inlineStr">
        <is>
          <t>PatientName</t>
        </is>
      </c>
      <c r="C1" s="25" t="inlineStr">
        <is>
          <t>DOB</t>
        </is>
      </c>
      <c r="D1" s="25" t="inlineStr">
        <is>
          <t>Sex</t>
        </is>
      </c>
      <c r="E1" s="25" t="inlineStr">
        <is>
          <t>Phone</t>
        </is>
      </c>
      <c r="F1" s="25" t="inlineStr">
        <is>
          <t>Email</t>
        </is>
      </c>
      <c r="G1" s="25" t="inlineStr">
        <is>
          <t>CityStateZip</t>
        </is>
      </c>
      <c r="H1" s="25" t="inlineStr">
        <is>
          <t>Insurance</t>
        </is>
      </c>
      <c r="I1" s="25" t="inlineStr">
        <is>
          <t>MRN</t>
        </is>
      </c>
      <c r="J1" s="25" t="inlineStr">
        <is>
          <t>RegisteredOn</t>
        </is>
      </c>
    </row>
    <row r="2">
      <c r="A2" t="inlineStr">
        <is>
          <t>R1001</t>
        </is>
      </c>
      <c r="B2" t="inlineStr">
        <is>
          <t>Haddad, Jonathan</t>
        </is>
      </c>
      <c r="C2" t="inlineStr">
        <is>
          <t>2002-03-31</t>
        </is>
      </c>
      <c r="D2" t="inlineStr">
        <is>
          <t>M</t>
        </is>
      </c>
      <c r="E2" t="inlineStr">
        <is>
          <t>555.468.7891</t>
        </is>
      </c>
      <c r="F2" t="inlineStr">
        <is>
          <t>jonathan.haddad30@example.com</t>
        </is>
      </c>
      <c r="G2" t="inlineStr">
        <is>
          <t>Bluestone OH 45501</t>
        </is>
      </c>
      <c r="H2" t="inlineStr">
        <is>
          <t>Medicaid</t>
        </is>
      </c>
      <c r="I2" t="inlineStr">
        <is>
          <t>04979796</t>
        </is>
      </c>
      <c r="J2" t="inlineStr">
        <is>
          <t>2015-11-06 18:33:00</t>
        </is>
      </c>
    </row>
    <row r="3">
      <c r="A3" t="inlineStr">
        <is>
          <t>R1002</t>
        </is>
      </c>
      <c r="B3" t="inlineStr">
        <is>
          <t>Powell, Wei</t>
        </is>
      </c>
      <c r="C3" t="inlineStr">
        <is>
          <t>03-Apr-1957</t>
        </is>
      </c>
      <c r="D3" t="inlineStr">
        <is>
          <t>M</t>
        </is>
      </c>
      <c r="E3" t="inlineStr">
        <is>
          <t>(555) 476-7432</t>
        </is>
      </c>
      <c r="G3" t="inlineStr">
        <is>
          <t>CEDAR RIDGE, OH 45720</t>
        </is>
      </c>
      <c r="H3" t="inlineStr">
        <is>
          <t xml:space="preserve">Medicare </t>
        </is>
      </c>
      <c r="I3" t="inlineStr">
        <is>
          <t>01261473</t>
        </is>
      </c>
      <c r="J3" t="inlineStr">
        <is>
          <t>2023-05-03 16:02:00</t>
        </is>
      </c>
    </row>
    <row r="4">
      <c r="A4" t="inlineStr">
        <is>
          <t>R1003</t>
        </is>
      </c>
      <c r="B4" t="inlineStr">
        <is>
          <t>Campbell, Virginia</t>
        </is>
      </c>
      <c r="C4" t="inlineStr">
        <is>
          <t>08/06/1989</t>
        </is>
      </c>
      <c r="D4" t="inlineStr">
        <is>
          <t>Female</t>
        </is>
      </c>
      <c r="E4" t="inlineStr">
        <is>
          <t>(555) 455-0735</t>
        </is>
      </c>
      <c r="F4" t="inlineStr">
        <is>
          <t>virginia.campbell86@example.com</t>
        </is>
      </c>
      <c r="G4" t="inlineStr">
        <is>
          <t>Riverbend, OH 45545</t>
        </is>
      </c>
      <c r="H4" t="inlineStr">
        <is>
          <t>Summit Choice</t>
        </is>
      </c>
      <c r="I4" t="inlineStr">
        <is>
          <t>09849286</t>
        </is>
      </c>
      <c r="J4" t="inlineStr">
        <is>
          <t>2008-02-22 14:10:00</t>
        </is>
      </c>
    </row>
    <row r="5">
      <c r="A5" t="inlineStr">
        <is>
          <t>R1004</t>
        </is>
      </c>
      <c r="B5" t="inlineStr">
        <is>
          <t>MURRAY, MARGARET</t>
        </is>
      </c>
      <c r="C5" t="inlineStr">
        <is>
          <t>28-Dec-1993</t>
        </is>
      </c>
      <c r="D5" t="inlineStr">
        <is>
          <t>F</t>
        </is>
      </c>
      <c r="E5" t="inlineStr">
        <is>
          <t>(555) 841-8432</t>
        </is>
      </c>
      <c r="G5" t="inlineStr">
        <is>
          <t>Bluestone, OH 45501</t>
        </is>
      </c>
      <c r="H5" t="inlineStr">
        <is>
          <t>evergreen mutual insurance</t>
        </is>
      </c>
      <c r="I5" t="inlineStr">
        <is>
          <t>MRN-05927600</t>
        </is>
      </c>
      <c r="J5" t="inlineStr">
        <is>
          <t>05/30/2022 05:42 PM</t>
        </is>
      </c>
    </row>
    <row r="6">
      <c r="A6" t="inlineStr">
        <is>
          <t>R1005</t>
        </is>
      </c>
      <c r="B6" t="inlineStr">
        <is>
          <t>ELLIS, JOSEPH</t>
        </is>
      </c>
      <c r="C6" t="inlineStr">
        <is>
          <t>1960-07-05</t>
        </is>
      </c>
      <c r="D6" t="inlineStr">
        <is>
          <t>M</t>
        </is>
      </c>
      <c r="E6" t="inlineStr">
        <is>
          <t>(555) 914-3619</t>
        </is>
      </c>
      <c r="G6" t="inlineStr">
        <is>
          <t>LAKEVIEW HEIGHTS, OH 45510</t>
        </is>
      </c>
      <c r="H6" t="inlineStr">
        <is>
          <t>Medicare</t>
        </is>
      </c>
      <c r="I6" t="inlineStr">
        <is>
          <t>07075701</t>
        </is>
      </c>
      <c r="J6" t="inlineStr">
        <is>
          <t>01/16/2024 06:58 PM</t>
        </is>
      </c>
    </row>
    <row r="7">
      <c r="A7" t="inlineStr">
        <is>
          <t>R1006</t>
        </is>
      </c>
      <c r="B7" t="inlineStr">
        <is>
          <t>BOYD, DOUGLAS</t>
        </is>
      </c>
      <c r="C7" t="inlineStr">
        <is>
          <t>02/18/1928</t>
        </is>
      </c>
      <c r="D7" t="inlineStr">
        <is>
          <t>Male</t>
        </is>
      </c>
      <c r="E7" t="inlineStr">
        <is>
          <t>555-722-8468</t>
        </is>
      </c>
      <c r="G7" t="inlineStr">
        <is>
          <t>Granite Springs OH 45750</t>
        </is>
      </c>
      <c r="H7" t="inlineStr">
        <is>
          <t>Silverline Medicare Advantage</t>
        </is>
      </c>
      <c r="I7" t="inlineStr">
        <is>
          <t>09093811</t>
        </is>
      </c>
      <c r="J7" t="inlineStr">
        <is>
          <t>01/05/2025 04:03 PM</t>
        </is>
      </c>
    </row>
    <row r="8">
      <c r="A8" t="inlineStr">
        <is>
          <t>R1007</t>
        </is>
      </c>
      <c r="B8" t="inlineStr">
        <is>
          <t>perry, janet</t>
        </is>
      </c>
      <c r="C8" t="inlineStr">
        <is>
          <t>05/18/1950</t>
        </is>
      </c>
      <c r="D8" t="inlineStr">
        <is>
          <t>F</t>
        </is>
      </c>
      <c r="E8" t="inlineStr">
        <is>
          <t>555-261-7228</t>
        </is>
      </c>
      <c r="F8" t="inlineStr">
        <is>
          <t>none</t>
        </is>
      </c>
      <c r="G8" t="inlineStr">
        <is>
          <t>Granite Springs, OH 45750</t>
        </is>
      </c>
      <c r="H8" t="inlineStr">
        <is>
          <t>Silverline Medicare Advantage</t>
        </is>
      </c>
      <c r="I8" t="inlineStr">
        <is>
          <t>05265401</t>
        </is>
      </c>
      <c r="J8" t="inlineStr">
        <is>
          <t>09/21/2022 07:12 AM</t>
        </is>
      </c>
    </row>
    <row r="9">
      <c r="A9" t="inlineStr">
        <is>
          <t>R1008</t>
        </is>
      </c>
      <c r="B9" t="inlineStr">
        <is>
          <t>Hunter, Austin</t>
        </is>
      </c>
      <c r="C9" t="inlineStr">
        <is>
          <t>09/16/1957</t>
        </is>
      </c>
      <c r="D9" t="inlineStr">
        <is>
          <t>MALE</t>
        </is>
      </c>
      <c r="E9" t="inlineStr">
        <is>
          <t>(555) 570-6678</t>
        </is>
      </c>
      <c r="F9" t="inlineStr">
        <is>
          <t>austin.hunter80@example.com</t>
        </is>
      </c>
      <c r="G9" t="inlineStr">
        <is>
          <t>BLUESTONE, OH 45502</t>
        </is>
      </c>
      <c r="H9" t="inlineStr">
        <is>
          <t>SILVERLINE MEDICARE ADV.</t>
        </is>
      </c>
      <c r="I9" t="inlineStr">
        <is>
          <t>04897542</t>
        </is>
      </c>
      <c r="J9" t="inlineStr">
        <is>
          <t>2018-03-02 10:39:00</t>
        </is>
      </c>
    </row>
    <row r="10">
      <c r="A10" t="inlineStr">
        <is>
          <t>R1009</t>
        </is>
      </c>
      <c r="B10" t="inlineStr">
        <is>
          <t xml:space="preserve">  Alexander ,  Gary </t>
        </is>
      </c>
      <c r="C10" t="inlineStr">
        <is>
          <t>11/25/1948</t>
        </is>
      </c>
      <c r="D10" t="inlineStr">
        <is>
          <t>MALE</t>
        </is>
      </c>
      <c r="E10" t="inlineStr">
        <is>
          <t>555-509-5785</t>
        </is>
      </c>
      <c r="G10" t="inlineStr">
        <is>
          <t>Bluestone, OH 45501</t>
        </is>
      </c>
      <c r="H10" t="inlineStr">
        <is>
          <t xml:space="preserve">Silverline Medicare Advantage </t>
        </is>
      </c>
      <c r="I10" t="inlineStr">
        <is>
          <t>05801986</t>
        </is>
      </c>
      <c r="J10" t="inlineStr">
        <is>
          <t>05/18/2013 12:46 PM</t>
        </is>
      </c>
    </row>
    <row r="11">
      <c r="A11" t="inlineStr">
        <is>
          <t>R1010</t>
        </is>
      </c>
      <c r="B11" t="inlineStr">
        <is>
          <t xml:space="preserve">  Watson ,  Amy </t>
        </is>
      </c>
      <c r="C11" t="inlineStr">
        <is>
          <t>12/25/1980</t>
        </is>
      </c>
      <c r="D11" t="inlineStr">
        <is>
          <t xml:space="preserve"> F</t>
        </is>
      </c>
      <c r="E11" t="inlineStr">
        <is>
          <t>(555) 815-2249</t>
        </is>
      </c>
      <c r="G11" t="inlineStr">
        <is>
          <t>Bluestone, OH 45501-8106</t>
        </is>
      </c>
      <c r="H11" t="inlineStr">
        <is>
          <t>STATE MEDICAID</t>
        </is>
      </c>
      <c r="I11" t="inlineStr">
        <is>
          <t>1955231</t>
        </is>
      </c>
      <c r="J11" t="inlineStr">
        <is>
          <t>08/04/2018 10:40 AM</t>
        </is>
      </c>
    </row>
    <row r="12">
      <c r="A12" t="inlineStr">
        <is>
          <t>R1011</t>
        </is>
      </c>
      <c r="B12" t="inlineStr">
        <is>
          <t xml:space="preserve">  Ferguson ,  Carolyn </t>
        </is>
      </c>
      <c r="C12" t="inlineStr">
        <is>
          <t>14-Jan-2019</t>
        </is>
      </c>
      <c r="D12" t="inlineStr">
        <is>
          <t xml:space="preserve"> F</t>
        </is>
      </c>
      <c r="F12" t="inlineStr">
        <is>
          <t>N/A</t>
        </is>
      </c>
      <c r="G12" t="inlineStr">
        <is>
          <t>Oak Glen OH 45730</t>
        </is>
      </c>
      <c r="H12" t="inlineStr">
        <is>
          <t>KEYSTONE HEALTH PARTNERS</t>
        </is>
      </c>
      <c r="I12" t="inlineStr">
        <is>
          <t>MRN-06388981</t>
        </is>
      </c>
      <c r="J12" t="inlineStr">
        <is>
          <t>11/03/2020 05:27 PM</t>
        </is>
      </c>
    </row>
    <row r="13">
      <c r="A13" t="inlineStr">
        <is>
          <t>R1012</t>
        </is>
      </c>
      <c r="B13" t="inlineStr">
        <is>
          <t>Gomez, Walter</t>
        </is>
      </c>
      <c r="C13" t="inlineStr">
        <is>
          <t>12/16/1958</t>
        </is>
      </c>
      <c r="D13" t="inlineStr">
        <is>
          <t xml:space="preserve">M </t>
        </is>
      </c>
      <c r="E13" t="inlineStr">
        <is>
          <t>(555) 402-9498</t>
        </is>
      </c>
      <c r="F13" t="inlineStr">
        <is>
          <t>none</t>
        </is>
      </c>
      <c r="G13" t="inlineStr">
        <is>
          <t>ASHBY FALLS, OH 45610</t>
        </is>
      </c>
      <c r="H13" t="inlineStr">
        <is>
          <t>Silverline MA</t>
        </is>
      </c>
      <c r="I13" t="inlineStr">
        <is>
          <t>07279550</t>
        </is>
      </c>
      <c r="J13" t="inlineStr">
        <is>
          <t>2015-10-23 18:30:00</t>
        </is>
      </c>
    </row>
    <row r="14">
      <c r="A14" t="inlineStr">
        <is>
          <t>R1013</t>
        </is>
      </c>
      <c r="B14" t="inlineStr">
        <is>
          <t>Diaz, Angela</t>
        </is>
      </c>
      <c r="C14" t="inlineStr">
        <is>
          <t>05/25/1951</t>
        </is>
      </c>
      <c r="D14" t="inlineStr">
        <is>
          <t>FEMALE</t>
        </is>
      </c>
      <c r="E14" t="inlineStr">
        <is>
          <t>555-751-0512</t>
        </is>
      </c>
      <c r="F14" t="inlineStr">
        <is>
          <t>angela.diaz23@example.com</t>
        </is>
      </c>
      <c r="G14" t="inlineStr">
        <is>
          <t>Millbrook, OH 45530</t>
        </is>
      </c>
      <c r="H14" t="inlineStr">
        <is>
          <t>SILVERLINE MEDICARE ADV.</t>
        </is>
      </c>
      <c r="I14" t="inlineStr">
        <is>
          <t>01452965</t>
        </is>
      </c>
      <c r="J14" t="inlineStr">
        <is>
          <t>2019-03-19 09:47:00</t>
        </is>
      </c>
    </row>
    <row r="15">
      <c r="A15" t="inlineStr">
        <is>
          <t>R1014</t>
        </is>
      </c>
      <c r="B15" t="inlineStr">
        <is>
          <t>O'Brien, Virginia</t>
        </is>
      </c>
      <c r="C15" t="inlineStr">
        <is>
          <t>1940-10-20</t>
        </is>
      </c>
      <c r="D15" t="inlineStr">
        <is>
          <t>f</t>
        </is>
      </c>
      <c r="E15" t="inlineStr">
        <is>
          <t>(555) 972-5277</t>
        </is>
      </c>
      <c r="F15" t="inlineStr">
        <is>
          <t>virginia.obrien12@example.com</t>
        </is>
      </c>
      <c r="G15" t="inlineStr">
        <is>
          <t>Bluestone, OH 45501-2106</t>
        </is>
      </c>
      <c r="H15" t="inlineStr">
        <is>
          <t>Medicare</t>
        </is>
      </c>
      <c r="I15" t="inlineStr">
        <is>
          <t>02003462</t>
        </is>
      </c>
      <c r="J15" t="inlineStr">
        <is>
          <t>2023-02-28 11:19:00</t>
        </is>
      </c>
    </row>
    <row r="16">
      <c r="A16" t="inlineStr">
        <is>
          <t>R1015</t>
        </is>
      </c>
      <c r="B16" t="inlineStr">
        <is>
          <t>Stone, Frank</t>
        </is>
      </c>
      <c r="C16" t="inlineStr">
        <is>
          <t>11/10/1960</t>
        </is>
      </c>
      <c r="D16" t="inlineStr">
        <is>
          <t>M</t>
        </is>
      </c>
      <c r="E16" t="inlineStr">
        <is>
          <t>(555) 392-9849</t>
        </is>
      </c>
      <c r="F16" t="inlineStr">
        <is>
          <t>frank.stone92@example.com</t>
        </is>
      </c>
      <c r="G16" t="inlineStr">
        <is>
          <t>Fairhaven, OH 45620</t>
        </is>
      </c>
      <c r="H16" t="inlineStr">
        <is>
          <t>Medicare Part A</t>
        </is>
      </c>
      <c r="I16" t="inlineStr">
        <is>
          <t>488484</t>
        </is>
      </c>
      <c r="J16" t="inlineStr">
        <is>
          <t>2019-08-28 16:52:00</t>
        </is>
      </c>
    </row>
    <row r="17">
      <c r="A17" t="inlineStr">
        <is>
          <t>R1016</t>
        </is>
      </c>
      <c r="B17" t="inlineStr">
        <is>
          <t>Ryan, Theresa</t>
        </is>
      </c>
      <c r="C17" t="inlineStr">
        <is>
          <t>06/15/1967</t>
        </is>
      </c>
      <c r="D17" t="inlineStr">
        <is>
          <t>F</t>
        </is>
      </c>
      <c r="F17" t="inlineStr">
        <is>
          <t>THERESA.RYAN88@EXAMPLE.COM</t>
        </is>
      </c>
      <c r="G17" t="inlineStr">
        <is>
          <t>ASHBY FALLS, OH 45610</t>
        </is>
      </c>
      <c r="H17" t="inlineStr">
        <is>
          <t>KEYSTONE HEALTH PARTNERS</t>
        </is>
      </c>
      <c r="I17" t="inlineStr">
        <is>
          <t>5293385</t>
        </is>
      </c>
      <c r="J17" t="inlineStr">
        <is>
          <t>2017-09-20 09:54:00</t>
        </is>
      </c>
    </row>
    <row r="18">
      <c r="A18" t="inlineStr">
        <is>
          <t>R1017</t>
        </is>
      </c>
      <c r="B18" t="inlineStr">
        <is>
          <t>Amber White</t>
        </is>
      </c>
      <c r="C18" t="inlineStr">
        <is>
          <t>1996-06-24</t>
        </is>
      </c>
      <c r="D18" t="inlineStr">
        <is>
          <t>FEMALE</t>
        </is>
      </c>
      <c r="E18" t="inlineStr">
        <is>
          <t>(555) 556-3833</t>
        </is>
      </c>
      <c r="F18" t="inlineStr">
        <is>
          <t>amber.white81@example.com</t>
        </is>
      </c>
      <c r="G18" t="inlineStr">
        <is>
          <t>Cedar Ridge OH 45720</t>
        </is>
      </c>
      <c r="H18" t="inlineStr">
        <is>
          <t>Medicaid</t>
        </is>
      </c>
      <c r="I18" t="inlineStr">
        <is>
          <t>03929231</t>
        </is>
      </c>
      <c r="J18" t="inlineStr">
        <is>
          <t>2024-07-10 16:38:00</t>
        </is>
      </c>
    </row>
    <row r="19">
      <c r="A19" t="inlineStr">
        <is>
          <t>R1018</t>
        </is>
      </c>
      <c r="B19" t="inlineStr">
        <is>
          <t>Janet Carter</t>
        </is>
      </c>
      <c r="C19" t="inlineStr">
        <is>
          <t>06/22/2023</t>
        </is>
      </c>
      <c r="D19" t="inlineStr">
        <is>
          <t>Female</t>
        </is>
      </c>
      <c r="E19" t="inlineStr">
        <is>
          <t>555-742-3815</t>
        </is>
      </c>
      <c r="F19" t="inlineStr">
        <is>
          <t>N/A</t>
        </is>
      </c>
      <c r="G19" t="inlineStr">
        <is>
          <t>ASHBY FALLS, OH 45610</t>
        </is>
      </c>
      <c r="H19" t="inlineStr">
        <is>
          <t>medicaid</t>
        </is>
      </c>
      <c r="I19" t="inlineStr">
        <is>
          <t>08514640</t>
        </is>
      </c>
      <c r="J19" t="inlineStr">
        <is>
          <t>06/09/2024 11:20 AM</t>
        </is>
      </c>
    </row>
    <row r="20">
      <c r="A20" t="inlineStr">
        <is>
          <t>R1019</t>
        </is>
      </c>
      <c r="B20" t="inlineStr">
        <is>
          <t>OSEI, ROY</t>
        </is>
      </c>
      <c r="C20" t="inlineStr">
        <is>
          <t>3/22/1961</t>
        </is>
      </c>
      <c r="D20" t="inlineStr">
        <is>
          <t xml:space="preserve">M </t>
        </is>
      </c>
      <c r="E20" t="inlineStr">
        <is>
          <t>+1 555 597 3811</t>
        </is>
      </c>
      <c r="F20" t="inlineStr">
        <is>
          <t>roy.osei61@example.com</t>
        </is>
      </c>
      <c r="G20" t="inlineStr">
        <is>
          <t>BLUESTONE, OH 45503</t>
        </is>
      </c>
      <c r="H20" t="inlineStr">
        <is>
          <t>EVERGREEN MUTUAL INS</t>
        </is>
      </c>
      <c r="I20" t="inlineStr">
        <is>
          <t>04811155</t>
        </is>
      </c>
      <c r="J20" t="inlineStr">
        <is>
          <t>2009-01-12 13:09:00</t>
        </is>
      </c>
    </row>
    <row r="21">
      <c r="A21" t="inlineStr">
        <is>
          <t>R1020</t>
        </is>
      </c>
      <c r="B21" t="inlineStr">
        <is>
          <t>jimenez, bobby</t>
        </is>
      </c>
      <c r="C21" t="inlineStr">
        <is>
          <t>1988-10-28</t>
        </is>
      </c>
      <c r="D21" t="inlineStr">
        <is>
          <t>M</t>
        </is>
      </c>
      <c r="E21" t="inlineStr">
        <is>
          <t>555.252.4718</t>
        </is>
      </c>
      <c r="G21" t="inlineStr">
        <is>
          <t>Millbrook, OH 45530-1433</t>
        </is>
      </c>
      <c r="H21" t="inlineStr">
        <is>
          <t>Summit Choice</t>
        </is>
      </c>
      <c r="I21" t="inlineStr">
        <is>
          <t>5841378</t>
        </is>
      </c>
      <c r="J21" t="inlineStr">
        <is>
          <t>08/07/2020 12:17 PM</t>
        </is>
      </c>
    </row>
    <row r="22">
      <c r="A22" t="inlineStr">
        <is>
          <t>R1021</t>
        </is>
      </c>
      <c r="B22" t="inlineStr">
        <is>
          <t>O'Brien, Madison</t>
        </is>
      </c>
      <c r="C22" t="inlineStr">
        <is>
          <t>2014-06-11</t>
        </is>
      </c>
      <c r="D22" t="inlineStr">
        <is>
          <t>Female</t>
        </is>
      </c>
      <c r="E22" t="inlineStr">
        <is>
          <t>(555) 285-4455</t>
        </is>
      </c>
      <c r="G22" t="inlineStr">
        <is>
          <t>Bluestone, OH 45502</t>
        </is>
      </c>
      <c r="H22" t="inlineStr">
        <is>
          <t>Medicaid</t>
        </is>
      </c>
      <c r="I22" t="inlineStr">
        <is>
          <t>8523812</t>
        </is>
      </c>
      <c r="J22" t="inlineStr">
        <is>
          <t>03/28/2023 09:50 AM</t>
        </is>
      </c>
    </row>
    <row r="23">
      <c r="A23" t="inlineStr">
        <is>
          <t>R1022</t>
        </is>
      </c>
      <c r="B23" t="inlineStr">
        <is>
          <t>Ray, Michael</t>
        </is>
      </c>
      <c r="C23" t="inlineStr">
        <is>
          <t>10-Oct-2011</t>
        </is>
      </c>
      <c r="D23" t="inlineStr">
        <is>
          <t xml:space="preserve">M </t>
        </is>
      </c>
      <c r="E23" t="inlineStr">
        <is>
          <t>(555) 856-4092</t>
        </is>
      </c>
      <c r="F23" t="inlineStr">
        <is>
          <t>none</t>
        </is>
      </c>
      <c r="G23" t="inlineStr">
        <is>
          <t>Cedar Ridge, OH 45720</t>
        </is>
      </c>
      <c r="H23" t="inlineStr">
        <is>
          <t>Medicaid</t>
        </is>
      </c>
      <c r="I23" t="inlineStr">
        <is>
          <t>09317927</t>
        </is>
      </c>
      <c r="J23" t="inlineStr">
        <is>
          <t>09/28/2015 08:50 AM</t>
        </is>
      </c>
    </row>
    <row r="24">
      <c r="A24" t="inlineStr">
        <is>
          <t>R1023</t>
        </is>
      </c>
      <c r="B24" t="inlineStr">
        <is>
          <t>Robinson, Angela</t>
        </is>
      </c>
      <c r="C24" t="inlineStr">
        <is>
          <t>12-Jan-2018</t>
        </is>
      </c>
      <c r="D24" t="inlineStr">
        <is>
          <t>F</t>
        </is>
      </c>
      <c r="E24" t="inlineStr">
        <is>
          <t>555-580-6711</t>
        </is>
      </c>
      <c r="F24" t="inlineStr">
        <is>
          <t>none</t>
        </is>
      </c>
      <c r="G24" t="inlineStr">
        <is>
          <t>Bluestone OH 45502</t>
        </is>
      </c>
      <c r="H24" t="inlineStr">
        <is>
          <t>STATE MEDICAID</t>
        </is>
      </c>
      <c r="I24" t="inlineStr">
        <is>
          <t>00757638</t>
        </is>
      </c>
      <c r="J24" t="inlineStr">
        <is>
          <t>2022-05-01 12:49:00</t>
        </is>
      </c>
    </row>
    <row r="25">
      <c r="A25" t="inlineStr">
        <is>
          <t>R1024</t>
        </is>
      </c>
      <c r="B25" t="inlineStr">
        <is>
          <t>Vargas, Betty</t>
        </is>
      </c>
      <c r="C25" t="inlineStr">
        <is>
          <t>03/24/1996</t>
        </is>
      </c>
      <c r="D25" t="inlineStr">
        <is>
          <t xml:space="preserve"> F</t>
        </is>
      </c>
      <c r="E25" t="inlineStr">
        <is>
          <t>5553869767</t>
        </is>
      </c>
      <c r="F25" t="inlineStr">
        <is>
          <t>none</t>
        </is>
      </c>
      <c r="G25" t="inlineStr">
        <is>
          <t>BLUESTONE, OH 45503</t>
        </is>
      </c>
      <c r="H25" t="inlineStr">
        <is>
          <t>STATE MEDICAID</t>
        </is>
      </c>
      <c r="I25" t="inlineStr">
        <is>
          <t>09463107</t>
        </is>
      </c>
      <c r="J25" t="inlineStr">
        <is>
          <t>2020-05-07 14:43:00</t>
        </is>
      </c>
    </row>
    <row r="26">
      <c r="A26" t="inlineStr">
        <is>
          <t>R1025</t>
        </is>
      </c>
      <c r="B26" t="inlineStr">
        <is>
          <t>Harris, Doris</t>
        </is>
      </c>
      <c r="C26" t="inlineStr">
        <is>
          <t>1976-12-28</t>
        </is>
      </c>
      <c r="D26" t="inlineStr">
        <is>
          <t>F</t>
        </is>
      </c>
      <c r="E26" t="inlineStr">
        <is>
          <t>555.521.8783</t>
        </is>
      </c>
      <c r="F26" t="inlineStr">
        <is>
          <t>doris.harris90@example.com</t>
        </is>
      </c>
      <c r="G26" t="inlineStr">
        <is>
          <t>Bluestone, OH 45503</t>
        </is>
      </c>
      <c r="H26" t="inlineStr">
        <is>
          <t>self-pay</t>
        </is>
      </c>
      <c r="I26" t="inlineStr">
        <is>
          <t>06545996</t>
        </is>
      </c>
      <c r="J26" t="inlineStr">
        <is>
          <t>07/02/2020 11:15 AM</t>
        </is>
      </c>
    </row>
    <row r="27">
      <c r="A27" t="inlineStr">
        <is>
          <t>R1026</t>
        </is>
      </c>
      <c r="B27" t="inlineStr">
        <is>
          <t>SPENCER, GERALD</t>
        </is>
      </c>
      <c r="C27" t="inlineStr">
        <is>
          <t>06/30/1981</t>
        </is>
      </c>
      <c r="D27" t="inlineStr">
        <is>
          <t>m</t>
        </is>
      </c>
      <c r="E27" t="inlineStr">
        <is>
          <t>(555) 805-6914</t>
        </is>
      </c>
      <c r="F27" t="inlineStr">
        <is>
          <t>gerald.spencer79@example.com</t>
        </is>
      </c>
      <c r="G27" t="inlineStr">
        <is>
          <t>Ashby Falls, OH 45610-7699</t>
        </is>
      </c>
      <c r="H27" t="inlineStr">
        <is>
          <t>KEYSTONE HEALTH PARTNERS</t>
        </is>
      </c>
      <c r="I27" t="inlineStr">
        <is>
          <t>02651075</t>
        </is>
      </c>
      <c r="J27" t="inlineStr">
        <is>
          <t>03/24/2009 04:56 PM</t>
        </is>
      </c>
    </row>
    <row r="28">
      <c r="A28" t="inlineStr">
        <is>
          <t>R1027</t>
        </is>
      </c>
      <c r="B28" t="inlineStr">
        <is>
          <t>Paul Simmons</t>
        </is>
      </c>
      <c r="C28" t="inlineStr">
        <is>
          <t>01/05/1984</t>
        </is>
      </c>
      <c r="D28" t="inlineStr">
        <is>
          <t>M</t>
        </is>
      </c>
      <c r="E28" t="inlineStr">
        <is>
          <t>(555) 611-9026</t>
        </is>
      </c>
      <c r="F28" t="inlineStr">
        <is>
          <t>PAUL.SIMMONS91@EXAMPLE.COM</t>
        </is>
      </c>
      <c r="G28" t="inlineStr">
        <is>
          <t>LAKEVIEW HEIGHTS, OH 45510</t>
        </is>
      </c>
      <c r="H28" t="inlineStr">
        <is>
          <t>Keystone Health Partners</t>
        </is>
      </c>
      <c r="I28" t="inlineStr">
        <is>
          <t>08817764</t>
        </is>
      </c>
      <c r="J28" t="inlineStr">
        <is>
          <t>01/16/2018 05:15 PM</t>
        </is>
      </c>
    </row>
    <row r="29">
      <c r="A29" t="inlineStr">
        <is>
          <t>R1028</t>
        </is>
      </c>
      <c r="B29" t="inlineStr">
        <is>
          <t>SOTO, DORIS</t>
        </is>
      </c>
      <c r="C29" t="inlineStr">
        <is>
          <t>05/07/1975</t>
        </is>
      </c>
      <c r="D29" t="inlineStr">
        <is>
          <t>f</t>
        </is>
      </c>
      <c r="E29" t="inlineStr">
        <is>
          <t>555-686-8252</t>
        </is>
      </c>
      <c r="F29" t="inlineStr">
        <is>
          <t>doris.soto85@example.com</t>
        </is>
      </c>
      <c r="G29" t="inlineStr">
        <is>
          <t>Ashby Falls, OH 45610</t>
        </is>
      </c>
      <c r="H29" t="inlineStr">
        <is>
          <t>EVERGREEN MUTUAL INS</t>
        </is>
      </c>
      <c r="I29" t="inlineStr">
        <is>
          <t>03295027</t>
        </is>
      </c>
      <c r="J29" t="inlineStr">
        <is>
          <t>2024-01-22 07:05:00</t>
        </is>
      </c>
    </row>
    <row r="30">
      <c r="A30" t="inlineStr">
        <is>
          <t>R1029</t>
        </is>
      </c>
      <c r="B30" t="inlineStr">
        <is>
          <t>Wei Burns</t>
        </is>
      </c>
      <c r="C30" t="inlineStr">
        <is>
          <t>01.11.2003</t>
        </is>
      </c>
      <c r="D30" t="inlineStr">
        <is>
          <t>M</t>
        </is>
      </c>
      <c r="E30" t="inlineStr">
        <is>
          <t>(555) 817-3440</t>
        </is>
      </c>
      <c r="F30" t="inlineStr">
        <is>
          <t>wei.burns45@example.com</t>
        </is>
      </c>
      <c r="G30" t="inlineStr">
        <is>
          <t>Granite Springs, OH 45750</t>
        </is>
      </c>
      <c r="H30" t="inlineStr">
        <is>
          <t>Keystone Health Partners</t>
        </is>
      </c>
      <c r="I30" t="inlineStr">
        <is>
          <t>07405722</t>
        </is>
      </c>
      <c r="J30" t="inlineStr">
        <is>
          <t>10/02/2012 01:48 PM</t>
        </is>
      </c>
    </row>
    <row r="31">
      <c r="A31" t="inlineStr">
        <is>
          <t>R1030</t>
        </is>
      </c>
      <c r="B31" t="inlineStr">
        <is>
          <t>SANTOS, CARLOS</t>
        </is>
      </c>
      <c r="C31" t="inlineStr">
        <is>
          <t>22-Dec-1952</t>
        </is>
      </c>
      <c r="D31" t="inlineStr">
        <is>
          <t>M</t>
        </is>
      </c>
      <c r="E31" t="inlineStr">
        <is>
          <t>5552389242</t>
        </is>
      </c>
      <c r="F31" t="inlineStr">
        <is>
          <t xml:space="preserve"> carlos.santos91@example.com </t>
        </is>
      </c>
      <c r="G31" t="inlineStr">
        <is>
          <t>Bluestone, OH 45502</t>
        </is>
      </c>
      <c r="H31" t="inlineStr">
        <is>
          <t>Silverline Medicare Advantage</t>
        </is>
      </c>
      <c r="I31" t="inlineStr">
        <is>
          <t>01786386</t>
        </is>
      </c>
      <c r="J31" t="inlineStr">
        <is>
          <t>2021-10-28 10:01:00</t>
        </is>
      </c>
    </row>
    <row r="32">
      <c r="A32" t="inlineStr">
        <is>
          <t>R1031</t>
        </is>
      </c>
      <c r="B32" t="inlineStr">
        <is>
          <t xml:space="preserve">  Ellis ,  Jean </t>
        </is>
      </c>
      <c r="C32" t="inlineStr">
        <is>
          <t>1970-09-14</t>
        </is>
      </c>
      <c r="D32" t="inlineStr">
        <is>
          <t>F</t>
        </is>
      </c>
      <c r="E32" t="inlineStr">
        <is>
          <t>(555) 401-2840</t>
        </is>
      </c>
      <c r="G32" t="inlineStr">
        <is>
          <t>Bluestone, OH 45502</t>
        </is>
      </c>
      <c r="H32" t="inlineStr">
        <is>
          <t>Summit PPO</t>
        </is>
      </c>
      <c r="I32" t="inlineStr">
        <is>
          <t>04736523</t>
        </is>
      </c>
      <c r="J32" t="inlineStr">
        <is>
          <t>2017-10-03 17:58:00</t>
        </is>
      </c>
    </row>
    <row r="33">
      <c r="A33" t="inlineStr">
        <is>
          <t>R1032</t>
        </is>
      </c>
      <c r="B33" t="inlineStr">
        <is>
          <t>Freeman, Matthew</t>
        </is>
      </c>
      <c r="C33" t="inlineStr">
        <is>
          <t>11.06.1975</t>
        </is>
      </c>
      <c r="D33" t="inlineStr">
        <is>
          <t>MALE</t>
        </is>
      </c>
      <c r="E33" t="inlineStr">
        <is>
          <t>555-733-5390</t>
        </is>
      </c>
      <c r="G33" t="inlineStr">
        <is>
          <t>Ashby Falls, OH 45610</t>
        </is>
      </c>
      <c r="H33" t="inlineStr">
        <is>
          <t>Self Pay</t>
        </is>
      </c>
      <c r="I33" t="inlineStr">
        <is>
          <t>1143993</t>
        </is>
      </c>
      <c r="J33" t="inlineStr">
        <is>
          <t>2013-02-15 10:17:00</t>
        </is>
      </c>
    </row>
    <row r="34">
      <c r="A34" t="inlineStr">
        <is>
          <t>R1033</t>
        </is>
      </c>
      <c r="B34" t="inlineStr">
        <is>
          <t xml:space="preserve">  Baker ,  Ava </t>
        </is>
      </c>
      <c r="C34" t="inlineStr">
        <is>
          <t>06/12/2025</t>
        </is>
      </c>
      <c r="D34" t="inlineStr">
        <is>
          <t>Female</t>
        </is>
      </c>
      <c r="G34" t="inlineStr">
        <is>
          <t>Pine Hollow, OH 45640</t>
        </is>
      </c>
      <c r="H34" t="inlineStr">
        <is>
          <t>self-pay</t>
        </is>
      </c>
      <c r="I34" t="inlineStr">
        <is>
          <t>09501885</t>
        </is>
      </c>
      <c r="J34" t="inlineStr">
        <is>
          <t>03/15/2024 03:24 PM</t>
        </is>
      </c>
    </row>
    <row r="35">
      <c r="A35" t="inlineStr">
        <is>
          <t>R1034</t>
        </is>
      </c>
      <c r="B35" t="inlineStr">
        <is>
          <t>meyer, nancy</t>
        </is>
      </c>
      <c r="C35" t="inlineStr">
        <is>
          <t>1931-11-19</t>
        </is>
      </c>
      <c r="D35" t="inlineStr">
        <is>
          <t xml:space="preserve"> F</t>
        </is>
      </c>
      <c r="E35" t="inlineStr">
        <is>
          <t>555-971-3628</t>
        </is>
      </c>
      <c r="F35" t="inlineStr">
        <is>
          <t>nancy.meyer26@example.com</t>
        </is>
      </c>
      <c r="G35" t="inlineStr">
        <is>
          <t>Bluestone, OH 45503</t>
        </is>
      </c>
      <c r="H35" t="inlineStr">
        <is>
          <t>Silverline MA</t>
        </is>
      </c>
      <c r="I35" t="inlineStr">
        <is>
          <t>06141853</t>
        </is>
      </c>
      <c r="J35" t="inlineStr">
        <is>
          <t>05/01/2017 03:37 PM</t>
        </is>
      </c>
    </row>
    <row r="36">
      <c r="A36" t="inlineStr">
        <is>
          <t>R1035</t>
        </is>
      </c>
      <c r="B36" t="inlineStr">
        <is>
          <t>GARZA, DONNA</t>
        </is>
      </c>
      <c r="C36" t="inlineStr">
        <is>
          <t>04/11/2020</t>
        </is>
      </c>
      <c r="D36" t="inlineStr">
        <is>
          <t>f</t>
        </is>
      </c>
      <c r="E36" t="inlineStr">
        <is>
          <t>(555) 233-5856</t>
        </is>
      </c>
      <c r="F36" t="inlineStr">
        <is>
          <t>none</t>
        </is>
      </c>
      <c r="G36" t="inlineStr">
        <is>
          <t>Cedar Ridge, OH 45720</t>
        </is>
      </c>
      <c r="H36" t="inlineStr">
        <is>
          <t>Summit Choice PPO</t>
        </is>
      </c>
      <c r="I36" t="inlineStr">
        <is>
          <t>07765833</t>
        </is>
      </c>
      <c r="J36" t="inlineStr">
        <is>
          <t>06/27/2023 09:25 AM</t>
        </is>
      </c>
    </row>
    <row r="37">
      <c r="A37" t="inlineStr">
        <is>
          <t>R1036</t>
        </is>
      </c>
      <c r="B37" t="inlineStr">
        <is>
          <t>Abdi, Gregory</t>
        </is>
      </c>
      <c r="C37" t="inlineStr">
        <is>
          <t>8/1/1945</t>
        </is>
      </c>
      <c r="D37" t="inlineStr">
        <is>
          <t>M</t>
        </is>
      </c>
      <c r="E37" t="inlineStr">
        <is>
          <t>555.221.2464</t>
        </is>
      </c>
      <c r="G37" t="inlineStr">
        <is>
          <t>Lakeview Heights, OH 45510</t>
        </is>
      </c>
      <c r="H37" t="inlineStr">
        <is>
          <t>MEDICARE</t>
        </is>
      </c>
      <c r="I37" t="inlineStr">
        <is>
          <t>08665573</t>
        </is>
      </c>
      <c r="J37" t="inlineStr">
        <is>
          <t>2019-12-05 15:17:00</t>
        </is>
      </c>
    </row>
    <row r="38">
      <c r="A38" t="inlineStr">
        <is>
          <t>R1037</t>
        </is>
      </c>
      <c r="B38" t="inlineStr">
        <is>
          <t>Cooper, Nancy</t>
        </is>
      </c>
      <c r="C38" t="inlineStr">
        <is>
          <t>12-Jun-1948</t>
        </is>
      </c>
      <c r="D38" t="inlineStr">
        <is>
          <t>Female</t>
        </is>
      </c>
      <c r="E38" t="inlineStr">
        <is>
          <t>555.847.4160</t>
        </is>
      </c>
      <c r="G38" t="inlineStr">
        <is>
          <t>Bluestone, OH 45501</t>
        </is>
      </c>
      <c r="H38" t="inlineStr">
        <is>
          <t>Silverline MA</t>
        </is>
      </c>
      <c r="I38" t="inlineStr">
        <is>
          <t>01374637</t>
        </is>
      </c>
      <c r="J38" t="inlineStr">
        <is>
          <t>2008-11-15 15:26:00</t>
        </is>
      </c>
    </row>
    <row r="39">
      <c r="A39" t="inlineStr">
        <is>
          <t>R1038</t>
        </is>
      </c>
      <c r="B39" t="inlineStr">
        <is>
          <t>Weaver, Justin</t>
        </is>
      </c>
      <c r="C39" t="inlineStr">
        <is>
          <t>12-Jun-1990</t>
        </is>
      </c>
      <c r="D39" t="inlineStr">
        <is>
          <t>M</t>
        </is>
      </c>
      <c r="E39" t="inlineStr">
        <is>
          <t>(555) 328-2250</t>
        </is>
      </c>
      <c r="F39" t="inlineStr">
        <is>
          <t>justin.weaver6@example.com</t>
        </is>
      </c>
      <c r="G39" t="inlineStr">
        <is>
          <t>Bluestone, OH 45503-2144</t>
        </is>
      </c>
      <c r="H39" t="inlineStr">
        <is>
          <t>State Medicaid</t>
        </is>
      </c>
      <c r="I39" t="inlineStr">
        <is>
          <t>06122876</t>
        </is>
      </c>
      <c r="J39" t="inlineStr">
        <is>
          <t>2013-08-30 10:22:00</t>
        </is>
      </c>
    </row>
    <row r="40">
      <c r="A40" t="inlineStr">
        <is>
          <t>R1039</t>
        </is>
      </c>
      <c r="B40" t="inlineStr">
        <is>
          <t>GARCIA, PAMELA</t>
        </is>
      </c>
      <c r="C40" t="inlineStr">
        <is>
          <t>1962-02-11</t>
        </is>
      </c>
      <c r="D40" t="inlineStr">
        <is>
          <t>F</t>
        </is>
      </c>
      <c r="E40" t="inlineStr">
        <is>
          <t>555-239-0126</t>
        </is>
      </c>
      <c r="F40" t="inlineStr">
        <is>
          <t xml:space="preserve"> pamela.garcia63@example.com </t>
        </is>
      </c>
      <c r="G40" t="inlineStr">
        <is>
          <t>Bluestone, OH 45501-5610</t>
        </is>
      </c>
      <c r="H40" t="inlineStr">
        <is>
          <t>EVERGREEN MUTUAL INS</t>
        </is>
      </c>
      <c r="I40" t="inlineStr">
        <is>
          <t>5952813</t>
        </is>
      </c>
      <c r="J40" t="inlineStr">
        <is>
          <t>2018-02-20 07:23:00</t>
        </is>
      </c>
    </row>
    <row r="41">
      <c r="A41" t="inlineStr">
        <is>
          <t>R1040</t>
        </is>
      </c>
      <c r="B41" t="inlineStr">
        <is>
          <t>Stone, Charles</t>
        </is>
      </c>
      <c r="C41" t="inlineStr">
        <is>
          <t>1990-07-13</t>
        </is>
      </c>
      <c r="D41" t="inlineStr">
        <is>
          <t>MALE</t>
        </is>
      </c>
      <c r="E41" t="inlineStr">
        <is>
          <t>(555) 213-9817</t>
        </is>
      </c>
      <c r="F41" t="inlineStr">
        <is>
          <t>charles.stone42@example.com</t>
        </is>
      </c>
      <c r="G41" t="inlineStr">
        <is>
          <t>Bluestone, OH 45501</t>
        </is>
      </c>
      <c r="H41" t="inlineStr">
        <is>
          <t>Self Pay</t>
        </is>
      </c>
      <c r="I41" t="inlineStr">
        <is>
          <t>MRN-01745769</t>
        </is>
      </c>
      <c r="J41" t="inlineStr">
        <is>
          <t>2014-03-24 09:40:00</t>
        </is>
      </c>
    </row>
    <row r="42">
      <c r="A42" t="inlineStr">
        <is>
          <t>R1041</t>
        </is>
      </c>
      <c r="B42" t="inlineStr">
        <is>
          <t>Riley, Liam</t>
        </is>
      </c>
      <c r="C42" t="inlineStr">
        <is>
          <t>04/01/1939</t>
        </is>
      </c>
      <c r="D42" t="inlineStr">
        <is>
          <t>m</t>
        </is>
      </c>
      <c r="E42" t="inlineStr">
        <is>
          <t>555.492.4370</t>
        </is>
      </c>
      <c r="F42" t="inlineStr">
        <is>
          <t>liam.riley52@example.com</t>
        </is>
      </c>
      <c r="G42" t="inlineStr">
        <is>
          <t>Bluestone, OH 45503-4898</t>
        </is>
      </c>
      <c r="H42" t="inlineStr">
        <is>
          <t>Medicare Part A</t>
        </is>
      </c>
      <c r="I42" t="inlineStr">
        <is>
          <t>08002972</t>
        </is>
      </c>
      <c r="J42" t="inlineStr">
        <is>
          <t>05/15/2014 01:30 PM</t>
        </is>
      </c>
    </row>
    <row r="43">
      <c r="A43" t="inlineStr">
        <is>
          <t>R1042</t>
        </is>
      </c>
      <c r="B43" t="inlineStr">
        <is>
          <t>Novak, Patricia</t>
        </is>
      </c>
      <c r="C43" t="inlineStr">
        <is>
          <t>27-Jun-1948</t>
        </is>
      </c>
      <c r="D43" t="inlineStr">
        <is>
          <t>FEMALE</t>
        </is>
      </c>
      <c r="E43" t="inlineStr">
        <is>
          <t>+1 555 871 2848</t>
        </is>
      </c>
      <c r="F43" t="inlineStr">
        <is>
          <t>patricia.novak58@example.com</t>
        </is>
      </c>
      <c r="G43" t="inlineStr">
        <is>
          <t>Cedar Ridge, OH 45720</t>
        </is>
      </c>
      <c r="H43" t="inlineStr">
        <is>
          <t>Medicare</t>
        </is>
      </c>
      <c r="I43" t="inlineStr">
        <is>
          <t>07427300</t>
        </is>
      </c>
      <c r="J43" t="inlineStr">
        <is>
          <t>2008-09-22 18:43:00</t>
        </is>
      </c>
    </row>
    <row r="44">
      <c r="A44" t="inlineStr">
        <is>
          <t>R1043</t>
        </is>
      </c>
      <c r="B44" t="inlineStr">
        <is>
          <t>Perkins, Mark</t>
        </is>
      </c>
      <c r="C44" t="inlineStr">
        <is>
          <t>30-Dec-1972</t>
        </is>
      </c>
      <c r="D44" t="inlineStr">
        <is>
          <t>M</t>
        </is>
      </c>
      <c r="E44" t="inlineStr">
        <is>
          <t>5558130981</t>
        </is>
      </c>
      <c r="F44" t="inlineStr">
        <is>
          <t>mark.perkins62@example.com</t>
        </is>
      </c>
      <c r="G44" t="inlineStr">
        <is>
          <t>Bluestone, OH 45502</t>
        </is>
      </c>
      <c r="H44" t="inlineStr">
        <is>
          <t>Summit Choice</t>
        </is>
      </c>
      <c r="I44" t="inlineStr">
        <is>
          <t>03402940</t>
        </is>
      </c>
      <c r="J44" t="inlineStr">
        <is>
          <t>2022-05-21 18:03:00</t>
        </is>
      </c>
    </row>
    <row r="45">
      <c r="A45" t="inlineStr">
        <is>
          <t>R1044</t>
        </is>
      </c>
      <c r="B45" t="inlineStr">
        <is>
          <t>Dixon, Lawrence</t>
        </is>
      </c>
      <c r="C45" t="inlineStr">
        <is>
          <t>02-Oct-1993</t>
        </is>
      </c>
      <c r="D45" t="inlineStr">
        <is>
          <t>Male</t>
        </is>
      </c>
      <c r="E45" t="inlineStr">
        <is>
          <t>555.391.8264</t>
        </is>
      </c>
      <c r="F45" t="inlineStr">
        <is>
          <t>lawrence.dixon73@example.com</t>
        </is>
      </c>
      <c r="G45" t="inlineStr">
        <is>
          <t>Granite Springs, OH 45750</t>
        </is>
      </c>
      <c r="H45" t="inlineStr">
        <is>
          <t>Keystone Health Ptnrs</t>
        </is>
      </c>
      <c r="I45" t="inlineStr">
        <is>
          <t>9408089</t>
        </is>
      </c>
      <c r="J45" t="inlineStr">
        <is>
          <t>2023-11-30 17:50:00</t>
        </is>
      </c>
    </row>
    <row r="46">
      <c r="A46" t="inlineStr">
        <is>
          <t>R1045</t>
        </is>
      </c>
      <c r="B46" t="inlineStr">
        <is>
          <t>okafor, russell</t>
        </is>
      </c>
      <c r="C46" t="inlineStr">
        <is>
          <t>1992-07-02</t>
        </is>
      </c>
      <c r="D46" t="inlineStr">
        <is>
          <t>M</t>
        </is>
      </c>
      <c r="E46" t="inlineStr">
        <is>
          <t>5552731535</t>
        </is>
      </c>
      <c r="F46" t="inlineStr">
        <is>
          <t>none</t>
        </is>
      </c>
      <c r="G46" t="inlineStr">
        <is>
          <t>Bluestone, OH 45501</t>
        </is>
      </c>
      <c r="H46" t="inlineStr">
        <is>
          <t>SUMMIT CHOICE PPO</t>
        </is>
      </c>
      <c r="I46" t="inlineStr">
        <is>
          <t>MRN-06475252</t>
        </is>
      </c>
      <c r="J46" t="inlineStr">
        <is>
          <t>2012-10-26 16:04:00</t>
        </is>
      </c>
    </row>
    <row r="47">
      <c r="A47" t="inlineStr">
        <is>
          <t>R1046</t>
        </is>
      </c>
      <c r="B47" t="inlineStr">
        <is>
          <t>BAKER, ROY</t>
        </is>
      </c>
      <c r="C47" t="inlineStr">
        <is>
          <t>10/27/1958</t>
        </is>
      </c>
      <c r="D47" t="inlineStr">
        <is>
          <t>MALE</t>
        </is>
      </c>
      <c r="E47" t="inlineStr">
        <is>
          <t>5558068961</t>
        </is>
      </c>
      <c r="F47" t="inlineStr">
        <is>
          <t>roy.baker25@example.com</t>
        </is>
      </c>
      <c r="G47" t="inlineStr">
        <is>
          <t>ASHBY FALLS, OH 45610</t>
        </is>
      </c>
      <c r="H47" t="inlineStr">
        <is>
          <t>MEDICARE</t>
        </is>
      </c>
      <c r="I47" t="inlineStr">
        <is>
          <t>08248013</t>
        </is>
      </c>
      <c r="J47" t="inlineStr">
        <is>
          <t>07/15/2020 03:48 PM</t>
        </is>
      </c>
    </row>
    <row r="48">
      <c r="A48" t="inlineStr">
        <is>
          <t>R1047</t>
        </is>
      </c>
      <c r="B48" t="inlineStr">
        <is>
          <t>Dixon, Melissa</t>
        </is>
      </c>
      <c r="C48" t="inlineStr">
        <is>
          <t>05.06.2008</t>
        </is>
      </c>
      <c r="D48" t="inlineStr">
        <is>
          <t>f</t>
        </is>
      </c>
      <c r="E48" t="inlineStr">
        <is>
          <t>(555) 404-6914</t>
        </is>
      </c>
      <c r="F48" t="inlineStr">
        <is>
          <t>melissa.dixon81@example.com</t>
        </is>
      </c>
      <c r="G48" t="inlineStr">
        <is>
          <t>Lakeview Heights, OH 45510-8399</t>
        </is>
      </c>
      <c r="H48" t="inlineStr">
        <is>
          <t>medicaid</t>
        </is>
      </c>
      <c r="I48" t="inlineStr">
        <is>
          <t>09909221</t>
        </is>
      </c>
      <c r="J48" t="inlineStr">
        <is>
          <t>10/07/2023 05:43 PM</t>
        </is>
      </c>
    </row>
    <row r="49">
      <c r="A49" t="inlineStr">
        <is>
          <t>R1048</t>
        </is>
      </c>
      <c r="B49" t="inlineStr">
        <is>
          <t>vasquez, michael</t>
        </is>
      </c>
      <c r="C49" t="inlineStr">
        <is>
          <t>1990-10-17</t>
        </is>
      </c>
      <c r="D49" t="inlineStr">
        <is>
          <t>Male</t>
        </is>
      </c>
      <c r="E49" t="inlineStr">
        <is>
          <t>555-523-7427</t>
        </is>
      </c>
      <c r="F49" t="inlineStr">
        <is>
          <t xml:space="preserve"> michael.vasquez38@example.com </t>
        </is>
      </c>
      <c r="G49" t="inlineStr">
        <is>
          <t>BLUESTONE, OH 45501</t>
        </is>
      </c>
      <c r="H49" t="inlineStr">
        <is>
          <t>Evergreen Mutual</t>
        </is>
      </c>
      <c r="I49" t="inlineStr">
        <is>
          <t>08629648</t>
        </is>
      </c>
      <c r="J49" t="inlineStr">
        <is>
          <t>2020-12-21 13:34:00</t>
        </is>
      </c>
    </row>
    <row r="50">
      <c r="A50" t="inlineStr">
        <is>
          <t>R1049</t>
        </is>
      </c>
      <c r="B50" t="inlineStr">
        <is>
          <t>FISHER, ELIJAH</t>
        </is>
      </c>
      <c r="C50" t="inlineStr">
        <is>
          <t>06-Jan-1942</t>
        </is>
      </c>
      <c r="D50" t="inlineStr">
        <is>
          <t>Male</t>
        </is>
      </c>
      <c r="E50" t="inlineStr">
        <is>
          <t>555-828-3122</t>
        </is>
      </c>
      <c r="F50" t="inlineStr">
        <is>
          <t>elijah.fisher88@example.com</t>
        </is>
      </c>
      <c r="G50" t="inlineStr">
        <is>
          <t>Bluestone, OH 45503</t>
        </is>
      </c>
      <c r="H50" t="inlineStr">
        <is>
          <t>MEDICARE</t>
        </is>
      </c>
      <c r="I50" t="inlineStr">
        <is>
          <t>07818829</t>
        </is>
      </c>
      <c r="J50" t="inlineStr">
        <is>
          <t>2024-01-26 08:11:00</t>
        </is>
      </c>
    </row>
    <row r="51">
      <c r="A51" t="inlineStr">
        <is>
          <t>R1050</t>
        </is>
      </c>
      <c r="B51" t="inlineStr">
        <is>
          <t>Marshall, Mei</t>
        </is>
      </c>
      <c r="C51" t="inlineStr">
        <is>
          <t>08/11/1967</t>
        </is>
      </c>
      <c r="D51" t="inlineStr">
        <is>
          <t>Female</t>
        </is>
      </c>
      <c r="E51" t="inlineStr">
        <is>
          <t>(555) 640-9696</t>
        </is>
      </c>
      <c r="F51" t="inlineStr">
        <is>
          <t xml:space="preserve"> mei.marshall27@example.com </t>
        </is>
      </c>
      <c r="G51" t="inlineStr">
        <is>
          <t>FAIRHAVEN, OH 45620</t>
        </is>
      </c>
      <c r="H51" t="inlineStr">
        <is>
          <t>KEYSTONE HEALTH PARTNERS</t>
        </is>
      </c>
      <c r="I51" t="inlineStr">
        <is>
          <t>MRN-03478502</t>
        </is>
      </c>
      <c r="J51" t="inlineStr">
        <is>
          <t>02/29/2020 02:47 PM</t>
        </is>
      </c>
    </row>
    <row r="52">
      <c r="A52" t="inlineStr">
        <is>
          <t>R1051</t>
        </is>
      </c>
      <c r="B52" t="inlineStr">
        <is>
          <t>GARCIA, SHARON</t>
        </is>
      </c>
      <c r="C52" t="inlineStr">
        <is>
          <t>02/23/2014</t>
        </is>
      </c>
      <c r="D52" t="inlineStr">
        <is>
          <t xml:space="preserve"> F</t>
        </is>
      </c>
      <c r="G52" t="inlineStr">
        <is>
          <t>Bluestone, OH 45501-3837</t>
        </is>
      </c>
      <c r="H52" t="inlineStr">
        <is>
          <t>Uninsured</t>
        </is>
      </c>
      <c r="I52" t="inlineStr">
        <is>
          <t>03094497</t>
        </is>
      </c>
      <c r="J52" t="inlineStr">
        <is>
          <t>2023-01-19 09:31:00</t>
        </is>
      </c>
    </row>
    <row r="53">
      <c r="A53" t="inlineStr">
        <is>
          <t>R1052</t>
        </is>
      </c>
      <c r="B53" t="inlineStr">
        <is>
          <t>Mason Riley</t>
        </is>
      </c>
      <c r="C53" t="inlineStr">
        <is>
          <t>1967-05-29</t>
        </is>
      </c>
      <c r="D53" t="inlineStr">
        <is>
          <t>M</t>
        </is>
      </c>
      <c r="E53" t="inlineStr">
        <is>
          <t>555.541.3702</t>
        </is>
      </c>
      <c r="F53" t="inlineStr">
        <is>
          <t>mason.riley93@example.com</t>
        </is>
      </c>
      <c r="G53" t="inlineStr">
        <is>
          <t>Bluestone, OH 45502</t>
        </is>
      </c>
      <c r="H53" t="inlineStr">
        <is>
          <t xml:space="preserve">Medicare </t>
        </is>
      </c>
      <c r="I53" t="inlineStr">
        <is>
          <t>05429806</t>
        </is>
      </c>
      <c r="J53" t="inlineStr">
        <is>
          <t>04/29/2008 04:51 PM</t>
        </is>
      </c>
    </row>
    <row r="54">
      <c r="A54" t="inlineStr">
        <is>
          <t>R1053</t>
        </is>
      </c>
      <c r="B54" t="inlineStr">
        <is>
          <t>Mason Riley</t>
        </is>
      </c>
      <c r="C54" t="inlineStr">
        <is>
          <t>1967-05-29</t>
        </is>
      </c>
      <c r="D54" t="inlineStr">
        <is>
          <t>M</t>
        </is>
      </c>
      <c r="E54" t="inlineStr">
        <is>
          <t>555.541.3702</t>
        </is>
      </c>
      <c r="F54" t="inlineStr">
        <is>
          <t>mason.riley93@example.com</t>
        </is>
      </c>
      <c r="G54" t="inlineStr">
        <is>
          <t>Bluestone, OH 45502</t>
        </is>
      </c>
      <c r="H54" t="inlineStr">
        <is>
          <t xml:space="preserve">Medicare </t>
        </is>
      </c>
      <c r="I54" t="inlineStr">
        <is>
          <t>05429806</t>
        </is>
      </c>
      <c r="J54" t="inlineStr">
        <is>
          <t>04/29/2008 04:51 PM</t>
        </is>
      </c>
    </row>
    <row r="55">
      <c r="A55" t="inlineStr">
        <is>
          <t>R1054</t>
        </is>
      </c>
      <c r="B55" t="inlineStr">
        <is>
          <t>Ramos, Christina</t>
        </is>
      </c>
      <c r="C55" t="inlineStr">
        <is>
          <t>01/23/1953</t>
        </is>
      </c>
      <c r="D55" t="inlineStr">
        <is>
          <t xml:space="preserve"> F</t>
        </is>
      </c>
      <c r="F55" t="inlineStr">
        <is>
          <t>christina.ramos36@example.com</t>
        </is>
      </c>
      <c r="G55" t="inlineStr">
        <is>
          <t>Bluestone OH 45502</t>
        </is>
      </c>
      <c r="H55" t="inlineStr">
        <is>
          <t xml:space="preserve">Medicare </t>
        </is>
      </c>
      <c r="I55" t="inlineStr">
        <is>
          <t>08517291</t>
        </is>
      </c>
      <c r="J55" t="inlineStr">
        <is>
          <t>2022-11-04 12:56:00</t>
        </is>
      </c>
    </row>
    <row r="56">
      <c r="A56" t="inlineStr">
        <is>
          <t>R1055</t>
        </is>
      </c>
      <c r="B56" t="inlineStr">
        <is>
          <t>Bailey, Zachary</t>
        </is>
      </c>
      <c r="C56" t="inlineStr">
        <is>
          <t>11/09/1994</t>
        </is>
      </c>
      <c r="D56" t="inlineStr">
        <is>
          <t>m</t>
        </is>
      </c>
      <c r="E56" t="inlineStr">
        <is>
          <t>555-527-1948</t>
        </is>
      </c>
      <c r="F56" t="inlineStr">
        <is>
          <t>none</t>
        </is>
      </c>
      <c r="G56" t="inlineStr">
        <is>
          <t>Ashby Falls, OH 45610</t>
        </is>
      </c>
      <c r="H56" t="inlineStr">
        <is>
          <t>Medicaid</t>
        </is>
      </c>
      <c r="I56" t="inlineStr">
        <is>
          <t>09148220</t>
        </is>
      </c>
      <c r="J56" t="inlineStr">
        <is>
          <t>2015-10-18 16:47:00</t>
        </is>
      </c>
    </row>
    <row r="57">
      <c r="A57" t="inlineStr">
        <is>
          <t>R1056</t>
        </is>
      </c>
      <c r="B57" t="inlineStr">
        <is>
          <t>Webb, Emma</t>
        </is>
      </c>
      <c r="C57" t="inlineStr">
        <is>
          <t>1977-10-08</t>
        </is>
      </c>
      <c r="D57" t="inlineStr">
        <is>
          <t>Female</t>
        </is>
      </c>
      <c r="E57" t="inlineStr">
        <is>
          <t>555-540-8001</t>
        </is>
      </c>
      <c r="F57" t="inlineStr">
        <is>
          <t>emma.webb89@example.com</t>
        </is>
      </c>
      <c r="G57" t="inlineStr">
        <is>
          <t>Bluestone OH 45501</t>
        </is>
      </c>
      <c r="H57" t="inlineStr">
        <is>
          <t>Keystone</t>
        </is>
      </c>
      <c r="I57" t="inlineStr">
        <is>
          <t>05757055</t>
        </is>
      </c>
      <c r="J57" t="inlineStr">
        <is>
          <t>2014-06-02 16:26:00</t>
        </is>
      </c>
    </row>
    <row r="58">
      <c r="A58" t="inlineStr">
        <is>
          <t>R1057</t>
        </is>
      </c>
      <c r="B58" t="inlineStr">
        <is>
          <t>James West</t>
        </is>
      </c>
      <c r="C58" t="inlineStr">
        <is>
          <t>1976-04-26</t>
        </is>
      </c>
      <c r="D58" t="inlineStr">
        <is>
          <t>M</t>
        </is>
      </c>
      <c r="E58" t="inlineStr">
        <is>
          <t>5557688951</t>
        </is>
      </c>
      <c r="G58" t="inlineStr">
        <is>
          <t>Bluestone, OH 45501</t>
        </is>
      </c>
      <c r="H58" t="inlineStr">
        <is>
          <t>Keystone</t>
        </is>
      </c>
      <c r="I58" t="inlineStr">
        <is>
          <t>253537</t>
        </is>
      </c>
      <c r="J58" t="inlineStr">
        <is>
          <t>2024-01-22 17:36:00</t>
        </is>
      </c>
    </row>
    <row r="59">
      <c r="A59" t="inlineStr">
        <is>
          <t>R1058</t>
        </is>
      </c>
      <c r="B59" t="inlineStr">
        <is>
          <t>Kim, Ethan</t>
        </is>
      </c>
      <c r="C59" t="inlineStr">
        <is>
          <t>23-May-1931</t>
        </is>
      </c>
      <c r="D59" t="inlineStr">
        <is>
          <t>m</t>
        </is>
      </c>
      <c r="E59" t="inlineStr">
        <is>
          <t>5559648131</t>
        </is>
      </c>
      <c r="F59" t="inlineStr">
        <is>
          <t>ethan.kim24@example.com</t>
        </is>
      </c>
      <c r="G59" t="inlineStr">
        <is>
          <t>Ashby Falls, OH 45610-1593</t>
        </is>
      </c>
      <c r="H59" t="inlineStr">
        <is>
          <t>MEDICARE</t>
        </is>
      </c>
      <c r="I59" t="inlineStr">
        <is>
          <t>02110671</t>
        </is>
      </c>
      <c r="J59" t="inlineStr">
        <is>
          <t>2022-10-29 10:04:00</t>
        </is>
      </c>
    </row>
    <row r="60">
      <c r="A60" t="inlineStr">
        <is>
          <t>R1059</t>
        </is>
      </c>
      <c r="B60" t="inlineStr">
        <is>
          <t>SIMPSON, BRENDA</t>
        </is>
      </c>
      <c r="C60" t="inlineStr">
        <is>
          <t>29-Nov-1931</t>
        </is>
      </c>
      <c r="D60" t="inlineStr">
        <is>
          <t>F</t>
        </is>
      </c>
      <c r="E60" t="inlineStr">
        <is>
          <t>555-705-1228</t>
        </is>
      </c>
      <c r="F60" t="inlineStr">
        <is>
          <t xml:space="preserve"> brenda.simpson97@example.com </t>
        </is>
      </c>
      <c r="G60" t="inlineStr">
        <is>
          <t>Riverbend, OH 45545</t>
        </is>
      </c>
      <c r="H60" t="inlineStr">
        <is>
          <t xml:space="preserve">Silverline Medicare Advantage </t>
        </is>
      </c>
      <c r="I60" t="inlineStr">
        <is>
          <t>9464644</t>
        </is>
      </c>
      <c r="J60" t="inlineStr">
        <is>
          <t>02/27/2022 04:18 PM</t>
        </is>
      </c>
    </row>
    <row r="61">
      <c r="A61" t="inlineStr">
        <is>
          <t>R1060</t>
        </is>
      </c>
      <c r="B61" t="inlineStr">
        <is>
          <t xml:space="preserve">  Nguyen ,  Joyce </t>
        </is>
      </c>
      <c r="C61" t="inlineStr">
        <is>
          <t>12.17.1969</t>
        </is>
      </c>
      <c r="D61" t="inlineStr">
        <is>
          <t>f</t>
        </is>
      </c>
      <c r="E61" t="inlineStr">
        <is>
          <t>(555) 678-2970</t>
        </is>
      </c>
      <c r="F61" t="inlineStr">
        <is>
          <t>joyce.nguyen64@example.com</t>
        </is>
      </c>
      <c r="G61" t="inlineStr">
        <is>
          <t>Bluestone, OH 45503</t>
        </is>
      </c>
      <c r="H61" t="inlineStr">
        <is>
          <t>Keystone Health Ptnrs</t>
        </is>
      </c>
      <c r="I61" t="inlineStr">
        <is>
          <t>MRN-01093076</t>
        </is>
      </c>
      <c r="J61" t="inlineStr">
        <is>
          <t>12/18/2021 06:27 PM</t>
        </is>
      </c>
    </row>
    <row r="62">
      <c r="A62" t="inlineStr">
        <is>
          <t>R1061</t>
        </is>
      </c>
      <c r="B62" t="inlineStr">
        <is>
          <t>graham, madison</t>
        </is>
      </c>
      <c r="C62" t="inlineStr">
        <is>
          <t>1956-04-05</t>
        </is>
      </c>
      <c r="D62" t="inlineStr">
        <is>
          <t>FEMALE</t>
        </is>
      </c>
      <c r="E62" t="inlineStr">
        <is>
          <t>555-354-1445</t>
        </is>
      </c>
      <c r="F62" t="inlineStr">
        <is>
          <t xml:space="preserve"> madison.graham17@example.com </t>
        </is>
      </c>
      <c r="G62" t="inlineStr">
        <is>
          <t>Pine Hollow OH 45640</t>
        </is>
      </c>
      <c r="H62" t="inlineStr">
        <is>
          <t>Silverline Medicare Advantage</t>
        </is>
      </c>
      <c r="I62" t="inlineStr">
        <is>
          <t>01942895</t>
        </is>
      </c>
      <c r="J62" t="inlineStr">
        <is>
          <t>03/22/2023 10:18 AM</t>
        </is>
      </c>
    </row>
    <row r="63">
      <c r="A63" t="inlineStr">
        <is>
          <t>R1062</t>
        </is>
      </c>
      <c r="B63" t="inlineStr">
        <is>
          <t>Yilmaz, Russell</t>
        </is>
      </c>
      <c r="C63" t="inlineStr">
        <is>
          <t>3/7/1944</t>
        </is>
      </c>
      <c r="D63" t="inlineStr">
        <is>
          <t>m</t>
        </is>
      </c>
      <c r="E63" t="inlineStr">
        <is>
          <t>(555) 410-3531</t>
        </is>
      </c>
      <c r="F63" t="inlineStr">
        <is>
          <t>russell.yilmaz74@example.com</t>
        </is>
      </c>
      <c r="G63" t="inlineStr">
        <is>
          <t>Bluestone, OH 45501</t>
        </is>
      </c>
      <c r="H63" t="inlineStr">
        <is>
          <t>Medicare</t>
        </is>
      </c>
      <c r="I63" t="inlineStr">
        <is>
          <t>MRN-05528633</t>
        </is>
      </c>
      <c r="J63" t="inlineStr">
        <is>
          <t>2009-02-25 11:05:00</t>
        </is>
      </c>
    </row>
    <row r="64">
      <c r="A64" t="inlineStr">
        <is>
          <t>R1063</t>
        </is>
      </c>
      <c r="B64" t="inlineStr">
        <is>
          <t>MITCHELL, AUSTIN</t>
        </is>
      </c>
      <c r="C64" t="inlineStr">
        <is>
          <t>1984-09-27</t>
        </is>
      </c>
      <c r="D64" t="inlineStr">
        <is>
          <t>m</t>
        </is>
      </c>
      <c r="E64" t="inlineStr">
        <is>
          <t>(555) 224-4330</t>
        </is>
      </c>
      <c r="G64" t="inlineStr">
        <is>
          <t>Bluestone, OH 45503-3104</t>
        </is>
      </c>
      <c r="H64" t="inlineStr">
        <is>
          <t>Evergreen Mutual</t>
        </is>
      </c>
      <c r="I64" t="inlineStr">
        <is>
          <t>03225016</t>
        </is>
      </c>
      <c r="J64" t="inlineStr">
        <is>
          <t>08/16/2023 07:15 AM</t>
        </is>
      </c>
    </row>
    <row r="65">
      <c r="A65" t="inlineStr">
        <is>
          <t>R1064</t>
        </is>
      </c>
      <c r="B65" t="inlineStr">
        <is>
          <t>Woods, Rebecca</t>
        </is>
      </c>
      <c r="C65" t="inlineStr">
        <is>
          <t>02/16/2013</t>
        </is>
      </c>
      <c r="D65" t="inlineStr">
        <is>
          <t xml:space="preserve"> F</t>
        </is>
      </c>
      <c r="E65" t="inlineStr">
        <is>
          <t>555-237-5511</t>
        </is>
      </c>
      <c r="F65" t="inlineStr">
        <is>
          <t>N/A</t>
        </is>
      </c>
      <c r="G65" t="inlineStr">
        <is>
          <t>Fairhaven OH 45620</t>
        </is>
      </c>
      <c r="H65" t="inlineStr">
        <is>
          <t>SUMMIT CHOICE PPO</t>
        </is>
      </c>
      <c r="I65" t="inlineStr">
        <is>
          <t>3823788</t>
        </is>
      </c>
      <c r="J65" t="inlineStr">
        <is>
          <t>04/12/2022 08:21 AM</t>
        </is>
      </c>
    </row>
    <row r="66">
      <c r="A66" t="inlineStr">
        <is>
          <t>R1065</t>
        </is>
      </c>
      <c r="B66" t="inlineStr">
        <is>
          <t>Vazquez, Raymond</t>
        </is>
      </c>
      <c r="C66" t="inlineStr">
        <is>
          <t>12/20/1978</t>
        </is>
      </c>
      <c r="D66" t="inlineStr">
        <is>
          <t>M</t>
        </is>
      </c>
      <c r="E66" t="inlineStr">
        <is>
          <t>555.902.2296</t>
        </is>
      </c>
      <c r="F66" t="inlineStr">
        <is>
          <t>raymond.vazquez97@example.com</t>
        </is>
      </c>
      <c r="G66" t="inlineStr">
        <is>
          <t>Granite Springs, OH 45750</t>
        </is>
      </c>
      <c r="H66" t="inlineStr">
        <is>
          <t>Keystone</t>
        </is>
      </c>
      <c r="I66" t="inlineStr">
        <is>
          <t>2166473</t>
        </is>
      </c>
      <c r="J66" t="inlineStr">
        <is>
          <t>12/10/2013 06:31 PM</t>
        </is>
      </c>
    </row>
    <row r="67">
      <c r="A67" t="inlineStr">
        <is>
          <t>R1066</t>
        </is>
      </c>
      <c r="B67" t="inlineStr">
        <is>
          <t>RIVERA, JANICE</t>
        </is>
      </c>
      <c r="C67" t="inlineStr">
        <is>
          <t>03-Oct-1954</t>
        </is>
      </c>
      <c r="D67" t="inlineStr">
        <is>
          <t>F</t>
        </is>
      </c>
      <c r="E67" t="inlineStr">
        <is>
          <t>555-215-2910</t>
        </is>
      </c>
      <c r="F67" t="inlineStr">
        <is>
          <t>JANICE.RIVERA6@EXAMPLE.COM</t>
        </is>
      </c>
      <c r="G67" t="inlineStr">
        <is>
          <t>Bluestone OH 45502</t>
        </is>
      </c>
      <c r="H67" t="inlineStr">
        <is>
          <t>Medicare</t>
        </is>
      </c>
      <c r="I67" t="inlineStr">
        <is>
          <t>08967147</t>
        </is>
      </c>
      <c r="J67" t="inlineStr">
        <is>
          <t>10/31/2015 05:43 PM</t>
        </is>
      </c>
    </row>
    <row r="68">
      <c r="A68" t="inlineStr">
        <is>
          <t>R1067</t>
        </is>
      </c>
      <c r="B68" t="inlineStr">
        <is>
          <t>Baker, Harold</t>
        </is>
      </c>
      <c r="C68" t="inlineStr">
        <is>
          <t>1974-09-03</t>
        </is>
      </c>
      <c r="D68" t="inlineStr">
        <is>
          <t>m</t>
        </is>
      </c>
      <c r="E68" t="inlineStr">
        <is>
          <t>555.394.1033</t>
        </is>
      </c>
      <c r="G68" t="inlineStr">
        <is>
          <t>Bluestone, OH 45503</t>
        </is>
      </c>
      <c r="H68" t="inlineStr">
        <is>
          <t>Summit Choice</t>
        </is>
      </c>
      <c r="I68" t="inlineStr">
        <is>
          <t>02660253</t>
        </is>
      </c>
      <c r="J68" t="inlineStr">
        <is>
          <t>2019-07-04 08:47:00</t>
        </is>
      </c>
    </row>
    <row r="69">
      <c r="A69" t="inlineStr">
        <is>
          <t>R1068</t>
        </is>
      </c>
      <c r="B69" t="inlineStr">
        <is>
          <t>Webb, Carol</t>
        </is>
      </c>
      <c r="C69" t="inlineStr">
        <is>
          <t>03/21/1989</t>
        </is>
      </c>
      <c r="D69" t="inlineStr">
        <is>
          <t>F</t>
        </is>
      </c>
      <c r="E69" t="inlineStr">
        <is>
          <t>555-368-4845</t>
        </is>
      </c>
      <c r="F69" t="inlineStr">
        <is>
          <t>none</t>
        </is>
      </c>
      <c r="G69" t="inlineStr">
        <is>
          <t>Millbrook, OH 45530</t>
        </is>
      </c>
      <c r="H69" t="inlineStr">
        <is>
          <t>Keystone</t>
        </is>
      </c>
      <c r="I69" t="inlineStr">
        <is>
          <t>4419907</t>
        </is>
      </c>
      <c r="J69" t="inlineStr">
        <is>
          <t>2009-04-11 18:04:00</t>
        </is>
      </c>
    </row>
    <row r="70">
      <c r="A70" t="inlineStr">
        <is>
          <t>R1069</t>
        </is>
      </c>
      <c r="B70" t="inlineStr">
        <is>
          <t>Boyd, Kayla</t>
        </is>
      </c>
      <c r="C70" t="inlineStr">
        <is>
          <t>1998-11-18</t>
        </is>
      </c>
      <c r="D70" t="inlineStr">
        <is>
          <t>F</t>
        </is>
      </c>
      <c r="E70" t="inlineStr">
        <is>
          <t>(555) 583-8893</t>
        </is>
      </c>
      <c r="F70" t="inlineStr">
        <is>
          <t>none</t>
        </is>
      </c>
      <c r="G70" t="inlineStr">
        <is>
          <t>Bluestone, OH 45503-7785</t>
        </is>
      </c>
      <c r="H70" t="inlineStr">
        <is>
          <t>Medicare</t>
        </is>
      </c>
      <c r="I70" t="inlineStr">
        <is>
          <t>04461134</t>
        </is>
      </c>
      <c r="J70" t="inlineStr">
        <is>
          <t>02/19/2011 01:36 PM</t>
        </is>
      </c>
    </row>
    <row r="71">
      <c r="A71" t="inlineStr">
        <is>
          <t>R1070</t>
        </is>
      </c>
      <c r="B71" t="inlineStr">
        <is>
          <t>GRIFFIN, AARON</t>
        </is>
      </c>
      <c r="C71" t="inlineStr">
        <is>
          <t>10/08/2006</t>
        </is>
      </c>
      <c r="D71" t="inlineStr">
        <is>
          <t>M</t>
        </is>
      </c>
      <c r="E71" t="inlineStr">
        <is>
          <t>(555) 354-3611</t>
        </is>
      </c>
      <c r="F71" t="inlineStr">
        <is>
          <t>aaron.griffin9@example.com</t>
        </is>
      </c>
      <c r="G71" t="inlineStr">
        <is>
          <t>Millbrook, OH 45530-1254</t>
        </is>
      </c>
      <c r="H71" t="inlineStr">
        <is>
          <t>Evergreen Mutual</t>
        </is>
      </c>
      <c r="I71" t="inlineStr">
        <is>
          <t>05891705</t>
        </is>
      </c>
      <c r="J71" t="inlineStr">
        <is>
          <t>2025-02-24 15:13:00</t>
        </is>
      </c>
    </row>
    <row r="72">
      <c r="A72" t="inlineStr">
        <is>
          <t>R1071</t>
        </is>
      </c>
      <c r="B72" t="inlineStr">
        <is>
          <t>Graham, Kelly</t>
        </is>
      </c>
      <c r="C72" t="inlineStr">
        <is>
          <t>12/25/1981</t>
        </is>
      </c>
      <c r="D72" t="inlineStr">
        <is>
          <t xml:space="preserve"> F</t>
        </is>
      </c>
      <c r="E72" t="inlineStr">
        <is>
          <t>5558871239</t>
        </is>
      </c>
      <c r="F72" t="inlineStr">
        <is>
          <t>KELLY.GRAHAM65@EXAMPLE.COM</t>
        </is>
      </c>
      <c r="G72" t="inlineStr">
        <is>
          <t>Bluestone OH 45502</t>
        </is>
      </c>
      <c r="H72" t="inlineStr">
        <is>
          <t>Evergreen Mutual</t>
        </is>
      </c>
      <c r="I72" t="inlineStr">
        <is>
          <t>07861473</t>
        </is>
      </c>
      <c r="J72" t="inlineStr">
        <is>
          <t>2015-04-15 11:38:00</t>
        </is>
      </c>
    </row>
    <row r="73">
      <c r="A73" t="inlineStr">
        <is>
          <t>R1072</t>
        </is>
      </c>
      <c r="B73" t="inlineStr">
        <is>
          <t>Lawrence, James</t>
        </is>
      </c>
      <c r="C73" t="inlineStr">
        <is>
          <t>07-Jun-2008</t>
        </is>
      </c>
      <c r="D73" t="inlineStr">
        <is>
          <t xml:space="preserve">M </t>
        </is>
      </c>
      <c r="E73" t="inlineStr">
        <is>
          <t>(555) 522-7615</t>
        </is>
      </c>
      <c r="G73" t="inlineStr">
        <is>
          <t>Fairhaven, OH 45620</t>
        </is>
      </c>
      <c r="H73" t="inlineStr">
        <is>
          <t>Evergreen Mutual Insurance</t>
        </is>
      </c>
      <c r="I73" t="inlineStr">
        <is>
          <t>07810147</t>
        </is>
      </c>
      <c r="J73" t="inlineStr">
        <is>
          <t>2010-03-06 18:06:00</t>
        </is>
      </c>
    </row>
    <row r="74">
      <c r="A74" t="inlineStr">
        <is>
          <t>R1073</t>
        </is>
      </c>
      <c r="B74" t="inlineStr">
        <is>
          <t>FORD, GLORIA</t>
        </is>
      </c>
      <c r="C74" t="inlineStr">
        <is>
          <t>3/15/1977</t>
        </is>
      </c>
      <c r="D74" t="inlineStr">
        <is>
          <t>F</t>
        </is>
      </c>
      <c r="E74" t="inlineStr">
        <is>
          <t>(555) 389-4675</t>
        </is>
      </c>
      <c r="F74" t="inlineStr">
        <is>
          <t>none</t>
        </is>
      </c>
      <c r="G74" t="inlineStr">
        <is>
          <t>Bluestone, OH 45501</t>
        </is>
      </c>
      <c r="H74" t="inlineStr">
        <is>
          <t>Medicare Part A</t>
        </is>
      </c>
      <c r="I74" t="inlineStr">
        <is>
          <t>MRN-05547556</t>
        </is>
      </c>
      <c r="J74" t="inlineStr">
        <is>
          <t>2021-05-04 18:00:00</t>
        </is>
      </c>
    </row>
    <row r="75">
      <c r="A75" t="inlineStr">
        <is>
          <t>R1074</t>
        </is>
      </c>
      <c r="B75" t="inlineStr">
        <is>
          <t>MORRIS, JOYCE</t>
        </is>
      </c>
      <c r="C75" t="inlineStr">
        <is>
          <t>1953-04-10</t>
        </is>
      </c>
      <c r="D75" t="inlineStr">
        <is>
          <t>F</t>
        </is>
      </c>
      <c r="E75" t="inlineStr">
        <is>
          <t>555-239-5019</t>
        </is>
      </c>
      <c r="F75" t="inlineStr">
        <is>
          <t>joyce.morris11@example.com</t>
        </is>
      </c>
      <c r="G75" t="inlineStr">
        <is>
          <t>BLUESTONE, OH 45501</t>
        </is>
      </c>
      <c r="H75" t="inlineStr">
        <is>
          <t xml:space="preserve">Medicare </t>
        </is>
      </c>
      <c r="I75" t="inlineStr">
        <is>
          <t>MRN-02042253</t>
        </is>
      </c>
      <c r="J75" t="inlineStr">
        <is>
          <t>2008-10-08 14:43:00</t>
        </is>
      </c>
    </row>
    <row r="76">
      <c r="A76" t="inlineStr">
        <is>
          <t>R1075</t>
        </is>
      </c>
      <c r="B76" t="inlineStr">
        <is>
          <t xml:space="preserve">  Mills ,  Rebecca </t>
        </is>
      </c>
      <c r="C76" t="inlineStr">
        <is>
          <t>02/16/1948</t>
        </is>
      </c>
      <c r="D76" t="inlineStr">
        <is>
          <t>Female</t>
        </is>
      </c>
      <c r="E76" t="inlineStr">
        <is>
          <t>(555) 248-0585</t>
        </is>
      </c>
      <c r="F76" t="inlineStr">
        <is>
          <t>N/A</t>
        </is>
      </c>
      <c r="G76" t="inlineStr">
        <is>
          <t>ASHBY FALLS, OH 45610</t>
        </is>
      </c>
      <c r="H76" t="inlineStr">
        <is>
          <t>Silverline Medicare Advantage</t>
        </is>
      </c>
      <c r="I76" t="inlineStr">
        <is>
          <t>08708853</t>
        </is>
      </c>
      <c r="J76" t="inlineStr">
        <is>
          <t>2023-12-10 13:28:00</t>
        </is>
      </c>
    </row>
    <row r="77">
      <c r="A77" t="inlineStr">
        <is>
          <t>R1076</t>
        </is>
      </c>
      <c r="B77" t="inlineStr">
        <is>
          <t>carroll, lori</t>
        </is>
      </c>
      <c r="C77" t="inlineStr">
        <is>
          <t>30-Mar-1970</t>
        </is>
      </c>
      <c r="D77" t="inlineStr">
        <is>
          <t>f</t>
        </is>
      </c>
      <c r="E77" t="inlineStr">
        <is>
          <t>5552285285</t>
        </is>
      </c>
      <c r="F77" t="inlineStr">
        <is>
          <t xml:space="preserve"> lori.carroll2@example.com </t>
        </is>
      </c>
      <c r="G77" t="inlineStr">
        <is>
          <t>Fairhaven OH 45620</t>
        </is>
      </c>
      <c r="H77" t="inlineStr">
        <is>
          <t>evergreen mutual insurance</t>
        </is>
      </c>
      <c r="I77" t="inlineStr">
        <is>
          <t>MRN-01877775</t>
        </is>
      </c>
      <c r="J77" t="inlineStr">
        <is>
          <t>2016-11-26 12:24:00</t>
        </is>
      </c>
    </row>
    <row r="78">
      <c r="A78" t="inlineStr">
        <is>
          <t>R1077</t>
        </is>
      </c>
      <c r="B78" t="inlineStr">
        <is>
          <t>Cheryl Nichols</t>
        </is>
      </c>
      <c r="C78" t="inlineStr">
        <is>
          <t>22-Dec-2016</t>
        </is>
      </c>
      <c r="D78" t="inlineStr">
        <is>
          <t>F</t>
        </is>
      </c>
      <c r="E78" t="inlineStr">
        <is>
          <t>(555) 892-8232</t>
        </is>
      </c>
      <c r="F78" t="inlineStr">
        <is>
          <t>N/A</t>
        </is>
      </c>
      <c r="G78" t="inlineStr">
        <is>
          <t>Cedar Ridge OH 45720</t>
        </is>
      </c>
      <c r="H78" t="inlineStr">
        <is>
          <t>Keystone</t>
        </is>
      </c>
      <c r="I78" t="inlineStr">
        <is>
          <t>06732493</t>
        </is>
      </c>
      <c r="J78" t="inlineStr">
        <is>
          <t>05/18/2023 01:08 PM</t>
        </is>
      </c>
    </row>
    <row r="79">
      <c r="A79" t="inlineStr">
        <is>
          <t>R1078</t>
        </is>
      </c>
      <c r="B79" t="inlineStr">
        <is>
          <t>black, kyle</t>
        </is>
      </c>
      <c r="C79" t="inlineStr">
        <is>
          <t>08/24/1960</t>
        </is>
      </c>
      <c r="D79" t="inlineStr">
        <is>
          <t xml:space="preserve">M </t>
        </is>
      </c>
      <c r="E79" t="inlineStr">
        <is>
          <t>5555735424</t>
        </is>
      </c>
      <c r="F79" t="inlineStr">
        <is>
          <t xml:space="preserve"> kyle.black48@example.com </t>
        </is>
      </c>
      <c r="G79" t="inlineStr">
        <is>
          <t>Granite Springs, OH 45750-8153</t>
        </is>
      </c>
      <c r="H79" t="inlineStr">
        <is>
          <t>Silverline Medicare Advantage</t>
        </is>
      </c>
      <c r="I79" t="inlineStr">
        <is>
          <t>05971081</t>
        </is>
      </c>
      <c r="J79" t="inlineStr">
        <is>
          <t>2023-03-17 17:00:00</t>
        </is>
      </c>
    </row>
    <row r="80">
      <c r="A80" t="inlineStr">
        <is>
          <t>R1079</t>
        </is>
      </c>
      <c r="B80" t="inlineStr">
        <is>
          <t>Joan Rogers</t>
        </is>
      </c>
      <c r="C80" t="inlineStr">
        <is>
          <t>8/28/1973</t>
        </is>
      </c>
      <c r="D80" t="inlineStr">
        <is>
          <t>f</t>
        </is>
      </c>
      <c r="E80" t="inlineStr">
        <is>
          <t>5557309391</t>
        </is>
      </c>
      <c r="G80" t="inlineStr">
        <is>
          <t>Oak Glen OH 45730</t>
        </is>
      </c>
      <c r="H80" t="inlineStr">
        <is>
          <t>SUMMIT CHOICE PPO</t>
        </is>
      </c>
      <c r="I80" t="inlineStr">
        <is>
          <t>01032557</t>
        </is>
      </c>
      <c r="J80" t="inlineStr">
        <is>
          <t>2019-09-26 18:15:00</t>
        </is>
      </c>
    </row>
    <row r="81">
      <c r="A81" t="inlineStr">
        <is>
          <t>R1080</t>
        </is>
      </c>
      <c r="B81" t="inlineStr">
        <is>
          <t xml:space="preserve">  Hall ,  Elizabeth </t>
        </is>
      </c>
      <c r="C81" t="inlineStr">
        <is>
          <t>10/13/1930</t>
        </is>
      </c>
      <c r="D81" t="inlineStr">
        <is>
          <t>F</t>
        </is>
      </c>
      <c r="E81" t="inlineStr">
        <is>
          <t>(555) 265-9832</t>
        </is>
      </c>
      <c r="F81" t="inlineStr">
        <is>
          <t>none</t>
        </is>
      </c>
      <c r="G81" t="inlineStr">
        <is>
          <t>Cedar Ridge, OH 45720</t>
        </is>
      </c>
      <c r="H81" t="inlineStr">
        <is>
          <t>MEDICARE</t>
        </is>
      </c>
      <c r="I81" t="inlineStr">
        <is>
          <t>02079944</t>
        </is>
      </c>
      <c r="J81" t="inlineStr">
        <is>
          <t>05/03/2024 08:48 AM</t>
        </is>
      </c>
    </row>
    <row r="82">
      <c r="A82" t="inlineStr">
        <is>
          <t>R1081</t>
        </is>
      </c>
      <c r="B82" t="inlineStr">
        <is>
          <t>hill, olivia</t>
        </is>
      </c>
      <c r="C82" t="inlineStr">
        <is>
          <t>06/20/1971</t>
        </is>
      </c>
      <c r="D82" t="inlineStr">
        <is>
          <t>FEMALE</t>
        </is>
      </c>
      <c r="E82" t="inlineStr">
        <is>
          <t>(555) 226-4598</t>
        </is>
      </c>
      <c r="G82" t="inlineStr">
        <is>
          <t>Ashby Falls, OH 45610</t>
        </is>
      </c>
      <c r="H82" t="inlineStr">
        <is>
          <t>medicaid</t>
        </is>
      </c>
      <c r="I82" t="inlineStr">
        <is>
          <t>03540862</t>
        </is>
      </c>
      <c r="J82" t="inlineStr">
        <is>
          <t>09/04/2013 09:22 AM</t>
        </is>
      </c>
    </row>
    <row r="83">
      <c r="A83" t="inlineStr">
        <is>
          <t>R1082</t>
        </is>
      </c>
      <c r="B83" t="inlineStr">
        <is>
          <t>MILLS, JUDITH</t>
        </is>
      </c>
      <c r="C83" t="inlineStr">
        <is>
          <t>11/16/2024</t>
        </is>
      </c>
      <c r="D83" t="inlineStr">
        <is>
          <t>F</t>
        </is>
      </c>
      <c r="E83" t="inlineStr">
        <is>
          <t>+1 555 244 4192</t>
        </is>
      </c>
      <c r="G83" t="inlineStr">
        <is>
          <t>Cedar Ridge OH 45720</t>
        </is>
      </c>
      <c r="H83" t="inlineStr">
        <is>
          <t>Keystone Health Ptnrs</t>
        </is>
      </c>
      <c r="I83" t="inlineStr">
        <is>
          <t>MRN-06895046</t>
        </is>
      </c>
      <c r="J83" t="inlineStr">
        <is>
          <t>2024-01-11 18:27:00</t>
        </is>
      </c>
    </row>
    <row r="84">
      <c r="A84" t="inlineStr">
        <is>
          <t>R1083</t>
        </is>
      </c>
      <c r="B84" t="inlineStr">
        <is>
          <t>Brian Duncan</t>
        </is>
      </c>
      <c r="C84" t="inlineStr">
        <is>
          <t>12/15/1964</t>
        </is>
      </c>
      <c r="D84" t="inlineStr">
        <is>
          <t xml:space="preserve">M </t>
        </is>
      </c>
      <c r="E84" t="inlineStr">
        <is>
          <t>(555) 319-0716</t>
        </is>
      </c>
      <c r="F84" t="inlineStr">
        <is>
          <t>brian.duncan6@example.com</t>
        </is>
      </c>
      <c r="G84" t="inlineStr">
        <is>
          <t>Bluestone, OH 45501-2072</t>
        </is>
      </c>
      <c r="H84" t="inlineStr">
        <is>
          <t>Uninsured</t>
        </is>
      </c>
      <c r="I84" t="inlineStr">
        <is>
          <t>3531946</t>
        </is>
      </c>
      <c r="J84" t="inlineStr">
        <is>
          <t>02/26/2020 04:50 PM</t>
        </is>
      </c>
    </row>
    <row r="85">
      <c r="A85" t="inlineStr">
        <is>
          <t>R1084</t>
        </is>
      </c>
      <c r="B85" t="inlineStr">
        <is>
          <t>Alice Gordon</t>
        </is>
      </c>
      <c r="C85" t="inlineStr">
        <is>
          <t>3/12/1975</t>
        </is>
      </c>
      <c r="D85" t="inlineStr">
        <is>
          <t>f</t>
        </is>
      </c>
      <c r="E85" t="inlineStr">
        <is>
          <t>(555) 665-1818</t>
        </is>
      </c>
      <c r="F85" t="inlineStr">
        <is>
          <t>alice.gordon74@example.com</t>
        </is>
      </c>
      <c r="G85" t="inlineStr">
        <is>
          <t>Oak Glen, OH 45730</t>
        </is>
      </c>
      <c r="H85" t="inlineStr">
        <is>
          <t>SUMMIT CHOICE PPO</t>
        </is>
      </c>
      <c r="I85" t="inlineStr">
        <is>
          <t>00169023</t>
        </is>
      </c>
      <c r="J85" t="inlineStr">
        <is>
          <t>07/03/2020 08:22 AM</t>
        </is>
      </c>
    </row>
    <row r="86">
      <c r="A86" t="inlineStr">
        <is>
          <t>R1085</t>
        </is>
      </c>
      <c r="B86" t="inlineStr">
        <is>
          <t>guzman, scott</t>
        </is>
      </c>
      <c r="C86" t="inlineStr">
        <is>
          <t>6/26/1952</t>
        </is>
      </c>
      <c r="D86" t="inlineStr">
        <is>
          <t>MALE</t>
        </is>
      </c>
      <c r="E86" t="inlineStr">
        <is>
          <t>+1 555 390 7920</t>
        </is>
      </c>
      <c r="F86" t="inlineStr">
        <is>
          <t>none</t>
        </is>
      </c>
      <c r="G86" t="inlineStr">
        <is>
          <t>Bluestone, OH 45503</t>
        </is>
      </c>
      <c r="H86" t="inlineStr">
        <is>
          <t>Medicaid</t>
        </is>
      </c>
      <c r="I86" t="inlineStr">
        <is>
          <t>09325124</t>
        </is>
      </c>
      <c r="J86" t="inlineStr">
        <is>
          <t>2010-01-26 17:45:00</t>
        </is>
      </c>
    </row>
    <row r="87">
      <c r="A87" t="inlineStr">
        <is>
          <t>R1086</t>
        </is>
      </c>
      <c r="B87" t="inlineStr">
        <is>
          <t>Hicks, Ruth</t>
        </is>
      </c>
      <c r="C87" t="inlineStr">
        <is>
          <t>12/03/1970</t>
        </is>
      </c>
      <c r="D87" t="inlineStr">
        <is>
          <t>Female</t>
        </is>
      </c>
      <c r="E87" t="inlineStr">
        <is>
          <t>(555) 268-7126</t>
        </is>
      </c>
      <c r="F87" t="inlineStr">
        <is>
          <t>ruth.hicks53@example.com</t>
        </is>
      </c>
      <c r="G87" t="inlineStr">
        <is>
          <t>Bluestone, OH 45501-3043</t>
        </is>
      </c>
      <c r="H87" t="inlineStr">
        <is>
          <t xml:space="preserve">Medicare </t>
        </is>
      </c>
      <c r="I87" t="inlineStr">
        <is>
          <t>2664675</t>
        </is>
      </c>
      <c r="J87" t="inlineStr">
        <is>
          <t>05/29/2021 11:58 AM</t>
        </is>
      </c>
    </row>
    <row r="88">
      <c r="A88" t="inlineStr">
        <is>
          <t>R1087</t>
        </is>
      </c>
      <c r="B88" t="inlineStr">
        <is>
          <t>myers, kenneth</t>
        </is>
      </c>
      <c r="C88" t="inlineStr">
        <is>
          <t>22-May-1993</t>
        </is>
      </c>
      <c r="D88" t="inlineStr">
        <is>
          <t>M</t>
        </is>
      </c>
      <c r="E88" t="inlineStr">
        <is>
          <t>(555) 364-1293</t>
        </is>
      </c>
      <c r="F88" t="inlineStr">
        <is>
          <t>none</t>
        </is>
      </c>
      <c r="G88" t="inlineStr">
        <is>
          <t>Ashby Falls, OH 45610</t>
        </is>
      </c>
      <c r="H88" t="inlineStr">
        <is>
          <t>Self Pay</t>
        </is>
      </c>
      <c r="I88" t="inlineStr">
        <is>
          <t>00887342</t>
        </is>
      </c>
      <c r="J88" t="inlineStr">
        <is>
          <t>03/21/2020 10:14 AM</t>
        </is>
      </c>
    </row>
    <row r="89">
      <c r="A89" t="inlineStr">
        <is>
          <t>R1088</t>
        </is>
      </c>
      <c r="B89" t="inlineStr">
        <is>
          <t>wright, joe</t>
        </is>
      </c>
      <c r="C89" t="inlineStr">
        <is>
          <t>01.02.1966</t>
        </is>
      </c>
      <c r="D89" t="inlineStr">
        <is>
          <t>m</t>
        </is>
      </c>
      <c r="F89" t="inlineStr">
        <is>
          <t>joe.wright88@example.com</t>
        </is>
      </c>
      <c r="G89" t="inlineStr">
        <is>
          <t>Lakeview Heights OH 45510</t>
        </is>
      </c>
      <c r="H89" t="inlineStr">
        <is>
          <t>Medicaid</t>
        </is>
      </c>
      <c r="I89" t="inlineStr">
        <is>
          <t>07004771</t>
        </is>
      </c>
      <c r="J89" t="inlineStr">
        <is>
          <t>08/05/2022 04:04 PM</t>
        </is>
      </c>
    </row>
    <row r="90">
      <c r="A90" t="inlineStr">
        <is>
          <t>R1089</t>
        </is>
      </c>
      <c r="B90" t="inlineStr">
        <is>
          <t>Hill, Evelyn</t>
        </is>
      </c>
      <c r="C90" t="inlineStr">
        <is>
          <t>02/21/1985</t>
        </is>
      </c>
      <c r="D90" t="inlineStr">
        <is>
          <t>f</t>
        </is>
      </c>
      <c r="E90" t="inlineStr">
        <is>
          <t>555-303-2019</t>
        </is>
      </c>
      <c r="G90" t="inlineStr">
        <is>
          <t>Cedar Ridge OH 45720</t>
        </is>
      </c>
      <c r="H90" t="inlineStr">
        <is>
          <t>Keystone Health Partners</t>
        </is>
      </c>
      <c r="I90" t="inlineStr">
        <is>
          <t>04354423</t>
        </is>
      </c>
      <c r="J90" t="inlineStr">
        <is>
          <t>2013-03-05 17:26:00</t>
        </is>
      </c>
    </row>
    <row r="91">
      <c r="A91" t="inlineStr">
        <is>
          <t>R1090</t>
        </is>
      </c>
      <c r="B91" t="inlineStr">
        <is>
          <t>CHEN, CHRISTINE</t>
        </is>
      </c>
      <c r="C91" t="inlineStr">
        <is>
          <t>08.05.1976</t>
        </is>
      </c>
      <c r="D91" t="inlineStr">
        <is>
          <t>F</t>
        </is>
      </c>
      <c r="E91" t="inlineStr">
        <is>
          <t>555-264-8394</t>
        </is>
      </c>
      <c r="F91" t="inlineStr">
        <is>
          <t>christine.chen71@example.com</t>
        </is>
      </c>
      <c r="G91" t="inlineStr">
        <is>
          <t>PINE HOLLOW, OH 45640</t>
        </is>
      </c>
      <c r="H91" t="inlineStr">
        <is>
          <t>Keystone Health Ptnrs</t>
        </is>
      </c>
      <c r="I91" t="inlineStr">
        <is>
          <t>04357028</t>
        </is>
      </c>
      <c r="J91" t="inlineStr">
        <is>
          <t>2023-11-28 15:15:00</t>
        </is>
      </c>
    </row>
    <row r="92">
      <c r="A92" t="inlineStr">
        <is>
          <t>R1091</t>
        </is>
      </c>
      <c r="B92" t="inlineStr">
        <is>
          <t>Nancy Garcia</t>
        </is>
      </c>
      <c r="C92" t="inlineStr">
        <is>
          <t>09.02.2019</t>
        </is>
      </c>
      <c r="D92" t="inlineStr">
        <is>
          <t>F</t>
        </is>
      </c>
      <c r="E92" t="inlineStr">
        <is>
          <t>+1 555 337 8000</t>
        </is>
      </c>
      <c r="G92" t="inlineStr">
        <is>
          <t>MILLBROOK, OH 45530</t>
        </is>
      </c>
      <c r="H92" t="inlineStr">
        <is>
          <t>SELF PAY</t>
        </is>
      </c>
      <c r="I92" t="inlineStr">
        <is>
          <t>05633680</t>
        </is>
      </c>
      <c r="J92" t="inlineStr">
        <is>
          <t>04/24/2022 04:00 PM</t>
        </is>
      </c>
    </row>
    <row r="93">
      <c r="A93" t="inlineStr">
        <is>
          <t>R1092</t>
        </is>
      </c>
      <c r="B93" t="inlineStr">
        <is>
          <t>Webb, Cynthia</t>
        </is>
      </c>
      <c r="C93" t="inlineStr">
        <is>
          <t>08/25/1931</t>
        </is>
      </c>
      <c r="D93" t="inlineStr">
        <is>
          <t>FEMALE</t>
        </is>
      </c>
      <c r="E93" t="inlineStr">
        <is>
          <t>(555) 336-7605</t>
        </is>
      </c>
      <c r="G93" t="inlineStr">
        <is>
          <t>Granite Springs, OH 45750</t>
        </is>
      </c>
      <c r="H93" t="inlineStr">
        <is>
          <t>Medicare</t>
        </is>
      </c>
      <c r="I93" t="inlineStr">
        <is>
          <t>6216626</t>
        </is>
      </c>
      <c r="J93" t="inlineStr">
        <is>
          <t>2022-11-18 16:28:00</t>
        </is>
      </c>
    </row>
    <row r="94">
      <c r="A94" t="inlineStr">
        <is>
          <t>R1093</t>
        </is>
      </c>
      <c r="B94" t="inlineStr">
        <is>
          <t>Kennedy, Larry</t>
        </is>
      </c>
      <c r="C94" t="inlineStr">
        <is>
          <t>03/24/1995</t>
        </is>
      </c>
      <c r="D94" t="inlineStr">
        <is>
          <t>M</t>
        </is>
      </c>
      <c r="E94" t="inlineStr">
        <is>
          <t>(555) 645-4182</t>
        </is>
      </c>
      <c r="G94" t="inlineStr">
        <is>
          <t>Bluestone, OH 45501</t>
        </is>
      </c>
      <c r="H94" t="inlineStr">
        <is>
          <t>Summit Choice PPO</t>
        </is>
      </c>
      <c r="I94" t="inlineStr">
        <is>
          <t>05271904</t>
        </is>
      </c>
      <c r="J94" t="inlineStr">
        <is>
          <t>2024-03-24 16:11:00</t>
        </is>
      </c>
    </row>
    <row r="95">
      <c r="A95" t="inlineStr">
        <is>
          <t>R1094</t>
        </is>
      </c>
      <c r="B95" t="inlineStr">
        <is>
          <t xml:space="preserve">  Jenkins ,  Jordan </t>
        </is>
      </c>
      <c r="C95" t="inlineStr">
        <is>
          <t>11/30/1970</t>
        </is>
      </c>
      <c r="D95" t="inlineStr">
        <is>
          <t xml:space="preserve">M </t>
        </is>
      </c>
      <c r="E95" t="inlineStr">
        <is>
          <t>555-615-1984</t>
        </is>
      </c>
      <c r="G95" t="inlineStr">
        <is>
          <t>Riverbend, OH 45545</t>
        </is>
      </c>
      <c r="H95" t="inlineStr">
        <is>
          <t>Evergreen Mutual Insurance</t>
        </is>
      </c>
      <c r="I95" t="inlineStr">
        <is>
          <t>03939906</t>
        </is>
      </c>
      <c r="J95" t="inlineStr">
        <is>
          <t>2014-03-12 12:21:00</t>
        </is>
      </c>
    </row>
    <row r="96">
      <c r="A96" t="inlineStr">
        <is>
          <t>R1095</t>
        </is>
      </c>
      <c r="B96" t="inlineStr">
        <is>
          <t>James Ward</t>
        </is>
      </c>
      <c r="C96" t="inlineStr">
        <is>
          <t>05/07/2011</t>
        </is>
      </c>
      <c r="D96" t="inlineStr">
        <is>
          <t xml:space="preserve">M </t>
        </is>
      </c>
      <c r="E96" t="inlineStr">
        <is>
          <t>(555) 510-4393</t>
        </is>
      </c>
      <c r="G96" t="inlineStr">
        <is>
          <t>Pine Hollow, OH 45640</t>
        </is>
      </c>
      <c r="H96" t="inlineStr">
        <is>
          <t>Medicaid</t>
        </is>
      </c>
      <c r="I96" t="inlineStr">
        <is>
          <t>06565875</t>
        </is>
      </c>
      <c r="J96" t="inlineStr">
        <is>
          <t>04/26/2020 09:54 AM</t>
        </is>
      </c>
    </row>
    <row r="97">
      <c r="A97" t="inlineStr">
        <is>
          <t>R1096</t>
        </is>
      </c>
      <c r="B97" t="inlineStr">
        <is>
          <t>Gary Butler</t>
        </is>
      </c>
      <c r="C97" t="inlineStr">
        <is>
          <t>7/15/1974</t>
        </is>
      </c>
      <c r="D97" t="inlineStr">
        <is>
          <t xml:space="preserve">M </t>
        </is>
      </c>
      <c r="E97" t="inlineStr">
        <is>
          <t>555-320-7658</t>
        </is>
      </c>
      <c r="F97" t="inlineStr">
        <is>
          <t>GARY.BUTLER7@EXAMPLE.COM</t>
        </is>
      </c>
      <c r="G97" t="inlineStr">
        <is>
          <t>Lakeview Heights, OH 45510</t>
        </is>
      </c>
      <c r="H97" t="inlineStr">
        <is>
          <t>Self Pay</t>
        </is>
      </c>
      <c r="I97" t="inlineStr">
        <is>
          <t>03594697</t>
        </is>
      </c>
      <c r="J97" t="inlineStr">
        <is>
          <t>10/30/2010 12:51 PM</t>
        </is>
      </c>
    </row>
    <row r="98">
      <c r="A98" t="inlineStr">
        <is>
          <t>R1097</t>
        </is>
      </c>
      <c r="B98" t="inlineStr">
        <is>
          <t>Lewis, Justin</t>
        </is>
      </c>
      <c r="C98" t="inlineStr">
        <is>
          <t>10/28/1975</t>
        </is>
      </c>
      <c r="D98" t="inlineStr">
        <is>
          <t>M</t>
        </is>
      </c>
      <c r="E98" t="inlineStr">
        <is>
          <t>(555) 837-9187</t>
        </is>
      </c>
      <c r="F98" t="inlineStr">
        <is>
          <t>justin.lewis28@example.com</t>
        </is>
      </c>
      <c r="G98" t="inlineStr">
        <is>
          <t>Bluestone, OH 45501</t>
        </is>
      </c>
      <c r="H98" t="inlineStr">
        <is>
          <t>Summit Choice</t>
        </is>
      </c>
      <c r="I98" t="inlineStr">
        <is>
          <t>01918074</t>
        </is>
      </c>
      <c r="J98" t="inlineStr">
        <is>
          <t>2024-03-28 13:04:00</t>
        </is>
      </c>
    </row>
    <row r="99">
      <c r="A99" t="inlineStr">
        <is>
          <t>R1098</t>
        </is>
      </c>
      <c r="B99" t="inlineStr">
        <is>
          <t>Stephens, Thomas</t>
        </is>
      </c>
      <c r="C99" t="inlineStr">
        <is>
          <t>2017-01-15</t>
        </is>
      </c>
      <c r="D99" t="inlineStr">
        <is>
          <t>M</t>
        </is>
      </c>
      <c r="E99" t="inlineStr">
        <is>
          <t>555.529.1908</t>
        </is>
      </c>
      <c r="F99" t="inlineStr">
        <is>
          <t>N/A</t>
        </is>
      </c>
      <c r="G99" t="inlineStr">
        <is>
          <t>Bluestone, OH 45501-7876</t>
        </is>
      </c>
      <c r="H99" t="inlineStr">
        <is>
          <t>STATE MEDICAID</t>
        </is>
      </c>
      <c r="I99" t="inlineStr">
        <is>
          <t>MRN-04172198</t>
        </is>
      </c>
      <c r="J99" t="inlineStr">
        <is>
          <t>2023-02-22 15:55:00</t>
        </is>
      </c>
    </row>
    <row r="100">
      <c r="A100" t="inlineStr">
        <is>
          <t>R1099</t>
        </is>
      </c>
      <c r="B100" t="inlineStr">
        <is>
          <t xml:space="preserve">  Pierce ,  Donald </t>
        </is>
      </c>
      <c r="C100" t="inlineStr">
        <is>
          <t>02/15/1982</t>
        </is>
      </c>
      <c r="D100" t="inlineStr">
        <is>
          <t>M</t>
        </is>
      </c>
      <c r="E100" t="inlineStr">
        <is>
          <t>555-530-0421</t>
        </is>
      </c>
      <c r="F100" t="inlineStr">
        <is>
          <t>DONALD.PIERCE84@EXAMPLE.COM</t>
        </is>
      </c>
      <c r="G100" t="inlineStr">
        <is>
          <t>Bluestone, OH 45502</t>
        </is>
      </c>
      <c r="H100" t="inlineStr">
        <is>
          <t>KEYSTONE HEALTH PARTNERS</t>
        </is>
      </c>
      <c r="I100" t="inlineStr">
        <is>
          <t>1983869</t>
        </is>
      </c>
      <c r="J100" t="inlineStr">
        <is>
          <t>05/31/2013 06:54 PM</t>
        </is>
      </c>
    </row>
    <row r="101">
      <c r="A101" t="inlineStr">
        <is>
          <t>R1100</t>
        </is>
      </c>
      <c r="B101" t="inlineStr">
        <is>
          <t>WEBB, OLIVIA</t>
        </is>
      </c>
      <c r="C101" t="inlineStr">
        <is>
          <t>1958-06-03</t>
        </is>
      </c>
      <c r="D101" t="inlineStr">
        <is>
          <t>FEMALE</t>
        </is>
      </c>
      <c r="E101" t="inlineStr">
        <is>
          <t>(555) 800-9787</t>
        </is>
      </c>
      <c r="F101" t="inlineStr">
        <is>
          <t>olivia.webb19@example.com</t>
        </is>
      </c>
      <c r="G101" t="inlineStr">
        <is>
          <t>Lakeview Heights, OH 45510</t>
        </is>
      </c>
      <c r="H101" t="inlineStr">
        <is>
          <t>medicare</t>
        </is>
      </c>
      <c r="I101" t="inlineStr">
        <is>
          <t>1715298</t>
        </is>
      </c>
      <c r="J101" t="inlineStr">
        <is>
          <t>2018-11-30 11:09:00</t>
        </is>
      </c>
    </row>
    <row r="102">
      <c r="A102" t="inlineStr">
        <is>
          <t>R1101</t>
        </is>
      </c>
      <c r="B102" t="inlineStr">
        <is>
          <t>Kim, Bruce</t>
        </is>
      </c>
      <c r="C102" t="inlineStr">
        <is>
          <t>2017-07-29</t>
        </is>
      </c>
      <c r="D102" t="inlineStr">
        <is>
          <t>M</t>
        </is>
      </c>
      <c r="E102" t="inlineStr">
        <is>
          <t>(555) 371-9508</t>
        </is>
      </c>
      <c r="F102" t="inlineStr">
        <is>
          <t>N/A</t>
        </is>
      </c>
      <c r="G102" t="inlineStr">
        <is>
          <t>Cedar Ridge, OH 45720</t>
        </is>
      </c>
      <c r="H102" t="inlineStr">
        <is>
          <t>Keystone Health Ptnrs</t>
        </is>
      </c>
      <c r="I102" t="inlineStr">
        <is>
          <t>00317850</t>
        </is>
      </c>
      <c r="J102" t="inlineStr">
        <is>
          <t>05/19/2018 11:51 AM</t>
        </is>
      </c>
    </row>
    <row r="103">
      <c r="A103" t="inlineStr">
        <is>
          <t>R1102</t>
        </is>
      </c>
      <c r="B103" t="inlineStr">
        <is>
          <t>HART, LAUREN</t>
        </is>
      </c>
      <c r="C103" t="inlineStr">
        <is>
          <t>02/25/2023</t>
        </is>
      </c>
      <c r="D103" t="inlineStr">
        <is>
          <t>F</t>
        </is>
      </c>
      <c r="E103" t="inlineStr">
        <is>
          <t>(555) 395-0840</t>
        </is>
      </c>
      <c r="F103" t="inlineStr">
        <is>
          <t>N/A</t>
        </is>
      </c>
      <c r="G103" t="inlineStr">
        <is>
          <t>Oak Glen, OH 45730</t>
        </is>
      </c>
      <c r="H103" t="inlineStr">
        <is>
          <t>Evergreen Mutual Insurance</t>
        </is>
      </c>
      <c r="I103" t="inlineStr">
        <is>
          <t>MRN-02455918</t>
        </is>
      </c>
      <c r="J103" t="inlineStr">
        <is>
          <t>2023-03-01 10:13:00</t>
        </is>
      </c>
    </row>
    <row r="104">
      <c r="A104" t="inlineStr">
        <is>
          <t>R1103</t>
        </is>
      </c>
      <c r="B104" t="inlineStr">
        <is>
          <t>Shaw, Michael</t>
        </is>
      </c>
      <c r="C104" t="inlineStr">
        <is>
          <t>5/12/1953</t>
        </is>
      </c>
      <c r="D104" t="inlineStr">
        <is>
          <t xml:space="preserve">M </t>
        </is>
      </c>
      <c r="E104" t="inlineStr">
        <is>
          <t>(555) 373-4984</t>
        </is>
      </c>
      <c r="G104" t="inlineStr">
        <is>
          <t>Ashby Falls, OH 45610</t>
        </is>
      </c>
      <c r="H104" t="inlineStr">
        <is>
          <t>Silverline Medicare Advantage</t>
        </is>
      </c>
      <c r="I104" t="inlineStr">
        <is>
          <t>MRN-00903733</t>
        </is>
      </c>
      <c r="J104" t="inlineStr">
        <is>
          <t>2014-05-14 15:59:00</t>
        </is>
      </c>
    </row>
    <row r="105">
      <c r="A105" t="inlineStr">
        <is>
          <t>R1104</t>
        </is>
      </c>
      <c r="B105" t="inlineStr">
        <is>
          <t>LEWIS, STEPHEN</t>
        </is>
      </c>
      <c r="C105" t="inlineStr">
        <is>
          <t>21-Apr-1983</t>
        </is>
      </c>
      <c r="D105" t="inlineStr">
        <is>
          <t xml:space="preserve">M </t>
        </is>
      </c>
      <c r="E105" t="inlineStr">
        <is>
          <t>(555) 470-3353</t>
        </is>
      </c>
      <c r="F105" t="inlineStr">
        <is>
          <t xml:space="preserve"> stephen.lewis74@example.com </t>
        </is>
      </c>
      <c r="G105" t="inlineStr">
        <is>
          <t>Cedar Ridge OH 45720</t>
        </is>
      </c>
      <c r="H105" t="inlineStr">
        <is>
          <t>KEYSTONE HEALTH PARTNERS</t>
        </is>
      </c>
      <c r="I105" t="inlineStr">
        <is>
          <t>09813532</t>
        </is>
      </c>
      <c r="J105" t="inlineStr">
        <is>
          <t>2018-02-02 16:06:00</t>
        </is>
      </c>
    </row>
    <row r="106">
      <c r="A106" t="inlineStr">
        <is>
          <t>R1105</t>
        </is>
      </c>
      <c r="B106" t="inlineStr">
        <is>
          <t>Brenda Richards</t>
        </is>
      </c>
      <c r="C106" t="inlineStr">
        <is>
          <t>25-Jan-1985</t>
        </is>
      </c>
      <c r="D106" t="inlineStr">
        <is>
          <t>f</t>
        </is>
      </c>
      <c r="E106" t="inlineStr">
        <is>
          <t>(555) 982-9201</t>
        </is>
      </c>
      <c r="G106" t="inlineStr">
        <is>
          <t>Bluestone, OH 45503</t>
        </is>
      </c>
      <c r="H106" t="inlineStr">
        <is>
          <t>Evergreen Mutual</t>
        </is>
      </c>
      <c r="I106" t="inlineStr">
        <is>
          <t>08573115</t>
        </is>
      </c>
      <c r="J106" t="inlineStr">
        <is>
          <t>2011-11-07 09:16:00</t>
        </is>
      </c>
    </row>
    <row r="107">
      <c r="A107" t="inlineStr">
        <is>
          <t>R1106</t>
        </is>
      </c>
      <c r="B107" t="inlineStr">
        <is>
          <t>Evans, Megan</t>
        </is>
      </c>
      <c r="C107" t="inlineStr">
        <is>
          <t>1983-01-15</t>
        </is>
      </c>
      <c r="D107" t="inlineStr">
        <is>
          <t>F</t>
        </is>
      </c>
      <c r="E107" t="inlineStr">
        <is>
          <t>555-765-2910</t>
        </is>
      </c>
      <c r="F107" t="inlineStr">
        <is>
          <t xml:space="preserve"> megan.evans38@example.com </t>
        </is>
      </c>
      <c r="G107" t="inlineStr">
        <is>
          <t>Bluestone, OH 45502-6220</t>
        </is>
      </c>
      <c r="H107" t="inlineStr">
        <is>
          <t>medicaid</t>
        </is>
      </c>
      <c r="I107" t="inlineStr">
        <is>
          <t>09012782</t>
        </is>
      </c>
      <c r="J107" t="inlineStr">
        <is>
          <t>10/01/2023 07:14 AM</t>
        </is>
      </c>
    </row>
    <row r="108">
      <c r="A108" t="inlineStr">
        <is>
          <t>R1107</t>
        </is>
      </c>
      <c r="B108" t="inlineStr">
        <is>
          <t xml:space="preserve">  Lawrence ,  James </t>
        </is>
      </c>
      <c r="C108" t="inlineStr">
        <is>
          <t>06/07/2008</t>
        </is>
      </c>
      <c r="D108" t="inlineStr">
        <is>
          <t>MALE</t>
        </is>
      </c>
      <c r="E108" t="inlineStr">
        <is>
          <t>5555227615</t>
        </is>
      </c>
      <c r="G108" t="inlineStr">
        <is>
          <t>Fairhaven OH 45620</t>
        </is>
      </c>
      <c r="H108" t="inlineStr">
        <is>
          <t>Evergreen Mutual Insurance</t>
        </is>
      </c>
      <c r="I108" t="inlineStr">
        <is>
          <t>07810147</t>
        </is>
      </c>
      <c r="J108" t="inlineStr">
        <is>
          <t>03/06/2010 07:24 AM</t>
        </is>
      </c>
    </row>
    <row r="109">
      <c r="A109" t="inlineStr">
        <is>
          <t>R1108</t>
        </is>
      </c>
      <c r="B109" t="inlineStr">
        <is>
          <t>Cole, Ivan</t>
        </is>
      </c>
      <c r="C109" t="inlineStr">
        <is>
          <t>7/27/1979</t>
        </is>
      </c>
      <c r="D109" t="inlineStr">
        <is>
          <t>M</t>
        </is>
      </c>
      <c r="E109" t="inlineStr">
        <is>
          <t>555.653.4539</t>
        </is>
      </c>
      <c r="G109" t="inlineStr">
        <is>
          <t>Bluestone, OH 45501</t>
        </is>
      </c>
      <c r="H109" t="inlineStr">
        <is>
          <t>Keystone Health Partners</t>
        </is>
      </c>
      <c r="I109" t="inlineStr">
        <is>
          <t>8307991</t>
        </is>
      </c>
      <c r="J109" t="inlineStr">
        <is>
          <t>10/16/2022 11:46 AM</t>
        </is>
      </c>
    </row>
    <row r="110">
      <c r="A110" t="inlineStr">
        <is>
          <t>R1109</t>
        </is>
      </c>
      <c r="B110" t="inlineStr">
        <is>
          <t>Vargas, Alexis</t>
        </is>
      </c>
      <c r="C110" t="inlineStr">
        <is>
          <t>2017-11-23</t>
        </is>
      </c>
      <c r="D110" t="inlineStr">
        <is>
          <t>Female</t>
        </is>
      </c>
      <c r="E110" t="inlineStr">
        <is>
          <t>555-871-7984</t>
        </is>
      </c>
      <c r="G110" t="inlineStr">
        <is>
          <t>Lakeview Heights, OH 45510</t>
        </is>
      </c>
      <c r="H110" t="inlineStr">
        <is>
          <t>Keystone</t>
        </is>
      </c>
      <c r="I110" t="inlineStr">
        <is>
          <t>5450661</t>
        </is>
      </c>
      <c r="J110" t="inlineStr">
        <is>
          <t>08/22/2022 12:33 PM</t>
        </is>
      </c>
    </row>
    <row r="111">
      <c r="A111" t="inlineStr">
        <is>
          <t>R1110</t>
        </is>
      </c>
      <c r="B111" t="inlineStr">
        <is>
          <t>Berry, Larry</t>
        </is>
      </c>
      <c r="C111" t="inlineStr">
        <is>
          <t>04.14.1966</t>
        </is>
      </c>
      <c r="D111" t="inlineStr">
        <is>
          <t xml:space="preserve">M </t>
        </is>
      </c>
      <c r="E111" t="inlineStr">
        <is>
          <t>555-405-4877</t>
        </is>
      </c>
      <c r="F111" t="inlineStr">
        <is>
          <t>larry.berry13@example.com</t>
        </is>
      </c>
      <c r="G111" t="inlineStr">
        <is>
          <t>Lakeview Heights, OH 45510</t>
        </is>
      </c>
      <c r="H111" t="inlineStr">
        <is>
          <t>State Medicaid</t>
        </is>
      </c>
      <c r="I111" t="inlineStr">
        <is>
          <t>02495145</t>
        </is>
      </c>
      <c r="J111" t="inlineStr">
        <is>
          <t>12/13/2022 03:31 PM</t>
        </is>
      </c>
    </row>
    <row r="112">
      <c r="A112" t="inlineStr">
        <is>
          <t>R1111</t>
        </is>
      </c>
      <c r="B112" t="inlineStr">
        <is>
          <t>Abdi, Jack</t>
        </is>
      </c>
      <c r="C112" t="inlineStr">
        <is>
          <t>10/22/1967</t>
        </is>
      </c>
      <c r="D112" t="inlineStr">
        <is>
          <t>m</t>
        </is>
      </c>
      <c r="E112" t="inlineStr">
        <is>
          <t>555-439-9741</t>
        </is>
      </c>
      <c r="F112" t="inlineStr">
        <is>
          <t>jack.abdi32@example.com</t>
        </is>
      </c>
      <c r="G112" t="inlineStr">
        <is>
          <t>Bluestone, OH 45502</t>
        </is>
      </c>
      <c r="H112" t="inlineStr">
        <is>
          <t>Keystone Health Partners</t>
        </is>
      </c>
      <c r="I112" t="inlineStr">
        <is>
          <t>02531372</t>
        </is>
      </c>
      <c r="J112" t="inlineStr">
        <is>
          <t>2015-09-30 15:37:00</t>
        </is>
      </c>
    </row>
    <row r="113">
      <c r="A113" t="inlineStr">
        <is>
          <t>R1112</t>
        </is>
      </c>
      <c r="B113" t="inlineStr">
        <is>
          <t>Reynolds, Isabella</t>
        </is>
      </c>
      <c r="C113" t="inlineStr">
        <is>
          <t>12/13/1947</t>
        </is>
      </c>
      <c r="D113" t="inlineStr">
        <is>
          <t>FEMALE</t>
        </is>
      </c>
      <c r="E113" t="inlineStr">
        <is>
          <t>(555) 575-8192</t>
        </is>
      </c>
      <c r="F113" t="inlineStr">
        <is>
          <t>ISABELLA.REYNOLDS40@EXAMPLE.COM</t>
        </is>
      </c>
      <c r="G113" t="inlineStr">
        <is>
          <t>Granite Springs, OH 45750-6869</t>
        </is>
      </c>
      <c r="H113" t="inlineStr">
        <is>
          <t>MEDICARE</t>
        </is>
      </c>
      <c r="I113" t="inlineStr">
        <is>
          <t>02373873</t>
        </is>
      </c>
      <c r="J113" t="inlineStr">
        <is>
          <t>2017-03-22 07:11:00</t>
        </is>
      </c>
    </row>
    <row r="114">
      <c r="A114" t="inlineStr">
        <is>
          <t>R1113</t>
        </is>
      </c>
      <c r="B114" t="inlineStr">
        <is>
          <t>REYES, GEORGE</t>
        </is>
      </c>
      <c r="C114" t="inlineStr">
        <is>
          <t>09/26/2021</t>
        </is>
      </c>
      <c r="D114" t="inlineStr">
        <is>
          <t>Male</t>
        </is>
      </c>
      <c r="E114" t="inlineStr">
        <is>
          <t>5557438583</t>
        </is>
      </c>
      <c r="G114" t="inlineStr">
        <is>
          <t>Bluestone OH 45502</t>
        </is>
      </c>
      <c r="H114" t="inlineStr">
        <is>
          <t>Keystone Health Partners</t>
        </is>
      </c>
      <c r="I114" t="inlineStr">
        <is>
          <t>MRN-06444684</t>
        </is>
      </c>
      <c r="J114" t="inlineStr">
        <is>
          <t>2022-06-09 09:41:00</t>
        </is>
      </c>
    </row>
    <row r="115">
      <c r="A115" t="inlineStr">
        <is>
          <t>R1114</t>
        </is>
      </c>
      <c r="B115" t="inlineStr">
        <is>
          <t>Garza, Brenda</t>
        </is>
      </c>
      <c r="C115" t="inlineStr">
        <is>
          <t>01/25/1954</t>
        </is>
      </c>
      <c r="D115" t="inlineStr">
        <is>
          <t>FEMALE</t>
        </is>
      </c>
      <c r="F115" t="inlineStr">
        <is>
          <t>brenda.garza62@example.com</t>
        </is>
      </c>
      <c r="G115" t="inlineStr">
        <is>
          <t>Millbrook, OH 45530</t>
        </is>
      </c>
      <c r="H115" t="inlineStr">
        <is>
          <t xml:space="preserve">Silverline Medicare Advantage </t>
        </is>
      </c>
      <c r="I115" t="inlineStr">
        <is>
          <t>00889017</t>
        </is>
      </c>
      <c r="J115" t="inlineStr">
        <is>
          <t>06/03/2019 07:55 AM</t>
        </is>
      </c>
    </row>
    <row r="116">
      <c r="A116" t="inlineStr">
        <is>
          <t>R1115</t>
        </is>
      </c>
      <c r="B116" t="inlineStr">
        <is>
          <t>Martinez, Julie</t>
        </is>
      </c>
      <c r="C116" t="inlineStr">
        <is>
          <t>09/09/1938</t>
        </is>
      </c>
      <c r="D116" t="inlineStr">
        <is>
          <t>f</t>
        </is>
      </c>
      <c r="E116" t="inlineStr">
        <is>
          <t>5553703297</t>
        </is>
      </c>
      <c r="F116" t="inlineStr">
        <is>
          <t>JULIE.MARTINEZ24@EXAMPLE.COM</t>
        </is>
      </c>
      <c r="G116" t="inlineStr">
        <is>
          <t>ASHBY FALLS, OH 45610</t>
        </is>
      </c>
      <c r="H116" t="inlineStr">
        <is>
          <t>Keystone</t>
        </is>
      </c>
      <c r="I116" t="inlineStr">
        <is>
          <t>01941487</t>
        </is>
      </c>
      <c r="J116" t="inlineStr">
        <is>
          <t>2021-06-24 08:21:00</t>
        </is>
      </c>
    </row>
    <row r="117">
      <c r="A117" t="inlineStr">
        <is>
          <t>R1116</t>
        </is>
      </c>
      <c r="B117" t="inlineStr">
        <is>
          <t>Rodriguez, Natalie</t>
        </is>
      </c>
      <c r="C117" t="inlineStr">
        <is>
          <t>8/22/2022</t>
        </is>
      </c>
      <c r="D117" t="inlineStr">
        <is>
          <t>Female</t>
        </is>
      </c>
      <c r="E117" t="inlineStr">
        <is>
          <t>(555) 828-3586</t>
        </is>
      </c>
      <c r="G117" t="inlineStr">
        <is>
          <t>Riverbend, OH 45545</t>
        </is>
      </c>
      <c r="H117" t="inlineStr">
        <is>
          <t>medicaid</t>
        </is>
      </c>
      <c r="I117" t="inlineStr">
        <is>
          <t>00800061</t>
        </is>
      </c>
      <c r="J117" t="inlineStr">
        <is>
          <t>2023-04-12 08:52:00</t>
        </is>
      </c>
    </row>
    <row r="118">
      <c r="A118" t="inlineStr">
        <is>
          <t>R1117</t>
        </is>
      </c>
      <c r="B118" t="inlineStr">
        <is>
          <t>Petrov, Steven</t>
        </is>
      </c>
      <c r="C118" t="inlineStr">
        <is>
          <t>5/31/1950</t>
        </is>
      </c>
      <c r="D118" t="inlineStr">
        <is>
          <t xml:space="preserve">M </t>
        </is>
      </c>
      <c r="E118" t="inlineStr">
        <is>
          <t>(555) 360-7665</t>
        </is>
      </c>
      <c r="F118" t="inlineStr">
        <is>
          <t>steven.petrov50@example.com</t>
        </is>
      </c>
      <c r="G118" t="inlineStr">
        <is>
          <t>Fairhaven, OH 45620</t>
        </is>
      </c>
      <c r="H118" t="inlineStr">
        <is>
          <t>SILVERLINE MEDICARE ADV.</t>
        </is>
      </c>
      <c r="I118" t="inlineStr">
        <is>
          <t>3470651</t>
        </is>
      </c>
      <c r="J118" t="inlineStr">
        <is>
          <t>10/15/2018 11:47 AM</t>
        </is>
      </c>
    </row>
    <row r="119">
      <c r="A119" t="inlineStr">
        <is>
          <t>R1118</t>
        </is>
      </c>
      <c r="B119" t="inlineStr">
        <is>
          <t xml:space="preserve">  Fisher ,  Jordan </t>
        </is>
      </c>
      <c r="C119" t="inlineStr">
        <is>
          <t>06/20/1995</t>
        </is>
      </c>
      <c r="D119" t="inlineStr">
        <is>
          <t>Male</t>
        </is>
      </c>
      <c r="E119" t="inlineStr">
        <is>
          <t>555.439.0726</t>
        </is>
      </c>
      <c r="F119" t="inlineStr">
        <is>
          <t>jordan.fisher9@example.com</t>
        </is>
      </c>
      <c r="G119" t="inlineStr">
        <is>
          <t>Millbrook OH 45530</t>
        </is>
      </c>
      <c r="H119" t="inlineStr">
        <is>
          <t>Summit Choice PPO</t>
        </is>
      </c>
      <c r="I119" t="inlineStr">
        <is>
          <t>00145898</t>
        </is>
      </c>
      <c r="J119" t="inlineStr">
        <is>
          <t>2010-09-20 08:35:00</t>
        </is>
      </c>
    </row>
    <row r="120">
      <c r="A120" t="inlineStr">
        <is>
          <t>R1119</t>
        </is>
      </c>
      <c r="B120" t="inlineStr">
        <is>
          <t>Romero, Ronald</t>
        </is>
      </c>
      <c r="C120" t="inlineStr">
        <is>
          <t>09/25/2024</t>
        </is>
      </c>
      <c r="D120" t="inlineStr">
        <is>
          <t xml:space="preserve">M </t>
        </is>
      </c>
      <c r="E120" t="inlineStr">
        <is>
          <t>(555) 497-7584</t>
        </is>
      </c>
      <c r="G120" t="inlineStr">
        <is>
          <t>Fairhaven, OH 45620</t>
        </is>
      </c>
      <c r="H120" t="inlineStr">
        <is>
          <t>State Medicaid</t>
        </is>
      </c>
      <c r="I120" t="inlineStr">
        <is>
          <t>3842543</t>
        </is>
      </c>
      <c r="J120" t="inlineStr">
        <is>
          <t>2024-01-02 18:23:00</t>
        </is>
      </c>
    </row>
    <row r="121">
      <c r="A121" t="inlineStr">
        <is>
          <t>R1120</t>
        </is>
      </c>
      <c r="B121" t="inlineStr">
        <is>
          <t>HAYES, ROGER</t>
        </is>
      </c>
      <c r="C121" t="inlineStr">
        <is>
          <t>07.21.1999</t>
        </is>
      </c>
      <c r="D121" t="inlineStr">
        <is>
          <t>m</t>
        </is>
      </c>
      <c r="E121" t="inlineStr">
        <is>
          <t>555.653.9148</t>
        </is>
      </c>
      <c r="F121" t="inlineStr">
        <is>
          <t>ROGER.HAYES63@EXAMPLE.COM</t>
        </is>
      </c>
      <c r="G121" t="inlineStr">
        <is>
          <t>Lakeview Heights OH 45510</t>
        </is>
      </c>
      <c r="H121" t="inlineStr">
        <is>
          <t>KEYSTONE HEALTH PARTNERS</t>
        </is>
      </c>
      <c r="I121" t="inlineStr">
        <is>
          <t>MRN-06876509</t>
        </is>
      </c>
      <c r="J121" t="inlineStr">
        <is>
          <t>2016-08-14 07:29:00</t>
        </is>
      </c>
    </row>
    <row r="122">
      <c r="A122" t="inlineStr">
        <is>
          <t>R1121</t>
        </is>
      </c>
      <c r="B122" t="inlineStr">
        <is>
          <t>Okafor, Julie</t>
        </is>
      </c>
      <c r="C122" t="inlineStr">
        <is>
          <t>2017-10-15</t>
        </is>
      </c>
      <c r="D122" t="inlineStr">
        <is>
          <t xml:space="preserve"> F</t>
        </is>
      </c>
      <c r="E122" t="inlineStr">
        <is>
          <t>5558910943</t>
        </is>
      </c>
      <c r="G122" t="inlineStr">
        <is>
          <t>Bluestone, OH 45501-6520</t>
        </is>
      </c>
      <c r="H122" t="inlineStr">
        <is>
          <t>State Medicaid</t>
        </is>
      </c>
      <c r="I122" t="inlineStr">
        <is>
          <t>08308962</t>
        </is>
      </c>
      <c r="J122" t="inlineStr">
        <is>
          <t>2018-02-13 15:55:00</t>
        </is>
      </c>
    </row>
    <row r="123">
      <c r="A123" t="inlineStr">
        <is>
          <t>R1122</t>
        </is>
      </c>
      <c r="B123" t="inlineStr">
        <is>
          <t>MENDEZ, AHMED</t>
        </is>
      </c>
      <c r="C123" t="inlineStr">
        <is>
          <t>05/17/1957</t>
        </is>
      </c>
      <c r="D123" t="inlineStr">
        <is>
          <t>m</t>
        </is>
      </c>
      <c r="E123" t="inlineStr">
        <is>
          <t>(555) 245-0134</t>
        </is>
      </c>
      <c r="F123" t="inlineStr">
        <is>
          <t>ahmed.mendez12@example.com</t>
        </is>
      </c>
      <c r="G123" t="inlineStr">
        <is>
          <t>Oak Glen, OH 45730</t>
        </is>
      </c>
      <c r="H123" t="inlineStr">
        <is>
          <t>Silverline MA</t>
        </is>
      </c>
      <c r="I123" t="inlineStr">
        <is>
          <t>06294115</t>
        </is>
      </c>
      <c r="J123" t="inlineStr">
        <is>
          <t>12/06/2008 04:07 PM</t>
        </is>
      </c>
    </row>
    <row r="124">
      <c r="A124" t="inlineStr">
        <is>
          <t>R1123</t>
        </is>
      </c>
      <c r="B124" t="inlineStr">
        <is>
          <t>Torres, Jason</t>
        </is>
      </c>
      <c r="C124" t="inlineStr">
        <is>
          <t>05/17/1966</t>
        </is>
      </c>
      <c r="D124" t="inlineStr">
        <is>
          <t>M</t>
        </is>
      </c>
      <c r="E124" t="inlineStr">
        <is>
          <t>(555) 267-5116</t>
        </is>
      </c>
      <c r="F124" t="inlineStr">
        <is>
          <t xml:space="preserve"> jason.torres65@example.com </t>
        </is>
      </c>
      <c r="G124" t="inlineStr">
        <is>
          <t>Cedar Ridge, OH 45720</t>
        </is>
      </c>
      <c r="H124" t="inlineStr">
        <is>
          <t>SELF PAY</t>
        </is>
      </c>
      <c r="I124" t="inlineStr">
        <is>
          <t>MRN-02172512</t>
        </is>
      </c>
      <c r="J124" t="inlineStr">
        <is>
          <t>2014-09-15 09:38:00</t>
        </is>
      </c>
    </row>
    <row r="125">
      <c r="A125" t="inlineStr">
        <is>
          <t>R1124</t>
        </is>
      </c>
      <c r="B125" t="inlineStr">
        <is>
          <t>KIM, RONALD</t>
        </is>
      </c>
      <c r="C125" t="inlineStr">
        <is>
          <t>10/29/1991</t>
        </is>
      </c>
      <c r="D125" t="inlineStr">
        <is>
          <t>M</t>
        </is>
      </c>
      <c r="E125" t="inlineStr">
        <is>
          <t>+1 555 212 7953</t>
        </is>
      </c>
      <c r="F125" t="inlineStr">
        <is>
          <t>ronald.kim77@example.com</t>
        </is>
      </c>
      <c r="G125" t="inlineStr">
        <is>
          <t>Bluestone OH 45503</t>
        </is>
      </c>
      <c r="H125" t="inlineStr">
        <is>
          <t>KEYSTONE HEALTH PARTNERS</t>
        </is>
      </c>
      <c r="I125" t="inlineStr">
        <is>
          <t>1159652</t>
        </is>
      </c>
      <c r="J125" t="inlineStr">
        <is>
          <t>2014-03-12 07:02:00</t>
        </is>
      </c>
    </row>
    <row r="126">
      <c r="A126" t="inlineStr">
        <is>
          <t>R1125</t>
        </is>
      </c>
      <c r="B126" t="inlineStr">
        <is>
          <t>HICKS, LIAM</t>
        </is>
      </c>
      <c r="C126" t="inlineStr">
        <is>
          <t>1989-03-26</t>
        </is>
      </c>
      <c r="D126" t="inlineStr">
        <is>
          <t>M</t>
        </is>
      </c>
      <c r="E126" t="inlineStr">
        <is>
          <t>555.805.1442</t>
        </is>
      </c>
      <c r="F126" t="inlineStr">
        <is>
          <t>liam.hicks44@example.com</t>
        </is>
      </c>
      <c r="G126" t="inlineStr">
        <is>
          <t>Bluestone, OH 45502</t>
        </is>
      </c>
      <c r="H126" t="inlineStr">
        <is>
          <t>Summit Choice</t>
        </is>
      </c>
      <c r="I126" t="inlineStr">
        <is>
          <t>MRN-05908693</t>
        </is>
      </c>
      <c r="J126" t="inlineStr">
        <is>
          <t>07/13/2008 11:46 AM</t>
        </is>
      </c>
    </row>
    <row r="127">
      <c r="A127" t="inlineStr">
        <is>
          <t>R1126</t>
        </is>
      </c>
      <c r="B127" t="inlineStr">
        <is>
          <t>Barnes, Alice</t>
        </is>
      </c>
      <c r="C127" t="inlineStr">
        <is>
          <t>1956-10-24</t>
        </is>
      </c>
      <c r="D127" t="inlineStr">
        <is>
          <t>f</t>
        </is>
      </c>
      <c r="E127" t="inlineStr">
        <is>
          <t>(555) 880-3261</t>
        </is>
      </c>
      <c r="F127" t="inlineStr">
        <is>
          <t>alice.barnes62@example.com</t>
        </is>
      </c>
      <c r="G127" t="inlineStr">
        <is>
          <t>Ashby Falls, OH 45610</t>
        </is>
      </c>
      <c r="H127" t="inlineStr">
        <is>
          <t>Medicare Part A</t>
        </is>
      </c>
      <c r="I127" t="inlineStr">
        <is>
          <t>08140971</t>
        </is>
      </c>
      <c r="J127" t="inlineStr">
        <is>
          <t>03/19/2010 01:21 PM</t>
        </is>
      </c>
    </row>
    <row r="128">
      <c r="A128" t="inlineStr">
        <is>
          <t>R1127</t>
        </is>
      </c>
      <c r="B128" t="inlineStr">
        <is>
          <t>Camila Abbott</t>
        </is>
      </c>
      <c r="C128" t="inlineStr">
        <is>
          <t>09/20/1982</t>
        </is>
      </c>
      <c r="D128" t="inlineStr">
        <is>
          <t xml:space="preserve"> F</t>
        </is>
      </c>
      <c r="E128" t="inlineStr">
        <is>
          <t>555-703-6887</t>
        </is>
      </c>
      <c r="F128" t="inlineStr">
        <is>
          <t>N/A</t>
        </is>
      </c>
      <c r="G128" t="inlineStr">
        <is>
          <t>Bluestone, OH 45501</t>
        </is>
      </c>
      <c r="H128" t="inlineStr">
        <is>
          <t>Evergreen Mutual</t>
        </is>
      </c>
      <c r="I128" t="inlineStr">
        <is>
          <t>8142734</t>
        </is>
      </c>
      <c r="J128" t="inlineStr">
        <is>
          <t>2017-04-28 12:54:00</t>
        </is>
      </c>
    </row>
    <row r="129">
      <c r="A129" t="inlineStr">
        <is>
          <t>R1128</t>
        </is>
      </c>
      <c r="B129" t="inlineStr">
        <is>
          <t>Martin, Ruth</t>
        </is>
      </c>
      <c r="C129" t="inlineStr">
        <is>
          <t>02-Jan-2017</t>
        </is>
      </c>
      <c r="D129" t="inlineStr">
        <is>
          <t xml:space="preserve"> F</t>
        </is>
      </c>
      <c r="E129" t="inlineStr">
        <is>
          <t>5559840781</t>
        </is>
      </c>
      <c r="F129" t="inlineStr">
        <is>
          <t>none</t>
        </is>
      </c>
      <c r="G129" t="inlineStr">
        <is>
          <t>Pine Hollow, OH 45640</t>
        </is>
      </c>
      <c r="H129" t="inlineStr">
        <is>
          <t>STATE MEDICAID</t>
        </is>
      </c>
      <c r="I129" t="inlineStr">
        <is>
          <t>2595019</t>
        </is>
      </c>
      <c r="J129" t="inlineStr">
        <is>
          <t>2024-01-14 10:07:00</t>
        </is>
      </c>
    </row>
    <row r="130">
      <c r="A130" t="inlineStr">
        <is>
          <t>R1129</t>
        </is>
      </c>
      <c r="B130" t="inlineStr">
        <is>
          <t>Gomez, Kenneth</t>
        </is>
      </c>
      <c r="C130" t="inlineStr">
        <is>
          <t>01/16/1993</t>
        </is>
      </c>
      <c r="D130" t="inlineStr">
        <is>
          <t>M</t>
        </is>
      </c>
      <c r="E130" t="inlineStr">
        <is>
          <t>5559125524</t>
        </is>
      </c>
      <c r="G130" t="inlineStr">
        <is>
          <t>Bluestone, OH 45502</t>
        </is>
      </c>
      <c r="H130" t="inlineStr">
        <is>
          <t>STATE MEDICAID</t>
        </is>
      </c>
      <c r="I130" t="inlineStr">
        <is>
          <t>06125388</t>
        </is>
      </c>
      <c r="J130" t="inlineStr">
        <is>
          <t>2010-04-17 18:57:00</t>
        </is>
      </c>
    </row>
    <row r="131">
      <c r="A131" t="inlineStr">
        <is>
          <t>R1130</t>
        </is>
      </c>
      <c r="B131" t="inlineStr">
        <is>
          <t>FERNANDEZ, OLIVIA</t>
        </is>
      </c>
      <c r="C131" t="inlineStr">
        <is>
          <t>01/28/1965</t>
        </is>
      </c>
      <c r="D131" t="inlineStr">
        <is>
          <t>F</t>
        </is>
      </c>
      <c r="E131" t="inlineStr">
        <is>
          <t>555-829-2894</t>
        </is>
      </c>
      <c r="F131" t="inlineStr">
        <is>
          <t>olivia.fernandez60@example.com</t>
        </is>
      </c>
      <c r="G131" t="inlineStr">
        <is>
          <t>Bluestone, OH 45501</t>
        </is>
      </c>
      <c r="H131" t="inlineStr">
        <is>
          <t>self-pay</t>
        </is>
      </c>
      <c r="I131" t="inlineStr">
        <is>
          <t>05937268</t>
        </is>
      </c>
      <c r="J131" t="inlineStr">
        <is>
          <t>2023-05-17 12:30:00</t>
        </is>
      </c>
    </row>
    <row r="132">
      <c r="A132" t="inlineStr">
        <is>
          <t>R1131</t>
        </is>
      </c>
      <c r="B132" t="inlineStr">
        <is>
          <t>PALMER, JEREMY</t>
        </is>
      </c>
      <c r="C132" t="inlineStr">
        <is>
          <t>02-Aug-2021</t>
        </is>
      </c>
      <c r="D132" t="inlineStr">
        <is>
          <t>M</t>
        </is>
      </c>
      <c r="E132" t="inlineStr">
        <is>
          <t>555-943-1980</t>
        </is>
      </c>
      <c r="G132" t="inlineStr">
        <is>
          <t>BLUESTONE, OH 45502</t>
        </is>
      </c>
      <c r="H132" t="inlineStr">
        <is>
          <t>Medicaid</t>
        </is>
      </c>
      <c r="I132" t="inlineStr">
        <is>
          <t>MRN-02353502</t>
        </is>
      </c>
      <c r="J132" t="inlineStr">
        <is>
          <t>2024-09-23 08:25:00</t>
        </is>
      </c>
    </row>
    <row r="133">
      <c r="A133" t="inlineStr">
        <is>
          <t>R1132</t>
        </is>
      </c>
      <c r="B133" t="inlineStr">
        <is>
          <t>O'BRIEN, GERALD</t>
        </is>
      </c>
      <c r="C133" t="inlineStr">
        <is>
          <t>03-Apr-1951</t>
        </is>
      </c>
      <c r="D133" t="inlineStr">
        <is>
          <t>M</t>
        </is>
      </c>
      <c r="E133" t="inlineStr">
        <is>
          <t>5558841724</t>
        </is>
      </c>
      <c r="F133" t="inlineStr">
        <is>
          <t>gerald.obrien57@example.com</t>
        </is>
      </c>
      <c r="G133" t="inlineStr">
        <is>
          <t>Ashby Falls, OH 45610</t>
        </is>
      </c>
      <c r="H133" t="inlineStr">
        <is>
          <t xml:space="preserve">Medicare </t>
        </is>
      </c>
      <c r="I133" t="inlineStr">
        <is>
          <t>08915176</t>
        </is>
      </c>
      <c r="J133" t="inlineStr">
        <is>
          <t>2021-09-24 16:32:00</t>
        </is>
      </c>
    </row>
    <row r="134">
      <c r="A134" t="inlineStr">
        <is>
          <t>R1133</t>
        </is>
      </c>
      <c r="B134" t="inlineStr">
        <is>
          <t>Cruz, Sarah</t>
        </is>
      </c>
      <c r="C134" t="inlineStr">
        <is>
          <t>01/13/1973</t>
        </is>
      </c>
      <c r="D134" t="inlineStr">
        <is>
          <t>f</t>
        </is>
      </c>
      <c r="E134" t="inlineStr">
        <is>
          <t>555.697.2896</t>
        </is>
      </c>
      <c r="F134" t="inlineStr">
        <is>
          <t>sarah.cruz64@example.com</t>
        </is>
      </c>
      <c r="G134" t="inlineStr">
        <is>
          <t>Bluestone, OH 45503-7960</t>
        </is>
      </c>
      <c r="H134" t="inlineStr">
        <is>
          <t>Keystone Health Partners</t>
        </is>
      </c>
      <c r="I134" t="inlineStr">
        <is>
          <t>02316374</t>
        </is>
      </c>
      <c r="J134" t="inlineStr">
        <is>
          <t>2012-07-15 13:25:00</t>
        </is>
      </c>
    </row>
    <row r="135">
      <c r="A135" t="inlineStr">
        <is>
          <t>R1134</t>
        </is>
      </c>
      <c r="B135" t="inlineStr">
        <is>
          <t>Simpson, Charlotte</t>
        </is>
      </c>
      <c r="C135" t="inlineStr">
        <is>
          <t>12/26/1994</t>
        </is>
      </c>
      <c r="D135" t="inlineStr">
        <is>
          <t>F</t>
        </is>
      </c>
      <c r="E135" t="inlineStr">
        <is>
          <t>555-947-1385</t>
        </is>
      </c>
      <c r="F135" t="inlineStr">
        <is>
          <t xml:space="preserve"> charlotte.simpson5@example.com </t>
        </is>
      </c>
      <c r="G135" t="inlineStr">
        <is>
          <t>Ashby Falls OH 45610</t>
        </is>
      </c>
      <c r="H135" t="inlineStr">
        <is>
          <t>Keystone Health Partners</t>
        </is>
      </c>
      <c r="I135" t="inlineStr">
        <is>
          <t>652911</t>
        </is>
      </c>
      <c r="J135" t="inlineStr">
        <is>
          <t>2023-12-19 11:22:00</t>
        </is>
      </c>
    </row>
    <row r="136">
      <c r="A136" t="inlineStr">
        <is>
          <t>R1135</t>
        </is>
      </c>
      <c r="B136" t="inlineStr">
        <is>
          <t>Ryan, Betty</t>
        </is>
      </c>
      <c r="C136" t="inlineStr">
        <is>
          <t>08/24/1987</t>
        </is>
      </c>
      <c r="D136" t="inlineStr">
        <is>
          <t xml:space="preserve"> F</t>
        </is>
      </c>
      <c r="E136" t="inlineStr">
        <is>
          <t>5558095500</t>
        </is>
      </c>
      <c r="F136" t="inlineStr">
        <is>
          <t>betty.ryan47@example.com</t>
        </is>
      </c>
      <c r="G136" t="inlineStr">
        <is>
          <t>Oak Glen, OH 45730</t>
        </is>
      </c>
      <c r="H136" t="inlineStr">
        <is>
          <t>Summit PPO</t>
        </is>
      </c>
      <c r="I136" t="inlineStr">
        <is>
          <t>221821</t>
        </is>
      </c>
      <c r="J136" t="inlineStr">
        <is>
          <t>2011-08-19 07:34:00</t>
        </is>
      </c>
    </row>
    <row r="137">
      <c r="A137" t="inlineStr">
        <is>
          <t>R1136</t>
        </is>
      </c>
      <c r="B137" t="inlineStr">
        <is>
          <t>Marshall, Gloria</t>
        </is>
      </c>
      <c r="C137" t="inlineStr">
        <is>
          <t>03/09/1981</t>
        </is>
      </c>
      <c r="D137" t="inlineStr">
        <is>
          <t>F</t>
        </is>
      </c>
      <c r="E137" t="inlineStr">
        <is>
          <t>(555) 970-1063</t>
        </is>
      </c>
      <c r="F137" t="inlineStr">
        <is>
          <t>none</t>
        </is>
      </c>
      <c r="G137" t="inlineStr">
        <is>
          <t>Bluestone OH 45502</t>
        </is>
      </c>
      <c r="H137" t="inlineStr">
        <is>
          <t>Keystone Health Ptnrs</t>
        </is>
      </c>
      <c r="I137" t="inlineStr">
        <is>
          <t>06414784</t>
        </is>
      </c>
      <c r="J137" t="inlineStr">
        <is>
          <t>06/29/2015 05:18 PM</t>
        </is>
      </c>
    </row>
    <row r="138">
      <c r="A138" t="inlineStr">
        <is>
          <t>R1137</t>
        </is>
      </c>
      <c r="B138" t="inlineStr">
        <is>
          <t>Susan Warren</t>
        </is>
      </c>
      <c r="C138" t="inlineStr">
        <is>
          <t>1964-08-23</t>
        </is>
      </c>
      <c r="D138" t="inlineStr">
        <is>
          <t>F</t>
        </is>
      </c>
      <c r="E138" t="inlineStr">
        <is>
          <t>(555) 668-8102</t>
        </is>
      </c>
      <c r="F138" t="inlineStr">
        <is>
          <t>susan.warren82@example.com</t>
        </is>
      </c>
      <c r="G138" t="inlineStr">
        <is>
          <t>Oak Glen, OH 45730-6968</t>
        </is>
      </c>
      <c r="H138" t="inlineStr">
        <is>
          <t>Summit Choice</t>
        </is>
      </c>
      <c r="I138" t="inlineStr">
        <is>
          <t>MRN-02136160</t>
        </is>
      </c>
      <c r="J138" t="inlineStr">
        <is>
          <t>2018-04-26 14:57:00</t>
        </is>
      </c>
    </row>
    <row r="139">
      <c r="A139" t="inlineStr">
        <is>
          <t>R1138</t>
        </is>
      </c>
      <c r="B139" t="inlineStr">
        <is>
          <t>okafor, elizabeth</t>
        </is>
      </c>
      <c r="C139" t="inlineStr">
        <is>
          <t>07.11.1953</t>
        </is>
      </c>
      <c r="D139" t="inlineStr">
        <is>
          <t>FEMALE</t>
        </is>
      </c>
      <c r="E139" t="inlineStr">
        <is>
          <t>555-325-5690</t>
        </is>
      </c>
      <c r="F139" t="inlineStr">
        <is>
          <t>elizabeth.okafor2@example.com</t>
        </is>
      </c>
      <c r="G139" t="inlineStr">
        <is>
          <t>LAKEVIEW HEIGHTS, OH 45510</t>
        </is>
      </c>
      <c r="H139" t="inlineStr">
        <is>
          <t>Medicare</t>
        </is>
      </c>
      <c r="I139" t="inlineStr">
        <is>
          <t>MRN-08425893</t>
        </is>
      </c>
      <c r="J139" t="inlineStr">
        <is>
          <t>10/12/2023 02:53 PM</t>
        </is>
      </c>
    </row>
    <row r="140">
      <c r="A140" t="inlineStr">
        <is>
          <t>R1139</t>
        </is>
      </c>
      <c r="B140" t="inlineStr">
        <is>
          <t>Moore, Vincent</t>
        </is>
      </c>
      <c r="C140" t="inlineStr">
        <is>
          <t>01/29/1964</t>
        </is>
      </c>
      <c r="D140" t="inlineStr">
        <is>
          <t xml:space="preserve">M </t>
        </is>
      </c>
      <c r="E140" t="inlineStr">
        <is>
          <t>555-672-4798</t>
        </is>
      </c>
      <c r="F140" t="inlineStr">
        <is>
          <t>vincent.moore63@example.com</t>
        </is>
      </c>
      <c r="G140" t="inlineStr">
        <is>
          <t>Millbrook, OH 45530</t>
        </is>
      </c>
      <c r="H140" t="inlineStr">
        <is>
          <t xml:space="preserve">Medicare </t>
        </is>
      </c>
      <c r="I140" t="inlineStr">
        <is>
          <t>04817985</t>
        </is>
      </c>
      <c r="J140" t="inlineStr">
        <is>
          <t>2013-11-03 16:37:00</t>
        </is>
      </c>
    </row>
    <row r="141">
      <c r="A141" t="inlineStr">
        <is>
          <t>R1140</t>
        </is>
      </c>
      <c r="B141" t="inlineStr">
        <is>
          <t>Myers, Deborah</t>
        </is>
      </c>
      <c r="C141" t="inlineStr">
        <is>
          <t>02-May-1929</t>
        </is>
      </c>
      <c r="D141" t="inlineStr">
        <is>
          <t>f</t>
        </is>
      </c>
      <c r="E141" t="inlineStr">
        <is>
          <t>555.375.3618</t>
        </is>
      </c>
      <c r="F141" t="inlineStr">
        <is>
          <t>deborah.myers57@example.com</t>
        </is>
      </c>
      <c r="G141" t="inlineStr">
        <is>
          <t>Bluestone OH 45502</t>
        </is>
      </c>
      <c r="H141" t="inlineStr">
        <is>
          <t>medicare</t>
        </is>
      </c>
      <c r="I141" t="inlineStr">
        <is>
          <t>5688207</t>
        </is>
      </c>
      <c r="J141" t="inlineStr">
        <is>
          <t>2010-04-30 12:25:00</t>
        </is>
      </c>
    </row>
    <row r="142">
      <c r="A142" t="inlineStr">
        <is>
          <t>R1141</t>
        </is>
      </c>
      <c r="B142" t="inlineStr">
        <is>
          <t>Myers, Mei</t>
        </is>
      </c>
      <c r="C142" t="inlineStr">
        <is>
          <t>04/04/1978</t>
        </is>
      </c>
      <c r="D142" t="inlineStr">
        <is>
          <t>F</t>
        </is>
      </c>
      <c r="E142" t="inlineStr">
        <is>
          <t>(555) 324-1732</t>
        </is>
      </c>
      <c r="F142" t="inlineStr">
        <is>
          <t>MEI.MYERS39@EXAMPLE.COM</t>
        </is>
      </c>
      <c r="G142" t="inlineStr">
        <is>
          <t>GRANITE SPRINGS, OH 45750</t>
        </is>
      </c>
      <c r="H142" t="inlineStr">
        <is>
          <t>Keystone Health Ptnrs</t>
        </is>
      </c>
      <c r="I142" t="inlineStr">
        <is>
          <t>08032932</t>
        </is>
      </c>
      <c r="J142" t="inlineStr">
        <is>
          <t>2018-03-30 09:47:00</t>
        </is>
      </c>
    </row>
    <row r="143">
      <c r="A143" t="inlineStr">
        <is>
          <t>R1142</t>
        </is>
      </c>
      <c r="B143" t="inlineStr">
        <is>
          <t>Cox, Anthony</t>
        </is>
      </c>
      <c r="C143" t="inlineStr">
        <is>
          <t>02/23/1932</t>
        </is>
      </c>
      <c r="D143" t="inlineStr">
        <is>
          <t xml:space="preserve">M </t>
        </is>
      </c>
      <c r="E143" t="inlineStr">
        <is>
          <t>(555) 311-7517</t>
        </is>
      </c>
      <c r="F143" t="inlineStr">
        <is>
          <t>ANTHONY.COX77@EXAMPLE.COM</t>
        </is>
      </c>
      <c r="G143" t="inlineStr">
        <is>
          <t>Bluestone, OH 45502</t>
        </is>
      </c>
      <c r="H143" t="inlineStr">
        <is>
          <t>Medicare</t>
        </is>
      </c>
      <c r="I143" t="inlineStr">
        <is>
          <t>07903462</t>
        </is>
      </c>
      <c r="J143" t="inlineStr">
        <is>
          <t>09/17/2012 01:20 PM</t>
        </is>
      </c>
    </row>
    <row r="144">
      <c r="A144" t="inlineStr">
        <is>
          <t>R1143</t>
        </is>
      </c>
      <c r="B144" t="inlineStr">
        <is>
          <t xml:space="preserve">  Yilmaz ,  Hannah </t>
        </is>
      </c>
      <c r="C144" t="inlineStr">
        <is>
          <t>07/06/1955</t>
        </is>
      </c>
      <c r="D144" t="inlineStr">
        <is>
          <t xml:space="preserve"> F</t>
        </is>
      </c>
      <c r="E144" t="inlineStr">
        <is>
          <t>5558200461</t>
        </is>
      </c>
      <c r="F144" t="inlineStr">
        <is>
          <t>HANNAH.YILMAZ16@EXAMPLE.COM</t>
        </is>
      </c>
      <c r="G144" t="inlineStr">
        <is>
          <t>BLUESTONE, OH 45502</t>
        </is>
      </c>
      <c r="H144" t="inlineStr">
        <is>
          <t>Silverline Medicare Advantage</t>
        </is>
      </c>
      <c r="I144" t="inlineStr">
        <is>
          <t>05953522</t>
        </is>
      </c>
      <c r="J144" t="inlineStr">
        <is>
          <t>2018-05-23 14:22:00</t>
        </is>
      </c>
    </row>
    <row r="145">
      <c r="A145" t="inlineStr">
        <is>
          <t>R1144</t>
        </is>
      </c>
      <c r="B145" t="inlineStr">
        <is>
          <t>gonzalez, frank</t>
        </is>
      </c>
      <c r="C145" t="inlineStr">
        <is>
          <t>07/15/2000</t>
        </is>
      </c>
      <c r="D145" t="inlineStr">
        <is>
          <t>M</t>
        </is>
      </c>
      <c r="E145" t="inlineStr">
        <is>
          <t>555.939.2526</t>
        </is>
      </c>
      <c r="F145" t="inlineStr">
        <is>
          <t>frank.gonzalez60@example.com</t>
        </is>
      </c>
      <c r="G145" t="inlineStr">
        <is>
          <t>BLUESTONE, OH 45501</t>
        </is>
      </c>
      <c r="H145" t="inlineStr">
        <is>
          <t>Evergreen Mutual</t>
        </is>
      </c>
      <c r="I145" t="inlineStr">
        <is>
          <t>MRN-01312758</t>
        </is>
      </c>
      <c r="J145" t="inlineStr">
        <is>
          <t>2014-11-16 10:52:00</t>
        </is>
      </c>
    </row>
    <row r="146">
      <c r="A146" t="inlineStr">
        <is>
          <t>R1145</t>
        </is>
      </c>
      <c r="B146" t="inlineStr">
        <is>
          <t>Jason Armstrong</t>
        </is>
      </c>
      <c r="C146" t="inlineStr">
        <is>
          <t>1963-01-29</t>
        </is>
      </c>
      <c r="D146" t="inlineStr">
        <is>
          <t>MALE</t>
        </is>
      </c>
      <c r="E146" t="inlineStr">
        <is>
          <t>555-894-5497</t>
        </is>
      </c>
      <c r="F146" t="inlineStr">
        <is>
          <t>JASON.ARMSTRONG71@EXAMPLE.COM</t>
        </is>
      </c>
      <c r="G146" t="inlineStr">
        <is>
          <t>Ashby Falls OH 45610</t>
        </is>
      </c>
      <c r="H146" t="inlineStr">
        <is>
          <t>Keystone Health Ptnrs</t>
        </is>
      </c>
      <c r="I146" t="inlineStr">
        <is>
          <t>9471398</t>
        </is>
      </c>
      <c r="J146" t="inlineStr">
        <is>
          <t>08/14/2008 09:05 AM</t>
        </is>
      </c>
    </row>
    <row r="147">
      <c r="A147" t="inlineStr">
        <is>
          <t>R1146</t>
        </is>
      </c>
      <c r="B147" t="inlineStr">
        <is>
          <t>Young, Carl</t>
        </is>
      </c>
      <c r="C147" t="inlineStr">
        <is>
          <t>15-Jun-1996</t>
        </is>
      </c>
      <c r="D147" t="inlineStr">
        <is>
          <t xml:space="preserve">M </t>
        </is>
      </c>
      <c r="E147" t="inlineStr">
        <is>
          <t>(555) 298-6693</t>
        </is>
      </c>
      <c r="G147" t="inlineStr">
        <is>
          <t>BLUESTONE, OH 45503</t>
        </is>
      </c>
      <c r="H147" t="inlineStr">
        <is>
          <t>Evergreen Mutual Insurance</t>
        </is>
      </c>
      <c r="I147" t="inlineStr">
        <is>
          <t>9996631</t>
        </is>
      </c>
      <c r="J147" t="inlineStr">
        <is>
          <t>01/16/2023 11:21 AM</t>
        </is>
      </c>
    </row>
    <row r="148">
      <c r="A148" t="inlineStr">
        <is>
          <t>R1147</t>
        </is>
      </c>
      <c r="B148" t="inlineStr">
        <is>
          <t xml:space="preserve">  Sanders ,  Gabriel </t>
        </is>
      </c>
      <c r="C148" t="inlineStr">
        <is>
          <t>07/21/1973</t>
        </is>
      </c>
      <c r="D148" t="inlineStr">
        <is>
          <t>m</t>
        </is>
      </c>
      <c r="E148" t="inlineStr">
        <is>
          <t>(555) 640-9513</t>
        </is>
      </c>
      <c r="F148" t="inlineStr">
        <is>
          <t>gabriel.sanders29@example.com</t>
        </is>
      </c>
      <c r="G148" t="inlineStr">
        <is>
          <t>Bluestone OH 45501</t>
        </is>
      </c>
      <c r="H148" t="inlineStr">
        <is>
          <t>Summit Choice PPO</t>
        </is>
      </c>
      <c r="I148" t="inlineStr">
        <is>
          <t>07502887</t>
        </is>
      </c>
      <c r="J148" t="inlineStr">
        <is>
          <t>10/20/2011 04:47 PM</t>
        </is>
      </c>
    </row>
    <row r="149">
      <c r="A149" t="inlineStr">
        <is>
          <t>R1148</t>
        </is>
      </c>
      <c r="B149" t="inlineStr">
        <is>
          <t>KELLY, PAUL</t>
        </is>
      </c>
      <c r="C149" t="inlineStr">
        <is>
          <t>2007-12-14</t>
        </is>
      </c>
      <c r="D149" t="inlineStr">
        <is>
          <t>m</t>
        </is>
      </c>
      <c r="E149" t="inlineStr">
        <is>
          <t>(555) 353-5255</t>
        </is>
      </c>
      <c r="F149" t="inlineStr">
        <is>
          <t>N/A</t>
        </is>
      </c>
      <c r="G149" t="inlineStr">
        <is>
          <t>Pine Hollow, OH 45640-6806</t>
        </is>
      </c>
      <c r="H149" t="inlineStr">
        <is>
          <t>EVERGREEN MUTUAL INS</t>
        </is>
      </c>
      <c r="I149" t="inlineStr">
        <is>
          <t>08602948</t>
        </is>
      </c>
      <c r="J149" t="inlineStr">
        <is>
          <t>2008-03-08 14:53:00</t>
        </is>
      </c>
    </row>
    <row r="150">
      <c r="A150" t="inlineStr">
        <is>
          <t>R1149</t>
        </is>
      </c>
      <c r="B150" t="inlineStr">
        <is>
          <t>BAILEY, SARA</t>
        </is>
      </c>
      <c r="C150" t="inlineStr">
        <is>
          <t>1983-03-08</t>
        </is>
      </c>
      <c r="D150" t="inlineStr">
        <is>
          <t>f</t>
        </is>
      </c>
      <c r="E150" t="inlineStr">
        <is>
          <t>555-533-7192</t>
        </is>
      </c>
      <c r="F150" t="inlineStr">
        <is>
          <t>N/A</t>
        </is>
      </c>
      <c r="G150" t="inlineStr">
        <is>
          <t>Granite Springs, OH 45750</t>
        </is>
      </c>
      <c r="H150" t="inlineStr">
        <is>
          <t>Evergreen Mutual Insurance</t>
        </is>
      </c>
      <c r="I150" t="inlineStr">
        <is>
          <t>07070962</t>
        </is>
      </c>
      <c r="J150" t="inlineStr">
        <is>
          <t>2023-08-15 15:53:00</t>
        </is>
      </c>
    </row>
    <row r="151">
      <c r="A151" t="inlineStr">
        <is>
          <t>R1150</t>
        </is>
      </c>
      <c r="B151" t="inlineStr">
        <is>
          <t>KIM, ISABELLA</t>
        </is>
      </c>
      <c r="C151" t="inlineStr">
        <is>
          <t>18-Apr-1971</t>
        </is>
      </c>
      <c r="D151" t="inlineStr">
        <is>
          <t>F</t>
        </is>
      </c>
      <c r="E151" t="inlineStr">
        <is>
          <t>5559244977</t>
        </is>
      </c>
      <c r="F151" t="inlineStr">
        <is>
          <t>isabella.kim67@example.com</t>
        </is>
      </c>
      <c r="G151" t="inlineStr">
        <is>
          <t>Bluestone OH 45501</t>
        </is>
      </c>
      <c r="H151" t="inlineStr">
        <is>
          <t>STATE MEDICAID</t>
        </is>
      </c>
      <c r="I151" t="inlineStr">
        <is>
          <t>00503299</t>
        </is>
      </c>
      <c r="J151" t="inlineStr">
        <is>
          <t>09/17/2021 12:38 PM</t>
        </is>
      </c>
    </row>
    <row r="152">
      <c r="A152" t="inlineStr">
        <is>
          <t>R1151</t>
        </is>
      </c>
      <c r="B152" t="inlineStr">
        <is>
          <t>Rodriguez, Walter</t>
        </is>
      </c>
      <c r="C152" t="inlineStr">
        <is>
          <t>08.23.1988</t>
        </is>
      </c>
      <c r="D152" t="inlineStr">
        <is>
          <t>Male</t>
        </is>
      </c>
      <c r="E152" t="inlineStr">
        <is>
          <t>(555) 709-6734</t>
        </is>
      </c>
      <c r="F152" t="inlineStr">
        <is>
          <t>N/A</t>
        </is>
      </c>
      <c r="G152" t="inlineStr">
        <is>
          <t>CEDAR RIDGE, OH 45720</t>
        </is>
      </c>
      <c r="H152" t="inlineStr">
        <is>
          <t>Uninsured</t>
        </is>
      </c>
      <c r="I152" t="inlineStr">
        <is>
          <t>2093150</t>
        </is>
      </c>
      <c r="J152" t="inlineStr">
        <is>
          <t>2013-03-03 14:09:00</t>
        </is>
      </c>
    </row>
    <row r="153">
      <c r="A153" t="inlineStr">
        <is>
          <t>R1152</t>
        </is>
      </c>
      <c r="B153" t="inlineStr">
        <is>
          <t>James White</t>
        </is>
      </c>
      <c r="C153" t="inlineStr">
        <is>
          <t>14-Dec-1973</t>
        </is>
      </c>
      <c r="D153" t="inlineStr">
        <is>
          <t>m</t>
        </is>
      </c>
      <c r="E153" t="inlineStr">
        <is>
          <t>(555) 881-8522</t>
        </is>
      </c>
      <c r="F153" t="inlineStr">
        <is>
          <t>james.white42@example.com</t>
        </is>
      </c>
      <c r="G153" t="inlineStr">
        <is>
          <t>Bluestone, OH 45503</t>
        </is>
      </c>
      <c r="H153" t="inlineStr">
        <is>
          <t>Keystone</t>
        </is>
      </c>
      <c r="I153" t="inlineStr">
        <is>
          <t>02778644</t>
        </is>
      </c>
      <c r="J153" t="inlineStr">
        <is>
          <t>2015-11-10 11:55:00</t>
        </is>
      </c>
    </row>
    <row r="154">
      <c r="A154" t="inlineStr">
        <is>
          <t>R1153</t>
        </is>
      </c>
      <c r="B154" t="inlineStr">
        <is>
          <t>Gonzalez, Hannah</t>
        </is>
      </c>
      <c r="C154" t="inlineStr">
        <is>
          <t>2/18/1973</t>
        </is>
      </c>
      <c r="D154" t="inlineStr">
        <is>
          <t>Female</t>
        </is>
      </c>
      <c r="E154" t="inlineStr">
        <is>
          <t>+1 555 860 4164</t>
        </is>
      </c>
      <c r="F154" t="inlineStr">
        <is>
          <t>HANNAH.GONZALEZ89@EXAMPLE.COM</t>
        </is>
      </c>
      <c r="G154" t="inlineStr">
        <is>
          <t>Cedar Ridge, OH 45720</t>
        </is>
      </c>
      <c r="H154" t="inlineStr">
        <is>
          <t>KEYSTONE HEALTH PARTNERS</t>
        </is>
      </c>
      <c r="I154" t="inlineStr">
        <is>
          <t>00640025</t>
        </is>
      </c>
      <c r="J154" t="inlineStr">
        <is>
          <t>2012-08-03 09:10:00</t>
        </is>
      </c>
    </row>
    <row r="155">
      <c r="A155" t="inlineStr">
        <is>
          <t>R1154</t>
        </is>
      </c>
      <c r="B155" t="inlineStr">
        <is>
          <t>Kelley, Kimberly</t>
        </is>
      </c>
      <c r="C155" t="inlineStr">
        <is>
          <t>8/17/1969</t>
        </is>
      </c>
      <c r="D155" t="inlineStr">
        <is>
          <t>F</t>
        </is>
      </c>
      <c r="E155" t="inlineStr">
        <is>
          <t>555.761.2809</t>
        </is>
      </c>
      <c r="F155" t="inlineStr">
        <is>
          <t>kimberly.kelley61@example.com</t>
        </is>
      </c>
      <c r="G155" t="inlineStr">
        <is>
          <t>Bluestone, OH 45501</t>
        </is>
      </c>
      <c r="H155" t="inlineStr">
        <is>
          <t>KEYSTONE HEALTH PARTNERS</t>
        </is>
      </c>
      <c r="I155" t="inlineStr">
        <is>
          <t>05567811</t>
        </is>
      </c>
      <c r="J155" t="inlineStr">
        <is>
          <t>2022-06-26 13:28:00</t>
        </is>
      </c>
    </row>
    <row r="156">
      <c r="A156" t="inlineStr">
        <is>
          <t>R1155</t>
        </is>
      </c>
      <c r="B156" t="inlineStr">
        <is>
          <t>WILLIAMS, SANDRA</t>
        </is>
      </c>
      <c r="C156" t="inlineStr">
        <is>
          <t>1997-07-07</t>
        </is>
      </c>
      <c r="D156" t="inlineStr">
        <is>
          <t>FEMALE</t>
        </is>
      </c>
      <c r="E156" t="inlineStr">
        <is>
          <t>5553272243</t>
        </is>
      </c>
      <c r="F156" t="inlineStr">
        <is>
          <t>sandra.williams96@example.com</t>
        </is>
      </c>
      <c r="G156" t="inlineStr">
        <is>
          <t>Bluestone, OH 45501</t>
        </is>
      </c>
      <c r="H156" t="inlineStr">
        <is>
          <t>Medicaid</t>
        </is>
      </c>
      <c r="I156" t="inlineStr">
        <is>
          <t>02793426</t>
        </is>
      </c>
      <c r="J156" t="inlineStr">
        <is>
          <t>2014-12-22 11:30:00</t>
        </is>
      </c>
    </row>
    <row r="157">
      <c r="A157" t="inlineStr">
        <is>
          <t>R1156</t>
        </is>
      </c>
      <c r="B157" t="inlineStr">
        <is>
          <t>Ford, Steven</t>
        </is>
      </c>
      <c r="C157" t="inlineStr">
        <is>
          <t>1951-01-04</t>
        </is>
      </c>
      <c r="D157" t="inlineStr">
        <is>
          <t>Male</t>
        </is>
      </c>
      <c r="E157" t="inlineStr">
        <is>
          <t>(555) 786-8809</t>
        </is>
      </c>
      <c r="F157" t="inlineStr">
        <is>
          <t>steven.ford77@example.com</t>
        </is>
      </c>
      <c r="G157" t="inlineStr">
        <is>
          <t>Bluestone, OH 45501</t>
        </is>
      </c>
      <c r="H157" t="inlineStr">
        <is>
          <t xml:space="preserve">Medicare </t>
        </is>
      </c>
      <c r="I157" t="inlineStr">
        <is>
          <t>06651639</t>
        </is>
      </c>
      <c r="J157" t="inlineStr">
        <is>
          <t>2013-03-15 11:20:00</t>
        </is>
      </c>
    </row>
    <row r="158">
      <c r="A158" t="inlineStr">
        <is>
          <t>R1157</t>
        </is>
      </c>
      <c r="B158" t="inlineStr">
        <is>
          <t>Daniels, Mei</t>
        </is>
      </c>
      <c r="C158" t="inlineStr">
        <is>
          <t>1991-04-30</t>
        </is>
      </c>
      <c r="D158" t="inlineStr">
        <is>
          <t>Female</t>
        </is>
      </c>
      <c r="E158" t="inlineStr">
        <is>
          <t>(555) 735-7501</t>
        </is>
      </c>
      <c r="F158" t="inlineStr">
        <is>
          <t>none</t>
        </is>
      </c>
      <c r="G158" t="inlineStr">
        <is>
          <t>Ashby Falls, OH 45610</t>
        </is>
      </c>
      <c r="H158" t="inlineStr">
        <is>
          <t>Keystone Health Ptnrs</t>
        </is>
      </c>
      <c r="I158" t="inlineStr">
        <is>
          <t>08347484</t>
        </is>
      </c>
      <c r="J158" t="inlineStr">
        <is>
          <t>2024-04-01 07:41:00</t>
        </is>
      </c>
    </row>
    <row r="159">
      <c r="A159" t="inlineStr">
        <is>
          <t>R1158</t>
        </is>
      </c>
      <c r="B159" t="inlineStr">
        <is>
          <t>Herrera, Rachel</t>
        </is>
      </c>
      <c r="C159" t="inlineStr">
        <is>
          <t>17-Mar-2004</t>
        </is>
      </c>
      <c r="D159" t="inlineStr">
        <is>
          <t>F</t>
        </is>
      </c>
      <c r="E159" t="inlineStr">
        <is>
          <t>5553215074</t>
        </is>
      </c>
      <c r="F159" t="inlineStr">
        <is>
          <t>none</t>
        </is>
      </c>
      <c r="G159" t="inlineStr">
        <is>
          <t>Oak Glen, OH 45730</t>
        </is>
      </c>
      <c r="H159" t="inlineStr">
        <is>
          <t>evergreen mutual insurance</t>
        </is>
      </c>
      <c r="I159" t="inlineStr">
        <is>
          <t>06151059</t>
        </is>
      </c>
      <c r="J159" t="inlineStr">
        <is>
          <t>2021-07-06 13:40:00</t>
        </is>
      </c>
    </row>
    <row r="160">
      <c r="A160" t="inlineStr">
        <is>
          <t>R1159</t>
        </is>
      </c>
      <c r="B160" t="inlineStr">
        <is>
          <t>Russell Edwards</t>
        </is>
      </c>
      <c r="C160" t="inlineStr">
        <is>
          <t>1959-11-12</t>
        </is>
      </c>
      <c r="D160" t="inlineStr">
        <is>
          <t>m</t>
        </is>
      </c>
      <c r="E160" t="inlineStr">
        <is>
          <t>555-880-1032</t>
        </is>
      </c>
      <c r="F160" t="inlineStr">
        <is>
          <t>RUSSELL.EDWARDS22@EXAMPLE.COM</t>
        </is>
      </c>
      <c r="G160" t="inlineStr">
        <is>
          <t>Bluestone, OH 45503-6066</t>
        </is>
      </c>
      <c r="H160" t="inlineStr">
        <is>
          <t>Medicare</t>
        </is>
      </c>
      <c r="I160" t="inlineStr">
        <is>
          <t>08132110</t>
        </is>
      </c>
      <c r="J160" t="inlineStr">
        <is>
          <t>04/21/2011 09:19 AM</t>
        </is>
      </c>
    </row>
    <row r="161">
      <c r="A161" t="inlineStr">
        <is>
          <t>R1160</t>
        </is>
      </c>
      <c r="B161" t="inlineStr">
        <is>
          <t>Tucker, Rebecca</t>
        </is>
      </c>
      <c r="C161" t="inlineStr">
        <is>
          <t>1977-05-15</t>
        </is>
      </c>
      <c r="D161" t="inlineStr">
        <is>
          <t xml:space="preserve"> F</t>
        </is>
      </c>
      <c r="E161" t="inlineStr">
        <is>
          <t>555-555-9353</t>
        </is>
      </c>
      <c r="F161" t="inlineStr">
        <is>
          <t>N/A</t>
        </is>
      </c>
      <c r="G161" t="inlineStr">
        <is>
          <t>Bluestone, OH 45503</t>
        </is>
      </c>
      <c r="H161" t="inlineStr">
        <is>
          <t>Medicaid</t>
        </is>
      </c>
      <c r="I161" t="inlineStr">
        <is>
          <t>02488816</t>
        </is>
      </c>
      <c r="J161" t="inlineStr">
        <is>
          <t>2024-06-01 08:26:00</t>
        </is>
      </c>
    </row>
    <row r="162">
      <c r="A162" t="inlineStr">
        <is>
          <t>R1161</t>
        </is>
      </c>
      <c r="B162" t="inlineStr">
        <is>
          <t>Edwards, Catherine</t>
        </is>
      </c>
      <c r="C162" t="inlineStr">
        <is>
          <t>01/28/1940</t>
        </is>
      </c>
      <c r="D162" t="inlineStr">
        <is>
          <t>Female</t>
        </is>
      </c>
      <c r="E162" t="inlineStr">
        <is>
          <t>(555) 562-3136</t>
        </is>
      </c>
      <c r="F162" t="inlineStr">
        <is>
          <t>catherine.edwards94@example.com</t>
        </is>
      </c>
      <c r="G162" t="inlineStr">
        <is>
          <t>Bluestone, OH 45503-1618</t>
        </is>
      </c>
      <c r="H162" t="inlineStr">
        <is>
          <t>medicare</t>
        </is>
      </c>
      <c r="I162" t="inlineStr">
        <is>
          <t>03985229</t>
        </is>
      </c>
      <c r="J162" t="inlineStr">
        <is>
          <t>2023-07-16 18:48:00</t>
        </is>
      </c>
    </row>
    <row r="163">
      <c r="A163" t="inlineStr">
        <is>
          <t>R1162</t>
        </is>
      </c>
      <c r="B163" t="inlineStr">
        <is>
          <t>Guzman, Donna</t>
        </is>
      </c>
      <c r="C163" t="inlineStr">
        <is>
          <t>06.15.1975</t>
        </is>
      </c>
      <c r="D163" t="inlineStr">
        <is>
          <t xml:space="preserve"> F</t>
        </is>
      </c>
      <c r="E163" t="inlineStr">
        <is>
          <t>(555) 675-9847</t>
        </is>
      </c>
      <c r="F163" t="inlineStr">
        <is>
          <t>donna.guzman10@example.com</t>
        </is>
      </c>
      <c r="G163" t="inlineStr">
        <is>
          <t>Bluestone, OH 45501</t>
        </is>
      </c>
      <c r="H163" t="inlineStr">
        <is>
          <t>Keystone</t>
        </is>
      </c>
      <c r="I163" t="inlineStr">
        <is>
          <t>5240385</t>
        </is>
      </c>
      <c r="J163" t="inlineStr">
        <is>
          <t>09/08/2010 06:16 PM</t>
        </is>
      </c>
    </row>
    <row r="164">
      <c r="A164" t="inlineStr">
        <is>
          <t>R1163</t>
        </is>
      </c>
      <c r="B164" t="inlineStr">
        <is>
          <t>Hill, Frank</t>
        </is>
      </c>
      <c r="C164" t="inlineStr">
        <is>
          <t>1952-08-28</t>
        </is>
      </c>
      <c r="D164" t="inlineStr">
        <is>
          <t>Male</t>
        </is>
      </c>
      <c r="E164" t="inlineStr">
        <is>
          <t>(555) 787-7802</t>
        </is>
      </c>
      <c r="F164" t="inlineStr">
        <is>
          <t>frank.hill20@example.com</t>
        </is>
      </c>
      <c r="G164" t="inlineStr">
        <is>
          <t>Cedar Ridge, OH 45720</t>
        </is>
      </c>
      <c r="H164" t="inlineStr">
        <is>
          <t>Medicare</t>
        </is>
      </c>
      <c r="I164" t="inlineStr">
        <is>
          <t>01262319</t>
        </is>
      </c>
      <c r="J164" t="inlineStr">
        <is>
          <t>2013-02-21 09:04:00</t>
        </is>
      </c>
    </row>
    <row r="165">
      <c r="A165" t="inlineStr">
        <is>
          <t>R1164</t>
        </is>
      </c>
      <c r="B165" t="inlineStr">
        <is>
          <t>MILLER, DAVID</t>
        </is>
      </c>
      <c r="C165" t="inlineStr">
        <is>
          <t>1959-04-30</t>
        </is>
      </c>
      <c r="D165" t="inlineStr">
        <is>
          <t>M</t>
        </is>
      </c>
      <c r="E165" t="inlineStr">
        <is>
          <t>(555) 690-4207</t>
        </is>
      </c>
      <c r="G165" t="inlineStr">
        <is>
          <t>Oak Glen, OH 45730</t>
        </is>
      </c>
      <c r="H165" t="inlineStr">
        <is>
          <t>Medicare</t>
        </is>
      </c>
      <c r="I165" t="inlineStr">
        <is>
          <t>06785087</t>
        </is>
      </c>
      <c r="J165" t="inlineStr">
        <is>
          <t>2015-10-21 13:37:00</t>
        </is>
      </c>
    </row>
    <row r="166">
      <c r="A166" t="inlineStr">
        <is>
          <t>R1165</t>
        </is>
      </c>
      <c r="B166" t="inlineStr">
        <is>
          <t>Cruz, Isabella</t>
        </is>
      </c>
      <c r="C166" t="inlineStr">
        <is>
          <t>10.19.2004</t>
        </is>
      </c>
      <c r="D166" t="inlineStr">
        <is>
          <t>FEMALE</t>
        </is>
      </c>
      <c r="E166" t="inlineStr">
        <is>
          <t>555.372.4686</t>
        </is>
      </c>
      <c r="F166" t="inlineStr">
        <is>
          <t>isabella.cruz16@example.com</t>
        </is>
      </c>
      <c r="G166" t="inlineStr">
        <is>
          <t>RIVERBEND, OH 45545</t>
        </is>
      </c>
      <c r="H166" t="inlineStr">
        <is>
          <t>Medicare</t>
        </is>
      </c>
      <c r="I166" t="inlineStr">
        <is>
          <t>03449108</t>
        </is>
      </c>
      <c r="J166" t="inlineStr">
        <is>
          <t>2009-04-27 10:53:00</t>
        </is>
      </c>
    </row>
    <row r="167">
      <c r="A167" t="inlineStr">
        <is>
          <t>R1166</t>
        </is>
      </c>
      <c r="B167" t="inlineStr">
        <is>
          <t>Novak, Larry</t>
        </is>
      </c>
      <c r="C167" t="inlineStr">
        <is>
          <t>05/13/1990</t>
        </is>
      </c>
      <c r="D167" t="inlineStr">
        <is>
          <t>MALE</t>
        </is>
      </c>
      <c r="E167" t="inlineStr">
        <is>
          <t>(555) 246-8236</t>
        </is>
      </c>
      <c r="F167" t="inlineStr">
        <is>
          <t>none</t>
        </is>
      </c>
      <c r="G167" t="inlineStr">
        <is>
          <t>Cedar Ridge, OH 45720-1280</t>
        </is>
      </c>
      <c r="H167" t="inlineStr">
        <is>
          <t>self-pay</t>
        </is>
      </c>
      <c r="I167" t="inlineStr">
        <is>
          <t>09205091</t>
        </is>
      </c>
      <c r="J167" t="inlineStr">
        <is>
          <t>2023-06-15 16:27:00</t>
        </is>
      </c>
    </row>
    <row r="168">
      <c r="A168" t="inlineStr">
        <is>
          <t>R1167</t>
        </is>
      </c>
      <c r="B168" t="inlineStr">
        <is>
          <t>Amy Gardner</t>
        </is>
      </c>
      <c r="C168" t="inlineStr">
        <is>
          <t>11/02/1929</t>
        </is>
      </c>
      <c r="D168" t="inlineStr">
        <is>
          <t>f</t>
        </is>
      </c>
      <c r="E168" t="inlineStr">
        <is>
          <t>5554970429</t>
        </is>
      </c>
      <c r="F168" t="inlineStr">
        <is>
          <t>AMY.GARDNER71@EXAMPLE.COM</t>
        </is>
      </c>
      <c r="G168" t="inlineStr">
        <is>
          <t>Lakeview Heights, OH 45510-2939</t>
        </is>
      </c>
      <c r="H168" t="inlineStr">
        <is>
          <t>Medicare</t>
        </is>
      </c>
      <c r="I168" t="inlineStr">
        <is>
          <t>05340359</t>
        </is>
      </c>
      <c r="J168" t="inlineStr">
        <is>
          <t>2023-11-08 08:00:00</t>
        </is>
      </c>
    </row>
    <row r="169">
      <c r="A169" t="inlineStr">
        <is>
          <t>R1168</t>
        </is>
      </c>
      <c r="B169" t="inlineStr">
        <is>
          <t>CRUZ, BENJAMIN</t>
        </is>
      </c>
      <c r="C169" t="inlineStr">
        <is>
          <t>05-Jul-1995</t>
        </is>
      </c>
      <c r="D169" t="inlineStr">
        <is>
          <t xml:space="preserve">M </t>
        </is>
      </c>
      <c r="G169" t="inlineStr">
        <is>
          <t>Bluestone OH 45501</t>
        </is>
      </c>
      <c r="H169" t="inlineStr">
        <is>
          <t>KEYSTONE HEALTH PARTNERS</t>
        </is>
      </c>
      <c r="I169" t="inlineStr">
        <is>
          <t>MRN-01157885</t>
        </is>
      </c>
      <c r="J169" t="inlineStr">
        <is>
          <t>2011-05-28 07:51:00</t>
        </is>
      </c>
    </row>
    <row r="170">
      <c r="A170" t="inlineStr">
        <is>
          <t>R1169</t>
        </is>
      </c>
      <c r="B170" t="inlineStr">
        <is>
          <t>Hernandez, Mia</t>
        </is>
      </c>
      <c r="C170" t="inlineStr">
        <is>
          <t>03.18.1967</t>
        </is>
      </c>
      <c r="D170" t="inlineStr">
        <is>
          <t>F</t>
        </is>
      </c>
      <c r="E170" t="inlineStr">
        <is>
          <t>(555) 234-4081</t>
        </is>
      </c>
      <c r="F170" t="inlineStr">
        <is>
          <t>mia.hernandez63@example.com</t>
        </is>
      </c>
      <c r="G170" t="inlineStr">
        <is>
          <t>Bluestone OH 45502</t>
        </is>
      </c>
      <c r="H170" t="inlineStr">
        <is>
          <t>Evergreen Mutual Insurance</t>
        </is>
      </c>
      <c r="I170" t="inlineStr">
        <is>
          <t>MRN-09194491</t>
        </is>
      </c>
      <c r="J170" t="inlineStr">
        <is>
          <t>2024-05-19 15:51:00</t>
        </is>
      </c>
    </row>
    <row r="171">
      <c r="A171" t="inlineStr">
        <is>
          <t>R1170</t>
        </is>
      </c>
      <c r="B171" t="inlineStr">
        <is>
          <t>Jerry Holmes</t>
        </is>
      </c>
      <c r="C171" t="inlineStr">
        <is>
          <t>1989-06-23</t>
        </is>
      </c>
      <c r="D171" t="inlineStr">
        <is>
          <t>M</t>
        </is>
      </c>
      <c r="E171" t="inlineStr">
        <is>
          <t>555.544.9275</t>
        </is>
      </c>
      <c r="F171" t="inlineStr">
        <is>
          <t>N/A</t>
        </is>
      </c>
      <c r="G171" t="inlineStr">
        <is>
          <t>Fairhaven, OH 45620-5704</t>
        </is>
      </c>
      <c r="H171" t="inlineStr">
        <is>
          <t>Keystone</t>
        </is>
      </c>
      <c r="I171" t="inlineStr">
        <is>
          <t>09090898</t>
        </is>
      </c>
      <c r="J171" t="inlineStr">
        <is>
          <t>2011-03-14 15:09:00</t>
        </is>
      </c>
    </row>
    <row r="172">
      <c r="A172" t="inlineStr">
        <is>
          <t>R1171</t>
        </is>
      </c>
      <c r="B172" t="inlineStr">
        <is>
          <t>TAYLOR, EMILY</t>
        </is>
      </c>
      <c r="C172" t="inlineStr">
        <is>
          <t>11/1/2003</t>
        </is>
      </c>
      <c r="D172" t="inlineStr">
        <is>
          <t xml:space="preserve"> F</t>
        </is>
      </c>
      <c r="E172" t="inlineStr">
        <is>
          <t>555-790-1716</t>
        </is>
      </c>
      <c r="F172" t="inlineStr">
        <is>
          <t>none</t>
        </is>
      </c>
      <c r="G172" t="inlineStr">
        <is>
          <t>Fairhaven, OH 45620</t>
        </is>
      </c>
      <c r="H172" t="inlineStr">
        <is>
          <t>State Medicaid</t>
        </is>
      </c>
      <c r="I172" t="inlineStr">
        <is>
          <t>05400611</t>
        </is>
      </c>
      <c r="J172" t="inlineStr">
        <is>
          <t>2023-06-20 13:48:00</t>
        </is>
      </c>
    </row>
    <row r="173">
      <c r="A173" t="inlineStr">
        <is>
          <t>R1172</t>
        </is>
      </c>
      <c r="B173" t="inlineStr">
        <is>
          <t>GRANT, CAROL</t>
        </is>
      </c>
      <c r="C173" t="inlineStr">
        <is>
          <t>1998-11-24</t>
        </is>
      </c>
      <c r="D173" t="inlineStr">
        <is>
          <t xml:space="preserve"> F</t>
        </is>
      </c>
      <c r="E173" t="inlineStr">
        <is>
          <t>5552579405</t>
        </is>
      </c>
      <c r="F173" t="inlineStr">
        <is>
          <t>carol.grant7@example.com</t>
        </is>
      </c>
      <c r="G173" t="inlineStr">
        <is>
          <t>BLUESTONE, OH 45501</t>
        </is>
      </c>
      <c r="H173" t="inlineStr">
        <is>
          <t>Keystone Health Partners</t>
        </is>
      </c>
      <c r="I173" t="inlineStr">
        <is>
          <t>8157930</t>
        </is>
      </c>
      <c r="J173" t="inlineStr">
        <is>
          <t>05/02/2011 09:32 AM</t>
        </is>
      </c>
    </row>
    <row r="174">
      <c r="A174" t="inlineStr">
        <is>
          <t>R1173</t>
        </is>
      </c>
      <c r="B174" t="inlineStr">
        <is>
          <t>Jimenez, Marie</t>
        </is>
      </c>
      <c r="C174" t="inlineStr">
        <is>
          <t>1977-05-02</t>
        </is>
      </c>
      <c r="D174" t="inlineStr">
        <is>
          <t>Female</t>
        </is>
      </c>
      <c r="E174" t="inlineStr">
        <is>
          <t>555-725-4850</t>
        </is>
      </c>
      <c r="F174" t="inlineStr">
        <is>
          <t>marie.jimenez66@example.com</t>
        </is>
      </c>
      <c r="G174" t="inlineStr">
        <is>
          <t>PINE HOLLOW, OH 45640</t>
        </is>
      </c>
      <c r="H174" t="inlineStr">
        <is>
          <t>self-pay</t>
        </is>
      </c>
      <c r="I174" t="inlineStr">
        <is>
          <t>09297384</t>
        </is>
      </c>
      <c r="J174" t="inlineStr">
        <is>
          <t>2018-05-14 08:18:00</t>
        </is>
      </c>
    </row>
    <row r="175">
      <c r="A175" t="inlineStr">
        <is>
          <t>R1174</t>
        </is>
      </c>
      <c r="B175" t="inlineStr">
        <is>
          <t>Brittany Wood</t>
        </is>
      </c>
      <c r="C175" t="inlineStr">
        <is>
          <t>01/08/1981</t>
        </is>
      </c>
      <c r="D175" t="inlineStr">
        <is>
          <t>F</t>
        </is>
      </c>
      <c r="E175" t="inlineStr">
        <is>
          <t>555-380-5195</t>
        </is>
      </c>
      <c r="F175" t="inlineStr">
        <is>
          <t>brittany.wood40@example.com</t>
        </is>
      </c>
      <c r="G175" t="inlineStr">
        <is>
          <t>Bluestone, OH 45503-6953</t>
        </is>
      </c>
      <c r="H175" t="inlineStr">
        <is>
          <t>Summit Choice PPO</t>
        </is>
      </c>
      <c r="I175" t="inlineStr">
        <is>
          <t>01507990</t>
        </is>
      </c>
      <c r="J175" t="inlineStr">
        <is>
          <t>2010-02-20 10:49:00</t>
        </is>
      </c>
    </row>
    <row r="176">
      <c r="A176" t="inlineStr">
        <is>
          <t>R1175</t>
        </is>
      </c>
      <c r="B176" t="inlineStr">
        <is>
          <t>HAMILTON, VIRGINIA</t>
        </is>
      </c>
      <c r="C176" t="inlineStr">
        <is>
          <t>2004-10-25</t>
        </is>
      </c>
      <c r="D176" t="inlineStr">
        <is>
          <t>F</t>
        </is>
      </c>
      <c r="E176" t="inlineStr">
        <is>
          <t>(555) 346-0206</t>
        </is>
      </c>
      <c r="F176" t="inlineStr">
        <is>
          <t>virginia.hamilton23@example.com</t>
        </is>
      </c>
      <c r="G176" t="inlineStr">
        <is>
          <t>Cedar Ridge, OH 45720</t>
        </is>
      </c>
      <c r="H176" t="inlineStr">
        <is>
          <t>SUMMIT CHOICE PPO</t>
        </is>
      </c>
      <c r="I176" t="inlineStr">
        <is>
          <t>6546392</t>
        </is>
      </c>
      <c r="J176" t="inlineStr">
        <is>
          <t>11/03/2022 07:39 AM</t>
        </is>
      </c>
    </row>
    <row r="177">
      <c r="A177" t="inlineStr">
        <is>
          <t>R1176</t>
        </is>
      </c>
      <c r="B177" t="inlineStr">
        <is>
          <t>REYES, PAUL</t>
        </is>
      </c>
      <c r="C177" t="inlineStr">
        <is>
          <t>1948-01-02</t>
        </is>
      </c>
      <c r="D177" t="inlineStr">
        <is>
          <t>Male</t>
        </is>
      </c>
      <c r="E177" t="inlineStr">
        <is>
          <t>555.428.1908</t>
        </is>
      </c>
      <c r="G177" t="inlineStr">
        <is>
          <t>ASHBY FALLS, OH 45610</t>
        </is>
      </c>
      <c r="H177" t="inlineStr">
        <is>
          <t>Medicare Part A</t>
        </is>
      </c>
      <c r="I177" t="inlineStr">
        <is>
          <t>07190333</t>
        </is>
      </c>
      <c r="J177" t="inlineStr">
        <is>
          <t>07/10/2010 12:48 PM</t>
        </is>
      </c>
    </row>
    <row r="178">
      <c r="A178" t="inlineStr">
        <is>
          <t>R1177</t>
        </is>
      </c>
      <c r="B178" t="inlineStr">
        <is>
          <t xml:space="preserve">  Ramos ,  Albert </t>
        </is>
      </c>
      <c r="C178" t="inlineStr">
        <is>
          <t>10/13/2025</t>
        </is>
      </c>
      <c r="D178" t="inlineStr">
        <is>
          <t xml:space="preserve">M </t>
        </is>
      </c>
      <c r="E178" t="inlineStr">
        <is>
          <t>+1 555 288 5776</t>
        </is>
      </c>
      <c r="F178" t="inlineStr">
        <is>
          <t>N/A</t>
        </is>
      </c>
      <c r="G178" t="inlineStr">
        <is>
          <t>Bluestone, OH 45503</t>
        </is>
      </c>
      <c r="H178" t="inlineStr">
        <is>
          <t>Medicaid</t>
        </is>
      </c>
      <c r="I178" t="inlineStr">
        <is>
          <t>00965645</t>
        </is>
      </c>
      <c r="J178" t="inlineStr">
        <is>
          <t>2024-03-16 08:20:00</t>
        </is>
      </c>
    </row>
    <row r="179">
      <c r="A179" t="inlineStr">
        <is>
          <t>R1178</t>
        </is>
      </c>
      <c r="B179" t="inlineStr">
        <is>
          <t>THOMPSON, LAURA</t>
        </is>
      </c>
      <c r="C179" t="inlineStr">
        <is>
          <t>03.14.1949</t>
        </is>
      </c>
      <c r="D179" t="inlineStr">
        <is>
          <t>f</t>
        </is>
      </c>
      <c r="E179" t="inlineStr">
        <is>
          <t>(555) 437-5204</t>
        </is>
      </c>
      <c r="G179" t="inlineStr">
        <is>
          <t>Bluestone, OH 45501</t>
        </is>
      </c>
      <c r="H179" t="inlineStr">
        <is>
          <t>Silverline Medicare Advantage</t>
        </is>
      </c>
      <c r="I179" t="inlineStr">
        <is>
          <t>06069362</t>
        </is>
      </c>
      <c r="J179" t="inlineStr">
        <is>
          <t>2011-01-25 12:31:00</t>
        </is>
      </c>
    </row>
    <row r="180">
      <c r="A180" t="inlineStr">
        <is>
          <t>R1179</t>
        </is>
      </c>
      <c r="B180" t="inlineStr">
        <is>
          <t>John Fisher</t>
        </is>
      </c>
      <c r="C180" t="inlineStr">
        <is>
          <t>10/15/1958</t>
        </is>
      </c>
      <c r="D180" t="inlineStr">
        <is>
          <t xml:space="preserve">M </t>
        </is>
      </c>
      <c r="E180" t="inlineStr">
        <is>
          <t>(555) 339-7953</t>
        </is>
      </c>
      <c r="F180" t="inlineStr">
        <is>
          <t>john.fisher35@example.com</t>
        </is>
      </c>
      <c r="G180" t="inlineStr">
        <is>
          <t>Lakeview Heights, OH 45510</t>
        </is>
      </c>
      <c r="H180" t="inlineStr">
        <is>
          <t>SILVERLINE MEDICARE ADV.</t>
        </is>
      </c>
      <c r="I180" t="inlineStr">
        <is>
          <t>06605485</t>
        </is>
      </c>
      <c r="J180" t="inlineStr">
        <is>
          <t>07/03/2024 09:24 AM</t>
        </is>
      </c>
    </row>
    <row r="181">
      <c r="A181" t="inlineStr">
        <is>
          <t>R1180</t>
        </is>
      </c>
      <c r="B181" t="inlineStr">
        <is>
          <t>Sullivan, Carlos</t>
        </is>
      </c>
      <c r="C181" t="inlineStr">
        <is>
          <t>12/15/1983</t>
        </is>
      </c>
      <c r="D181" t="inlineStr">
        <is>
          <t>Male</t>
        </is>
      </c>
      <c r="E181" t="inlineStr">
        <is>
          <t>555-555-2599</t>
        </is>
      </c>
      <c r="F181" t="inlineStr">
        <is>
          <t>N/A</t>
        </is>
      </c>
      <c r="G181" t="inlineStr">
        <is>
          <t>BLUESTONE, OH 45502</t>
        </is>
      </c>
      <c r="H181" t="inlineStr">
        <is>
          <t>self-pay</t>
        </is>
      </c>
      <c r="I181" t="inlineStr">
        <is>
          <t>06960491</t>
        </is>
      </c>
      <c r="J181" t="inlineStr">
        <is>
          <t>2024-01-12 08:41:00</t>
        </is>
      </c>
    </row>
    <row r="182">
      <c r="A182" t="inlineStr">
        <is>
          <t>R1181</t>
        </is>
      </c>
      <c r="B182" t="inlineStr">
        <is>
          <t>William Barnes</t>
        </is>
      </c>
      <c r="C182" t="inlineStr">
        <is>
          <t>1/3/2003</t>
        </is>
      </c>
      <c r="D182" t="inlineStr">
        <is>
          <t>M</t>
        </is>
      </c>
      <c r="F182" t="inlineStr">
        <is>
          <t>william.barnes76@example.com</t>
        </is>
      </c>
      <c r="G182" t="inlineStr">
        <is>
          <t>Bluestone, OH 45503-5772</t>
        </is>
      </c>
      <c r="H182" t="inlineStr">
        <is>
          <t>KEYSTONE HEALTH PARTNERS</t>
        </is>
      </c>
      <c r="I182" t="inlineStr">
        <is>
          <t>3053503</t>
        </is>
      </c>
      <c r="J182" t="inlineStr">
        <is>
          <t>2011-05-31 07:38:00</t>
        </is>
      </c>
    </row>
    <row r="183">
      <c r="A183" t="inlineStr">
        <is>
          <t>R1182</t>
        </is>
      </c>
      <c r="B183" t="inlineStr">
        <is>
          <t>Rivera, Rachel</t>
        </is>
      </c>
      <c r="C183" t="inlineStr">
        <is>
          <t>06/25/1952</t>
        </is>
      </c>
      <c r="D183" t="inlineStr">
        <is>
          <t>F</t>
        </is>
      </c>
      <c r="E183" t="inlineStr">
        <is>
          <t>(555) 825-4706</t>
        </is>
      </c>
      <c r="F183" t="inlineStr">
        <is>
          <t>rachel.rivera87@example.com</t>
        </is>
      </c>
      <c r="G183" t="inlineStr">
        <is>
          <t>Pine Hollow, OH 45640</t>
        </is>
      </c>
      <c r="H183" t="inlineStr">
        <is>
          <t>Silverline MA</t>
        </is>
      </c>
      <c r="I183" t="inlineStr">
        <is>
          <t>09348784</t>
        </is>
      </c>
      <c r="J183" t="inlineStr">
        <is>
          <t>2021-07-09 16:01:00</t>
        </is>
      </c>
    </row>
    <row r="184">
      <c r="A184" t="inlineStr">
        <is>
          <t>R1183</t>
        </is>
      </c>
      <c r="B184" t="inlineStr">
        <is>
          <t>Willis, Tyler</t>
        </is>
      </c>
      <c r="C184" t="inlineStr">
        <is>
          <t>08/09/1963</t>
        </is>
      </c>
      <c r="D184" t="inlineStr">
        <is>
          <t>M</t>
        </is>
      </c>
      <c r="F184" t="inlineStr">
        <is>
          <t xml:space="preserve"> tyler.willis67@example.com </t>
        </is>
      </c>
      <c r="G184" t="inlineStr">
        <is>
          <t>Bluestone, OH 45503</t>
        </is>
      </c>
      <c r="H184" t="inlineStr">
        <is>
          <t>SUMMIT CHOICE PPO</t>
        </is>
      </c>
      <c r="I184" t="inlineStr">
        <is>
          <t>MRN-02528776</t>
        </is>
      </c>
      <c r="J184" t="inlineStr">
        <is>
          <t>2015-05-26 15:02:00</t>
        </is>
      </c>
    </row>
    <row r="185">
      <c r="A185" t="inlineStr">
        <is>
          <t>R1184</t>
        </is>
      </c>
      <c r="B185" t="inlineStr">
        <is>
          <t>Silva, Kimberly</t>
        </is>
      </c>
      <c r="C185" t="inlineStr">
        <is>
          <t>5/29/1932</t>
        </is>
      </c>
      <c r="D185" t="inlineStr">
        <is>
          <t>Female</t>
        </is>
      </c>
      <c r="E185" t="inlineStr">
        <is>
          <t>(555) 914-4001</t>
        </is>
      </c>
      <c r="G185" t="inlineStr">
        <is>
          <t>Cedar Ridge, OH 45720-3025</t>
        </is>
      </c>
      <c r="H185" t="inlineStr">
        <is>
          <t>Silverline MA</t>
        </is>
      </c>
      <c r="I185" t="inlineStr">
        <is>
          <t>MRN-07141057</t>
        </is>
      </c>
      <c r="J185" t="inlineStr">
        <is>
          <t>2019-01-11 09:44:00</t>
        </is>
      </c>
    </row>
    <row r="186">
      <c r="A186" t="inlineStr">
        <is>
          <t>R1185</t>
        </is>
      </c>
      <c r="B186" t="inlineStr">
        <is>
          <t>Lewis, Evelyn</t>
        </is>
      </c>
      <c r="C186" t="inlineStr">
        <is>
          <t>10/06/1982</t>
        </is>
      </c>
      <c r="D186" t="inlineStr">
        <is>
          <t>FEMALE</t>
        </is>
      </c>
      <c r="E186" t="inlineStr">
        <is>
          <t>555-734-2951</t>
        </is>
      </c>
      <c r="G186" t="inlineStr">
        <is>
          <t>Bluestone, OH 45503-4320</t>
        </is>
      </c>
      <c r="H186" t="inlineStr">
        <is>
          <t>Keystone</t>
        </is>
      </c>
      <c r="I186" t="inlineStr">
        <is>
          <t>MRN-04174690</t>
        </is>
      </c>
      <c r="J186" t="inlineStr">
        <is>
          <t>2008-06-07 10:51:00</t>
        </is>
      </c>
    </row>
    <row r="187">
      <c r="A187" t="inlineStr">
        <is>
          <t>R1186</t>
        </is>
      </c>
      <c r="B187" t="inlineStr">
        <is>
          <t>Gordon, Alice</t>
        </is>
      </c>
      <c r="C187" t="inlineStr">
        <is>
          <t>03/12/1975</t>
        </is>
      </c>
      <c r="D187" t="inlineStr">
        <is>
          <t>F</t>
        </is>
      </c>
      <c r="E187" t="inlineStr">
        <is>
          <t>5556651818</t>
        </is>
      </c>
      <c r="F187" t="inlineStr">
        <is>
          <t>alice.gordon74@example.com</t>
        </is>
      </c>
      <c r="G187" t="inlineStr">
        <is>
          <t>Oak Glen, OH 45730</t>
        </is>
      </c>
      <c r="H187" t="inlineStr">
        <is>
          <t>Summit PPO</t>
        </is>
      </c>
      <c r="I187" t="inlineStr">
        <is>
          <t>00169023</t>
        </is>
      </c>
      <c r="J187" t="inlineStr">
        <is>
          <t>2020-07-03 08:56:00</t>
        </is>
      </c>
    </row>
    <row r="188">
      <c r="A188" t="inlineStr">
        <is>
          <t>R1187</t>
        </is>
      </c>
      <c r="B188" t="inlineStr">
        <is>
          <t>HARRISON, JERRY</t>
        </is>
      </c>
      <c r="C188" t="inlineStr">
        <is>
          <t>1971-02-08</t>
        </is>
      </c>
      <c r="D188" t="inlineStr">
        <is>
          <t>MALE</t>
        </is>
      </c>
      <c r="E188" t="inlineStr">
        <is>
          <t>5557237413</t>
        </is>
      </c>
      <c r="F188" t="inlineStr">
        <is>
          <t xml:space="preserve"> jerry.harrison88@example.com </t>
        </is>
      </c>
      <c r="G188" t="inlineStr">
        <is>
          <t>Bluestone, OH 45501</t>
        </is>
      </c>
      <c r="H188" t="inlineStr">
        <is>
          <t>State Medicaid</t>
        </is>
      </c>
      <c r="I188" t="inlineStr">
        <is>
          <t>04988438</t>
        </is>
      </c>
      <c r="J188" t="inlineStr">
        <is>
          <t>2024-02-10 18:40:00</t>
        </is>
      </c>
    </row>
    <row r="189">
      <c r="A189" t="inlineStr">
        <is>
          <t>R1188</t>
        </is>
      </c>
      <c r="B189" t="inlineStr">
        <is>
          <t>Joan Vasquez</t>
        </is>
      </c>
      <c r="C189" t="inlineStr">
        <is>
          <t>08/16/2002</t>
        </is>
      </c>
      <c r="D189" t="inlineStr">
        <is>
          <t>FEMALE</t>
        </is>
      </c>
      <c r="E189" t="inlineStr">
        <is>
          <t>+1 555 891 4598</t>
        </is>
      </c>
      <c r="F189" t="inlineStr">
        <is>
          <t xml:space="preserve"> joan.vasquez75@example.com </t>
        </is>
      </c>
      <c r="G189" t="inlineStr">
        <is>
          <t>Granite Springs, OH 45750</t>
        </is>
      </c>
      <c r="H189" t="inlineStr">
        <is>
          <t>Summit Choice PPO</t>
        </is>
      </c>
      <c r="I189" t="inlineStr">
        <is>
          <t>08397185</t>
        </is>
      </c>
      <c r="J189" t="inlineStr">
        <is>
          <t>06/09/2023 12:17 PM</t>
        </is>
      </c>
    </row>
    <row r="190">
      <c r="A190" t="inlineStr">
        <is>
          <t>R1189</t>
        </is>
      </c>
      <c r="B190" t="inlineStr">
        <is>
          <t>Bennett, Lori</t>
        </is>
      </c>
      <c r="C190" t="inlineStr">
        <is>
          <t>10/08/2023</t>
        </is>
      </c>
      <c r="D190" t="inlineStr">
        <is>
          <t>FEMALE</t>
        </is>
      </c>
      <c r="E190" t="inlineStr">
        <is>
          <t>555.435.6638</t>
        </is>
      </c>
      <c r="F190" t="inlineStr">
        <is>
          <t>N/A</t>
        </is>
      </c>
      <c r="G190" t="inlineStr">
        <is>
          <t>Bluestone, OH 45502</t>
        </is>
      </c>
      <c r="H190" t="inlineStr">
        <is>
          <t>Medicaid</t>
        </is>
      </c>
      <c r="I190" t="inlineStr">
        <is>
          <t>07098225</t>
        </is>
      </c>
      <c r="J190" t="inlineStr">
        <is>
          <t>2023-11-24 13:47:00</t>
        </is>
      </c>
    </row>
    <row r="191">
      <c r="A191" t="inlineStr">
        <is>
          <t>R1190</t>
        </is>
      </c>
      <c r="B191" t="inlineStr">
        <is>
          <t>GRANT, LEILA</t>
        </is>
      </c>
      <c r="C191" t="inlineStr">
        <is>
          <t>12/05/1933</t>
        </is>
      </c>
      <c r="D191" t="inlineStr">
        <is>
          <t xml:space="preserve"> F</t>
        </is>
      </c>
      <c r="E191" t="inlineStr">
        <is>
          <t>555.886.2376</t>
        </is>
      </c>
      <c r="G191" t="inlineStr">
        <is>
          <t>Bluestone, OH 45501</t>
        </is>
      </c>
      <c r="H191" t="inlineStr">
        <is>
          <t>Medicare Part A</t>
        </is>
      </c>
      <c r="I191" t="inlineStr">
        <is>
          <t>06360985</t>
        </is>
      </c>
      <c r="J191" t="inlineStr">
        <is>
          <t>2017-02-18 13:59:00</t>
        </is>
      </c>
    </row>
    <row r="192">
      <c r="A192" t="inlineStr">
        <is>
          <t>R1191</t>
        </is>
      </c>
      <c r="B192" t="inlineStr">
        <is>
          <t>Grace Andrews</t>
        </is>
      </c>
      <c r="C192" t="inlineStr">
        <is>
          <t>10/16/1969</t>
        </is>
      </c>
      <c r="D192" t="inlineStr">
        <is>
          <t xml:space="preserve"> F</t>
        </is>
      </c>
      <c r="E192" t="inlineStr">
        <is>
          <t>(555) 984-5544</t>
        </is>
      </c>
      <c r="F192" t="inlineStr">
        <is>
          <t>grace.andrews28@example.com</t>
        </is>
      </c>
      <c r="G192" t="inlineStr">
        <is>
          <t>Bluestone OH 45501</t>
        </is>
      </c>
      <c r="H192" t="inlineStr">
        <is>
          <t>Keystone Health Ptnrs</t>
        </is>
      </c>
      <c r="I192" t="inlineStr">
        <is>
          <t>06411556</t>
        </is>
      </c>
      <c r="J192" t="inlineStr">
        <is>
          <t>2020-10-31 08:13:00</t>
        </is>
      </c>
    </row>
    <row r="193">
      <c r="A193" t="inlineStr">
        <is>
          <t>R1192</t>
        </is>
      </c>
      <c r="B193" t="inlineStr">
        <is>
          <t xml:space="preserve">  Porter ,  Wei </t>
        </is>
      </c>
      <c r="C193" t="inlineStr">
        <is>
          <t>19-Jan-1979</t>
        </is>
      </c>
      <c r="D193" t="inlineStr">
        <is>
          <t>Male</t>
        </is>
      </c>
      <c r="E193" t="inlineStr">
        <is>
          <t>+1 555 728 8462</t>
        </is>
      </c>
      <c r="F193" t="inlineStr">
        <is>
          <t>wei.porter70@example.com</t>
        </is>
      </c>
      <c r="G193" t="inlineStr">
        <is>
          <t>Cedar Ridge, OH 45720</t>
        </is>
      </c>
      <c r="H193" t="inlineStr">
        <is>
          <t>Evergreen Mutual Insurance</t>
        </is>
      </c>
      <c r="I193" t="inlineStr">
        <is>
          <t>6928829</t>
        </is>
      </c>
      <c r="J193" t="inlineStr">
        <is>
          <t>2021-03-08 14:09:00</t>
        </is>
      </c>
    </row>
    <row r="194">
      <c r="A194" t="inlineStr">
        <is>
          <t>R1193</t>
        </is>
      </c>
      <c r="B194" t="inlineStr">
        <is>
          <t>Chen, Betty</t>
        </is>
      </c>
      <c r="C194" t="inlineStr">
        <is>
          <t>03/31/2001</t>
        </is>
      </c>
      <c r="D194" t="inlineStr">
        <is>
          <t>Female</t>
        </is>
      </c>
      <c r="E194" t="inlineStr">
        <is>
          <t>(555) 237-6636</t>
        </is>
      </c>
      <c r="G194" t="inlineStr">
        <is>
          <t>Pine Hollow, OH 45640</t>
        </is>
      </c>
      <c r="H194" t="inlineStr">
        <is>
          <t>EVERGREEN MUTUAL INS</t>
        </is>
      </c>
      <c r="I194" t="inlineStr">
        <is>
          <t>8132111</t>
        </is>
      </c>
      <c r="J194" t="inlineStr">
        <is>
          <t>08/14/2018 09:44 AM</t>
        </is>
      </c>
    </row>
    <row r="195">
      <c r="A195" t="inlineStr">
        <is>
          <t>R1194</t>
        </is>
      </c>
      <c r="B195" t="inlineStr">
        <is>
          <t>Charles Stone</t>
        </is>
      </c>
      <c r="C195" t="inlineStr">
        <is>
          <t>07.13.1990</t>
        </is>
      </c>
      <c r="D195" t="inlineStr">
        <is>
          <t>MALE</t>
        </is>
      </c>
      <c r="E195" t="inlineStr">
        <is>
          <t>(555) 213-9817</t>
        </is>
      </c>
      <c r="F195" t="inlineStr">
        <is>
          <t>charles.stone42@example.com</t>
        </is>
      </c>
      <c r="G195" t="inlineStr">
        <is>
          <t>BLUESTONE, OH 45501</t>
        </is>
      </c>
      <c r="H195" t="inlineStr">
        <is>
          <t>Self Pay</t>
        </is>
      </c>
      <c r="I195" t="inlineStr">
        <is>
          <t>01745769</t>
        </is>
      </c>
      <c r="J195" t="inlineStr">
        <is>
          <t>03/24/2014 06:38 PM</t>
        </is>
      </c>
    </row>
    <row r="196">
      <c r="A196" t="inlineStr">
        <is>
          <t>R1195</t>
        </is>
      </c>
      <c r="B196" t="inlineStr">
        <is>
          <t>ramos, sarah</t>
        </is>
      </c>
      <c r="C196" t="inlineStr">
        <is>
          <t>1949-10-02</t>
        </is>
      </c>
      <c r="D196" t="inlineStr">
        <is>
          <t>Female</t>
        </is>
      </c>
      <c r="E196" t="inlineStr">
        <is>
          <t>555.976.8822</t>
        </is>
      </c>
      <c r="F196" t="inlineStr">
        <is>
          <t>N/A</t>
        </is>
      </c>
      <c r="G196" t="inlineStr">
        <is>
          <t>Bluestone OH 45501</t>
        </is>
      </c>
      <c r="H196" t="inlineStr">
        <is>
          <t>Medicare Part A</t>
        </is>
      </c>
      <c r="I196" t="inlineStr">
        <is>
          <t>09901687</t>
        </is>
      </c>
      <c r="J196" t="inlineStr">
        <is>
          <t>2014-12-16 11:09:00</t>
        </is>
      </c>
    </row>
    <row r="197">
      <c r="A197" t="inlineStr">
        <is>
          <t>R1196</t>
        </is>
      </c>
      <c r="B197" t="inlineStr">
        <is>
          <t>Hill, Wayne</t>
        </is>
      </c>
      <c r="C197" t="inlineStr">
        <is>
          <t>08/17/1948</t>
        </is>
      </c>
      <c r="D197" t="inlineStr">
        <is>
          <t>m</t>
        </is>
      </c>
      <c r="E197" t="inlineStr">
        <is>
          <t>(555) 435-1905</t>
        </is>
      </c>
      <c r="F197" t="inlineStr">
        <is>
          <t>none</t>
        </is>
      </c>
      <c r="G197" t="inlineStr">
        <is>
          <t>Riverbend OH 45545</t>
        </is>
      </c>
      <c r="H197" t="inlineStr">
        <is>
          <t>Silverline Medicare Advantage</t>
        </is>
      </c>
      <c r="I197" t="inlineStr">
        <is>
          <t>02220363</t>
        </is>
      </c>
      <c r="J197" t="inlineStr">
        <is>
          <t>2017-07-08 15:00:00</t>
        </is>
      </c>
    </row>
    <row r="198">
      <c r="A198" t="inlineStr">
        <is>
          <t>R1197</t>
        </is>
      </c>
      <c r="B198" t="inlineStr">
        <is>
          <t>HILL, FRANK</t>
        </is>
      </c>
      <c r="C198" t="inlineStr">
        <is>
          <t>1952-08-28</t>
        </is>
      </c>
      <c r="D198" t="inlineStr">
        <is>
          <t>M</t>
        </is>
      </c>
      <c r="E198" t="inlineStr">
        <is>
          <t>(555) 787-7802</t>
        </is>
      </c>
      <c r="F198" t="inlineStr">
        <is>
          <t>frank.hill20@example.com</t>
        </is>
      </c>
      <c r="G198" t="inlineStr">
        <is>
          <t>Cedar Ridge, OH 45720</t>
        </is>
      </c>
      <c r="H198" t="inlineStr">
        <is>
          <t>medicare</t>
        </is>
      </c>
      <c r="I198" t="inlineStr">
        <is>
          <t>1262319</t>
        </is>
      </c>
      <c r="J198" t="inlineStr">
        <is>
          <t>2013-02-21 11:48:00</t>
        </is>
      </c>
    </row>
    <row r="199">
      <c r="A199" t="inlineStr">
        <is>
          <t>R1198</t>
        </is>
      </c>
      <c r="B199" t="inlineStr">
        <is>
          <t>gomez, walter</t>
        </is>
      </c>
      <c r="C199" t="inlineStr">
        <is>
          <t>12/16/1958</t>
        </is>
      </c>
      <c r="D199" t="inlineStr">
        <is>
          <t>M</t>
        </is>
      </c>
      <c r="E199" t="inlineStr">
        <is>
          <t>(555) 402-9498</t>
        </is>
      </c>
      <c r="F199" t="inlineStr">
        <is>
          <t>none</t>
        </is>
      </c>
      <c r="G199" t="inlineStr">
        <is>
          <t>ASHBY FALLS, OH 45610</t>
        </is>
      </c>
      <c r="H199" t="inlineStr">
        <is>
          <t xml:space="preserve">Silverline Medicare Advantage </t>
        </is>
      </c>
      <c r="I199" t="inlineStr">
        <is>
          <t>07279550</t>
        </is>
      </c>
      <c r="J199" t="inlineStr">
        <is>
          <t>2015-10-23 17:06:00</t>
        </is>
      </c>
    </row>
    <row r="200">
      <c r="A200" t="inlineStr">
        <is>
          <t>R1199</t>
        </is>
      </c>
      <c r="B200" t="inlineStr">
        <is>
          <t>ELLIOTT, JUAN</t>
        </is>
      </c>
      <c r="C200" t="inlineStr">
        <is>
          <t>1985-09-28</t>
        </is>
      </c>
      <c r="D200" t="inlineStr">
        <is>
          <t>Male</t>
        </is>
      </c>
      <c r="E200" t="inlineStr">
        <is>
          <t>(555) 453-9960</t>
        </is>
      </c>
      <c r="F200" t="inlineStr">
        <is>
          <t xml:space="preserve"> juan.elliott23@example.com </t>
        </is>
      </c>
      <c r="G200" t="inlineStr">
        <is>
          <t>Bluestone, OH 45501</t>
        </is>
      </c>
      <c r="H200" t="inlineStr">
        <is>
          <t>Keystone Health Partners</t>
        </is>
      </c>
      <c r="I200" t="inlineStr">
        <is>
          <t>780447</t>
        </is>
      </c>
      <c r="J200" t="inlineStr">
        <is>
          <t>2008-12-04 11:08:00</t>
        </is>
      </c>
    </row>
    <row r="201">
      <c r="A201" t="inlineStr">
        <is>
          <t>R1200</t>
        </is>
      </c>
      <c r="B201" t="inlineStr">
        <is>
          <t xml:space="preserve">  McDonald ,  Mark </t>
        </is>
      </c>
      <c r="C201" t="inlineStr">
        <is>
          <t>06/22/1954</t>
        </is>
      </c>
      <c r="D201" t="inlineStr">
        <is>
          <t>M</t>
        </is>
      </c>
      <c r="E201" t="inlineStr">
        <is>
          <t>5556060213</t>
        </is>
      </c>
      <c r="F201" t="inlineStr">
        <is>
          <t>MARK.MCDONALD1@EXAMPLE.COM</t>
        </is>
      </c>
      <c r="G201" t="inlineStr">
        <is>
          <t>Ashby Falls, OH 45610-5591</t>
        </is>
      </c>
      <c r="H201" t="inlineStr">
        <is>
          <t>Medicare Part A</t>
        </is>
      </c>
      <c r="I201" t="inlineStr">
        <is>
          <t>6667083</t>
        </is>
      </c>
      <c r="J201" t="inlineStr">
        <is>
          <t>2022-09-17 11:33:00</t>
        </is>
      </c>
    </row>
    <row r="202">
      <c r="A202" t="inlineStr">
        <is>
          <t>R1201</t>
        </is>
      </c>
      <c r="B202" t="inlineStr">
        <is>
          <t>Ramos, Denise</t>
        </is>
      </c>
      <c r="C202" t="inlineStr">
        <is>
          <t>1991-02-01</t>
        </is>
      </c>
      <c r="D202" t="inlineStr">
        <is>
          <t>Female</t>
        </is>
      </c>
      <c r="E202" t="inlineStr">
        <is>
          <t>5557538264</t>
        </is>
      </c>
      <c r="G202" t="inlineStr">
        <is>
          <t>Pine Hollow OH 45640</t>
        </is>
      </c>
      <c r="H202" t="inlineStr">
        <is>
          <t>Medicaid</t>
        </is>
      </c>
      <c r="I202" t="inlineStr">
        <is>
          <t>03585244</t>
        </is>
      </c>
      <c r="J202" t="inlineStr">
        <is>
          <t>12/07/2022 01:56 PM</t>
        </is>
      </c>
    </row>
    <row r="203">
      <c r="A203" t="inlineStr">
        <is>
          <t>R1202</t>
        </is>
      </c>
      <c r="B203" t="inlineStr">
        <is>
          <t xml:space="preserve">  Harris ,  Ana </t>
        </is>
      </c>
      <c r="C203" t="inlineStr">
        <is>
          <t>10/27/1975</t>
        </is>
      </c>
      <c r="D203" t="inlineStr">
        <is>
          <t>F</t>
        </is>
      </c>
      <c r="E203" t="inlineStr">
        <is>
          <t>5555983049</t>
        </is>
      </c>
      <c r="F203" t="inlineStr">
        <is>
          <t>ana.harris27@example.com</t>
        </is>
      </c>
      <c r="G203" t="inlineStr">
        <is>
          <t>Bluestone OH 45501</t>
        </is>
      </c>
      <c r="H203" t="inlineStr">
        <is>
          <t>medicaid</t>
        </is>
      </c>
      <c r="I203" t="inlineStr">
        <is>
          <t>04778826</t>
        </is>
      </c>
      <c r="J203" t="inlineStr">
        <is>
          <t>2022-07-09 12:52:00</t>
        </is>
      </c>
    </row>
    <row r="204">
      <c r="A204" t="inlineStr">
        <is>
          <t>R1203</t>
        </is>
      </c>
      <c r="B204" t="inlineStr">
        <is>
          <t>carroll, charles</t>
        </is>
      </c>
      <c r="C204" t="inlineStr">
        <is>
          <t>1974-10-11</t>
        </is>
      </c>
      <c r="D204" t="inlineStr">
        <is>
          <t>M</t>
        </is>
      </c>
      <c r="E204" t="inlineStr">
        <is>
          <t>(555) 493-1102</t>
        </is>
      </c>
      <c r="F204" t="inlineStr">
        <is>
          <t>CHARLES.CARROLL82@EXAMPLE.COM</t>
        </is>
      </c>
      <c r="G204" t="inlineStr">
        <is>
          <t>Riverbend OH 45545</t>
        </is>
      </c>
      <c r="H204" t="inlineStr">
        <is>
          <t>self-pay</t>
        </is>
      </c>
      <c r="I204" t="inlineStr">
        <is>
          <t>01547286</t>
        </is>
      </c>
      <c r="J204" t="inlineStr">
        <is>
          <t>2021-06-10 12:52:00</t>
        </is>
      </c>
    </row>
    <row r="205">
      <c r="A205" t="inlineStr">
        <is>
          <t>R1204</t>
        </is>
      </c>
      <c r="B205" t="inlineStr">
        <is>
          <t>Stone, Pamela</t>
        </is>
      </c>
      <c r="C205" t="inlineStr">
        <is>
          <t>08/09/1970</t>
        </is>
      </c>
      <c r="D205" t="inlineStr">
        <is>
          <t xml:space="preserve"> F</t>
        </is>
      </c>
      <c r="E205" t="inlineStr">
        <is>
          <t>555-221-5419</t>
        </is>
      </c>
      <c r="F205" t="inlineStr">
        <is>
          <t>N/A</t>
        </is>
      </c>
      <c r="G205" t="inlineStr">
        <is>
          <t>Lakeview Heights, OH 45510-2432</t>
        </is>
      </c>
      <c r="H205" t="inlineStr">
        <is>
          <t>Evergreen Mutual Insurance</t>
        </is>
      </c>
      <c r="I205" t="inlineStr">
        <is>
          <t>MRN-04009956</t>
        </is>
      </c>
      <c r="J205" t="inlineStr">
        <is>
          <t>04/24/2018 12:24 PM</t>
        </is>
      </c>
    </row>
    <row r="206">
      <c r="A206" t="inlineStr">
        <is>
          <t>R1205</t>
        </is>
      </c>
      <c r="B206" t="inlineStr">
        <is>
          <t>Garza, Henry</t>
        </is>
      </c>
      <c r="C206" t="inlineStr">
        <is>
          <t>09/02/1992</t>
        </is>
      </c>
      <c r="D206" t="inlineStr">
        <is>
          <t>M</t>
        </is>
      </c>
      <c r="E206" t="inlineStr">
        <is>
          <t>555-250-0086</t>
        </is>
      </c>
      <c r="F206" t="inlineStr">
        <is>
          <t>henry.garza30@example.com</t>
        </is>
      </c>
      <c r="G206" t="inlineStr">
        <is>
          <t>Bluestone, OH 45501-7783</t>
        </is>
      </c>
      <c r="H206" t="inlineStr">
        <is>
          <t>State Medicaid</t>
        </is>
      </c>
      <c r="I206" t="inlineStr">
        <is>
          <t>00952633</t>
        </is>
      </c>
      <c r="J206" t="inlineStr">
        <is>
          <t>2018-06-07 11:31:00</t>
        </is>
      </c>
    </row>
    <row r="207">
      <c r="A207" t="inlineStr">
        <is>
          <t>R1206</t>
        </is>
      </c>
      <c r="B207" t="inlineStr">
        <is>
          <t>Payne, Amina</t>
        </is>
      </c>
      <c r="C207" t="inlineStr">
        <is>
          <t>04/01/1946</t>
        </is>
      </c>
      <c r="D207" t="inlineStr">
        <is>
          <t>FEMALE</t>
        </is>
      </c>
      <c r="E207" t="inlineStr">
        <is>
          <t>5552241948</t>
        </is>
      </c>
      <c r="G207" t="inlineStr">
        <is>
          <t>Oak Glen OH 45730</t>
        </is>
      </c>
      <c r="H207" t="inlineStr">
        <is>
          <t xml:space="preserve">Medicare </t>
        </is>
      </c>
      <c r="I207" t="inlineStr">
        <is>
          <t>03612527</t>
        </is>
      </c>
      <c r="J207" t="inlineStr">
        <is>
          <t>2010-02-23 14:02:00</t>
        </is>
      </c>
    </row>
    <row r="208">
      <c r="A208" t="inlineStr">
        <is>
          <t>R1207</t>
        </is>
      </c>
      <c r="B208" t="inlineStr">
        <is>
          <t>Bailey, Zachary</t>
        </is>
      </c>
      <c r="C208" t="inlineStr">
        <is>
          <t>11/09/1994</t>
        </is>
      </c>
      <c r="D208" t="inlineStr">
        <is>
          <t>m</t>
        </is>
      </c>
      <c r="E208" t="inlineStr">
        <is>
          <t>555-527-1948</t>
        </is>
      </c>
      <c r="F208" t="inlineStr">
        <is>
          <t>none</t>
        </is>
      </c>
      <c r="G208" t="inlineStr">
        <is>
          <t>Ashby Falls, OH 45610</t>
        </is>
      </c>
      <c r="H208" t="inlineStr">
        <is>
          <t>Medicaid</t>
        </is>
      </c>
      <c r="I208" t="inlineStr">
        <is>
          <t>09148220</t>
        </is>
      </c>
      <c r="J208" t="inlineStr">
        <is>
          <t>2015-10-18 16:47:00</t>
        </is>
      </c>
    </row>
    <row r="209">
      <c r="A209" t="inlineStr">
        <is>
          <t>R1208</t>
        </is>
      </c>
      <c r="B209" t="inlineStr">
        <is>
          <t>Laura Bailey</t>
        </is>
      </c>
      <c r="C209" t="inlineStr">
        <is>
          <t>3/28/1936</t>
        </is>
      </c>
      <c r="D209" t="inlineStr">
        <is>
          <t xml:space="preserve"> F</t>
        </is>
      </c>
      <c r="E209" t="inlineStr">
        <is>
          <t>(555) 937-2983</t>
        </is>
      </c>
      <c r="F209" t="inlineStr">
        <is>
          <t>laura.bailey25@example.com</t>
        </is>
      </c>
      <c r="G209" t="inlineStr">
        <is>
          <t>RIVERBEND, OH 45545</t>
        </is>
      </c>
      <c r="H209" t="inlineStr">
        <is>
          <t>Silverline MA</t>
        </is>
      </c>
      <c r="I209" t="inlineStr">
        <is>
          <t>MRN-05739284</t>
        </is>
      </c>
      <c r="J209" t="inlineStr">
        <is>
          <t>09/08/2023 03:41 PM</t>
        </is>
      </c>
    </row>
    <row r="210">
      <c r="A210" t="inlineStr">
        <is>
          <t>R1209</t>
        </is>
      </c>
      <c r="B210" t="inlineStr">
        <is>
          <t>Gutierrez, Harper</t>
        </is>
      </c>
      <c r="C210" t="inlineStr">
        <is>
          <t>14-Sep-1961</t>
        </is>
      </c>
      <c r="D210" t="inlineStr">
        <is>
          <t>FEMALE</t>
        </is>
      </c>
      <c r="E210" t="inlineStr">
        <is>
          <t>+1 555 436 3618</t>
        </is>
      </c>
      <c r="F210" t="inlineStr">
        <is>
          <t>harper.gutierrez46@example.com</t>
        </is>
      </c>
      <c r="G210" t="inlineStr">
        <is>
          <t>Bluestone, OH 45501</t>
        </is>
      </c>
      <c r="H210" t="inlineStr">
        <is>
          <t>medicaid</t>
        </is>
      </c>
      <c r="I210" t="inlineStr">
        <is>
          <t>06219115</t>
        </is>
      </c>
      <c r="J210" t="inlineStr">
        <is>
          <t>2016-04-24 16:57:00</t>
        </is>
      </c>
    </row>
    <row r="211">
      <c r="A211" t="inlineStr">
        <is>
          <t>R1210</t>
        </is>
      </c>
      <c r="B211" t="inlineStr">
        <is>
          <t>TUCKER, TIMOTHY</t>
        </is>
      </c>
      <c r="C211" t="inlineStr">
        <is>
          <t>2015-05-21</t>
        </is>
      </c>
      <c r="D211" t="inlineStr">
        <is>
          <t>M</t>
        </is>
      </c>
      <c r="E211" t="inlineStr">
        <is>
          <t>(555) 584-2550</t>
        </is>
      </c>
      <c r="G211" t="inlineStr">
        <is>
          <t>Bluestone, OH 45501</t>
        </is>
      </c>
      <c r="H211" t="inlineStr">
        <is>
          <t>Summit Choice</t>
        </is>
      </c>
      <c r="I211" t="inlineStr">
        <is>
          <t>06111672</t>
        </is>
      </c>
      <c r="J211" t="inlineStr">
        <is>
          <t>2022-05-28 10:44:00</t>
        </is>
      </c>
    </row>
    <row r="212">
      <c r="A212" t="inlineStr">
        <is>
          <t>R1211</t>
        </is>
      </c>
      <c r="B212" t="inlineStr">
        <is>
          <t>Jimenez, Victoria</t>
        </is>
      </c>
      <c r="C212" t="inlineStr">
        <is>
          <t>04/16/1933</t>
        </is>
      </c>
      <c r="D212" t="inlineStr">
        <is>
          <t>F</t>
        </is>
      </c>
      <c r="E212" t="inlineStr">
        <is>
          <t>(555) 348-0613</t>
        </is>
      </c>
      <c r="G212" t="inlineStr">
        <is>
          <t>Bluestone, OH 45502-3496</t>
        </is>
      </c>
      <c r="H212" t="inlineStr">
        <is>
          <t>medicare</t>
        </is>
      </c>
      <c r="I212" t="inlineStr">
        <is>
          <t>MRN-04191496</t>
        </is>
      </c>
      <c r="J212" t="inlineStr">
        <is>
          <t>2023-12-14 09:15:00</t>
        </is>
      </c>
    </row>
    <row r="213">
      <c r="A213" t="inlineStr">
        <is>
          <t>R1212</t>
        </is>
      </c>
      <c r="B213" t="inlineStr">
        <is>
          <t>Arnold, Alice</t>
        </is>
      </c>
      <c r="C213" t="inlineStr">
        <is>
          <t>08.29.1967</t>
        </is>
      </c>
      <c r="D213" t="inlineStr">
        <is>
          <t>F</t>
        </is>
      </c>
      <c r="E213" t="inlineStr">
        <is>
          <t>555-940-0536</t>
        </is>
      </c>
      <c r="F213" t="inlineStr">
        <is>
          <t>N/A</t>
        </is>
      </c>
      <c r="G213" t="inlineStr">
        <is>
          <t>BLUESTONE, OH 45502</t>
        </is>
      </c>
      <c r="H213" t="inlineStr">
        <is>
          <t>Summit Choice PPO</t>
        </is>
      </c>
      <c r="I213" t="inlineStr">
        <is>
          <t>01806668</t>
        </is>
      </c>
      <c r="J213" t="inlineStr">
        <is>
          <t>2016-01-23 15:54:00</t>
        </is>
      </c>
    </row>
    <row r="214">
      <c r="A214" t="inlineStr">
        <is>
          <t>R1213</t>
        </is>
      </c>
      <c r="B214" t="inlineStr">
        <is>
          <t>Rogers, Natalie</t>
        </is>
      </c>
      <c r="C214" t="inlineStr">
        <is>
          <t>04.15.1957</t>
        </is>
      </c>
      <c r="D214" t="inlineStr">
        <is>
          <t>Female</t>
        </is>
      </c>
      <c r="E214" t="inlineStr">
        <is>
          <t>5558869370</t>
        </is>
      </c>
      <c r="G214" t="inlineStr">
        <is>
          <t>Granite Springs, OH 45750</t>
        </is>
      </c>
      <c r="H214" t="inlineStr">
        <is>
          <t xml:space="preserve">Silverline Medicare Advantage </t>
        </is>
      </c>
      <c r="I214" t="inlineStr">
        <is>
          <t>05630106</t>
        </is>
      </c>
      <c r="J214" t="inlineStr">
        <is>
          <t>2018-03-31 14:00:00</t>
        </is>
      </c>
    </row>
    <row r="215">
      <c r="A215" t="inlineStr">
        <is>
          <t>R1214</t>
        </is>
      </c>
      <c r="B215" t="inlineStr">
        <is>
          <t>BAILEY, HELEN</t>
        </is>
      </c>
      <c r="C215" t="inlineStr">
        <is>
          <t>2019-08-14</t>
        </is>
      </c>
      <c r="D215" t="inlineStr">
        <is>
          <t xml:space="preserve"> F</t>
        </is>
      </c>
      <c r="E215" t="inlineStr">
        <is>
          <t>(555) 411-7487</t>
        </is>
      </c>
      <c r="F215" t="inlineStr">
        <is>
          <t>none</t>
        </is>
      </c>
      <c r="G215" t="inlineStr">
        <is>
          <t>Bluestone, OH 45503</t>
        </is>
      </c>
      <c r="H215" t="inlineStr">
        <is>
          <t>medicaid</t>
        </is>
      </c>
      <c r="I215" t="inlineStr">
        <is>
          <t>MRN-03044407</t>
        </is>
      </c>
      <c r="J215" t="inlineStr">
        <is>
          <t>06/09/2020 07:17 AM</t>
        </is>
      </c>
    </row>
    <row r="216">
      <c r="A216" t="inlineStr">
        <is>
          <t>R1215</t>
        </is>
      </c>
      <c r="B216" t="inlineStr">
        <is>
          <t>Kennedy, Ashley</t>
        </is>
      </c>
      <c r="C216" t="inlineStr">
        <is>
          <t>8/29/1945</t>
        </is>
      </c>
      <c r="D216" t="inlineStr">
        <is>
          <t>FEMALE</t>
        </is>
      </c>
      <c r="E216" t="inlineStr">
        <is>
          <t>(555) 831-0774</t>
        </is>
      </c>
      <c r="F216" t="inlineStr">
        <is>
          <t xml:space="preserve"> ashley.kennedy42@example.com </t>
        </is>
      </c>
      <c r="G216" t="inlineStr">
        <is>
          <t>Bluestone, OH 45501-4147</t>
        </is>
      </c>
      <c r="H216" t="inlineStr">
        <is>
          <t>Silverline MA</t>
        </is>
      </c>
      <c r="I216" t="inlineStr">
        <is>
          <t>07641208</t>
        </is>
      </c>
      <c r="J216" t="inlineStr">
        <is>
          <t>2010-02-23 16:52:00</t>
        </is>
      </c>
    </row>
    <row r="217">
      <c r="A217" t="inlineStr">
        <is>
          <t>R1216</t>
        </is>
      </c>
      <c r="B217" t="inlineStr">
        <is>
          <t>Long, Alice</t>
        </is>
      </c>
      <c r="C217" t="inlineStr">
        <is>
          <t>6/9/1958</t>
        </is>
      </c>
      <c r="D217" t="inlineStr">
        <is>
          <t>F</t>
        </is>
      </c>
      <c r="E217" t="inlineStr">
        <is>
          <t>555-379-8167</t>
        </is>
      </c>
      <c r="F217" t="inlineStr">
        <is>
          <t>none</t>
        </is>
      </c>
      <c r="G217" t="inlineStr">
        <is>
          <t>Riverbend, OH 45545-2266</t>
        </is>
      </c>
      <c r="H217" t="inlineStr">
        <is>
          <t xml:space="preserve">Silverline Medicare Advantage </t>
        </is>
      </c>
      <c r="I217" t="inlineStr">
        <is>
          <t>4823186</t>
        </is>
      </c>
      <c r="J217" t="inlineStr">
        <is>
          <t>2017-01-15 15:21:00</t>
        </is>
      </c>
    </row>
    <row r="218">
      <c r="A218" t="inlineStr">
        <is>
          <t>R1217</t>
        </is>
      </c>
      <c r="B218" t="inlineStr">
        <is>
          <t>Mason Contreras</t>
        </is>
      </c>
      <c r="C218" t="inlineStr">
        <is>
          <t>01/06/1971</t>
        </is>
      </c>
      <c r="D218" t="inlineStr">
        <is>
          <t>Male</t>
        </is>
      </c>
      <c r="E218" t="inlineStr">
        <is>
          <t>5555052212</t>
        </is>
      </c>
      <c r="F218" t="inlineStr">
        <is>
          <t>mason.contreras11@example.com</t>
        </is>
      </c>
      <c r="G218" t="inlineStr">
        <is>
          <t>ASHBY FALLS, OH 45610</t>
        </is>
      </c>
      <c r="H218" t="inlineStr">
        <is>
          <t>SUMMIT CHOICE PPO</t>
        </is>
      </c>
      <c r="I218" t="inlineStr">
        <is>
          <t>4850335</t>
        </is>
      </c>
      <c r="J218" t="inlineStr">
        <is>
          <t>2016-03-20 09:41:00</t>
        </is>
      </c>
    </row>
    <row r="219">
      <c r="A219" t="inlineStr">
        <is>
          <t>R1218</t>
        </is>
      </c>
      <c r="B219" t="inlineStr">
        <is>
          <t>Gomez, Elizabeth</t>
        </is>
      </c>
      <c r="C219" t="inlineStr">
        <is>
          <t>1970-10-26</t>
        </is>
      </c>
      <c r="D219" t="inlineStr">
        <is>
          <t>F</t>
        </is>
      </c>
      <c r="E219" t="inlineStr">
        <is>
          <t>(555) 701-2318</t>
        </is>
      </c>
      <c r="F219" t="inlineStr">
        <is>
          <t xml:space="preserve"> elizabeth.gomez76@example.com </t>
        </is>
      </c>
      <c r="G219" t="inlineStr">
        <is>
          <t>Millbrook, OH 45530</t>
        </is>
      </c>
      <c r="H219" t="inlineStr">
        <is>
          <t>State Medicaid</t>
        </is>
      </c>
      <c r="I219" t="inlineStr">
        <is>
          <t>5094809</t>
        </is>
      </c>
      <c r="J219" t="inlineStr">
        <is>
          <t>05/14/2008 03:36 PM</t>
        </is>
      </c>
    </row>
    <row r="220">
      <c r="A220" t="inlineStr">
        <is>
          <t>R1219</t>
        </is>
      </c>
      <c r="B220" t="inlineStr">
        <is>
          <t>WATSON, DIEGO</t>
        </is>
      </c>
      <c r="C220" t="inlineStr">
        <is>
          <t>4/1/1960</t>
        </is>
      </c>
      <c r="D220" t="inlineStr">
        <is>
          <t>m</t>
        </is>
      </c>
      <c r="E220" t="inlineStr">
        <is>
          <t>555-269-2605</t>
        </is>
      </c>
      <c r="F220" t="inlineStr">
        <is>
          <t>diego.watson13@example.com</t>
        </is>
      </c>
      <c r="G220" t="inlineStr">
        <is>
          <t>Bluestone OH 45501</t>
        </is>
      </c>
      <c r="H220" t="inlineStr">
        <is>
          <t>MEDICARE</t>
        </is>
      </c>
      <c r="I220" t="inlineStr">
        <is>
          <t>06141663</t>
        </is>
      </c>
      <c r="J220" t="inlineStr">
        <is>
          <t>09/04/2014 12:11 PM</t>
        </is>
      </c>
    </row>
    <row r="221">
      <c r="A221" t="inlineStr">
        <is>
          <t>R1220</t>
        </is>
      </c>
      <c r="B221" t="inlineStr">
        <is>
          <t>Noah Kowalski</t>
        </is>
      </c>
      <c r="C221" t="inlineStr">
        <is>
          <t>9/26/1967</t>
        </is>
      </c>
      <c r="D221" t="inlineStr">
        <is>
          <t>M</t>
        </is>
      </c>
      <c r="E221" t="inlineStr">
        <is>
          <t>555-510-0104</t>
        </is>
      </c>
      <c r="G221" t="inlineStr">
        <is>
          <t>Cedar Ridge, OH 45720</t>
        </is>
      </c>
      <c r="H221" t="inlineStr">
        <is>
          <t>Evergreen Mutual</t>
        </is>
      </c>
      <c r="I221" t="inlineStr">
        <is>
          <t>03353384</t>
        </is>
      </c>
      <c r="J221" t="inlineStr">
        <is>
          <t>2020-07-01 12:39:00</t>
        </is>
      </c>
    </row>
    <row r="222">
      <c r="A222" t="inlineStr">
        <is>
          <t>R1221</t>
        </is>
      </c>
      <c r="B222" t="inlineStr">
        <is>
          <t>TUCKER, SOPHIA</t>
        </is>
      </c>
      <c r="C222" t="inlineStr">
        <is>
          <t>09/08/1966</t>
        </is>
      </c>
      <c r="D222" t="inlineStr">
        <is>
          <t>F</t>
        </is>
      </c>
      <c r="E222" t="inlineStr">
        <is>
          <t>(555) 338-5503</t>
        </is>
      </c>
      <c r="G222" t="inlineStr">
        <is>
          <t>Bluestone, OH 45502</t>
        </is>
      </c>
      <c r="H222" t="inlineStr">
        <is>
          <t>State Medicaid</t>
        </is>
      </c>
      <c r="I222" t="inlineStr">
        <is>
          <t>1276260</t>
        </is>
      </c>
      <c r="J222" t="inlineStr">
        <is>
          <t>2019-12-21 08:22:00</t>
        </is>
      </c>
    </row>
    <row r="223">
      <c r="A223" t="inlineStr">
        <is>
          <t>R1222</t>
        </is>
      </c>
      <c r="B223" t="inlineStr">
        <is>
          <t>Kelly, Paul</t>
        </is>
      </c>
      <c r="C223" t="inlineStr">
        <is>
          <t>12/14/2007</t>
        </is>
      </c>
      <c r="D223" t="inlineStr">
        <is>
          <t>Male</t>
        </is>
      </c>
      <c r="E223" t="inlineStr">
        <is>
          <t>+1 555 353 5255</t>
        </is>
      </c>
      <c r="F223" t="inlineStr">
        <is>
          <t>N/A</t>
        </is>
      </c>
      <c r="G223" t="inlineStr">
        <is>
          <t>Pine Hollow, OH 45640</t>
        </is>
      </c>
      <c r="H223" t="inlineStr">
        <is>
          <t>EVERGREEN MUTUAL INS</t>
        </is>
      </c>
      <c r="I223" t="inlineStr">
        <is>
          <t>8602948</t>
        </is>
      </c>
      <c r="J223" t="inlineStr">
        <is>
          <t>03/08/2008 02:22 PM</t>
        </is>
      </c>
    </row>
    <row r="224">
      <c r="A224" t="inlineStr">
        <is>
          <t>R1223</t>
        </is>
      </c>
      <c r="B224" t="inlineStr">
        <is>
          <t>Soto, Diego</t>
        </is>
      </c>
      <c r="C224" t="inlineStr">
        <is>
          <t>12-May-1978</t>
        </is>
      </c>
      <c r="D224" t="inlineStr">
        <is>
          <t>MALE</t>
        </is>
      </c>
      <c r="E224" t="inlineStr">
        <is>
          <t>+1 555 864 5221</t>
        </is>
      </c>
      <c r="F224" t="inlineStr">
        <is>
          <t>diego.soto17@example.com</t>
        </is>
      </c>
      <c r="G224" t="inlineStr">
        <is>
          <t>Bluestone, OH 45501</t>
        </is>
      </c>
      <c r="H224" t="inlineStr">
        <is>
          <t>Keystone Health Partners</t>
        </is>
      </c>
      <c r="I224" t="inlineStr">
        <is>
          <t>05433632</t>
        </is>
      </c>
      <c r="J224" t="inlineStr">
        <is>
          <t>2017-06-11 08:41:00</t>
        </is>
      </c>
    </row>
    <row r="225">
      <c r="A225" t="inlineStr">
        <is>
          <t>R1224</t>
        </is>
      </c>
      <c r="B225" t="inlineStr">
        <is>
          <t>MENDOZA, BARBARA</t>
        </is>
      </c>
      <c r="C225" t="inlineStr">
        <is>
          <t>03/16/1991</t>
        </is>
      </c>
      <c r="D225" t="inlineStr">
        <is>
          <t>F</t>
        </is>
      </c>
      <c r="E225" t="inlineStr">
        <is>
          <t>555-781-8351</t>
        </is>
      </c>
      <c r="F225" t="inlineStr">
        <is>
          <t>barbara.mendoza22@example.com</t>
        </is>
      </c>
      <c r="G225" t="inlineStr">
        <is>
          <t>Pine Hollow OH 45640</t>
        </is>
      </c>
      <c r="H225" t="inlineStr">
        <is>
          <t>Keystone Health Ptnrs</t>
        </is>
      </c>
      <c r="I225" t="inlineStr">
        <is>
          <t>1006974</t>
        </is>
      </c>
      <c r="J225" t="inlineStr">
        <is>
          <t>2014-10-23 07:57:00</t>
        </is>
      </c>
    </row>
    <row r="226">
      <c r="A226" t="inlineStr">
        <is>
          <t>R1225</t>
        </is>
      </c>
      <c r="B226" t="inlineStr">
        <is>
          <t>Tran, Carl</t>
        </is>
      </c>
      <c r="C226" t="inlineStr">
        <is>
          <t>09/11/1977</t>
        </is>
      </c>
      <c r="D226" t="inlineStr">
        <is>
          <t>M</t>
        </is>
      </c>
      <c r="E226" t="inlineStr">
        <is>
          <t>555.918.5930</t>
        </is>
      </c>
      <c r="F226" t="inlineStr">
        <is>
          <t>carl.tran61@example.com</t>
        </is>
      </c>
      <c r="G226" t="inlineStr">
        <is>
          <t>Bluestone, OH 45502</t>
        </is>
      </c>
      <c r="H226" t="inlineStr">
        <is>
          <t>Keystone Health Partners</t>
        </is>
      </c>
      <c r="I226" t="inlineStr">
        <is>
          <t>8180386</t>
        </is>
      </c>
      <c r="J226" t="inlineStr">
        <is>
          <t>2015-06-24 09:17:00</t>
        </is>
      </c>
    </row>
    <row r="227">
      <c r="A227" t="inlineStr">
        <is>
          <t>R1226</t>
        </is>
      </c>
      <c r="B227" t="inlineStr">
        <is>
          <t>Daniels, Amanda</t>
        </is>
      </c>
      <c r="C227" t="inlineStr">
        <is>
          <t>06/16/1963</t>
        </is>
      </c>
      <c r="D227" t="inlineStr">
        <is>
          <t>f</t>
        </is>
      </c>
      <c r="E227" t="inlineStr">
        <is>
          <t>555-451-1976</t>
        </is>
      </c>
      <c r="F227" t="inlineStr">
        <is>
          <t xml:space="preserve"> amanda.daniels56@example.com </t>
        </is>
      </c>
      <c r="G227" t="inlineStr">
        <is>
          <t>Bluestone OH 45502</t>
        </is>
      </c>
      <c r="H227" t="inlineStr">
        <is>
          <t>Self Pay</t>
        </is>
      </c>
      <c r="I227" t="inlineStr">
        <is>
          <t>03557869</t>
        </is>
      </c>
      <c r="J227" t="inlineStr">
        <is>
          <t>10/10/2022 08:57 AM</t>
        </is>
      </c>
    </row>
    <row r="228">
      <c r="A228" t="inlineStr">
        <is>
          <t>R1227</t>
        </is>
      </c>
      <c r="B228" t="inlineStr">
        <is>
          <t>Brittany Stevens</t>
        </is>
      </c>
      <c r="C228" t="inlineStr">
        <is>
          <t>05/30/1979</t>
        </is>
      </c>
      <c r="D228" t="inlineStr">
        <is>
          <t>F</t>
        </is>
      </c>
      <c r="E228" t="inlineStr">
        <is>
          <t>555.453.9894</t>
        </is>
      </c>
      <c r="G228" t="inlineStr">
        <is>
          <t>Bluestone, OH 45502</t>
        </is>
      </c>
      <c r="H228" t="inlineStr">
        <is>
          <t>evergreen mutual insurance</t>
        </is>
      </c>
      <c r="I228" t="inlineStr">
        <is>
          <t>02728460</t>
        </is>
      </c>
      <c r="J228" t="inlineStr">
        <is>
          <t>2020-11-13 13:11:00</t>
        </is>
      </c>
    </row>
    <row r="229">
      <c r="A229" t="inlineStr">
        <is>
          <t>R1228</t>
        </is>
      </c>
      <c r="B229" t="inlineStr">
        <is>
          <t>Watson, Bryan</t>
        </is>
      </c>
      <c r="C229" t="inlineStr">
        <is>
          <t>11/29/2009</t>
        </is>
      </c>
      <c r="D229" t="inlineStr">
        <is>
          <t>M</t>
        </is>
      </c>
      <c r="G229" t="inlineStr">
        <is>
          <t>Ashby Falls OH 45610</t>
        </is>
      </c>
      <c r="H229" t="inlineStr">
        <is>
          <t>Keystone</t>
        </is>
      </c>
      <c r="I229" t="inlineStr">
        <is>
          <t>04480598</t>
        </is>
      </c>
      <c r="J229" t="inlineStr">
        <is>
          <t>2017-11-18 10:04:00</t>
        </is>
      </c>
    </row>
    <row r="230">
      <c r="A230" t="inlineStr">
        <is>
          <t>R1229</t>
        </is>
      </c>
      <c r="B230" t="inlineStr">
        <is>
          <t xml:space="preserve">  Owens ,  Mark </t>
        </is>
      </c>
      <c r="C230" t="inlineStr">
        <is>
          <t>1958-12-30</t>
        </is>
      </c>
      <c r="D230" t="inlineStr">
        <is>
          <t>MALE</t>
        </is>
      </c>
      <c r="E230" t="inlineStr">
        <is>
          <t>(555) 645-4551</t>
        </is>
      </c>
      <c r="F230" t="inlineStr">
        <is>
          <t>mark.owens17@example.com</t>
        </is>
      </c>
      <c r="G230" t="inlineStr">
        <is>
          <t>Lakeview Heights, OH 45510</t>
        </is>
      </c>
      <c r="H230" t="inlineStr">
        <is>
          <t>Silverline Medicare Advantage</t>
        </is>
      </c>
      <c r="I230" t="inlineStr">
        <is>
          <t>05792923</t>
        </is>
      </c>
      <c r="J230" t="inlineStr">
        <is>
          <t>2020-12-14 15:17:00</t>
        </is>
      </c>
    </row>
    <row r="231">
      <c r="A231" t="inlineStr">
        <is>
          <t>R1230</t>
        </is>
      </c>
      <c r="B231" t="inlineStr">
        <is>
          <t xml:space="preserve">  Stone ,  Amber </t>
        </is>
      </c>
      <c r="C231" t="inlineStr">
        <is>
          <t>09/07/1947</t>
        </is>
      </c>
      <c r="D231" t="inlineStr">
        <is>
          <t>F</t>
        </is>
      </c>
      <c r="E231" t="inlineStr">
        <is>
          <t>(555) 627-0353</t>
        </is>
      </c>
      <c r="F231" t="inlineStr">
        <is>
          <t>amber.stone77@example.com</t>
        </is>
      </c>
      <c r="G231" t="inlineStr">
        <is>
          <t>Bluestone, OH 45501</t>
        </is>
      </c>
      <c r="H231" t="inlineStr">
        <is>
          <t>Silverline Medicare Advantage</t>
        </is>
      </c>
      <c r="I231" t="inlineStr">
        <is>
          <t>MRN-01869762</t>
        </is>
      </c>
      <c r="J231" t="inlineStr">
        <is>
          <t>2021-05-16 16:41:00</t>
        </is>
      </c>
    </row>
    <row r="232">
      <c r="A232" t="inlineStr">
        <is>
          <t>R1231</t>
        </is>
      </c>
      <c r="B232" t="inlineStr">
        <is>
          <t xml:space="preserve">  Kennedy ,  Mateo </t>
        </is>
      </c>
      <c r="C232" t="inlineStr">
        <is>
          <t>12.23.1963</t>
        </is>
      </c>
      <c r="D232" t="inlineStr">
        <is>
          <t xml:space="preserve">M </t>
        </is>
      </c>
      <c r="E232" t="inlineStr">
        <is>
          <t>555-401-6618</t>
        </is>
      </c>
      <c r="F232" t="inlineStr">
        <is>
          <t xml:space="preserve"> mateo.kennedy63@example.com </t>
        </is>
      </c>
      <c r="G232" t="inlineStr">
        <is>
          <t>Bluestone, OH 45502</t>
        </is>
      </c>
      <c r="H232" t="inlineStr">
        <is>
          <t>Summit Choice</t>
        </is>
      </c>
      <c r="I232" t="inlineStr">
        <is>
          <t>09554295</t>
        </is>
      </c>
      <c r="J232" t="inlineStr">
        <is>
          <t>2019-11-07 16:38:00</t>
        </is>
      </c>
    </row>
    <row r="233">
      <c r="A233" t="inlineStr">
        <is>
          <t>R1232</t>
        </is>
      </c>
      <c r="B233" t="inlineStr">
        <is>
          <t>RAMOS, BILLY</t>
        </is>
      </c>
      <c r="C233" t="inlineStr">
        <is>
          <t>1976-09-13</t>
        </is>
      </c>
      <c r="D233" t="inlineStr">
        <is>
          <t>M</t>
        </is>
      </c>
      <c r="E233" t="inlineStr">
        <is>
          <t>555.463.0932</t>
        </is>
      </c>
      <c r="F233" t="inlineStr">
        <is>
          <t>none</t>
        </is>
      </c>
      <c r="G233" t="inlineStr">
        <is>
          <t>Bluestone, OH 45502</t>
        </is>
      </c>
      <c r="H233" t="inlineStr">
        <is>
          <t>evergreen mutual insurance</t>
        </is>
      </c>
      <c r="I233" t="inlineStr">
        <is>
          <t>2142827</t>
        </is>
      </c>
      <c r="J233" t="inlineStr">
        <is>
          <t>2019-12-30 13:35:00</t>
        </is>
      </c>
    </row>
    <row r="234">
      <c r="A234" t="inlineStr">
        <is>
          <t>R1233</t>
        </is>
      </c>
      <c r="B234" t="inlineStr">
        <is>
          <t>rice, jennifer</t>
        </is>
      </c>
      <c r="C234" t="inlineStr">
        <is>
          <t>21-Nov-1952</t>
        </is>
      </c>
      <c r="D234" t="inlineStr">
        <is>
          <t xml:space="preserve"> F</t>
        </is>
      </c>
      <c r="E234" t="inlineStr">
        <is>
          <t>(555) 885-0695</t>
        </is>
      </c>
      <c r="F234" t="inlineStr">
        <is>
          <t>none</t>
        </is>
      </c>
      <c r="G234" t="inlineStr">
        <is>
          <t>Lakeview Heights, OH 45510</t>
        </is>
      </c>
      <c r="H234" t="inlineStr">
        <is>
          <t>SILVERLINE MEDICARE ADV.</t>
        </is>
      </c>
      <c r="I234" t="inlineStr">
        <is>
          <t>5525049</t>
        </is>
      </c>
      <c r="J234" t="inlineStr">
        <is>
          <t>2022-03-28 16:44:00</t>
        </is>
      </c>
    </row>
    <row r="235">
      <c r="A235" t="inlineStr">
        <is>
          <t>R1234</t>
        </is>
      </c>
      <c r="B235" t="inlineStr">
        <is>
          <t xml:space="preserve">  Torres ,  Dorothy </t>
        </is>
      </c>
      <c r="C235" t="inlineStr">
        <is>
          <t>08/31/1960</t>
        </is>
      </c>
      <c r="D235" t="inlineStr">
        <is>
          <t>FEMALE</t>
        </is>
      </c>
      <c r="E235" t="inlineStr">
        <is>
          <t>5552400753</t>
        </is>
      </c>
      <c r="F235" t="inlineStr">
        <is>
          <t>dorothy.torres41@example.com</t>
        </is>
      </c>
      <c r="G235" t="inlineStr">
        <is>
          <t>Bluestone, OH 45503</t>
        </is>
      </c>
      <c r="H235" t="inlineStr">
        <is>
          <t>Medicare Part A</t>
        </is>
      </c>
      <c r="I235" t="inlineStr">
        <is>
          <t>02589128</t>
        </is>
      </c>
      <c r="J235" t="inlineStr">
        <is>
          <t>2020-05-14 16:34:00</t>
        </is>
      </c>
    </row>
    <row r="236">
      <c r="A236" t="inlineStr">
        <is>
          <t>R1235</t>
        </is>
      </c>
      <c r="B236" t="inlineStr">
        <is>
          <t>Bell, Amina</t>
        </is>
      </c>
      <c r="C236" t="inlineStr">
        <is>
          <t>09/21/1941</t>
        </is>
      </c>
      <c r="D236" t="inlineStr">
        <is>
          <t>Female</t>
        </is>
      </c>
      <c r="E236" t="inlineStr">
        <is>
          <t>5553953278</t>
        </is>
      </c>
      <c r="G236" t="inlineStr">
        <is>
          <t>Bluestone, OH 45503-6022</t>
        </is>
      </c>
      <c r="H236" t="inlineStr">
        <is>
          <t>medicare</t>
        </is>
      </c>
      <c r="I236" t="inlineStr">
        <is>
          <t>06955109</t>
        </is>
      </c>
      <c r="J236" t="inlineStr">
        <is>
          <t>2024-04-08 12:39:00</t>
        </is>
      </c>
    </row>
    <row r="237">
      <c r="A237" t="inlineStr">
        <is>
          <t>R1236</t>
        </is>
      </c>
      <c r="B237" t="inlineStr">
        <is>
          <t>PATTERSON, SHIRLEY</t>
        </is>
      </c>
      <c r="C237" t="inlineStr">
        <is>
          <t>2014-07-08</t>
        </is>
      </c>
      <c r="D237" t="inlineStr">
        <is>
          <t>Female</t>
        </is>
      </c>
      <c r="E237" t="inlineStr">
        <is>
          <t>(555) 823-3256</t>
        </is>
      </c>
      <c r="F237" t="inlineStr">
        <is>
          <t>none</t>
        </is>
      </c>
      <c r="G237" t="inlineStr">
        <is>
          <t>Fairhaven, OH 45620</t>
        </is>
      </c>
      <c r="H237" t="inlineStr">
        <is>
          <t>medicaid</t>
        </is>
      </c>
      <c r="I237" t="inlineStr">
        <is>
          <t>07843022</t>
        </is>
      </c>
      <c r="J237" t="inlineStr">
        <is>
          <t>2015-02-28 16:49:00</t>
        </is>
      </c>
    </row>
    <row r="238">
      <c r="A238" t="inlineStr">
        <is>
          <t>R1237</t>
        </is>
      </c>
      <c r="B238" t="inlineStr">
        <is>
          <t xml:space="preserve">  Bailey ,  Ethan </t>
        </is>
      </c>
      <c r="C238" t="inlineStr">
        <is>
          <t>12.15.1965</t>
        </is>
      </c>
      <c r="D238" t="inlineStr">
        <is>
          <t>Male</t>
        </is>
      </c>
      <c r="E238" t="inlineStr">
        <is>
          <t>555.859.0939</t>
        </is>
      </c>
      <c r="F238" t="inlineStr">
        <is>
          <t>ethan.bailey7@example.com</t>
        </is>
      </c>
      <c r="G238" t="inlineStr">
        <is>
          <t>LAKEVIEW HEIGHTS, OH 45510</t>
        </is>
      </c>
      <c r="H238" t="inlineStr">
        <is>
          <t>evergreen mutual insurance</t>
        </is>
      </c>
      <c r="I238" t="inlineStr">
        <is>
          <t>04938178</t>
        </is>
      </c>
      <c r="J238" t="inlineStr">
        <is>
          <t>2024-07-12 07:55:00</t>
        </is>
      </c>
    </row>
    <row r="239">
      <c r="A239" t="inlineStr">
        <is>
          <t>R1238</t>
        </is>
      </c>
      <c r="B239" t="inlineStr">
        <is>
          <t>Hill, Debra</t>
        </is>
      </c>
      <c r="C239" t="inlineStr">
        <is>
          <t>2006-11-22</t>
        </is>
      </c>
      <c r="D239" t="inlineStr">
        <is>
          <t>F</t>
        </is>
      </c>
      <c r="E239" t="inlineStr">
        <is>
          <t>555-452-3580</t>
        </is>
      </c>
      <c r="G239" t="inlineStr">
        <is>
          <t>Bluestone, OH 45502</t>
        </is>
      </c>
      <c r="H239" t="inlineStr">
        <is>
          <t>Summit PPO</t>
        </is>
      </c>
      <c r="I239" t="inlineStr">
        <is>
          <t>7676806</t>
        </is>
      </c>
      <c r="J239" t="inlineStr">
        <is>
          <t>2020-01-06 18:42:00</t>
        </is>
      </c>
    </row>
    <row r="240">
      <c r="A240" t="inlineStr">
        <is>
          <t>R1239</t>
        </is>
      </c>
      <c r="B240" t="inlineStr">
        <is>
          <t>Gregory Washington</t>
        </is>
      </c>
      <c r="C240" t="inlineStr">
        <is>
          <t>1951-10-02</t>
        </is>
      </c>
      <c r="D240" t="inlineStr">
        <is>
          <t>MALE</t>
        </is>
      </c>
      <c r="E240" t="inlineStr">
        <is>
          <t>5555009635</t>
        </is>
      </c>
      <c r="F240" t="inlineStr">
        <is>
          <t>GREGORY.WASHINGTON24@EXAMPLE.COM</t>
        </is>
      </c>
      <c r="G240" t="inlineStr">
        <is>
          <t>Bluestone OH 45501</t>
        </is>
      </c>
      <c r="H240" t="inlineStr">
        <is>
          <t>Medicare Part A</t>
        </is>
      </c>
      <c r="I240" t="inlineStr">
        <is>
          <t>02284522</t>
        </is>
      </c>
      <c r="J240" t="inlineStr">
        <is>
          <t>2023-06-13 15:20:00</t>
        </is>
      </c>
    </row>
    <row r="241">
      <c r="A241" t="inlineStr">
        <is>
          <t>R1240</t>
        </is>
      </c>
      <c r="B241" t="inlineStr">
        <is>
          <t>Alvarez, Andrew</t>
        </is>
      </c>
      <c r="C241" t="inlineStr">
        <is>
          <t>10/03/1982</t>
        </is>
      </c>
      <c r="D241" t="inlineStr">
        <is>
          <t>m</t>
        </is>
      </c>
      <c r="E241" t="inlineStr">
        <is>
          <t>(555) 632-1857</t>
        </is>
      </c>
      <c r="F241" t="inlineStr">
        <is>
          <t>andrew.alvarez51@example.com</t>
        </is>
      </c>
      <c r="G241" t="inlineStr">
        <is>
          <t>Millbrook, OH 45530</t>
        </is>
      </c>
      <c r="H241" t="inlineStr">
        <is>
          <t>Keystone</t>
        </is>
      </c>
      <c r="I241" t="inlineStr">
        <is>
          <t>00277257</t>
        </is>
      </c>
      <c r="J241" t="inlineStr">
        <is>
          <t>2023-03-30 12:28:00</t>
        </is>
      </c>
    </row>
    <row r="242">
      <c r="A242" t="inlineStr">
        <is>
          <t>R1241</t>
        </is>
      </c>
      <c r="B242" t="inlineStr">
        <is>
          <t>BERRY, MARIE</t>
        </is>
      </c>
      <c r="C242" t="inlineStr">
        <is>
          <t>01-Apr-1981</t>
        </is>
      </c>
      <c r="D242" t="inlineStr">
        <is>
          <t>F</t>
        </is>
      </c>
      <c r="E242" t="inlineStr">
        <is>
          <t>(555) 910-4513</t>
        </is>
      </c>
      <c r="F242" t="inlineStr">
        <is>
          <t>marie.berry71@example.com</t>
        </is>
      </c>
      <c r="G242" t="inlineStr">
        <is>
          <t>BLUESTONE, OH 45501</t>
        </is>
      </c>
      <c r="H242" t="inlineStr">
        <is>
          <t>Summit Choice</t>
        </is>
      </c>
      <c r="I242" t="inlineStr">
        <is>
          <t>01387085</t>
        </is>
      </c>
      <c r="J242" t="inlineStr">
        <is>
          <t>2019-10-13 14:00:00</t>
        </is>
      </c>
    </row>
    <row r="243">
      <c r="A243" t="inlineStr">
        <is>
          <t>R1242</t>
        </is>
      </c>
      <c r="B243" t="inlineStr">
        <is>
          <t>DELGADO, KIMBERLY</t>
        </is>
      </c>
      <c r="C243" t="inlineStr">
        <is>
          <t>12/12/1981</t>
        </is>
      </c>
      <c r="D243" t="inlineStr">
        <is>
          <t>f</t>
        </is>
      </c>
      <c r="E243" t="inlineStr">
        <is>
          <t>5555359714</t>
        </is>
      </c>
      <c r="F243" t="inlineStr">
        <is>
          <t>N/A</t>
        </is>
      </c>
      <c r="G243" t="inlineStr">
        <is>
          <t>BLUESTONE, OH 45501</t>
        </is>
      </c>
      <c r="H243" t="inlineStr">
        <is>
          <t>evergreen mutual insurance</t>
        </is>
      </c>
      <c r="I243" t="inlineStr">
        <is>
          <t>00102284</t>
        </is>
      </c>
      <c r="J243" t="inlineStr">
        <is>
          <t>06/21/2023 03:19 PM</t>
        </is>
      </c>
    </row>
    <row r="244">
      <c r="A244" t="inlineStr">
        <is>
          <t>R1243</t>
        </is>
      </c>
      <c r="B244" t="inlineStr">
        <is>
          <t>Tran, Carl</t>
        </is>
      </c>
      <c r="C244" t="inlineStr">
        <is>
          <t>1977-09-11</t>
        </is>
      </c>
      <c r="D244" t="inlineStr">
        <is>
          <t>M</t>
        </is>
      </c>
      <c r="E244" t="inlineStr">
        <is>
          <t>(555) 918-5930</t>
        </is>
      </c>
      <c r="F244" t="inlineStr">
        <is>
          <t>carl.tran61@example.com</t>
        </is>
      </c>
      <c r="G244" t="inlineStr">
        <is>
          <t>Bluestone, OH 45502</t>
        </is>
      </c>
      <c r="H244" t="inlineStr">
        <is>
          <t>Keystone Health Partners</t>
        </is>
      </c>
      <c r="I244" t="inlineStr">
        <is>
          <t>08180386</t>
        </is>
      </c>
      <c r="J244" t="inlineStr">
        <is>
          <t>06/24/2015 01:31 PM</t>
        </is>
      </c>
    </row>
    <row r="245">
      <c r="A245" t="inlineStr">
        <is>
          <t>R1244</t>
        </is>
      </c>
      <c r="B245" t="inlineStr">
        <is>
          <t>cruz, paul</t>
        </is>
      </c>
      <c r="C245" t="inlineStr">
        <is>
          <t>11-Apr-1958</t>
        </is>
      </c>
      <c r="D245" t="inlineStr">
        <is>
          <t>m</t>
        </is>
      </c>
      <c r="E245" t="inlineStr">
        <is>
          <t>555-987-8128</t>
        </is>
      </c>
      <c r="G245" t="inlineStr">
        <is>
          <t>Riverbend, OH 45545</t>
        </is>
      </c>
      <c r="H245" t="inlineStr">
        <is>
          <t>medicare</t>
        </is>
      </c>
      <c r="I245" t="inlineStr">
        <is>
          <t>08247600</t>
        </is>
      </c>
      <c r="J245" t="inlineStr">
        <is>
          <t>2023-09-08 11:02:00</t>
        </is>
      </c>
    </row>
    <row r="246">
      <c r="A246" t="inlineStr">
        <is>
          <t>R1245</t>
        </is>
      </c>
      <c r="B246" t="inlineStr">
        <is>
          <t>Martin, Katherine</t>
        </is>
      </c>
      <c r="C246" t="inlineStr">
        <is>
          <t>08/13/1944</t>
        </is>
      </c>
      <c r="D246" t="inlineStr">
        <is>
          <t>F</t>
        </is>
      </c>
      <c r="E246" t="inlineStr">
        <is>
          <t>5554141440</t>
        </is>
      </c>
      <c r="F246" t="inlineStr">
        <is>
          <t xml:space="preserve"> katherine.martin54@example.com </t>
        </is>
      </c>
      <c r="G246" t="inlineStr">
        <is>
          <t>BLUESTONE, OH 45502</t>
        </is>
      </c>
      <c r="H246" t="inlineStr">
        <is>
          <t>SILVERLINE MEDICARE ADV.</t>
        </is>
      </c>
      <c r="I246" t="inlineStr">
        <is>
          <t>06128568</t>
        </is>
      </c>
      <c r="J246" t="inlineStr">
        <is>
          <t>2014-05-30 13:39:00</t>
        </is>
      </c>
    </row>
    <row r="247">
      <c r="A247" t="inlineStr">
        <is>
          <t>R1246</t>
        </is>
      </c>
      <c r="B247" t="inlineStr">
        <is>
          <t>cox, stephen</t>
        </is>
      </c>
      <c r="C247" t="inlineStr">
        <is>
          <t>06/13/1954</t>
        </is>
      </c>
      <c r="D247" t="inlineStr">
        <is>
          <t>M</t>
        </is>
      </c>
      <c r="E247" t="inlineStr">
        <is>
          <t>(555) 366-5844</t>
        </is>
      </c>
      <c r="F247" t="inlineStr">
        <is>
          <t>STEPHEN.COX43@EXAMPLE.COM</t>
        </is>
      </c>
      <c r="G247" t="inlineStr">
        <is>
          <t>Millbrook, OH 45530</t>
        </is>
      </c>
      <c r="H247" t="inlineStr">
        <is>
          <t>SILVERLINE MEDICARE ADV.</t>
        </is>
      </c>
      <c r="I247" t="inlineStr">
        <is>
          <t>06998349</t>
        </is>
      </c>
      <c r="J247" t="inlineStr">
        <is>
          <t>09/05/2021 12:21 PM</t>
        </is>
      </c>
    </row>
    <row r="248">
      <c r="A248" t="inlineStr">
        <is>
          <t>R1247</t>
        </is>
      </c>
      <c r="B248" t="inlineStr">
        <is>
          <t>Meyer, Scott</t>
        </is>
      </c>
      <c r="C248" t="inlineStr">
        <is>
          <t>03/05/1939</t>
        </is>
      </c>
      <c r="D248" t="inlineStr">
        <is>
          <t>Male</t>
        </is>
      </c>
      <c r="E248" t="inlineStr">
        <is>
          <t>+1 555 966 8645</t>
        </is>
      </c>
      <c r="F248" t="inlineStr">
        <is>
          <t>scott.meyer12@example.com</t>
        </is>
      </c>
      <c r="G248" t="inlineStr">
        <is>
          <t>Lakeview Heights, OH 45510</t>
        </is>
      </c>
      <c r="H248" t="inlineStr">
        <is>
          <t>medicare</t>
        </is>
      </c>
      <c r="I248" t="inlineStr">
        <is>
          <t>02744266</t>
        </is>
      </c>
      <c r="J248" t="inlineStr">
        <is>
          <t>2010-01-21 15:29:00</t>
        </is>
      </c>
    </row>
    <row r="249">
      <c r="A249" t="inlineStr">
        <is>
          <t>R1248</t>
        </is>
      </c>
      <c r="B249" t="inlineStr">
        <is>
          <t>Baker, Gerald</t>
        </is>
      </c>
      <c r="C249" t="inlineStr">
        <is>
          <t>1953-09-02</t>
        </is>
      </c>
      <c r="D249" t="inlineStr">
        <is>
          <t>MALE</t>
        </is>
      </c>
      <c r="E249" t="inlineStr">
        <is>
          <t>555.666.1362</t>
        </is>
      </c>
      <c r="F249" t="inlineStr">
        <is>
          <t>gerald.baker27@example.com</t>
        </is>
      </c>
      <c r="G249" t="inlineStr">
        <is>
          <t>Bluestone OH 45501</t>
        </is>
      </c>
      <c r="H249" t="inlineStr">
        <is>
          <t xml:space="preserve">Medicare </t>
        </is>
      </c>
      <c r="I249" t="inlineStr">
        <is>
          <t>6464821</t>
        </is>
      </c>
      <c r="J249" t="inlineStr">
        <is>
          <t>08/19/2012 04:44 PM</t>
        </is>
      </c>
    </row>
    <row r="250">
      <c r="A250" t="inlineStr">
        <is>
          <t>R1249</t>
        </is>
      </c>
      <c r="B250" t="inlineStr">
        <is>
          <t>Williams, Adam</t>
        </is>
      </c>
      <c r="C250" t="inlineStr">
        <is>
          <t>05.11.1967</t>
        </is>
      </c>
      <c r="D250" t="inlineStr">
        <is>
          <t>M</t>
        </is>
      </c>
      <c r="E250" t="inlineStr">
        <is>
          <t>555-794-3609</t>
        </is>
      </c>
      <c r="F250" t="inlineStr">
        <is>
          <t>ADAM.WILLIAMS55@EXAMPLE.COM</t>
        </is>
      </c>
      <c r="G250" t="inlineStr">
        <is>
          <t>Bluestone, OH 45503</t>
        </is>
      </c>
      <c r="H250" t="inlineStr">
        <is>
          <t>Evergreen Mutual Insurance</t>
        </is>
      </c>
      <c r="I250" t="inlineStr">
        <is>
          <t>MRN-06854891</t>
        </is>
      </c>
      <c r="J250" t="inlineStr">
        <is>
          <t>01/05/2008 12:09 PM</t>
        </is>
      </c>
    </row>
    <row r="251">
      <c r="A251" t="inlineStr">
        <is>
          <t>R1250</t>
        </is>
      </c>
      <c r="B251" t="inlineStr">
        <is>
          <t>guzman, scott</t>
        </is>
      </c>
      <c r="C251" t="inlineStr">
        <is>
          <t>6/26/1952</t>
        </is>
      </c>
      <c r="D251" t="inlineStr">
        <is>
          <t>MALE</t>
        </is>
      </c>
      <c r="E251" t="inlineStr">
        <is>
          <t>+1 555 390 7920</t>
        </is>
      </c>
      <c r="F251" t="inlineStr">
        <is>
          <t>none</t>
        </is>
      </c>
      <c r="G251" t="inlineStr">
        <is>
          <t>Bluestone, OH 45503</t>
        </is>
      </c>
      <c r="H251" t="inlineStr">
        <is>
          <t>Medicaid</t>
        </is>
      </c>
      <c r="I251" t="inlineStr">
        <is>
          <t>09325124</t>
        </is>
      </c>
      <c r="J251" t="inlineStr">
        <is>
          <t>2010-01-26 17:45:00</t>
        </is>
      </c>
    </row>
    <row r="252">
      <c r="A252" t="inlineStr">
        <is>
          <t>R1251</t>
        </is>
      </c>
      <c r="B252" t="inlineStr">
        <is>
          <t>Douglas Santos</t>
        </is>
      </c>
      <c r="C252" t="inlineStr">
        <is>
          <t>01/17/1977</t>
        </is>
      </c>
      <c r="D252" t="inlineStr">
        <is>
          <t>Male</t>
        </is>
      </c>
      <c r="E252" t="inlineStr">
        <is>
          <t>(555) 760-1226</t>
        </is>
      </c>
      <c r="F252" t="inlineStr">
        <is>
          <t>douglas.santos1@example.com</t>
        </is>
      </c>
      <c r="G252" t="inlineStr">
        <is>
          <t>Bluestone, OH 45502-3490</t>
        </is>
      </c>
      <c r="H252" t="inlineStr">
        <is>
          <t>Evergreen Mutual</t>
        </is>
      </c>
      <c r="I252" t="inlineStr">
        <is>
          <t>00417955</t>
        </is>
      </c>
      <c r="J252" t="inlineStr">
        <is>
          <t>2017-12-04 10:54:00</t>
        </is>
      </c>
    </row>
    <row r="253">
      <c r="A253" t="inlineStr">
        <is>
          <t>R1252</t>
        </is>
      </c>
      <c r="B253" t="inlineStr">
        <is>
          <t>lindqvist, stephen</t>
        </is>
      </c>
      <c r="C253" t="inlineStr">
        <is>
          <t>10/26/2019</t>
        </is>
      </c>
      <c r="D253" t="inlineStr">
        <is>
          <t>Male</t>
        </is>
      </c>
      <c r="E253" t="inlineStr">
        <is>
          <t>(555) 794-1060</t>
        </is>
      </c>
      <c r="F253" t="inlineStr">
        <is>
          <t>none</t>
        </is>
      </c>
      <c r="G253" t="inlineStr">
        <is>
          <t>Bluestone, OH 45502</t>
        </is>
      </c>
      <c r="H253" t="inlineStr">
        <is>
          <t>STATE MEDICAID</t>
        </is>
      </c>
      <c r="I253" t="inlineStr">
        <is>
          <t>07627760</t>
        </is>
      </c>
      <c r="J253" t="inlineStr">
        <is>
          <t>2020-01-25 10:56:00</t>
        </is>
      </c>
    </row>
    <row r="254">
      <c r="A254" t="inlineStr">
        <is>
          <t>R1253</t>
        </is>
      </c>
      <c r="B254" t="inlineStr">
        <is>
          <t>Ray, Diego</t>
        </is>
      </c>
      <c r="C254" t="inlineStr">
        <is>
          <t>1967-03-13</t>
        </is>
      </c>
      <c r="D254" t="inlineStr">
        <is>
          <t>M</t>
        </is>
      </c>
      <c r="E254" t="inlineStr">
        <is>
          <t>555-314-6808</t>
        </is>
      </c>
      <c r="F254" t="inlineStr">
        <is>
          <t>diego.ray86@example.com</t>
        </is>
      </c>
      <c r="G254" t="inlineStr">
        <is>
          <t>Oak Glen OH 45730</t>
        </is>
      </c>
      <c r="H254" t="inlineStr">
        <is>
          <t>EVERGREEN MUTUAL INS</t>
        </is>
      </c>
      <c r="I254" t="inlineStr">
        <is>
          <t>191674</t>
        </is>
      </c>
      <c r="J254" t="inlineStr">
        <is>
          <t>06/11/2016 04:13 PM</t>
        </is>
      </c>
    </row>
    <row r="255">
      <c r="A255" t="inlineStr">
        <is>
          <t>R1254</t>
        </is>
      </c>
      <c r="B255" t="inlineStr">
        <is>
          <t>Woods, Rebecca</t>
        </is>
      </c>
      <c r="C255" t="inlineStr">
        <is>
          <t>02/16/2013</t>
        </is>
      </c>
      <c r="D255" t="inlineStr">
        <is>
          <t xml:space="preserve"> F</t>
        </is>
      </c>
      <c r="E255" t="inlineStr">
        <is>
          <t>555-237-5511</t>
        </is>
      </c>
      <c r="F255" t="inlineStr">
        <is>
          <t>N/A</t>
        </is>
      </c>
      <c r="G255" t="inlineStr">
        <is>
          <t>Fairhaven OH 45620</t>
        </is>
      </c>
      <c r="H255" t="inlineStr">
        <is>
          <t>SUMMIT CHOICE PPO</t>
        </is>
      </c>
      <c r="I255" t="inlineStr">
        <is>
          <t>3823788</t>
        </is>
      </c>
      <c r="J255" t="inlineStr">
        <is>
          <t>04/12/2022 08:21 AM</t>
        </is>
      </c>
    </row>
    <row r="256">
      <c r="A256" t="inlineStr">
        <is>
          <t>R1255</t>
        </is>
      </c>
      <c r="B256" t="inlineStr">
        <is>
          <t xml:space="preserve">  Fisher ,  Elijah </t>
        </is>
      </c>
      <c r="C256" t="inlineStr">
        <is>
          <t>1/6/1942</t>
        </is>
      </c>
      <c r="D256" t="inlineStr">
        <is>
          <t>MALE</t>
        </is>
      </c>
      <c r="E256" t="inlineStr">
        <is>
          <t>(555) 828-3122</t>
        </is>
      </c>
      <c r="F256" t="inlineStr">
        <is>
          <t>ELIJAH.FISHER88@EXAMPLE.COM</t>
        </is>
      </c>
      <c r="G256" t="inlineStr">
        <is>
          <t>Bluestone, OH 45503</t>
        </is>
      </c>
      <c r="H256" t="inlineStr">
        <is>
          <t>Medicare Part A</t>
        </is>
      </c>
      <c r="I256" t="inlineStr">
        <is>
          <t>MRN-07818829</t>
        </is>
      </c>
      <c r="J256" t="inlineStr">
        <is>
          <t>2024-01-26 13:57:00</t>
        </is>
      </c>
    </row>
    <row r="257">
      <c r="A257" t="inlineStr">
        <is>
          <t>R1256</t>
        </is>
      </c>
      <c r="B257" t="inlineStr">
        <is>
          <t xml:space="preserve">  Ramos ,  Mark </t>
        </is>
      </c>
      <c r="C257" t="inlineStr">
        <is>
          <t>08/06/1963</t>
        </is>
      </c>
      <c r="D257" t="inlineStr">
        <is>
          <t>Male</t>
        </is>
      </c>
      <c r="E257" t="inlineStr">
        <is>
          <t>(555) 480-8570</t>
        </is>
      </c>
      <c r="G257" t="inlineStr">
        <is>
          <t>Bluestone, OH 45501</t>
        </is>
      </c>
      <c r="H257" t="inlineStr">
        <is>
          <t>medicaid</t>
        </is>
      </c>
      <c r="I257" t="inlineStr">
        <is>
          <t>05206313</t>
        </is>
      </c>
      <c r="J257" t="inlineStr">
        <is>
          <t>2017-09-02 07:21:00</t>
        </is>
      </c>
    </row>
    <row r="258">
      <c r="A258" t="inlineStr">
        <is>
          <t>R1257</t>
        </is>
      </c>
      <c r="B258" t="inlineStr">
        <is>
          <t xml:space="preserve">  Allen ,  Lucia </t>
        </is>
      </c>
      <c r="C258" t="inlineStr">
        <is>
          <t>7/12/1962</t>
        </is>
      </c>
      <c r="D258" t="inlineStr">
        <is>
          <t>F</t>
        </is>
      </c>
      <c r="E258" t="inlineStr">
        <is>
          <t>+1 555 302 5026</t>
        </is>
      </c>
      <c r="F258" t="inlineStr">
        <is>
          <t xml:space="preserve"> lucia.allen29@example.com </t>
        </is>
      </c>
      <c r="G258" t="inlineStr">
        <is>
          <t>Bluestone OH 45501</t>
        </is>
      </c>
      <c r="H258" t="inlineStr">
        <is>
          <t>Evergreen Mutual</t>
        </is>
      </c>
      <c r="I258" t="inlineStr">
        <is>
          <t>03884891</t>
        </is>
      </c>
      <c r="J258" t="inlineStr">
        <is>
          <t>2023-11-18 12:42:00</t>
        </is>
      </c>
    </row>
    <row r="259">
      <c r="A259" t="inlineStr">
        <is>
          <t>R1258</t>
        </is>
      </c>
      <c r="B259" t="inlineStr">
        <is>
          <t>MATTHEWS, JEREMY</t>
        </is>
      </c>
      <c r="C259" t="inlineStr">
        <is>
          <t>1969-12-12</t>
        </is>
      </c>
      <c r="D259" t="inlineStr">
        <is>
          <t xml:space="preserve">M </t>
        </is>
      </c>
      <c r="E259" t="inlineStr">
        <is>
          <t>555.529.9630</t>
        </is>
      </c>
      <c r="F259" t="inlineStr">
        <is>
          <t>jeremy.matthews63@example.com</t>
        </is>
      </c>
      <c r="G259" t="inlineStr">
        <is>
          <t>BLUESTONE, OH 45501</t>
        </is>
      </c>
      <c r="H259" t="inlineStr">
        <is>
          <t>State Medicaid</t>
        </is>
      </c>
      <c r="I259" t="inlineStr">
        <is>
          <t>2066863</t>
        </is>
      </c>
      <c r="J259" t="inlineStr">
        <is>
          <t>11/22/2020 07:21 AM</t>
        </is>
      </c>
    </row>
    <row r="260">
      <c r="A260" t="inlineStr">
        <is>
          <t>R1259</t>
        </is>
      </c>
      <c r="B260" t="inlineStr">
        <is>
          <t>Clark, Lori</t>
        </is>
      </c>
      <c r="C260" t="inlineStr">
        <is>
          <t>1995-05-04</t>
        </is>
      </c>
      <c r="D260" t="inlineStr">
        <is>
          <t>F</t>
        </is>
      </c>
      <c r="E260" t="inlineStr">
        <is>
          <t>555.308.1506</t>
        </is>
      </c>
      <c r="F260" t="inlineStr">
        <is>
          <t>N/A</t>
        </is>
      </c>
      <c r="G260" t="inlineStr">
        <is>
          <t>Riverbend, OH 45545</t>
        </is>
      </c>
      <c r="H260" t="inlineStr">
        <is>
          <t>STATE MEDICAID</t>
        </is>
      </c>
      <c r="I260" t="inlineStr">
        <is>
          <t>03026415</t>
        </is>
      </c>
      <c r="J260" t="inlineStr">
        <is>
          <t>04/10/2024 06:49 PM</t>
        </is>
      </c>
    </row>
    <row r="261">
      <c r="A261" t="inlineStr">
        <is>
          <t>R1260</t>
        </is>
      </c>
      <c r="B261" t="inlineStr">
        <is>
          <t>Christine Tucker</t>
        </is>
      </c>
      <c r="C261" t="inlineStr">
        <is>
          <t>06/09/2013</t>
        </is>
      </c>
      <c r="D261" t="inlineStr">
        <is>
          <t>FEMALE</t>
        </is>
      </c>
      <c r="E261" t="inlineStr">
        <is>
          <t>(555) 506-5756</t>
        </is>
      </c>
      <c r="F261" t="inlineStr">
        <is>
          <t>none</t>
        </is>
      </c>
      <c r="G261" t="inlineStr">
        <is>
          <t>Ashby Falls, OH 45610-7516</t>
        </is>
      </c>
      <c r="H261" t="inlineStr">
        <is>
          <t>EVERGREEN MUTUAL INS</t>
        </is>
      </c>
      <c r="I261" t="inlineStr">
        <is>
          <t>04048547</t>
        </is>
      </c>
      <c r="J261" t="inlineStr">
        <is>
          <t>2015-08-09 10:38:00</t>
        </is>
      </c>
    </row>
    <row r="262">
      <c r="A262" t="inlineStr">
        <is>
          <t>R1261</t>
        </is>
      </c>
      <c r="B262" t="inlineStr">
        <is>
          <t>Wallace, Lori</t>
        </is>
      </c>
      <c r="C262" t="inlineStr">
        <is>
          <t>12/03/1956</t>
        </is>
      </c>
      <c r="D262" t="inlineStr">
        <is>
          <t>f</t>
        </is>
      </c>
      <c r="E262" t="inlineStr">
        <is>
          <t>(555) 572-1650</t>
        </is>
      </c>
      <c r="F262" t="inlineStr">
        <is>
          <t>lori.wallace54@example.com</t>
        </is>
      </c>
      <c r="G262" t="inlineStr">
        <is>
          <t>Bluestone, OH 45501</t>
        </is>
      </c>
      <c r="H262" t="inlineStr">
        <is>
          <t>medicare</t>
        </is>
      </c>
      <c r="I262" t="inlineStr">
        <is>
          <t>7122577</t>
        </is>
      </c>
      <c r="J262" t="inlineStr">
        <is>
          <t>01/18/2018 05:22 PM</t>
        </is>
      </c>
    </row>
    <row r="263">
      <c r="A263" t="inlineStr">
        <is>
          <t>R1262</t>
        </is>
      </c>
      <c r="B263" t="inlineStr">
        <is>
          <t>Robinson, Gary</t>
        </is>
      </c>
      <c r="C263" t="inlineStr">
        <is>
          <t>01.22.1974</t>
        </is>
      </c>
      <c r="D263" t="inlineStr">
        <is>
          <t>M</t>
        </is>
      </c>
      <c r="E263" t="inlineStr">
        <is>
          <t>555-912-9672</t>
        </is>
      </c>
      <c r="F263" t="inlineStr">
        <is>
          <t>GARY.ROBINSON18@EXAMPLE.COM</t>
        </is>
      </c>
      <c r="G263" t="inlineStr">
        <is>
          <t>Oak Glen, OH 45730</t>
        </is>
      </c>
      <c r="H263" t="inlineStr">
        <is>
          <t>Keystone Health Partners</t>
        </is>
      </c>
      <c r="I263" t="inlineStr">
        <is>
          <t>MRN-01204240</t>
        </is>
      </c>
      <c r="J263" t="inlineStr">
        <is>
          <t>2020-02-27 07:08:00</t>
        </is>
      </c>
    </row>
    <row r="264">
      <c r="A264" t="inlineStr">
        <is>
          <t>R1263</t>
        </is>
      </c>
      <c r="B264" t="inlineStr">
        <is>
          <t>Isabella Turner</t>
        </is>
      </c>
      <c r="C264" t="inlineStr">
        <is>
          <t>08/27/1941</t>
        </is>
      </c>
      <c r="D264" t="inlineStr">
        <is>
          <t>F</t>
        </is>
      </c>
      <c r="E264" t="inlineStr">
        <is>
          <t>555.875.2073</t>
        </is>
      </c>
      <c r="F264" t="inlineStr">
        <is>
          <t xml:space="preserve"> isabella.turner66@example.com </t>
        </is>
      </c>
      <c r="G264" t="inlineStr">
        <is>
          <t>MILLBROOK, OH 45530</t>
        </is>
      </c>
      <c r="H264" t="inlineStr">
        <is>
          <t>medicaid</t>
        </is>
      </c>
      <c r="I264" t="inlineStr">
        <is>
          <t>MRN-05339433</t>
        </is>
      </c>
      <c r="J264" t="inlineStr">
        <is>
          <t>2023-01-19 07:50:00</t>
        </is>
      </c>
    </row>
    <row r="265">
      <c r="A265" t="inlineStr">
        <is>
          <t>R1264</t>
        </is>
      </c>
      <c r="B265" t="inlineStr">
        <is>
          <t>Rodriguez, Matthew</t>
        </is>
      </c>
      <c r="C265" t="inlineStr">
        <is>
          <t>02/06/1980</t>
        </is>
      </c>
      <c r="D265" t="inlineStr">
        <is>
          <t xml:space="preserve">M </t>
        </is>
      </c>
      <c r="E265" t="inlineStr">
        <is>
          <t>555.667.8849</t>
        </is>
      </c>
      <c r="F265" t="inlineStr">
        <is>
          <t xml:space="preserve"> matthew.rodriguez14@example.com </t>
        </is>
      </c>
      <c r="G265" t="inlineStr">
        <is>
          <t>Cedar Ridge, OH 45720</t>
        </is>
      </c>
      <c r="H265" t="inlineStr">
        <is>
          <t>Keystone Health Partners</t>
        </is>
      </c>
      <c r="I265" t="inlineStr">
        <is>
          <t>01895000</t>
        </is>
      </c>
      <c r="J265" t="inlineStr">
        <is>
          <t>2017-02-22 18:12:00</t>
        </is>
      </c>
    </row>
    <row r="266">
      <c r="A266" t="inlineStr">
        <is>
          <t>R1265</t>
        </is>
      </c>
      <c r="B266" t="inlineStr">
        <is>
          <t>Susan Osei</t>
        </is>
      </c>
      <c r="C266" t="inlineStr">
        <is>
          <t>2012-03-07</t>
        </is>
      </c>
      <c r="D266" t="inlineStr">
        <is>
          <t xml:space="preserve"> F</t>
        </is>
      </c>
      <c r="E266" t="inlineStr">
        <is>
          <t>555-751-7351</t>
        </is>
      </c>
      <c r="G266" t="inlineStr">
        <is>
          <t>Lakeview Heights, OH 45510</t>
        </is>
      </c>
      <c r="H266" t="inlineStr">
        <is>
          <t>STATE MEDICAID</t>
        </is>
      </c>
      <c r="I266" t="inlineStr">
        <is>
          <t>02585847</t>
        </is>
      </c>
      <c r="J266" t="inlineStr">
        <is>
          <t>12/05/2023 07:58 AM</t>
        </is>
      </c>
    </row>
    <row r="267">
      <c r="A267" t="inlineStr">
        <is>
          <t>R1266</t>
        </is>
      </c>
      <c r="B267" t="inlineStr">
        <is>
          <t>GARCIA, PAMELA</t>
        </is>
      </c>
      <c r="C267" t="inlineStr">
        <is>
          <t>1962-02-11</t>
        </is>
      </c>
      <c r="D267" t="inlineStr">
        <is>
          <t>F</t>
        </is>
      </c>
      <c r="E267" t="inlineStr">
        <is>
          <t>555-239-0126</t>
        </is>
      </c>
      <c r="F267" t="inlineStr">
        <is>
          <t xml:space="preserve"> pamela.garcia63@example.com </t>
        </is>
      </c>
      <c r="G267" t="inlineStr">
        <is>
          <t>Bluestone, OH 45501-5610</t>
        </is>
      </c>
      <c r="H267" t="inlineStr">
        <is>
          <t>EVERGREEN MUTUAL INS</t>
        </is>
      </c>
      <c r="I267" t="inlineStr">
        <is>
          <t>5952813</t>
        </is>
      </c>
      <c r="J267" t="inlineStr">
        <is>
          <t>2018-02-20 07:23:00</t>
        </is>
      </c>
    </row>
    <row r="268">
      <c r="A268" t="inlineStr">
        <is>
          <t>R1267</t>
        </is>
      </c>
      <c r="B268" t="inlineStr">
        <is>
          <t>Hawkins, Marie</t>
        </is>
      </c>
      <c r="C268" t="inlineStr">
        <is>
          <t>02/19/2001</t>
        </is>
      </c>
      <c r="D268" t="inlineStr">
        <is>
          <t>F</t>
        </is>
      </c>
      <c r="E268" t="inlineStr">
        <is>
          <t>(555) 472-0186</t>
        </is>
      </c>
      <c r="G268" t="inlineStr">
        <is>
          <t>Granite Springs, OH 45750</t>
        </is>
      </c>
      <c r="H268" t="inlineStr">
        <is>
          <t>Evergreen Mutual Insurance</t>
        </is>
      </c>
      <c r="I268" t="inlineStr">
        <is>
          <t>4552128</t>
        </is>
      </c>
      <c r="J268" t="inlineStr">
        <is>
          <t>2016-12-02 09:38:00</t>
        </is>
      </c>
    </row>
    <row r="269">
      <c r="A269" t="inlineStr">
        <is>
          <t>R1268</t>
        </is>
      </c>
      <c r="B269" t="inlineStr">
        <is>
          <t>Brenda Daniels</t>
        </is>
      </c>
      <c r="C269" t="inlineStr">
        <is>
          <t>06/29/1993</t>
        </is>
      </c>
      <c r="D269" t="inlineStr">
        <is>
          <t>Female</t>
        </is>
      </c>
      <c r="E269" t="inlineStr">
        <is>
          <t>555.520.2578</t>
        </is>
      </c>
      <c r="F269" t="inlineStr">
        <is>
          <t>brenda.daniels3@example.com</t>
        </is>
      </c>
      <c r="G269" t="inlineStr">
        <is>
          <t>Bluestone, OH 45502-3567</t>
        </is>
      </c>
      <c r="H269" t="inlineStr">
        <is>
          <t>Evergreen Mutual Insurance</t>
        </is>
      </c>
      <c r="I269" t="inlineStr">
        <is>
          <t>03193264</t>
        </is>
      </c>
      <c r="J269" t="inlineStr">
        <is>
          <t>02/05/2024 12:43 PM</t>
        </is>
      </c>
    </row>
    <row r="270">
      <c r="A270" t="inlineStr">
        <is>
          <t>R1269</t>
        </is>
      </c>
      <c r="B270" t="inlineStr">
        <is>
          <t>Hawkins, Peter</t>
        </is>
      </c>
      <c r="C270" t="inlineStr">
        <is>
          <t>12/07/1985</t>
        </is>
      </c>
      <c r="D270" t="inlineStr">
        <is>
          <t>M</t>
        </is>
      </c>
      <c r="E270" t="inlineStr">
        <is>
          <t>(555) 202-1590</t>
        </is>
      </c>
      <c r="F270" t="inlineStr">
        <is>
          <t>none</t>
        </is>
      </c>
      <c r="G270" t="inlineStr">
        <is>
          <t>Cedar Ridge OH 45720</t>
        </is>
      </c>
      <c r="H270" t="inlineStr">
        <is>
          <t>Medicare</t>
        </is>
      </c>
      <c r="I270" t="inlineStr">
        <is>
          <t>9781994</t>
        </is>
      </c>
      <c r="J270" t="inlineStr">
        <is>
          <t>07/30/2023 05:36 PM</t>
        </is>
      </c>
    </row>
    <row r="271">
      <c r="A271" t="inlineStr">
        <is>
          <t>R1270</t>
        </is>
      </c>
      <c r="B271" t="inlineStr">
        <is>
          <t>Charles Hudson</t>
        </is>
      </c>
      <c r="C271" t="inlineStr">
        <is>
          <t>12/08/2003</t>
        </is>
      </c>
      <c r="D271" t="inlineStr">
        <is>
          <t xml:space="preserve">M </t>
        </is>
      </c>
      <c r="E271" t="inlineStr">
        <is>
          <t>555-676-7404</t>
        </is>
      </c>
      <c r="F271" t="inlineStr">
        <is>
          <t>charles.hudson48@example.com</t>
        </is>
      </c>
      <c r="G271" t="inlineStr">
        <is>
          <t>Riverbend, OH 45545-9414</t>
        </is>
      </c>
      <c r="H271" t="inlineStr">
        <is>
          <t>Medicaid</t>
        </is>
      </c>
      <c r="I271" t="inlineStr">
        <is>
          <t>03034463</t>
        </is>
      </c>
      <c r="J271" t="inlineStr">
        <is>
          <t>2023-05-11 08:05:00</t>
        </is>
      </c>
    </row>
    <row r="272">
      <c r="A272" t="inlineStr">
        <is>
          <t>R1271</t>
        </is>
      </c>
      <c r="B272" t="inlineStr">
        <is>
          <t>ELLIS, JOSEPH</t>
        </is>
      </c>
      <c r="C272" t="inlineStr">
        <is>
          <t>1960-07-05</t>
        </is>
      </c>
      <c r="D272" t="inlineStr">
        <is>
          <t>M</t>
        </is>
      </c>
      <c r="E272" t="inlineStr">
        <is>
          <t>(555) 914-3619</t>
        </is>
      </c>
      <c r="G272" t="inlineStr">
        <is>
          <t>LAKEVIEW HEIGHTS, OH 45510</t>
        </is>
      </c>
      <c r="H272" t="inlineStr">
        <is>
          <t>Medicare</t>
        </is>
      </c>
      <c r="I272" t="inlineStr">
        <is>
          <t>07075701</t>
        </is>
      </c>
      <c r="J272" t="inlineStr">
        <is>
          <t>01/16/2024 06:58 PM</t>
        </is>
      </c>
    </row>
    <row r="273">
      <c r="A273" t="inlineStr">
        <is>
          <t>R1272</t>
        </is>
      </c>
      <c r="B273" t="inlineStr">
        <is>
          <t>garcia, karen</t>
        </is>
      </c>
      <c r="C273" t="inlineStr">
        <is>
          <t>11-Nov-1933</t>
        </is>
      </c>
      <c r="D273" t="inlineStr">
        <is>
          <t>F</t>
        </is>
      </c>
      <c r="E273" t="inlineStr">
        <is>
          <t>(555) 504-1389</t>
        </is>
      </c>
      <c r="F273" t="inlineStr">
        <is>
          <t>karen.garcia58@example.com</t>
        </is>
      </c>
      <c r="G273" t="inlineStr">
        <is>
          <t>Millbrook OH 45530</t>
        </is>
      </c>
      <c r="H273" t="inlineStr">
        <is>
          <t>Silverline MA</t>
        </is>
      </c>
      <c r="I273" t="inlineStr">
        <is>
          <t>09810155</t>
        </is>
      </c>
      <c r="J273" t="inlineStr">
        <is>
          <t>2010-05-21 07:56:00</t>
        </is>
      </c>
    </row>
    <row r="274">
      <c r="A274" t="inlineStr">
        <is>
          <t>R1273</t>
        </is>
      </c>
      <c r="B274" t="inlineStr">
        <is>
          <t xml:space="preserve">  Rivera ,  Joshua </t>
        </is>
      </c>
      <c r="C274" t="inlineStr">
        <is>
          <t>04/15/2018</t>
        </is>
      </c>
      <c r="D274" t="inlineStr">
        <is>
          <t>m</t>
        </is>
      </c>
      <c r="E274" t="inlineStr">
        <is>
          <t>555-959-1061</t>
        </is>
      </c>
      <c r="F274" t="inlineStr">
        <is>
          <t>none</t>
        </is>
      </c>
      <c r="G274" t="inlineStr">
        <is>
          <t>Pine Hollow, OH 45640</t>
        </is>
      </c>
      <c r="H274" t="inlineStr">
        <is>
          <t>STATE MEDICAID</t>
        </is>
      </c>
      <c r="I274" t="inlineStr">
        <is>
          <t>MRN-08392421</t>
        </is>
      </c>
      <c r="J274" t="inlineStr">
        <is>
          <t>2020-08-17 11:00:00</t>
        </is>
      </c>
    </row>
    <row r="275">
      <c r="A275" t="inlineStr">
        <is>
          <t>R1274</t>
        </is>
      </c>
      <c r="B275" t="inlineStr">
        <is>
          <t>SULLIVAN, JEREMY</t>
        </is>
      </c>
      <c r="C275" t="inlineStr">
        <is>
          <t>1983-08-08</t>
        </is>
      </c>
      <c r="D275" t="inlineStr">
        <is>
          <t xml:space="preserve">M </t>
        </is>
      </c>
      <c r="E275" t="inlineStr">
        <is>
          <t>(555) 431-1956</t>
        </is>
      </c>
      <c r="F275" t="inlineStr">
        <is>
          <t>jeremy.sullivan79@example.com</t>
        </is>
      </c>
      <c r="G275" t="inlineStr">
        <is>
          <t>Millbrook, OH 45530</t>
        </is>
      </c>
      <c r="H275" t="inlineStr">
        <is>
          <t>medicaid</t>
        </is>
      </c>
      <c r="I275" t="inlineStr">
        <is>
          <t>04324932</t>
        </is>
      </c>
      <c r="J275" t="inlineStr">
        <is>
          <t>2009-09-30 10:23:00</t>
        </is>
      </c>
    </row>
    <row r="276">
      <c r="A276" t="inlineStr">
        <is>
          <t>R1275</t>
        </is>
      </c>
      <c r="B276" t="inlineStr">
        <is>
          <t>Jose Castillo</t>
        </is>
      </c>
      <c r="C276" t="inlineStr">
        <is>
          <t>06/16/1988</t>
        </is>
      </c>
      <c r="D276" t="inlineStr">
        <is>
          <t>MALE</t>
        </is>
      </c>
      <c r="E276" t="inlineStr">
        <is>
          <t>(555) 579-7315</t>
        </is>
      </c>
      <c r="F276" t="inlineStr">
        <is>
          <t>jose.castillo46@example.com</t>
        </is>
      </c>
      <c r="G276" t="inlineStr">
        <is>
          <t>Cedar Ridge OH 45720</t>
        </is>
      </c>
      <c r="H276" t="inlineStr">
        <is>
          <t>Keystone</t>
        </is>
      </c>
      <c r="I276" t="inlineStr">
        <is>
          <t>4700829</t>
        </is>
      </c>
      <c r="J276" t="inlineStr">
        <is>
          <t>2023-01-21 07:09:00</t>
        </is>
      </c>
    </row>
    <row r="277">
      <c r="A277" t="inlineStr">
        <is>
          <t>R1276</t>
        </is>
      </c>
      <c r="B277" t="inlineStr">
        <is>
          <t>Joyce Myers</t>
        </is>
      </c>
      <c r="C277" t="inlineStr">
        <is>
          <t>11/22/1986</t>
        </is>
      </c>
      <c r="D277" t="inlineStr">
        <is>
          <t>Female</t>
        </is>
      </c>
      <c r="E277" t="inlineStr">
        <is>
          <t>(555) 668-8099</t>
        </is>
      </c>
      <c r="F277" t="inlineStr">
        <is>
          <t>joyce.myers58@example.com</t>
        </is>
      </c>
      <c r="G277" t="inlineStr">
        <is>
          <t>Lakeview Heights OH 45510</t>
        </is>
      </c>
      <c r="H277" t="inlineStr">
        <is>
          <t>KEYSTONE HEALTH PARTNERS</t>
        </is>
      </c>
      <c r="I277" t="inlineStr">
        <is>
          <t>09570394</t>
        </is>
      </c>
      <c r="J277" t="inlineStr">
        <is>
          <t>08/29/2009 07:36 AM</t>
        </is>
      </c>
    </row>
    <row r="278">
      <c r="A278" t="inlineStr">
        <is>
          <t>R1277</t>
        </is>
      </c>
      <c r="B278" t="inlineStr">
        <is>
          <t>Morris, Lisa</t>
        </is>
      </c>
      <c r="C278" t="inlineStr">
        <is>
          <t>1997-02-09</t>
        </is>
      </c>
      <c r="D278" t="inlineStr">
        <is>
          <t>F</t>
        </is>
      </c>
      <c r="E278" t="inlineStr">
        <is>
          <t>+1 555 949 0290</t>
        </is>
      </c>
      <c r="F278" t="inlineStr">
        <is>
          <t>lisa.morris81@example.com</t>
        </is>
      </c>
      <c r="G278" t="inlineStr">
        <is>
          <t>Bluestone, OH 45501</t>
        </is>
      </c>
      <c r="H278" t="inlineStr">
        <is>
          <t>medicaid</t>
        </is>
      </c>
      <c r="I278" t="inlineStr">
        <is>
          <t>2299698</t>
        </is>
      </c>
      <c r="J278" t="inlineStr">
        <is>
          <t>2012-05-12 17:06:00</t>
        </is>
      </c>
    </row>
    <row r="279">
      <c r="A279" t="inlineStr">
        <is>
          <t>R1278</t>
        </is>
      </c>
      <c r="B279" t="inlineStr">
        <is>
          <t>MITCHELL, AUSTIN</t>
        </is>
      </c>
      <c r="C279" t="inlineStr">
        <is>
          <t>1984-09-27</t>
        </is>
      </c>
      <c r="D279" t="inlineStr">
        <is>
          <t>MALE</t>
        </is>
      </c>
      <c r="E279" t="inlineStr">
        <is>
          <t>(555) 224-4330</t>
        </is>
      </c>
      <c r="F279" t="inlineStr">
        <is>
          <t>N/A</t>
        </is>
      </c>
      <c r="G279" t="inlineStr">
        <is>
          <t>Bluestone OH 45503</t>
        </is>
      </c>
      <c r="H279" t="inlineStr">
        <is>
          <t>EVERGREEN MUTUAL INS</t>
        </is>
      </c>
      <c r="I279" t="inlineStr">
        <is>
          <t>03225016</t>
        </is>
      </c>
      <c r="J279" t="inlineStr">
        <is>
          <t>2023-08-16 15:55:00</t>
        </is>
      </c>
    </row>
    <row r="280">
      <c r="A280" t="inlineStr">
        <is>
          <t>R1279</t>
        </is>
      </c>
      <c r="B280" t="inlineStr">
        <is>
          <t>Diana Garcia</t>
        </is>
      </c>
      <c r="C280" t="inlineStr">
        <is>
          <t>08-Nov-1968</t>
        </is>
      </c>
      <c r="D280" t="inlineStr">
        <is>
          <t>F</t>
        </is>
      </c>
      <c r="G280" t="inlineStr">
        <is>
          <t>Bluestone, OH 45503</t>
        </is>
      </c>
      <c r="H280" t="inlineStr">
        <is>
          <t>Uninsured</t>
        </is>
      </c>
      <c r="I280" t="inlineStr">
        <is>
          <t>03704670</t>
        </is>
      </c>
      <c r="J280" t="inlineStr">
        <is>
          <t>05/26/2021 03:26 PM</t>
        </is>
      </c>
    </row>
    <row r="281">
      <c r="A281" t="inlineStr">
        <is>
          <t>R1280</t>
        </is>
      </c>
      <c r="B281" t="inlineStr">
        <is>
          <t>Lawrence Campbell</t>
        </is>
      </c>
      <c r="C281" t="inlineStr">
        <is>
          <t>03/06/1969</t>
        </is>
      </c>
      <c r="D281" t="inlineStr">
        <is>
          <t>M</t>
        </is>
      </c>
      <c r="E281" t="inlineStr">
        <is>
          <t>(555) 462-5228</t>
        </is>
      </c>
      <c r="G281" t="inlineStr">
        <is>
          <t>Fairhaven, OH 45620</t>
        </is>
      </c>
      <c r="H281" t="inlineStr">
        <is>
          <t>self-pay</t>
        </is>
      </c>
      <c r="I281" t="inlineStr">
        <is>
          <t>06288542</t>
        </is>
      </c>
      <c r="J281" t="inlineStr">
        <is>
          <t>01/31/2020 09:51 AM</t>
        </is>
      </c>
    </row>
    <row r="282">
      <c r="A282" t="inlineStr">
        <is>
          <t>R1281</t>
        </is>
      </c>
      <c r="B282" t="inlineStr">
        <is>
          <t>anderson, kathryn</t>
        </is>
      </c>
      <c r="C282" t="inlineStr">
        <is>
          <t>12/17/2018</t>
        </is>
      </c>
      <c r="D282" t="inlineStr">
        <is>
          <t xml:space="preserve"> F</t>
        </is>
      </c>
      <c r="E282" t="inlineStr">
        <is>
          <t>+1 555 754 1845</t>
        </is>
      </c>
      <c r="F282" t="inlineStr">
        <is>
          <t>none</t>
        </is>
      </c>
      <c r="G282" t="inlineStr">
        <is>
          <t>Pine Hollow, OH 45640</t>
        </is>
      </c>
      <c r="H282" t="inlineStr">
        <is>
          <t>Self-Pay</t>
        </is>
      </c>
      <c r="I282" t="inlineStr">
        <is>
          <t>02649593</t>
        </is>
      </c>
      <c r="J282" t="inlineStr">
        <is>
          <t>2022-02-21 17:52:00</t>
        </is>
      </c>
    </row>
    <row r="283">
      <c r="A283" t="inlineStr">
        <is>
          <t>R1282</t>
        </is>
      </c>
      <c r="B283" t="inlineStr">
        <is>
          <t>WARD, KIMBERLY</t>
        </is>
      </c>
      <c r="C283" t="inlineStr">
        <is>
          <t>1990-10-11</t>
        </is>
      </c>
      <c r="D283" t="inlineStr">
        <is>
          <t xml:space="preserve"> F</t>
        </is>
      </c>
      <c r="E283" t="inlineStr">
        <is>
          <t>555-937-0011</t>
        </is>
      </c>
      <c r="G283" t="inlineStr">
        <is>
          <t>Cedar Ridge, OH 45720</t>
        </is>
      </c>
      <c r="H283" t="inlineStr">
        <is>
          <t>evergreen mutual insurance</t>
        </is>
      </c>
      <c r="I283" t="inlineStr">
        <is>
          <t>02547554</t>
        </is>
      </c>
      <c r="J283" t="inlineStr">
        <is>
          <t>2017-12-04 14:27:00</t>
        </is>
      </c>
    </row>
    <row r="284">
      <c r="A284" t="inlineStr">
        <is>
          <t>R1283</t>
        </is>
      </c>
      <c r="B284" t="inlineStr">
        <is>
          <t xml:space="preserve">  Rogers ,  Wei </t>
        </is>
      </c>
      <c r="C284" t="inlineStr">
        <is>
          <t>10/05/2000</t>
        </is>
      </c>
      <c r="D284" t="inlineStr">
        <is>
          <t>m</t>
        </is>
      </c>
      <c r="E284" t="inlineStr">
        <is>
          <t>555-585-7520</t>
        </is>
      </c>
      <c r="F284" t="inlineStr">
        <is>
          <t>wei.rogers94@example.com</t>
        </is>
      </c>
      <c r="G284" t="inlineStr">
        <is>
          <t>Bluestone, OH 45501-9586</t>
        </is>
      </c>
      <c r="H284" t="inlineStr">
        <is>
          <t>SELF PAY</t>
        </is>
      </c>
      <c r="I284" t="inlineStr">
        <is>
          <t>06530332</t>
        </is>
      </c>
      <c r="J284" t="inlineStr">
        <is>
          <t>02/21/2024 02:50 PM</t>
        </is>
      </c>
    </row>
    <row r="285">
      <c r="A285" t="inlineStr">
        <is>
          <t>R1284</t>
        </is>
      </c>
      <c r="B285" t="inlineStr">
        <is>
          <t>PORTER, GABRIEL</t>
        </is>
      </c>
      <c r="C285" t="inlineStr">
        <is>
          <t>02/24/1974</t>
        </is>
      </c>
      <c r="D285" t="inlineStr">
        <is>
          <t xml:space="preserve">M </t>
        </is>
      </c>
      <c r="E285" t="inlineStr">
        <is>
          <t>555-449-9479</t>
        </is>
      </c>
      <c r="F285" t="inlineStr">
        <is>
          <t>gabriel.porter50@example.com</t>
        </is>
      </c>
      <c r="G285" t="inlineStr">
        <is>
          <t>Pine Hollow, OH 45640</t>
        </is>
      </c>
      <c r="H285" t="inlineStr">
        <is>
          <t>Summit Choice PPO</t>
        </is>
      </c>
      <c r="I285" t="inlineStr">
        <is>
          <t>2973301</t>
        </is>
      </c>
      <c r="J285" t="inlineStr">
        <is>
          <t>2018-09-09 10:17:00</t>
        </is>
      </c>
    </row>
    <row r="286">
      <c r="A286" t="inlineStr">
        <is>
          <t>R1285</t>
        </is>
      </c>
      <c r="B286" t="inlineStr">
        <is>
          <t>Davis, Julie</t>
        </is>
      </c>
      <c r="C286" t="inlineStr">
        <is>
          <t>03.18.1947</t>
        </is>
      </c>
      <c r="D286" t="inlineStr">
        <is>
          <t>FEMALE</t>
        </is>
      </c>
      <c r="E286" t="inlineStr">
        <is>
          <t>(555) 836-6569</t>
        </is>
      </c>
      <c r="F286" t="inlineStr">
        <is>
          <t>julie.davis34@example.com</t>
        </is>
      </c>
      <c r="G286" t="inlineStr">
        <is>
          <t>Bluestone, OH 45501-2185</t>
        </is>
      </c>
      <c r="H286" t="inlineStr">
        <is>
          <t>medicare</t>
        </is>
      </c>
      <c r="I286" t="inlineStr">
        <is>
          <t>07407216</t>
        </is>
      </c>
      <c r="J286" t="inlineStr">
        <is>
          <t>2023-10-04 17:09:00</t>
        </is>
      </c>
    </row>
    <row r="287">
      <c r="A287" t="inlineStr">
        <is>
          <t>R1286</t>
        </is>
      </c>
      <c r="B287" t="inlineStr">
        <is>
          <t>WAGNER, JUSTIN</t>
        </is>
      </c>
      <c r="C287" t="inlineStr">
        <is>
          <t>1974-11-04</t>
        </is>
      </c>
      <c r="D287" t="inlineStr">
        <is>
          <t>m</t>
        </is>
      </c>
      <c r="F287" t="inlineStr">
        <is>
          <t>justin.wagner51@example.com</t>
        </is>
      </c>
      <c r="G287" t="inlineStr">
        <is>
          <t>Bluestone OH 45501</t>
        </is>
      </c>
      <c r="H287" t="inlineStr">
        <is>
          <t>Uninsured</t>
        </is>
      </c>
      <c r="I287" t="inlineStr">
        <is>
          <t>04372929</t>
        </is>
      </c>
      <c r="J287" t="inlineStr">
        <is>
          <t>2023-05-10 07:28:00</t>
        </is>
      </c>
    </row>
    <row r="288">
      <c r="A288" t="inlineStr">
        <is>
          <t>R1287</t>
        </is>
      </c>
      <c r="B288" t="inlineStr">
        <is>
          <t>Price, Jordan</t>
        </is>
      </c>
      <c r="C288" t="inlineStr">
        <is>
          <t>11/29/1998</t>
        </is>
      </c>
      <c r="D288" t="inlineStr">
        <is>
          <t>M</t>
        </is>
      </c>
      <c r="E288" t="inlineStr">
        <is>
          <t>5552826267</t>
        </is>
      </c>
      <c r="G288" t="inlineStr">
        <is>
          <t>Bluestone, OH 45502</t>
        </is>
      </c>
      <c r="H288" t="inlineStr">
        <is>
          <t>KEYSTONE HEALTH PARTNERS</t>
        </is>
      </c>
      <c r="I288" t="inlineStr">
        <is>
          <t>8964375</t>
        </is>
      </c>
      <c r="J288" t="inlineStr">
        <is>
          <t>12/22/2012 09:13 AM</t>
        </is>
      </c>
    </row>
    <row r="289">
      <c r="A289" t="inlineStr">
        <is>
          <t>R1288</t>
        </is>
      </c>
      <c r="B289" t="inlineStr">
        <is>
          <t>Richardson, Philip</t>
        </is>
      </c>
      <c r="C289" t="inlineStr">
        <is>
          <t>1956-08-05</t>
        </is>
      </c>
      <c r="D289" t="inlineStr">
        <is>
          <t xml:space="preserve">M </t>
        </is>
      </c>
      <c r="E289" t="inlineStr">
        <is>
          <t>(555) 699-4127</t>
        </is>
      </c>
      <c r="F289" t="inlineStr">
        <is>
          <t xml:space="preserve"> philip.richardson91@example.com </t>
        </is>
      </c>
      <c r="G289" t="inlineStr">
        <is>
          <t>Bluestone, OH 45503</t>
        </is>
      </c>
      <c r="H289" t="inlineStr">
        <is>
          <t>Silverline MA</t>
        </is>
      </c>
      <c r="I289" t="inlineStr">
        <is>
          <t>MRN-00504665</t>
        </is>
      </c>
      <c r="J289" t="inlineStr">
        <is>
          <t>07/14/2021 05:51 PM</t>
        </is>
      </c>
    </row>
    <row r="290">
      <c r="A290" t="inlineStr">
        <is>
          <t>R1289</t>
        </is>
      </c>
      <c r="B290" t="inlineStr">
        <is>
          <t>Nelson, Noah</t>
        </is>
      </c>
      <c r="C290" t="inlineStr">
        <is>
          <t>25-Oct-1989</t>
        </is>
      </c>
      <c r="D290" t="inlineStr">
        <is>
          <t>m</t>
        </is>
      </c>
      <c r="E290" t="inlineStr">
        <is>
          <t>555-828-1354</t>
        </is>
      </c>
      <c r="F290" t="inlineStr">
        <is>
          <t>noah.nelson24@example.com</t>
        </is>
      </c>
      <c r="G290" t="inlineStr">
        <is>
          <t>Bluestone, OH 45501</t>
        </is>
      </c>
      <c r="H290" t="inlineStr">
        <is>
          <t>Summit PPO</t>
        </is>
      </c>
      <c r="I290" t="inlineStr">
        <is>
          <t>08317145</t>
        </is>
      </c>
      <c r="J290" t="inlineStr">
        <is>
          <t>06/22/2021 07:33 AM</t>
        </is>
      </c>
    </row>
    <row r="291">
      <c r="A291" t="inlineStr">
        <is>
          <t>R1290</t>
        </is>
      </c>
      <c r="B291" t="inlineStr">
        <is>
          <t>Peters, Janice</t>
        </is>
      </c>
      <c r="C291" t="inlineStr">
        <is>
          <t>01.20.1998</t>
        </is>
      </c>
      <c r="D291" t="inlineStr">
        <is>
          <t>f</t>
        </is>
      </c>
      <c r="E291" t="inlineStr">
        <is>
          <t>5552940043</t>
        </is>
      </c>
      <c r="F291" t="inlineStr">
        <is>
          <t>janice.peters55@example.com</t>
        </is>
      </c>
      <c r="G291" t="inlineStr">
        <is>
          <t>Lakeview Heights, OH 45510-2717</t>
        </is>
      </c>
      <c r="H291" t="inlineStr">
        <is>
          <t>SELF PAY</t>
        </is>
      </c>
      <c r="I291" t="inlineStr">
        <is>
          <t>06109281</t>
        </is>
      </c>
      <c r="J291" t="inlineStr">
        <is>
          <t>2013-02-19 09:04:00</t>
        </is>
      </c>
    </row>
    <row r="292">
      <c r="A292" t="inlineStr">
        <is>
          <t>R1291</t>
        </is>
      </c>
      <c r="B292" t="inlineStr">
        <is>
          <t>Hill, Debra</t>
        </is>
      </c>
      <c r="C292" t="inlineStr">
        <is>
          <t>2006-11-22</t>
        </is>
      </c>
      <c r="D292" t="inlineStr">
        <is>
          <t>F</t>
        </is>
      </c>
      <c r="E292" t="inlineStr">
        <is>
          <t>555-452-3580</t>
        </is>
      </c>
      <c r="G292" t="inlineStr">
        <is>
          <t>Bluestone, OH 45502</t>
        </is>
      </c>
      <c r="H292" t="inlineStr">
        <is>
          <t>Summit PPO</t>
        </is>
      </c>
      <c r="I292" t="inlineStr">
        <is>
          <t>7676806</t>
        </is>
      </c>
      <c r="J292" t="inlineStr">
        <is>
          <t>2020-01-06 18:42:00</t>
        </is>
      </c>
    </row>
    <row r="293">
      <c r="A293" t="inlineStr">
        <is>
          <t>R1292</t>
        </is>
      </c>
      <c r="B293" t="inlineStr">
        <is>
          <t>Teresa Green</t>
        </is>
      </c>
      <c r="C293" t="inlineStr">
        <is>
          <t>07/14/1959</t>
        </is>
      </c>
      <c r="D293" t="inlineStr">
        <is>
          <t xml:space="preserve"> F</t>
        </is>
      </c>
      <c r="E293" t="inlineStr">
        <is>
          <t>555.717.9944</t>
        </is>
      </c>
      <c r="F293" t="inlineStr">
        <is>
          <t>teresa.green82@example.com</t>
        </is>
      </c>
      <c r="G293" t="inlineStr">
        <is>
          <t>BLUESTONE, OH 45502</t>
        </is>
      </c>
      <c r="H293" t="inlineStr">
        <is>
          <t>MEDICARE</t>
        </is>
      </c>
      <c r="I293" t="inlineStr">
        <is>
          <t>08307873</t>
        </is>
      </c>
      <c r="J293" t="inlineStr">
        <is>
          <t>05/28/2021 09:10 AM</t>
        </is>
      </c>
    </row>
    <row r="294">
      <c r="A294" t="inlineStr">
        <is>
          <t>R1293</t>
        </is>
      </c>
      <c r="B294" t="inlineStr">
        <is>
          <t>MENDEZ, AHMED</t>
        </is>
      </c>
      <c r="C294" t="inlineStr">
        <is>
          <t>05/17/1957</t>
        </is>
      </c>
      <c r="D294" t="inlineStr">
        <is>
          <t>m</t>
        </is>
      </c>
      <c r="E294" t="inlineStr">
        <is>
          <t>(555) 245-0134</t>
        </is>
      </c>
      <c r="F294" t="inlineStr">
        <is>
          <t>ahmed.mendez12@example.com</t>
        </is>
      </c>
      <c r="G294" t="inlineStr">
        <is>
          <t>Oak Glen, OH 45730</t>
        </is>
      </c>
      <c r="H294" t="inlineStr">
        <is>
          <t>Silverline MA</t>
        </is>
      </c>
      <c r="I294" t="inlineStr">
        <is>
          <t>06294115</t>
        </is>
      </c>
      <c r="J294" t="inlineStr">
        <is>
          <t>12/06/2008 04:07 PM</t>
        </is>
      </c>
    </row>
    <row r="295">
      <c r="A295" t="inlineStr">
        <is>
          <t>R1294</t>
        </is>
      </c>
      <c r="B295" t="inlineStr">
        <is>
          <t>Payne, Diane</t>
        </is>
      </c>
      <c r="C295" t="inlineStr">
        <is>
          <t>05/27/1927</t>
        </is>
      </c>
      <c r="D295" t="inlineStr">
        <is>
          <t xml:space="preserve"> F</t>
        </is>
      </c>
      <c r="E295" t="inlineStr">
        <is>
          <t>555-750-6972</t>
        </is>
      </c>
      <c r="F295" t="inlineStr">
        <is>
          <t>diane.payne93@example.com</t>
        </is>
      </c>
      <c r="G295" t="inlineStr">
        <is>
          <t>Riverbend, OH 45545</t>
        </is>
      </c>
      <c r="H295" t="inlineStr">
        <is>
          <t>Silverline Medicare Advantage</t>
        </is>
      </c>
      <c r="I295" t="inlineStr">
        <is>
          <t>4265950</t>
        </is>
      </c>
      <c r="J295" t="inlineStr">
        <is>
          <t>01/18/2014 02:11 PM</t>
        </is>
      </c>
    </row>
    <row r="296">
      <c r="A296" t="inlineStr">
        <is>
          <t>R1295</t>
        </is>
      </c>
      <c r="B296" t="inlineStr">
        <is>
          <t>Roberts, Shirley</t>
        </is>
      </c>
      <c r="C296" t="inlineStr">
        <is>
          <t>03/08/1991</t>
        </is>
      </c>
      <c r="D296" t="inlineStr">
        <is>
          <t>Female</t>
        </is>
      </c>
      <c r="E296" t="inlineStr">
        <is>
          <t>(555) 513-3271</t>
        </is>
      </c>
      <c r="G296" t="inlineStr">
        <is>
          <t>Bluestone, OH 45502</t>
        </is>
      </c>
      <c r="H296" t="inlineStr">
        <is>
          <t>medicaid</t>
        </is>
      </c>
      <c r="I296" t="inlineStr">
        <is>
          <t>8710159</t>
        </is>
      </c>
      <c r="J296" t="inlineStr">
        <is>
          <t>09/11/2013 04:18 PM</t>
        </is>
      </c>
    </row>
    <row r="297">
      <c r="A297" t="inlineStr">
        <is>
          <t>R1296</t>
        </is>
      </c>
      <c r="B297" t="inlineStr">
        <is>
          <t>Wright, Joe</t>
        </is>
      </c>
      <c r="C297" t="inlineStr">
        <is>
          <t>01/02/1966</t>
        </is>
      </c>
      <c r="D297" t="inlineStr">
        <is>
          <t>Male</t>
        </is>
      </c>
      <c r="E297" t="inlineStr">
        <is>
          <t>555-936-5734</t>
        </is>
      </c>
      <c r="F297" t="inlineStr">
        <is>
          <t>joe.wright88@example.com</t>
        </is>
      </c>
      <c r="G297" t="inlineStr">
        <is>
          <t>Lakeview Heights OH 45510</t>
        </is>
      </c>
      <c r="H297" t="inlineStr">
        <is>
          <t>medicaid</t>
        </is>
      </c>
      <c r="I297" t="inlineStr">
        <is>
          <t>07004771</t>
        </is>
      </c>
      <c r="J297" t="inlineStr">
        <is>
          <t>08/05/2022 10:30 AM</t>
        </is>
      </c>
    </row>
    <row r="298">
      <c r="A298" t="inlineStr">
        <is>
          <t>R1297</t>
        </is>
      </c>
      <c r="B298" t="inlineStr">
        <is>
          <t>Willis, Jordan</t>
        </is>
      </c>
      <c r="C298" t="inlineStr">
        <is>
          <t>2014-04-13</t>
        </is>
      </c>
      <c r="D298" t="inlineStr">
        <is>
          <t>MALE</t>
        </is>
      </c>
      <c r="E298" t="inlineStr">
        <is>
          <t>+1 555 248 0999</t>
        </is>
      </c>
      <c r="F298" t="inlineStr">
        <is>
          <t>N/A</t>
        </is>
      </c>
      <c r="G298" t="inlineStr">
        <is>
          <t>Bluestone, OH 45503</t>
        </is>
      </c>
      <c r="H298" t="inlineStr">
        <is>
          <t>KEYSTONE HEALTH PARTNERS</t>
        </is>
      </c>
      <c r="I298" t="inlineStr">
        <is>
          <t>9457046</t>
        </is>
      </c>
      <c r="J298" t="inlineStr">
        <is>
          <t>2019-02-13 07:57:00</t>
        </is>
      </c>
    </row>
    <row r="299">
      <c r="A299" t="inlineStr">
        <is>
          <t>R1298</t>
        </is>
      </c>
      <c r="B299" t="inlineStr">
        <is>
          <t>Lori Clark</t>
        </is>
      </c>
      <c r="C299" t="inlineStr">
        <is>
          <t>1995-05-04</t>
        </is>
      </c>
      <c r="D299" t="inlineStr">
        <is>
          <t>FEMALE</t>
        </is>
      </c>
      <c r="E299" t="inlineStr">
        <is>
          <t>555-308-1506</t>
        </is>
      </c>
      <c r="G299" t="inlineStr">
        <is>
          <t>Riverbend, OH 45545-9539</t>
        </is>
      </c>
      <c r="H299" t="inlineStr">
        <is>
          <t>Medicaid</t>
        </is>
      </c>
      <c r="I299" t="inlineStr">
        <is>
          <t>MRN-03026415</t>
        </is>
      </c>
      <c r="J299" t="inlineStr">
        <is>
          <t>2024-04-10 15:54:00</t>
        </is>
      </c>
    </row>
    <row r="300">
      <c r="A300" t="inlineStr">
        <is>
          <t>R1299</t>
        </is>
      </c>
      <c r="B300" t="inlineStr">
        <is>
          <t>West, Jessica</t>
        </is>
      </c>
      <c r="C300" t="inlineStr">
        <is>
          <t>11/24/2006</t>
        </is>
      </c>
      <c r="D300" t="inlineStr">
        <is>
          <t>FEMALE</t>
        </is>
      </c>
      <c r="E300" t="inlineStr">
        <is>
          <t>555-295-5466</t>
        </is>
      </c>
      <c r="F300" t="inlineStr">
        <is>
          <t>N/A</t>
        </is>
      </c>
      <c r="G300" t="inlineStr">
        <is>
          <t>LAKEVIEW HEIGHTS, OH 45510</t>
        </is>
      </c>
      <c r="H300" t="inlineStr">
        <is>
          <t>Summit PPO</t>
        </is>
      </c>
      <c r="I300" t="inlineStr">
        <is>
          <t>05957615</t>
        </is>
      </c>
      <c r="J300" t="inlineStr">
        <is>
          <t>2021-07-17 16:28:00</t>
        </is>
      </c>
    </row>
    <row r="301">
      <c r="A301" t="inlineStr">
        <is>
          <t>R1300</t>
        </is>
      </c>
      <c r="B301" t="inlineStr">
        <is>
          <t>Ramirez, Wayne</t>
        </is>
      </c>
      <c r="C301" t="inlineStr">
        <is>
          <t>10/22/1943</t>
        </is>
      </c>
      <c r="D301" t="inlineStr">
        <is>
          <t>Male</t>
        </is>
      </c>
      <c r="F301" t="inlineStr">
        <is>
          <t>wayne.ramirez28@example.com</t>
        </is>
      </c>
      <c r="G301" t="inlineStr">
        <is>
          <t>Riverbend, OH 45545</t>
        </is>
      </c>
      <c r="H301" t="inlineStr">
        <is>
          <t>Medicare Part A</t>
        </is>
      </c>
      <c r="I301" t="inlineStr">
        <is>
          <t>01678724</t>
        </is>
      </c>
      <c r="J301" t="inlineStr">
        <is>
          <t>02/02/2023 04:20 PM</t>
        </is>
      </c>
    </row>
    <row r="302">
      <c r="A302" t="inlineStr">
        <is>
          <t>R1301</t>
        </is>
      </c>
      <c r="B302" t="inlineStr">
        <is>
          <t>CARPENTER, ANN</t>
        </is>
      </c>
      <c r="C302" t="inlineStr">
        <is>
          <t>23-Apr-2016</t>
        </is>
      </c>
      <c r="D302" t="inlineStr">
        <is>
          <t>Female</t>
        </is>
      </c>
      <c r="E302" t="inlineStr">
        <is>
          <t>+1 555 919 4295</t>
        </is>
      </c>
      <c r="F302" t="inlineStr">
        <is>
          <t>N/A</t>
        </is>
      </c>
      <c r="G302" t="inlineStr">
        <is>
          <t>Bluestone, OH 45501</t>
        </is>
      </c>
      <c r="H302" t="inlineStr">
        <is>
          <t>Keystone</t>
        </is>
      </c>
      <c r="I302" t="inlineStr">
        <is>
          <t>956886</t>
        </is>
      </c>
      <c r="J302" t="inlineStr">
        <is>
          <t>12/24/2023 03:26 PM</t>
        </is>
      </c>
    </row>
    <row r="303">
      <c r="A303" t="inlineStr">
        <is>
          <t>R1302</t>
        </is>
      </c>
      <c r="B303" t="inlineStr">
        <is>
          <t>WALKER, JESSE</t>
        </is>
      </c>
      <c r="C303" t="inlineStr">
        <is>
          <t>21-Jun-2019</t>
        </is>
      </c>
      <c r="D303" t="inlineStr">
        <is>
          <t>Male</t>
        </is>
      </c>
      <c r="E303" t="inlineStr">
        <is>
          <t>555-696-9600</t>
        </is>
      </c>
      <c r="G303" t="inlineStr">
        <is>
          <t>Bluestone, OH 45502</t>
        </is>
      </c>
      <c r="H303" t="inlineStr">
        <is>
          <t>EVERGREEN MUTUAL INS</t>
        </is>
      </c>
      <c r="I303" t="inlineStr">
        <is>
          <t>4887094</t>
        </is>
      </c>
      <c r="J303" t="inlineStr">
        <is>
          <t>2023-02-21 09:18:00</t>
        </is>
      </c>
    </row>
    <row r="304">
      <c r="A304" t="inlineStr">
        <is>
          <t>R1303</t>
        </is>
      </c>
      <c r="B304" t="inlineStr">
        <is>
          <t>Tran, Russell</t>
        </is>
      </c>
      <c r="C304" t="inlineStr">
        <is>
          <t>08/27/1969</t>
        </is>
      </c>
      <c r="D304" t="inlineStr">
        <is>
          <t>Male</t>
        </is>
      </c>
      <c r="E304" t="inlineStr">
        <is>
          <t>555-794-8931</t>
        </is>
      </c>
      <c r="F304" t="inlineStr">
        <is>
          <t>russell.tran13@example.com</t>
        </is>
      </c>
      <c r="G304" t="inlineStr">
        <is>
          <t>Lakeview Heights, OH 45510</t>
        </is>
      </c>
      <c r="H304" t="inlineStr">
        <is>
          <t>evergreen mutual insurance</t>
        </is>
      </c>
      <c r="I304" t="inlineStr">
        <is>
          <t>MRN-07403992</t>
        </is>
      </c>
      <c r="J304" t="inlineStr">
        <is>
          <t>05/05/2016 10:42 AM</t>
        </is>
      </c>
    </row>
    <row r="305">
      <c r="A305" t="inlineStr">
        <is>
          <t>R1304</t>
        </is>
      </c>
      <c r="B305" t="inlineStr">
        <is>
          <t>Matthews, Isabella</t>
        </is>
      </c>
      <c r="C305" t="inlineStr">
        <is>
          <t>05/05/1949</t>
        </is>
      </c>
      <c r="D305" t="inlineStr">
        <is>
          <t>f</t>
        </is>
      </c>
      <c r="E305" t="inlineStr">
        <is>
          <t>555-343-5690</t>
        </is>
      </c>
      <c r="F305" t="inlineStr">
        <is>
          <t>isabella.matthews33@example.com</t>
        </is>
      </c>
      <c r="G305" t="inlineStr">
        <is>
          <t>Bluestone OH 45503</t>
        </is>
      </c>
      <c r="H305" t="inlineStr">
        <is>
          <t>KEYSTONE HEALTH PARTNERS</t>
        </is>
      </c>
      <c r="I305" t="inlineStr">
        <is>
          <t>03481967</t>
        </is>
      </c>
      <c r="J305" t="inlineStr">
        <is>
          <t>2019-04-24 08:54:00</t>
        </is>
      </c>
    </row>
    <row r="306">
      <c r="A306" t="inlineStr">
        <is>
          <t>R1305</t>
        </is>
      </c>
      <c r="B306" t="inlineStr">
        <is>
          <t>Marshall, Helen</t>
        </is>
      </c>
      <c r="C306" t="inlineStr">
        <is>
          <t>12/22/1994</t>
        </is>
      </c>
      <c r="D306" t="inlineStr">
        <is>
          <t>f</t>
        </is>
      </c>
      <c r="E306" t="inlineStr">
        <is>
          <t>(555) 509-2345</t>
        </is>
      </c>
      <c r="F306" t="inlineStr">
        <is>
          <t xml:space="preserve"> helen.marshall56@example.com </t>
        </is>
      </c>
      <c r="G306" t="inlineStr">
        <is>
          <t>Bluestone, OH 45502</t>
        </is>
      </c>
      <c r="H306" t="inlineStr">
        <is>
          <t>STATE MEDICAID</t>
        </is>
      </c>
      <c r="I306" t="inlineStr">
        <is>
          <t>07360613</t>
        </is>
      </c>
      <c r="J306" t="inlineStr">
        <is>
          <t>06/04/2022 12:22 PM</t>
        </is>
      </c>
    </row>
    <row r="307">
      <c r="A307" t="inlineStr">
        <is>
          <t>R1306</t>
        </is>
      </c>
      <c r="B307" t="inlineStr">
        <is>
          <t>COLEMAN, SHARON</t>
        </is>
      </c>
      <c r="C307" t="inlineStr">
        <is>
          <t>2013-10-04</t>
        </is>
      </c>
      <c r="D307" t="inlineStr">
        <is>
          <t>F</t>
        </is>
      </c>
      <c r="E307" t="inlineStr">
        <is>
          <t>5558783463</t>
        </is>
      </c>
      <c r="F307" t="inlineStr">
        <is>
          <t>none</t>
        </is>
      </c>
      <c r="G307" t="inlineStr">
        <is>
          <t>CEDAR RIDGE, OH 45720</t>
        </is>
      </c>
      <c r="H307" t="inlineStr">
        <is>
          <t>EVERGREEN MUTUAL INS</t>
        </is>
      </c>
      <c r="I307" t="inlineStr">
        <is>
          <t>02542087</t>
        </is>
      </c>
      <c r="J307" t="inlineStr">
        <is>
          <t>05/13/2023 11:25 AM</t>
        </is>
      </c>
    </row>
    <row r="308">
      <c r="A308" t="inlineStr">
        <is>
          <t>R1307</t>
        </is>
      </c>
      <c r="B308" t="inlineStr">
        <is>
          <t>sullivan, kayla</t>
        </is>
      </c>
      <c r="C308" t="inlineStr">
        <is>
          <t>03/30/1971</t>
        </is>
      </c>
      <c r="D308" t="inlineStr">
        <is>
          <t>F</t>
        </is>
      </c>
      <c r="E308" t="inlineStr">
        <is>
          <t>(555) 364-1182</t>
        </is>
      </c>
      <c r="F308" t="inlineStr">
        <is>
          <t>kayla.sullivan71@example.com</t>
        </is>
      </c>
      <c r="G308" t="inlineStr">
        <is>
          <t>Bluestone, OH 45501</t>
        </is>
      </c>
      <c r="H308" t="inlineStr">
        <is>
          <t>Summit Choice</t>
        </is>
      </c>
      <c r="I308" t="inlineStr">
        <is>
          <t>05155556</t>
        </is>
      </c>
      <c r="J308" t="inlineStr">
        <is>
          <t>2023-06-01 14:36:00</t>
        </is>
      </c>
    </row>
    <row r="309">
      <c r="A309" t="inlineStr">
        <is>
          <t>R1308</t>
        </is>
      </c>
      <c r="B309" t="inlineStr">
        <is>
          <t>Adams, Kathleen</t>
        </is>
      </c>
      <c r="C309" t="inlineStr">
        <is>
          <t>2/4/1999</t>
        </is>
      </c>
      <c r="D309" t="inlineStr">
        <is>
          <t>Female</t>
        </is>
      </c>
      <c r="E309" t="inlineStr">
        <is>
          <t>+1 555 627 8064</t>
        </is>
      </c>
      <c r="F309" t="inlineStr">
        <is>
          <t>kathleen.adams29@example.com</t>
        </is>
      </c>
      <c r="G309" t="inlineStr">
        <is>
          <t>ASHBY FALLS, OH 45610</t>
        </is>
      </c>
      <c r="H309" t="inlineStr">
        <is>
          <t>medicaid</t>
        </is>
      </c>
      <c r="I309" t="inlineStr">
        <is>
          <t>03502069</t>
        </is>
      </c>
      <c r="J309" t="inlineStr">
        <is>
          <t>2021-10-24 18:52:00</t>
        </is>
      </c>
    </row>
    <row r="310">
      <c r="A310" t="inlineStr">
        <is>
          <t>R1309</t>
        </is>
      </c>
      <c r="B310" t="inlineStr">
        <is>
          <t>Wayne Freeman</t>
        </is>
      </c>
      <c r="C310" t="inlineStr">
        <is>
          <t>09/02/1956</t>
        </is>
      </c>
      <c r="D310" t="inlineStr">
        <is>
          <t>m</t>
        </is>
      </c>
      <c r="E310" t="inlineStr">
        <is>
          <t>(555) 449-3334</t>
        </is>
      </c>
      <c r="F310" t="inlineStr">
        <is>
          <t>N/A</t>
        </is>
      </c>
      <c r="G310" t="inlineStr">
        <is>
          <t>Granite Springs, OH 45750-1949</t>
        </is>
      </c>
      <c r="H310" t="inlineStr">
        <is>
          <t>Medicare Part A</t>
        </is>
      </c>
      <c r="I310" t="inlineStr">
        <is>
          <t>00326186</t>
        </is>
      </c>
      <c r="J310" t="inlineStr">
        <is>
          <t>2023-07-05 16:05:00</t>
        </is>
      </c>
    </row>
    <row r="311">
      <c r="A311" t="inlineStr">
        <is>
          <t>R1310</t>
        </is>
      </c>
      <c r="B311" t="inlineStr">
        <is>
          <t>Davis, Danielle</t>
        </is>
      </c>
      <c r="C311" t="inlineStr">
        <is>
          <t>02/03/1951</t>
        </is>
      </c>
      <c r="D311" t="inlineStr">
        <is>
          <t>Female</t>
        </is>
      </c>
      <c r="E311" t="inlineStr">
        <is>
          <t>555-218-1576</t>
        </is>
      </c>
      <c r="F311" t="inlineStr">
        <is>
          <t>N/A</t>
        </is>
      </c>
      <c r="G311" t="inlineStr">
        <is>
          <t>Cedar Ridge, OH 45720</t>
        </is>
      </c>
      <c r="H311" t="inlineStr">
        <is>
          <t>MEDICARE</t>
        </is>
      </c>
      <c r="I311" t="inlineStr">
        <is>
          <t>MRN-09111135</t>
        </is>
      </c>
      <c r="J311" t="inlineStr">
        <is>
          <t>2023-10-11 18:43:00</t>
        </is>
      </c>
    </row>
    <row r="312">
      <c r="A312" t="inlineStr">
        <is>
          <t>R1311</t>
        </is>
      </c>
      <c r="B312" t="inlineStr">
        <is>
          <t>Frank Guzman</t>
        </is>
      </c>
      <c r="C312" t="inlineStr">
        <is>
          <t>1951-08-30</t>
        </is>
      </c>
      <c r="D312" t="inlineStr">
        <is>
          <t>Male</t>
        </is>
      </c>
      <c r="E312" t="inlineStr">
        <is>
          <t>(555) 903-0352</t>
        </is>
      </c>
      <c r="F312" t="inlineStr">
        <is>
          <t>frank.guzman42@example.com</t>
        </is>
      </c>
      <c r="G312" t="inlineStr">
        <is>
          <t>Riverbend, OH 45545-4433</t>
        </is>
      </c>
      <c r="H312" t="inlineStr">
        <is>
          <t>medicare</t>
        </is>
      </c>
      <c r="I312" t="inlineStr">
        <is>
          <t>MRN-06602278</t>
        </is>
      </c>
      <c r="J312" t="inlineStr">
        <is>
          <t>01/24/2020 10:46 AM</t>
        </is>
      </c>
    </row>
    <row r="313">
      <c r="A313" t="inlineStr">
        <is>
          <t>R1312</t>
        </is>
      </c>
      <c r="B313" t="inlineStr">
        <is>
          <t>RIVERA, SHARON</t>
        </is>
      </c>
      <c r="C313" t="inlineStr">
        <is>
          <t>1936-12-04</t>
        </is>
      </c>
      <c r="D313" t="inlineStr">
        <is>
          <t xml:space="preserve"> F</t>
        </is>
      </c>
      <c r="E313" t="inlineStr">
        <is>
          <t>555-671-9573</t>
        </is>
      </c>
      <c r="F313" t="inlineStr">
        <is>
          <t>SHARON.RIVERA21@EXAMPLE.COM</t>
        </is>
      </c>
      <c r="G313" t="inlineStr">
        <is>
          <t>Bluestone OH 45502</t>
        </is>
      </c>
      <c r="H313" t="inlineStr">
        <is>
          <t>medicare</t>
        </is>
      </c>
      <c r="I313" t="inlineStr">
        <is>
          <t>05891212</t>
        </is>
      </c>
      <c r="J313" t="inlineStr">
        <is>
          <t>03/23/2008 02:17 PM</t>
        </is>
      </c>
    </row>
    <row r="314">
      <c r="A314" t="inlineStr">
        <is>
          <t>R1313</t>
        </is>
      </c>
      <c r="B314" t="inlineStr">
        <is>
          <t>Kimberly Ray</t>
        </is>
      </c>
      <c r="C314" t="inlineStr">
        <is>
          <t>1950-08-05</t>
        </is>
      </c>
      <c r="D314" t="inlineStr">
        <is>
          <t>F</t>
        </is>
      </c>
      <c r="E314" t="inlineStr">
        <is>
          <t>(555) 265-8569</t>
        </is>
      </c>
      <c r="F314" t="inlineStr">
        <is>
          <t>KIMBERLY.RAY4@EXAMPLE.COM</t>
        </is>
      </c>
      <c r="G314" t="inlineStr">
        <is>
          <t>Ashby Falls, OH 45610</t>
        </is>
      </c>
      <c r="H314" t="inlineStr">
        <is>
          <t>medicare</t>
        </is>
      </c>
      <c r="I314" t="inlineStr">
        <is>
          <t>08520187</t>
        </is>
      </c>
      <c r="J314" t="inlineStr">
        <is>
          <t>2013-08-07 18:26:00</t>
        </is>
      </c>
    </row>
    <row r="315">
      <c r="A315" t="inlineStr">
        <is>
          <t>R1314</t>
        </is>
      </c>
      <c r="B315" t="inlineStr">
        <is>
          <t>Keith Holmes</t>
        </is>
      </c>
      <c r="C315" t="inlineStr">
        <is>
          <t>1969-05-25</t>
        </is>
      </c>
      <c r="D315" t="inlineStr">
        <is>
          <t>m</t>
        </is>
      </c>
      <c r="E315" t="inlineStr">
        <is>
          <t>555-814-1961</t>
        </is>
      </c>
      <c r="G315" t="inlineStr">
        <is>
          <t>Cedar Ridge, OH 45720</t>
        </is>
      </c>
      <c r="H315" t="inlineStr">
        <is>
          <t>Keystone Health Ptnrs</t>
        </is>
      </c>
      <c r="I315" t="inlineStr">
        <is>
          <t>03646690</t>
        </is>
      </c>
      <c r="J315" t="inlineStr">
        <is>
          <t>2009-07-08 18:49:00</t>
        </is>
      </c>
    </row>
    <row r="316">
      <c r="A316" t="inlineStr">
        <is>
          <t>R1315</t>
        </is>
      </c>
      <c r="B316" t="inlineStr">
        <is>
          <t>FISHER, KAYLA</t>
        </is>
      </c>
      <c r="C316" t="inlineStr">
        <is>
          <t>11/17/1954</t>
        </is>
      </c>
      <c r="D316" t="inlineStr">
        <is>
          <t xml:space="preserve"> F</t>
        </is>
      </c>
      <c r="E316" t="inlineStr">
        <is>
          <t>(555) 639-8023</t>
        </is>
      </c>
      <c r="F316" t="inlineStr">
        <is>
          <t>kayla.fisher82@example.com</t>
        </is>
      </c>
      <c r="G316" t="inlineStr">
        <is>
          <t>Ashby Falls OH 45610</t>
        </is>
      </c>
      <c r="H316" t="inlineStr">
        <is>
          <t xml:space="preserve">Medicare </t>
        </is>
      </c>
      <c r="I316" t="inlineStr">
        <is>
          <t>458769</t>
        </is>
      </c>
      <c r="J316" t="inlineStr">
        <is>
          <t>2018-02-07 11:09:00</t>
        </is>
      </c>
    </row>
    <row r="317">
      <c r="A317" t="inlineStr">
        <is>
          <t>R1316</t>
        </is>
      </c>
      <c r="B317" t="inlineStr">
        <is>
          <t>Tran, Martha</t>
        </is>
      </c>
      <c r="C317" t="inlineStr">
        <is>
          <t>10.12.1999</t>
        </is>
      </c>
      <c r="D317" t="inlineStr">
        <is>
          <t>F</t>
        </is>
      </c>
      <c r="E317" t="inlineStr">
        <is>
          <t>5556160932</t>
        </is>
      </c>
      <c r="F317" t="inlineStr">
        <is>
          <t>martha.tran62@example.com</t>
        </is>
      </c>
      <c r="G317" t="inlineStr">
        <is>
          <t>Riverbend, OH 45545</t>
        </is>
      </c>
      <c r="H317" t="inlineStr">
        <is>
          <t>Self Pay</t>
        </is>
      </c>
      <c r="I317" t="inlineStr">
        <is>
          <t>06932617</t>
        </is>
      </c>
      <c r="J317" t="inlineStr">
        <is>
          <t>2016-02-05 10:22:00</t>
        </is>
      </c>
    </row>
    <row r="318">
      <c r="A318" t="inlineStr">
        <is>
          <t>R1317</t>
        </is>
      </c>
      <c r="B318" t="inlineStr">
        <is>
          <t>TUCKER, SOPHIA</t>
        </is>
      </c>
      <c r="C318" t="inlineStr">
        <is>
          <t>09/08/1966</t>
        </is>
      </c>
      <c r="D318" t="inlineStr">
        <is>
          <t>F</t>
        </is>
      </c>
      <c r="E318" t="inlineStr">
        <is>
          <t>(555) 338-5503</t>
        </is>
      </c>
      <c r="G318" t="inlineStr">
        <is>
          <t>Bluestone, OH 45502</t>
        </is>
      </c>
      <c r="H318" t="inlineStr">
        <is>
          <t>State Medicaid</t>
        </is>
      </c>
      <c r="I318" t="inlineStr">
        <is>
          <t>1276260</t>
        </is>
      </c>
      <c r="J318" t="inlineStr">
        <is>
          <t>2019-12-21 08:22:00</t>
        </is>
      </c>
    </row>
    <row r="319">
      <c r="A319" t="inlineStr">
        <is>
          <t>R1318</t>
        </is>
      </c>
      <c r="B319" t="inlineStr">
        <is>
          <t>Marshall, Diane</t>
        </is>
      </c>
      <c r="C319" t="inlineStr">
        <is>
          <t>1975-11-09</t>
        </is>
      </c>
      <c r="D319" t="inlineStr">
        <is>
          <t>F</t>
        </is>
      </c>
      <c r="E319" t="inlineStr">
        <is>
          <t>(555) 669-5712</t>
        </is>
      </c>
      <c r="G319" t="inlineStr">
        <is>
          <t>Bluestone, OH 45502</t>
        </is>
      </c>
      <c r="H319" t="inlineStr">
        <is>
          <t>State Medicaid</t>
        </is>
      </c>
      <c r="I319" t="inlineStr">
        <is>
          <t>08147910</t>
        </is>
      </c>
      <c r="J319" t="inlineStr">
        <is>
          <t>2019-02-07 13:36:00</t>
        </is>
      </c>
    </row>
    <row r="320">
      <c r="A320" t="inlineStr">
        <is>
          <t>R1319</t>
        </is>
      </c>
      <c r="B320" t="inlineStr">
        <is>
          <t xml:space="preserve">  Harrison ,  Jerry </t>
        </is>
      </c>
      <c r="C320" t="inlineStr">
        <is>
          <t>2/8/1971</t>
        </is>
      </c>
      <c r="D320" t="inlineStr">
        <is>
          <t>M</t>
        </is>
      </c>
      <c r="E320" t="inlineStr">
        <is>
          <t>(555) 723-7413</t>
        </is>
      </c>
      <c r="F320" t="inlineStr">
        <is>
          <t xml:space="preserve"> jerry.harrison88@example.com </t>
        </is>
      </c>
      <c r="G320" t="inlineStr">
        <is>
          <t>Bluestone, OH 45501-9344</t>
        </is>
      </c>
      <c r="H320" t="inlineStr">
        <is>
          <t>medicaid</t>
        </is>
      </c>
      <c r="I320" t="inlineStr">
        <is>
          <t>4988438</t>
        </is>
      </c>
      <c r="J320" t="inlineStr">
        <is>
          <t>02/10/2024 10:47 AM</t>
        </is>
      </c>
    </row>
    <row r="321">
      <c r="A321" t="inlineStr">
        <is>
          <t>R1320</t>
        </is>
      </c>
      <c r="B321" t="inlineStr">
        <is>
          <t>FOX, KAYLA</t>
        </is>
      </c>
      <c r="C321" t="inlineStr">
        <is>
          <t>02/19/1947</t>
        </is>
      </c>
      <c r="D321" t="inlineStr">
        <is>
          <t>Female</t>
        </is>
      </c>
      <c r="E321" t="inlineStr">
        <is>
          <t>(555) 818-1870</t>
        </is>
      </c>
      <c r="F321" t="inlineStr">
        <is>
          <t>kayla.fox61@example.com</t>
        </is>
      </c>
      <c r="G321" t="inlineStr">
        <is>
          <t>Bluestone, OH 45501</t>
        </is>
      </c>
      <c r="H321" t="inlineStr">
        <is>
          <t>Medicare</t>
        </is>
      </c>
      <c r="I321" t="inlineStr">
        <is>
          <t>06693235</t>
        </is>
      </c>
      <c r="J321" t="inlineStr">
        <is>
          <t>12/29/2020 08:35 AM</t>
        </is>
      </c>
    </row>
    <row r="322">
      <c r="A322" t="inlineStr">
        <is>
          <t>R1321</t>
        </is>
      </c>
      <c r="B322" t="inlineStr">
        <is>
          <t>Snyder, Doris</t>
        </is>
      </c>
      <c r="C322" t="inlineStr">
        <is>
          <t>06/20/1961</t>
        </is>
      </c>
      <c r="D322" t="inlineStr">
        <is>
          <t>F</t>
        </is>
      </c>
      <c r="E322" t="inlineStr">
        <is>
          <t>(555) 662-0283</t>
        </is>
      </c>
      <c r="F322" t="inlineStr">
        <is>
          <t>doris.snyder71@example.com</t>
        </is>
      </c>
      <c r="G322" t="inlineStr">
        <is>
          <t>Bluestone OH 45501</t>
        </is>
      </c>
      <c r="H322" t="inlineStr">
        <is>
          <t>self-pay</t>
        </is>
      </c>
      <c r="I322" t="inlineStr">
        <is>
          <t>01249951</t>
        </is>
      </c>
      <c r="J322" t="inlineStr">
        <is>
          <t>11/08/2010 12:30 PM</t>
        </is>
      </c>
    </row>
    <row r="323">
      <c r="A323" t="inlineStr">
        <is>
          <t>R1322</t>
        </is>
      </c>
      <c r="B323" t="inlineStr">
        <is>
          <t>Adams, Ronald</t>
        </is>
      </c>
      <c r="C323" t="inlineStr">
        <is>
          <t>11/04/1957</t>
        </is>
      </c>
      <c r="D323" t="inlineStr">
        <is>
          <t>m</t>
        </is>
      </c>
      <c r="E323" t="inlineStr">
        <is>
          <t>+1 555 543 3945</t>
        </is>
      </c>
      <c r="F323" t="inlineStr">
        <is>
          <t>ronald.adams64@example.com</t>
        </is>
      </c>
      <c r="G323" t="inlineStr">
        <is>
          <t>MILLBROOK, OH 45530</t>
        </is>
      </c>
      <c r="H323" t="inlineStr">
        <is>
          <t xml:space="preserve">Silverline Medicare Advantage </t>
        </is>
      </c>
      <c r="I323" t="inlineStr">
        <is>
          <t>MRN-08734597</t>
        </is>
      </c>
      <c r="J323" t="inlineStr">
        <is>
          <t>08/12/2015 03:07 PM</t>
        </is>
      </c>
    </row>
    <row r="324">
      <c r="A324" t="inlineStr">
        <is>
          <t>R1323</t>
        </is>
      </c>
      <c r="B324" t="inlineStr">
        <is>
          <t>Romero, James</t>
        </is>
      </c>
      <c r="C324" t="inlineStr">
        <is>
          <t>02-Aug-1971</t>
        </is>
      </c>
      <c r="D324" t="inlineStr">
        <is>
          <t>Male</t>
        </is>
      </c>
      <c r="E324" t="inlineStr">
        <is>
          <t>(555) 909-0173</t>
        </is>
      </c>
      <c r="F324" t="inlineStr">
        <is>
          <t>N/A</t>
        </is>
      </c>
      <c r="G324" t="inlineStr">
        <is>
          <t>Lakeview Heights, OH 45510</t>
        </is>
      </c>
      <c r="H324" t="inlineStr">
        <is>
          <t>Evergreen Mutual</t>
        </is>
      </c>
      <c r="I324" t="inlineStr">
        <is>
          <t>3648297</t>
        </is>
      </c>
      <c r="J324" t="inlineStr">
        <is>
          <t>2024-06-14 18:09:00</t>
        </is>
      </c>
    </row>
    <row r="325">
      <c r="A325" t="inlineStr">
        <is>
          <t>R1324</t>
        </is>
      </c>
      <c r="B325" t="inlineStr">
        <is>
          <t>WELLS, OLIVIA</t>
        </is>
      </c>
      <c r="C325" t="inlineStr">
        <is>
          <t>1986-05-10</t>
        </is>
      </c>
      <c r="D325" t="inlineStr">
        <is>
          <t xml:space="preserve"> F</t>
        </is>
      </c>
      <c r="E325" t="inlineStr">
        <is>
          <t>5554604883</t>
        </is>
      </c>
      <c r="F325" t="inlineStr">
        <is>
          <t>olivia.wells51@example.com</t>
        </is>
      </c>
      <c r="G325" t="inlineStr">
        <is>
          <t>ASHBY FALLS, OH 45610</t>
        </is>
      </c>
      <c r="H325" t="inlineStr">
        <is>
          <t>self-pay</t>
        </is>
      </c>
      <c r="I325" t="inlineStr">
        <is>
          <t>05411565</t>
        </is>
      </c>
      <c r="J325" t="inlineStr">
        <is>
          <t>2015-09-02 10:45:00</t>
        </is>
      </c>
    </row>
    <row r="326">
      <c r="A326" t="inlineStr">
        <is>
          <t>R1325</t>
        </is>
      </c>
      <c r="B326" t="inlineStr">
        <is>
          <t>Kim, Ethan</t>
        </is>
      </c>
      <c r="C326" t="inlineStr">
        <is>
          <t>23-May-1931</t>
        </is>
      </c>
      <c r="D326" t="inlineStr">
        <is>
          <t>m</t>
        </is>
      </c>
      <c r="E326" t="inlineStr">
        <is>
          <t>5559648131</t>
        </is>
      </c>
      <c r="F326" t="inlineStr">
        <is>
          <t>ethan.kim24@example.com</t>
        </is>
      </c>
      <c r="G326" t="inlineStr">
        <is>
          <t>Ashby Falls, OH 45610-1593</t>
        </is>
      </c>
      <c r="H326" t="inlineStr">
        <is>
          <t>MEDICARE</t>
        </is>
      </c>
      <c r="I326" t="inlineStr">
        <is>
          <t>02110671</t>
        </is>
      </c>
      <c r="J326" t="inlineStr">
        <is>
          <t>2022-10-29 10:04:00</t>
        </is>
      </c>
    </row>
    <row r="327">
      <c r="A327" t="inlineStr">
        <is>
          <t>R1326</t>
        </is>
      </c>
      <c r="B327" t="inlineStr">
        <is>
          <t>Contreras, Aaliyah</t>
        </is>
      </c>
      <c r="C327" t="inlineStr">
        <is>
          <t>10/06/2001</t>
        </is>
      </c>
      <c r="D327" t="inlineStr">
        <is>
          <t>FEMALE</t>
        </is>
      </c>
      <c r="E327" t="inlineStr">
        <is>
          <t>5559273158</t>
        </is>
      </c>
      <c r="F327" t="inlineStr">
        <is>
          <t xml:space="preserve"> aaliyah.contreras52@example.com </t>
        </is>
      </c>
      <c r="G327" t="inlineStr">
        <is>
          <t>Cedar Ridge, OH 45720</t>
        </is>
      </c>
      <c r="H327" t="inlineStr">
        <is>
          <t>Self Pay</t>
        </is>
      </c>
      <c r="I327" t="inlineStr">
        <is>
          <t>MRN-05209520</t>
        </is>
      </c>
      <c r="J327" t="inlineStr">
        <is>
          <t>07/27/2012 08:26 AM</t>
        </is>
      </c>
    </row>
    <row r="328">
      <c r="A328" t="inlineStr">
        <is>
          <t>R1327</t>
        </is>
      </c>
      <c r="B328" t="inlineStr">
        <is>
          <t>Haddad, Charles</t>
        </is>
      </c>
      <c r="C328" t="inlineStr">
        <is>
          <t>19-Mar-1954</t>
        </is>
      </c>
      <c r="D328" t="inlineStr">
        <is>
          <t>M</t>
        </is>
      </c>
      <c r="F328" t="inlineStr">
        <is>
          <t>CHARLES.HADDAD21@EXAMPLE.COM</t>
        </is>
      </c>
      <c r="G328" t="inlineStr">
        <is>
          <t>Bluestone, OH 45503</t>
        </is>
      </c>
      <c r="H328" t="inlineStr">
        <is>
          <t>medicare</t>
        </is>
      </c>
      <c r="I328" t="inlineStr">
        <is>
          <t>00872871</t>
        </is>
      </c>
      <c r="J328" t="inlineStr">
        <is>
          <t>2021-12-03 18:04:00</t>
        </is>
      </c>
    </row>
    <row r="329">
      <c r="A329" t="inlineStr">
        <is>
          <t>R1328</t>
        </is>
      </c>
      <c r="B329" t="inlineStr">
        <is>
          <t>Cunningham, Denise</t>
        </is>
      </c>
      <c r="C329" t="inlineStr">
        <is>
          <t>29-Aug-1948</t>
        </is>
      </c>
      <c r="D329" t="inlineStr">
        <is>
          <t>F</t>
        </is>
      </c>
      <c r="E329" t="inlineStr">
        <is>
          <t>+1 555 675 0081</t>
        </is>
      </c>
      <c r="F329" t="inlineStr">
        <is>
          <t>denise.cunningham60@example.com</t>
        </is>
      </c>
      <c r="G329" t="inlineStr">
        <is>
          <t>Millbrook, OH 45530</t>
        </is>
      </c>
      <c r="H329" t="inlineStr">
        <is>
          <t>Keystone Health Ptnrs</t>
        </is>
      </c>
      <c r="I329" t="inlineStr">
        <is>
          <t>03525844</t>
        </is>
      </c>
      <c r="J329" t="inlineStr">
        <is>
          <t>2013-02-27 17:23:00</t>
        </is>
      </c>
    </row>
    <row r="330">
      <c r="A330" t="inlineStr">
        <is>
          <t>R1329</t>
        </is>
      </c>
      <c r="B330" t="inlineStr">
        <is>
          <t>Ellis, Willie</t>
        </is>
      </c>
      <c r="C330" t="inlineStr">
        <is>
          <t>07/10/1997</t>
        </is>
      </c>
      <c r="D330" t="inlineStr">
        <is>
          <t>M</t>
        </is>
      </c>
      <c r="E330" t="inlineStr">
        <is>
          <t>555.892.8446</t>
        </is>
      </c>
      <c r="F330" t="inlineStr">
        <is>
          <t>N/A</t>
        </is>
      </c>
      <c r="G330" t="inlineStr">
        <is>
          <t>ASHBY FALLS, OH 45610</t>
        </is>
      </c>
      <c r="H330" t="inlineStr">
        <is>
          <t>EVERGREEN MUTUAL INS</t>
        </is>
      </c>
      <c r="I330" t="inlineStr">
        <is>
          <t>4096558</t>
        </is>
      </c>
      <c r="J330" t="inlineStr">
        <is>
          <t>2009-02-02 16:56:00</t>
        </is>
      </c>
    </row>
    <row r="331">
      <c r="A331" t="inlineStr">
        <is>
          <t>R1330</t>
        </is>
      </c>
      <c r="B331" t="inlineStr">
        <is>
          <t>Snyder, Lori</t>
        </is>
      </c>
      <c r="C331" t="inlineStr">
        <is>
          <t>1967-02-02</t>
        </is>
      </c>
      <c r="D331" t="inlineStr">
        <is>
          <t xml:space="preserve"> F</t>
        </is>
      </c>
      <c r="E331" t="inlineStr">
        <is>
          <t>5553977541</t>
        </is>
      </c>
      <c r="F331" t="inlineStr">
        <is>
          <t>LORI.SNYDER13@EXAMPLE.COM</t>
        </is>
      </c>
      <c r="G331" t="inlineStr">
        <is>
          <t>Oak Glen, OH 45730</t>
        </is>
      </c>
      <c r="H331" t="inlineStr">
        <is>
          <t>medicaid</t>
        </is>
      </c>
      <c r="I331" t="inlineStr">
        <is>
          <t>02031509</t>
        </is>
      </c>
      <c r="J331" t="inlineStr">
        <is>
          <t>2019-07-22 15:26:00</t>
        </is>
      </c>
    </row>
    <row r="332">
      <c r="A332" t="inlineStr">
        <is>
          <t>R1331</t>
        </is>
      </c>
      <c r="B332" t="inlineStr">
        <is>
          <t>Murray, Roger</t>
        </is>
      </c>
      <c r="C332" t="inlineStr">
        <is>
          <t>8/21/1981</t>
        </is>
      </c>
      <c r="D332" t="inlineStr">
        <is>
          <t>Male</t>
        </is>
      </c>
      <c r="E332" t="inlineStr">
        <is>
          <t>(555) 718-6415</t>
        </is>
      </c>
      <c r="F332" t="inlineStr">
        <is>
          <t>none</t>
        </is>
      </c>
      <c r="G332" t="inlineStr">
        <is>
          <t>Oak Glen, OH 45730</t>
        </is>
      </c>
      <c r="H332" t="inlineStr">
        <is>
          <t>Evergreen Mutual</t>
        </is>
      </c>
      <c r="I332" t="inlineStr">
        <is>
          <t>MRN-07547770</t>
        </is>
      </c>
      <c r="J332" t="inlineStr">
        <is>
          <t>01/17/2023 07:02 AM</t>
        </is>
      </c>
    </row>
    <row r="333">
      <c r="A333" t="inlineStr">
        <is>
          <t>R1332</t>
        </is>
      </c>
      <c r="B333" t="inlineStr">
        <is>
          <t>Ronald Cox</t>
        </is>
      </c>
      <c r="C333" t="inlineStr">
        <is>
          <t>07-Jun-2005</t>
        </is>
      </c>
      <c r="D333" t="inlineStr">
        <is>
          <t>MALE</t>
        </is>
      </c>
      <c r="E333" t="inlineStr">
        <is>
          <t>555.529.8330</t>
        </is>
      </c>
      <c r="F333" t="inlineStr">
        <is>
          <t>none</t>
        </is>
      </c>
      <c r="G333" t="inlineStr">
        <is>
          <t>Cedar Ridge OH 45720</t>
        </is>
      </c>
      <c r="H333" t="inlineStr">
        <is>
          <t>STATE MEDICAID</t>
        </is>
      </c>
      <c r="I333" t="inlineStr">
        <is>
          <t>03601518</t>
        </is>
      </c>
      <c r="J333" t="inlineStr">
        <is>
          <t>2014-08-15 09:23:00</t>
        </is>
      </c>
    </row>
    <row r="334">
      <c r="A334" t="inlineStr">
        <is>
          <t>R1333</t>
        </is>
      </c>
      <c r="B334" t="inlineStr">
        <is>
          <t>RIVERA, KELLY</t>
        </is>
      </c>
      <c r="C334" t="inlineStr">
        <is>
          <t>07-Dec-1941</t>
        </is>
      </c>
      <c r="D334" t="inlineStr">
        <is>
          <t>F</t>
        </is>
      </c>
      <c r="E334" t="inlineStr">
        <is>
          <t>5554026172</t>
        </is>
      </c>
      <c r="G334" t="inlineStr">
        <is>
          <t>Cedar Ridge OH 45720</t>
        </is>
      </c>
      <c r="H334" t="inlineStr">
        <is>
          <t>medicare</t>
        </is>
      </c>
      <c r="I334" t="inlineStr">
        <is>
          <t>00130754</t>
        </is>
      </c>
      <c r="J334" t="inlineStr">
        <is>
          <t>2012-10-13 18:26:00</t>
        </is>
      </c>
    </row>
    <row r="335">
      <c r="A335" t="inlineStr">
        <is>
          <t>R1334</t>
        </is>
      </c>
      <c r="B335" t="inlineStr">
        <is>
          <t>gomez, elizabeth</t>
        </is>
      </c>
      <c r="C335" t="inlineStr">
        <is>
          <t>26-Oct-1970</t>
        </is>
      </c>
      <c r="D335" t="inlineStr">
        <is>
          <t>f</t>
        </is>
      </c>
      <c r="E335" t="inlineStr">
        <is>
          <t>(555) 701-2318</t>
        </is>
      </c>
      <c r="F335" t="inlineStr">
        <is>
          <t>elizabeth.gomez76@example.com</t>
        </is>
      </c>
      <c r="G335" t="inlineStr">
        <is>
          <t>Millbrook OH 45530</t>
        </is>
      </c>
      <c r="H335" t="inlineStr">
        <is>
          <t>State Medicaid</t>
        </is>
      </c>
      <c r="I335" t="inlineStr">
        <is>
          <t>05094809</t>
        </is>
      </c>
      <c r="J335" t="inlineStr">
        <is>
          <t>2008-05-14 15:10:00</t>
        </is>
      </c>
    </row>
    <row r="336">
      <c r="A336" t="inlineStr">
        <is>
          <t>R1335</t>
        </is>
      </c>
      <c r="B336" t="inlineStr">
        <is>
          <t>Campbell, Luis</t>
        </is>
      </c>
      <c r="C336" t="inlineStr">
        <is>
          <t>04.25.1978</t>
        </is>
      </c>
      <c r="D336" t="inlineStr">
        <is>
          <t>Male</t>
        </is>
      </c>
      <c r="E336" t="inlineStr">
        <is>
          <t>(555) 736-4151</t>
        </is>
      </c>
      <c r="F336" t="inlineStr">
        <is>
          <t xml:space="preserve"> luis.campbell36@example.com </t>
        </is>
      </c>
      <c r="G336" t="inlineStr">
        <is>
          <t>BLUESTONE, OH 45501</t>
        </is>
      </c>
      <c r="H336" t="inlineStr">
        <is>
          <t>medicaid</t>
        </is>
      </c>
      <c r="I336" t="inlineStr">
        <is>
          <t>06081608</t>
        </is>
      </c>
      <c r="J336" t="inlineStr">
        <is>
          <t>2021-05-13 08:53:00</t>
        </is>
      </c>
    </row>
    <row r="337">
      <c r="A337" t="inlineStr">
        <is>
          <t>R1336</t>
        </is>
      </c>
      <c r="B337" t="inlineStr">
        <is>
          <t>Gutierrez, Angela</t>
        </is>
      </c>
      <c r="C337" t="inlineStr">
        <is>
          <t>03/30/1979</t>
        </is>
      </c>
      <c r="D337" t="inlineStr">
        <is>
          <t xml:space="preserve"> F</t>
        </is>
      </c>
      <c r="E337" t="inlineStr">
        <is>
          <t>555-684-6835</t>
        </is>
      </c>
      <c r="G337" t="inlineStr">
        <is>
          <t>Bluestone, OH 45502</t>
        </is>
      </c>
      <c r="H337" t="inlineStr">
        <is>
          <t>Self Pay</t>
        </is>
      </c>
      <c r="I337" t="inlineStr">
        <is>
          <t>08946657</t>
        </is>
      </c>
      <c r="J337" t="inlineStr">
        <is>
          <t>2014-05-09 17:10:00</t>
        </is>
      </c>
    </row>
    <row r="338">
      <c r="A338" t="inlineStr">
        <is>
          <t>R1337</t>
        </is>
      </c>
      <c r="B338" t="inlineStr">
        <is>
          <t>Rice, Omar</t>
        </is>
      </c>
      <c r="C338" t="inlineStr">
        <is>
          <t>1997-01-16</t>
        </is>
      </c>
      <c r="D338" t="inlineStr">
        <is>
          <t>m</t>
        </is>
      </c>
      <c r="E338" t="inlineStr">
        <is>
          <t>+1 555 335 8050</t>
        </is>
      </c>
      <c r="F338" t="inlineStr">
        <is>
          <t>omar.rice44@example.com</t>
        </is>
      </c>
      <c r="G338" t="inlineStr">
        <is>
          <t>Oak Glen, OH 45730</t>
        </is>
      </c>
      <c r="H338" t="inlineStr">
        <is>
          <t>KEYSTONE HEALTH PARTNERS</t>
        </is>
      </c>
      <c r="I338" t="inlineStr">
        <is>
          <t>01222255</t>
        </is>
      </c>
      <c r="J338" t="inlineStr">
        <is>
          <t>2011-12-04 12:17:00</t>
        </is>
      </c>
    </row>
    <row r="339">
      <c r="A339" t="inlineStr">
        <is>
          <t>R1338</t>
        </is>
      </c>
      <c r="B339" t="inlineStr">
        <is>
          <t>Contreras, Timothy</t>
        </is>
      </c>
      <c r="C339" t="inlineStr">
        <is>
          <t>1967-04-24</t>
        </is>
      </c>
      <c r="D339" t="inlineStr">
        <is>
          <t>m</t>
        </is>
      </c>
      <c r="E339" t="inlineStr">
        <is>
          <t>555-474-9288</t>
        </is>
      </c>
      <c r="F339" t="inlineStr">
        <is>
          <t>timothy.contreras88@example.com</t>
        </is>
      </c>
      <c r="G339" t="inlineStr">
        <is>
          <t>Millbrook, OH 45530</t>
        </is>
      </c>
      <c r="H339" t="inlineStr">
        <is>
          <t>Summit PPO</t>
        </is>
      </c>
      <c r="I339" t="inlineStr">
        <is>
          <t>MRN-09878400</t>
        </is>
      </c>
      <c r="J339" t="inlineStr">
        <is>
          <t>03/07/2014 02:24 PM</t>
        </is>
      </c>
    </row>
    <row r="340">
      <c r="A340" t="inlineStr">
        <is>
          <t>R1339</t>
        </is>
      </c>
      <c r="B340" t="inlineStr">
        <is>
          <t>Jeffrey Nelson</t>
        </is>
      </c>
      <c r="C340" t="inlineStr">
        <is>
          <t>02/18/1973</t>
        </is>
      </c>
      <c r="D340" t="inlineStr">
        <is>
          <t>M</t>
        </is>
      </c>
      <c r="E340" t="inlineStr">
        <is>
          <t>(555) 251-8810</t>
        </is>
      </c>
      <c r="F340" t="inlineStr">
        <is>
          <t>none</t>
        </is>
      </c>
      <c r="G340" t="inlineStr">
        <is>
          <t>MILLBROOK, OH 45530</t>
        </is>
      </c>
      <c r="H340" t="inlineStr">
        <is>
          <t>Evergreen Mutual Insurance</t>
        </is>
      </c>
      <c r="I340" t="inlineStr">
        <is>
          <t>00972222</t>
        </is>
      </c>
      <c r="J340" t="inlineStr">
        <is>
          <t>2009-10-06 15:44:00</t>
        </is>
      </c>
    </row>
    <row r="341">
      <c r="A341" t="inlineStr">
        <is>
          <t>R1340</t>
        </is>
      </c>
      <c r="B341" t="inlineStr">
        <is>
          <t>WEST, DYLAN</t>
        </is>
      </c>
      <c r="C341" t="inlineStr">
        <is>
          <t>09/07/1977</t>
        </is>
      </c>
      <c r="D341" t="inlineStr">
        <is>
          <t>Male</t>
        </is>
      </c>
      <c r="E341" t="inlineStr">
        <is>
          <t>5553672927</t>
        </is>
      </c>
      <c r="F341" t="inlineStr">
        <is>
          <t>N/A</t>
        </is>
      </c>
      <c r="G341" t="inlineStr">
        <is>
          <t>Bluestone, OH 45502</t>
        </is>
      </c>
      <c r="H341" t="inlineStr">
        <is>
          <t>EVERGREEN MUTUAL INS</t>
        </is>
      </c>
      <c r="I341" t="inlineStr">
        <is>
          <t>08282423</t>
        </is>
      </c>
      <c r="J341" t="inlineStr">
        <is>
          <t>2017-04-09 09:59:00</t>
        </is>
      </c>
    </row>
    <row r="342">
      <c r="A342" t="inlineStr">
        <is>
          <t>R1341</t>
        </is>
      </c>
      <c r="B342" t="inlineStr">
        <is>
          <t>Donna Robertson</t>
        </is>
      </c>
      <c r="C342" t="inlineStr">
        <is>
          <t>1999-08-23</t>
        </is>
      </c>
      <c r="D342" t="inlineStr">
        <is>
          <t>F</t>
        </is>
      </c>
      <c r="E342" t="inlineStr">
        <is>
          <t>(555) 670-5347</t>
        </is>
      </c>
      <c r="G342" t="inlineStr">
        <is>
          <t>RIVERBEND, OH 45545</t>
        </is>
      </c>
      <c r="H342" t="inlineStr">
        <is>
          <t>EVERGREEN MUTUAL INS</t>
        </is>
      </c>
      <c r="I342" t="inlineStr">
        <is>
          <t>00332545</t>
        </is>
      </c>
      <c r="J342" t="inlineStr">
        <is>
          <t>01/24/2018 08:10 AM</t>
        </is>
      </c>
    </row>
    <row r="343">
      <c r="A343" t="inlineStr">
        <is>
          <t>R1342</t>
        </is>
      </c>
      <c r="B343" t="inlineStr">
        <is>
          <t>Ortiz, George</t>
        </is>
      </c>
      <c r="C343" t="inlineStr">
        <is>
          <t>12/17/1996</t>
        </is>
      </c>
      <c r="D343" t="inlineStr">
        <is>
          <t xml:space="preserve">M </t>
        </is>
      </c>
      <c r="E343" t="inlineStr">
        <is>
          <t>555-548-0196</t>
        </is>
      </c>
      <c r="G343" t="inlineStr">
        <is>
          <t>Bluestone OH 45502</t>
        </is>
      </c>
      <c r="H343" t="inlineStr">
        <is>
          <t>State Medicaid</t>
        </is>
      </c>
      <c r="I343" t="inlineStr">
        <is>
          <t>3630536</t>
        </is>
      </c>
      <c r="J343" t="inlineStr">
        <is>
          <t>2014-02-03 15:40:00</t>
        </is>
      </c>
    </row>
    <row r="344">
      <c r="A344" t="inlineStr">
        <is>
          <t>R1343</t>
        </is>
      </c>
      <c r="B344" t="inlineStr">
        <is>
          <t>ROGERS, JEAN</t>
        </is>
      </c>
      <c r="C344" t="inlineStr">
        <is>
          <t>10/31/1960</t>
        </is>
      </c>
      <c r="D344" t="inlineStr">
        <is>
          <t>f</t>
        </is>
      </c>
      <c r="E344" t="inlineStr">
        <is>
          <t>555-900-0623</t>
        </is>
      </c>
      <c r="F344" t="inlineStr">
        <is>
          <t>N/A</t>
        </is>
      </c>
      <c r="G344" t="inlineStr">
        <is>
          <t>Bluestone, OH 45503</t>
        </is>
      </c>
      <c r="H344" t="inlineStr">
        <is>
          <t>Silverline MA</t>
        </is>
      </c>
      <c r="I344" t="inlineStr">
        <is>
          <t>09374611</t>
        </is>
      </c>
      <c r="J344" t="inlineStr">
        <is>
          <t>2019-08-06 10:36:00</t>
        </is>
      </c>
    </row>
    <row r="345">
      <c r="A345" t="inlineStr">
        <is>
          <t>R1344</t>
        </is>
      </c>
      <c r="B345" t="inlineStr">
        <is>
          <t>Ryan, Ruth</t>
        </is>
      </c>
      <c r="C345" t="inlineStr">
        <is>
          <t>2016-12-16</t>
        </is>
      </c>
      <c r="D345" t="inlineStr">
        <is>
          <t>Female</t>
        </is>
      </c>
      <c r="E345" t="inlineStr">
        <is>
          <t>5554179950</t>
        </is>
      </c>
      <c r="G345" t="inlineStr">
        <is>
          <t>Riverbend, OH 45545-5318</t>
        </is>
      </c>
      <c r="H345" t="inlineStr">
        <is>
          <t>Medicaid</t>
        </is>
      </c>
      <c r="I345" t="inlineStr">
        <is>
          <t>06523104</t>
        </is>
      </c>
      <c r="J345" t="inlineStr">
        <is>
          <t>2020-02-20 18:33:00</t>
        </is>
      </c>
    </row>
    <row r="346">
      <c r="A346" t="inlineStr">
        <is>
          <t>R1345</t>
        </is>
      </c>
      <c r="B346" t="inlineStr">
        <is>
          <t>Davis, Anthony</t>
        </is>
      </c>
      <c r="C346" t="inlineStr">
        <is>
          <t>1971-08-24</t>
        </is>
      </c>
      <c r="D346" t="inlineStr">
        <is>
          <t>M</t>
        </is>
      </c>
      <c r="E346" t="inlineStr">
        <is>
          <t>5554444170</t>
        </is>
      </c>
      <c r="F346" t="inlineStr">
        <is>
          <t>anthony.davis87@example.com</t>
        </is>
      </c>
      <c r="G346" t="inlineStr">
        <is>
          <t>Lakeview Heights OH 45510</t>
        </is>
      </c>
      <c r="H346" t="inlineStr">
        <is>
          <t>STATE MEDICAID</t>
        </is>
      </c>
      <c r="I346" t="inlineStr">
        <is>
          <t>03812845</t>
        </is>
      </c>
      <c r="J346" t="inlineStr">
        <is>
          <t>2009-09-11 13:34:00</t>
        </is>
      </c>
    </row>
    <row r="347">
      <c r="A347" t="inlineStr">
        <is>
          <t>R1346</t>
        </is>
      </c>
      <c r="B347" t="inlineStr">
        <is>
          <t>Bryant, Aaron</t>
        </is>
      </c>
      <c r="C347" t="inlineStr">
        <is>
          <t>04/21/1999</t>
        </is>
      </c>
      <c r="D347" t="inlineStr">
        <is>
          <t>Male</t>
        </is>
      </c>
      <c r="E347" t="inlineStr">
        <is>
          <t>(555) 729-8064</t>
        </is>
      </c>
      <c r="F347" t="inlineStr">
        <is>
          <t xml:space="preserve"> aaron.bryant51@example.com </t>
        </is>
      </c>
      <c r="G347" t="inlineStr">
        <is>
          <t>Bluestone, OH 45501-3915</t>
        </is>
      </c>
      <c r="H347" t="inlineStr">
        <is>
          <t>Keystone</t>
        </is>
      </c>
      <c r="I347" t="inlineStr">
        <is>
          <t>01167184</t>
        </is>
      </c>
      <c r="J347" t="inlineStr">
        <is>
          <t>06/08/2022 05:30 PM</t>
        </is>
      </c>
    </row>
    <row r="348">
      <c r="A348" t="inlineStr">
        <is>
          <t>R1347</t>
        </is>
      </c>
      <c r="B348" t="inlineStr">
        <is>
          <t>sanders, jeremy</t>
        </is>
      </c>
      <c r="C348" t="inlineStr">
        <is>
          <t>09.09.1977</t>
        </is>
      </c>
      <c r="D348" t="inlineStr">
        <is>
          <t>M</t>
        </is>
      </c>
      <c r="E348" t="inlineStr">
        <is>
          <t>555-535-9791</t>
        </is>
      </c>
      <c r="F348" t="inlineStr">
        <is>
          <t>jeremy.sanders77@example.com</t>
        </is>
      </c>
      <c r="G348" t="inlineStr">
        <is>
          <t>Bluestone, OH 45501-4876</t>
        </is>
      </c>
      <c r="H348" t="inlineStr">
        <is>
          <t>evergreen mutual insurance</t>
        </is>
      </c>
      <c r="I348" t="inlineStr">
        <is>
          <t>5897802</t>
        </is>
      </c>
      <c r="J348" t="inlineStr">
        <is>
          <t>06/13/2015 11:38 AM</t>
        </is>
      </c>
    </row>
    <row r="349">
      <c r="A349" t="inlineStr">
        <is>
          <t>R1348</t>
        </is>
      </c>
      <c r="B349" t="inlineStr">
        <is>
          <t>Medina, Abigail</t>
        </is>
      </c>
      <c r="C349" t="inlineStr">
        <is>
          <t>1931-01-26</t>
        </is>
      </c>
      <c r="D349" t="inlineStr">
        <is>
          <t xml:space="preserve"> F</t>
        </is>
      </c>
      <c r="E349" t="inlineStr">
        <is>
          <t>555-780-9268</t>
        </is>
      </c>
      <c r="F349" t="inlineStr">
        <is>
          <t>abigail.medina21@example.com</t>
        </is>
      </c>
      <c r="G349" t="inlineStr">
        <is>
          <t>Millbrook, OH 45530</t>
        </is>
      </c>
      <c r="H349" t="inlineStr">
        <is>
          <t>Silverline Medicare Advantage</t>
        </is>
      </c>
      <c r="I349" t="inlineStr">
        <is>
          <t>04464336</t>
        </is>
      </c>
      <c r="J349" t="inlineStr">
        <is>
          <t>2022-09-22 14:20:00</t>
        </is>
      </c>
    </row>
    <row r="350">
      <c r="A350" t="inlineStr">
        <is>
          <t>R1349</t>
        </is>
      </c>
      <c r="B350" t="inlineStr">
        <is>
          <t>Shaw, Michael</t>
        </is>
      </c>
      <c r="C350" t="inlineStr">
        <is>
          <t>5/12/1953</t>
        </is>
      </c>
      <c r="D350" t="inlineStr">
        <is>
          <t xml:space="preserve">M </t>
        </is>
      </c>
      <c r="E350" t="inlineStr">
        <is>
          <t>(555) 373-4984</t>
        </is>
      </c>
      <c r="G350" t="inlineStr">
        <is>
          <t>Ashby Falls, OH 45610</t>
        </is>
      </c>
      <c r="H350" t="inlineStr">
        <is>
          <t>Silverline Medicare Advantage</t>
        </is>
      </c>
      <c r="I350" t="inlineStr">
        <is>
          <t>MRN-00903733</t>
        </is>
      </c>
      <c r="J350" t="inlineStr">
        <is>
          <t>2014-05-14 15:59:00</t>
        </is>
      </c>
    </row>
    <row r="351">
      <c r="A351" t="inlineStr">
        <is>
          <t>R1350</t>
        </is>
      </c>
      <c r="B351" t="inlineStr">
        <is>
          <t>Kowalski, Robert</t>
        </is>
      </c>
      <c r="C351" t="inlineStr">
        <is>
          <t>1981-05-15</t>
        </is>
      </c>
      <c r="D351" t="inlineStr">
        <is>
          <t>M</t>
        </is>
      </c>
      <c r="E351" t="inlineStr">
        <is>
          <t>5553594360</t>
        </is>
      </c>
      <c r="F351" t="inlineStr">
        <is>
          <t>robert.kowalski92@example.com</t>
        </is>
      </c>
      <c r="G351" t="inlineStr">
        <is>
          <t>Fairhaven, OH 45620</t>
        </is>
      </c>
      <c r="H351" t="inlineStr">
        <is>
          <t>EVERGREEN MUTUAL INS</t>
        </is>
      </c>
      <c r="I351" t="inlineStr">
        <is>
          <t>MRN-08059670</t>
        </is>
      </c>
      <c r="J351" t="inlineStr">
        <is>
          <t>2021-08-09 15:59:00</t>
        </is>
      </c>
    </row>
    <row r="352">
      <c r="A352" t="inlineStr">
        <is>
          <t>R1351</t>
        </is>
      </c>
      <c r="B352" t="inlineStr">
        <is>
          <t>Shaw, Eugene</t>
        </is>
      </c>
      <c r="C352" t="inlineStr">
        <is>
          <t>1966-01-31</t>
        </is>
      </c>
      <c r="D352" t="inlineStr">
        <is>
          <t xml:space="preserve">M </t>
        </is>
      </c>
      <c r="E352" t="inlineStr">
        <is>
          <t>(555) 765-8513</t>
        </is>
      </c>
      <c r="F352" t="inlineStr">
        <is>
          <t>N/A</t>
        </is>
      </c>
      <c r="G352" t="inlineStr">
        <is>
          <t>BLUESTONE, OH 45501</t>
        </is>
      </c>
      <c r="H352" t="inlineStr">
        <is>
          <t>Keystone Health Partners</t>
        </is>
      </c>
      <c r="I352" t="inlineStr">
        <is>
          <t>03800736</t>
        </is>
      </c>
      <c r="J352" t="inlineStr">
        <is>
          <t>2011-05-09 11:30:00</t>
        </is>
      </c>
    </row>
    <row r="353">
      <c r="A353" t="inlineStr">
        <is>
          <t>R1352</t>
        </is>
      </c>
      <c r="B353" t="inlineStr">
        <is>
          <t>Bradley Johnston</t>
        </is>
      </c>
      <c r="C353" t="inlineStr">
        <is>
          <t>2016-03-21</t>
        </is>
      </c>
      <c r="D353" t="inlineStr">
        <is>
          <t>m</t>
        </is>
      </c>
      <c r="E353" t="inlineStr">
        <is>
          <t>(555) 987-3536</t>
        </is>
      </c>
      <c r="F353" t="inlineStr">
        <is>
          <t>N/A</t>
        </is>
      </c>
      <c r="G353" t="inlineStr">
        <is>
          <t>Pine Hollow, OH 45640-9632</t>
        </is>
      </c>
      <c r="H353" t="inlineStr">
        <is>
          <t>SUMMIT CHOICE PPO</t>
        </is>
      </c>
      <c r="I353" t="inlineStr">
        <is>
          <t>4670548</t>
        </is>
      </c>
      <c r="J353" t="inlineStr">
        <is>
          <t>05/23/2020 07:33 AM</t>
        </is>
      </c>
    </row>
    <row r="354">
      <c r="A354" t="inlineStr">
        <is>
          <t>R1353</t>
        </is>
      </c>
      <c r="B354" t="inlineStr">
        <is>
          <t xml:space="preserve">  Gardner ,  Debra </t>
        </is>
      </c>
      <c r="C354" t="inlineStr">
        <is>
          <t>08/08/1957</t>
        </is>
      </c>
      <c r="D354" t="inlineStr">
        <is>
          <t>FEMALE</t>
        </is>
      </c>
      <c r="E354" t="inlineStr">
        <is>
          <t>5558966851</t>
        </is>
      </c>
      <c r="G354" t="inlineStr">
        <is>
          <t>Granite Springs, OH 45750</t>
        </is>
      </c>
      <c r="H354" t="inlineStr">
        <is>
          <t>SILVERLINE MEDICARE ADV.</t>
        </is>
      </c>
      <c r="I354" t="inlineStr">
        <is>
          <t>08724975</t>
        </is>
      </c>
      <c r="J354" t="inlineStr">
        <is>
          <t>2015-10-18 17:13:00</t>
        </is>
      </c>
    </row>
    <row r="355">
      <c r="A355" t="inlineStr">
        <is>
          <t>R1354</t>
        </is>
      </c>
      <c r="B355" t="inlineStr">
        <is>
          <t>Wright, Jerry</t>
        </is>
      </c>
      <c r="C355" t="inlineStr">
        <is>
          <t>07.26.1948</t>
        </is>
      </c>
      <c r="D355" t="inlineStr">
        <is>
          <t>M</t>
        </is>
      </c>
      <c r="E355" t="inlineStr">
        <is>
          <t>555-385-7218</t>
        </is>
      </c>
      <c r="F355" t="inlineStr">
        <is>
          <t>jerry.wright2@example.com</t>
        </is>
      </c>
      <c r="G355" t="inlineStr">
        <is>
          <t>BLUESTONE, OH 45502</t>
        </is>
      </c>
      <c r="H355" t="inlineStr">
        <is>
          <t>MEDICARE</t>
        </is>
      </c>
      <c r="I355" t="inlineStr">
        <is>
          <t>02037200</t>
        </is>
      </c>
      <c r="J355" t="inlineStr">
        <is>
          <t>01/24/2018 08:14 AM</t>
        </is>
      </c>
    </row>
    <row r="356">
      <c r="A356" t="inlineStr">
        <is>
          <t>R1355</t>
        </is>
      </c>
      <c r="B356" t="inlineStr">
        <is>
          <t>GONZALES, VICTORIA</t>
        </is>
      </c>
      <c r="C356" t="inlineStr">
        <is>
          <t>01-Jun-2000</t>
        </is>
      </c>
      <c r="D356" t="inlineStr">
        <is>
          <t>Female</t>
        </is>
      </c>
      <c r="F356" t="inlineStr">
        <is>
          <t>victoria.gonzales23@example.com</t>
        </is>
      </c>
      <c r="G356" t="inlineStr">
        <is>
          <t>Riverbend, OH 45545</t>
        </is>
      </c>
      <c r="H356" t="inlineStr">
        <is>
          <t>KEYSTONE HEALTH PARTNERS</t>
        </is>
      </c>
      <c r="I356" t="inlineStr">
        <is>
          <t>00252890</t>
        </is>
      </c>
      <c r="J356" t="inlineStr">
        <is>
          <t>11/17/2020 01:38 PM</t>
        </is>
      </c>
    </row>
    <row r="357">
      <c r="A357" t="inlineStr">
        <is>
          <t>R1356</t>
        </is>
      </c>
      <c r="B357" t="inlineStr">
        <is>
          <t>Chavez, Ava</t>
        </is>
      </c>
      <c r="C357" t="inlineStr">
        <is>
          <t>1950-12-02</t>
        </is>
      </c>
      <c r="D357" t="inlineStr">
        <is>
          <t>F</t>
        </is>
      </c>
      <c r="E357" t="inlineStr">
        <is>
          <t>555-322-2148</t>
        </is>
      </c>
      <c r="F357" t="inlineStr">
        <is>
          <t>ava.chavez94@example.com</t>
        </is>
      </c>
      <c r="G357" t="inlineStr">
        <is>
          <t>Bluestone, OH 45501-9622</t>
        </is>
      </c>
      <c r="H357" t="inlineStr">
        <is>
          <t>Silverline Medicare Advantage</t>
        </is>
      </c>
      <c r="I357" t="inlineStr">
        <is>
          <t>00550533</t>
        </is>
      </c>
      <c r="J357" t="inlineStr">
        <is>
          <t>08/07/2022 06:11 PM</t>
        </is>
      </c>
    </row>
    <row r="358">
      <c r="A358" t="inlineStr">
        <is>
          <t>R1357</t>
        </is>
      </c>
      <c r="B358" t="inlineStr">
        <is>
          <t>Turner, Lucia</t>
        </is>
      </c>
      <c r="C358" t="inlineStr">
        <is>
          <t>2018-03-31</t>
        </is>
      </c>
      <c r="D358" t="inlineStr">
        <is>
          <t>Female</t>
        </is>
      </c>
      <c r="E358" t="inlineStr">
        <is>
          <t>(555) 579-7204</t>
        </is>
      </c>
      <c r="G358" t="inlineStr">
        <is>
          <t>Bluestone, OH 45502</t>
        </is>
      </c>
      <c r="H358" t="inlineStr">
        <is>
          <t>Summit PPO</t>
        </is>
      </c>
      <c r="I358" t="inlineStr">
        <is>
          <t>00787405</t>
        </is>
      </c>
      <c r="J358" t="inlineStr">
        <is>
          <t>08/15/2022 08:07 AM</t>
        </is>
      </c>
    </row>
    <row r="359">
      <c r="A359" t="inlineStr">
        <is>
          <t>R1358</t>
        </is>
      </c>
      <c r="B359" t="inlineStr">
        <is>
          <t>Cooper, Abigail</t>
        </is>
      </c>
      <c r="C359" t="inlineStr">
        <is>
          <t>28-Feb-1958</t>
        </is>
      </c>
      <c r="D359" t="inlineStr">
        <is>
          <t>F</t>
        </is>
      </c>
      <c r="E359" t="inlineStr">
        <is>
          <t>555-918-4173</t>
        </is>
      </c>
      <c r="F359" t="inlineStr">
        <is>
          <t>abigail.cooper73@example.com</t>
        </is>
      </c>
      <c r="G359" t="inlineStr">
        <is>
          <t>Bluestone, OH 45501-9319</t>
        </is>
      </c>
      <c r="H359" t="inlineStr">
        <is>
          <t>MEDICARE</t>
        </is>
      </c>
      <c r="I359" t="inlineStr">
        <is>
          <t>00477549</t>
        </is>
      </c>
      <c r="J359" t="inlineStr">
        <is>
          <t>09/10/2020 09:53 AM</t>
        </is>
      </c>
    </row>
    <row r="360">
      <c r="A360" t="inlineStr">
        <is>
          <t>R1359</t>
        </is>
      </c>
      <c r="B360" t="inlineStr">
        <is>
          <t>Marshall, Diane</t>
        </is>
      </c>
      <c r="C360" t="inlineStr">
        <is>
          <t>11/09/1975</t>
        </is>
      </c>
      <c r="D360" t="inlineStr">
        <is>
          <t>FEMALE</t>
        </is>
      </c>
      <c r="E360" t="inlineStr">
        <is>
          <t>(555) 669-5712</t>
        </is>
      </c>
      <c r="G360" t="inlineStr">
        <is>
          <t>Bluestone, OH 45502</t>
        </is>
      </c>
      <c r="H360" t="inlineStr">
        <is>
          <t>Medicaid</t>
        </is>
      </c>
      <c r="I360" t="inlineStr">
        <is>
          <t>08147910</t>
        </is>
      </c>
      <c r="J360" t="inlineStr">
        <is>
          <t>2019-02-07 09:48:00</t>
        </is>
      </c>
    </row>
    <row r="361">
      <c r="A361" t="inlineStr">
        <is>
          <t>R1360</t>
        </is>
      </c>
      <c r="B361" t="inlineStr">
        <is>
          <t>wilson, rebecca</t>
        </is>
      </c>
      <c r="C361" t="inlineStr">
        <is>
          <t>08-Apr-1992</t>
        </is>
      </c>
      <c r="D361" t="inlineStr">
        <is>
          <t xml:space="preserve"> F</t>
        </is>
      </c>
      <c r="E361" t="inlineStr">
        <is>
          <t>(555) 243-5347</t>
        </is>
      </c>
      <c r="F361" t="inlineStr">
        <is>
          <t>N/A</t>
        </is>
      </c>
      <c r="G361" t="inlineStr">
        <is>
          <t>FAIRHAVEN, OH 45620</t>
        </is>
      </c>
      <c r="H361" t="inlineStr">
        <is>
          <t>Medicaid</t>
        </is>
      </c>
      <c r="I361" t="inlineStr">
        <is>
          <t>08079623</t>
        </is>
      </c>
      <c r="J361" t="inlineStr">
        <is>
          <t>2013-05-20 11:52:00</t>
        </is>
      </c>
    </row>
    <row r="362">
      <c r="A362" t="inlineStr">
        <is>
          <t>R1361</t>
        </is>
      </c>
      <c r="B362" t="inlineStr">
        <is>
          <t>myers, mei</t>
        </is>
      </c>
      <c r="C362" t="inlineStr">
        <is>
          <t>11/17/1934</t>
        </is>
      </c>
      <c r="D362" t="inlineStr">
        <is>
          <t>F</t>
        </is>
      </c>
      <c r="E362" t="inlineStr">
        <is>
          <t>5555913655</t>
        </is>
      </c>
      <c r="G362" t="inlineStr">
        <is>
          <t>Lakeview Heights OH 45510</t>
        </is>
      </c>
      <c r="H362" t="inlineStr">
        <is>
          <t>STATE MEDICAID</t>
        </is>
      </c>
      <c r="I362" t="inlineStr">
        <is>
          <t>09177941</t>
        </is>
      </c>
      <c r="J362" t="inlineStr">
        <is>
          <t>01/19/2013 09:39 AM</t>
        </is>
      </c>
    </row>
    <row r="363">
      <c r="A363" t="inlineStr">
        <is>
          <t>R1362</t>
        </is>
      </c>
      <c r="B363" t="inlineStr">
        <is>
          <t>Castro, Evelyn</t>
        </is>
      </c>
      <c r="C363" t="inlineStr">
        <is>
          <t>07/28/1954</t>
        </is>
      </c>
      <c r="D363" t="inlineStr">
        <is>
          <t>f</t>
        </is>
      </c>
      <c r="E363" t="inlineStr">
        <is>
          <t>5556160207</t>
        </is>
      </c>
      <c r="F363" t="inlineStr">
        <is>
          <t>evelyn.castro83@example.com</t>
        </is>
      </c>
      <c r="G363" t="inlineStr">
        <is>
          <t>Millbrook, OH 45530</t>
        </is>
      </c>
      <c r="H363" t="inlineStr">
        <is>
          <t>Medicare Part A</t>
        </is>
      </c>
      <c r="I363" t="inlineStr">
        <is>
          <t>09209071</t>
        </is>
      </c>
      <c r="J363" t="inlineStr">
        <is>
          <t>2023-09-27 17:53:00</t>
        </is>
      </c>
    </row>
    <row r="364">
      <c r="A364" t="inlineStr">
        <is>
          <t>R1363</t>
        </is>
      </c>
      <c r="B364" t="inlineStr">
        <is>
          <t>Holmes, Samuel</t>
        </is>
      </c>
      <c r="C364" t="inlineStr">
        <is>
          <t>12.17.1980</t>
        </is>
      </c>
      <c r="D364" t="inlineStr">
        <is>
          <t>m</t>
        </is>
      </c>
      <c r="E364" t="inlineStr">
        <is>
          <t>5553284327</t>
        </is>
      </c>
      <c r="F364" t="inlineStr">
        <is>
          <t>N/A</t>
        </is>
      </c>
      <c r="G364" t="inlineStr">
        <is>
          <t>Bluestone OH 45502</t>
        </is>
      </c>
      <c r="H364" t="inlineStr">
        <is>
          <t>KEYSTONE HEALTH PARTNERS</t>
        </is>
      </c>
      <c r="I364" t="inlineStr">
        <is>
          <t>06048168</t>
        </is>
      </c>
      <c r="J364" t="inlineStr">
        <is>
          <t>2023-06-05 07:59:00</t>
        </is>
      </c>
    </row>
    <row r="365">
      <c r="A365" t="inlineStr">
        <is>
          <t>R1364</t>
        </is>
      </c>
      <c r="B365" t="inlineStr">
        <is>
          <t>Randy Vazquez</t>
        </is>
      </c>
      <c r="C365" t="inlineStr">
        <is>
          <t>12/24/1991</t>
        </is>
      </c>
      <c r="D365" t="inlineStr">
        <is>
          <t>M</t>
        </is>
      </c>
      <c r="E365" t="inlineStr">
        <is>
          <t>(555) 661-2671</t>
        </is>
      </c>
      <c r="F365" t="inlineStr">
        <is>
          <t>none</t>
        </is>
      </c>
      <c r="G365" t="inlineStr">
        <is>
          <t>Cedar Ridge OH 45720</t>
        </is>
      </c>
      <c r="H365" t="inlineStr">
        <is>
          <t>Self Pay</t>
        </is>
      </c>
      <c r="I365" t="inlineStr">
        <is>
          <t>06412541</t>
        </is>
      </c>
      <c r="J365" t="inlineStr">
        <is>
          <t>11/05/2017 12:14 PM</t>
        </is>
      </c>
    </row>
    <row r="366">
      <c r="A366" t="inlineStr">
        <is>
          <t>R1365</t>
        </is>
      </c>
      <c r="B366" t="inlineStr">
        <is>
          <t>Jacqueline Wright</t>
        </is>
      </c>
      <c r="C366" t="inlineStr">
        <is>
          <t>10/03/2021</t>
        </is>
      </c>
      <c r="D366" t="inlineStr">
        <is>
          <t xml:space="preserve"> F</t>
        </is>
      </c>
      <c r="E366" t="inlineStr">
        <is>
          <t>555-573-3296</t>
        </is>
      </c>
      <c r="G366" t="inlineStr">
        <is>
          <t>Fairhaven, OH 45620-9009</t>
        </is>
      </c>
      <c r="H366" t="inlineStr">
        <is>
          <t>Keystone Health Ptnrs</t>
        </is>
      </c>
      <c r="I366" t="inlineStr">
        <is>
          <t>6177614</t>
        </is>
      </c>
      <c r="J366" t="inlineStr">
        <is>
          <t>05/13/2022 07:28 AM</t>
        </is>
      </c>
    </row>
    <row r="367">
      <c r="A367" t="inlineStr">
        <is>
          <t>R1366</t>
        </is>
      </c>
      <c r="B367" t="inlineStr">
        <is>
          <t>Jeffrey Gomez</t>
        </is>
      </c>
      <c r="C367" t="inlineStr">
        <is>
          <t>18-May-1993</t>
        </is>
      </c>
      <c r="D367" t="inlineStr">
        <is>
          <t xml:space="preserve">M </t>
        </is>
      </c>
      <c r="E367" t="inlineStr">
        <is>
          <t>555-567-4231</t>
        </is>
      </c>
      <c r="F367" t="inlineStr">
        <is>
          <t>none</t>
        </is>
      </c>
      <c r="G367" t="inlineStr">
        <is>
          <t>Cedar Ridge, OH 45720</t>
        </is>
      </c>
      <c r="H367" t="inlineStr">
        <is>
          <t>Keystone Health Partners</t>
        </is>
      </c>
      <c r="I367" t="inlineStr">
        <is>
          <t>3731552</t>
        </is>
      </c>
      <c r="J367" t="inlineStr">
        <is>
          <t>2014-05-02 17:33:00</t>
        </is>
      </c>
    </row>
    <row r="368">
      <c r="A368" t="inlineStr">
        <is>
          <t>R1367</t>
        </is>
      </c>
      <c r="B368" t="inlineStr">
        <is>
          <t xml:space="preserve">  Sanders ,  Jeremy </t>
        </is>
      </c>
      <c r="C368" t="inlineStr">
        <is>
          <t>09-Sep-1977</t>
        </is>
      </c>
      <c r="D368" t="inlineStr">
        <is>
          <t>MALE</t>
        </is>
      </c>
      <c r="E368" t="inlineStr">
        <is>
          <t>555-535-9791</t>
        </is>
      </c>
      <c r="F368" t="inlineStr">
        <is>
          <t>jeremy.sanders77@example.com</t>
        </is>
      </c>
      <c r="G368" t="inlineStr">
        <is>
          <t>Bluestone, OH 45501</t>
        </is>
      </c>
      <c r="H368" t="inlineStr">
        <is>
          <t>EVERGREEN MUTUAL INS</t>
        </is>
      </c>
      <c r="I368" t="inlineStr">
        <is>
          <t>05897802</t>
        </is>
      </c>
      <c r="J368" t="inlineStr">
        <is>
          <t>2015-06-13 17:37:00</t>
        </is>
      </c>
    </row>
    <row r="369">
      <c r="A369" t="inlineStr">
        <is>
          <t>R1368</t>
        </is>
      </c>
      <c r="B369" t="inlineStr">
        <is>
          <t>coleman, shirley</t>
        </is>
      </c>
      <c r="C369" t="inlineStr">
        <is>
          <t>1949-11-11</t>
        </is>
      </c>
      <c r="D369" t="inlineStr">
        <is>
          <t>FEMALE</t>
        </is>
      </c>
      <c r="E369" t="inlineStr">
        <is>
          <t>555-211-0116</t>
        </is>
      </c>
      <c r="F369" t="inlineStr">
        <is>
          <t>N/A</t>
        </is>
      </c>
      <c r="G369" t="inlineStr">
        <is>
          <t>Bluestone, OH 45503</t>
        </is>
      </c>
      <c r="H369" t="inlineStr">
        <is>
          <t>SILVERLINE MEDICARE ADV.</t>
        </is>
      </c>
      <c r="I369" t="inlineStr">
        <is>
          <t>6141586</t>
        </is>
      </c>
      <c r="J369" t="inlineStr">
        <is>
          <t>05/13/2012 12:06 PM</t>
        </is>
      </c>
    </row>
    <row r="370">
      <c r="A370" t="inlineStr">
        <is>
          <t>R1369</t>
        </is>
      </c>
      <c r="B370" t="inlineStr">
        <is>
          <t>RYAN, RUTH</t>
        </is>
      </c>
      <c r="C370" t="inlineStr">
        <is>
          <t>12/16/2016</t>
        </is>
      </c>
      <c r="D370" t="inlineStr">
        <is>
          <t>FEMALE</t>
        </is>
      </c>
      <c r="E370" t="inlineStr">
        <is>
          <t>5554179950</t>
        </is>
      </c>
      <c r="F370" t="inlineStr">
        <is>
          <t>N/A</t>
        </is>
      </c>
      <c r="G370" t="inlineStr">
        <is>
          <t>Riverbend, OH 45545-7729</t>
        </is>
      </c>
      <c r="H370" t="inlineStr">
        <is>
          <t>Medicaid</t>
        </is>
      </c>
      <c r="I370" t="inlineStr">
        <is>
          <t>MRN-06523104</t>
        </is>
      </c>
      <c r="J370" t="inlineStr">
        <is>
          <t>2020-02-20 13:50:00</t>
        </is>
      </c>
    </row>
    <row r="371">
      <c r="A371" t="inlineStr">
        <is>
          <t>R1370</t>
        </is>
      </c>
      <c r="B371" t="inlineStr">
        <is>
          <t>Mateo Lawrence</t>
        </is>
      </c>
      <c r="C371" t="inlineStr">
        <is>
          <t>04/07/1992</t>
        </is>
      </c>
      <c r="D371" t="inlineStr">
        <is>
          <t>MALE</t>
        </is>
      </c>
      <c r="E371" t="inlineStr">
        <is>
          <t>5558714798</t>
        </is>
      </c>
      <c r="F371" t="inlineStr">
        <is>
          <t>mateo.lawrence49@example.com</t>
        </is>
      </c>
      <c r="G371" t="inlineStr">
        <is>
          <t>Ashby Falls, OH 45610</t>
        </is>
      </c>
      <c r="H371" t="inlineStr">
        <is>
          <t>Evergreen Mutual Insurance</t>
        </is>
      </c>
      <c r="I371" t="inlineStr">
        <is>
          <t>03195031</t>
        </is>
      </c>
      <c r="J371" t="inlineStr">
        <is>
          <t>2014-12-17 14:30:00</t>
        </is>
      </c>
    </row>
    <row r="372">
      <c r="A372" t="inlineStr">
        <is>
          <t>R1371</t>
        </is>
      </c>
      <c r="B372" t="inlineStr">
        <is>
          <t>FLORES, JANICE</t>
        </is>
      </c>
      <c r="C372" t="inlineStr">
        <is>
          <t>09/09/1947</t>
        </is>
      </c>
      <c r="D372" t="inlineStr">
        <is>
          <t>F</t>
        </is>
      </c>
      <c r="E372" t="inlineStr">
        <is>
          <t>(555) 615-5780</t>
        </is>
      </c>
      <c r="F372" t="inlineStr">
        <is>
          <t>N/A</t>
        </is>
      </c>
      <c r="G372" t="inlineStr">
        <is>
          <t>Bluestone OH 45502</t>
        </is>
      </c>
      <c r="H372" t="inlineStr">
        <is>
          <t xml:space="preserve">Medicare </t>
        </is>
      </c>
      <c r="I372" t="inlineStr">
        <is>
          <t>3928116</t>
        </is>
      </c>
      <c r="J372" t="inlineStr">
        <is>
          <t>2017-09-20 13:40:00</t>
        </is>
      </c>
    </row>
    <row r="373">
      <c r="A373" t="inlineStr">
        <is>
          <t>R1372</t>
        </is>
      </c>
      <c r="B373" t="inlineStr">
        <is>
          <t>Novak, Larry</t>
        </is>
      </c>
      <c r="C373" t="inlineStr">
        <is>
          <t>1990-05-13</t>
        </is>
      </c>
      <c r="D373" t="inlineStr">
        <is>
          <t xml:space="preserve">M </t>
        </is>
      </c>
      <c r="E373" t="inlineStr">
        <is>
          <t>+1 555 246 8236</t>
        </is>
      </c>
      <c r="G373" t="inlineStr">
        <is>
          <t>Cedar Ridge, OH 45720</t>
        </is>
      </c>
      <c r="H373" t="inlineStr">
        <is>
          <t>Self Pay</t>
        </is>
      </c>
      <c r="I373" t="inlineStr">
        <is>
          <t>09205091</t>
        </is>
      </c>
      <c r="J373" t="inlineStr">
        <is>
          <t>06/15/2023 11:42 AM</t>
        </is>
      </c>
    </row>
    <row r="374">
      <c r="A374" t="inlineStr">
        <is>
          <t>R1373</t>
        </is>
      </c>
      <c r="B374" t="inlineStr">
        <is>
          <t>Flores, Doris</t>
        </is>
      </c>
      <c r="C374" t="inlineStr">
        <is>
          <t>1974-08-22</t>
        </is>
      </c>
      <c r="D374" t="inlineStr">
        <is>
          <t>F</t>
        </is>
      </c>
      <c r="E374" t="inlineStr">
        <is>
          <t>(555) 870-8449</t>
        </is>
      </c>
      <c r="F374" t="inlineStr">
        <is>
          <t xml:space="preserve"> doris.flores20@example.com </t>
        </is>
      </c>
      <c r="G374" t="inlineStr">
        <is>
          <t>Fairhaven, OH 45620-4177</t>
        </is>
      </c>
      <c r="H374" t="inlineStr">
        <is>
          <t>State Medicaid</t>
        </is>
      </c>
      <c r="I374" t="inlineStr">
        <is>
          <t>07532010</t>
        </is>
      </c>
      <c r="J374" t="inlineStr">
        <is>
          <t>2012-08-04 11:16:00</t>
        </is>
      </c>
    </row>
    <row r="375">
      <c r="A375" t="inlineStr">
        <is>
          <t>R1374</t>
        </is>
      </c>
      <c r="B375" t="inlineStr">
        <is>
          <t>Roberts, Aaron</t>
        </is>
      </c>
      <c r="C375" t="inlineStr">
        <is>
          <t>11/23/1969</t>
        </is>
      </c>
      <c r="D375" t="inlineStr">
        <is>
          <t>M</t>
        </is>
      </c>
      <c r="E375" t="inlineStr">
        <is>
          <t>5555881445</t>
        </is>
      </c>
      <c r="F375" t="inlineStr">
        <is>
          <t xml:space="preserve"> aaron.roberts46@example.com </t>
        </is>
      </c>
      <c r="G375" t="inlineStr">
        <is>
          <t>Bluestone, OH 45502</t>
        </is>
      </c>
      <c r="H375" t="inlineStr">
        <is>
          <t>Evergreen Mutual Insurance</t>
        </is>
      </c>
      <c r="I375" t="inlineStr">
        <is>
          <t>08274115</t>
        </is>
      </c>
      <c r="J375" t="inlineStr">
        <is>
          <t>2023-04-27 13:46:00</t>
        </is>
      </c>
    </row>
    <row r="376">
      <c r="A376" t="inlineStr">
        <is>
          <t>R1375</t>
        </is>
      </c>
      <c r="B376" t="inlineStr">
        <is>
          <t>CLARK, HENRY</t>
        </is>
      </c>
      <c r="C376" t="inlineStr">
        <is>
          <t>1950-01-20</t>
        </is>
      </c>
      <c r="D376" t="inlineStr">
        <is>
          <t>MALE</t>
        </is>
      </c>
      <c r="E376" t="inlineStr">
        <is>
          <t>5555901437</t>
        </is>
      </c>
      <c r="F376" t="inlineStr">
        <is>
          <t>HENRY.CLARK50@EXAMPLE.COM</t>
        </is>
      </c>
      <c r="G376" t="inlineStr">
        <is>
          <t>Riverbend, OH 45545</t>
        </is>
      </c>
      <c r="H376" t="inlineStr">
        <is>
          <t>Medicare</t>
        </is>
      </c>
      <c r="I376" t="inlineStr">
        <is>
          <t>9838136</t>
        </is>
      </c>
      <c r="J376" t="inlineStr">
        <is>
          <t>08/18/2008 11:37 AM</t>
        </is>
      </c>
    </row>
    <row r="377">
      <c r="A377" t="inlineStr">
        <is>
          <t>R1376</t>
        </is>
      </c>
      <c r="B377" t="inlineStr">
        <is>
          <t>cruz, paul</t>
        </is>
      </c>
      <c r="C377" t="inlineStr">
        <is>
          <t>11-Apr-1958</t>
        </is>
      </c>
      <c r="D377" t="inlineStr">
        <is>
          <t>m</t>
        </is>
      </c>
      <c r="E377" t="inlineStr">
        <is>
          <t>555-987-8128</t>
        </is>
      </c>
      <c r="G377" t="inlineStr">
        <is>
          <t>Riverbend, OH 45545</t>
        </is>
      </c>
      <c r="H377" t="inlineStr">
        <is>
          <t>medicare</t>
        </is>
      </c>
      <c r="I377" t="inlineStr">
        <is>
          <t>08247600</t>
        </is>
      </c>
      <c r="J377" t="inlineStr">
        <is>
          <t>2023-09-08 11:02:00</t>
        </is>
      </c>
    </row>
    <row r="378">
      <c r="A378" t="inlineStr">
        <is>
          <t>R1377</t>
        </is>
      </c>
      <c r="B378" t="inlineStr">
        <is>
          <t>Aguilar, George</t>
        </is>
      </c>
      <c r="C378" t="inlineStr">
        <is>
          <t>01/11/1995</t>
        </is>
      </c>
      <c r="D378" t="inlineStr">
        <is>
          <t xml:space="preserve">M </t>
        </is>
      </c>
      <c r="E378" t="inlineStr">
        <is>
          <t>555.519.1314</t>
        </is>
      </c>
      <c r="F378" t="inlineStr">
        <is>
          <t>george.aguilar9@example.com</t>
        </is>
      </c>
      <c r="G378" t="inlineStr">
        <is>
          <t>BLUESTONE, OH 45503</t>
        </is>
      </c>
      <c r="H378" t="inlineStr">
        <is>
          <t>evergreen mutual insurance</t>
        </is>
      </c>
      <c r="I378" t="inlineStr">
        <is>
          <t>01825933</t>
        </is>
      </c>
      <c r="J378" t="inlineStr">
        <is>
          <t>2011-08-03 11:24:00</t>
        </is>
      </c>
    </row>
    <row r="379">
      <c r="A379" t="inlineStr">
        <is>
          <t>R1378</t>
        </is>
      </c>
      <c r="B379" t="inlineStr">
        <is>
          <t>hernandez, aaliyah</t>
        </is>
      </c>
      <c r="C379" t="inlineStr">
        <is>
          <t>30-Jan-1973</t>
        </is>
      </c>
      <c r="D379" t="inlineStr">
        <is>
          <t>F</t>
        </is>
      </c>
      <c r="E379" t="inlineStr">
        <is>
          <t>(555) 357-4334</t>
        </is>
      </c>
      <c r="F379" t="inlineStr">
        <is>
          <t>AALIYAH.HERNANDEZ29@EXAMPLE.COM</t>
        </is>
      </c>
      <c r="G379" t="inlineStr">
        <is>
          <t>Bluestone, OH 45501</t>
        </is>
      </c>
      <c r="H379" t="inlineStr">
        <is>
          <t>EVERGREEN MUTUAL INS</t>
        </is>
      </c>
      <c r="I379" t="inlineStr">
        <is>
          <t>05132014</t>
        </is>
      </c>
      <c r="J379" t="inlineStr">
        <is>
          <t>2009-01-25 17:33:00</t>
        </is>
      </c>
    </row>
    <row r="380">
      <c r="A380" t="inlineStr">
        <is>
          <t>R1379</t>
        </is>
      </c>
      <c r="B380" t="inlineStr">
        <is>
          <t>jenkins, cynthia</t>
        </is>
      </c>
      <c r="C380" t="inlineStr">
        <is>
          <t>07-Mar-1965</t>
        </is>
      </c>
      <c r="D380" t="inlineStr">
        <is>
          <t>F</t>
        </is>
      </c>
      <c r="E380" t="inlineStr">
        <is>
          <t>555-874-2561</t>
        </is>
      </c>
      <c r="F380" t="inlineStr">
        <is>
          <t>cynthia.jenkins67@example.com</t>
        </is>
      </c>
      <c r="G380" t="inlineStr">
        <is>
          <t>Oak Glen, OH 45730</t>
        </is>
      </c>
      <c r="H380" t="inlineStr">
        <is>
          <t>STATE MEDICAID</t>
        </is>
      </c>
      <c r="I380" t="inlineStr">
        <is>
          <t>00538877</t>
        </is>
      </c>
      <c r="J380" t="inlineStr">
        <is>
          <t>01/20/2019 05:00 PM</t>
        </is>
      </c>
    </row>
    <row r="381">
      <c r="A381" t="inlineStr">
        <is>
          <t>R1380</t>
        </is>
      </c>
      <c r="B381" t="inlineStr">
        <is>
          <t>Fisher, Henry</t>
        </is>
      </c>
      <c r="C381" t="inlineStr">
        <is>
          <t>07/01/2004</t>
        </is>
      </c>
      <c r="D381" t="inlineStr">
        <is>
          <t>M</t>
        </is>
      </c>
      <c r="E381" t="inlineStr">
        <is>
          <t>(555) 712-6362</t>
        </is>
      </c>
      <c r="G381" t="inlineStr">
        <is>
          <t>Bluestone, OH 45503-7959</t>
        </is>
      </c>
      <c r="H381" t="inlineStr">
        <is>
          <t>evergreen mutual insurance</t>
        </is>
      </c>
      <c r="I381" t="inlineStr">
        <is>
          <t>05189138</t>
        </is>
      </c>
      <c r="J381" t="inlineStr">
        <is>
          <t>08/24/2017 09:41 AM</t>
        </is>
      </c>
    </row>
    <row r="382">
      <c r="A382" t="inlineStr">
        <is>
          <t>R1381</t>
        </is>
      </c>
      <c r="B382" t="inlineStr">
        <is>
          <t>kim, angela</t>
        </is>
      </c>
      <c r="C382" t="inlineStr">
        <is>
          <t>05/22/1964</t>
        </is>
      </c>
      <c r="D382" t="inlineStr">
        <is>
          <t>F</t>
        </is>
      </c>
      <c r="E382" t="inlineStr">
        <is>
          <t>555.516.5844</t>
        </is>
      </c>
      <c r="F382" t="inlineStr">
        <is>
          <t>angela.kim4@example.com</t>
        </is>
      </c>
      <c r="G382" t="inlineStr">
        <is>
          <t>Bluestone, OH 45501-5311</t>
        </is>
      </c>
      <c r="H382" t="inlineStr">
        <is>
          <t>EVERGREEN MUTUAL INS</t>
        </is>
      </c>
      <c r="I382" t="inlineStr">
        <is>
          <t>6569579</t>
        </is>
      </c>
      <c r="J382" t="inlineStr">
        <is>
          <t>2015-12-05 12:09:00</t>
        </is>
      </c>
    </row>
    <row r="383">
      <c r="A383" t="inlineStr">
        <is>
          <t>R1382</t>
        </is>
      </c>
      <c r="B383" t="inlineStr">
        <is>
          <t>Murphy, Denise</t>
        </is>
      </c>
      <c r="C383" t="inlineStr">
        <is>
          <t>01/20/1927</t>
        </is>
      </c>
      <c r="D383" t="inlineStr">
        <is>
          <t>FEMALE</t>
        </is>
      </c>
      <c r="E383" t="inlineStr">
        <is>
          <t>555-952-7130</t>
        </is>
      </c>
      <c r="F383" t="inlineStr">
        <is>
          <t>N/A</t>
        </is>
      </c>
      <c r="G383" t="inlineStr">
        <is>
          <t>Riverbend, OH 45545</t>
        </is>
      </c>
      <c r="H383" t="inlineStr">
        <is>
          <t>medicare</t>
        </is>
      </c>
      <c r="I383" t="inlineStr">
        <is>
          <t>06450086</t>
        </is>
      </c>
      <c r="J383" t="inlineStr">
        <is>
          <t>2022-03-11 11:17:00</t>
        </is>
      </c>
    </row>
    <row r="384">
      <c r="A384" t="inlineStr">
        <is>
          <t>R1383</t>
        </is>
      </c>
      <c r="B384" t="inlineStr">
        <is>
          <t>MORGAN, BRUCE</t>
        </is>
      </c>
      <c r="C384" t="inlineStr">
        <is>
          <t>1945-09-29</t>
        </is>
      </c>
      <c r="D384" t="inlineStr">
        <is>
          <t>M</t>
        </is>
      </c>
      <c r="E384" t="inlineStr">
        <is>
          <t>555-339-1617</t>
        </is>
      </c>
      <c r="F384" t="inlineStr">
        <is>
          <t xml:space="preserve"> bruce.morgan9@example.com </t>
        </is>
      </c>
      <c r="G384" t="inlineStr">
        <is>
          <t>Bluestone OH 45501</t>
        </is>
      </c>
      <c r="H384" t="inlineStr">
        <is>
          <t xml:space="preserve">Silverline Medicare Advantage </t>
        </is>
      </c>
      <c r="I384" t="inlineStr">
        <is>
          <t>08554017</t>
        </is>
      </c>
      <c r="J384" t="inlineStr">
        <is>
          <t>2023-12-02 13:36:00</t>
        </is>
      </c>
    </row>
    <row r="385">
      <c r="A385" t="inlineStr">
        <is>
          <t>R1384</t>
        </is>
      </c>
      <c r="B385" t="inlineStr">
        <is>
          <t>Nicholas Stewart</t>
        </is>
      </c>
      <c r="C385" t="inlineStr">
        <is>
          <t>06/22/2005</t>
        </is>
      </c>
      <c r="D385" t="inlineStr">
        <is>
          <t>M</t>
        </is>
      </c>
      <c r="E385" t="inlineStr">
        <is>
          <t>555.866.9208</t>
        </is>
      </c>
      <c r="F385" t="inlineStr">
        <is>
          <t>N/A</t>
        </is>
      </c>
      <c r="G385" t="inlineStr">
        <is>
          <t>Ashby Falls OH 45610</t>
        </is>
      </c>
      <c r="H385" t="inlineStr">
        <is>
          <t>Summit Choice PPO</t>
        </is>
      </c>
      <c r="I385" t="inlineStr">
        <is>
          <t>MRN-08933110</t>
        </is>
      </c>
      <c r="J385" t="inlineStr">
        <is>
          <t>11/24/2017 05:27 PM</t>
        </is>
      </c>
    </row>
    <row r="386">
      <c r="A386" t="inlineStr">
        <is>
          <t>R1385</t>
        </is>
      </c>
      <c r="B386" t="inlineStr">
        <is>
          <t>Delgado, Virginia</t>
        </is>
      </c>
      <c r="C386" t="inlineStr">
        <is>
          <t>05.07.1931</t>
        </is>
      </c>
      <c r="D386" t="inlineStr">
        <is>
          <t>F</t>
        </is>
      </c>
      <c r="E386" t="inlineStr">
        <is>
          <t>5553727037</t>
        </is>
      </c>
      <c r="F386" t="inlineStr">
        <is>
          <t>virginia.delgado82@example.com</t>
        </is>
      </c>
      <c r="G386" t="inlineStr">
        <is>
          <t>Granite Springs, OH 45750-2440</t>
        </is>
      </c>
      <c r="H386" t="inlineStr">
        <is>
          <t>State Medicaid</t>
        </is>
      </c>
      <c r="I386" t="inlineStr">
        <is>
          <t>01808639</t>
        </is>
      </c>
      <c r="J386" t="inlineStr">
        <is>
          <t>09/16/2023 06:00 PM</t>
        </is>
      </c>
    </row>
    <row r="387">
      <c r="A387" t="inlineStr">
        <is>
          <t>R1386</t>
        </is>
      </c>
      <c r="B387" t="inlineStr">
        <is>
          <t>FERGUSON, DORIS</t>
        </is>
      </c>
      <c r="C387" t="inlineStr">
        <is>
          <t>12/30/2005</t>
        </is>
      </c>
      <c r="D387" t="inlineStr">
        <is>
          <t xml:space="preserve"> F</t>
        </is>
      </c>
      <c r="E387" t="inlineStr">
        <is>
          <t>555-853-7424</t>
        </is>
      </c>
      <c r="F387" t="inlineStr">
        <is>
          <t>none</t>
        </is>
      </c>
      <c r="G387" t="inlineStr">
        <is>
          <t>Bluestone, OH 45503</t>
        </is>
      </c>
      <c r="H387" t="inlineStr">
        <is>
          <t>Keystone</t>
        </is>
      </c>
      <c r="I387" t="inlineStr">
        <is>
          <t>04601599</t>
        </is>
      </c>
      <c r="J387" t="inlineStr">
        <is>
          <t>06/08/2021 05:59 PM</t>
        </is>
      </c>
    </row>
    <row r="388">
      <c r="A388" t="inlineStr">
        <is>
          <t>R1387</t>
        </is>
      </c>
      <c r="B388" t="inlineStr">
        <is>
          <t>hayes, joseph</t>
        </is>
      </c>
      <c r="C388" t="inlineStr">
        <is>
          <t>12/18/1930</t>
        </is>
      </c>
      <c r="D388" t="inlineStr">
        <is>
          <t>Male</t>
        </is>
      </c>
      <c r="E388" t="inlineStr">
        <is>
          <t>555.738.5381</t>
        </is>
      </c>
      <c r="F388" t="inlineStr">
        <is>
          <t>joseph.hayes58@example.com</t>
        </is>
      </c>
      <c r="G388" t="inlineStr">
        <is>
          <t>Riverbend OH 45545</t>
        </is>
      </c>
      <c r="H388" t="inlineStr">
        <is>
          <t>Silverline Medicare Advantage</t>
        </is>
      </c>
      <c r="I388" t="inlineStr">
        <is>
          <t>MRN-01744632</t>
        </is>
      </c>
      <c r="J388" t="inlineStr">
        <is>
          <t>2012-04-10 14:52:00</t>
        </is>
      </c>
    </row>
    <row r="389">
      <c r="A389" t="inlineStr">
        <is>
          <t>R1388</t>
        </is>
      </c>
      <c r="B389" t="inlineStr">
        <is>
          <t>robertson, susan</t>
        </is>
      </c>
      <c r="C389" t="inlineStr">
        <is>
          <t>11/17/1988</t>
        </is>
      </c>
      <c r="D389" t="inlineStr">
        <is>
          <t>F</t>
        </is>
      </c>
      <c r="E389" t="inlineStr">
        <is>
          <t>(555) 826-5383</t>
        </is>
      </c>
      <c r="F389" t="inlineStr">
        <is>
          <t>SUSAN.ROBERTSON44@EXAMPLE.COM</t>
        </is>
      </c>
      <c r="G389" t="inlineStr">
        <is>
          <t>RIVERBEND, OH 45545</t>
        </is>
      </c>
      <c r="H389" t="inlineStr">
        <is>
          <t>Summit PPO</t>
        </is>
      </c>
      <c r="I389" t="inlineStr">
        <is>
          <t>09482389</t>
        </is>
      </c>
      <c r="J389" t="inlineStr">
        <is>
          <t>2023-11-11 10:27:00</t>
        </is>
      </c>
    </row>
    <row r="390">
      <c r="A390" t="inlineStr">
        <is>
          <t>R1389</t>
        </is>
      </c>
      <c r="B390" t="inlineStr">
        <is>
          <t>Ortiz, Aaliyah</t>
        </is>
      </c>
      <c r="C390" t="inlineStr">
        <is>
          <t>06/24/1953</t>
        </is>
      </c>
      <c r="D390" t="inlineStr">
        <is>
          <t>FEMALE</t>
        </is>
      </c>
      <c r="E390" t="inlineStr">
        <is>
          <t>(555) 842-9227</t>
        </is>
      </c>
      <c r="G390" t="inlineStr">
        <is>
          <t>Pine Hollow, OH 45640-8347</t>
        </is>
      </c>
      <c r="H390" t="inlineStr">
        <is>
          <t>SILVERLINE MEDICARE ADV.</t>
        </is>
      </c>
      <c r="I390" t="inlineStr">
        <is>
          <t>09572943</t>
        </is>
      </c>
      <c r="J390" t="inlineStr">
        <is>
          <t>2024-06-05 10:46:00</t>
        </is>
      </c>
    </row>
    <row r="391">
      <c r="A391" t="inlineStr">
        <is>
          <t>R1390</t>
        </is>
      </c>
      <c r="B391" t="inlineStr">
        <is>
          <t>Bradley, Christian</t>
        </is>
      </c>
      <c r="C391" t="inlineStr">
        <is>
          <t>08/01/2005</t>
        </is>
      </c>
      <c r="D391" t="inlineStr">
        <is>
          <t>M</t>
        </is>
      </c>
      <c r="E391" t="inlineStr">
        <is>
          <t>(555) 901-7787</t>
        </is>
      </c>
      <c r="G391" t="inlineStr">
        <is>
          <t>Lakeview Heights, OH 45510</t>
        </is>
      </c>
      <c r="H391" t="inlineStr">
        <is>
          <t>EVERGREEN MUTUAL INS</t>
        </is>
      </c>
      <c r="I391" t="inlineStr">
        <is>
          <t>05766438</t>
        </is>
      </c>
      <c r="J391" t="inlineStr">
        <is>
          <t>2009-10-12 17:47:00</t>
        </is>
      </c>
    </row>
    <row r="392">
      <c r="A392" t="inlineStr">
        <is>
          <t>R1391</t>
        </is>
      </c>
      <c r="B392" t="inlineStr">
        <is>
          <t xml:space="preserve">  Alvarado ,  Wayne </t>
        </is>
      </c>
      <c r="C392" t="inlineStr">
        <is>
          <t>11/9/1950</t>
        </is>
      </c>
      <c r="D392" t="inlineStr">
        <is>
          <t>M</t>
        </is>
      </c>
      <c r="E392" t="inlineStr">
        <is>
          <t>5558365983</t>
        </is>
      </c>
      <c r="F392" t="inlineStr">
        <is>
          <t>none</t>
        </is>
      </c>
      <c r="G392" t="inlineStr">
        <is>
          <t>Ashby Falls, OH 45610</t>
        </is>
      </c>
      <c r="H392" t="inlineStr">
        <is>
          <t>Medicare</t>
        </is>
      </c>
      <c r="I392" t="inlineStr">
        <is>
          <t>1860654</t>
        </is>
      </c>
      <c r="J392" t="inlineStr">
        <is>
          <t>2016-03-24 08:09:00</t>
        </is>
      </c>
    </row>
    <row r="393">
      <c r="A393" t="inlineStr">
        <is>
          <t>R1392</t>
        </is>
      </c>
      <c r="B393" t="inlineStr">
        <is>
          <t>Grace Porter</t>
        </is>
      </c>
      <c r="C393" t="inlineStr">
        <is>
          <t>1954-07-02</t>
        </is>
      </c>
      <c r="D393" t="inlineStr">
        <is>
          <t>FEMALE</t>
        </is>
      </c>
      <c r="E393" t="inlineStr">
        <is>
          <t>+1 555 491 9202</t>
        </is>
      </c>
      <c r="F393" t="inlineStr">
        <is>
          <t>GRACE.PORTER46@EXAMPLE.COM</t>
        </is>
      </c>
      <c r="G393" t="inlineStr">
        <is>
          <t>Bluestone OH 45503</t>
        </is>
      </c>
      <c r="H393" t="inlineStr">
        <is>
          <t>MEDICARE</t>
        </is>
      </c>
      <c r="I393" t="inlineStr">
        <is>
          <t>04969153</t>
        </is>
      </c>
      <c r="J393" t="inlineStr">
        <is>
          <t>04/29/2008 12:49 PM</t>
        </is>
      </c>
    </row>
    <row r="394">
      <c r="A394" t="inlineStr">
        <is>
          <t>R1393</t>
        </is>
      </c>
      <c r="B394" t="inlineStr">
        <is>
          <t>Jose Hunter</t>
        </is>
      </c>
      <c r="C394" t="inlineStr">
        <is>
          <t>1964-01-15</t>
        </is>
      </c>
      <c r="D394" t="inlineStr">
        <is>
          <t>m</t>
        </is>
      </c>
      <c r="E394" t="inlineStr">
        <is>
          <t>(555) 611-7422</t>
        </is>
      </c>
      <c r="F394" t="inlineStr">
        <is>
          <t>N/A</t>
        </is>
      </c>
      <c r="G394" t="inlineStr">
        <is>
          <t>Riverbend OH 45545</t>
        </is>
      </c>
      <c r="H394" t="inlineStr">
        <is>
          <t>Medicare</t>
        </is>
      </c>
      <c r="I394" t="inlineStr">
        <is>
          <t>06833009</t>
        </is>
      </c>
      <c r="J394" t="inlineStr">
        <is>
          <t>05/05/2011 02:57 PM</t>
        </is>
      </c>
    </row>
    <row r="395">
      <c r="A395" t="inlineStr">
        <is>
          <t>R1394</t>
        </is>
      </c>
      <c r="B395" t="inlineStr">
        <is>
          <t>Collins, Daniel</t>
        </is>
      </c>
      <c r="C395" t="inlineStr">
        <is>
          <t>04-Dec-1953</t>
        </is>
      </c>
      <c r="D395" t="inlineStr">
        <is>
          <t>Male</t>
        </is>
      </c>
      <c r="F395" t="inlineStr">
        <is>
          <t>daniel.collins46@example.com</t>
        </is>
      </c>
      <c r="G395" t="inlineStr">
        <is>
          <t>Riverbend, OH 45545</t>
        </is>
      </c>
      <c r="H395" t="inlineStr">
        <is>
          <t>medicare</t>
        </is>
      </c>
      <c r="I395" t="inlineStr">
        <is>
          <t>9658059</t>
        </is>
      </c>
      <c r="J395" t="inlineStr">
        <is>
          <t>04/27/2008 08:04 AM</t>
        </is>
      </c>
    </row>
    <row r="396">
      <c r="A396" t="inlineStr">
        <is>
          <t>R1395</t>
        </is>
      </c>
      <c r="B396" t="inlineStr">
        <is>
          <t>Palmer, Henry</t>
        </is>
      </c>
      <c r="C396" t="inlineStr">
        <is>
          <t>1938-05-06</t>
        </is>
      </c>
      <c r="D396" t="inlineStr">
        <is>
          <t>m</t>
        </is>
      </c>
      <c r="E396" t="inlineStr">
        <is>
          <t>5557465684</t>
        </is>
      </c>
      <c r="F396" t="inlineStr">
        <is>
          <t>henry.palmer36@example.com</t>
        </is>
      </c>
      <c r="G396" t="inlineStr">
        <is>
          <t>RIVERBEND, OH 45545</t>
        </is>
      </c>
      <c r="H396" t="inlineStr">
        <is>
          <t xml:space="preserve">Medicare </t>
        </is>
      </c>
      <c r="I396" t="inlineStr">
        <is>
          <t>01315892</t>
        </is>
      </c>
      <c r="J396" t="inlineStr">
        <is>
          <t>2012-01-16 18:07:00</t>
        </is>
      </c>
    </row>
    <row r="397">
      <c r="A397" t="inlineStr">
        <is>
          <t>R1396</t>
        </is>
      </c>
      <c r="B397" t="inlineStr">
        <is>
          <t>WARREN, CHARLES</t>
        </is>
      </c>
      <c r="C397" t="inlineStr">
        <is>
          <t>12/03/1964</t>
        </is>
      </c>
      <c r="D397" t="inlineStr">
        <is>
          <t>m</t>
        </is>
      </c>
      <c r="E397" t="inlineStr">
        <is>
          <t>5557036527</t>
        </is>
      </c>
      <c r="F397" t="inlineStr">
        <is>
          <t>none</t>
        </is>
      </c>
      <c r="G397" t="inlineStr">
        <is>
          <t>Cedar Ridge, OH 45720</t>
        </is>
      </c>
      <c r="H397" t="inlineStr">
        <is>
          <t>MEDICARE</t>
        </is>
      </c>
      <c r="I397" t="inlineStr">
        <is>
          <t>9335474</t>
        </is>
      </c>
      <c r="J397" t="inlineStr">
        <is>
          <t>10/11/2021 04:14 PM</t>
        </is>
      </c>
    </row>
    <row r="398">
      <c r="A398" t="inlineStr">
        <is>
          <t>R1397</t>
        </is>
      </c>
      <c r="B398" t="inlineStr">
        <is>
          <t>Walker, Judith</t>
        </is>
      </c>
      <c r="C398" t="inlineStr">
        <is>
          <t>14-Nov-1993</t>
        </is>
      </c>
      <c r="D398" t="inlineStr">
        <is>
          <t>FEMALE</t>
        </is>
      </c>
      <c r="E398" t="inlineStr">
        <is>
          <t>(555) 404-7258</t>
        </is>
      </c>
      <c r="F398" t="inlineStr">
        <is>
          <t>judith.walker43@example.com</t>
        </is>
      </c>
      <c r="G398" t="inlineStr">
        <is>
          <t>Bluestone, OH 45502</t>
        </is>
      </c>
      <c r="H398" t="inlineStr">
        <is>
          <t>evergreen mutual insurance</t>
        </is>
      </c>
      <c r="I398" t="inlineStr">
        <is>
          <t>2570260</t>
        </is>
      </c>
      <c r="J398" t="inlineStr">
        <is>
          <t>06/25/2024 09:29 AM</t>
        </is>
      </c>
    </row>
    <row r="399">
      <c r="A399" t="inlineStr">
        <is>
          <t>R1398</t>
        </is>
      </c>
      <c r="B399" t="inlineStr">
        <is>
          <t>RUSSELL, AMINA</t>
        </is>
      </c>
      <c r="C399" t="inlineStr">
        <is>
          <t>10/13/2002</t>
        </is>
      </c>
      <c r="D399" t="inlineStr">
        <is>
          <t>F</t>
        </is>
      </c>
      <c r="E399" t="inlineStr">
        <is>
          <t>5557389748</t>
        </is>
      </c>
      <c r="F399" t="inlineStr">
        <is>
          <t>N/A</t>
        </is>
      </c>
      <c r="G399" t="inlineStr">
        <is>
          <t>Bluestone OH 45501</t>
        </is>
      </c>
      <c r="H399" t="inlineStr">
        <is>
          <t>medicare</t>
        </is>
      </c>
      <c r="I399" t="inlineStr">
        <is>
          <t>08037553</t>
        </is>
      </c>
      <c r="J399" t="inlineStr">
        <is>
          <t>2020-08-13 16:16:00</t>
        </is>
      </c>
    </row>
    <row r="400">
      <c r="A400" t="inlineStr">
        <is>
          <t>R1399</t>
        </is>
      </c>
      <c r="B400" t="inlineStr">
        <is>
          <t>Wilson, Rebecca</t>
        </is>
      </c>
      <c r="C400" t="inlineStr">
        <is>
          <t>4/8/1992</t>
        </is>
      </c>
      <c r="D400" t="inlineStr">
        <is>
          <t>FEMALE</t>
        </is>
      </c>
      <c r="E400" t="inlineStr">
        <is>
          <t>555.243.5347</t>
        </is>
      </c>
      <c r="F400" t="inlineStr">
        <is>
          <t>none</t>
        </is>
      </c>
      <c r="G400" t="inlineStr">
        <is>
          <t>FAIRHAVEN, OH 45620</t>
        </is>
      </c>
      <c r="H400" t="inlineStr">
        <is>
          <t>State Medicaid</t>
        </is>
      </c>
      <c r="I400" t="inlineStr">
        <is>
          <t>08079623</t>
        </is>
      </c>
      <c r="J400" t="inlineStr">
        <is>
          <t>2013-05-20 16:05:00</t>
        </is>
      </c>
    </row>
    <row r="401">
      <c r="A401" t="inlineStr">
        <is>
          <t>R1400</t>
        </is>
      </c>
      <c r="B401" t="inlineStr">
        <is>
          <t>Robinson, Brian</t>
        </is>
      </c>
      <c r="C401" t="inlineStr">
        <is>
          <t>05/09/2006</t>
        </is>
      </c>
      <c r="D401" t="inlineStr">
        <is>
          <t xml:space="preserve">M </t>
        </is>
      </c>
      <c r="E401" t="inlineStr">
        <is>
          <t>5553216567</t>
        </is>
      </c>
      <c r="F401" t="inlineStr">
        <is>
          <t xml:space="preserve"> brian.robinson55@example.com </t>
        </is>
      </c>
      <c r="G401" t="inlineStr">
        <is>
          <t>Cedar Ridge OH 45720</t>
        </is>
      </c>
      <c r="H401" t="inlineStr">
        <is>
          <t>STATE MEDICAID</t>
        </is>
      </c>
      <c r="I401" t="inlineStr">
        <is>
          <t>03479397</t>
        </is>
      </c>
      <c r="J401" t="inlineStr">
        <is>
          <t>2018-12-24 15:12:00</t>
        </is>
      </c>
    </row>
    <row r="402">
      <c r="A402" t="inlineStr">
        <is>
          <t>R1401</t>
        </is>
      </c>
      <c r="B402" t="inlineStr">
        <is>
          <t xml:space="preserve">  Andrews ,  Danielle </t>
        </is>
      </c>
      <c r="C402" t="inlineStr">
        <is>
          <t>1990-07-02</t>
        </is>
      </c>
      <c r="D402" t="inlineStr">
        <is>
          <t>FEMALE</t>
        </is>
      </c>
      <c r="E402" t="inlineStr">
        <is>
          <t>5559599966</t>
        </is>
      </c>
      <c r="F402" t="inlineStr">
        <is>
          <t xml:space="preserve"> danielle.andrews44@example.com </t>
        </is>
      </c>
      <c r="G402" t="inlineStr">
        <is>
          <t>Cedar Ridge, OH 45720</t>
        </is>
      </c>
      <c r="H402" t="inlineStr">
        <is>
          <t>Evergreen Mutual Insurance</t>
        </is>
      </c>
      <c r="I402" t="inlineStr">
        <is>
          <t>07250969</t>
        </is>
      </c>
      <c r="J402" t="inlineStr">
        <is>
          <t>2024-10-04 08:23:00</t>
        </is>
      </c>
    </row>
    <row r="403">
      <c r="A403" t="inlineStr">
        <is>
          <t>R1402</t>
        </is>
      </c>
      <c r="B403" t="inlineStr">
        <is>
          <t>Ethan Carpenter</t>
        </is>
      </c>
      <c r="C403" t="inlineStr">
        <is>
          <t>04/15/1976</t>
        </is>
      </c>
      <c r="D403" t="inlineStr">
        <is>
          <t>MALE</t>
        </is>
      </c>
      <c r="E403" t="inlineStr">
        <is>
          <t>+1 555 374 7862</t>
        </is>
      </c>
      <c r="F403" t="inlineStr">
        <is>
          <t>none</t>
        </is>
      </c>
      <c r="G403" t="inlineStr">
        <is>
          <t>Bluestone, OH 45501</t>
        </is>
      </c>
      <c r="H403" t="inlineStr">
        <is>
          <t>medicaid</t>
        </is>
      </c>
      <c r="I403" t="inlineStr">
        <is>
          <t>09533208</t>
        </is>
      </c>
      <c r="J403" t="inlineStr">
        <is>
          <t>2022-07-25 13:43:00</t>
        </is>
      </c>
    </row>
    <row r="404">
      <c r="A404" t="inlineStr">
        <is>
          <t>R1403</t>
        </is>
      </c>
      <c r="B404" t="inlineStr">
        <is>
          <t>CHAVEZ, HELEN</t>
        </is>
      </c>
      <c r="C404" t="inlineStr">
        <is>
          <t>12/23/2020</t>
        </is>
      </c>
      <c r="D404" t="inlineStr">
        <is>
          <t>f</t>
        </is>
      </c>
      <c r="E404" t="inlineStr">
        <is>
          <t>+1 555 697 4114</t>
        </is>
      </c>
      <c r="F404" t="inlineStr">
        <is>
          <t>N/A</t>
        </is>
      </c>
      <c r="G404" t="inlineStr">
        <is>
          <t>Riverbend, OH 45545-2821</t>
        </is>
      </c>
      <c r="H404" t="inlineStr">
        <is>
          <t>State Medicaid</t>
        </is>
      </c>
      <c r="I404" t="inlineStr">
        <is>
          <t>07050556</t>
        </is>
      </c>
      <c r="J404" t="inlineStr">
        <is>
          <t>2024-10-03 08:01:00</t>
        </is>
      </c>
    </row>
    <row r="405">
      <c r="A405" t="inlineStr">
        <is>
          <t>R1404</t>
        </is>
      </c>
      <c r="B405" t="inlineStr">
        <is>
          <t xml:space="preserve">  Hill ,  William </t>
        </is>
      </c>
      <c r="C405" t="inlineStr">
        <is>
          <t>04/14/1976</t>
        </is>
      </c>
      <c r="D405" t="inlineStr">
        <is>
          <t xml:space="preserve">M </t>
        </is>
      </c>
      <c r="E405" t="inlineStr">
        <is>
          <t>555-608-2788</t>
        </is>
      </c>
      <c r="G405" t="inlineStr">
        <is>
          <t>Bluestone, OH 45502</t>
        </is>
      </c>
      <c r="H405" t="inlineStr">
        <is>
          <t>Keystone Health Ptnrs</t>
        </is>
      </c>
      <c r="I405" t="inlineStr">
        <is>
          <t>MRN-02364235</t>
        </is>
      </c>
      <c r="J405" t="inlineStr">
        <is>
          <t>2023-03-04 15:01:00</t>
        </is>
      </c>
    </row>
    <row r="406">
      <c r="A406" t="inlineStr">
        <is>
          <t>R1405</t>
        </is>
      </c>
      <c r="B406" t="inlineStr">
        <is>
          <t>Timothy Nguyen</t>
        </is>
      </c>
      <c r="C406" t="inlineStr">
        <is>
          <t>06/07/1988</t>
        </is>
      </c>
      <c r="D406" t="inlineStr">
        <is>
          <t xml:space="preserve">M </t>
        </is>
      </c>
      <c r="E406" t="inlineStr">
        <is>
          <t>5558630329</t>
        </is>
      </c>
      <c r="F406" t="inlineStr">
        <is>
          <t>timothy.nguyen2@example.com</t>
        </is>
      </c>
      <c r="G406" t="inlineStr">
        <is>
          <t>Ashby Falls, OH 45610</t>
        </is>
      </c>
      <c r="H406" t="inlineStr">
        <is>
          <t>Evergreen Mutual Insurance</t>
        </is>
      </c>
      <c r="I406" t="inlineStr">
        <is>
          <t>07422003</t>
        </is>
      </c>
      <c r="J406" t="inlineStr">
        <is>
          <t>2023-05-21 16:17:00</t>
        </is>
      </c>
    </row>
    <row r="407">
      <c r="A407" t="inlineStr">
        <is>
          <t>R1406</t>
        </is>
      </c>
      <c r="B407" t="inlineStr">
        <is>
          <t>Alan Reynolds</t>
        </is>
      </c>
      <c r="C407" t="inlineStr">
        <is>
          <t>03/31/1968</t>
        </is>
      </c>
      <c r="D407" t="inlineStr">
        <is>
          <t>MALE</t>
        </is>
      </c>
      <c r="E407" t="inlineStr">
        <is>
          <t>555-310-1596</t>
        </is>
      </c>
      <c r="F407" t="inlineStr">
        <is>
          <t xml:space="preserve"> alan.reynolds93@example.com </t>
        </is>
      </c>
      <c r="G407" t="inlineStr">
        <is>
          <t>Cedar Ridge, OH 45720</t>
        </is>
      </c>
      <c r="H407" t="inlineStr">
        <is>
          <t>Keystone</t>
        </is>
      </c>
      <c r="I407" t="inlineStr">
        <is>
          <t>06061489</t>
        </is>
      </c>
      <c r="J407" t="inlineStr">
        <is>
          <t>2016-03-17 08:19:00</t>
        </is>
      </c>
    </row>
    <row r="408">
      <c r="A408" t="inlineStr">
        <is>
          <t>R1407</t>
        </is>
      </c>
      <c r="B408" t="inlineStr">
        <is>
          <t>Ward, Thomas</t>
        </is>
      </c>
      <c r="C408" t="inlineStr">
        <is>
          <t>1964-08-14</t>
        </is>
      </c>
      <c r="D408" t="inlineStr">
        <is>
          <t>Male</t>
        </is>
      </c>
      <c r="E408" t="inlineStr">
        <is>
          <t>555-951-4780</t>
        </is>
      </c>
      <c r="F408" t="inlineStr">
        <is>
          <t>thomas.ward53@example.com</t>
        </is>
      </c>
      <c r="G408" t="inlineStr">
        <is>
          <t>Cedar Ridge, OH 45720</t>
        </is>
      </c>
      <c r="H408" t="inlineStr">
        <is>
          <t>SUMMIT CHOICE PPO</t>
        </is>
      </c>
      <c r="I408" t="inlineStr">
        <is>
          <t>00100233</t>
        </is>
      </c>
      <c r="J408" t="inlineStr">
        <is>
          <t>2010-11-07 12:06:00</t>
        </is>
      </c>
    </row>
    <row r="409">
      <c r="A409" t="inlineStr">
        <is>
          <t>R1408</t>
        </is>
      </c>
      <c r="B409" t="inlineStr">
        <is>
          <t xml:space="preserve">  Harrison ,  Kayla </t>
        </is>
      </c>
      <c r="C409" t="inlineStr">
        <is>
          <t>12/20/1975</t>
        </is>
      </c>
      <c r="D409" t="inlineStr">
        <is>
          <t>f</t>
        </is>
      </c>
      <c r="E409" t="inlineStr">
        <is>
          <t>555.281.1106</t>
        </is>
      </c>
      <c r="F409" t="inlineStr">
        <is>
          <t xml:space="preserve"> kayla.harrison19@example.com </t>
        </is>
      </c>
      <c r="G409" t="inlineStr">
        <is>
          <t>Lakeview Heights, OH 45510</t>
        </is>
      </c>
      <c r="H409" t="inlineStr">
        <is>
          <t>Summit Choice</t>
        </is>
      </c>
      <c r="I409" t="inlineStr">
        <is>
          <t>03441776</t>
        </is>
      </c>
      <c r="J409" t="inlineStr">
        <is>
          <t>12/13/2018 12:05 PM</t>
        </is>
      </c>
    </row>
    <row r="410">
      <c r="A410" t="inlineStr">
        <is>
          <t>R1409</t>
        </is>
      </c>
      <c r="B410" t="inlineStr">
        <is>
          <t>WHITE, AMBER</t>
        </is>
      </c>
      <c r="C410" t="inlineStr">
        <is>
          <t>6/24/1996</t>
        </is>
      </c>
      <c r="D410" t="inlineStr">
        <is>
          <t xml:space="preserve"> F</t>
        </is>
      </c>
      <c r="E410" t="inlineStr">
        <is>
          <t>5555563833</t>
        </is>
      </c>
      <c r="F410" t="inlineStr">
        <is>
          <t>amber.white81@example.com</t>
        </is>
      </c>
      <c r="G410" t="inlineStr">
        <is>
          <t>Cedar Ridge, OH 45720</t>
        </is>
      </c>
      <c r="H410" t="inlineStr">
        <is>
          <t>STATE MEDICAID</t>
        </is>
      </c>
      <c r="I410" t="inlineStr">
        <is>
          <t>3929231</t>
        </is>
      </c>
      <c r="J410" t="inlineStr">
        <is>
          <t>07/10/2024 07:15 AM</t>
        </is>
      </c>
    </row>
    <row r="411">
      <c r="A411" t="inlineStr">
        <is>
          <t>R1410</t>
        </is>
      </c>
      <c r="B411" t="inlineStr">
        <is>
          <t>rivera, sara</t>
        </is>
      </c>
      <c r="C411" t="inlineStr">
        <is>
          <t>08-May-2003</t>
        </is>
      </c>
      <c r="D411" t="inlineStr">
        <is>
          <t>F</t>
        </is>
      </c>
      <c r="E411" t="inlineStr">
        <is>
          <t>555.959.7535</t>
        </is>
      </c>
      <c r="F411" t="inlineStr">
        <is>
          <t>N/A</t>
        </is>
      </c>
      <c r="G411" t="inlineStr">
        <is>
          <t>Bluestone, OH 45501</t>
        </is>
      </c>
      <c r="H411" t="inlineStr">
        <is>
          <t>EVERGREEN MUTUAL INS</t>
        </is>
      </c>
      <c r="I411" t="inlineStr">
        <is>
          <t>5674546</t>
        </is>
      </c>
      <c r="J411" t="inlineStr">
        <is>
          <t>01/27/2010 12:06 PM</t>
        </is>
      </c>
    </row>
    <row r="412">
      <c r="A412" t="inlineStr">
        <is>
          <t>R1411</t>
        </is>
      </c>
      <c r="B412" t="inlineStr">
        <is>
          <t>Hayes, Nicholas</t>
        </is>
      </c>
      <c r="C412" t="inlineStr">
        <is>
          <t>1989-04-08</t>
        </is>
      </c>
      <c r="D412" t="inlineStr">
        <is>
          <t xml:space="preserve">M </t>
        </is>
      </c>
      <c r="E412" t="inlineStr">
        <is>
          <t>+1 555 855 2858</t>
        </is>
      </c>
      <c r="F412" t="inlineStr">
        <is>
          <t>NICHOLAS.HAYES10@EXAMPLE.COM</t>
        </is>
      </c>
      <c r="G412" t="inlineStr">
        <is>
          <t>Cedar Ridge OH 45720</t>
        </is>
      </c>
      <c r="H412" t="inlineStr">
        <is>
          <t>Keystone Health Ptnrs</t>
        </is>
      </c>
      <c r="I412" t="inlineStr">
        <is>
          <t>01583225</t>
        </is>
      </c>
      <c r="J412" t="inlineStr">
        <is>
          <t>2012-02-17 13:52:00</t>
        </is>
      </c>
    </row>
    <row r="413">
      <c r="A413" t="inlineStr">
        <is>
          <t>R1412</t>
        </is>
      </c>
      <c r="B413" t="inlineStr">
        <is>
          <t>Holmes, Jessica</t>
        </is>
      </c>
      <c r="C413" t="inlineStr">
        <is>
          <t>03/31/1981</t>
        </is>
      </c>
      <c r="D413" t="inlineStr">
        <is>
          <t xml:space="preserve"> F</t>
        </is>
      </c>
      <c r="E413" t="inlineStr">
        <is>
          <t>555-983-1092</t>
        </is>
      </c>
      <c r="F413" t="inlineStr">
        <is>
          <t>jessica.holmes71@example.com</t>
        </is>
      </c>
      <c r="G413" t="inlineStr">
        <is>
          <t>Cedar Ridge OH 45720</t>
        </is>
      </c>
      <c r="H413" t="inlineStr">
        <is>
          <t>Evergreen Mutual Insurance</t>
        </is>
      </c>
      <c r="I413" t="inlineStr">
        <is>
          <t>07958044</t>
        </is>
      </c>
      <c r="J413" t="inlineStr">
        <is>
          <t>2023-05-08 13:58:00</t>
        </is>
      </c>
    </row>
    <row r="414">
      <c r="A414" t="inlineStr">
        <is>
          <t>R1413</t>
        </is>
      </c>
      <c r="B414" t="inlineStr">
        <is>
          <t>coleman, mei</t>
        </is>
      </c>
      <c r="C414" t="inlineStr">
        <is>
          <t>1975-09-30</t>
        </is>
      </c>
      <c r="D414" t="inlineStr">
        <is>
          <t>FEMALE</t>
        </is>
      </c>
      <c r="E414" t="inlineStr">
        <is>
          <t>5553414951</t>
        </is>
      </c>
      <c r="F414" t="inlineStr">
        <is>
          <t>MEI.COLEMAN79@EXAMPLE.COM</t>
        </is>
      </c>
      <c r="G414" t="inlineStr">
        <is>
          <t>Bluestone, OH 45502</t>
        </is>
      </c>
      <c r="H414" t="inlineStr">
        <is>
          <t>Evergreen Mutual Insurance</t>
        </is>
      </c>
      <c r="I414" t="inlineStr">
        <is>
          <t>01580053</t>
        </is>
      </c>
      <c r="J414" t="inlineStr">
        <is>
          <t>2022-09-23 09:55:00</t>
        </is>
      </c>
    </row>
    <row r="415">
      <c r="A415" t="inlineStr">
        <is>
          <t>R1414</t>
        </is>
      </c>
      <c r="B415" t="inlineStr">
        <is>
          <t>Helen Richards</t>
        </is>
      </c>
      <c r="C415" t="inlineStr">
        <is>
          <t>18-Sep-1970</t>
        </is>
      </c>
      <c r="D415" t="inlineStr">
        <is>
          <t>F</t>
        </is>
      </c>
      <c r="E415" t="inlineStr">
        <is>
          <t>+1 555 292 4923</t>
        </is>
      </c>
      <c r="F415" t="inlineStr">
        <is>
          <t>helen.richards34@example.com</t>
        </is>
      </c>
      <c r="G415" t="inlineStr">
        <is>
          <t>Bluestone, OH 45501-8671</t>
        </is>
      </c>
      <c r="H415" t="inlineStr">
        <is>
          <t>Summit PPO</t>
        </is>
      </c>
      <c r="I415" t="inlineStr">
        <is>
          <t>7134019</t>
        </is>
      </c>
      <c r="J415" t="inlineStr">
        <is>
          <t>09/28/2023 04:00 PM</t>
        </is>
      </c>
    </row>
    <row r="416">
      <c r="A416" t="inlineStr">
        <is>
          <t>R1415</t>
        </is>
      </c>
      <c r="B416" t="inlineStr">
        <is>
          <t>SANCHEZ, DIANA</t>
        </is>
      </c>
      <c r="C416" t="inlineStr">
        <is>
          <t>10/29/2016</t>
        </is>
      </c>
      <c r="D416" t="inlineStr">
        <is>
          <t>Female</t>
        </is>
      </c>
      <c r="E416" t="inlineStr">
        <is>
          <t>(555) 220-4806</t>
        </is>
      </c>
      <c r="F416" t="inlineStr">
        <is>
          <t>N/A</t>
        </is>
      </c>
      <c r="G416" t="inlineStr">
        <is>
          <t>Bluestone, OH 45502</t>
        </is>
      </c>
      <c r="H416" t="inlineStr">
        <is>
          <t>Summit PPO</t>
        </is>
      </c>
      <c r="I416" t="inlineStr">
        <is>
          <t>2389560</t>
        </is>
      </c>
      <c r="J416" t="inlineStr">
        <is>
          <t>2020-09-20 15:40:00</t>
        </is>
      </c>
    </row>
    <row r="417">
      <c r="A417" t="inlineStr">
        <is>
          <t>R1416</t>
        </is>
      </c>
      <c r="B417" t="inlineStr">
        <is>
          <t>Daniels, Mei</t>
        </is>
      </c>
      <c r="C417" t="inlineStr">
        <is>
          <t>1991-04-30</t>
        </is>
      </c>
      <c r="D417" t="inlineStr">
        <is>
          <t>Female</t>
        </is>
      </c>
      <c r="E417" t="inlineStr">
        <is>
          <t>(555) 735-7501</t>
        </is>
      </c>
      <c r="F417" t="inlineStr">
        <is>
          <t>none</t>
        </is>
      </c>
      <c r="G417" t="inlineStr">
        <is>
          <t>Ashby Falls, OH 45610</t>
        </is>
      </c>
      <c r="H417" t="inlineStr">
        <is>
          <t>Keystone Health Ptnrs</t>
        </is>
      </c>
      <c r="I417" t="inlineStr">
        <is>
          <t>08347484</t>
        </is>
      </c>
      <c r="J417" t="inlineStr">
        <is>
          <t>2024-04-01 07:41:00</t>
        </is>
      </c>
    </row>
    <row r="418">
      <c r="A418" t="inlineStr">
        <is>
          <t>R1417</t>
        </is>
      </c>
      <c r="B418" t="inlineStr">
        <is>
          <t>Webb, Donald</t>
        </is>
      </c>
      <c r="C418" t="inlineStr">
        <is>
          <t>1967-01-14</t>
        </is>
      </c>
      <c r="D418" t="inlineStr">
        <is>
          <t>MALE</t>
        </is>
      </c>
      <c r="E418" t="inlineStr">
        <is>
          <t>(555) 667-2592</t>
        </is>
      </c>
      <c r="F418" t="inlineStr">
        <is>
          <t>donald.webb86@example.com</t>
        </is>
      </c>
      <c r="G418" t="inlineStr">
        <is>
          <t>BLUESTONE, OH 45503</t>
        </is>
      </c>
      <c r="H418" t="inlineStr">
        <is>
          <t>SELF PAY</t>
        </is>
      </c>
      <c r="I418" t="inlineStr">
        <is>
          <t>MRN-05026116</t>
        </is>
      </c>
      <c r="J418" t="inlineStr">
        <is>
          <t>05/31/2017 12:29 PM</t>
        </is>
      </c>
    </row>
    <row r="419">
      <c r="A419" t="inlineStr">
        <is>
          <t>R1418</t>
        </is>
      </c>
      <c r="B419" t="inlineStr">
        <is>
          <t>Jackson, Natalie</t>
        </is>
      </c>
      <c r="C419" t="inlineStr">
        <is>
          <t>02/19/1965</t>
        </is>
      </c>
      <c r="D419" t="inlineStr">
        <is>
          <t xml:space="preserve"> F</t>
        </is>
      </c>
      <c r="E419" t="inlineStr">
        <is>
          <t>5555783874</t>
        </is>
      </c>
      <c r="G419" t="inlineStr">
        <is>
          <t>Bluestone, OH 45503</t>
        </is>
      </c>
      <c r="H419" t="inlineStr">
        <is>
          <t>STATE MEDICAID</t>
        </is>
      </c>
      <c r="I419" t="inlineStr">
        <is>
          <t>7344075</t>
        </is>
      </c>
      <c r="J419" t="inlineStr">
        <is>
          <t>09/20/2013 03:57 PM</t>
        </is>
      </c>
    </row>
    <row r="420">
      <c r="A420" t="inlineStr">
        <is>
          <t>R1419</t>
        </is>
      </c>
      <c r="B420" t="inlineStr">
        <is>
          <t>BERRY, BRYAN</t>
        </is>
      </c>
      <c r="C420" t="inlineStr">
        <is>
          <t>11/19/1961</t>
        </is>
      </c>
      <c r="D420" t="inlineStr">
        <is>
          <t xml:space="preserve">M </t>
        </is>
      </c>
      <c r="E420" t="inlineStr">
        <is>
          <t>555.545.4947</t>
        </is>
      </c>
      <c r="F420" t="inlineStr">
        <is>
          <t>none</t>
        </is>
      </c>
      <c r="G420" t="inlineStr">
        <is>
          <t>LAKEVIEW HEIGHTS, OH 45510</t>
        </is>
      </c>
      <c r="H420" t="inlineStr">
        <is>
          <t>Keystone</t>
        </is>
      </c>
      <c r="I420" t="inlineStr">
        <is>
          <t>07401534</t>
        </is>
      </c>
      <c r="J420" t="inlineStr">
        <is>
          <t>07/28/2011 12:47 PM</t>
        </is>
      </c>
    </row>
    <row r="421">
      <c r="A421" t="inlineStr">
        <is>
          <t>R1420</t>
        </is>
      </c>
      <c r="B421" t="inlineStr">
        <is>
          <t>LOPEZ, ROSA</t>
        </is>
      </c>
      <c r="C421" t="inlineStr">
        <is>
          <t>09/05/1945</t>
        </is>
      </c>
      <c r="D421" t="inlineStr">
        <is>
          <t>F</t>
        </is>
      </c>
      <c r="E421" t="inlineStr">
        <is>
          <t>(555) 550-5753</t>
        </is>
      </c>
      <c r="F421" t="inlineStr">
        <is>
          <t>rosa.lopez32@example.com</t>
        </is>
      </c>
      <c r="G421" t="inlineStr">
        <is>
          <t>Cedar Ridge OH 45720</t>
        </is>
      </c>
      <c r="H421" t="inlineStr">
        <is>
          <t>medicare</t>
        </is>
      </c>
      <c r="I421" t="inlineStr">
        <is>
          <t>1512014</t>
        </is>
      </c>
      <c r="J421" t="inlineStr">
        <is>
          <t>01/14/2021 05:33 PM</t>
        </is>
      </c>
    </row>
    <row r="422">
      <c r="A422" t="inlineStr">
        <is>
          <t>R1421</t>
        </is>
      </c>
      <c r="B422" t="inlineStr">
        <is>
          <t>HOLMES, LINH</t>
        </is>
      </c>
      <c r="C422" t="inlineStr">
        <is>
          <t>1960-11-29</t>
        </is>
      </c>
      <c r="D422" t="inlineStr">
        <is>
          <t>F</t>
        </is>
      </c>
      <c r="E422" t="inlineStr">
        <is>
          <t>555-323-6796</t>
        </is>
      </c>
      <c r="F422" t="inlineStr">
        <is>
          <t>linh.holmes92@example.com</t>
        </is>
      </c>
      <c r="G422" t="inlineStr">
        <is>
          <t>Pine Hollow, OH 45640-4804</t>
        </is>
      </c>
      <c r="H422" t="inlineStr">
        <is>
          <t>medicaid</t>
        </is>
      </c>
      <c r="I422" t="inlineStr">
        <is>
          <t>03873071</t>
        </is>
      </c>
      <c r="J422" t="inlineStr">
        <is>
          <t>2018-05-02 16:19:00</t>
        </is>
      </c>
    </row>
    <row r="423">
      <c r="A423" t="inlineStr">
        <is>
          <t>R1422</t>
        </is>
      </c>
      <c r="B423" t="inlineStr">
        <is>
          <t>Jones, Susan</t>
        </is>
      </c>
      <c r="C423" t="inlineStr">
        <is>
          <t>14-Sep-1968</t>
        </is>
      </c>
      <c r="D423" t="inlineStr">
        <is>
          <t>F</t>
        </is>
      </c>
      <c r="E423" t="inlineStr">
        <is>
          <t>555-617-3686</t>
        </is>
      </c>
      <c r="F423" t="inlineStr">
        <is>
          <t xml:space="preserve"> susan.jones36@example.com </t>
        </is>
      </c>
      <c r="G423" t="inlineStr">
        <is>
          <t>BLUESTONE, OH 45503</t>
        </is>
      </c>
      <c r="H423" t="inlineStr">
        <is>
          <t>Keystone</t>
        </is>
      </c>
      <c r="I423" t="inlineStr">
        <is>
          <t>05095669</t>
        </is>
      </c>
      <c r="J423" t="inlineStr">
        <is>
          <t>2010-09-02 16:27:00</t>
        </is>
      </c>
    </row>
    <row r="424">
      <c r="A424" t="inlineStr">
        <is>
          <t>R1423</t>
        </is>
      </c>
      <c r="B424" t="inlineStr">
        <is>
          <t>thompson, jesse</t>
        </is>
      </c>
      <c r="C424" t="inlineStr">
        <is>
          <t>15-Jun-2005</t>
        </is>
      </c>
      <c r="D424" t="inlineStr">
        <is>
          <t>m</t>
        </is>
      </c>
      <c r="F424" t="inlineStr">
        <is>
          <t>N/A</t>
        </is>
      </c>
      <c r="G424" t="inlineStr">
        <is>
          <t>Bluestone, OH 45502</t>
        </is>
      </c>
      <c r="H424" t="inlineStr">
        <is>
          <t>medicaid</t>
        </is>
      </c>
      <c r="I424" t="inlineStr">
        <is>
          <t>03001067</t>
        </is>
      </c>
      <c r="J424" t="inlineStr">
        <is>
          <t>04/10/2008 12:02 PM</t>
        </is>
      </c>
    </row>
    <row r="425">
      <c r="A425" t="inlineStr">
        <is>
          <t>R1424</t>
        </is>
      </c>
      <c r="B425" t="inlineStr">
        <is>
          <t>shaw, larry</t>
        </is>
      </c>
      <c r="C425" t="inlineStr">
        <is>
          <t>1948-09-24</t>
        </is>
      </c>
      <c r="D425" t="inlineStr">
        <is>
          <t>Male</t>
        </is>
      </c>
      <c r="E425" t="inlineStr">
        <is>
          <t>555-201-7862</t>
        </is>
      </c>
      <c r="F425" t="inlineStr">
        <is>
          <t>larry.shaw78@example.com</t>
        </is>
      </c>
      <c r="G425" t="inlineStr">
        <is>
          <t>Bluestone, OH 45502</t>
        </is>
      </c>
      <c r="H425" t="inlineStr">
        <is>
          <t>STATE MEDICAID</t>
        </is>
      </c>
      <c r="I425" t="inlineStr">
        <is>
          <t>04544699</t>
        </is>
      </c>
      <c r="J425" t="inlineStr">
        <is>
          <t>2022-04-23 09:05:00</t>
        </is>
      </c>
    </row>
    <row r="426">
      <c r="A426" t="inlineStr">
        <is>
          <t>R1425</t>
        </is>
      </c>
      <c r="B426" t="inlineStr">
        <is>
          <t xml:space="preserve">  Jordan ,  Judy </t>
        </is>
      </c>
      <c r="C426" t="inlineStr">
        <is>
          <t>01/26/2024</t>
        </is>
      </c>
      <c r="D426" t="inlineStr">
        <is>
          <t>F</t>
        </is>
      </c>
      <c r="E426" t="inlineStr">
        <is>
          <t>(555) 591-5977</t>
        </is>
      </c>
      <c r="G426" t="inlineStr">
        <is>
          <t>Riverbend, OH 45545</t>
        </is>
      </c>
      <c r="H426" t="inlineStr">
        <is>
          <t>State Medicaid</t>
        </is>
      </c>
      <c r="I426" t="inlineStr">
        <is>
          <t>5365885</t>
        </is>
      </c>
      <c r="J426" t="inlineStr">
        <is>
          <t>01/28/2024 06:40 PM</t>
        </is>
      </c>
    </row>
    <row r="427">
      <c r="A427" t="inlineStr">
        <is>
          <t>R1426</t>
        </is>
      </c>
      <c r="B427" t="inlineStr">
        <is>
          <t>Alexander Santos</t>
        </is>
      </c>
      <c r="C427" t="inlineStr">
        <is>
          <t>04/08/1979</t>
        </is>
      </c>
      <c r="D427" t="inlineStr">
        <is>
          <t>M</t>
        </is>
      </c>
      <c r="E427" t="inlineStr">
        <is>
          <t>(555) 792-1910</t>
        </is>
      </c>
      <c r="F427" t="inlineStr">
        <is>
          <t xml:space="preserve"> alexander.santos1@example.com </t>
        </is>
      </c>
      <c r="G427" t="inlineStr">
        <is>
          <t>Lakeview Heights, OH 45510</t>
        </is>
      </c>
      <c r="H427" t="inlineStr">
        <is>
          <t>EVERGREEN MUTUAL INS</t>
        </is>
      </c>
      <c r="I427" t="inlineStr">
        <is>
          <t>03319123</t>
        </is>
      </c>
      <c r="J427" t="inlineStr">
        <is>
          <t>08/02/2018 08:25 AM</t>
        </is>
      </c>
    </row>
    <row r="428">
      <c r="A428" t="inlineStr">
        <is>
          <t>R1427</t>
        </is>
      </c>
      <c r="B428" t="inlineStr">
        <is>
          <t>Robert Edwards</t>
        </is>
      </c>
      <c r="C428" t="inlineStr">
        <is>
          <t>10/7/1960</t>
        </is>
      </c>
      <c r="D428" t="inlineStr">
        <is>
          <t>Male</t>
        </is>
      </c>
      <c r="E428" t="inlineStr">
        <is>
          <t>555-374-8363</t>
        </is>
      </c>
      <c r="F428" t="inlineStr">
        <is>
          <t>none</t>
        </is>
      </c>
      <c r="G428" t="inlineStr">
        <is>
          <t>Bluestone, OH 45503</t>
        </is>
      </c>
      <c r="H428" t="inlineStr">
        <is>
          <t>Medicare</t>
        </is>
      </c>
      <c r="I428" t="inlineStr">
        <is>
          <t>04707379</t>
        </is>
      </c>
      <c r="J428" t="inlineStr">
        <is>
          <t>01/23/2021 10:01 AM</t>
        </is>
      </c>
    </row>
    <row r="429">
      <c r="A429" t="inlineStr">
        <is>
          <t>R1428</t>
        </is>
      </c>
      <c r="B429" t="inlineStr">
        <is>
          <t>Myers, Amanda</t>
        </is>
      </c>
      <c r="C429" t="inlineStr">
        <is>
          <t>05/21/1936</t>
        </is>
      </c>
      <c r="D429" t="inlineStr">
        <is>
          <t>Female</t>
        </is>
      </c>
      <c r="E429" t="inlineStr">
        <is>
          <t>(555) 514-8680</t>
        </is>
      </c>
      <c r="F429" t="inlineStr">
        <is>
          <t>AMANDA.MYERS68@EXAMPLE.COM</t>
        </is>
      </c>
      <c r="G429" t="inlineStr">
        <is>
          <t>ASHBY FALLS, OH 45610</t>
        </is>
      </c>
      <c r="H429" t="inlineStr">
        <is>
          <t>MEDICARE</t>
        </is>
      </c>
      <c r="I429" t="inlineStr">
        <is>
          <t>6388262</t>
        </is>
      </c>
      <c r="J429" t="inlineStr">
        <is>
          <t>05/28/2023 12:54 PM</t>
        </is>
      </c>
    </row>
    <row r="430">
      <c r="A430" t="inlineStr">
        <is>
          <t>R1429</t>
        </is>
      </c>
      <c r="B430" t="inlineStr">
        <is>
          <t>anderson, ethan</t>
        </is>
      </c>
      <c r="C430" t="inlineStr">
        <is>
          <t>8/31/2004</t>
        </is>
      </c>
      <c r="D430" t="inlineStr">
        <is>
          <t xml:space="preserve">M </t>
        </is>
      </c>
      <c r="E430" t="inlineStr">
        <is>
          <t>5559794394</t>
        </is>
      </c>
      <c r="F430" t="inlineStr">
        <is>
          <t>ethan.anderson43@example.com</t>
        </is>
      </c>
      <c r="G430" t="inlineStr">
        <is>
          <t>Riverbend OH 45545</t>
        </is>
      </c>
      <c r="H430" t="inlineStr">
        <is>
          <t>Keystone Health Partners</t>
        </is>
      </c>
      <c r="I430" t="inlineStr">
        <is>
          <t>06383522</t>
        </is>
      </c>
      <c r="J430" t="inlineStr">
        <is>
          <t>08/15/2014 01:25 PM</t>
        </is>
      </c>
    </row>
    <row r="431">
      <c r="A431" t="inlineStr">
        <is>
          <t>R1430</t>
        </is>
      </c>
      <c r="B431" t="inlineStr">
        <is>
          <t>OSEI, AHMED</t>
        </is>
      </c>
      <c r="C431" t="inlineStr">
        <is>
          <t>1973-04-15</t>
        </is>
      </c>
      <c r="D431" t="inlineStr">
        <is>
          <t>M</t>
        </is>
      </c>
      <c r="E431" t="inlineStr">
        <is>
          <t>5552642314</t>
        </is>
      </c>
      <c r="F431" t="inlineStr">
        <is>
          <t>ahmed.osei36@example.com</t>
        </is>
      </c>
      <c r="G431" t="inlineStr">
        <is>
          <t>Pine Hollow, OH 45640-1523</t>
        </is>
      </c>
      <c r="H431" t="inlineStr">
        <is>
          <t>KEYSTONE HEALTH PARTNERS</t>
        </is>
      </c>
      <c r="I431" t="inlineStr">
        <is>
          <t>01535390</t>
        </is>
      </c>
      <c r="J431" t="inlineStr">
        <is>
          <t>2024-05-17 12:01:00</t>
        </is>
      </c>
    </row>
    <row r="432">
      <c r="A432" t="inlineStr">
        <is>
          <t>R1431</t>
        </is>
      </c>
      <c r="B432" t="inlineStr">
        <is>
          <t>RAY, ABIGAIL</t>
        </is>
      </c>
      <c r="C432" t="inlineStr">
        <is>
          <t>09/14/1996</t>
        </is>
      </c>
      <c r="D432" t="inlineStr">
        <is>
          <t>F</t>
        </is>
      </c>
      <c r="E432" t="inlineStr">
        <is>
          <t>555-329-9705</t>
        </is>
      </c>
      <c r="F432" t="inlineStr">
        <is>
          <t>abigail.ray3@example.com</t>
        </is>
      </c>
      <c r="G432" t="inlineStr">
        <is>
          <t>Millbrook, OH 45530-8186</t>
        </is>
      </c>
      <c r="H432" t="inlineStr">
        <is>
          <t>STATE MEDICAID</t>
        </is>
      </c>
      <c r="I432" t="inlineStr">
        <is>
          <t>04041964</t>
        </is>
      </c>
      <c r="J432" t="inlineStr">
        <is>
          <t>01/08/2020 09:33 AM</t>
        </is>
      </c>
    </row>
    <row r="433">
      <c r="A433" t="inlineStr">
        <is>
          <t>R1432</t>
        </is>
      </c>
      <c r="B433" t="inlineStr">
        <is>
          <t>Kennedy, Larry</t>
        </is>
      </c>
      <c r="C433" t="inlineStr">
        <is>
          <t>03/24/1995</t>
        </is>
      </c>
      <c r="D433" t="inlineStr">
        <is>
          <t>M</t>
        </is>
      </c>
      <c r="E433" t="inlineStr">
        <is>
          <t>(555) 645-4182</t>
        </is>
      </c>
      <c r="G433" t="inlineStr">
        <is>
          <t>Bluestone, OH 45501</t>
        </is>
      </c>
      <c r="H433" t="inlineStr">
        <is>
          <t>Summit Choice PPO</t>
        </is>
      </c>
      <c r="I433" t="inlineStr">
        <is>
          <t>05271904</t>
        </is>
      </c>
      <c r="J433" t="inlineStr">
        <is>
          <t>2024-03-24 16:11:00</t>
        </is>
      </c>
    </row>
    <row r="434">
      <c r="A434" t="inlineStr">
        <is>
          <t>R1433</t>
        </is>
      </c>
      <c r="B434" t="inlineStr">
        <is>
          <t>Kowalski, Jose</t>
        </is>
      </c>
      <c r="C434" t="inlineStr">
        <is>
          <t>12/23/1970</t>
        </is>
      </c>
      <c r="D434" t="inlineStr">
        <is>
          <t>M</t>
        </is>
      </c>
      <c r="F434" t="inlineStr">
        <is>
          <t xml:space="preserve"> jose.kowalski5@example.com </t>
        </is>
      </c>
      <c r="G434" t="inlineStr">
        <is>
          <t>Bluestone, OH 45502</t>
        </is>
      </c>
      <c r="H434" t="inlineStr">
        <is>
          <t>Keystone Health Ptnrs</t>
        </is>
      </c>
      <c r="I434" t="inlineStr">
        <is>
          <t>03910482</t>
        </is>
      </c>
      <c r="J434" t="inlineStr">
        <is>
          <t>01/05/2024 05:27 PM</t>
        </is>
      </c>
    </row>
    <row r="435">
      <c r="A435" t="inlineStr">
        <is>
          <t>R1434</t>
        </is>
      </c>
      <c r="B435" t="inlineStr">
        <is>
          <t xml:space="preserve">  Ford ,  Michelle </t>
        </is>
      </c>
      <c r="C435" t="inlineStr">
        <is>
          <t>06/22/2025</t>
        </is>
      </c>
      <c r="D435" t="inlineStr">
        <is>
          <t>Female</t>
        </is>
      </c>
      <c r="E435" t="inlineStr">
        <is>
          <t>(555) 655-6926</t>
        </is>
      </c>
      <c r="G435" t="inlineStr">
        <is>
          <t>Bluestone, OH 45501</t>
        </is>
      </c>
      <c r="H435" t="inlineStr">
        <is>
          <t>medicaid</t>
        </is>
      </c>
      <c r="I435" t="inlineStr">
        <is>
          <t>00852736</t>
        </is>
      </c>
      <c r="J435" t="inlineStr">
        <is>
          <t>2024-06-04 17:36:00</t>
        </is>
      </c>
    </row>
    <row r="436">
      <c r="A436" t="inlineStr">
        <is>
          <t>R1435</t>
        </is>
      </c>
      <c r="B436" t="inlineStr">
        <is>
          <t>HAYES, ROSA</t>
        </is>
      </c>
      <c r="C436" t="inlineStr">
        <is>
          <t>17-May-1949</t>
        </is>
      </c>
      <c r="D436" t="inlineStr">
        <is>
          <t>f</t>
        </is>
      </c>
      <c r="E436" t="inlineStr">
        <is>
          <t>(555) 684-4482</t>
        </is>
      </c>
      <c r="G436" t="inlineStr">
        <is>
          <t>Bluestone, OH 45501</t>
        </is>
      </c>
      <c r="H436" t="inlineStr">
        <is>
          <t>Medicare Part A</t>
        </is>
      </c>
      <c r="I436" t="inlineStr">
        <is>
          <t>4749021</t>
        </is>
      </c>
      <c r="J436" t="inlineStr">
        <is>
          <t>2021-06-06 09:47:00</t>
        </is>
      </c>
    </row>
    <row r="437">
      <c r="A437" t="inlineStr">
        <is>
          <t>R1436</t>
        </is>
      </c>
      <c r="B437" t="inlineStr">
        <is>
          <t>Griffin, Aaron</t>
        </is>
      </c>
      <c r="C437" t="inlineStr">
        <is>
          <t>10/08/2006</t>
        </is>
      </c>
      <c r="D437" t="inlineStr">
        <is>
          <t>M</t>
        </is>
      </c>
      <c r="E437" t="inlineStr">
        <is>
          <t>555.354.3611</t>
        </is>
      </c>
      <c r="F437" t="inlineStr">
        <is>
          <t>AARON.GRIFFIN9@EXAMPLE.COM</t>
        </is>
      </c>
      <c r="G437" t="inlineStr">
        <is>
          <t>Millbrook, OH 45530</t>
        </is>
      </c>
      <c r="H437" t="inlineStr">
        <is>
          <t>Evergreen Mutual Insurance</t>
        </is>
      </c>
      <c r="I437" t="inlineStr">
        <is>
          <t>05891705</t>
        </is>
      </c>
      <c r="J437" t="inlineStr">
        <is>
          <t>2025-02-24 17:15:00</t>
        </is>
      </c>
    </row>
    <row r="438">
      <c r="A438" t="inlineStr">
        <is>
          <t>R1437</t>
        </is>
      </c>
      <c r="B438" t="inlineStr">
        <is>
          <t>Gomez, Kenneth</t>
        </is>
      </c>
      <c r="C438" t="inlineStr">
        <is>
          <t>01/16/1993</t>
        </is>
      </c>
      <c r="D438" t="inlineStr">
        <is>
          <t>M</t>
        </is>
      </c>
      <c r="E438" t="inlineStr">
        <is>
          <t>5559125524</t>
        </is>
      </c>
      <c r="G438" t="inlineStr">
        <is>
          <t>Bluestone, OH 45502</t>
        </is>
      </c>
      <c r="H438" t="inlineStr">
        <is>
          <t>STATE MEDICAID</t>
        </is>
      </c>
      <c r="I438" t="inlineStr">
        <is>
          <t>06125388</t>
        </is>
      </c>
      <c r="J438" t="inlineStr">
        <is>
          <t>2010-04-17 18:57:00</t>
        </is>
      </c>
    </row>
    <row r="439">
      <c r="A439" t="inlineStr">
        <is>
          <t>R1438</t>
        </is>
      </c>
      <c r="B439" t="inlineStr">
        <is>
          <t>Kennedy, Martha</t>
        </is>
      </c>
      <c r="C439" t="inlineStr">
        <is>
          <t>07/30/2013</t>
        </is>
      </c>
      <c r="D439" t="inlineStr">
        <is>
          <t>F</t>
        </is>
      </c>
      <c r="E439" t="inlineStr">
        <is>
          <t>(555) 728-9889</t>
        </is>
      </c>
      <c r="F439" t="inlineStr">
        <is>
          <t>none</t>
        </is>
      </c>
      <c r="G439" t="inlineStr">
        <is>
          <t>Lakeview Heights, OH 45510</t>
        </is>
      </c>
      <c r="H439" t="inlineStr">
        <is>
          <t>Keystone</t>
        </is>
      </c>
      <c r="I439" t="inlineStr">
        <is>
          <t>04277692</t>
        </is>
      </c>
      <c r="J439" t="inlineStr">
        <is>
          <t>2017-07-15 12:32:00</t>
        </is>
      </c>
    </row>
    <row r="440">
      <c r="A440" t="inlineStr">
        <is>
          <t>R1439</t>
        </is>
      </c>
      <c r="B440" t="inlineStr">
        <is>
          <t>ALEXANDER, GERALD</t>
        </is>
      </c>
      <c r="C440" t="inlineStr">
        <is>
          <t>10-Jul-1977</t>
        </is>
      </c>
      <c r="D440" t="inlineStr">
        <is>
          <t>M</t>
        </is>
      </c>
      <c r="E440" t="inlineStr">
        <is>
          <t>5555862883</t>
        </is>
      </c>
      <c r="F440" t="inlineStr">
        <is>
          <t>gerald.alexander41@example.com</t>
        </is>
      </c>
      <c r="G440" t="inlineStr">
        <is>
          <t>Bluestone, OH 45502-2223</t>
        </is>
      </c>
      <c r="H440" t="inlineStr">
        <is>
          <t>medicaid</t>
        </is>
      </c>
      <c r="I440" t="inlineStr">
        <is>
          <t>09626156</t>
        </is>
      </c>
      <c r="J440" t="inlineStr">
        <is>
          <t>2017-07-16 11:07:00</t>
        </is>
      </c>
    </row>
    <row r="441">
      <c r="A441" t="inlineStr">
        <is>
          <t>R1440</t>
        </is>
      </c>
      <c r="B441" t="inlineStr">
        <is>
          <t>Campbell, Virginia</t>
        </is>
      </c>
      <c r="C441" t="inlineStr">
        <is>
          <t>08/06/1989</t>
        </is>
      </c>
      <c r="D441" t="inlineStr">
        <is>
          <t>Female</t>
        </is>
      </c>
      <c r="E441" t="inlineStr">
        <is>
          <t>(555) 455-0735</t>
        </is>
      </c>
      <c r="F441" t="inlineStr">
        <is>
          <t>virginia.campbell86@example.com</t>
        </is>
      </c>
      <c r="G441" t="inlineStr">
        <is>
          <t>Riverbend, OH 45545</t>
        </is>
      </c>
      <c r="H441" t="inlineStr">
        <is>
          <t>Summit Choice</t>
        </is>
      </c>
      <c r="I441" t="inlineStr">
        <is>
          <t>09849286</t>
        </is>
      </c>
      <c r="J441" t="inlineStr">
        <is>
          <t>2008-02-22 14:10:00</t>
        </is>
      </c>
    </row>
    <row r="442">
      <c r="A442" t="inlineStr">
        <is>
          <t>R1441</t>
        </is>
      </c>
      <c r="B442" t="inlineStr">
        <is>
          <t>THOMPSON, SARA</t>
        </is>
      </c>
      <c r="C442" t="inlineStr">
        <is>
          <t>2006-01-18</t>
        </is>
      </c>
      <c r="D442" t="inlineStr">
        <is>
          <t>F</t>
        </is>
      </c>
      <c r="E442" t="inlineStr">
        <is>
          <t>555-706-9963</t>
        </is>
      </c>
      <c r="F442" t="inlineStr">
        <is>
          <t xml:space="preserve"> sara.thompson24@example.com </t>
        </is>
      </c>
      <c r="G442" t="inlineStr">
        <is>
          <t>Millbrook, OH 45530-4130</t>
        </is>
      </c>
      <c r="H442" t="inlineStr">
        <is>
          <t>State Medicaid</t>
        </is>
      </c>
      <c r="I442" t="inlineStr">
        <is>
          <t>05700982</t>
        </is>
      </c>
      <c r="J442" t="inlineStr">
        <is>
          <t>2019-05-13 09:46:00</t>
        </is>
      </c>
    </row>
    <row r="443">
      <c r="A443" t="inlineStr">
        <is>
          <t>R1442</t>
        </is>
      </c>
      <c r="B443" t="inlineStr">
        <is>
          <t>Hunter, Russell</t>
        </is>
      </c>
      <c r="C443" t="inlineStr">
        <is>
          <t>9/26/1962</t>
        </is>
      </c>
      <c r="D443" t="inlineStr">
        <is>
          <t>M</t>
        </is>
      </c>
      <c r="E443" t="inlineStr">
        <is>
          <t>5555203195</t>
        </is>
      </c>
      <c r="F443" t="inlineStr">
        <is>
          <t>RUSSELL.HUNTER93@EXAMPLE.COM</t>
        </is>
      </c>
      <c r="G443" t="inlineStr">
        <is>
          <t>Bluestone, OH 45503-8380</t>
        </is>
      </c>
      <c r="H443" t="inlineStr">
        <is>
          <t>Evergreen Mutual Insurance</t>
        </is>
      </c>
      <c r="I443" t="inlineStr">
        <is>
          <t>06940531</t>
        </is>
      </c>
      <c r="J443" t="inlineStr">
        <is>
          <t>2012-07-04 18:57:00</t>
        </is>
      </c>
    </row>
    <row r="444">
      <c r="A444" t="inlineStr">
        <is>
          <t>R1443</t>
        </is>
      </c>
      <c r="B444" t="inlineStr">
        <is>
          <t>PHILLIPS, JAMES</t>
        </is>
      </c>
      <c r="C444" t="inlineStr">
        <is>
          <t>04/12/1977</t>
        </is>
      </c>
      <c r="D444" t="inlineStr">
        <is>
          <t>M</t>
        </is>
      </c>
      <c r="E444" t="inlineStr">
        <is>
          <t>555.241.9349</t>
        </is>
      </c>
      <c r="F444" t="inlineStr">
        <is>
          <t>james.phillips57@example.com</t>
        </is>
      </c>
      <c r="G444" t="inlineStr">
        <is>
          <t>FAIRHAVEN, OH 45620</t>
        </is>
      </c>
      <c r="H444" t="inlineStr">
        <is>
          <t>Evergreen Mutual</t>
        </is>
      </c>
      <c r="I444" t="inlineStr">
        <is>
          <t>05290610</t>
        </is>
      </c>
      <c r="J444" t="inlineStr">
        <is>
          <t>2024-03-12 09:32:00</t>
        </is>
      </c>
    </row>
    <row r="445">
      <c r="A445" t="inlineStr">
        <is>
          <t>R1444</t>
        </is>
      </c>
      <c r="B445" t="inlineStr">
        <is>
          <t>Castillo, Judith</t>
        </is>
      </c>
      <c r="C445" t="inlineStr">
        <is>
          <t>06.01.1980</t>
        </is>
      </c>
      <c r="D445" t="inlineStr">
        <is>
          <t>FEMALE</t>
        </is>
      </c>
      <c r="E445" t="inlineStr">
        <is>
          <t>555-953-7822</t>
        </is>
      </c>
      <c r="F445" t="inlineStr">
        <is>
          <t>judith.castillo59@example.com</t>
        </is>
      </c>
      <c r="G445" t="inlineStr">
        <is>
          <t>BLUESTONE, OH 45502</t>
        </is>
      </c>
      <c r="H445" t="inlineStr">
        <is>
          <t>STATE MEDICAID</t>
        </is>
      </c>
      <c r="I445" t="inlineStr">
        <is>
          <t>MRN-08336022</t>
        </is>
      </c>
      <c r="J445" t="inlineStr">
        <is>
          <t>01/17/2011 09:40 AM</t>
        </is>
      </c>
    </row>
    <row r="446">
      <c r="A446" t="inlineStr">
        <is>
          <t>R1445</t>
        </is>
      </c>
      <c r="B446" t="inlineStr">
        <is>
          <t>lopez, robert</t>
        </is>
      </c>
      <c r="C446" t="inlineStr">
        <is>
          <t>1937-05-14</t>
        </is>
      </c>
      <c r="D446" t="inlineStr">
        <is>
          <t>m</t>
        </is>
      </c>
      <c r="E446" t="inlineStr">
        <is>
          <t>5556759321</t>
        </is>
      </c>
      <c r="G446" t="inlineStr">
        <is>
          <t>Cedar Ridge, OH 45720-3747</t>
        </is>
      </c>
      <c r="H446" t="inlineStr">
        <is>
          <t>Medicare</t>
        </is>
      </c>
      <c r="I446" t="inlineStr">
        <is>
          <t>02913837</t>
        </is>
      </c>
      <c r="J446" t="inlineStr">
        <is>
          <t>05/21/2022 08:45 AM</t>
        </is>
      </c>
    </row>
    <row r="447">
      <c r="A447" t="inlineStr">
        <is>
          <t>R1446</t>
        </is>
      </c>
      <c r="B447" t="inlineStr">
        <is>
          <t>Lawrence Santos</t>
        </is>
      </c>
      <c r="C447" t="inlineStr">
        <is>
          <t>01/07/1997</t>
        </is>
      </c>
      <c r="D447" t="inlineStr">
        <is>
          <t>Male</t>
        </is>
      </c>
      <c r="E447" t="inlineStr">
        <is>
          <t>555-536-1712</t>
        </is>
      </c>
      <c r="G447" t="inlineStr">
        <is>
          <t>Cedar Ridge OH 45720</t>
        </is>
      </c>
      <c r="H447" t="inlineStr">
        <is>
          <t>STATE MEDICAID</t>
        </is>
      </c>
      <c r="I447" t="inlineStr">
        <is>
          <t>MRN-02619930</t>
        </is>
      </c>
      <c r="J447" t="inlineStr">
        <is>
          <t>2023-12-26 17:48:00</t>
        </is>
      </c>
    </row>
    <row r="448">
      <c r="A448" t="inlineStr">
        <is>
          <t>R1447</t>
        </is>
      </c>
      <c r="B448" t="inlineStr">
        <is>
          <t>boyd, kayla</t>
        </is>
      </c>
      <c r="C448" t="inlineStr">
        <is>
          <t>1998-11-18</t>
        </is>
      </c>
      <c r="D448" t="inlineStr">
        <is>
          <t>f</t>
        </is>
      </c>
      <c r="E448" t="inlineStr">
        <is>
          <t>555.583.8893</t>
        </is>
      </c>
      <c r="G448" t="inlineStr">
        <is>
          <t>Bluestone, OH 45503</t>
        </is>
      </c>
      <c r="H448" t="inlineStr">
        <is>
          <t>MEDICARE</t>
        </is>
      </c>
      <c r="I448" t="inlineStr">
        <is>
          <t>04461134</t>
        </is>
      </c>
      <c r="J448" t="inlineStr">
        <is>
          <t>2011-02-19 14:10:00</t>
        </is>
      </c>
    </row>
    <row r="449">
      <c r="A449" t="inlineStr">
        <is>
          <t>R1448</t>
        </is>
      </c>
      <c r="B449" t="inlineStr">
        <is>
          <t>FOSTER, ALICE</t>
        </is>
      </c>
      <c r="C449" t="inlineStr">
        <is>
          <t>04/15/1958</t>
        </is>
      </c>
      <c r="D449" t="inlineStr">
        <is>
          <t>FEMALE</t>
        </is>
      </c>
      <c r="E449" t="inlineStr">
        <is>
          <t>(555) 456-8723</t>
        </is>
      </c>
      <c r="F449" t="inlineStr">
        <is>
          <t>alice.foster19@example.com</t>
        </is>
      </c>
      <c r="G449" t="inlineStr">
        <is>
          <t>Bluestone, OH 45501</t>
        </is>
      </c>
      <c r="H449" t="inlineStr">
        <is>
          <t>Medicare</t>
        </is>
      </c>
      <c r="I449" t="inlineStr">
        <is>
          <t>01151324</t>
        </is>
      </c>
      <c r="J449" t="inlineStr">
        <is>
          <t>2018-04-09 18:12:00</t>
        </is>
      </c>
    </row>
    <row r="450">
      <c r="A450" t="inlineStr">
        <is>
          <t>R1449</t>
        </is>
      </c>
      <c r="B450" t="inlineStr">
        <is>
          <t>Hernandez, Mia</t>
        </is>
      </c>
      <c r="C450" t="inlineStr">
        <is>
          <t>03.18.1967</t>
        </is>
      </c>
      <c r="D450" t="inlineStr">
        <is>
          <t>F</t>
        </is>
      </c>
      <c r="E450" t="inlineStr">
        <is>
          <t>(555) 234-4081</t>
        </is>
      </c>
      <c r="F450" t="inlineStr">
        <is>
          <t>mia.hernandez63@example.com</t>
        </is>
      </c>
      <c r="G450" t="inlineStr">
        <is>
          <t>Bluestone OH 45502</t>
        </is>
      </c>
      <c r="H450" t="inlineStr">
        <is>
          <t>Evergreen Mutual Insurance</t>
        </is>
      </c>
      <c r="I450" t="inlineStr">
        <is>
          <t>MRN-09194491</t>
        </is>
      </c>
      <c r="J450" t="inlineStr">
        <is>
          <t>2024-05-19 15:51:00</t>
        </is>
      </c>
    </row>
    <row r="451">
      <c r="A451" t="inlineStr">
        <is>
          <t>R1450</t>
        </is>
      </c>
      <c r="B451" t="inlineStr">
        <is>
          <t xml:space="preserve">  Robinson ,  Joan </t>
        </is>
      </c>
      <c r="C451" t="inlineStr">
        <is>
          <t>04-Aug-1950</t>
        </is>
      </c>
      <c r="D451" t="inlineStr">
        <is>
          <t>Female</t>
        </is>
      </c>
      <c r="E451" t="inlineStr">
        <is>
          <t>(555) 745-9237</t>
        </is>
      </c>
      <c r="F451" t="inlineStr">
        <is>
          <t>joan.robinson60@example.com</t>
        </is>
      </c>
      <c r="G451" t="inlineStr">
        <is>
          <t>Bluestone, OH 45501</t>
        </is>
      </c>
      <c r="H451" t="inlineStr">
        <is>
          <t>Silverline Medicare Advantage</t>
        </is>
      </c>
      <c r="I451" t="inlineStr">
        <is>
          <t>09873175</t>
        </is>
      </c>
      <c r="J451" t="inlineStr">
        <is>
          <t>2023-08-25 12:03:00</t>
        </is>
      </c>
    </row>
    <row r="452">
      <c r="A452" t="inlineStr">
        <is>
          <t>R1451</t>
        </is>
      </c>
      <c r="B452" t="inlineStr">
        <is>
          <t>WARREN, SUSAN</t>
        </is>
      </c>
      <c r="C452" t="inlineStr">
        <is>
          <t>1964-08-23</t>
        </is>
      </c>
      <c r="D452" t="inlineStr">
        <is>
          <t>F</t>
        </is>
      </c>
      <c r="E452" t="inlineStr">
        <is>
          <t>5556688102</t>
        </is>
      </c>
      <c r="F452" t="inlineStr">
        <is>
          <t>susan.warren82@example.com</t>
        </is>
      </c>
      <c r="G452" t="inlineStr">
        <is>
          <t>OAK GLEN, OH 45730</t>
        </is>
      </c>
      <c r="H452" t="inlineStr">
        <is>
          <t>Summit Choice</t>
        </is>
      </c>
      <c r="I452" t="inlineStr">
        <is>
          <t>2136160</t>
        </is>
      </c>
      <c r="J452" t="inlineStr">
        <is>
          <t>04/26/2018 05:25 PM</t>
        </is>
      </c>
    </row>
    <row r="453">
      <c r="A453" t="inlineStr">
        <is>
          <t>R1452</t>
        </is>
      </c>
      <c r="B453" t="inlineStr">
        <is>
          <t>Jordan Jenkins</t>
        </is>
      </c>
      <c r="C453" t="inlineStr">
        <is>
          <t>11/30/1970</t>
        </is>
      </c>
      <c r="D453" t="inlineStr">
        <is>
          <t>MALE</t>
        </is>
      </c>
      <c r="E453" t="inlineStr">
        <is>
          <t>5556151984</t>
        </is>
      </c>
      <c r="G453" t="inlineStr">
        <is>
          <t>Riverbend, OH 45545-6431</t>
        </is>
      </c>
      <c r="H453" t="inlineStr">
        <is>
          <t>evergreen mutual insurance</t>
        </is>
      </c>
      <c r="I453" t="inlineStr">
        <is>
          <t>3939906</t>
        </is>
      </c>
      <c r="J453" t="inlineStr">
        <is>
          <t>2014-03-12 07:30:00</t>
        </is>
      </c>
    </row>
    <row r="454">
      <c r="A454" t="inlineStr">
        <is>
          <t>R1453</t>
        </is>
      </c>
      <c r="B454" t="inlineStr">
        <is>
          <t>Kimberly Ward</t>
        </is>
      </c>
      <c r="C454" t="inlineStr">
        <is>
          <t>10.11.1990</t>
        </is>
      </c>
      <c r="D454" t="inlineStr">
        <is>
          <t>f</t>
        </is>
      </c>
      <c r="E454" t="inlineStr">
        <is>
          <t>555.937.0011</t>
        </is>
      </c>
      <c r="F454" t="inlineStr">
        <is>
          <t>none</t>
        </is>
      </c>
      <c r="G454" t="inlineStr">
        <is>
          <t>Cedar Ridge, OH 45720</t>
        </is>
      </c>
      <c r="H454" t="inlineStr">
        <is>
          <t>EVERGREEN MUTUAL INS</t>
        </is>
      </c>
      <c r="I454" t="inlineStr">
        <is>
          <t>02547554</t>
        </is>
      </c>
      <c r="J454" t="inlineStr">
        <is>
          <t>12/04/2017 01:26 PM</t>
        </is>
      </c>
    </row>
    <row r="455">
      <c r="A455" t="inlineStr">
        <is>
          <t>R1454</t>
        </is>
      </c>
      <c r="B455" t="inlineStr">
        <is>
          <t xml:space="preserve">  Osei ,  Jose </t>
        </is>
      </c>
      <c r="C455" t="inlineStr">
        <is>
          <t>10-Oct-2001</t>
        </is>
      </c>
      <c r="D455" t="inlineStr">
        <is>
          <t>m</t>
        </is>
      </c>
      <c r="E455" t="inlineStr">
        <is>
          <t>5554160765</t>
        </is>
      </c>
      <c r="F455" t="inlineStr">
        <is>
          <t>jose.osei45@example.com</t>
        </is>
      </c>
      <c r="G455" t="inlineStr">
        <is>
          <t>Bluestone, OH 45502</t>
        </is>
      </c>
      <c r="H455" t="inlineStr">
        <is>
          <t>Keystone Health Partners</t>
        </is>
      </c>
      <c r="I455" t="inlineStr">
        <is>
          <t>MRN-04389763</t>
        </is>
      </c>
      <c r="J455" t="inlineStr">
        <is>
          <t>09/21/2013 04:48 PM</t>
        </is>
      </c>
    </row>
    <row r="456">
      <c r="A456" t="inlineStr">
        <is>
          <t>R1455</t>
        </is>
      </c>
      <c r="B456" t="inlineStr">
        <is>
          <t>Evelyn Vargas</t>
        </is>
      </c>
      <c r="C456" t="inlineStr">
        <is>
          <t>09/26/1979</t>
        </is>
      </c>
      <c r="D456" t="inlineStr">
        <is>
          <t>F</t>
        </is>
      </c>
      <c r="E456" t="inlineStr">
        <is>
          <t>(555) 705-3988</t>
        </is>
      </c>
      <c r="F456" t="inlineStr">
        <is>
          <t>N/A</t>
        </is>
      </c>
      <c r="G456" t="inlineStr">
        <is>
          <t>Riverbend, OH 45545-6729</t>
        </is>
      </c>
      <c r="H456" t="inlineStr">
        <is>
          <t>Keystone Health Ptnrs</t>
        </is>
      </c>
      <c r="I456" t="inlineStr">
        <is>
          <t>00750032</t>
        </is>
      </c>
      <c r="J456" t="inlineStr">
        <is>
          <t>2019-10-04 07:52:00</t>
        </is>
      </c>
    </row>
    <row r="457">
      <c r="A457" t="inlineStr">
        <is>
          <t>R1456</t>
        </is>
      </c>
      <c r="B457" t="inlineStr">
        <is>
          <t>shaw, aaliyah</t>
        </is>
      </c>
      <c r="C457" t="inlineStr">
        <is>
          <t>08/18/1988</t>
        </is>
      </c>
      <c r="D457" t="inlineStr">
        <is>
          <t>Female</t>
        </is>
      </c>
      <c r="E457" t="inlineStr">
        <is>
          <t>555-567-7071</t>
        </is>
      </c>
      <c r="F457" t="inlineStr">
        <is>
          <t xml:space="preserve"> aaliyah.shaw42@example.com </t>
        </is>
      </c>
      <c r="G457" t="inlineStr">
        <is>
          <t>Bluestone, OH 45501</t>
        </is>
      </c>
      <c r="H457" t="inlineStr">
        <is>
          <t>medicaid</t>
        </is>
      </c>
      <c r="I457" t="inlineStr">
        <is>
          <t>09857159</t>
        </is>
      </c>
      <c r="J457" t="inlineStr">
        <is>
          <t>2011-05-29 18:32:00</t>
        </is>
      </c>
    </row>
    <row r="458">
      <c r="A458" t="inlineStr">
        <is>
          <t>R1457</t>
        </is>
      </c>
      <c r="B458" t="inlineStr">
        <is>
          <t>Bell, Amina</t>
        </is>
      </c>
      <c r="C458" t="inlineStr">
        <is>
          <t>09/21/1941</t>
        </is>
      </c>
      <c r="D458" t="inlineStr">
        <is>
          <t>f</t>
        </is>
      </c>
      <c r="E458" t="inlineStr">
        <is>
          <t>(555) 395-3278</t>
        </is>
      </c>
      <c r="G458" t="inlineStr">
        <is>
          <t>BLUESTONE, OH 45503</t>
        </is>
      </c>
      <c r="H458" t="inlineStr">
        <is>
          <t>Medicare</t>
        </is>
      </c>
      <c r="I458" t="inlineStr">
        <is>
          <t>06955109</t>
        </is>
      </c>
      <c r="J458" t="inlineStr">
        <is>
          <t>2024-04-08 08:02:00</t>
        </is>
      </c>
    </row>
    <row r="459">
      <c r="A459" t="inlineStr">
        <is>
          <t>R1458</t>
        </is>
      </c>
      <c r="B459" t="inlineStr">
        <is>
          <t xml:space="preserve">  Roberts ,  Alexis </t>
        </is>
      </c>
      <c r="C459" t="inlineStr">
        <is>
          <t>02.25.1944</t>
        </is>
      </c>
      <c r="D459" t="inlineStr">
        <is>
          <t>F</t>
        </is>
      </c>
      <c r="E459" t="inlineStr">
        <is>
          <t>(555) 956-8099</t>
        </is>
      </c>
      <c r="G459" t="inlineStr">
        <is>
          <t>Bluestone, OH 45502</t>
        </is>
      </c>
      <c r="H459" t="inlineStr">
        <is>
          <t>MEDICARE</t>
        </is>
      </c>
      <c r="I459" t="inlineStr">
        <is>
          <t>03180796</t>
        </is>
      </c>
      <c r="J459" t="inlineStr">
        <is>
          <t>2017-03-21 18:30:00</t>
        </is>
      </c>
    </row>
    <row r="460">
      <c r="A460" t="inlineStr">
        <is>
          <t>R1459</t>
        </is>
      </c>
      <c r="B460" t="inlineStr">
        <is>
          <t>fisher, frances</t>
        </is>
      </c>
      <c r="C460" t="inlineStr">
        <is>
          <t>9/18/1989</t>
        </is>
      </c>
      <c r="D460" t="inlineStr">
        <is>
          <t>F</t>
        </is>
      </c>
      <c r="E460" t="inlineStr">
        <is>
          <t>(555) 863-6682</t>
        </is>
      </c>
      <c r="F460" t="inlineStr">
        <is>
          <t>frances.fisher37@example.com</t>
        </is>
      </c>
      <c r="G460" t="inlineStr">
        <is>
          <t>Ashby Falls, OH 45610-7670</t>
        </is>
      </c>
      <c r="H460" t="inlineStr">
        <is>
          <t>STATE MEDICAID</t>
        </is>
      </c>
      <c r="I460" t="inlineStr">
        <is>
          <t>06939344</t>
        </is>
      </c>
      <c r="J460" t="inlineStr">
        <is>
          <t>03/31/2012 09:39 AM</t>
        </is>
      </c>
    </row>
    <row r="461">
      <c r="A461" t="inlineStr">
        <is>
          <t>R1460</t>
        </is>
      </c>
      <c r="B461" t="inlineStr">
        <is>
          <t>BAILEY, HELEN</t>
        </is>
      </c>
      <c r="C461" t="inlineStr">
        <is>
          <t>2019-08-14</t>
        </is>
      </c>
      <c r="D461" t="inlineStr">
        <is>
          <t xml:space="preserve"> F</t>
        </is>
      </c>
      <c r="E461" t="inlineStr">
        <is>
          <t>(555) 411-7487</t>
        </is>
      </c>
      <c r="F461" t="inlineStr">
        <is>
          <t>none</t>
        </is>
      </c>
      <c r="G461" t="inlineStr">
        <is>
          <t>Bluestone, OH 45503</t>
        </is>
      </c>
      <c r="H461" t="inlineStr">
        <is>
          <t>medicaid</t>
        </is>
      </c>
      <c r="I461" t="inlineStr">
        <is>
          <t>MRN-03044407</t>
        </is>
      </c>
      <c r="J461" t="inlineStr">
        <is>
          <t>06/09/2020 07:17 AM</t>
        </is>
      </c>
    </row>
    <row r="462">
      <c r="A462" t="inlineStr">
        <is>
          <t>R1461</t>
        </is>
      </c>
      <c r="B462" t="inlineStr">
        <is>
          <t>Adams, Bobby</t>
        </is>
      </c>
      <c r="C462" t="inlineStr">
        <is>
          <t>04/01/1963</t>
        </is>
      </c>
      <c r="D462" t="inlineStr">
        <is>
          <t>m</t>
        </is>
      </c>
      <c r="E462" t="inlineStr">
        <is>
          <t>(555) 560-2543</t>
        </is>
      </c>
      <c r="F462" t="inlineStr">
        <is>
          <t>bobby.adams95@example.com</t>
        </is>
      </c>
      <c r="G462" t="inlineStr">
        <is>
          <t>Cedar Ridge, OH 45720</t>
        </is>
      </c>
      <c r="H462" t="inlineStr">
        <is>
          <t>State Medicaid</t>
        </is>
      </c>
      <c r="I462" t="inlineStr">
        <is>
          <t>01716642</t>
        </is>
      </c>
      <c r="J462" t="inlineStr">
        <is>
          <t>2009-10-22 14:31:00</t>
        </is>
      </c>
    </row>
    <row r="463">
      <c r="A463" t="inlineStr">
        <is>
          <t>R1462</t>
        </is>
      </c>
      <c r="B463" t="inlineStr">
        <is>
          <t>Natalie Fernandez</t>
        </is>
      </c>
      <c r="C463" t="inlineStr">
        <is>
          <t>22-Nov-1982</t>
        </is>
      </c>
      <c r="D463" t="inlineStr">
        <is>
          <t>f</t>
        </is>
      </c>
      <c r="E463" t="inlineStr">
        <is>
          <t>+1 555 292 5108</t>
        </is>
      </c>
      <c r="F463" t="inlineStr">
        <is>
          <t xml:space="preserve"> natalie.fernandez12@example.com </t>
        </is>
      </c>
      <c r="G463" t="inlineStr">
        <is>
          <t>Bluestone, OH 45502</t>
        </is>
      </c>
      <c r="H463" t="inlineStr">
        <is>
          <t>evergreen mutual insurance</t>
        </is>
      </c>
      <c r="I463" t="inlineStr">
        <is>
          <t>6499891</t>
        </is>
      </c>
      <c r="J463" t="inlineStr">
        <is>
          <t>2017-10-31 08:45:00</t>
        </is>
      </c>
    </row>
    <row r="464">
      <c r="A464" t="inlineStr">
        <is>
          <t>R1463</t>
        </is>
      </c>
      <c r="B464" t="inlineStr">
        <is>
          <t xml:space="preserve">  Kennedy ,  Mateo </t>
        </is>
      </c>
      <c r="C464" t="inlineStr">
        <is>
          <t>12/23/1963</t>
        </is>
      </c>
      <c r="D464" t="inlineStr">
        <is>
          <t>m</t>
        </is>
      </c>
      <c r="E464" t="inlineStr">
        <is>
          <t>555.401.6618</t>
        </is>
      </c>
      <c r="F464" t="inlineStr">
        <is>
          <t>mateo.kennedy63@example.com</t>
        </is>
      </c>
      <c r="G464" t="inlineStr">
        <is>
          <t>BLUESTONE, OH 45502</t>
        </is>
      </c>
      <c r="H464" t="inlineStr">
        <is>
          <t>Summit PPO</t>
        </is>
      </c>
      <c r="I464" t="inlineStr">
        <is>
          <t>09554295</t>
        </is>
      </c>
      <c r="J464" t="inlineStr">
        <is>
          <t>2019-11-07 16:02:00</t>
        </is>
      </c>
    </row>
    <row r="465">
      <c r="A465" t="inlineStr">
        <is>
          <t>R1464</t>
        </is>
      </c>
      <c r="B465" t="inlineStr">
        <is>
          <t xml:space="preserve">  Matthews ,  Cheryl </t>
        </is>
      </c>
      <c r="C465" t="inlineStr">
        <is>
          <t>04/19/1972</t>
        </is>
      </c>
      <c r="D465" t="inlineStr">
        <is>
          <t>Female</t>
        </is>
      </c>
      <c r="E465" t="inlineStr">
        <is>
          <t>555.643.8270</t>
        </is>
      </c>
      <c r="G465" t="inlineStr">
        <is>
          <t>Bluestone, OH 45503</t>
        </is>
      </c>
      <c r="H465" t="inlineStr">
        <is>
          <t>Keystone Health Ptnrs</t>
        </is>
      </c>
      <c r="I465" t="inlineStr">
        <is>
          <t>MRN-04505903</t>
        </is>
      </c>
      <c r="J465" t="inlineStr">
        <is>
          <t>2011-01-10 08:35:00</t>
        </is>
      </c>
    </row>
    <row r="466">
      <c r="A466" t="inlineStr">
        <is>
          <t>R1465</t>
        </is>
      </c>
      <c r="B466" t="inlineStr">
        <is>
          <t>graham, john</t>
        </is>
      </c>
      <c r="C466" t="inlineStr">
        <is>
          <t>02/03/1969</t>
        </is>
      </c>
      <c r="D466" t="inlineStr">
        <is>
          <t>MALE</t>
        </is>
      </c>
      <c r="E466" t="inlineStr">
        <is>
          <t>(555) 851-8407</t>
        </is>
      </c>
      <c r="F466" t="inlineStr">
        <is>
          <t xml:space="preserve"> john.graham83@example.com </t>
        </is>
      </c>
      <c r="G466" t="inlineStr">
        <is>
          <t>Bluestone, OH 45502</t>
        </is>
      </c>
      <c r="H466" t="inlineStr">
        <is>
          <t>Summit Choice</t>
        </is>
      </c>
      <c r="I466" t="inlineStr">
        <is>
          <t>1524371</t>
        </is>
      </c>
      <c r="J466" t="inlineStr">
        <is>
          <t>2012-08-17 13:13:00</t>
        </is>
      </c>
    </row>
    <row r="467">
      <c r="A467" t="inlineStr">
        <is>
          <t>R1466</t>
        </is>
      </c>
      <c r="B467" t="inlineStr">
        <is>
          <t>FERNANDEZ, MARK</t>
        </is>
      </c>
      <c r="C467" t="inlineStr">
        <is>
          <t>03/06/1951</t>
        </is>
      </c>
      <c r="D467" t="inlineStr">
        <is>
          <t>Male</t>
        </is>
      </c>
      <c r="E467" t="inlineStr">
        <is>
          <t>(555) 545-4292</t>
        </is>
      </c>
      <c r="F467" t="inlineStr">
        <is>
          <t>mark.fernandez22@example.com</t>
        </is>
      </c>
      <c r="G467" t="inlineStr">
        <is>
          <t>BLUESTONE, OH 45501</t>
        </is>
      </c>
      <c r="H467" t="inlineStr">
        <is>
          <t>MEDICARE</t>
        </is>
      </c>
      <c r="I467" t="inlineStr">
        <is>
          <t>04896097</t>
        </is>
      </c>
      <c r="J467" t="inlineStr">
        <is>
          <t>2016-06-06 16:21:00</t>
        </is>
      </c>
    </row>
    <row r="468">
      <c r="A468" t="inlineStr">
        <is>
          <t>R1467</t>
        </is>
      </c>
      <c r="B468" t="inlineStr">
        <is>
          <t>Hicks, Ruth</t>
        </is>
      </c>
      <c r="C468" t="inlineStr">
        <is>
          <t>12/03/1970</t>
        </is>
      </c>
      <c r="D468" t="inlineStr">
        <is>
          <t>Female</t>
        </is>
      </c>
      <c r="F468" t="inlineStr">
        <is>
          <t>ruth.hicks53@example.com</t>
        </is>
      </c>
      <c r="G468" t="inlineStr">
        <is>
          <t>Bluestone OH 45501</t>
        </is>
      </c>
      <c r="H468" t="inlineStr">
        <is>
          <t>MEDICARE</t>
        </is>
      </c>
      <c r="I468" t="inlineStr">
        <is>
          <t>02664675</t>
        </is>
      </c>
      <c r="J468" t="inlineStr">
        <is>
          <t>2021-05-29 10:10:00</t>
        </is>
      </c>
    </row>
    <row r="469">
      <c r="A469" t="inlineStr">
        <is>
          <t>R1468</t>
        </is>
      </c>
      <c r="B469" t="inlineStr">
        <is>
          <t>Pierce, Jerry</t>
        </is>
      </c>
      <c r="C469" t="inlineStr">
        <is>
          <t>03/25/1956</t>
        </is>
      </c>
      <c r="D469" t="inlineStr">
        <is>
          <t>Male</t>
        </is>
      </c>
      <c r="E469" t="inlineStr">
        <is>
          <t>555.455.1004</t>
        </is>
      </c>
      <c r="F469" t="inlineStr">
        <is>
          <t>jerry.pierce44@example.com</t>
        </is>
      </c>
      <c r="G469" t="inlineStr">
        <is>
          <t>Oak Glen, OH 45730</t>
        </is>
      </c>
      <c r="H469" t="inlineStr">
        <is>
          <t>MEDICARE</t>
        </is>
      </c>
      <c r="I469" t="inlineStr">
        <is>
          <t>01196536</t>
        </is>
      </c>
      <c r="J469" t="inlineStr">
        <is>
          <t>05/15/2015 01:52 PM</t>
        </is>
      </c>
    </row>
    <row r="470">
      <c r="A470" t="inlineStr">
        <is>
          <t>R1469</t>
        </is>
      </c>
      <c r="B470" t="inlineStr">
        <is>
          <t>FORD, JULIE</t>
        </is>
      </c>
      <c r="C470" t="inlineStr">
        <is>
          <t>03/20/1947</t>
        </is>
      </c>
      <c r="D470" t="inlineStr">
        <is>
          <t>Female</t>
        </is>
      </c>
      <c r="E470" t="inlineStr">
        <is>
          <t>(555) 876-3762</t>
        </is>
      </c>
      <c r="G470" t="inlineStr">
        <is>
          <t>Bluestone, OH 45503</t>
        </is>
      </c>
      <c r="H470" t="inlineStr">
        <is>
          <t>Silverline MA</t>
        </is>
      </c>
      <c r="I470" t="inlineStr">
        <is>
          <t>07775501</t>
        </is>
      </c>
      <c r="J470" t="inlineStr">
        <is>
          <t>12/04/2021 04:57 PM</t>
        </is>
      </c>
    </row>
    <row r="471">
      <c r="A471" t="inlineStr">
        <is>
          <t>R1470</t>
        </is>
      </c>
      <c r="B471" t="inlineStr">
        <is>
          <t xml:space="preserve">  Jackson ,  Justin </t>
        </is>
      </c>
      <c r="C471" t="inlineStr">
        <is>
          <t>02-Feb-1974</t>
        </is>
      </c>
      <c r="D471" t="inlineStr">
        <is>
          <t>Male</t>
        </is>
      </c>
      <c r="E471" t="inlineStr">
        <is>
          <t>555-905-7881</t>
        </is>
      </c>
      <c r="F471" t="inlineStr">
        <is>
          <t>justin.jackson31@example.com</t>
        </is>
      </c>
      <c r="G471" t="inlineStr">
        <is>
          <t>Cedar Ridge, OH 45720</t>
        </is>
      </c>
      <c r="H471" t="inlineStr">
        <is>
          <t>Self Pay</t>
        </is>
      </c>
      <c r="I471" t="inlineStr">
        <is>
          <t>794829</t>
        </is>
      </c>
      <c r="J471" t="inlineStr">
        <is>
          <t>2021-03-29 16:08:00</t>
        </is>
      </c>
    </row>
    <row r="472">
      <c r="A472" t="inlineStr">
        <is>
          <t>R1471</t>
        </is>
      </c>
      <c r="B472" t="inlineStr">
        <is>
          <t>Marshall, Mei</t>
        </is>
      </c>
      <c r="C472" t="inlineStr">
        <is>
          <t>08/11/1967</t>
        </is>
      </c>
      <c r="D472" t="inlineStr">
        <is>
          <t>Female</t>
        </is>
      </c>
      <c r="E472" t="inlineStr">
        <is>
          <t>(555) 640-9696</t>
        </is>
      </c>
      <c r="F472" t="inlineStr">
        <is>
          <t xml:space="preserve"> mei.marshall27@example.com </t>
        </is>
      </c>
      <c r="G472" t="inlineStr">
        <is>
          <t>FAIRHAVEN, OH 45620</t>
        </is>
      </c>
      <c r="H472" t="inlineStr">
        <is>
          <t>KEYSTONE HEALTH PARTNERS</t>
        </is>
      </c>
      <c r="I472" t="inlineStr">
        <is>
          <t>MRN-03478502</t>
        </is>
      </c>
      <c r="J472" t="inlineStr">
        <is>
          <t>02/29/2020 02:47 PM</t>
        </is>
      </c>
    </row>
    <row r="473">
      <c r="A473" t="inlineStr">
        <is>
          <t>R1472</t>
        </is>
      </c>
      <c r="B473" t="inlineStr">
        <is>
          <t>Coleman, John</t>
        </is>
      </c>
      <c r="C473" t="inlineStr">
        <is>
          <t>09/27/1958</t>
        </is>
      </c>
      <c r="D473" t="inlineStr">
        <is>
          <t>Male</t>
        </is>
      </c>
      <c r="E473" t="inlineStr">
        <is>
          <t>(555) 669-4644</t>
        </is>
      </c>
      <c r="F473" t="inlineStr">
        <is>
          <t xml:space="preserve"> john.coleman67@example.com </t>
        </is>
      </c>
      <c r="G473" t="inlineStr">
        <is>
          <t>RIVERBEND, OH 45545</t>
        </is>
      </c>
      <c r="H473" t="inlineStr">
        <is>
          <t>Medicare Part A</t>
        </is>
      </c>
      <c r="I473" t="inlineStr">
        <is>
          <t>02513631</t>
        </is>
      </c>
      <c r="J473" t="inlineStr">
        <is>
          <t>01/03/2016 09:07 AM</t>
        </is>
      </c>
    </row>
    <row r="474">
      <c r="A474" t="inlineStr">
        <is>
          <t>R1473</t>
        </is>
      </c>
      <c r="B474" t="inlineStr">
        <is>
          <t>Carol Cruz</t>
        </is>
      </c>
      <c r="C474" t="inlineStr">
        <is>
          <t>08.12.1948</t>
        </is>
      </c>
      <c r="D474" t="inlineStr">
        <is>
          <t>FEMALE</t>
        </is>
      </c>
      <c r="E474" t="inlineStr">
        <is>
          <t>(555) 326-5093</t>
        </is>
      </c>
      <c r="F474" t="inlineStr">
        <is>
          <t>carol.cruz19@example.com</t>
        </is>
      </c>
      <c r="G474" t="inlineStr">
        <is>
          <t>Bluestone OH 45503</t>
        </is>
      </c>
      <c r="H474" t="inlineStr">
        <is>
          <t>medicare</t>
        </is>
      </c>
      <c r="I474" t="inlineStr">
        <is>
          <t>MRN-05679128</t>
        </is>
      </c>
      <c r="J474" t="inlineStr">
        <is>
          <t>2014-05-05 12:23:00</t>
        </is>
      </c>
    </row>
    <row r="475">
      <c r="A475" t="inlineStr">
        <is>
          <t>R1474</t>
        </is>
      </c>
      <c r="B475" t="inlineStr">
        <is>
          <t>Justin Lewis</t>
        </is>
      </c>
      <c r="C475" t="inlineStr">
        <is>
          <t>04/29/1982</t>
        </is>
      </c>
      <c r="D475" t="inlineStr">
        <is>
          <t>M</t>
        </is>
      </c>
      <c r="E475" t="inlineStr">
        <is>
          <t>(555) 730-7629</t>
        </is>
      </c>
      <c r="G475" t="inlineStr">
        <is>
          <t>Riverbend, OH 45545</t>
        </is>
      </c>
      <c r="H475" t="inlineStr">
        <is>
          <t>EVERGREEN MUTUAL INS</t>
        </is>
      </c>
      <c r="I475" t="inlineStr">
        <is>
          <t>MRN-02226283</t>
        </is>
      </c>
      <c r="J475" t="inlineStr">
        <is>
          <t>2023-11-09 16:15:00</t>
        </is>
      </c>
    </row>
    <row r="476">
      <c r="A476" t="inlineStr">
        <is>
          <t>R1475</t>
        </is>
      </c>
      <c r="B476" t="inlineStr">
        <is>
          <t>Lopez, Timothy</t>
        </is>
      </c>
      <c r="C476" t="inlineStr">
        <is>
          <t>04/21/1952</t>
        </is>
      </c>
      <c r="D476" t="inlineStr">
        <is>
          <t>m</t>
        </is>
      </c>
      <c r="E476" t="inlineStr">
        <is>
          <t>555-531-9887</t>
        </is>
      </c>
      <c r="F476" t="inlineStr">
        <is>
          <t xml:space="preserve"> timothy.lopez78@example.com </t>
        </is>
      </c>
      <c r="G476" t="inlineStr">
        <is>
          <t>Bluestone OH 45502</t>
        </is>
      </c>
      <c r="H476" t="inlineStr">
        <is>
          <t xml:space="preserve">Medicare </t>
        </is>
      </c>
      <c r="I476" t="inlineStr">
        <is>
          <t>5802530</t>
        </is>
      </c>
      <c r="J476" t="inlineStr">
        <is>
          <t>2010-05-03 10:28:00</t>
        </is>
      </c>
    </row>
    <row r="477">
      <c r="A477" t="inlineStr">
        <is>
          <t>R1476</t>
        </is>
      </c>
      <c r="B477" t="inlineStr">
        <is>
          <t>Ruth Porter</t>
        </is>
      </c>
      <c r="C477" t="inlineStr">
        <is>
          <t>02-Nov-1983</t>
        </is>
      </c>
      <c r="D477" t="inlineStr">
        <is>
          <t>F</t>
        </is>
      </c>
      <c r="E477" t="inlineStr">
        <is>
          <t>555-982-2285</t>
        </is>
      </c>
      <c r="F477" t="inlineStr">
        <is>
          <t>ruth.porter85@example.com</t>
        </is>
      </c>
      <c r="G477" t="inlineStr">
        <is>
          <t>Bluestone, OH 45502</t>
        </is>
      </c>
      <c r="H477" t="inlineStr">
        <is>
          <t>EVERGREEN MUTUAL INS</t>
        </is>
      </c>
      <c r="I477" t="inlineStr">
        <is>
          <t>7427840</t>
        </is>
      </c>
      <c r="J477" t="inlineStr">
        <is>
          <t>10/12/2015 03:53 PM</t>
        </is>
      </c>
    </row>
    <row r="478">
      <c r="A478" t="inlineStr">
        <is>
          <t>R1477</t>
        </is>
      </c>
      <c r="B478" t="inlineStr">
        <is>
          <t xml:space="preserve">  Guzman ,  Frank </t>
        </is>
      </c>
      <c r="C478" t="inlineStr">
        <is>
          <t>08/30/1951</t>
        </is>
      </c>
      <c r="D478" t="inlineStr">
        <is>
          <t>M</t>
        </is>
      </c>
      <c r="E478" t="inlineStr">
        <is>
          <t>5559030352</t>
        </is>
      </c>
      <c r="F478" t="inlineStr">
        <is>
          <t>FRANK.GUZMAN42@EXAMPLE.COM</t>
        </is>
      </c>
      <c r="G478" t="inlineStr">
        <is>
          <t>Riverbend, OH 45545-4784</t>
        </is>
      </c>
      <c r="H478" t="inlineStr">
        <is>
          <t>Medicare Part A</t>
        </is>
      </c>
      <c r="I478" t="inlineStr">
        <is>
          <t>06602278</t>
        </is>
      </c>
      <c r="J478" t="inlineStr">
        <is>
          <t>01/24/2020 03:03 PM</t>
        </is>
      </c>
    </row>
    <row r="479">
      <c r="A479" t="inlineStr">
        <is>
          <t>R1478</t>
        </is>
      </c>
      <c r="B479" t="inlineStr">
        <is>
          <t>Wallace, Nicholas</t>
        </is>
      </c>
      <c r="C479" t="inlineStr">
        <is>
          <t>11/18/1981</t>
        </is>
      </c>
      <c r="D479" t="inlineStr">
        <is>
          <t>MALE</t>
        </is>
      </c>
      <c r="E479" t="inlineStr">
        <is>
          <t>+1 555 679 3247</t>
        </is>
      </c>
      <c r="F479" t="inlineStr">
        <is>
          <t>nicholas.wallace59@example.com</t>
        </is>
      </c>
      <c r="G479" t="inlineStr">
        <is>
          <t>Cedar Ridge, OH 45720-9764</t>
        </is>
      </c>
      <c r="H479" t="inlineStr">
        <is>
          <t>SELF PAY</t>
        </is>
      </c>
      <c r="I479" t="inlineStr">
        <is>
          <t>9313525</t>
        </is>
      </c>
      <c r="J479" t="inlineStr">
        <is>
          <t>04/17/2022 07:58 AM</t>
        </is>
      </c>
    </row>
    <row r="480">
      <c r="A480" t="inlineStr">
        <is>
          <t>R1479</t>
        </is>
      </c>
      <c r="B480" t="inlineStr">
        <is>
          <t xml:space="preserve">  Robinson ,  Christian </t>
        </is>
      </c>
      <c r="C480" t="inlineStr">
        <is>
          <t>09/18/1937</t>
        </is>
      </c>
      <c r="D480" t="inlineStr">
        <is>
          <t>Male</t>
        </is>
      </c>
      <c r="E480" t="inlineStr">
        <is>
          <t>5552381731</t>
        </is>
      </c>
      <c r="F480" t="inlineStr">
        <is>
          <t>christian.robinson53@example.com</t>
        </is>
      </c>
      <c r="G480" t="inlineStr">
        <is>
          <t>BLUESTONE, OH 45501</t>
        </is>
      </c>
      <c r="H480" t="inlineStr">
        <is>
          <t xml:space="preserve">Medicare </t>
        </is>
      </c>
      <c r="I480" t="inlineStr">
        <is>
          <t>2331317</t>
        </is>
      </c>
      <c r="J480" t="inlineStr">
        <is>
          <t>2019-04-02 15:25:00</t>
        </is>
      </c>
    </row>
    <row r="481">
      <c r="A481" t="inlineStr">
        <is>
          <t>R1480</t>
        </is>
      </c>
      <c r="B481" t="inlineStr">
        <is>
          <t>Fox, Hassan</t>
        </is>
      </c>
      <c r="C481" t="inlineStr">
        <is>
          <t>12-Oct-1946</t>
        </is>
      </c>
      <c r="D481" t="inlineStr">
        <is>
          <t>m</t>
        </is>
      </c>
      <c r="E481" t="inlineStr">
        <is>
          <t>555-365-9591</t>
        </is>
      </c>
      <c r="F481" t="inlineStr">
        <is>
          <t>hassan.fox43@example.com</t>
        </is>
      </c>
      <c r="G481" t="inlineStr">
        <is>
          <t>BLUESTONE, OH 45502</t>
        </is>
      </c>
      <c r="H481" t="inlineStr">
        <is>
          <t>Silverline MA</t>
        </is>
      </c>
      <c r="I481" t="inlineStr">
        <is>
          <t>8989869</t>
        </is>
      </c>
      <c r="J481" t="inlineStr">
        <is>
          <t>2014-03-14 09:14:00</t>
        </is>
      </c>
    </row>
    <row r="482">
      <c r="A482" t="inlineStr">
        <is>
          <t>R1481</t>
        </is>
      </c>
      <c r="B482" t="inlineStr">
        <is>
          <t>Collins, Christine</t>
        </is>
      </c>
      <c r="C482" t="inlineStr">
        <is>
          <t>12/12/1938</t>
        </is>
      </c>
      <c r="D482" t="inlineStr">
        <is>
          <t>Female</t>
        </is>
      </c>
      <c r="E482" t="inlineStr">
        <is>
          <t>(555) 769-9544</t>
        </is>
      </c>
      <c r="F482" t="inlineStr">
        <is>
          <t>christine.collins39@example.com</t>
        </is>
      </c>
      <c r="G482" t="inlineStr">
        <is>
          <t>Fairhaven, OH 45620</t>
        </is>
      </c>
      <c r="H482" t="inlineStr">
        <is>
          <t>Medicare Part A</t>
        </is>
      </c>
      <c r="I482" t="inlineStr">
        <is>
          <t>09683497</t>
        </is>
      </c>
      <c r="J482" t="inlineStr">
        <is>
          <t>03/17/2021 02:48 PM</t>
        </is>
      </c>
    </row>
    <row r="483">
      <c r="A483" t="inlineStr">
        <is>
          <t>R1482</t>
        </is>
      </c>
      <c r="B483" t="inlineStr">
        <is>
          <t xml:space="preserve">  Hayes ,  Nicholas </t>
        </is>
      </c>
      <c r="C483" t="inlineStr">
        <is>
          <t>04/08/1989</t>
        </is>
      </c>
      <c r="D483" t="inlineStr">
        <is>
          <t>MALE</t>
        </is>
      </c>
      <c r="E483" t="inlineStr">
        <is>
          <t>555.855.2858</t>
        </is>
      </c>
      <c r="F483" t="inlineStr">
        <is>
          <t>nicholas.hayes10@example.com</t>
        </is>
      </c>
      <c r="G483" t="inlineStr">
        <is>
          <t>Cedar Ridge, OH 45720</t>
        </is>
      </c>
      <c r="H483" t="inlineStr">
        <is>
          <t>KEYSTONE HEALTH PARTNERS</t>
        </is>
      </c>
      <c r="I483" t="inlineStr">
        <is>
          <t>1583225</t>
        </is>
      </c>
      <c r="J483" t="inlineStr">
        <is>
          <t>2012-02-17 18:35:00</t>
        </is>
      </c>
    </row>
    <row r="484">
      <c r="A484" t="inlineStr">
        <is>
          <t>R1483</t>
        </is>
      </c>
      <c r="B484" t="inlineStr">
        <is>
          <t>Kennedy, Christine</t>
        </is>
      </c>
      <c r="C484" t="inlineStr">
        <is>
          <t>04/05/1970</t>
        </is>
      </c>
      <c r="D484" t="inlineStr">
        <is>
          <t>f</t>
        </is>
      </c>
      <c r="E484" t="inlineStr">
        <is>
          <t>(555) 524-4030</t>
        </is>
      </c>
      <c r="F484" t="inlineStr">
        <is>
          <t xml:space="preserve"> christine.kennedy75@example.com </t>
        </is>
      </c>
      <c r="G484" t="inlineStr">
        <is>
          <t>Ashby Falls, OH 45610</t>
        </is>
      </c>
      <c r="H484" t="inlineStr">
        <is>
          <t>Self Pay</t>
        </is>
      </c>
      <c r="I484" t="inlineStr">
        <is>
          <t>00036927</t>
        </is>
      </c>
      <c r="J484" t="inlineStr">
        <is>
          <t>2015-05-26 11:14:00</t>
        </is>
      </c>
    </row>
    <row r="485">
      <c r="A485" t="inlineStr">
        <is>
          <t>R1484</t>
        </is>
      </c>
      <c r="B485" t="inlineStr">
        <is>
          <t>Nichols, Stephen</t>
        </is>
      </c>
      <c r="C485" t="inlineStr">
        <is>
          <t>1953-04-09</t>
        </is>
      </c>
      <c r="D485" t="inlineStr">
        <is>
          <t>m</t>
        </is>
      </c>
      <c r="E485" t="inlineStr">
        <is>
          <t>5556416282</t>
        </is>
      </c>
      <c r="F485" t="inlineStr">
        <is>
          <t>stephen.nichols80@example.com</t>
        </is>
      </c>
      <c r="G485" t="inlineStr">
        <is>
          <t>Bluestone OH 45503</t>
        </is>
      </c>
      <c r="H485" t="inlineStr">
        <is>
          <t xml:space="preserve">Medicare </t>
        </is>
      </c>
      <c r="I485" t="inlineStr">
        <is>
          <t>740008</t>
        </is>
      </c>
      <c r="J485" t="inlineStr">
        <is>
          <t>11/06/2021 12:51 PM</t>
        </is>
      </c>
    </row>
    <row r="486">
      <c r="A486" t="inlineStr">
        <is>
          <t>R1485</t>
        </is>
      </c>
      <c r="B486" t="inlineStr">
        <is>
          <t>Liam Dixon</t>
        </is>
      </c>
      <c r="C486" t="inlineStr">
        <is>
          <t>1961-04-30</t>
        </is>
      </c>
      <c r="D486" t="inlineStr">
        <is>
          <t>m</t>
        </is>
      </c>
      <c r="E486" t="inlineStr">
        <is>
          <t>555-975-9093</t>
        </is>
      </c>
      <c r="F486" t="inlineStr">
        <is>
          <t>N/A</t>
        </is>
      </c>
      <c r="G486" t="inlineStr">
        <is>
          <t>Ashby Falls, OH 45610</t>
        </is>
      </c>
      <c r="H486" t="inlineStr">
        <is>
          <t>State Medicaid</t>
        </is>
      </c>
      <c r="I486" t="inlineStr">
        <is>
          <t>00630773</t>
        </is>
      </c>
      <c r="J486" t="inlineStr">
        <is>
          <t>10/25/2023 06:02 PM</t>
        </is>
      </c>
    </row>
    <row r="487">
      <c r="A487" t="inlineStr">
        <is>
          <t>R1486</t>
        </is>
      </c>
      <c r="B487" t="inlineStr">
        <is>
          <t>Pierce, Nancy</t>
        </is>
      </c>
      <c r="C487" t="inlineStr">
        <is>
          <t>2007-10-08</t>
        </is>
      </c>
      <c r="D487" t="inlineStr">
        <is>
          <t>Female</t>
        </is>
      </c>
      <c r="E487" t="inlineStr">
        <is>
          <t>5555169142</t>
        </is>
      </c>
      <c r="F487" t="inlineStr">
        <is>
          <t>N/A</t>
        </is>
      </c>
      <c r="G487" t="inlineStr">
        <is>
          <t>Cedar Ridge, OH 45720-4213</t>
        </is>
      </c>
      <c r="H487" t="inlineStr">
        <is>
          <t>Keystone</t>
        </is>
      </c>
      <c r="I487" t="inlineStr">
        <is>
          <t>06992853</t>
        </is>
      </c>
      <c r="J487" t="inlineStr">
        <is>
          <t>2019-10-29 14:28:00</t>
        </is>
      </c>
    </row>
    <row r="488">
      <c r="A488" t="inlineStr">
        <is>
          <t>R1487</t>
        </is>
      </c>
      <c r="B488" t="inlineStr">
        <is>
          <t>Henry, Thomas</t>
        </is>
      </c>
      <c r="C488" t="inlineStr">
        <is>
          <t>07/28/1969</t>
        </is>
      </c>
      <c r="D488" t="inlineStr">
        <is>
          <t xml:space="preserve">M </t>
        </is>
      </c>
      <c r="E488" t="inlineStr">
        <is>
          <t>(555) 228-5630</t>
        </is>
      </c>
      <c r="G488" t="inlineStr">
        <is>
          <t>Pine Hollow, OH 45640</t>
        </is>
      </c>
      <c r="H488" t="inlineStr">
        <is>
          <t>KEYSTONE HEALTH PARTNERS</t>
        </is>
      </c>
      <c r="I488" t="inlineStr">
        <is>
          <t>09845344</t>
        </is>
      </c>
      <c r="J488" t="inlineStr">
        <is>
          <t>2018-06-15 08:42:00</t>
        </is>
      </c>
    </row>
    <row r="489">
      <c r="A489" t="inlineStr">
        <is>
          <t>R1488</t>
        </is>
      </c>
      <c r="B489" t="inlineStr">
        <is>
          <t>Flores, Nancy</t>
        </is>
      </c>
      <c r="C489" t="inlineStr">
        <is>
          <t>7/12/2006</t>
        </is>
      </c>
      <c r="D489" t="inlineStr">
        <is>
          <t>f</t>
        </is>
      </c>
      <c r="E489" t="inlineStr">
        <is>
          <t>555-537-3866</t>
        </is>
      </c>
      <c r="F489" t="inlineStr">
        <is>
          <t xml:space="preserve"> nancy.flores36@example.com </t>
        </is>
      </c>
      <c r="G489" t="inlineStr">
        <is>
          <t>Millbrook, OH 45530</t>
        </is>
      </c>
      <c r="H489" t="inlineStr">
        <is>
          <t>SUMMIT CHOICE PPO</t>
        </is>
      </c>
      <c r="I489" t="inlineStr">
        <is>
          <t>MRN-05344695</t>
        </is>
      </c>
      <c r="J489" t="inlineStr">
        <is>
          <t>2023-11-23 16:03:00</t>
        </is>
      </c>
    </row>
    <row r="490">
      <c r="A490" t="inlineStr">
        <is>
          <t>R1489</t>
        </is>
      </c>
      <c r="B490" t="inlineStr">
        <is>
          <t>WRIGHT, ALEXIS</t>
        </is>
      </c>
      <c r="C490" t="inlineStr">
        <is>
          <t>1992-03-30</t>
        </is>
      </c>
      <c r="D490" t="inlineStr">
        <is>
          <t xml:space="preserve"> F</t>
        </is>
      </c>
      <c r="E490" t="inlineStr">
        <is>
          <t>(555) 445-0654</t>
        </is>
      </c>
      <c r="F490" t="inlineStr">
        <is>
          <t>alexis.wright39@example.com</t>
        </is>
      </c>
      <c r="G490" t="inlineStr">
        <is>
          <t>Bluestone, OH 45501</t>
        </is>
      </c>
      <c r="H490" t="inlineStr">
        <is>
          <t>medicaid</t>
        </is>
      </c>
      <c r="I490" t="inlineStr">
        <is>
          <t>09440135</t>
        </is>
      </c>
      <c r="J490" t="inlineStr">
        <is>
          <t>08/18/2024 07:33 AM</t>
        </is>
      </c>
    </row>
    <row r="491">
      <c r="A491" t="inlineStr">
        <is>
          <t>R1490</t>
        </is>
      </c>
      <c r="B491" t="inlineStr">
        <is>
          <t>Hicks, Willie</t>
        </is>
      </c>
      <c r="C491" t="inlineStr">
        <is>
          <t>01.14.1980</t>
        </is>
      </c>
      <c r="D491" t="inlineStr">
        <is>
          <t>MALE</t>
        </is>
      </c>
      <c r="E491" t="inlineStr">
        <is>
          <t>5558968016</t>
        </is>
      </c>
      <c r="F491" t="inlineStr">
        <is>
          <t>WILLIE.HICKS72@EXAMPLE.COM</t>
        </is>
      </c>
      <c r="G491" t="inlineStr">
        <is>
          <t>Oak Glen, OH 45730</t>
        </is>
      </c>
      <c r="H491" t="inlineStr">
        <is>
          <t>SELF PAY</t>
        </is>
      </c>
      <c r="I491" t="inlineStr">
        <is>
          <t>906419</t>
        </is>
      </c>
      <c r="J491" t="inlineStr">
        <is>
          <t>2018-09-28 17:06:00</t>
        </is>
      </c>
    </row>
    <row r="492">
      <c r="A492" t="inlineStr">
        <is>
          <t>R1491</t>
        </is>
      </c>
      <c r="B492" t="inlineStr">
        <is>
          <t xml:space="preserve">  Santos ,  Aaron </t>
        </is>
      </c>
      <c r="C492" t="inlineStr">
        <is>
          <t>11/10/1988</t>
        </is>
      </c>
      <c r="D492" t="inlineStr">
        <is>
          <t>M</t>
        </is>
      </c>
      <c r="E492" t="inlineStr">
        <is>
          <t>555-268-9268</t>
        </is>
      </c>
      <c r="F492" t="inlineStr">
        <is>
          <t>none</t>
        </is>
      </c>
      <c r="G492" t="inlineStr">
        <is>
          <t>Bluestone OH 45501</t>
        </is>
      </c>
      <c r="H492" t="inlineStr">
        <is>
          <t>Uninsured</t>
        </is>
      </c>
      <c r="I492" t="inlineStr">
        <is>
          <t>06849564</t>
        </is>
      </c>
      <c r="J492" t="inlineStr">
        <is>
          <t>12/24/2021 03:40 PM</t>
        </is>
      </c>
    </row>
    <row r="493">
      <c r="A493" t="inlineStr">
        <is>
          <t>R1492</t>
        </is>
      </c>
      <c r="B493" t="inlineStr">
        <is>
          <t>Wayne Chen</t>
        </is>
      </c>
      <c r="C493" t="inlineStr">
        <is>
          <t>04/07/1973</t>
        </is>
      </c>
      <c r="D493" t="inlineStr">
        <is>
          <t>M</t>
        </is>
      </c>
      <c r="E493" t="inlineStr">
        <is>
          <t>+1 555 886 4405</t>
        </is>
      </c>
      <c r="G493" t="inlineStr">
        <is>
          <t>FAIRHAVEN, OH 45620</t>
        </is>
      </c>
      <c r="H493" t="inlineStr">
        <is>
          <t>KEYSTONE HEALTH PARTNERS</t>
        </is>
      </c>
      <c r="I493" t="inlineStr">
        <is>
          <t>6585899</t>
        </is>
      </c>
      <c r="J493" t="inlineStr">
        <is>
          <t>08/01/2019 11:54 AM</t>
        </is>
      </c>
    </row>
    <row r="494">
      <c r="A494" t="inlineStr">
        <is>
          <t>R1493</t>
        </is>
      </c>
      <c r="B494" t="inlineStr">
        <is>
          <t>Theresa Morris</t>
        </is>
      </c>
      <c r="C494" t="inlineStr">
        <is>
          <t>23-Dec-2015</t>
        </is>
      </c>
      <c r="D494" t="inlineStr">
        <is>
          <t xml:space="preserve"> F</t>
        </is>
      </c>
      <c r="E494" t="inlineStr">
        <is>
          <t>555-952-2236</t>
        </is>
      </c>
      <c r="G494" t="inlineStr">
        <is>
          <t>Bluestone, OH 45502</t>
        </is>
      </c>
      <c r="H494" t="inlineStr">
        <is>
          <t>Evergreen Mutual</t>
        </is>
      </c>
      <c r="I494" t="inlineStr">
        <is>
          <t>MRN-08909655</t>
        </is>
      </c>
      <c r="J494" t="inlineStr">
        <is>
          <t>2021-06-11 14:06:00</t>
        </is>
      </c>
    </row>
    <row r="495">
      <c r="A495" t="inlineStr">
        <is>
          <t>R1494</t>
        </is>
      </c>
      <c r="B495" t="inlineStr">
        <is>
          <t>Ortiz, Samuel</t>
        </is>
      </c>
      <c r="C495" t="inlineStr">
        <is>
          <t>6/5/1959</t>
        </is>
      </c>
      <c r="D495" t="inlineStr">
        <is>
          <t>Male</t>
        </is>
      </c>
      <c r="E495" t="inlineStr">
        <is>
          <t>5558105159</t>
        </is>
      </c>
      <c r="F495" t="inlineStr">
        <is>
          <t>samuel.ortiz96@example.com</t>
        </is>
      </c>
      <c r="G495" t="inlineStr">
        <is>
          <t>Bluestone, OH 45502</t>
        </is>
      </c>
      <c r="H495" t="inlineStr">
        <is>
          <t>Medicare</t>
        </is>
      </c>
      <c r="I495" t="inlineStr">
        <is>
          <t>MRN-00669497</t>
        </is>
      </c>
      <c r="J495" t="inlineStr">
        <is>
          <t>05/10/2022 10:52 AM</t>
        </is>
      </c>
    </row>
    <row r="496">
      <c r="A496" t="inlineStr">
        <is>
          <t>R1495</t>
        </is>
      </c>
      <c r="B496" t="inlineStr">
        <is>
          <t>Kowalski, Rosa</t>
        </is>
      </c>
      <c r="C496" t="inlineStr">
        <is>
          <t>6/14/1961</t>
        </is>
      </c>
      <c r="D496" t="inlineStr">
        <is>
          <t>FEMALE</t>
        </is>
      </c>
      <c r="E496" t="inlineStr">
        <is>
          <t>555.415.7883</t>
        </is>
      </c>
      <c r="F496" t="inlineStr">
        <is>
          <t>rosa.kowalski92@example.com</t>
        </is>
      </c>
      <c r="G496" t="inlineStr">
        <is>
          <t>Bluestone OH 45501</t>
        </is>
      </c>
      <c r="H496" t="inlineStr">
        <is>
          <t>Keystone Health Ptnrs</t>
        </is>
      </c>
      <c r="I496" t="inlineStr">
        <is>
          <t>8852022</t>
        </is>
      </c>
      <c r="J496" t="inlineStr">
        <is>
          <t>05/29/2013 05:57 PM</t>
        </is>
      </c>
    </row>
    <row r="497">
      <c r="A497" t="inlineStr">
        <is>
          <t>R1496</t>
        </is>
      </c>
      <c r="B497" t="inlineStr">
        <is>
          <t>Herrera, Rachel</t>
        </is>
      </c>
      <c r="C497" t="inlineStr">
        <is>
          <t>03.17.2004</t>
        </is>
      </c>
      <c r="D497" t="inlineStr">
        <is>
          <t xml:space="preserve"> F</t>
        </is>
      </c>
      <c r="E497" t="inlineStr">
        <is>
          <t>(555) 321-5074</t>
        </is>
      </c>
      <c r="F497" t="inlineStr">
        <is>
          <t>N/A</t>
        </is>
      </c>
      <c r="G497" t="inlineStr">
        <is>
          <t>Oak Glen, OH 45730</t>
        </is>
      </c>
      <c r="H497" t="inlineStr">
        <is>
          <t>EVERGREEN MUTUAL INS</t>
        </is>
      </c>
      <c r="I497" t="inlineStr">
        <is>
          <t>MRN-06151059</t>
        </is>
      </c>
      <c r="J497" t="inlineStr">
        <is>
          <t>07/06/2021 04:27 PM</t>
        </is>
      </c>
    </row>
    <row r="498">
      <c r="A498" t="inlineStr">
        <is>
          <t>R1497</t>
        </is>
      </c>
      <c r="B498" t="inlineStr">
        <is>
          <t>Adams, Ronald</t>
        </is>
      </c>
      <c r="C498" t="inlineStr">
        <is>
          <t>11.04.1957</t>
        </is>
      </c>
      <c r="D498" t="inlineStr">
        <is>
          <t>m</t>
        </is>
      </c>
      <c r="E498" t="inlineStr">
        <is>
          <t>5555433945</t>
        </is>
      </c>
      <c r="F498" t="inlineStr">
        <is>
          <t>ronald.adams64@example.com</t>
        </is>
      </c>
      <c r="G498" t="inlineStr">
        <is>
          <t>MILLBROOK, OH 45530</t>
        </is>
      </c>
      <c r="H498" t="inlineStr">
        <is>
          <t>Silverline MA</t>
        </is>
      </c>
      <c r="I498" t="inlineStr">
        <is>
          <t>8734597</t>
        </is>
      </c>
      <c r="J498" t="inlineStr">
        <is>
          <t>08/12/2015 07:26 AM</t>
        </is>
      </c>
    </row>
    <row r="499">
      <c r="A499" t="inlineStr">
        <is>
          <t>R1498</t>
        </is>
      </c>
      <c r="B499" t="inlineStr">
        <is>
          <t>Morris, Lisa</t>
        </is>
      </c>
      <c r="C499" t="inlineStr">
        <is>
          <t>1929-11-28</t>
        </is>
      </c>
      <c r="D499" t="inlineStr">
        <is>
          <t>F</t>
        </is>
      </c>
      <c r="E499" t="inlineStr">
        <is>
          <t>(555) 657-5074</t>
        </is>
      </c>
      <c r="F499" t="inlineStr">
        <is>
          <t>lisa.morris97@example.com</t>
        </is>
      </c>
      <c r="G499" t="inlineStr">
        <is>
          <t>Bluestone, OH 45501-5880</t>
        </is>
      </c>
      <c r="H499" t="inlineStr">
        <is>
          <t>Silverline Medicare Advantage</t>
        </is>
      </c>
      <c r="I499" t="inlineStr">
        <is>
          <t>527567</t>
        </is>
      </c>
      <c r="J499" t="inlineStr">
        <is>
          <t>10/16/2008 06:46 PM</t>
        </is>
      </c>
    </row>
    <row r="500">
      <c r="A500" t="inlineStr">
        <is>
          <t>R1499</t>
        </is>
      </c>
      <c r="B500" t="inlineStr">
        <is>
          <t>Pena, Joseph</t>
        </is>
      </c>
      <c r="C500" t="inlineStr">
        <is>
          <t>09/27/1928</t>
        </is>
      </c>
      <c r="D500" t="inlineStr">
        <is>
          <t>m</t>
        </is>
      </c>
      <c r="E500" t="inlineStr">
        <is>
          <t>555-855-5530</t>
        </is>
      </c>
      <c r="F500" t="inlineStr">
        <is>
          <t>joseph.pena57@example.com</t>
        </is>
      </c>
      <c r="G500" t="inlineStr">
        <is>
          <t>Bluestone, OH 45502</t>
        </is>
      </c>
      <c r="H500" t="inlineStr">
        <is>
          <t>Silverline Medicare Advantage</t>
        </is>
      </c>
      <c r="I500" t="inlineStr">
        <is>
          <t>06792129</t>
        </is>
      </c>
      <c r="J500" t="inlineStr">
        <is>
          <t>02/22/2019 07:44 AM</t>
        </is>
      </c>
    </row>
    <row r="501">
      <c r="A501" t="inlineStr">
        <is>
          <t>R1500</t>
        </is>
      </c>
      <c r="B501" t="inlineStr">
        <is>
          <t>Gonzalez, Frank</t>
        </is>
      </c>
      <c r="C501" t="inlineStr">
        <is>
          <t>07/15/2000</t>
        </is>
      </c>
      <c r="D501" t="inlineStr">
        <is>
          <t>M</t>
        </is>
      </c>
      <c r="E501" t="inlineStr">
        <is>
          <t>(555) 939-2526</t>
        </is>
      </c>
      <c r="F501" t="inlineStr">
        <is>
          <t>FRANK.GONZALEZ60@EXAMPLE.COM</t>
        </is>
      </c>
      <c r="G501" t="inlineStr">
        <is>
          <t>Bluestone, OH 45501</t>
        </is>
      </c>
      <c r="H501" t="inlineStr">
        <is>
          <t>Evergreen Mutual Insurance</t>
        </is>
      </c>
      <c r="I501" t="inlineStr">
        <is>
          <t>01312758</t>
        </is>
      </c>
      <c r="J501" t="inlineStr">
        <is>
          <t>11/16/2014 06:29 PM</t>
        </is>
      </c>
    </row>
    <row r="502">
      <c r="A502" t="inlineStr">
        <is>
          <t>R1501</t>
        </is>
      </c>
      <c r="B502" t="inlineStr">
        <is>
          <t>Sandra Cruz</t>
        </is>
      </c>
      <c r="C502" t="inlineStr">
        <is>
          <t>6/8/2009</t>
        </is>
      </c>
      <c r="D502" t="inlineStr">
        <is>
          <t>F</t>
        </is>
      </c>
      <c r="E502" t="inlineStr">
        <is>
          <t>(555) 303-4463</t>
        </is>
      </c>
      <c r="F502" t="inlineStr">
        <is>
          <t>SANDRA.CRUZ28@EXAMPLE.COM</t>
        </is>
      </c>
      <c r="G502" t="inlineStr">
        <is>
          <t>Bluestone OH 45503</t>
        </is>
      </c>
      <c r="H502" t="inlineStr">
        <is>
          <t>medicaid</t>
        </is>
      </c>
      <c r="I502" t="inlineStr">
        <is>
          <t>06391914</t>
        </is>
      </c>
      <c r="J502" t="inlineStr">
        <is>
          <t>2017-09-06 16:30:00</t>
        </is>
      </c>
    </row>
    <row r="503">
      <c r="A503" t="inlineStr">
        <is>
          <t>R1502</t>
        </is>
      </c>
      <c r="B503" t="inlineStr">
        <is>
          <t>Ray, Teresa</t>
        </is>
      </c>
      <c r="C503" t="inlineStr">
        <is>
          <t>08/12/2000</t>
        </is>
      </c>
      <c r="D503" t="inlineStr">
        <is>
          <t>FEMALE</t>
        </is>
      </c>
      <c r="E503" t="inlineStr">
        <is>
          <t>(555) 853-6046</t>
        </is>
      </c>
      <c r="F503" t="inlineStr">
        <is>
          <t>none</t>
        </is>
      </c>
      <c r="G503" t="inlineStr">
        <is>
          <t>Granite Springs OH 45750</t>
        </is>
      </c>
      <c r="H503" t="inlineStr">
        <is>
          <t>Uninsured</t>
        </is>
      </c>
      <c r="I503" t="inlineStr">
        <is>
          <t>04137535</t>
        </is>
      </c>
      <c r="J503" t="inlineStr">
        <is>
          <t>02/15/2022 01:24 PM</t>
        </is>
      </c>
    </row>
    <row r="504">
      <c r="A504" t="inlineStr">
        <is>
          <t>R1503</t>
        </is>
      </c>
      <c r="B504" t="inlineStr">
        <is>
          <t>Rivera, Justin</t>
        </is>
      </c>
      <c r="C504" t="inlineStr">
        <is>
          <t>6/4/1949</t>
        </is>
      </c>
      <c r="D504" t="inlineStr">
        <is>
          <t xml:space="preserve">M </t>
        </is>
      </c>
      <c r="F504" t="inlineStr">
        <is>
          <t>justin.rivera67@example.com</t>
        </is>
      </c>
      <c r="G504" t="inlineStr">
        <is>
          <t>Oak Glen, OH 45730</t>
        </is>
      </c>
      <c r="H504" t="inlineStr">
        <is>
          <t>Medicare Part A</t>
        </is>
      </c>
      <c r="I504" t="inlineStr">
        <is>
          <t>08454666</t>
        </is>
      </c>
      <c r="J504" t="inlineStr">
        <is>
          <t>2022-12-10 17:43:00</t>
        </is>
      </c>
    </row>
    <row r="505">
      <c r="A505" t="inlineStr">
        <is>
          <t>R1504</t>
        </is>
      </c>
      <c r="B505" t="inlineStr">
        <is>
          <t>FISHER, ZACHARY</t>
        </is>
      </c>
      <c r="C505" t="inlineStr">
        <is>
          <t>7/27/1998</t>
        </is>
      </c>
      <c r="D505" t="inlineStr">
        <is>
          <t>Male</t>
        </is>
      </c>
      <c r="E505" t="inlineStr">
        <is>
          <t>(555) 373-8283</t>
        </is>
      </c>
      <c r="F505" t="inlineStr">
        <is>
          <t>zachary.fisher1@example.com</t>
        </is>
      </c>
      <c r="G505" t="inlineStr">
        <is>
          <t>BLUESTONE, OH 45501</t>
        </is>
      </c>
      <c r="H505" t="inlineStr">
        <is>
          <t>Evergreen Mutual Insurance</t>
        </is>
      </c>
      <c r="I505" t="inlineStr">
        <is>
          <t>05795018</t>
        </is>
      </c>
      <c r="J505" t="inlineStr">
        <is>
          <t>2013-08-20 12:37:00</t>
        </is>
      </c>
    </row>
    <row r="506">
      <c r="A506" t="inlineStr">
        <is>
          <t>R1505</t>
        </is>
      </c>
      <c r="B506" t="inlineStr">
        <is>
          <t>MITCHELL, EMILY</t>
        </is>
      </c>
      <c r="C506" t="inlineStr">
        <is>
          <t>12/07/1967</t>
        </is>
      </c>
      <c r="D506" t="inlineStr">
        <is>
          <t>F</t>
        </is>
      </c>
      <c r="E506" t="inlineStr">
        <is>
          <t>(555) 626-9736</t>
        </is>
      </c>
      <c r="F506" t="inlineStr">
        <is>
          <t>emily.mitchell35@example.com</t>
        </is>
      </c>
      <c r="G506" t="inlineStr">
        <is>
          <t>Ashby Falls, OH 45610</t>
        </is>
      </c>
      <c r="H506" t="inlineStr">
        <is>
          <t>medicaid</t>
        </is>
      </c>
      <c r="I506" t="inlineStr">
        <is>
          <t>02672120</t>
        </is>
      </c>
      <c r="J506" t="inlineStr">
        <is>
          <t>2015-03-28 16:30:00</t>
        </is>
      </c>
    </row>
    <row r="507">
      <c r="A507" t="inlineStr">
        <is>
          <t>R1506</t>
        </is>
      </c>
      <c r="B507" t="inlineStr">
        <is>
          <t>McDonald, Jose</t>
        </is>
      </c>
      <c r="C507" t="inlineStr">
        <is>
          <t>09-Feb-2002</t>
        </is>
      </c>
      <c r="D507" t="inlineStr">
        <is>
          <t>M</t>
        </is>
      </c>
      <c r="E507" t="inlineStr">
        <is>
          <t>555-202-1813</t>
        </is>
      </c>
      <c r="F507" t="inlineStr">
        <is>
          <t>jose.mcdonald67@example.com</t>
        </is>
      </c>
      <c r="G507" t="inlineStr">
        <is>
          <t>Bluestone, OH 45503</t>
        </is>
      </c>
      <c r="H507" t="inlineStr">
        <is>
          <t>self-pay</t>
        </is>
      </c>
      <c r="I507" t="inlineStr">
        <is>
          <t>06640505</t>
        </is>
      </c>
      <c r="J507" t="inlineStr">
        <is>
          <t>2024-03-18 07:16:00</t>
        </is>
      </c>
    </row>
    <row r="508">
      <c r="A508" t="inlineStr">
        <is>
          <t>R1507</t>
        </is>
      </c>
      <c r="B508" t="inlineStr">
        <is>
          <t xml:space="preserve">  Novak ,  Diego </t>
        </is>
      </c>
      <c r="C508" t="inlineStr">
        <is>
          <t>26-Feb-2009</t>
        </is>
      </c>
      <c r="D508" t="inlineStr">
        <is>
          <t>M</t>
        </is>
      </c>
      <c r="E508" t="inlineStr">
        <is>
          <t>555-400-0532</t>
        </is>
      </c>
      <c r="G508" t="inlineStr">
        <is>
          <t>Lakeview Heights, OH 45510-9256</t>
        </is>
      </c>
      <c r="H508" t="inlineStr">
        <is>
          <t>Medicaid</t>
        </is>
      </c>
      <c r="I508" t="inlineStr">
        <is>
          <t>06196463</t>
        </is>
      </c>
      <c r="J508" t="inlineStr">
        <is>
          <t>04/04/2014 12:18 PM</t>
        </is>
      </c>
    </row>
    <row r="509">
      <c r="A509" t="inlineStr">
        <is>
          <t>R1508</t>
        </is>
      </c>
      <c r="B509" t="inlineStr">
        <is>
          <t>ROSE, DEBRA</t>
        </is>
      </c>
      <c r="C509" t="inlineStr">
        <is>
          <t>03/01/2014</t>
        </is>
      </c>
      <c r="D509" t="inlineStr">
        <is>
          <t xml:space="preserve"> F</t>
        </is>
      </c>
      <c r="E509" t="inlineStr">
        <is>
          <t>5555638083</t>
        </is>
      </c>
      <c r="G509" t="inlineStr">
        <is>
          <t>Cedar Ridge, OH 45720-9146</t>
        </is>
      </c>
      <c r="H509" t="inlineStr">
        <is>
          <t>STATE MEDICAID</t>
        </is>
      </c>
      <c r="I509" t="inlineStr">
        <is>
          <t>03422069</t>
        </is>
      </c>
      <c r="J509" t="inlineStr">
        <is>
          <t>2022-10-14 09:03:00</t>
        </is>
      </c>
    </row>
    <row r="510">
      <c r="A510" t="inlineStr">
        <is>
          <t>R1509</t>
        </is>
      </c>
      <c r="B510" t="inlineStr">
        <is>
          <t>GARZA, DONNA</t>
        </is>
      </c>
      <c r="C510" t="inlineStr">
        <is>
          <t>04/11/2020</t>
        </is>
      </c>
      <c r="D510" t="inlineStr">
        <is>
          <t xml:space="preserve"> F</t>
        </is>
      </c>
      <c r="E510" t="inlineStr">
        <is>
          <t>555-233-5856</t>
        </is>
      </c>
      <c r="F510" t="inlineStr">
        <is>
          <t>N/A</t>
        </is>
      </c>
      <c r="G510" t="inlineStr">
        <is>
          <t>Cedar Ridge, OH 45720</t>
        </is>
      </c>
      <c r="H510" t="inlineStr">
        <is>
          <t>SUMMIT CHOICE PPO</t>
        </is>
      </c>
      <c r="I510" t="inlineStr">
        <is>
          <t>07765833</t>
        </is>
      </c>
      <c r="J510" t="inlineStr">
        <is>
          <t>06/27/2023 04:44 PM</t>
        </is>
      </c>
    </row>
    <row r="511">
      <c r="A511" t="inlineStr">
        <is>
          <t>R1510</t>
        </is>
      </c>
      <c r="B511" t="inlineStr">
        <is>
          <t>Hicks, Patricia</t>
        </is>
      </c>
      <c r="C511" t="inlineStr">
        <is>
          <t>05/16/1954</t>
        </is>
      </c>
      <c r="D511" t="inlineStr">
        <is>
          <t>F</t>
        </is>
      </c>
      <c r="E511" t="inlineStr">
        <is>
          <t>(555) 405-9552</t>
        </is>
      </c>
      <c r="F511" t="inlineStr">
        <is>
          <t>PATRICIA.HICKS3@EXAMPLE.COM</t>
        </is>
      </c>
      <c r="G511" t="inlineStr">
        <is>
          <t>Bluestone, OH 45503</t>
        </is>
      </c>
      <c r="H511" t="inlineStr">
        <is>
          <t>Silverline Medicare Advantage</t>
        </is>
      </c>
      <c r="I511" t="inlineStr">
        <is>
          <t>01160280</t>
        </is>
      </c>
      <c r="J511" t="inlineStr">
        <is>
          <t>04/16/2016 01:40 PM</t>
        </is>
      </c>
    </row>
    <row r="512">
      <c r="A512" t="inlineStr">
        <is>
          <t>R1511</t>
        </is>
      </c>
      <c r="B512" t="inlineStr">
        <is>
          <t>washington, nicholas</t>
        </is>
      </c>
      <c r="C512" t="inlineStr">
        <is>
          <t>1963-06-13</t>
        </is>
      </c>
      <c r="D512" t="inlineStr">
        <is>
          <t>Male</t>
        </is>
      </c>
      <c r="E512" t="inlineStr">
        <is>
          <t>555-753-4042</t>
        </is>
      </c>
      <c r="F512" t="inlineStr">
        <is>
          <t>nicholas.washington41@example.com</t>
        </is>
      </c>
      <c r="G512" t="inlineStr">
        <is>
          <t>Lakeview Heights OH 45510</t>
        </is>
      </c>
      <c r="H512" t="inlineStr">
        <is>
          <t>Self-Pay</t>
        </is>
      </c>
      <c r="I512" t="inlineStr">
        <is>
          <t>00447450</t>
        </is>
      </c>
      <c r="J512" t="inlineStr">
        <is>
          <t>01/01/2015 07:15 AM</t>
        </is>
      </c>
    </row>
    <row r="513">
      <c r="A513" t="inlineStr">
        <is>
          <t>R1512</t>
        </is>
      </c>
      <c r="B513" t="inlineStr">
        <is>
          <t>Vargas, Mia</t>
        </is>
      </c>
      <c r="C513" t="inlineStr">
        <is>
          <t>01/18/1967</t>
        </is>
      </c>
      <c r="D513" t="inlineStr">
        <is>
          <t>FEMALE</t>
        </is>
      </c>
      <c r="E513" t="inlineStr">
        <is>
          <t>5556975543</t>
        </is>
      </c>
      <c r="F513" t="inlineStr">
        <is>
          <t>mia.vargas9@example.com</t>
        </is>
      </c>
      <c r="G513" t="inlineStr">
        <is>
          <t>Bluestone, OH 45502</t>
        </is>
      </c>
      <c r="H513" t="inlineStr">
        <is>
          <t>Self-Pay</t>
        </is>
      </c>
      <c r="I513" t="inlineStr">
        <is>
          <t>04460581</t>
        </is>
      </c>
      <c r="J513" t="inlineStr">
        <is>
          <t>2012-03-10 14:44:00</t>
        </is>
      </c>
    </row>
    <row r="514">
      <c r="A514" t="inlineStr">
        <is>
          <t>R1513</t>
        </is>
      </c>
      <c r="B514" t="inlineStr">
        <is>
          <t>miller, christine</t>
        </is>
      </c>
      <c r="C514" t="inlineStr">
        <is>
          <t>05/28/1968</t>
        </is>
      </c>
      <c r="D514" t="inlineStr">
        <is>
          <t>f</t>
        </is>
      </c>
      <c r="E514" t="inlineStr">
        <is>
          <t>555.935.7917</t>
        </is>
      </c>
      <c r="F514" t="inlineStr">
        <is>
          <t>christine.miller53@example.com</t>
        </is>
      </c>
      <c r="G514" t="inlineStr">
        <is>
          <t>Ashby Falls, OH 45610</t>
        </is>
      </c>
      <c r="H514" t="inlineStr">
        <is>
          <t>evergreen mutual insurance</t>
        </is>
      </c>
      <c r="I514" t="inlineStr">
        <is>
          <t>02692318</t>
        </is>
      </c>
      <c r="J514" t="inlineStr">
        <is>
          <t>02/09/2018 03:37 PM</t>
        </is>
      </c>
    </row>
    <row r="515">
      <c r="A515" t="inlineStr">
        <is>
          <t>R1514</t>
        </is>
      </c>
      <c r="B515" t="inlineStr">
        <is>
          <t>Noah Kowalski</t>
        </is>
      </c>
      <c r="C515" t="inlineStr">
        <is>
          <t>9/26/1967</t>
        </is>
      </c>
      <c r="D515" t="inlineStr">
        <is>
          <t>M</t>
        </is>
      </c>
      <c r="E515" t="inlineStr">
        <is>
          <t>555-510-0104</t>
        </is>
      </c>
      <c r="G515" t="inlineStr">
        <is>
          <t>Cedar Ridge, OH 45720</t>
        </is>
      </c>
      <c r="H515" t="inlineStr">
        <is>
          <t>Evergreen Mutual</t>
        </is>
      </c>
      <c r="I515" t="inlineStr">
        <is>
          <t>03353384</t>
        </is>
      </c>
      <c r="J515" t="inlineStr">
        <is>
          <t>2020-07-01 12:39:00</t>
        </is>
      </c>
    </row>
    <row r="516">
      <c r="A516" t="inlineStr">
        <is>
          <t>R1515</t>
        </is>
      </c>
      <c r="B516" t="inlineStr">
        <is>
          <t>ALVARADO, WAYNE</t>
        </is>
      </c>
      <c r="C516" t="inlineStr">
        <is>
          <t>11/09/1950</t>
        </is>
      </c>
      <c r="D516" t="inlineStr">
        <is>
          <t>M</t>
        </is>
      </c>
      <c r="E516" t="inlineStr">
        <is>
          <t>(555) 836-5983</t>
        </is>
      </c>
      <c r="F516" t="inlineStr">
        <is>
          <t>none</t>
        </is>
      </c>
      <c r="G516" t="inlineStr">
        <is>
          <t>Ashby Falls, OH 45610</t>
        </is>
      </c>
      <c r="H516" t="inlineStr">
        <is>
          <t>Medicare</t>
        </is>
      </c>
      <c r="I516" t="inlineStr">
        <is>
          <t>01860654</t>
        </is>
      </c>
      <c r="J516" t="inlineStr">
        <is>
          <t>03/24/2016 01:27 PM</t>
        </is>
      </c>
    </row>
    <row r="517">
      <c r="A517" t="inlineStr">
        <is>
          <t>R1516</t>
        </is>
      </c>
      <c r="B517" t="inlineStr">
        <is>
          <t>Pierce, Carl</t>
        </is>
      </c>
      <c r="C517" t="inlineStr">
        <is>
          <t>2014-03-01</t>
        </is>
      </c>
      <c r="D517" t="inlineStr">
        <is>
          <t>M</t>
        </is>
      </c>
      <c r="G517" t="inlineStr">
        <is>
          <t>Cedar Ridge, OH 45720</t>
        </is>
      </c>
      <c r="H517" t="inlineStr">
        <is>
          <t>Medicaid</t>
        </is>
      </c>
      <c r="I517" t="inlineStr">
        <is>
          <t>03727286</t>
        </is>
      </c>
      <c r="J517" t="inlineStr">
        <is>
          <t>2016-07-06 13:58:00</t>
        </is>
      </c>
    </row>
    <row r="518">
      <c r="A518" t="inlineStr">
        <is>
          <t>R1517</t>
        </is>
      </c>
      <c r="B518" t="inlineStr">
        <is>
          <t>Kim, Ethan</t>
        </is>
      </c>
      <c r="C518" t="inlineStr">
        <is>
          <t>1931-05-23</t>
        </is>
      </c>
      <c r="D518" t="inlineStr">
        <is>
          <t xml:space="preserve">M </t>
        </is>
      </c>
      <c r="E518" t="inlineStr">
        <is>
          <t>5559648131</t>
        </is>
      </c>
      <c r="F518" t="inlineStr">
        <is>
          <t>ethan.kim24@example.com</t>
        </is>
      </c>
      <c r="G518" t="inlineStr">
        <is>
          <t>Ashby Falls, OH 45610</t>
        </is>
      </c>
      <c r="H518" t="inlineStr">
        <is>
          <t xml:space="preserve">Medicare </t>
        </is>
      </c>
      <c r="I518" t="inlineStr">
        <is>
          <t>02110671</t>
        </is>
      </c>
      <c r="J518" t="inlineStr">
        <is>
          <t>2022-10-29 16:19:00</t>
        </is>
      </c>
    </row>
    <row r="519">
      <c r="A519" t="inlineStr">
        <is>
          <t>R1518</t>
        </is>
      </c>
      <c r="B519" t="inlineStr">
        <is>
          <t>Edward Castillo</t>
        </is>
      </c>
      <c r="C519" t="inlineStr">
        <is>
          <t>02/18/1961</t>
        </is>
      </c>
      <c r="D519" t="inlineStr">
        <is>
          <t>m</t>
        </is>
      </c>
      <c r="E519" t="inlineStr">
        <is>
          <t>555-861-5722</t>
        </is>
      </c>
      <c r="G519" t="inlineStr">
        <is>
          <t>Cedar Ridge, OH 45720-7432</t>
        </is>
      </c>
      <c r="H519" t="inlineStr">
        <is>
          <t>Summit Choice PPO</t>
        </is>
      </c>
      <c r="I519" t="inlineStr">
        <is>
          <t>MRN-01785519</t>
        </is>
      </c>
      <c r="J519" t="inlineStr">
        <is>
          <t>2021-10-13 15:50:00</t>
        </is>
      </c>
    </row>
    <row r="520">
      <c r="A520" t="inlineStr">
        <is>
          <t>R1519</t>
        </is>
      </c>
      <c r="B520" t="inlineStr">
        <is>
          <t>Marshall, Lauren</t>
        </is>
      </c>
      <c r="C520" t="inlineStr">
        <is>
          <t>2019-01-16</t>
        </is>
      </c>
      <c r="D520" t="inlineStr">
        <is>
          <t>F</t>
        </is>
      </c>
      <c r="E520" t="inlineStr">
        <is>
          <t>5557271108</t>
        </is>
      </c>
      <c r="F520" t="inlineStr">
        <is>
          <t>N/A</t>
        </is>
      </c>
      <c r="G520" t="inlineStr">
        <is>
          <t>Cedar Ridge, OH 45720</t>
        </is>
      </c>
      <c r="H520" t="inlineStr">
        <is>
          <t>SUMMIT CHOICE PPO</t>
        </is>
      </c>
      <c r="I520" t="inlineStr">
        <is>
          <t>09569065</t>
        </is>
      </c>
      <c r="J520" t="inlineStr">
        <is>
          <t>05/03/2019 02:43 PM</t>
        </is>
      </c>
    </row>
    <row r="521">
      <c r="A521" t="inlineStr">
        <is>
          <t>R1520</t>
        </is>
      </c>
      <c r="B521" t="inlineStr">
        <is>
          <t>Carter, Edward</t>
        </is>
      </c>
      <c r="C521" t="inlineStr">
        <is>
          <t>04/30/1983</t>
        </is>
      </c>
      <c r="D521" t="inlineStr">
        <is>
          <t>M</t>
        </is>
      </c>
      <c r="E521" t="inlineStr">
        <is>
          <t>5559545440</t>
        </is>
      </c>
      <c r="F521" t="inlineStr">
        <is>
          <t>edward.carter56@example.com</t>
        </is>
      </c>
      <c r="G521" t="inlineStr">
        <is>
          <t>Bluestone, OH 45503</t>
        </is>
      </c>
      <c r="H521" t="inlineStr">
        <is>
          <t>Keystone</t>
        </is>
      </c>
      <c r="I521" t="inlineStr">
        <is>
          <t>07928206</t>
        </is>
      </c>
      <c r="J521" t="inlineStr">
        <is>
          <t>11/11/2024 05:17 PM</t>
        </is>
      </c>
    </row>
    <row r="522">
      <c r="A522" t="inlineStr">
        <is>
          <t>R1521</t>
        </is>
      </c>
      <c r="B522" t="inlineStr">
        <is>
          <t>anderson, elizabeth</t>
        </is>
      </c>
      <c r="C522" t="inlineStr">
        <is>
          <t>1959-02-02</t>
        </is>
      </c>
      <c r="D522" t="inlineStr">
        <is>
          <t>FEMALE</t>
        </is>
      </c>
      <c r="E522" t="inlineStr">
        <is>
          <t>+1 555 317 9683</t>
        </is>
      </c>
      <c r="F522" t="inlineStr">
        <is>
          <t>elizabeth.anderson82@example.com</t>
        </is>
      </c>
      <c r="G522" t="inlineStr">
        <is>
          <t>GRANITE SPRINGS, OH 45750</t>
        </is>
      </c>
      <c r="H522" t="inlineStr">
        <is>
          <t>medicare</t>
        </is>
      </c>
      <c r="I522" t="inlineStr">
        <is>
          <t>09184498</t>
        </is>
      </c>
      <c r="J522" t="inlineStr">
        <is>
          <t>2022-05-05 07:13:00</t>
        </is>
      </c>
    </row>
    <row r="523">
      <c r="A523" t="inlineStr">
        <is>
          <t>R1522</t>
        </is>
      </c>
      <c r="B523" t="inlineStr">
        <is>
          <t>JACKSON, LAWRENCE</t>
        </is>
      </c>
      <c r="C523" t="inlineStr">
        <is>
          <t>5/28/1966</t>
        </is>
      </c>
      <c r="D523" t="inlineStr">
        <is>
          <t>m</t>
        </is>
      </c>
      <c r="E523" t="inlineStr">
        <is>
          <t>555.335.3421</t>
        </is>
      </c>
      <c r="F523" t="inlineStr">
        <is>
          <t>lawrence.jackson38@example.com</t>
        </is>
      </c>
      <c r="G523" t="inlineStr">
        <is>
          <t>Bluestone, OH 45502</t>
        </is>
      </c>
      <c r="H523" t="inlineStr">
        <is>
          <t>Keystone Health Ptnrs</t>
        </is>
      </c>
      <c r="I523" t="inlineStr">
        <is>
          <t>09775391</t>
        </is>
      </c>
      <c r="J523" t="inlineStr">
        <is>
          <t>10/07/2013 02:25 PM</t>
        </is>
      </c>
    </row>
    <row r="524">
      <c r="A524" t="inlineStr">
        <is>
          <t>R1523</t>
        </is>
      </c>
      <c r="B524" t="inlineStr">
        <is>
          <t xml:space="preserve">  Baker ,  Ava </t>
        </is>
      </c>
      <c r="C524" t="inlineStr">
        <is>
          <t>06/12/2025</t>
        </is>
      </c>
      <c r="D524" t="inlineStr">
        <is>
          <t>Female</t>
        </is>
      </c>
      <c r="G524" t="inlineStr">
        <is>
          <t>Pine Hollow, OH 45640</t>
        </is>
      </c>
      <c r="H524" t="inlineStr">
        <is>
          <t>self-pay</t>
        </is>
      </c>
      <c r="I524" t="inlineStr">
        <is>
          <t>09501885</t>
        </is>
      </c>
      <c r="J524" t="inlineStr">
        <is>
          <t>03/15/2024 03:24 PM</t>
        </is>
      </c>
    </row>
    <row r="525">
      <c r="A525" t="inlineStr">
        <is>
          <t>R1524</t>
        </is>
      </c>
      <c r="B525" t="inlineStr">
        <is>
          <t>herrera, john</t>
        </is>
      </c>
      <c r="C525" t="inlineStr">
        <is>
          <t>13-Mar-1953</t>
        </is>
      </c>
      <c r="D525" t="inlineStr">
        <is>
          <t>M</t>
        </is>
      </c>
      <c r="E525" t="inlineStr">
        <is>
          <t>(555) 767-3423</t>
        </is>
      </c>
      <c r="F525" t="inlineStr">
        <is>
          <t>N/A</t>
        </is>
      </c>
      <c r="G525" t="inlineStr">
        <is>
          <t>Bluestone, OH 45501</t>
        </is>
      </c>
      <c r="H525" t="inlineStr">
        <is>
          <t>SILVERLINE MEDICARE ADV.</t>
        </is>
      </c>
      <c r="I525" t="inlineStr">
        <is>
          <t>MRN-04542733</t>
        </is>
      </c>
      <c r="J525" t="inlineStr">
        <is>
          <t>2015-02-22 10:51:00</t>
        </is>
      </c>
    </row>
    <row r="526">
      <c r="A526" t="inlineStr">
        <is>
          <t>R1525</t>
        </is>
      </c>
      <c r="B526" t="inlineStr">
        <is>
          <t xml:space="preserve">  Okafor ,  Zachary </t>
        </is>
      </c>
      <c r="C526" t="inlineStr">
        <is>
          <t>03/19/1934</t>
        </is>
      </c>
      <c r="D526" t="inlineStr">
        <is>
          <t>MALE</t>
        </is>
      </c>
      <c r="E526" t="inlineStr">
        <is>
          <t>555-319-8373</t>
        </is>
      </c>
      <c r="F526" t="inlineStr">
        <is>
          <t xml:space="preserve"> zachary.okafor66@example.com </t>
        </is>
      </c>
      <c r="G526" t="inlineStr">
        <is>
          <t>MILLBROOK, OH 45530</t>
        </is>
      </c>
      <c r="H526" t="inlineStr">
        <is>
          <t xml:space="preserve">Medicare </t>
        </is>
      </c>
      <c r="I526" t="inlineStr">
        <is>
          <t>3345353</t>
        </is>
      </c>
      <c r="J526" t="inlineStr">
        <is>
          <t>2009-12-26 18:00:00</t>
        </is>
      </c>
    </row>
    <row r="527">
      <c r="A527" t="inlineStr">
        <is>
          <t>R1526</t>
        </is>
      </c>
      <c r="B527" t="inlineStr">
        <is>
          <t>GIBSON, EMMA</t>
        </is>
      </c>
      <c r="C527" t="inlineStr">
        <is>
          <t>2007-03-25</t>
        </is>
      </c>
      <c r="D527" t="inlineStr">
        <is>
          <t>F</t>
        </is>
      </c>
      <c r="E527" t="inlineStr">
        <is>
          <t>555.631.6213</t>
        </is>
      </c>
      <c r="F527" t="inlineStr">
        <is>
          <t>EMMA.GIBSON34@EXAMPLE.COM</t>
        </is>
      </c>
      <c r="G527" t="inlineStr">
        <is>
          <t>BLUESTONE, OH 45503</t>
        </is>
      </c>
      <c r="H527" t="inlineStr">
        <is>
          <t>KEYSTONE HEALTH PARTNERS</t>
        </is>
      </c>
      <c r="I527" t="inlineStr">
        <is>
          <t>MRN-09388872</t>
        </is>
      </c>
      <c r="J527" t="inlineStr">
        <is>
          <t>10/31/2019 08:58 AM</t>
        </is>
      </c>
    </row>
    <row r="528">
      <c r="A528" t="inlineStr">
        <is>
          <t>R1527</t>
        </is>
      </c>
      <c r="B528" t="inlineStr">
        <is>
          <t xml:space="preserve">  Bryant ,  Kimberly </t>
        </is>
      </c>
      <c r="C528" t="inlineStr">
        <is>
          <t>29-Jul-1946</t>
        </is>
      </c>
      <c r="D528" t="inlineStr">
        <is>
          <t xml:space="preserve"> F</t>
        </is>
      </c>
      <c r="E528" t="inlineStr">
        <is>
          <t>555-326-7636</t>
        </is>
      </c>
      <c r="F528" t="inlineStr">
        <is>
          <t>kimberly.bryant9@example.com</t>
        </is>
      </c>
      <c r="G528" t="inlineStr">
        <is>
          <t>Bluestone, OH 45501-5252</t>
        </is>
      </c>
      <c r="H528" t="inlineStr">
        <is>
          <t xml:space="preserve">Medicare </t>
        </is>
      </c>
      <c r="I528" t="inlineStr">
        <is>
          <t>05257926</t>
        </is>
      </c>
      <c r="J528" t="inlineStr">
        <is>
          <t>2014-05-02 13:27:00</t>
        </is>
      </c>
    </row>
    <row r="529">
      <c r="A529" t="inlineStr">
        <is>
          <t>R1528</t>
        </is>
      </c>
      <c r="B529" t="inlineStr">
        <is>
          <t>Baker, Robert</t>
        </is>
      </c>
      <c r="C529" t="inlineStr">
        <is>
          <t>10/04/1963</t>
        </is>
      </c>
      <c r="D529" t="inlineStr">
        <is>
          <t>Male</t>
        </is>
      </c>
      <c r="F529" t="inlineStr">
        <is>
          <t>robert.baker61@example.com</t>
        </is>
      </c>
      <c r="G529" t="inlineStr">
        <is>
          <t>Millbrook, OH 45530</t>
        </is>
      </c>
      <c r="H529" t="inlineStr">
        <is>
          <t>Summit Choice</t>
        </is>
      </c>
      <c r="I529" t="inlineStr">
        <is>
          <t>07406679</t>
        </is>
      </c>
      <c r="J529" t="inlineStr">
        <is>
          <t>09/20/2021 03:25 PM</t>
        </is>
      </c>
    </row>
    <row r="530">
      <c r="A530" t="inlineStr">
        <is>
          <t>R1529</t>
        </is>
      </c>
      <c r="B530" t="inlineStr">
        <is>
          <t>Lawrence, Amy</t>
        </is>
      </c>
      <c r="C530" t="inlineStr">
        <is>
          <t>07/07/1978</t>
        </is>
      </c>
      <c r="D530" t="inlineStr">
        <is>
          <t>Female</t>
        </is>
      </c>
      <c r="E530" t="inlineStr">
        <is>
          <t>(555) 728-8501</t>
        </is>
      </c>
      <c r="F530" t="inlineStr">
        <is>
          <t>amy.lawrence51@example.com</t>
        </is>
      </c>
      <c r="G530" t="inlineStr">
        <is>
          <t>Bluestone, OH 45501</t>
        </is>
      </c>
      <c r="H530" t="inlineStr">
        <is>
          <t>Keystone</t>
        </is>
      </c>
      <c r="I530" t="inlineStr">
        <is>
          <t>05067472</t>
        </is>
      </c>
      <c r="J530" t="inlineStr">
        <is>
          <t>04/29/2024 06:30 PM</t>
        </is>
      </c>
    </row>
    <row r="531">
      <c r="A531" t="inlineStr">
        <is>
          <t>R1530</t>
        </is>
      </c>
      <c r="B531" t="inlineStr">
        <is>
          <t>Sullivan, Andrew</t>
        </is>
      </c>
      <c r="C531" t="inlineStr">
        <is>
          <t>01-Apr-2008</t>
        </is>
      </c>
      <c r="D531" t="inlineStr">
        <is>
          <t>MALE</t>
        </is>
      </c>
      <c r="E531" t="inlineStr">
        <is>
          <t>555.705.7999</t>
        </is>
      </c>
      <c r="F531" t="inlineStr">
        <is>
          <t>andrew.sullivan2@example.com</t>
        </is>
      </c>
      <c r="G531" t="inlineStr">
        <is>
          <t>Bluestone, OH 45503</t>
        </is>
      </c>
      <c r="H531" t="inlineStr">
        <is>
          <t>medicaid</t>
        </is>
      </c>
      <c r="I531" t="inlineStr">
        <is>
          <t>08068022</t>
        </is>
      </c>
      <c r="J531" t="inlineStr">
        <is>
          <t>2011-07-27 12:33:00</t>
        </is>
      </c>
    </row>
    <row r="532">
      <c r="A532" t="inlineStr">
        <is>
          <t>R1531</t>
        </is>
      </c>
      <c r="B532" t="inlineStr">
        <is>
          <t>Ross, Daniel</t>
        </is>
      </c>
      <c r="C532" t="inlineStr">
        <is>
          <t>19-Mar-1974</t>
        </is>
      </c>
      <c r="D532" t="inlineStr">
        <is>
          <t>M</t>
        </is>
      </c>
      <c r="E532" t="inlineStr">
        <is>
          <t>(555) 956-9879</t>
        </is>
      </c>
      <c r="F532" t="inlineStr">
        <is>
          <t>daniel.ross91@example.com</t>
        </is>
      </c>
      <c r="G532" t="inlineStr">
        <is>
          <t>Millbrook, OH 45530</t>
        </is>
      </c>
      <c r="H532" t="inlineStr">
        <is>
          <t>Evergreen Mutual Insurance</t>
        </is>
      </c>
      <c r="I532" t="inlineStr">
        <is>
          <t>01912897</t>
        </is>
      </c>
      <c r="J532" t="inlineStr">
        <is>
          <t>2020-09-07 12:46:00</t>
        </is>
      </c>
    </row>
    <row r="533">
      <c r="A533" t="inlineStr">
        <is>
          <t>R1532</t>
        </is>
      </c>
      <c r="B533" t="inlineStr">
        <is>
          <t>Weaver, Judy</t>
        </is>
      </c>
      <c r="C533" t="inlineStr">
        <is>
          <t>07/11/1975</t>
        </is>
      </c>
      <c r="D533" t="inlineStr">
        <is>
          <t>Female</t>
        </is>
      </c>
      <c r="E533" t="inlineStr">
        <is>
          <t>(555) 901-1754</t>
        </is>
      </c>
      <c r="F533" t="inlineStr">
        <is>
          <t xml:space="preserve"> judy.weaver58@example.com </t>
        </is>
      </c>
      <c r="G533" t="inlineStr">
        <is>
          <t>Bluestone, OH 45501</t>
        </is>
      </c>
      <c r="H533" t="inlineStr">
        <is>
          <t>Summit PPO</t>
        </is>
      </c>
      <c r="I533" t="inlineStr">
        <is>
          <t>MRN-06683788</t>
        </is>
      </c>
      <c r="J533" t="inlineStr">
        <is>
          <t>2015-02-22 17:15:00</t>
        </is>
      </c>
    </row>
    <row r="534">
      <c r="A534" t="inlineStr">
        <is>
          <t>R1533</t>
        </is>
      </c>
      <c r="B534" t="inlineStr">
        <is>
          <t xml:space="preserve">  Stephens ,  Lucia </t>
        </is>
      </c>
      <c r="C534" t="inlineStr">
        <is>
          <t>1954-06-15</t>
        </is>
      </c>
      <c r="D534" t="inlineStr">
        <is>
          <t>Female</t>
        </is>
      </c>
      <c r="E534" t="inlineStr">
        <is>
          <t>(555) 302-6390</t>
        </is>
      </c>
      <c r="F534" t="inlineStr">
        <is>
          <t>lucia.stephens60@example.com</t>
        </is>
      </c>
      <c r="G534" t="inlineStr">
        <is>
          <t>Lakeview Heights OH 45510</t>
        </is>
      </c>
      <c r="H534" t="inlineStr">
        <is>
          <t>MEDICARE</t>
        </is>
      </c>
      <c r="I534" t="inlineStr">
        <is>
          <t>02496104</t>
        </is>
      </c>
      <c r="J534" t="inlineStr">
        <is>
          <t>09/24/2014 11:57 AM</t>
        </is>
      </c>
    </row>
    <row r="535">
      <c r="A535" t="inlineStr">
        <is>
          <t>R1534</t>
        </is>
      </c>
      <c r="B535" t="inlineStr">
        <is>
          <t>Rivera, Jesse</t>
        </is>
      </c>
      <c r="C535" t="inlineStr">
        <is>
          <t>06/16/1982</t>
        </is>
      </c>
      <c r="D535" t="inlineStr">
        <is>
          <t>Male</t>
        </is>
      </c>
      <c r="E535" t="inlineStr">
        <is>
          <t>(555) 465-8929</t>
        </is>
      </c>
      <c r="F535" t="inlineStr">
        <is>
          <t xml:space="preserve"> jesse.rivera95@example.com </t>
        </is>
      </c>
      <c r="G535" t="inlineStr">
        <is>
          <t>Millbrook, OH 45530-3493</t>
        </is>
      </c>
      <c r="H535" t="inlineStr">
        <is>
          <t>KEYSTONE HEALTH PARTNERS</t>
        </is>
      </c>
      <c r="I535" t="inlineStr">
        <is>
          <t>9460642</t>
        </is>
      </c>
      <c r="J535" t="inlineStr">
        <is>
          <t>10/11/2009 12:57 PM</t>
        </is>
      </c>
    </row>
    <row r="536">
      <c r="A536" t="inlineStr">
        <is>
          <t>R1535</t>
        </is>
      </c>
      <c r="B536" t="inlineStr">
        <is>
          <t>Berry, Terry</t>
        </is>
      </c>
      <c r="C536" t="inlineStr">
        <is>
          <t>1961-06-25</t>
        </is>
      </c>
      <c r="D536" t="inlineStr">
        <is>
          <t xml:space="preserve">M </t>
        </is>
      </c>
      <c r="E536" t="inlineStr">
        <is>
          <t>555.466.0664</t>
        </is>
      </c>
      <c r="F536" t="inlineStr">
        <is>
          <t>terry.berry55@example.com</t>
        </is>
      </c>
      <c r="G536" t="inlineStr">
        <is>
          <t>GRANITE SPRINGS, OH 45750</t>
        </is>
      </c>
      <c r="H536" t="inlineStr">
        <is>
          <t>evergreen mutual insurance</t>
        </is>
      </c>
      <c r="I536" t="inlineStr">
        <is>
          <t>04050955</t>
        </is>
      </c>
      <c r="J536" t="inlineStr">
        <is>
          <t>2024-02-03 18:05:00</t>
        </is>
      </c>
    </row>
    <row r="537">
      <c r="A537" t="inlineStr">
        <is>
          <t>R1536</t>
        </is>
      </c>
      <c r="B537" t="inlineStr">
        <is>
          <t xml:space="preserve">  Vargas ,  Brian </t>
        </is>
      </c>
      <c r="C537" t="inlineStr">
        <is>
          <t>07-Jan-1936</t>
        </is>
      </c>
      <c r="D537" t="inlineStr">
        <is>
          <t>M</t>
        </is>
      </c>
      <c r="E537" t="inlineStr">
        <is>
          <t>(555) 290-4227</t>
        </is>
      </c>
      <c r="F537" t="inlineStr">
        <is>
          <t>N/A</t>
        </is>
      </c>
      <c r="G537" t="inlineStr">
        <is>
          <t>Bluestone, OH 45501</t>
        </is>
      </c>
      <c r="H537" t="inlineStr">
        <is>
          <t>SILVERLINE MEDICARE ADV.</t>
        </is>
      </c>
      <c r="I537" t="inlineStr">
        <is>
          <t>MRN-03068729</t>
        </is>
      </c>
      <c r="J537" t="inlineStr">
        <is>
          <t>2020-04-09 14:53:00</t>
        </is>
      </c>
    </row>
    <row r="538">
      <c r="A538" t="inlineStr">
        <is>
          <t>R1537</t>
        </is>
      </c>
      <c r="B538" t="inlineStr">
        <is>
          <t>King, Bobby</t>
        </is>
      </c>
      <c r="C538" t="inlineStr">
        <is>
          <t>8/6/1971</t>
        </is>
      </c>
      <c r="D538" t="inlineStr">
        <is>
          <t>m</t>
        </is>
      </c>
      <c r="E538" t="inlineStr">
        <is>
          <t>(555) 942-6316</t>
        </is>
      </c>
      <c r="G538" t="inlineStr">
        <is>
          <t>Lakeview Heights, OH 45510</t>
        </is>
      </c>
      <c r="H538" t="inlineStr">
        <is>
          <t>SUMMIT CHOICE PPO</t>
        </is>
      </c>
      <c r="I538" t="inlineStr">
        <is>
          <t>04216541</t>
        </is>
      </c>
      <c r="J538" t="inlineStr">
        <is>
          <t>2015-09-30 11:58:00</t>
        </is>
      </c>
    </row>
    <row r="539">
      <c r="A539" t="inlineStr">
        <is>
          <t>R1538</t>
        </is>
      </c>
      <c r="B539" t="inlineStr">
        <is>
          <t>MUNOZ, LISA</t>
        </is>
      </c>
      <c r="C539" t="inlineStr">
        <is>
          <t>1951-09-07</t>
        </is>
      </c>
      <c r="D539" t="inlineStr">
        <is>
          <t xml:space="preserve"> F</t>
        </is>
      </c>
      <c r="E539" t="inlineStr">
        <is>
          <t>(555) 458-7232</t>
        </is>
      </c>
      <c r="F539" t="inlineStr">
        <is>
          <t xml:space="preserve"> lisa.munoz91@example.com </t>
        </is>
      </c>
      <c r="G539" t="inlineStr">
        <is>
          <t>Oak Glen, OH 45730</t>
        </is>
      </c>
      <c r="H539" t="inlineStr">
        <is>
          <t>Silverline MA</t>
        </is>
      </c>
      <c r="I539" t="inlineStr">
        <is>
          <t>MRN-02461983</t>
        </is>
      </c>
      <c r="J539" t="inlineStr">
        <is>
          <t>2020-03-31 13:46:00</t>
        </is>
      </c>
    </row>
    <row r="540">
      <c r="A540" t="inlineStr">
        <is>
          <t>R1539</t>
        </is>
      </c>
      <c r="B540" t="inlineStr">
        <is>
          <t>Wells, Ronald</t>
        </is>
      </c>
      <c r="C540" t="inlineStr">
        <is>
          <t>11/17/1974</t>
        </is>
      </c>
      <c r="D540" t="inlineStr">
        <is>
          <t>M</t>
        </is>
      </c>
      <c r="E540" t="inlineStr">
        <is>
          <t>5556834526</t>
        </is>
      </c>
      <c r="F540" t="inlineStr">
        <is>
          <t>ronald.wells93@example.com</t>
        </is>
      </c>
      <c r="G540" t="inlineStr">
        <is>
          <t>CEDAR RIDGE, OH 45720</t>
        </is>
      </c>
      <c r="H540" t="inlineStr">
        <is>
          <t>EVERGREEN MUTUAL INS</t>
        </is>
      </c>
      <c r="I540" t="inlineStr">
        <is>
          <t>05256476</t>
        </is>
      </c>
      <c r="J540" t="inlineStr">
        <is>
          <t>12/02/2015 12:38 PM</t>
        </is>
      </c>
    </row>
    <row r="541">
      <c r="A541" t="inlineStr">
        <is>
          <t>R1540</t>
        </is>
      </c>
      <c r="B541" t="inlineStr">
        <is>
          <t xml:space="preserve">  Vazquez ,  Raymond </t>
        </is>
      </c>
      <c r="C541" t="inlineStr">
        <is>
          <t>20-Dec-1978</t>
        </is>
      </c>
      <c r="D541" t="inlineStr">
        <is>
          <t>Male</t>
        </is>
      </c>
      <c r="E541" t="inlineStr">
        <is>
          <t>5559022296</t>
        </is>
      </c>
      <c r="F541" t="inlineStr">
        <is>
          <t>raymond.vazquez97@example.com</t>
        </is>
      </c>
      <c r="G541" t="inlineStr">
        <is>
          <t>Granite Springs, OH 45750</t>
        </is>
      </c>
      <c r="H541" t="inlineStr">
        <is>
          <t>KEYSTONE HEALTH PARTNERS</t>
        </is>
      </c>
      <c r="I541" t="inlineStr">
        <is>
          <t>MRN-02166473</t>
        </is>
      </c>
      <c r="J541" t="inlineStr">
        <is>
          <t>12/10/2013 05:32 PM</t>
        </is>
      </c>
    </row>
    <row r="542">
      <c r="A542" t="inlineStr">
        <is>
          <t>R1541</t>
        </is>
      </c>
      <c r="B542" t="inlineStr">
        <is>
          <t>carroll, lori</t>
        </is>
      </c>
      <c r="C542" t="inlineStr">
        <is>
          <t>30-Mar-1970</t>
        </is>
      </c>
      <c r="D542" t="inlineStr">
        <is>
          <t>f</t>
        </is>
      </c>
      <c r="E542" t="inlineStr">
        <is>
          <t>5552285285</t>
        </is>
      </c>
      <c r="F542" t="inlineStr">
        <is>
          <t xml:space="preserve"> lori.carroll2@example.com </t>
        </is>
      </c>
      <c r="G542" t="inlineStr">
        <is>
          <t>Fairhaven OH 45620</t>
        </is>
      </c>
      <c r="H542" t="inlineStr">
        <is>
          <t>evergreen mutual insurance</t>
        </is>
      </c>
      <c r="I542" t="inlineStr">
        <is>
          <t>MRN-01877775</t>
        </is>
      </c>
      <c r="J542" t="inlineStr">
        <is>
          <t>2016-11-26 12:24:00</t>
        </is>
      </c>
    </row>
    <row r="543">
      <c r="A543" t="inlineStr">
        <is>
          <t>R1542</t>
        </is>
      </c>
      <c r="B543" t="inlineStr">
        <is>
          <t>Freeman, Matthew</t>
        </is>
      </c>
      <c r="C543" t="inlineStr">
        <is>
          <t>11.06.1975</t>
        </is>
      </c>
      <c r="D543" t="inlineStr">
        <is>
          <t>MALE</t>
        </is>
      </c>
      <c r="E543" t="inlineStr">
        <is>
          <t>555-733-5390</t>
        </is>
      </c>
      <c r="G543" t="inlineStr">
        <is>
          <t>Ashby Falls, OH 45610</t>
        </is>
      </c>
      <c r="H543" t="inlineStr">
        <is>
          <t>Self Pay</t>
        </is>
      </c>
      <c r="I543" t="inlineStr">
        <is>
          <t>1143993</t>
        </is>
      </c>
      <c r="J543" t="inlineStr">
        <is>
          <t>2013-02-15 10:17:00</t>
        </is>
      </c>
    </row>
    <row r="544">
      <c r="A544" t="inlineStr">
        <is>
          <t>R1543</t>
        </is>
      </c>
      <c r="B544" t="inlineStr">
        <is>
          <t>Nguyen, Jesse</t>
        </is>
      </c>
      <c r="C544" t="inlineStr">
        <is>
          <t>08/14/1951</t>
        </is>
      </c>
      <c r="D544" t="inlineStr">
        <is>
          <t>M</t>
        </is>
      </c>
      <c r="E544" t="inlineStr">
        <is>
          <t>(555) 451-6002</t>
        </is>
      </c>
      <c r="F544" t="inlineStr">
        <is>
          <t>jesse.nguyen55@example.com</t>
        </is>
      </c>
      <c r="G544" t="inlineStr">
        <is>
          <t>Bluestone, OH 45503-9396</t>
        </is>
      </c>
      <c r="H544" t="inlineStr">
        <is>
          <t xml:space="preserve">Medicare </t>
        </is>
      </c>
      <c r="I544" t="inlineStr">
        <is>
          <t>01019994</t>
        </is>
      </c>
      <c r="J544" t="inlineStr">
        <is>
          <t>2019-10-08 16:38:00</t>
        </is>
      </c>
    </row>
    <row r="545">
      <c r="A545" t="inlineStr">
        <is>
          <t>R1544</t>
        </is>
      </c>
      <c r="B545" t="inlineStr">
        <is>
          <t>Terry Jenkins</t>
        </is>
      </c>
      <c r="C545" t="inlineStr">
        <is>
          <t>01/08/1976</t>
        </is>
      </c>
      <c r="D545" t="inlineStr">
        <is>
          <t>m</t>
        </is>
      </c>
      <c r="E545" t="inlineStr">
        <is>
          <t>(555) 309-4260</t>
        </is>
      </c>
      <c r="G545" t="inlineStr">
        <is>
          <t>LAKEVIEW HEIGHTS, OH 45510</t>
        </is>
      </c>
      <c r="H545" t="inlineStr">
        <is>
          <t>KEYSTONE HEALTH PARTNERS</t>
        </is>
      </c>
      <c r="I545" t="inlineStr">
        <is>
          <t>04776420</t>
        </is>
      </c>
      <c r="J545" t="inlineStr">
        <is>
          <t>07/10/2010 09:26 AM</t>
        </is>
      </c>
    </row>
    <row r="546">
      <c r="A546" t="inlineStr">
        <is>
          <t>R1545</t>
        </is>
      </c>
      <c r="B546" t="inlineStr">
        <is>
          <t>Matthews, Betty</t>
        </is>
      </c>
      <c r="C546" t="inlineStr">
        <is>
          <t>02/09/1947</t>
        </is>
      </c>
      <c r="D546" t="inlineStr">
        <is>
          <t>FEMALE</t>
        </is>
      </c>
      <c r="E546" t="inlineStr">
        <is>
          <t>5553151691</t>
        </is>
      </c>
      <c r="F546" t="inlineStr">
        <is>
          <t>N/A</t>
        </is>
      </c>
      <c r="G546" t="inlineStr">
        <is>
          <t>Bluestone, OH 45503</t>
        </is>
      </c>
      <c r="H546" t="inlineStr">
        <is>
          <t>medicare</t>
        </is>
      </c>
      <c r="I546" t="inlineStr">
        <is>
          <t>MRN-09580128</t>
        </is>
      </c>
      <c r="J546" t="inlineStr">
        <is>
          <t>2019-07-14 10:38:00</t>
        </is>
      </c>
    </row>
    <row r="547">
      <c r="A547" t="inlineStr">
        <is>
          <t>R1546</t>
        </is>
      </c>
      <c r="B547" t="inlineStr">
        <is>
          <t xml:space="preserve">  Turner ,  Isabella </t>
        </is>
      </c>
      <c r="C547" t="inlineStr">
        <is>
          <t>8/27/1941</t>
        </is>
      </c>
      <c r="D547" t="inlineStr">
        <is>
          <t xml:space="preserve"> F</t>
        </is>
      </c>
      <c r="E547" t="inlineStr">
        <is>
          <t>(555) 875-2073</t>
        </is>
      </c>
      <c r="F547" t="inlineStr">
        <is>
          <t xml:space="preserve"> isabella.turner66@example.com </t>
        </is>
      </c>
      <c r="G547" t="inlineStr">
        <is>
          <t>Millbrook, OH 45530</t>
        </is>
      </c>
      <c r="H547" t="inlineStr">
        <is>
          <t>medicaid</t>
        </is>
      </c>
      <c r="I547" t="inlineStr">
        <is>
          <t>05339433</t>
        </is>
      </c>
      <c r="J547" t="inlineStr">
        <is>
          <t>2023-01-19 07:35:00</t>
        </is>
      </c>
    </row>
    <row r="548">
      <c r="A548" t="inlineStr">
        <is>
          <t>R1547</t>
        </is>
      </c>
      <c r="B548" t="inlineStr">
        <is>
          <t>Robinson, Joan</t>
        </is>
      </c>
      <c r="C548" t="inlineStr">
        <is>
          <t>08/04/1950</t>
        </is>
      </c>
      <c r="D548" t="inlineStr">
        <is>
          <t xml:space="preserve"> F</t>
        </is>
      </c>
      <c r="E548" t="inlineStr">
        <is>
          <t>(555) 745-9237</t>
        </is>
      </c>
      <c r="F548" t="inlineStr">
        <is>
          <t xml:space="preserve"> joan.robinson60@example.com </t>
        </is>
      </c>
      <c r="G548" t="inlineStr">
        <is>
          <t>Bluestone, OH 45501</t>
        </is>
      </c>
      <c r="H548" t="inlineStr">
        <is>
          <t xml:space="preserve">Silverline Medicare Advantage </t>
        </is>
      </c>
      <c r="I548" t="inlineStr">
        <is>
          <t>09873175</t>
        </is>
      </c>
      <c r="J548" t="inlineStr">
        <is>
          <t>2023-08-25 17:03:00</t>
        </is>
      </c>
    </row>
    <row r="549">
      <c r="A549" t="inlineStr">
        <is>
          <t>R1548</t>
        </is>
      </c>
      <c r="B549" t="inlineStr">
        <is>
          <t>armstrong, gregory</t>
        </is>
      </c>
      <c r="C549" t="inlineStr">
        <is>
          <t>2004-04-16</t>
        </is>
      </c>
      <c r="D549" t="inlineStr">
        <is>
          <t xml:space="preserve">M </t>
        </is>
      </c>
      <c r="E549" t="inlineStr">
        <is>
          <t>+1 555 767 8188</t>
        </is>
      </c>
      <c r="F549" t="inlineStr">
        <is>
          <t>none</t>
        </is>
      </c>
      <c r="G549" t="inlineStr">
        <is>
          <t>Bluestone, OH 45502</t>
        </is>
      </c>
      <c r="H549" t="inlineStr">
        <is>
          <t>STATE MEDICAID</t>
        </is>
      </c>
      <c r="I549" t="inlineStr">
        <is>
          <t>07391849</t>
        </is>
      </c>
      <c r="J549" t="inlineStr">
        <is>
          <t>2024-03-15 13:22:00</t>
        </is>
      </c>
    </row>
    <row r="550">
      <c r="A550" t="inlineStr">
        <is>
          <t>R1549</t>
        </is>
      </c>
      <c r="B550" t="inlineStr">
        <is>
          <t>SILVA, KIMBERLY</t>
        </is>
      </c>
      <c r="C550" t="inlineStr">
        <is>
          <t>1932-05-29</t>
        </is>
      </c>
      <c r="D550" t="inlineStr">
        <is>
          <t>FEMALE</t>
        </is>
      </c>
      <c r="E550" t="inlineStr">
        <is>
          <t>555-914-4001</t>
        </is>
      </c>
      <c r="G550" t="inlineStr">
        <is>
          <t>CEDAR RIDGE, OH 45720</t>
        </is>
      </c>
      <c r="H550" t="inlineStr">
        <is>
          <t>Silverline MA</t>
        </is>
      </c>
      <c r="I550" t="inlineStr">
        <is>
          <t>7141057</t>
        </is>
      </c>
      <c r="J550" t="inlineStr">
        <is>
          <t>2019-01-11 15:47:00</t>
        </is>
      </c>
    </row>
    <row r="551">
      <c r="A551" t="inlineStr">
        <is>
          <t>R1550</t>
        </is>
      </c>
      <c r="B551" t="inlineStr">
        <is>
          <t>Grant, Maria</t>
        </is>
      </c>
      <c r="C551" t="inlineStr">
        <is>
          <t>18-Dec-1958</t>
        </is>
      </c>
      <c r="D551" t="inlineStr">
        <is>
          <t>Female</t>
        </is>
      </c>
      <c r="E551" t="inlineStr">
        <is>
          <t>5557220679</t>
        </is>
      </c>
      <c r="F551" t="inlineStr">
        <is>
          <t>none</t>
        </is>
      </c>
      <c r="G551" t="inlineStr">
        <is>
          <t>Riverbend, OH 45545</t>
        </is>
      </c>
      <c r="H551" t="inlineStr">
        <is>
          <t xml:space="preserve">Silverline Medicare Advantage </t>
        </is>
      </c>
      <c r="I551" t="inlineStr">
        <is>
          <t>07614529</t>
        </is>
      </c>
      <c r="J551" t="inlineStr">
        <is>
          <t>2023-11-28 11:09:00</t>
        </is>
      </c>
    </row>
    <row r="552">
      <c r="A552" t="inlineStr">
        <is>
          <t>R1551</t>
        </is>
      </c>
      <c r="B552" t="inlineStr">
        <is>
          <t>Davis, Janice</t>
        </is>
      </c>
      <c r="C552" t="inlineStr">
        <is>
          <t>04/30/1947</t>
        </is>
      </c>
      <c r="D552" t="inlineStr">
        <is>
          <t>FEMALE</t>
        </is>
      </c>
      <c r="E552" t="inlineStr">
        <is>
          <t>(555) 774-4269</t>
        </is>
      </c>
      <c r="F552" t="inlineStr">
        <is>
          <t>N/A</t>
        </is>
      </c>
      <c r="G552" t="inlineStr">
        <is>
          <t>Ashby Falls OH 45610</t>
        </is>
      </c>
      <c r="H552" t="inlineStr">
        <is>
          <t xml:space="preserve">Medicare </t>
        </is>
      </c>
      <c r="I552" t="inlineStr">
        <is>
          <t>05297642</t>
        </is>
      </c>
      <c r="J552" t="inlineStr">
        <is>
          <t>2023-08-28 09:52:00</t>
        </is>
      </c>
    </row>
    <row r="553">
      <c r="A553" t="inlineStr">
        <is>
          <t>R1552</t>
        </is>
      </c>
      <c r="B553" t="inlineStr">
        <is>
          <t>Wallace, Nicholas</t>
        </is>
      </c>
      <c r="C553" t="inlineStr">
        <is>
          <t>11/18/1981</t>
        </is>
      </c>
      <c r="D553" t="inlineStr">
        <is>
          <t>MALE</t>
        </is>
      </c>
      <c r="E553" t="inlineStr">
        <is>
          <t>+1 555 679 3247</t>
        </is>
      </c>
      <c r="F553" t="inlineStr">
        <is>
          <t>nicholas.wallace59@example.com</t>
        </is>
      </c>
      <c r="G553" t="inlineStr">
        <is>
          <t>Cedar Ridge, OH 45720-9764</t>
        </is>
      </c>
      <c r="H553" t="inlineStr">
        <is>
          <t>SELF PAY</t>
        </is>
      </c>
      <c r="I553" t="inlineStr">
        <is>
          <t>9313525</t>
        </is>
      </c>
      <c r="J553" t="inlineStr">
        <is>
          <t>04/17/2022 07:58 AM</t>
        </is>
      </c>
    </row>
    <row r="554">
      <c r="A554" t="inlineStr">
        <is>
          <t>R1553</t>
        </is>
      </c>
      <c r="B554" t="inlineStr">
        <is>
          <t>Walker, Patricia</t>
        </is>
      </c>
      <c r="C554" t="inlineStr">
        <is>
          <t>05/19/1952</t>
        </is>
      </c>
      <c r="D554" t="inlineStr">
        <is>
          <t>F</t>
        </is>
      </c>
      <c r="E554" t="inlineStr">
        <is>
          <t>(555) 254-7667</t>
        </is>
      </c>
      <c r="F554" t="inlineStr">
        <is>
          <t>PATRICIA.WALKER82@EXAMPLE.COM</t>
        </is>
      </c>
      <c r="G554" t="inlineStr">
        <is>
          <t>Bluestone, OH 45502</t>
        </is>
      </c>
      <c r="H554" t="inlineStr">
        <is>
          <t>Silverline MA</t>
        </is>
      </c>
      <c r="I554" t="inlineStr">
        <is>
          <t>1646678</t>
        </is>
      </c>
      <c r="J554" t="inlineStr">
        <is>
          <t>2012-07-31 17:48:00</t>
        </is>
      </c>
    </row>
    <row r="555">
      <c r="A555" t="inlineStr">
        <is>
          <t>R1554</t>
        </is>
      </c>
      <c r="B555" t="inlineStr">
        <is>
          <t xml:space="preserve">  Armstrong ,  Roy </t>
        </is>
      </c>
      <c r="C555" t="inlineStr">
        <is>
          <t>30-Sep-1997</t>
        </is>
      </c>
      <c r="D555" t="inlineStr">
        <is>
          <t>M</t>
        </is>
      </c>
      <c r="E555" t="inlineStr">
        <is>
          <t>555.713.0625</t>
        </is>
      </c>
      <c r="G555" t="inlineStr">
        <is>
          <t>Bluestone, OH 45503-9527</t>
        </is>
      </c>
      <c r="H555" t="inlineStr">
        <is>
          <t>self-pay</t>
        </is>
      </c>
      <c r="I555" t="inlineStr">
        <is>
          <t>08673376</t>
        </is>
      </c>
      <c r="J555" t="inlineStr">
        <is>
          <t>09/20/2018 03:25 PM</t>
        </is>
      </c>
    </row>
    <row r="556">
      <c r="A556" t="inlineStr">
        <is>
          <t>R1555</t>
        </is>
      </c>
      <c r="B556" t="inlineStr">
        <is>
          <t>Silva, Katherine</t>
        </is>
      </c>
      <c r="C556" t="inlineStr">
        <is>
          <t>2014-11-27</t>
        </is>
      </c>
      <c r="D556" t="inlineStr">
        <is>
          <t>F</t>
        </is>
      </c>
      <c r="E556" t="inlineStr">
        <is>
          <t>5552365290</t>
        </is>
      </c>
      <c r="G556" t="inlineStr">
        <is>
          <t>Bluestone, OH 45501-4089</t>
        </is>
      </c>
      <c r="H556" t="inlineStr">
        <is>
          <t>evergreen mutual insurance</t>
        </is>
      </c>
      <c r="I556" t="inlineStr">
        <is>
          <t>00479090</t>
        </is>
      </c>
      <c r="J556" t="inlineStr">
        <is>
          <t>2023-06-05 14:34:00</t>
        </is>
      </c>
    </row>
    <row r="557">
      <c r="A557" t="inlineStr">
        <is>
          <t>R1556</t>
        </is>
      </c>
      <c r="B557" t="inlineStr">
        <is>
          <t>Dixon, Lawrence</t>
        </is>
      </c>
      <c r="C557" t="inlineStr">
        <is>
          <t>02-Oct-1993</t>
        </is>
      </c>
      <c r="D557" t="inlineStr">
        <is>
          <t>Male</t>
        </is>
      </c>
      <c r="E557" t="inlineStr">
        <is>
          <t>555.391.8264</t>
        </is>
      </c>
      <c r="F557" t="inlineStr">
        <is>
          <t>lawrence.dixon73@example.com</t>
        </is>
      </c>
      <c r="G557" t="inlineStr">
        <is>
          <t>Granite Springs, OH 45750</t>
        </is>
      </c>
      <c r="H557" t="inlineStr">
        <is>
          <t>Keystone Health Ptnrs</t>
        </is>
      </c>
      <c r="I557" t="inlineStr">
        <is>
          <t>9408089</t>
        </is>
      </c>
      <c r="J557" t="inlineStr">
        <is>
          <t>2023-11-30 17:50:00</t>
        </is>
      </c>
    </row>
    <row r="558">
      <c r="A558" t="inlineStr">
        <is>
          <t>R1557</t>
        </is>
      </c>
      <c r="B558" t="inlineStr">
        <is>
          <t>BLACK, LISA</t>
        </is>
      </c>
      <c r="C558" t="inlineStr">
        <is>
          <t>08/12/2001</t>
        </is>
      </c>
      <c r="D558" t="inlineStr">
        <is>
          <t>f</t>
        </is>
      </c>
      <c r="E558" t="inlineStr">
        <is>
          <t>+1 555 658 3270</t>
        </is>
      </c>
      <c r="F558" t="inlineStr">
        <is>
          <t>none</t>
        </is>
      </c>
      <c r="G558" t="inlineStr">
        <is>
          <t>GRANITE SPRINGS, OH 45750</t>
        </is>
      </c>
      <c r="H558" t="inlineStr">
        <is>
          <t>State Medicaid</t>
        </is>
      </c>
      <c r="I558" t="inlineStr">
        <is>
          <t>00798669</t>
        </is>
      </c>
      <c r="J558" t="inlineStr">
        <is>
          <t>05/25/2010 03:41 PM</t>
        </is>
      </c>
    </row>
    <row r="559">
      <c r="A559" t="inlineStr">
        <is>
          <t>R1558</t>
        </is>
      </c>
      <c r="B559" t="inlineStr">
        <is>
          <t>Marshall, Helen</t>
        </is>
      </c>
      <c r="C559" t="inlineStr">
        <is>
          <t>12/22/1994</t>
        </is>
      </c>
      <c r="D559" t="inlineStr">
        <is>
          <t>f</t>
        </is>
      </c>
      <c r="E559" t="inlineStr">
        <is>
          <t>(555) 509-2345</t>
        </is>
      </c>
      <c r="F559" t="inlineStr">
        <is>
          <t xml:space="preserve"> helen.marshall56@example.com </t>
        </is>
      </c>
      <c r="G559" t="inlineStr">
        <is>
          <t>Bluestone, OH 45502</t>
        </is>
      </c>
      <c r="H559" t="inlineStr">
        <is>
          <t>STATE MEDICAID</t>
        </is>
      </c>
      <c r="I559" t="inlineStr">
        <is>
          <t>07360613</t>
        </is>
      </c>
      <c r="J559" t="inlineStr">
        <is>
          <t>06/04/2022 12:22 PM</t>
        </is>
      </c>
    </row>
    <row r="560">
      <c r="A560" t="inlineStr">
        <is>
          <t>R1559</t>
        </is>
      </c>
      <c r="B560" t="inlineStr">
        <is>
          <t>contreras, kayla</t>
        </is>
      </c>
      <c r="C560" t="inlineStr">
        <is>
          <t>10/07/1978</t>
        </is>
      </c>
      <c r="D560" t="inlineStr">
        <is>
          <t>F</t>
        </is>
      </c>
      <c r="E560" t="inlineStr">
        <is>
          <t>(555) 251-1340</t>
        </is>
      </c>
      <c r="F560" t="inlineStr">
        <is>
          <t>kayla.contreras6@example.com</t>
        </is>
      </c>
      <c r="G560" t="inlineStr">
        <is>
          <t>Lakeview Heights, OH 45510</t>
        </is>
      </c>
      <c r="H560" t="inlineStr">
        <is>
          <t>STATE MEDICAID</t>
        </is>
      </c>
      <c r="I560" t="inlineStr">
        <is>
          <t>MRN-05093012</t>
        </is>
      </c>
      <c r="J560" t="inlineStr">
        <is>
          <t>11/01/2024 07:26 AM</t>
        </is>
      </c>
    </row>
    <row r="561">
      <c r="A561" t="inlineStr">
        <is>
          <t>R1560</t>
        </is>
      </c>
      <c r="B561" t="inlineStr">
        <is>
          <t xml:space="preserve">  Ford ,  Michelle </t>
        </is>
      </c>
      <c r="C561" t="inlineStr">
        <is>
          <t>06/22/2025</t>
        </is>
      </c>
      <c r="D561" t="inlineStr">
        <is>
          <t>Female</t>
        </is>
      </c>
      <c r="E561" t="inlineStr">
        <is>
          <t>(555) 655-6926</t>
        </is>
      </c>
      <c r="G561" t="inlineStr">
        <is>
          <t>Bluestone, OH 45501</t>
        </is>
      </c>
      <c r="H561" t="inlineStr">
        <is>
          <t>medicaid</t>
        </is>
      </c>
      <c r="I561" t="inlineStr">
        <is>
          <t>00852736</t>
        </is>
      </c>
      <c r="J561" t="inlineStr">
        <is>
          <t>2024-06-04 17:36:00</t>
        </is>
      </c>
    </row>
    <row r="562">
      <c r="A562" t="inlineStr">
        <is>
          <t>R1561</t>
        </is>
      </c>
      <c r="B562" t="inlineStr">
        <is>
          <t>Shaw, Janet</t>
        </is>
      </c>
      <c r="C562" t="inlineStr">
        <is>
          <t>02/01/1976</t>
        </is>
      </c>
      <c r="D562" t="inlineStr">
        <is>
          <t>FEMALE</t>
        </is>
      </c>
      <c r="E562" t="inlineStr">
        <is>
          <t>555-914-2471</t>
        </is>
      </c>
      <c r="G562" t="inlineStr">
        <is>
          <t>Bluestone OH 45502</t>
        </is>
      </c>
      <c r="H562" t="inlineStr">
        <is>
          <t>medicaid</t>
        </is>
      </c>
      <c r="I562" t="inlineStr">
        <is>
          <t>06666991</t>
        </is>
      </c>
      <c r="J562" t="inlineStr">
        <is>
          <t>2022-06-15 17:18:00</t>
        </is>
      </c>
    </row>
    <row r="563">
      <c r="A563" t="inlineStr">
        <is>
          <t>R1562</t>
        </is>
      </c>
      <c r="B563" t="inlineStr">
        <is>
          <t>Wright, Jerry</t>
        </is>
      </c>
      <c r="C563" t="inlineStr">
        <is>
          <t>07.26.1948</t>
        </is>
      </c>
      <c r="D563" t="inlineStr">
        <is>
          <t>M</t>
        </is>
      </c>
      <c r="E563" t="inlineStr">
        <is>
          <t>555-385-7218</t>
        </is>
      </c>
      <c r="F563" t="inlineStr">
        <is>
          <t>jerry.wright2@example.com</t>
        </is>
      </c>
      <c r="G563" t="inlineStr">
        <is>
          <t>BLUESTONE, OH 45502</t>
        </is>
      </c>
      <c r="H563" t="inlineStr">
        <is>
          <t>MEDICARE</t>
        </is>
      </c>
      <c r="I563" t="inlineStr">
        <is>
          <t>02037200</t>
        </is>
      </c>
      <c r="J563" t="inlineStr">
        <is>
          <t>01/24/2018 08:14 AM</t>
        </is>
      </c>
    </row>
    <row r="564">
      <c r="A564" t="inlineStr">
        <is>
          <t>R1563</t>
        </is>
      </c>
      <c r="B564" t="inlineStr">
        <is>
          <t>Yilmaz, Benjamin</t>
        </is>
      </c>
      <c r="C564" t="inlineStr">
        <is>
          <t>09.23.1943</t>
        </is>
      </c>
      <c r="D564" t="inlineStr">
        <is>
          <t>M</t>
        </is>
      </c>
      <c r="E564" t="inlineStr">
        <is>
          <t>555.256.5962</t>
        </is>
      </c>
      <c r="F564" t="inlineStr">
        <is>
          <t>benjamin.yilmaz34@example.com</t>
        </is>
      </c>
      <c r="G564" t="inlineStr">
        <is>
          <t>Pine Hollow, OH 45640-2556</t>
        </is>
      </c>
      <c r="H564" t="inlineStr">
        <is>
          <t xml:space="preserve">Silverline Medicare Advantage </t>
        </is>
      </c>
      <c r="I564" t="inlineStr">
        <is>
          <t>3406318</t>
        </is>
      </c>
      <c r="J564" t="inlineStr">
        <is>
          <t>2022-04-08 07:55:00</t>
        </is>
      </c>
    </row>
    <row r="565">
      <c r="A565" t="inlineStr">
        <is>
          <t>R1564</t>
        </is>
      </c>
      <c r="B565" t="inlineStr">
        <is>
          <t>Price, Evelyn</t>
        </is>
      </c>
      <c r="C565" t="inlineStr">
        <is>
          <t>10.14.2020</t>
        </is>
      </c>
      <c r="D565" t="inlineStr">
        <is>
          <t>FEMALE</t>
        </is>
      </c>
      <c r="E565" t="inlineStr">
        <is>
          <t>555.827.2489</t>
        </is>
      </c>
      <c r="F565" t="inlineStr">
        <is>
          <t>none</t>
        </is>
      </c>
      <c r="G565" t="inlineStr">
        <is>
          <t>ASHBY FALLS, OH 45610</t>
        </is>
      </c>
      <c r="H565" t="inlineStr">
        <is>
          <t>State Medicaid</t>
        </is>
      </c>
      <c r="I565" t="inlineStr">
        <is>
          <t>8149461</t>
        </is>
      </c>
      <c r="J565" t="inlineStr">
        <is>
          <t>07/13/2023 10:07 AM</t>
        </is>
      </c>
    </row>
    <row r="566">
      <c r="A566" t="inlineStr">
        <is>
          <t>R1565</t>
        </is>
      </c>
      <c r="B566" t="inlineStr">
        <is>
          <t xml:space="preserve">  Perkins ,  Raymond </t>
        </is>
      </c>
      <c r="C566" t="inlineStr">
        <is>
          <t>04/24/1998</t>
        </is>
      </c>
      <c r="D566" t="inlineStr">
        <is>
          <t xml:space="preserve">M </t>
        </is>
      </c>
      <c r="E566" t="inlineStr">
        <is>
          <t>555-309-0149</t>
        </is>
      </c>
      <c r="F566" t="inlineStr">
        <is>
          <t xml:space="preserve"> raymond.perkins12@example.com </t>
        </is>
      </c>
      <c r="G566" t="inlineStr">
        <is>
          <t>Cedar Ridge, OH 45720</t>
        </is>
      </c>
      <c r="H566" t="inlineStr">
        <is>
          <t>Keystone</t>
        </is>
      </c>
      <c r="I566" t="inlineStr">
        <is>
          <t>07562134</t>
        </is>
      </c>
      <c r="J566" t="inlineStr">
        <is>
          <t>05/31/2018 03:20 PM</t>
        </is>
      </c>
    </row>
    <row r="567">
      <c r="A567" t="inlineStr">
        <is>
          <t>R1566</t>
        </is>
      </c>
      <c r="B567" t="inlineStr">
        <is>
          <t xml:space="preserve">  Palmer ,  Christina </t>
        </is>
      </c>
      <c r="C567" t="inlineStr">
        <is>
          <t>09/27/1991</t>
        </is>
      </c>
      <c r="D567" t="inlineStr">
        <is>
          <t xml:space="preserve"> F</t>
        </is>
      </c>
      <c r="E567" t="inlineStr">
        <is>
          <t>5556165459</t>
        </is>
      </c>
      <c r="F567" t="inlineStr">
        <is>
          <t>N/A</t>
        </is>
      </c>
      <c r="G567" t="inlineStr">
        <is>
          <t>Bluestone, OH 45501</t>
        </is>
      </c>
      <c r="H567" t="inlineStr">
        <is>
          <t>State Medicaid</t>
        </is>
      </c>
      <c r="I567" t="inlineStr">
        <is>
          <t>3880460</t>
        </is>
      </c>
      <c r="J567" t="inlineStr">
        <is>
          <t>2024-03-12 14:57:00</t>
        </is>
      </c>
    </row>
    <row r="568">
      <c r="A568" t="inlineStr">
        <is>
          <t>R1567</t>
        </is>
      </c>
      <c r="B568" t="inlineStr">
        <is>
          <t>Gardner, Megan</t>
        </is>
      </c>
      <c r="C568" t="inlineStr">
        <is>
          <t>09/04/2025</t>
        </is>
      </c>
      <c r="D568" t="inlineStr">
        <is>
          <t>F</t>
        </is>
      </c>
      <c r="E568" t="inlineStr">
        <is>
          <t>555-596-4664</t>
        </is>
      </c>
      <c r="G568" t="inlineStr">
        <is>
          <t>Lakeview Heights, OH 45510</t>
        </is>
      </c>
      <c r="H568" t="inlineStr">
        <is>
          <t>medicaid</t>
        </is>
      </c>
      <c r="I568" t="inlineStr">
        <is>
          <t>MRN-04864160</t>
        </is>
      </c>
      <c r="J568" t="inlineStr">
        <is>
          <t>06/15/2024 04:29 PM</t>
        </is>
      </c>
    </row>
    <row r="569">
      <c r="A569" t="inlineStr">
        <is>
          <t>R1568</t>
        </is>
      </c>
      <c r="B569" t="inlineStr">
        <is>
          <t>Lopez, Jeremy</t>
        </is>
      </c>
      <c r="C569" t="inlineStr">
        <is>
          <t>2014-01-21</t>
        </is>
      </c>
      <c r="D569" t="inlineStr">
        <is>
          <t>Male</t>
        </is>
      </c>
      <c r="E569" t="inlineStr">
        <is>
          <t>(555) 553-9254</t>
        </is>
      </c>
      <c r="G569" t="inlineStr">
        <is>
          <t>Cedar Ridge, OH 45720-2917</t>
        </is>
      </c>
      <c r="H569" t="inlineStr">
        <is>
          <t>Evergreen Mutual</t>
        </is>
      </c>
      <c r="I569" t="inlineStr">
        <is>
          <t>07843648</t>
        </is>
      </c>
      <c r="J569" t="inlineStr">
        <is>
          <t>2024-03-31 12:21:00</t>
        </is>
      </c>
    </row>
    <row r="570">
      <c r="A570" t="inlineStr">
        <is>
          <t>R1569</t>
        </is>
      </c>
      <c r="B570" t="inlineStr">
        <is>
          <t>WILSON, CYNTHIA</t>
        </is>
      </c>
      <c r="C570" t="inlineStr">
        <is>
          <t>1970-05-04</t>
        </is>
      </c>
      <c r="D570" t="inlineStr">
        <is>
          <t>FEMALE</t>
        </is>
      </c>
      <c r="E570" t="inlineStr">
        <is>
          <t>+1 555 711 7191</t>
        </is>
      </c>
      <c r="F570" t="inlineStr">
        <is>
          <t>cynthia.wilson77@example.com</t>
        </is>
      </c>
      <c r="G570" t="inlineStr">
        <is>
          <t>LAKEVIEW HEIGHTS, OH 45510</t>
        </is>
      </c>
      <c r="H570" t="inlineStr">
        <is>
          <t>STATE MEDICAID</t>
        </is>
      </c>
      <c r="I570" t="inlineStr">
        <is>
          <t>07070577</t>
        </is>
      </c>
      <c r="J570" t="inlineStr">
        <is>
          <t>11/13/2019 02:52 PM</t>
        </is>
      </c>
    </row>
    <row r="571">
      <c r="A571" t="inlineStr">
        <is>
          <t>R1570</t>
        </is>
      </c>
      <c r="B571" t="inlineStr">
        <is>
          <t>Ellis, Isabella</t>
        </is>
      </c>
      <c r="C571" t="inlineStr">
        <is>
          <t>01/11/1972</t>
        </is>
      </c>
      <c r="D571" t="inlineStr">
        <is>
          <t>Female</t>
        </is>
      </c>
      <c r="E571" t="inlineStr">
        <is>
          <t>555.662.2668</t>
        </is>
      </c>
      <c r="F571" t="inlineStr">
        <is>
          <t>isabella.ellis98@example.com</t>
        </is>
      </c>
      <c r="G571" t="inlineStr">
        <is>
          <t>Bluestone, OH 45502</t>
        </is>
      </c>
      <c r="H571" t="inlineStr">
        <is>
          <t>Summit Choice PPO</t>
        </is>
      </c>
      <c r="I571" t="inlineStr">
        <is>
          <t>09998104</t>
        </is>
      </c>
      <c r="J571" t="inlineStr">
        <is>
          <t>2013-08-01 08:18:00</t>
        </is>
      </c>
    </row>
    <row r="572">
      <c r="A572" t="inlineStr">
        <is>
          <t>R1571</t>
        </is>
      </c>
      <c r="B572" t="inlineStr">
        <is>
          <t>Ray, Ronald</t>
        </is>
      </c>
      <c r="C572" t="inlineStr">
        <is>
          <t>10/28/1949</t>
        </is>
      </c>
      <c r="D572" t="inlineStr">
        <is>
          <t>MALE</t>
        </is>
      </c>
      <c r="E572" t="inlineStr">
        <is>
          <t>(555) 290-2994</t>
        </is>
      </c>
      <c r="F572" t="inlineStr">
        <is>
          <t>ronald.ray68@example.com</t>
        </is>
      </c>
      <c r="G572" t="inlineStr">
        <is>
          <t>Ashby Falls, OH 45610</t>
        </is>
      </c>
      <c r="H572" t="inlineStr">
        <is>
          <t>Keystone Health Partners</t>
        </is>
      </c>
      <c r="I572" t="inlineStr">
        <is>
          <t>09999804</t>
        </is>
      </c>
      <c r="J572" t="inlineStr">
        <is>
          <t>2013-03-29 10:01:00</t>
        </is>
      </c>
    </row>
    <row r="573">
      <c r="A573" t="inlineStr">
        <is>
          <t>R1572</t>
        </is>
      </c>
      <c r="B573" t="inlineStr">
        <is>
          <t>LONG, SANDRA</t>
        </is>
      </c>
      <c r="C573" t="inlineStr">
        <is>
          <t>3/9/1939</t>
        </is>
      </c>
      <c r="D573" t="inlineStr">
        <is>
          <t>F</t>
        </is>
      </c>
      <c r="E573" t="inlineStr">
        <is>
          <t>(555) 393-0745</t>
        </is>
      </c>
      <c r="G573" t="inlineStr">
        <is>
          <t>Lakeview Heights, OH 45510</t>
        </is>
      </c>
      <c r="H573" t="inlineStr">
        <is>
          <t>SILVERLINE MEDICARE ADV.</t>
        </is>
      </c>
      <c r="I573" t="inlineStr">
        <is>
          <t>304849</t>
        </is>
      </c>
      <c r="J573" t="inlineStr">
        <is>
          <t>07/12/2019 06:11 PM</t>
        </is>
      </c>
    </row>
    <row r="574">
      <c r="A574" t="inlineStr">
        <is>
          <t>R1573</t>
        </is>
      </c>
      <c r="B574" t="inlineStr">
        <is>
          <t xml:space="preserve">  Cooper ,  Billy </t>
        </is>
      </c>
      <c r="C574" t="inlineStr">
        <is>
          <t>11.10.1941</t>
        </is>
      </c>
      <c r="D574" t="inlineStr">
        <is>
          <t>M</t>
        </is>
      </c>
      <c r="E574" t="inlineStr">
        <is>
          <t>(555) 835-6841</t>
        </is>
      </c>
      <c r="G574" t="inlineStr">
        <is>
          <t>Bluestone, OH 45502</t>
        </is>
      </c>
      <c r="H574" t="inlineStr">
        <is>
          <t>Medicare</t>
        </is>
      </c>
      <c r="I574" t="inlineStr">
        <is>
          <t>08069086</t>
        </is>
      </c>
      <c r="J574" t="inlineStr">
        <is>
          <t>06/23/2012 07:40 AM</t>
        </is>
      </c>
    </row>
    <row r="575">
      <c r="A575" t="inlineStr">
        <is>
          <t>R1574</t>
        </is>
      </c>
      <c r="B575" t="inlineStr">
        <is>
          <t>Armstrong, Gregory</t>
        </is>
      </c>
      <c r="C575" t="inlineStr">
        <is>
          <t>16-Apr-2004</t>
        </is>
      </c>
      <c r="D575" t="inlineStr">
        <is>
          <t>MALE</t>
        </is>
      </c>
      <c r="E575" t="inlineStr">
        <is>
          <t>5557678188</t>
        </is>
      </c>
      <c r="G575" t="inlineStr">
        <is>
          <t>Bluestone, OH 45502</t>
        </is>
      </c>
      <c r="H575" t="inlineStr">
        <is>
          <t>Medicaid</t>
        </is>
      </c>
      <c r="I575" t="inlineStr">
        <is>
          <t>07391849</t>
        </is>
      </c>
      <c r="J575" t="inlineStr">
        <is>
          <t>03/15/2024 05:20 PM</t>
        </is>
      </c>
    </row>
    <row r="576">
      <c r="A576" t="inlineStr">
        <is>
          <t>R1575</t>
        </is>
      </c>
      <c r="B576" t="inlineStr">
        <is>
          <t>Douglas Wells</t>
        </is>
      </c>
      <c r="C576" t="inlineStr">
        <is>
          <t>02/11/2004</t>
        </is>
      </c>
      <c r="D576" t="inlineStr">
        <is>
          <t xml:space="preserve">M </t>
        </is>
      </c>
      <c r="E576" t="inlineStr">
        <is>
          <t>555-799-7018</t>
        </is>
      </c>
      <c r="F576" t="inlineStr">
        <is>
          <t xml:space="preserve"> douglas.wells56@example.com </t>
        </is>
      </c>
      <c r="G576" t="inlineStr">
        <is>
          <t>MILLBROOK, OH 45530</t>
        </is>
      </c>
      <c r="H576" t="inlineStr">
        <is>
          <t>SUMMIT CHOICE PPO</t>
        </is>
      </c>
      <c r="I576" t="inlineStr">
        <is>
          <t>08408023</t>
        </is>
      </c>
      <c r="J576" t="inlineStr">
        <is>
          <t>2015-10-15 13:27:00</t>
        </is>
      </c>
    </row>
    <row r="577">
      <c r="A577" t="inlineStr">
        <is>
          <t>R1576</t>
        </is>
      </c>
      <c r="B577" t="inlineStr">
        <is>
          <t>Chen, Richard</t>
        </is>
      </c>
      <c r="C577" t="inlineStr">
        <is>
          <t>11/09/1961</t>
        </is>
      </c>
      <c r="D577" t="inlineStr">
        <is>
          <t>M</t>
        </is>
      </c>
      <c r="E577" t="inlineStr">
        <is>
          <t>(555) 357-7400</t>
        </is>
      </c>
      <c r="F577" t="inlineStr">
        <is>
          <t>N/A</t>
        </is>
      </c>
      <c r="G577" t="inlineStr">
        <is>
          <t>Pine Hollow OH 45640</t>
        </is>
      </c>
      <c r="H577" t="inlineStr">
        <is>
          <t>Evergreen Mutual Insurance</t>
        </is>
      </c>
      <c r="I577" t="inlineStr">
        <is>
          <t>03308583</t>
        </is>
      </c>
      <c r="J577" t="inlineStr">
        <is>
          <t>2023-12-26 18:36:00</t>
        </is>
      </c>
    </row>
    <row r="578">
      <c r="A578" t="inlineStr">
        <is>
          <t>R1577</t>
        </is>
      </c>
      <c r="B578" t="inlineStr">
        <is>
          <t>PHILLIPS, ISABELLA</t>
        </is>
      </c>
      <c r="C578" t="inlineStr">
        <is>
          <t>1951-03-19</t>
        </is>
      </c>
      <c r="D578" t="inlineStr">
        <is>
          <t>F</t>
        </is>
      </c>
      <c r="E578" t="inlineStr">
        <is>
          <t>5559140353</t>
        </is>
      </c>
      <c r="G578" t="inlineStr">
        <is>
          <t>Oak Glen, OH 45730</t>
        </is>
      </c>
      <c r="H578" t="inlineStr">
        <is>
          <t>Medicare Part A</t>
        </is>
      </c>
      <c r="I578" t="inlineStr">
        <is>
          <t>01586137</t>
        </is>
      </c>
      <c r="J578" t="inlineStr">
        <is>
          <t>2015-03-22 18:34:00</t>
        </is>
      </c>
    </row>
    <row r="579">
      <c r="A579" t="inlineStr">
        <is>
          <t>R1578</t>
        </is>
      </c>
      <c r="B579" t="inlineStr">
        <is>
          <t xml:space="preserve">  Gomez ,  Susan </t>
        </is>
      </c>
      <c r="C579" t="inlineStr">
        <is>
          <t>11/30/1974</t>
        </is>
      </c>
      <c r="D579" t="inlineStr">
        <is>
          <t>Female</t>
        </is>
      </c>
      <c r="E579" t="inlineStr">
        <is>
          <t>555.882.0311</t>
        </is>
      </c>
      <c r="F579" t="inlineStr">
        <is>
          <t>susan.gomez22@example.com</t>
        </is>
      </c>
      <c r="G579" t="inlineStr">
        <is>
          <t>Bluestone, OH 45503</t>
        </is>
      </c>
      <c r="H579" t="inlineStr">
        <is>
          <t>State Medicaid</t>
        </is>
      </c>
      <c r="I579" t="inlineStr">
        <is>
          <t>2598420</t>
        </is>
      </c>
      <c r="J579" t="inlineStr">
        <is>
          <t>2013-03-25 15:08:00</t>
        </is>
      </c>
    </row>
    <row r="580">
      <c r="A580" t="inlineStr">
        <is>
          <t>R1579</t>
        </is>
      </c>
      <c r="B580" t="inlineStr">
        <is>
          <t>Moore, Zachary</t>
        </is>
      </c>
      <c r="C580" t="inlineStr">
        <is>
          <t>7/7/2020</t>
        </is>
      </c>
      <c r="D580" t="inlineStr">
        <is>
          <t>MALE</t>
        </is>
      </c>
      <c r="G580" t="inlineStr">
        <is>
          <t>BLUESTONE, OH 45503</t>
        </is>
      </c>
      <c r="H580" t="inlineStr">
        <is>
          <t>Summit Choice</t>
        </is>
      </c>
      <c r="I580" t="inlineStr">
        <is>
          <t>MRN-05606995</t>
        </is>
      </c>
      <c r="J580" t="inlineStr">
        <is>
          <t>05/23/2024 04:55 PM</t>
        </is>
      </c>
    </row>
    <row r="581">
      <c r="A581" t="inlineStr">
        <is>
          <t>R1580</t>
        </is>
      </c>
      <c r="B581" t="inlineStr">
        <is>
          <t>Beverly Pena</t>
        </is>
      </c>
      <c r="C581" t="inlineStr">
        <is>
          <t>10/12/1998</t>
        </is>
      </c>
      <c r="D581" t="inlineStr">
        <is>
          <t>Female</t>
        </is>
      </c>
      <c r="E581" t="inlineStr">
        <is>
          <t>(555) 661-1943</t>
        </is>
      </c>
      <c r="G581" t="inlineStr">
        <is>
          <t>Bluestone, OH 45502</t>
        </is>
      </c>
      <c r="H581" t="inlineStr">
        <is>
          <t>Keystone Health Ptnrs</t>
        </is>
      </c>
      <c r="I581" t="inlineStr">
        <is>
          <t>MRN-09799860</t>
        </is>
      </c>
      <c r="J581" t="inlineStr">
        <is>
          <t>10/16/2011 07:41 AM</t>
        </is>
      </c>
    </row>
    <row r="582">
      <c r="A582" t="inlineStr">
        <is>
          <t>R1581</t>
        </is>
      </c>
      <c r="B582" t="inlineStr">
        <is>
          <t>ALEXANDER, GERALD</t>
        </is>
      </c>
      <c r="C582" t="inlineStr">
        <is>
          <t>10-Jul-1977</t>
        </is>
      </c>
      <c r="D582" t="inlineStr">
        <is>
          <t>M</t>
        </is>
      </c>
      <c r="E582" t="inlineStr">
        <is>
          <t>5555862883</t>
        </is>
      </c>
      <c r="F582" t="inlineStr">
        <is>
          <t>gerald.alexander41@example.com</t>
        </is>
      </c>
      <c r="G582" t="inlineStr">
        <is>
          <t>Bluestone, OH 45502-2223</t>
        </is>
      </c>
      <c r="H582" t="inlineStr">
        <is>
          <t>medicaid</t>
        </is>
      </c>
      <c r="I582" t="inlineStr">
        <is>
          <t>09626156</t>
        </is>
      </c>
      <c r="J582" t="inlineStr">
        <is>
          <t>2017-07-16 11:07:00</t>
        </is>
      </c>
    </row>
    <row r="583">
      <c r="A583" t="inlineStr">
        <is>
          <t>R1582</t>
        </is>
      </c>
      <c r="B583" t="inlineStr">
        <is>
          <t>Ellis, Amanda</t>
        </is>
      </c>
      <c r="C583" t="inlineStr">
        <is>
          <t>1955-03-19</t>
        </is>
      </c>
      <c r="D583" t="inlineStr">
        <is>
          <t xml:space="preserve"> F</t>
        </is>
      </c>
      <c r="E583" t="inlineStr">
        <is>
          <t>555-378-5406</t>
        </is>
      </c>
      <c r="F583" t="inlineStr">
        <is>
          <t>amanda.ellis99@example.com</t>
        </is>
      </c>
      <c r="G583" t="inlineStr">
        <is>
          <t>Ashby Falls OH 45610</t>
        </is>
      </c>
      <c r="H583" t="inlineStr">
        <is>
          <t>Medicare</t>
        </is>
      </c>
      <c r="I583" t="inlineStr">
        <is>
          <t>2636513</t>
        </is>
      </c>
      <c r="J583" t="inlineStr">
        <is>
          <t>10/25/2023 03:31 PM</t>
        </is>
      </c>
    </row>
    <row r="584">
      <c r="A584" t="inlineStr">
        <is>
          <t>R1583</t>
        </is>
      </c>
      <c r="B584" t="inlineStr">
        <is>
          <t>Davis, Aaliyah</t>
        </is>
      </c>
      <c r="C584" t="inlineStr">
        <is>
          <t>10/29/2011</t>
        </is>
      </c>
      <c r="D584" t="inlineStr">
        <is>
          <t xml:space="preserve"> F</t>
        </is>
      </c>
      <c r="E584" t="inlineStr">
        <is>
          <t>555.580.3778</t>
        </is>
      </c>
      <c r="F584" t="inlineStr">
        <is>
          <t>N/A</t>
        </is>
      </c>
      <c r="G584" t="inlineStr">
        <is>
          <t>Bluestone, OH 45502</t>
        </is>
      </c>
      <c r="H584" t="inlineStr">
        <is>
          <t>Medicaid</t>
        </is>
      </c>
      <c r="I584" t="inlineStr">
        <is>
          <t>6682673</t>
        </is>
      </c>
      <c r="J584" t="inlineStr">
        <is>
          <t>2013-04-18 17:10:00</t>
        </is>
      </c>
    </row>
    <row r="585">
      <c r="A585" t="inlineStr">
        <is>
          <t>R1584</t>
        </is>
      </c>
      <c r="B585" t="inlineStr">
        <is>
          <t xml:space="preserve">  Fisher ,  Jordan </t>
        </is>
      </c>
      <c r="C585" t="inlineStr">
        <is>
          <t>06/20/1995</t>
        </is>
      </c>
      <c r="D585" t="inlineStr">
        <is>
          <t>Male</t>
        </is>
      </c>
      <c r="E585" t="inlineStr">
        <is>
          <t>555.439.0726</t>
        </is>
      </c>
      <c r="F585" t="inlineStr">
        <is>
          <t>jordan.fisher9@example.com</t>
        </is>
      </c>
      <c r="G585" t="inlineStr">
        <is>
          <t>Millbrook OH 45530</t>
        </is>
      </c>
      <c r="H585" t="inlineStr">
        <is>
          <t>Summit Choice PPO</t>
        </is>
      </c>
      <c r="I585" t="inlineStr">
        <is>
          <t>00145898</t>
        </is>
      </c>
      <c r="J585" t="inlineStr">
        <is>
          <t>2010-09-20 08:35:00</t>
        </is>
      </c>
    </row>
    <row r="586">
      <c r="A586" t="inlineStr">
        <is>
          <t>R1585</t>
        </is>
      </c>
      <c r="B586" t="inlineStr">
        <is>
          <t>Camila Abbott</t>
        </is>
      </c>
      <c r="C586" t="inlineStr">
        <is>
          <t>09/20/1982</t>
        </is>
      </c>
      <c r="D586" t="inlineStr">
        <is>
          <t xml:space="preserve"> F</t>
        </is>
      </c>
      <c r="E586" t="inlineStr">
        <is>
          <t>555-703-6887</t>
        </is>
      </c>
      <c r="F586" t="inlineStr">
        <is>
          <t>N/A</t>
        </is>
      </c>
      <c r="G586" t="inlineStr">
        <is>
          <t>Bluestone, OH 45501</t>
        </is>
      </c>
      <c r="H586" t="inlineStr">
        <is>
          <t>Evergreen Mutual</t>
        </is>
      </c>
      <c r="I586" t="inlineStr">
        <is>
          <t>8142734</t>
        </is>
      </c>
      <c r="J586" t="inlineStr">
        <is>
          <t>2017-04-28 12:54:00</t>
        </is>
      </c>
    </row>
    <row r="587">
      <c r="A587" t="inlineStr">
        <is>
          <t>R1586</t>
        </is>
      </c>
      <c r="B587" t="inlineStr">
        <is>
          <t>Kowalski, Robert</t>
        </is>
      </c>
      <c r="C587" t="inlineStr">
        <is>
          <t>05/15/1981</t>
        </is>
      </c>
      <c r="D587" t="inlineStr">
        <is>
          <t xml:space="preserve">M </t>
        </is>
      </c>
      <c r="E587" t="inlineStr">
        <is>
          <t>555-359-4360</t>
        </is>
      </c>
      <c r="F587" t="inlineStr">
        <is>
          <t>robert.kowalski92@example.com</t>
        </is>
      </c>
      <c r="G587" t="inlineStr">
        <is>
          <t>Fairhaven, OH 45620-2269</t>
        </is>
      </c>
      <c r="H587" t="inlineStr">
        <is>
          <t>Evergreen Mutual</t>
        </is>
      </c>
      <c r="I587" t="inlineStr">
        <is>
          <t>08059670</t>
        </is>
      </c>
      <c r="J587" t="inlineStr">
        <is>
          <t>08/09/2021 08:30 AM</t>
        </is>
      </c>
    </row>
    <row r="588">
      <c r="A588" t="inlineStr">
        <is>
          <t>R1587</t>
        </is>
      </c>
      <c r="B588" t="inlineStr">
        <is>
          <t xml:space="preserve">  Myers ,  Amanda </t>
        </is>
      </c>
      <c r="C588" t="inlineStr">
        <is>
          <t>05/21/1936</t>
        </is>
      </c>
      <c r="D588" t="inlineStr">
        <is>
          <t>f</t>
        </is>
      </c>
      <c r="E588" t="inlineStr">
        <is>
          <t>555.514.8680</t>
        </is>
      </c>
      <c r="F588" t="inlineStr">
        <is>
          <t>amanda.myers68@example.com</t>
        </is>
      </c>
      <c r="G588" t="inlineStr">
        <is>
          <t>Ashby Falls, OH 45610</t>
        </is>
      </c>
      <c r="H588" t="inlineStr">
        <is>
          <t>medicare</t>
        </is>
      </c>
      <c r="I588" t="inlineStr">
        <is>
          <t>6388262</t>
        </is>
      </c>
      <c r="J588" t="inlineStr">
        <is>
          <t>2023-05-28 17:24:00</t>
        </is>
      </c>
    </row>
    <row r="589">
      <c r="A589" t="inlineStr">
        <is>
          <t>R1588</t>
        </is>
      </c>
      <c r="B589" t="inlineStr">
        <is>
          <t>Larry Santos</t>
        </is>
      </c>
      <c r="C589" t="inlineStr">
        <is>
          <t>15-Aug-1957</t>
        </is>
      </c>
      <c r="D589" t="inlineStr">
        <is>
          <t>Male</t>
        </is>
      </c>
      <c r="E589" t="inlineStr">
        <is>
          <t>(555) 312-7593</t>
        </is>
      </c>
      <c r="F589" t="inlineStr">
        <is>
          <t>larry.santos7@example.com</t>
        </is>
      </c>
      <c r="G589" t="inlineStr">
        <is>
          <t>Cedar Ridge, OH 45720-4371</t>
        </is>
      </c>
      <c r="H589" t="inlineStr">
        <is>
          <t>Medicare</t>
        </is>
      </c>
      <c r="I589" t="inlineStr">
        <is>
          <t>05355579</t>
        </is>
      </c>
      <c r="J589" t="inlineStr">
        <is>
          <t>07/23/2022 10:15 AM</t>
        </is>
      </c>
    </row>
    <row r="590">
      <c r="A590" t="inlineStr">
        <is>
          <t>R1589</t>
        </is>
      </c>
      <c r="B590" t="inlineStr">
        <is>
          <t>CAMPBELL, LORI</t>
        </is>
      </c>
      <c r="C590" t="inlineStr">
        <is>
          <t>6/24/2025</t>
        </is>
      </c>
      <c r="D590" t="inlineStr">
        <is>
          <t>Female</t>
        </is>
      </c>
      <c r="E590" t="inlineStr">
        <is>
          <t>(555) 712-0407</t>
        </is>
      </c>
      <c r="G590" t="inlineStr">
        <is>
          <t>CEDAR RIDGE, OH 45720</t>
        </is>
      </c>
      <c r="H590" t="inlineStr">
        <is>
          <t>State Medicaid</t>
        </is>
      </c>
      <c r="I590" t="inlineStr">
        <is>
          <t>07000354</t>
        </is>
      </c>
      <c r="J590" t="inlineStr">
        <is>
          <t>2024-06-22 18:25:00</t>
        </is>
      </c>
    </row>
    <row r="591">
      <c r="A591" t="inlineStr">
        <is>
          <t>R1590</t>
        </is>
      </c>
      <c r="B591" t="inlineStr">
        <is>
          <t>Ramos, Elizabeth</t>
        </is>
      </c>
      <c r="C591" t="inlineStr">
        <is>
          <t>07/19/1990</t>
        </is>
      </c>
      <c r="D591" t="inlineStr">
        <is>
          <t>Female</t>
        </is>
      </c>
      <c r="E591" t="inlineStr">
        <is>
          <t>(555) 644-2166</t>
        </is>
      </c>
      <c r="F591" t="inlineStr">
        <is>
          <t>elizabeth.ramos95@example.com</t>
        </is>
      </c>
      <c r="G591" t="inlineStr">
        <is>
          <t>Ashby Falls, OH 45610</t>
        </is>
      </c>
      <c r="H591" t="inlineStr">
        <is>
          <t>Summit Choice</t>
        </is>
      </c>
      <c r="I591" t="inlineStr">
        <is>
          <t>05055526</t>
        </is>
      </c>
      <c r="J591" t="inlineStr">
        <is>
          <t>2021-04-15 15:14:00</t>
        </is>
      </c>
    </row>
    <row r="592">
      <c r="A592" t="inlineStr">
        <is>
          <t>R1591</t>
        </is>
      </c>
      <c r="B592" t="inlineStr">
        <is>
          <t>FREEMAN, EDWARD</t>
        </is>
      </c>
      <c r="C592" t="inlineStr">
        <is>
          <t>05/02/2019</t>
        </is>
      </c>
      <c r="D592" t="inlineStr">
        <is>
          <t>M</t>
        </is>
      </c>
      <c r="E592" t="inlineStr">
        <is>
          <t>555-685-0754</t>
        </is>
      </c>
      <c r="G592" t="inlineStr">
        <is>
          <t>Bluestone, OH 45502</t>
        </is>
      </c>
      <c r="H592" t="inlineStr">
        <is>
          <t>State Medicaid</t>
        </is>
      </c>
      <c r="I592" t="inlineStr">
        <is>
          <t>MRN-00342348</t>
        </is>
      </c>
      <c r="J592" t="inlineStr">
        <is>
          <t>2022-05-27 08:12:00</t>
        </is>
      </c>
    </row>
    <row r="593">
      <c r="A593" t="inlineStr">
        <is>
          <t>R1592</t>
        </is>
      </c>
      <c r="B593" t="inlineStr">
        <is>
          <t>Dixon, Liam</t>
        </is>
      </c>
      <c r="C593" t="inlineStr">
        <is>
          <t>30-Apr-1961</t>
        </is>
      </c>
      <c r="D593" t="inlineStr">
        <is>
          <t>Male</t>
        </is>
      </c>
      <c r="E593" t="inlineStr">
        <is>
          <t>+1 555 975 9093</t>
        </is>
      </c>
      <c r="G593" t="inlineStr">
        <is>
          <t>Ashby Falls, OH 45610</t>
        </is>
      </c>
      <c r="H593" t="inlineStr">
        <is>
          <t>STATE MEDICAID</t>
        </is>
      </c>
      <c r="I593" t="inlineStr">
        <is>
          <t>630773</t>
        </is>
      </c>
      <c r="J593" t="inlineStr">
        <is>
          <t>2023-10-25 08:36:00</t>
        </is>
      </c>
    </row>
    <row r="594">
      <c r="A594" t="inlineStr">
        <is>
          <t>R1593</t>
        </is>
      </c>
      <c r="B594" t="inlineStr">
        <is>
          <t>Alvarez, Sandra</t>
        </is>
      </c>
      <c r="C594" t="inlineStr">
        <is>
          <t>14-Oct-1950</t>
        </is>
      </c>
      <c r="D594" t="inlineStr">
        <is>
          <t>FEMALE</t>
        </is>
      </c>
      <c r="E594" t="inlineStr">
        <is>
          <t>(555) 257-2307</t>
        </is>
      </c>
      <c r="F594" t="inlineStr">
        <is>
          <t>sandra.alvarez70@example.com</t>
        </is>
      </c>
      <c r="G594" t="inlineStr">
        <is>
          <t>Cedar Ridge OH 45720</t>
        </is>
      </c>
      <c r="H594" t="inlineStr">
        <is>
          <t>Silverline MA</t>
        </is>
      </c>
      <c r="I594" t="inlineStr">
        <is>
          <t>9378606</t>
        </is>
      </c>
      <c r="J594" t="inlineStr">
        <is>
          <t>2019-07-18 16:51:00</t>
        </is>
      </c>
    </row>
    <row r="595">
      <c r="A595" t="inlineStr">
        <is>
          <t>R1594</t>
        </is>
      </c>
      <c r="B595" t="inlineStr">
        <is>
          <t>Ramos, Denise</t>
        </is>
      </c>
      <c r="C595" t="inlineStr">
        <is>
          <t>01-Feb-1991</t>
        </is>
      </c>
      <c r="D595" t="inlineStr">
        <is>
          <t>f</t>
        </is>
      </c>
      <c r="E595" t="inlineStr">
        <is>
          <t>(555) 753-8264</t>
        </is>
      </c>
      <c r="F595" t="inlineStr">
        <is>
          <t>none</t>
        </is>
      </c>
      <c r="G595" t="inlineStr">
        <is>
          <t>Pine Hollow, OH 45640-7630</t>
        </is>
      </c>
      <c r="H595" t="inlineStr">
        <is>
          <t>medicaid</t>
        </is>
      </c>
      <c r="I595" t="inlineStr">
        <is>
          <t>03585244</t>
        </is>
      </c>
      <c r="J595" t="inlineStr">
        <is>
          <t>2022-12-07 15:11:00</t>
        </is>
      </c>
    </row>
    <row r="596">
      <c r="A596" t="inlineStr">
        <is>
          <t>R1595</t>
        </is>
      </c>
      <c r="B596" t="inlineStr">
        <is>
          <t xml:space="preserve">  Walker ,  Angela </t>
        </is>
      </c>
      <c r="C596" t="inlineStr">
        <is>
          <t>21-Nov-1979</t>
        </is>
      </c>
      <c r="D596" t="inlineStr">
        <is>
          <t>FEMALE</t>
        </is>
      </c>
      <c r="E596" t="inlineStr">
        <is>
          <t>555.777.3370</t>
        </is>
      </c>
      <c r="F596" t="inlineStr">
        <is>
          <t>angela.walker17@example.com</t>
        </is>
      </c>
      <c r="G596" t="inlineStr">
        <is>
          <t>Lakeview Heights, OH 45510</t>
        </is>
      </c>
      <c r="H596" t="inlineStr">
        <is>
          <t>STATE MEDICAID</t>
        </is>
      </c>
      <c r="I596" t="inlineStr">
        <is>
          <t>08702071</t>
        </is>
      </c>
      <c r="J596" t="inlineStr">
        <is>
          <t>2016-06-16 16:07:00</t>
        </is>
      </c>
    </row>
    <row r="597">
      <c r="A597" t="inlineStr">
        <is>
          <t>R1596</t>
        </is>
      </c>
      <c r="B597" t="inlineStr">
        <is>
          <t>kim, fatima</t>
        </is>
      </c>
      <c r="C597" t="inlineStr">
        <is>
          <t>1944-10-23</t>
        </is>
      </c>
      <c r="D597" t="inlineStr">
        <is>
          <t>F</t>
        </is>
      </c>
      <c r="E597" t="inlineStr">
        <is>
          <t>555-212-3840</t>
        </is>
      </c>
      <c r="G597" t="inlineStr">
        <is>
          <t>Bluestone, OH 45502</t>
        </is>
      </c>
      <c r="H597" t="inlineStr">
        <is>
          <t xml:space="preserve">Medicare </t>
        </is>
      </c>
      <c r="I597" t="inlineStr">
        <is>
          <t>09570458</t>
        </is>
      </c>
      <c r="J597" t="inlineStr">
        <is>
          <t>01/18/2020 05:13 PM</t>
        </is>
      </c>
    </row>
    <row r="598">
      <c r="A598" t="inlineStr">
        <is>
          <t>R1597</t>
        </is>
      </c>
      <c r="B598" t="inlineStr">
        <is>
          <t>Sophia Tucker</t>
        </is>
      </c>
      <c r="C598" t="inlineStr">
        <is>
          <t>09/08/1966</t>
        </is>
      </c>
      <c r="D598" t="inlineStr">
        <is>
          <t>F</t>
        </is>
      </c>
      <c r="E598" t="inlineStr">
        <is>
          <t>5553385503</t>
        </is>
      </c>
      <c r="F598" t="inlineStr">
        <is>
          <t>none</t>
        </is>
      </c>
      <c r="G598" t="inlineStr">
        <is>
          <t>BLUESTONE, OH 45502</t>
        </is>
      </c>
      <c r="H598" t="inlineStr">
        <is>
          <t>medicaid</t>
        </is>
      </c>
      <c r="I598" t="inlineStr">
        <is>
          <t>01276260</t>
        </is>
      </c>
      <c r="J598" t="inlineStr">
        <is>
          <t>12/21/2019 02:06 PM</t>
        </is>
      </c>
    </row>
    <row r="599">
      <c r="A599" t="inlineStr">
        <is>
          <t>R1598</t>
        </is>
      </c>
      <c r="B599" t="inlineStr">
        <is>
          <t>okafor, ashley</t>
        </is>
      </c>
      <c r="C599" t="inlineStr">
        <is>
          <t>1964-11-15</t>
        </is>
      </c>
      <c r="D599" t="inlineStr">
        <is>
          <t>F</t>
        </is>
      </c>
      <c r="E599" t="inlineStr">
        <is>
          <t>(555) 688-2115</t>
        </is>
      </c>
      <c r="F599" t="inlineStr">
        <is>
          <t>none</t>
        </is>
      </c>
      <c r="G599" t="inlineStr">
        <is>
          <t>Cedar Ridge, OH 45720</t>
        </is>
      </c>
      <c r="H599" t="inlineStr">
        <is>
          <t>medicaid</t>
        </is>
      </c>
      <c r="I599" t="inlineStr">
        <is>
          <t>08967898</t>
        </is>
      </c>
      <c r="J599" t="inlineStr">
        <is>
          <t>02/16/2011 04:31 PM</t>
        </is>
      </c>
    </row>
    <row r="600">
      <c r="A600" t="inlineStr">
        <is>
          <t>R1599</t>
        </is>
      </c>
      <c r="B600" t="inlineStr">
        <is>
          <t>RIVERA, JANICE</t>
        </is>
      </c>
      <c r="C600" t="inlineStr">
        <is>
          <t>03-Oct-1954</t>
        </is>
      </c>
      <c r="D600" t="inlineStr">
        <is>
          <t>F</t>
        </is>
      </c>
      <c r="E600" t="inlineStr">
        <is>
          <t>555-215-2910</t>
        </is>
      </c>
      <c r="F600" t="inlineStr">
        <is>
          <t>JANICE.RIVERA6@EXAMPLE.COM</t>
        </is>
      </c>
      <c r="G600" t="inlineStr">
        <is>
          <t>Bluestone OH 45502</t>
        </is>
      </c>
      <c r="H600" t="inlineStr">
        <is>
          <t>Medicare</t>
        </is>
      </c>
      <c r="I600" t="inlineStr">
        <is>
          <t>08967147</t>
        </is>
      </c>
      <c r="J600" t="inlineStr">
        <is>
          <t>10/31/2015 05:43 PM</t>
        </is>
      </c>
    </row>
    <row r="601">
      <c r="A601" t="inlineStr">
        <is>
          <t>R1600</t>
        </is>
      </c>
      <c r="B601" t="inlineStr">
        <is>
          <t xml:space="preserve">  Hawkins ,  Sara </t>
        </is>
      </c>
      <c r="C601" t="inlineStr">
        <is>
          <t>11.08.1957</t>
        </is>
      </c>
      <c r="D601" t="inlineStr">
        <is>
          <t>F</t>
        </is>
      </c>
      <c r="E601" t="inlineStr">
        <is>
          <t>(555) 955-2451</t>
        </is>
      </c>
      <c r="F601" t="inlineStr">
        <is>
          <t xml:space="preserve"> sara.hawkins92@example.com </t>
        </is>
      </c>
      <c r="G601" t="inlineStr">
        <is>
          <t>Bluestone, OH 45501</t>
        </is>
      </c>
      <c r="H601" t="inlineStr">
        <is>
          <t>Medicare</t>
        </is>
      </c>
      <c r="I601" t="inlineStr">
        <is>
          <t>08051325</t>
        </is>
      </c>
      <c r="J601" t="inlineStr">
        <is>
          <t>2010-10-27 16:06:00</t>
        </is>
      </c>
    </row>
    <row r="602">
      <c r="A602" t="inlineStr">
        <is>
          <t>R1601</t>
        </is>
      </c>
      <c r="B602" t="inlineStr">
        <is>
          <t xml:space="preserve">  O'Brien ,  Timothy </t>
        </is>
      </c>
      <c r="C602" t="inlineStr">
        <is>
          <t>4/15/2024</t>
        </is>
      </c>
      <c r="D602" t="inlineStr">
        <is>
          <t>M</t>
        </is>
      </c>
      <c r="E602" t="inlineStr">
        <is>
          <t>(555) 425-7629</t>
        </is>
      </c>
      <c r="G602" t="inlineStr">
        <is>
          <t>Cedar Ridge, OH 45720</t>
        </is>
      </c>
      <c r="H602" t="inlineStr">
        <is>
          <t>SUMMIT CHOICE PPO</t>
        </is>
      </c>
      <c r="I602" t="inlineStr">
        <is>
          <t>4446447</t>
        </is>
      </c>
      <c r="J602" t="inlineStr">
        <is>
          <t>2024-03-28 16:35:00</t>
        </is>
      </c>
    </row>
    <row r="603">
      <c r="A603" t="inlineStr">
        <is>
          <t>R1602</t>
        </is>
      </c>
      <c r="B603" t="inlineStr">
        <is>
          <t xml:space="preserve">  Ramos ,  Mark </t>
        </is>
      </c>
      <c r="C603" t="inlineStr">
        <is>
          <t>08/06/1963</t>
        </is>
      </c>
      <c r="D603" t="inlineStr">
        <is>
          <t>Male</t>
        </is>
      </c>
      <c r="E603" t="inlineStr">
        <is>
          <t>(555) 480-8570</t>
        </is>
      </c>
      <c r="G603" t="inlineStr">
        <is>
          <t>Bluestone, OH 45501</t>
        </is>
      </c>
      <c r="H603" t="inlineStr">
        <is>
          <t>medicaid</t>
        </is>
      </c>
      <c r="I603" t="inlineStr">
        <is>
          <t>05206313</t>
        </is>
      </c>
      <c r="J603" t="inlineStr">
        <is>
          <t>2017-09-02 07:21:00</t>
        </is>
      </c>
    </row>
    <row r="604">
      <c r="A604" t="inlineStr">
        <is>
          <t>R1603</t>
        </is>
      </c>
      <c r="B604" t="inlineStr">
        <is>
          <t>Reynolds, Isabella</t>
        </is>
      </c>
      <c r="C604" t="inlineStr">
        <is>
          <t>12/13/1947</t>
        </is>
      </c>
      <c r="D604" t="inlineStr">
        <is>
          <t>FEMALE</t>
        </is>
      </c>
      <c r="E604" t="inlineStr">
        <is>
          <t>(555) 575-8192</t>
        </is>
      </c>
      <c r="F604" t="inlineStr">
        <is>
          <t>ISABELLA.REYNOLDS40@EXAMPLE.COM</t>
        </is>
      </c>
      <c r="G604" t="inlineStr">
        <is>
          <t>Granite Springs, OH 45750-6869</t>
        </is>
      </c>
      <c r="H604" t="inlineStr">
        <is>
          <t>MEDICARE</t>
        </is>
      </c>
      <c r="I604" t="inlineStr">
        <is>
          <t>02373873</t>
        </is>
      </c>
      <c r="J604" t="inlineStr">
        <is>
          <t>2017-03-22 07:11:00</t>
        </is>
      </c>
    </row>
    <row r="605">
      <c r="A605" t="inlineStr">
        <is>
          <t>R1604</t>
        </is>
      </c>
      <c r="B605" t="inlineStr">
        <is>
          <t>PATTERSON, GABRIEL</t>
        </is>
      </c>
      <c r="C605" t="inlineStr">
        <is>
          <t>10/08/1936</t>
        </is>
      </c>
      <c r="D605" t="inlineStr">
        <is>
          <t>M</t>
        </is>
      </c>
      <c r="E605" t="inlineStr">
        <is>
          <t>(555) 257-2155</t>
        </is>
      </c>
      <c r="G605" t="inlineStr">
        <is>
          <t>Bluestone, OH 45502</t>
        </is>
      </c>
      <c r="H605" t="inlineStr">
        <is>
          <t>SILVERLINE MEDICARE ADV.</t>
        </is>
      </c>
      <c r="I605" t="inlineStr">
        <is>
          <t>05240044</t>
        </is>
      </c>
      <c r="J605" t="inlineStr">
        <is>
          <t>04/18/2008 01:50 PM</t>
        </is>
      </c>
    </row>
    <row r="606">
      <c r="A606" t="inlineStr">
        <is>
          <t>R1605</t>
        </is>
      </c>
      <c r="B606" t="inlineStr">
        <is>
          <t>Willie Torres</t>
        </is>
      </c>
      <c r="C606" t="inlineStr">
        <is>
          <t>02/14/1968</t>
        </is>
      </c>
      <c r="D606" t="inlineStr">
        <is>
          <t>MALE</t>
        </is>
      </c>
      <c r="E606" t="inlineStr">
        <is>
          <t>555-380-4824</t>
        </is>
      </c>
      <c r="G606" t="inlineStr">
        <is>
          <t>Bluestone, OH 45503</t>
        </is>
      </c>
      <c r="H606" t="inlineStr">
        <is>
          <t>State Medicaid</t>
        </is>
      </c>
      <c r="I606" t="inlineStr">
        <is>
          <t>01841683</t>
        </is>
      </c>
      <c r="J606" t="inlineStr">
        <is>
          <t>2021-11-21 16:29:00</t>
        </is>
      </c>
    </row>
    <row r="607">
      <c r="A607" t="inlineStr">
        <is>
          <t>R1606</t>
        </is>
      </c>
      <c r="B607" t="inlineStr">
        <is>
          <t>webb, diana</t>
        </is>
      </c>
      <c r="C607" t="inlineStr">
        <is>
          <t>08/01/1959</t>
        </is>
      </c>
      <c r="D607" t="inlineStr">
        <is>
          <t>FEMALE</t>
        </is>
      </c>
      <c r="E607" t="inlineStr">
        <is>
          <t>(555) 249-5294</t>
        </is>
      </c>
      <c r="F607" t="inlineStr">
        <is>
          <t>diana.webb36@example.com</t>
        </is>
      </c>
      <c r="G607" t="inlineStr">
        <is>
          <t>BLUESTONE, OH 45501</t>
        </is>
      </c>
      <c r="H607" t="inlineStr">
        <is>
          <t xml:space="preserve">Medicare </t>
        </is>
      </c>
      <c r="I607" t="inlineStr">
        <is>
          <t>8384268</t>
        </is>
      </c>
      <c r="J607" t="inlineStr">
        <is>
          <t>2022-12-15 13:49:00</t>
        </is>
      </c>
    </row>
    <row r="608">
      <c r="A608" t="inlineStr">
        <is>
          <t>R1607</t>
        </is>
      </c>
      <c r="B608" t="inlineStr">
        <is>
          <t>Ramirez, Mason</t>
        </is>
      </c>
      <c r="C608" t="inlineStr">
        <is>
          <t>11/30/2011</t>
        </is>
      </c>
      <c r="D608" t="inlineStr">
        <is>
          <t>M</t>
        </is>
      </c>
      <c r="E608" t="inlineStr">
        <is>
          <t>(555) 827-5705</t>
        </is>
      </c>
      <c r="F608" t="inlineStr">
        <is>
          <t>N/A</t>
        </is>
      </c>
      <c r="G608" t="inlineStr">
        <is>
          <t>Granite Springs, OH 45750</t>
        </is>
      </c>
      <c r="H608" t="inlineStr">
        <is>
          <t>KEYSTONE HEALTH PARTNERS</t>
        </is>
      </c>
      <c r="I608" t="inlineStr">
        <is>
          <t>07645935</t>
        </is>
      </c>
      <c r="J608" t="inlineStr">
        <is>
          <t>2013-04-21 12:10:00</t>
        </is>
      </c>
    </row>
    <row r="609">
      <c r="A609" t="inlineStr">
        <is>
          <t>R1608</t>
        </is>
      </c>
      <c r="B609" t="inlineStr">
        <is>
          <t xml:space="preserve">  Nguyen ,  Willie </t>
        </is>
      </c>
      <c r="C609" t="inlineStr">
        <is>
          <t>1963-08-22</t>
        </is>
      </c>
      <c r="D609" t="inlineStr">
        <is>
          <t>m</t>
        </is>
      </c>
      <c r="E609" t="inlineStr">
        <is>
          <t>555.821.2419</t>
        </is>
      </c>
      <c r="F609" t="inlineStr">
        <is>
          <t>N/A</t>
        </is>
      </c>
      <c r="G609" t="inlineStr">
        <is>
          <t>BLUESTONE, OH 45502</t>
        </is>
      </c>
      <c r="H609" t="inlineStr">
        <is>
          <t>STATE MEDICAID</t>
        </is>
      </c>
      <c r="I609" t="inlineStr">
        <is>
          <t>01589690</t>
        </is>
      </c>
      <c r="J609" t="inlineStr">
        <is>
          <t>2010-07-22 18:27:00</t>
        </is>
      </c>
    </row>
    <row r="610">
      <c r="A610" t="inlineStr">
        <is>
          <t>R1609</t>
        </is>
      </c>
      <c r="B610" t="inlineStr">
        <is>
          <t>Debra Long</t>
        </is>
      </c>
      <c r="C610" t="inlineStr">
        <is>
          <t>09/28/1935</t>
        </is>
      </c>
      <c r="D610" t="inlineStr">
        <is>
          <t xml:space="preserve"> F</t>
        </is>
      </c>
      <c r="E610" t="inlineStr">
        <is>
          <t>(555) 279-3996</t>
        </is>
      </c>
      <c r="F610" t="inlineStr">
        <is>
          <t>DEBRA.LONG43@EXAMPLE.COM</t>
        </is>
      </c>
      <c r="G610" t="inlineStr">
        <is>
          <t>Cedar Ridge, OH 45720</t>
        </is>
      </c>
      <c r="H610" t="inlineStr">
        <is>
          <t>MEDICARE</t>
        </is>
      </c>
      <c r="I610" t="inlineStr">
        <is>
          <t>00914485</t>
        </is>
      </c>
      <c r="J610" t="inlineStr">
        <is>
          <t>2022-03-24 09:09:00</t>
        </is>
      </c>
    </row>
    <row r="611">
      <c r="A611" t="inlineStr">
        <is>
          <t>R1610</t>
        </is>
      </c>
      <c r="B611" t="inlineStr">
        <is>
          <t>ADAMS, ROY</t>
        </is>
      </c>
      <c r="C611" t="inlineStr">
        <is>
          <t>1950-11-15</t>
        </is>
      </c>
      <c r="D611" t="inlineStr">
        <is>
          <t xml:space="preserve">M </t>
        </is>
      </c>
      <c r="F611" t="inlineStr">
        <is>
          <t>N/A</t>
        </is>
      </c>
      <c r="G611" t="inlineStr">
        <is>
          <t>Bluestone, OH 45502</t>
        </is>
      </c>
      <c r="H611" t="inlineStr">
        <is>
          <t>MEDICARE</t>
        </is>
      </c>
      <c r="I611" t="inlineStr">
        <is>
          <t>04875752</t>
        </is>
      </c>
      <c r="J611" t="inlineStr">
        <is>
          <t>09/24/2014 08:35 AM</t>
        </is>
      </c>
    </row>
    <row r="612">
      <c r="A612" t="inlineStr">
        <is>
          <t>R1611</t>
        </is>
      </c>
      <c r="B612" t="inlineStr">
        <is>
          <t>Harris, Linh</t>
        </is>
      </c>
      <c r="C612" t="inlineStr">
        <is>
          <t>11/24/2014</t>
        </is>
      </c>
      <c r="D612" t="inlineStr">
        <is>
          <t xml:space="preserve"> F</t>
        </is>
      </c>
      <c r="E612" t="inlineStr">
        <is>
          <t>(555) 260-5354</t>
        </is>
      </c>
      <c r="G612" t="inlineStr">
        <is>
          <t>Lakeview Heights, OH 45510</t>
        </is>
      </c>
      <c r="H612" t="inlineStr">
        <is>
          <t>STATE MEDICAID</t>
        </is>
      </c>
      <c r="I612" t="inlineStr">
        <is>
          <t>03268677</t>
        </is>
      </c>
      <c r="J612" t="inlineStr">
        <is>
          <t>08/27/2023 06:48 PM</t>
        </is>
      </c>
    </row>
    <row r="613">
      <c r="A613" t="inlineStr">
        <is>
          <t>R1612</t>
        </is>
      </c>
      <c r="B613" t="inlineStr">
        <is>
          <t>Cook, Linh</t>
        </is>
      </c>
      <c r="C613" t="inlineStr">
        <is>
          <t>06-Jun-1946</t>
        </is>
      </c>
      <c r="D613" t="inlineStr">
        <is>
          <t>F</t>
        </is>
      </c>
      <c r="E613" t="inlineStr">
        <is>
          <t>5556154643</t>
        </is>
      </c>
      <c r="F613" t="inlineStr">
        <is>
          <t>linh.cook96@example.com</t>
        </is>
      </c>
      <c r="G613" t="inlineStr">
        <is>
          <t>Fairhaven, OH 45620</t>
        </is>
      </c>
      <c r="H613" t="inlineStr">
        <is>
          <t xml:space="preserve">Medicare </t>
        </is>
      </c>
      <c r="I613" t="inlineStr">
        <is>
          <t>3818806</t>
        </is>
      </c>
      <c r="J613" t="inlineStr">
        <is>
          <t>2022-03-14 13:07:00</t>
        </is>
      </c>
    </row>
    <row r="614">
      <c r="A614" t="inlineStr">
        <is>
          <t>R1613</t>
        </is>
      </c>
      <c r="B614" t="inlineStr">
        <is>
          <t>Alexander, Julie</t>
        </is>
      </c>
      <c r="C614" t="inlineStr">
        <is>
          <t>10/14/1976</t>
        </is>
      </c>
      <c r="D614" t="inlineStr">
        <is>
          <t>FEMALE</t>
        </is>
      </c>
      <c r="E614" t="inlineStr">
        <is>
          <t>555.228.2484</t>
        </is>
      </c>
      <c r="F614" t="inlineStr">
        <is>
          <t>julie.alexander60@example.com</t>
        </is>
      </c>
      <c r="G614" t="inlineStr">
        <is>
          <t>Lakeview Heights OH 45510</t>
        </is>
      </c>
      <c r="H614" t="inlineStr">
        <is>
          <t>Keystone</t>
        </is>
      </c>
      <c r="I614" t="inlineStr">
        <is>
          <t>04260549</t>
        </is>
      </c>
      <c r="J614" t="inlineStr">
        <is>
          <t>2023-08-06 14:47:00</t>
        </is>
      </c>
    </row>
    <row r="615">
      <c r="A615" t="inlineStr">
        <is>
          <t>R1614</t>
        </is>
      </c>
      <c r="B615" t="inlineStr">
        <is>
          <t>MORGAN, BRUCE</t>
        </is>
      </c>
      <c r="C615" t="inlineStr">
        <is>
          <t>1945-09-29</t>
        </is>
      </c>
      <c r="D615" t="inlineStr">
        <is>
          <t>M</t>
        </is>
      </c>
      <c r="E615" t="inlineStr">
        <is>
          <t>555-339-1617</t>
        </is>
      </c>
      <c r="F615" t="inlineStr">
        <is>
          <t xml:space="preserve"> bruce.morgan9@example.com </t>
        </is>
      </c>
      <c r="G615" t="inlineStr">
        <is>
          <t>Bluestone OH 45501</t>
        </is>
      </c>
      <c r="H615" t="inlineStr">
        <is>
          <t xml:space="preserve">Silverline Medicare Advantage </t>
        </is>
      </c>
      <c r="I615" t="inlineStr">
        <is>
          <t>08554017</t>
        </is>
      </c>
      <c r="J615" t="inlineStr">
        <is>
          <t>2023-12-02 13:36:00</t>
        </is>
      </c>
    </row>
    <row r="616">
      <c r="A616" t="inlineStr">
        <is>
          <t>R1615</t>
        </is>
      </c>
      <c r="B616" t="inlineStr">
        <is>
          <t>GOMEZ, HELEN</t>
        </is>
      </c>
      <c r="C616" t="inlineStr">
        <is>
          <t>4/18/1984</t>
        </is>
      </c>
      <c r="D616" t="inlineStr">
        <is>
          <t>F</t>
        </is>
      </c>
      <c r="E616" t="inlineStr">
        <is>
          <t>(555) 656-7770</t>
        </is>
      </c>
      <c r="F616" t="inlineStr">
        <is>
          <t>helen.gomez14@example.com</t>
        </is>
      </c>
      <c r="G616" t="inlineStr">
        <is>
          <t>Bluestone, OH 45503</t>
        </is>
      </c>
      <c r="H616" t="inlineStr">
        <is>
          <t>Keystone Health Ptnrs</t>
        </is>
      </c>
      <c r="I616" t="inlineStr">
        <is>
          <t>6280335</t>
        </is>
      </c>
      <c r="J616" t="inlineStr">
        <is>
          <t>2009-07-25 15:23:00</t>
        </is>
      </c>
    </row>
    <row r="617">
      <c r="A617" t="inlineStr">
        <is>
          <t>R1616</t>
        </is>
      </c>
      <c r="B617" t="inlineStr">
        <is>
          <t>GIBSON, ABIGAIL</t>
        </is>
      </c>
      <c r="C617" t="inlineStr">
        <is>
          <t>10/31/1975</t>
        </is>
      </c>
      <c r="D617" t="inlineStr">
        <is>
          <t>f</t>
        </is>
      </c>
      <c r="E617" t="inlineStr">
        <is>
          <t>(555) 396-8973</t>
        </is>
      </c>
      <c r="F617" t="inlineStr">
        <is>
          <t>abigail.gibson39@example.com</t>
        </is>
      </c>
      <c r="G617" t="inlineStr">
        <is>
          <t>Bluestone, OH 45503-1896</t>
        </is>
      </c>
      <c r="H617" t="inlineStr">
        <is>
          <t>evergreen mutual insurance</t>
        </is>
      </c>
      <c r="I617" t="inlineStr">
        <is>
          <t>04165969</t>
        </is>
      </c>
      <c r="J617" t="inlineStr">
        <is>
          <t>07/07/2008 07:30 AM</t>
        </is>
      </c>
    </row>
    <row r="618">
      <c r="A618" t="inlineStr">
        <is>
          <t>R1617</t>
        </is>
      </c>
      <c r="B618" t="inlineStr">
        <is>
          <t>Chavez, Helen</t>
        </is>
      </c>
      <c r="C618" t="inlineStr">
        <is>
          <t>2020-12-23</t>
        </is>
      </c>
      <c r="D618" t="inlineStr">
        <is>
          <t xml:space="preserve"> F</t>
        </is>
      </c>
      <c r="E618" t="inlineStr">
        <is>
          <t>(555) 697-4114</t>
        </is>
      </c>
      <c r="G618" t="inlineStr">
        <is>
          <t>Riverbend, OH 45545</t>
        </is>
      </c>
      <c r="H618" t="inlineStr">
        <is>
          <t>State Medicaid</t>
        </is>
      </c>
      <c r="I618" t="inlineStr">
        <is>
          <t>07050556</t>
        </is>
      </c>
      <c r="J618" t="inlineStr">
        <is>
          <t>2024-10-03 17:42:00</t>
        </is>
      </c>
    </row>
    <row r="619">
      <c r="A619" t="inlineStr">
        <is>
          <t>R1618</t>
        </is>
      </c>
      <c r="B619" t="inlineStr">
        <is>
          <t>FORD, JULIE</t>
        </is>
      </c>
      <c r="C619" t="inlineStr">
        <is>
          <t>03/20/1947</t>
        </is>
      </c>
      <c r="D619" t="inlineStr">
        <is>
          <t>Female</t>
        </is>
      </c>
      <c r="E619" t="inlineStr">
        <is>
          <t>(555) 876-3762</t>
        </is>
      </c>
      <c r="G619" t="inlineStr">
        <is>
          <t>Bluestone, OH 45503</t>
        </is>
      </c>
      <c r="H619" t="inlineStr">
        <is>
          <t>Silverline MA</t>
        </is>
      </c>
      <c r="I619" t="inlineStr">
        <is>
          <t>07775501</t>
        </is>
      </c>
      <c r="J619" t="inlineStr">
        <is>
          <t>12/04/2021 04:57 PM</t>
        </is>
      </c>
    </row>
    <row r="620">
      <c r="A620" t="inlineStr">
        <is>
          <t>R1619</t>
        </is>
      </c>
      <c r="B620" t="inlineStr">
        <is>
          <t>James, Henry</t>
        </is>
      </c>
      <c r="C620" t="inlineStr">
        <is>
          <t>1979-06-06</t>
        </is>
      </c>
      <c r="D620" t="inlineStr">
        <is>
          <t xml:space="preserve">M </t>
        </is>
      </c>
      <c r="E620" t="inlineStr">
        <is>
          <t>5553738468</t>
        </is>
      </c>
      <c r="F620" t="inlineStr">
        <is>
          <t>henry.james71@example.com</t>
        </is>
      </c>
      <c r="G620" t="inlineStr">
        <is>
          <t>Cedar Ridge, OH 45720</t>
        </is>
      </c>
      <c r="H620" t="inlineStr">
        <is>
          <t>KEYSTONE HEALTH PARTNERS</t>
        </is>
      </c>
      <c r="I620" t="inlineStr">
        <is>
          <t>MRN-07425252</t>
        </is>
      </c>
      <c r="J620" t="inlineStr">
        <is>
          <t>2021-10-13 12:24:00</t>
        </is>
      </c>
    </row>
    <row r="621">
      <c r="A621" t="inlineStr">
        <is>
          <t>R1620</t>
        </is>
      </c>
      <c r="B621" t="inlineStr">
        <is>
          <t>Timothy Nguyen</t>
        </is>
      </c>
      <c r="C621" t="inlineStr">
        <is>
          <t>06/07/1988</t>
        </is>
      </c>
      <c r="D621" t="inlineStr">
        <is>
          <t xml:space="preserve">M </t>
        </is>
      </c>
      <c r="E621" t="inlineStr">
        <is>
          <t>5558630329</t>
        </is>
      </c>
      <c r="F621" t="inlineStr">
        <is>
          <t>timothy.nguyen2@example.com</t>
        </is>
      </c>
      <c r="G621" t="inlineStr">
        <is>
          <t>Ashby Falls, OH 45610</t>
        </is>
      </c>
      <c r="H621" t="inlineStr">
        <is>
          <t>Evergreen Mutual Insurance</t>
        </is>
      </c>
      <c r="I621" t="inlineStr">
        <is>
          <t>07422003</t>
        </is>
      </c>
      <c r="J621" t="inlineStr">
        <is>
          <t>2023-05-21 16:17:00</t>
        </is>
      </c>
    </row>
    <row r="622">
      <c r="A622" t="inlineStr">
        <is>
          <t>R1621</t>
        </is>
      </c>
      <c r="B622" t="inlineStr">
        <is>
          <t>johnston, ann</t>
        </is>
      </c>
      <c r="C622" t="inlineStr">
        <is>
          <t>04/23/2010</t>
        </is>
      </c>
      <c r="D622" t="inlineStr">
        <is>
          <t>F</t>
        </is>
      </c>
      <c r="E622" t="inlineStr">
        <is>
          <t>555.434.8645</t>
        </is>
      </c>
      <c r="F622" t="inlineStr">
        <is>
          <t>none</t>
        </is>
      </c>
      <c r="G622" t="inlineStr">
        <is>
          <t>Riverbend, OH 45545</t>
        </is>
      </c>
      <c r="H622" t="inlineStr">
        <is>
          <t>State Medicaid</t>
        </is>
      </c>
      <c r="I622" t="inlineStr">
        <is>
          <t>1885121</t>
        </is>
      </c>
      <c r="J622" t="inlineStr">
        <is>
          <t>04/11/2020 07:03 AM</t>
        </is>
      </c>
    </row>
    <row r="623">
      <c r="A623" t="inlineStr">
        <is>
          <t>R1622</t>
        </is>
      </c>
      <c r="B623" t="inlineStr">
        <is>
          <t>RODRIGUEZ, FRANK</t>
        </is>
      </c>
      <c r="C623" t="inlineStr">
        <is>
          <t>1977-04-09</t>
        </is>
      </c>
      <c r="D623" t="inlineStr">
        <is>
          <t>Male</t>
        </is>
      </c>
      <c r="F623" t="inlineStr">
        <is>
          <t>FRANK.RODRIGUEZ93@EXAMPLE.COM</t>
        </is>
      </c>
      <c r="G623" t="inlineStr">
        <is>
          <t>Bluestone, OH 45502</t>
        </is>
      </c>
      <c r="H623" t="inlineStr">
        <is>
          <t>Evergreen Mutual Insurance</t>
        </is>
      </c>
      <c r="I623" t="inlineStr">
        <is>
          <t>06358700</t>
        </is>
      </c>
      <c r="J623" t="inlineStr">
        <is>
          <t>01/26/2015 03:25 PM</t>
        </is>
      </c>
    </row>
    <row r="624">
      <c r="A624" t="inlineStr">
        <is>
          <t>R1623</t>
        </is>
      </c>
      <c r="B624" t="inlineStr">
        <is>
          <t>Fernandez, Christian</t>
        </is>
      </c>
      <c r="C624" t="inlineStr">
        <is>
          <t>12/28/1977</t>
        </is>
      </c>
      <c r="D624" t="inlineStr">
        <is>
          <t>M</t>
        </is>
      </c>
      <c r="E624" t="inlineStr">
        <is>
          <t>(555) 256-9382</t>
        </is>
      </c>
      <c r="G624" t="inlineStr">
        <is>
          <t>Ashby Falls, OH 45610</t>
        </is>
      </c>
      <c r="H624" t="inlineStr">
        <is>
          <t>Summit Choice PPO</t>
        </is>
      </c>
      <c r="I624" t="inlineStr">
        <is>
          <t>985976</t>
        </is>
      </c>
      <c r="J624" t="inlineStr">
        <is>
          <t>2023-05-31 16:13:00</t>
        </is>
      </c>
    </row>
    <row r="625">
      <c r="A625" t="inlineStr">
        <is>
          <t>R1624</t>
        </is>
      </c>
      <c r="B625" t="inlineStr">
        <is>
          <t>Joyce Schmidt</t>
        </is>
      </c>
      <c r="C625" t="inlineStr">
        <is>
          <t>1970-01-12</t>
        </is>
      </c>
      <c r="D625" t="inlineStr">
        <is>
          <t xml:space="preserve"> F</t>
        </is>
      </c>
      <c r="E625" t="inlineStr">
        <is>
          <t>(555) 757-3197</t>
        </is>
      </c>
      <c r="F625" t="inlineStr">
        <is>
          <t>joyce.schmidt40@example.com</t>
        </is>
      </c>
      <c r="G625" t="inlineStr">
        <is>
          <t>Bluestone, OH 45502-9891</t>
        </is>
      </c>
      <c r="H625" t="inlineStr">
        <is>
          <t>Keystone Health Ptnrs</t>
        </is>
      </c>
      <c r="I625" t="inlineStr">
        <is>
          <t>4422140</t>
        </is>
      </c>
      <c r="J625" t="inlineStr">
        <is>
          <t>2021-12-06 10:13:00</t>
        </is>
      </c>
    </row>
    <row r="626">
      <c r="A626" t="inlineStr">
        <is>
          <t>R1625</t>
        </is>
      </c>
      <c r="B626" t="inlineStr">
        <is>
          <t>Patterson, Shirley</t>
        </is>
      </c>
      <c r="C626" t="inlineStr">
        <is>
          <t>07/08/2014</t>
        </is>
      </c>
      <c r="D626" t="inlineStr">
        <is>
          <t>F</t>
        </is>
      </c>
      <c r="E626" t="inlineStr">
        <is>
          <t>555-823-3256</t>
        </is>
      </c>
      <c r="G626" t="inlineStr">
        <is>
          <t>Fairhaven OH 45620</t>
        </is>
      </c>
      <c r="H626" t="inlineStr">
        <is>
          <t>medicaid</t>
        </is>
      </c>
      <c r="I626" t="inlineStr">
        <is>
          <t>7843022</t>
        </is>
      </c>
      <c r="J626" t="inlineStr">
        <is>
          <t>02/28/2015 11:07 AM</t>
        </is>
      </c>
    </row>
    <row r="627">
      <c r="A627" t="inlineStr">
        <is>
          <t>R1626</t>
        </is>
      </c>
      <c r="B627" t="inlineStr">
        <is>
          <t>Andrews, Karen</t>
        </is>
      </c>
      <c r="C627" t="inlineStr">
        <is>
          <t>06/20/1959</t>
        </is>
      </c>
      <c r="D627" t="inlineStr">
        <is>
          <t>F</t>
        </is>
      </c>
      <c r="G627" t="inlineStr">
        <is>
          <t>Riverbend OH 45545</t>
        </is>
      </c>
      <c r="H627" t="inlineStr">
        <is>
          <t>Medicare Part A</t>
        </is>
      </c>
      <c r="I627" t="inlineStr">
        <is>
          <t>8869000</t>
        </is>
      </c>
      <c r="J627" t="inlineStr">
        <is>
          <t>03/04/2015 05:17 PM</t>
        </is>
      </c>
    </row>
    <row r="628">
      <c r="A628" t="inlineStr">
        <is>
          <t>R1627</t>
        </is>
      </c>
      <c r="B628" t="inlineStr">
        <is>
          <t>SANDOVAL, PRIYA</t>
        </is>
      </c>
      <c r="C628" t="inlineStr">
        <is>
          <t>7/27/1965</t>
        </is>
      </c>
      <c r="D628" t="inlineStr">
        <is>
          <t>Female</t>
        </is>
      </c>
      <c r="E628" t="inlineStr">
        <is>
          <t>555-481-8733</t>
        </is>
      </c>
      <c r="F628" t="inlineStr">
        <is>
          <t>N/A</t>
        </is>
      </c>
      <c r="G628" t="inlineStr">
        <is>
          <t>Bluestone OH 45503</t>
        </is>
      </c>
      <c r="H628" t="inlineStr">
        <is>
          <t>Summit Choice PPO</t>
        </is>
      </c>
      <c r="I628" t="inlineStr">
        <is>
          <t>7685936</t>
        </is>
      </c>
      <c r="J628" t="inlineStr">
        <is>
          <t>04/11/2015 10:00 AM</t>
        </is>
      </c>
    </row>
    <row r="629">
      <c r="A629" t="inlineStr">
        <is>
          <t>R1628</t>
        </is>
      </c>
      <c r="B629" t="inlineStr">
        <is>
          <t xml:space="preserve">  Aguilar ,  Paul </t>
        </is>
      </c>
      <c r="C629" t="inlineStr">
        <is>
          <t>8/14/1992</t>
        </is>
      </c>
      <c r="D629" t="inlineStr">
        <is>
          <t>Male</t>
        </is>
      </c>
      <c r="E629" t="inlineStr">
        <is>
          <t>(555) 933-9516</t>
        </is>
      </c>
      <c r="F629" t="inlineStr">
        <is>
          <t>paul.aguilar71@example.com</t>
        </is>
      </c>
      <c r="G629" t="inlineStr">
        <is>
          <t>Lakeview Heights, OH 45510</t>
        </is>
      </c>
      <c r="H629" t="inlineStr">
        <is>
          <t>EVERGREEN MUTUAL INS</t>
        </is>
      </c>
      <c r="I629" t="inlineStr">
        <is>
          <t>04904027</t>
        </is>
      </c>
      <c r="J629" t="inlineStr">
        <is>
          <t>06/11/2014 03:17 PM</t>
        </is>
      </c>
    </row>
    <row r="630">
      <c r="A630" t="inlineStr">
        <is>
          <t>R1629</t>
        </is>
      </c>
      <c r="B630" t="inlineStr">
        <is>
          <t>HUNTER, EDWARD</t>
        </is>
      </c>
      <c r="C630" t="inlineStr">
        <is>
          <t>2/24/2022</t>
        </is>
      </c>
      <c r="D630" t="inlineStr">
        <is>
          <t>M</t>
        </is>
      </c>
      <c r="E630" t="inlineStr">
        <is>
          <t>555.684.2598</t>
        </is>
      </c>
      <c r="G630" t="inlineStr">
        <is>
          <t>Riverbend, OH 45545</t>
        </is>
      </c>
      <c r="H630" t="inlineStr">
        <is>
          <t>STATE MEDICAID</t>
        </is>
      </c>
      <c r="I630" t="inlineStr">
        <is>
          <t>MRN-00440415</t>
        </is>
      </c>
      <c r="J630" t="inlineStr">
        <is>
          <t>2023-11-07 17:52:00</t>
        </is>
      </c>
    </row>
    <row r="631">
      <c r="A631" t="inlineStr">
        <is>
          <t>R1630</t>
        </is>
      </c>
      <c r="B631" t="inlineStr">
        <is>
          <t>SOTO, JANICE</t>
        </is>
      </c>
      <c r="C631" t="inlineStr">
        <is>
          <t>04/20/1953</t>
        </is>
      </c>
      <c r="D631" t="inlineStr">
        <is>
          <t>f</t>
        </is>
      </c>
      <c r="E631" t="inlineStr">
        <is>
          <t>(555) 657-9334</t>
        </is>
      </c>
      <c r="F631" t="inlineStr">
        <is>
          <t>janice.soto59@example.com</t>
        </is>
      </c>
      <c r="G631" t="inlineStr">
        <is>
          <t>OAK GLEN, OH 45730</t>
        </is>
      </c>
      <c r="H631" t="inlineStr">
        <is>
          <t>Medicare</t>
        </is>
      </c>
      <c r="I631" t="inlineStr">
        <is>
          <t>06718667</t>
        </is>
      </c>
      <c r="J631" t="inlineStr">
        <is>
          <t>2012-10-05 15:27:00</t>
        </is>
      </c>
    </row>
    <row r="632">
      <c r="A632" t="inlineStr">
        <is>
          <t>R1631</t>
        </is>
      </c>
      <c r="B632" t="inlineStr">
        <is>
          <t>HENDERSON, LOGAN</t>
        </is>
      </c>
      <c r="C632" t="inlineStr">
        <is>
          <t>12/17/1958</t>
        </is>
      </c>
      <c r="D632" t="inlineStr">
        <is>
          <t>Male</t>
        </is>
      </c>
      <c r="E632" t="inlineStr">
        <is>
          <t>(555) 898-2845</t>
        </is>
      </c>
      <c r="F632" t="inlineStr">
        <is>
          <t>logan.henderson79@example.com</t>
        </is>
      </c>
      <c r="G632" t="inlineStr">
        <is>
          <t>Bluestone, OH 45503</t>
        </is>
      </c>
      <c r="H632" t="inlineStr">
        <is>
          <t>MEDICARE</t>
        </is>
      </c>
      <c r="I632" t="inlineStr">
        <is>
          <t>09850021</t>
        </is>
      </c>
      <c r="J632" t="inlineStr">
        <is>
          <t>10/25/2023 03:45 PM</t>
        </is>
      </c>
    </row>
    <row r="633">
      <c r="A633" t="inlineStr">
        <is>
          <t>R1632</t>
        </is>
      </c>
      <c r="B633" t="inlineStr">
        <is>
          <t>GONZALEZ, DONALD</t>
        </is>
      </c>
      <c r="C633" t="inlineStr">
        <is>
          <t>03/16/1963</t>
        </is>
      </c>
      <c r="D633" t="inlineStr">
        <is>
          <t xml:space="preserve">M </t>
        </is>
      </c>
      <c r="E633" t="inlineStr">
        <is>
          <t>5559737793</t>
        </is>
      </c>
      <c r="F633" t="inlineStr">
        <is>
          <t>donald.gonzalez75@example.com</t>
        </is>
      </c>
      <c r="G633" t="inlineStr">
        <is>
          <t>LAKEVIEW HEIGHTS, OH 45510</t>
        </is>
      </c>
      <c r="H633" t="inlineStr">
        <is>
          <t>Keystone Health Partners</t>
        </is>
      </c>
      <c r="I633" t="inlineStr">
        <is>
          <t>02760940</t>
        </is>
      </c>
      <c r="J633" t="inlineStr">
        <is>
          <t>03/19/2024 05:50 PM</t>
        </is>
      </c>
    </row>
    <row r="634">
      <c r="A634" t="inlineStr">
        <is>
          <t>R1633</t>
        </is>
      </c>
      <c r="B634" t="inlineStr">
        <is>
          <t>Bradley, Christian</t>
        </is>
      </c>
      <c r="C634" t="inlineStr">
        <is>
          <t>08/01/2005</t>
        </is>
      </c>
      <c r="D634" t="inlineStr">
        <is>
          <t>M</t>
        </is>
      </c>
      <c r="E634" t="inlineStr">
        <is>
          <t>(555) 901-7787</t>
        </is>
      </c>
      <c r="G634" t="inlineStr">
        <is>
          <t>Lakeview Heights, OH 45510</t>
        </is>
      </c>
      <c r="H634" t="inlineStr">
        <is>
          <t>EVERGREEN MUTUAL INS</t>
        </is>
      </c>
      <c r="I634" t="inlineStr">
        <is>
          <t>05766438</t>
        </is>
      </c>
      <c r="J634" t="inlineStr">
        <is>
          <t>2009-10-12 17:47:00</t>
        </is>
      </c>
    </row>
    <row r="635">
      <c r="A635" t="inlineStr">
        <is>
          <t>R1634</t>
        </is>
      </c>
      <c r="B635" t="inlineStr">
        <is>
          <t>pena, lauren</t>
        </is>
      </c>
      <c r="C635" t="inlineStr">
        <is>
          <t>1948-09-10</t>
        </is>
      </c>
      <c r="D635" t="inlineStr">
        <is>
          <t xml:space="preserve"> F</t>
        </is>
      </c>
      <c r="F635" t="inlineStr">
        <is>
          <t>N/A</t>
        </is>
      </c>
      <c r="G635" t="inlineStr">
        <is>
          <t>Bluestone, OH 45502</t>
        </is>
      </c>
      <c r="H635" t="inlineStr">
        <is>
          <t>Medicare</t>
        </is>
      </c>
      <c r="I635" t="inlineStr">
        <is>
          <t>07874135</t>
        </is>
      </c>
      <c r="J635" t="inlineStr">
        <is>
          <t>2016-06-13 07:36:00</t>
        </is>
      </c>
    </row>
    <row r="636">
      <c r="A636" t="inlineStr">
        <is>
          <t>R1635</t>
        </is>
      </c>
      <c r="B636" t="inlineStr">
        <is>
          <t>Hicks, Liam</t>
        </is>
      </c>
      <c r="C636" t="inlineStr">
        <is>
          <t>1989-03-26</t>
        </is>
      </c>
      <c r="D636" t="inlineStr">
        <is>
          <t>M</t>
        </is>
      </c>
      <c r="E636" t="inlineStr">
        <is>
          <t>555-805-1442</t>
        </is>
      </c>
      <c r="F636" t="inlineStr">
        <is>
          <t xml:space="preserve"> liam.hicks44@example.com </t>
        </is>
      </c>
      <c r="G636" t="inlineStr">
        <is>
          <t>Bluestone, OH 45502-1178</t>
        </is>
      </c>
      <c r="H636" t="inlineStr">
        <is>
          <t>Summit Choice PPO</t>
        </is>
      </c>
      <c r="I636" t="inlineStr">
        <is>
          <t>05908693</t>
        </is>
      </c>
      <c r="J636" t="inlineStr">
        <is>
          <t>2008-07-13 17:47:00</t>
        </is>
      </c>
    </row>
    <row r="637">
      <c r="A637" t="inlineStr">
        <is>
          <t>R1636</t>
        </is>
      </c>
      <c r="B637" t="inlineStr">
        <is>
          <t>Davis, Heather</t>
        </is>
      </c>
      <c r="C637" t="inlineStr">
        <is>
          <t>12/11/1988</t>
        </is>
      </c>
      <c r="D637" t="inlineStr">
        <is>
          <t>Female</t>
        </is>
      </c>
      <c r="E637" t="inlineStr">
        <is>
          <t>555-433-2745</t>
        </is>
      </c>
      <c r="F637" t="inlineStr">
        <is>
          <t xml:space="preserve"> heather.davis77@example.com </t>
        </is>
      </c>
      <c r="G637" t="inlineStr">
        <is>
          <t>BLUESTONE, OH 45503</t>
        </is>
      </c>
      <c r="H637" t="inlineStr">
        <is>
          <t>MEDICARE</t>
        </is>
      </c>
      <c r="I637" t="inlineStr">
        <is>
          <t>MRN-07765318</t>
        </is>
      </c>
      <c r="J637" t="inlineStr">
        <is>
          <t>2023-03-22 17:31:00</t>
        </is>
      </c>
    </row>
    <row r="638">
      <c r="A638" t="inlineStr">
        <is>
          <t>R1637</t>
        </is>
      </c>
      <c r="B638" t="inlineStr">
        <is>
          <t>Pierce, Bradley</t>
        </is>
      </c>
      <c r="C638" t="inlineStr">
        <is>
          <t>8/28/1926</t>
        </is>
      </c>
      <c r="D638" t="inlineStr">
        <is>
          <t>MALE</t>
        </is>
      </c>
      <c r="E638" t="inlineStr">
        <is>
          <t>+1 555 763 0931</t>
        </is>
      </c>
      <c r="F638" t="inlineStr">
        <is>
          <t>bradley.pierce73@example.com</t>
        </is>
      </c>
      <c r="G638" t="inlineStr">
        <is>
          <t>Millbrook, OH 45530</t>
        </is>
      </c>
      <c r="H638" t="inlineStr">
        <is>
          <t>MEDICARE</t>
        </is>
      </c>
      <c r="I638" t="inlineStr">
        <is>
          <t>09027798</t>
        </is>
      </c>
      <c r="J638" t="inlineStr">
        <is>
          <t>2015-01-17 12:44:00</t>
        </is>
      </c>
    </row>
    <row r="639">
      <c r="A639" t="inlineStr">
        <is>
          <t>R1638</t>
        </is>
      </c>
      <c r="B639" t="inlineStr">
        <is>
          <t>Young, Jean</t>
        </is>
      </c>
      <c r="C639" t="inlineStr">
        <is>
          <t>1993-10-13</t>
        </is>
      </c>
      <c r="D639" t="inlineStr">
        <is>
          <t xml:space="preserve"> F</t>
        </is>
      </c>
      <c r="F639" t="inlineStr">
        <is>
          <t>none</t>
        </is>
      </c>
      <c r="G639" t="inlineStr">
        <is>
          <t>Bluestone, OH 45501</t>
        </is>
      </c>
      <c r="H639" t="inlineStr">
        <is>
          <t>KEYSTONE HEALTH PARTNERS</t>
        </is>
      </c>
      <c r="I639" t="inlineStr">
        <is>
          <t>MRN-00988302</t>
        </is>
      </c>
      <c r="J639" t="inlineStr">
        <is>
          <t>2008-11-21 16:10:00</t>
        </is>
      </c>
    </row>
    <row r="640">
      <c r="A640" t="inlineStr">
        <is>
          <t>R1639</t>
        </is>
      </c>
      <c r="B640" t="inlineStr">
        <is>
          <t>Carpenter, Ava</t>
        </is>
      </c>
      <c r="C640" t="inlineStr">
        <is>
          <t>03/31/1976</t>
        </is>
      </c>
      <c r="D640" t="inlineStr">
        <is>
          <t>f</t>
        </is>
      </c>
      <c r="E640" t="inlineStr">
        <is>
          <t>5552487816</t>
        </is>
      </c>
      <c r="F640" t="inlineStr">
        <is>
          <t>AVA.CARPENTER21@EXAMPLE.COM</t>
        </is>
      </c>
      <c r="G640" t="inlineStr">
        <is>
          <t>Bluestone, OH 45501</t>
        </is>
      </c>
      <c r="H640" t="inlineStr">
        <is>
          <t>EVERGREEN MUTUAL INS</t>
        </is>
      </c>
      <c r="I640" t="inlineStr">
        <is>
          <t>00621902</t>
        </is>
      </c>
      <c r="J640" t="inlineStr">
        <is>
          <t>06/09/2021 05:10 PM</t>
        </is>
      </c>
    </row>
    <row r="641">
      <c r="A641" t="inlineStr">
        <is>
          <t>R1640</t>
        </is>
      </c>
      <c r="B641" t="inlineStr">
        <is>
          <t>myers, mei</t>
        </is>
      </c>
      <c r="C641" t="inlineStr">
        <is>
          <t>11/17/1934</t>
        </is>
      </c>
      <c r="D641" t="inlineStr">
        <is>
          <t>F</t>
        </is>
      </c>
      <c r="E641" t="inlineStr">
        <is>
          <t>5555913655</t>
        </is>
      </c>
      <c r="G641" t="inlineStr">
        <is>
          <t>Lakeview Heights OH 45510</t>
        </is>
      </c>
      <c r="H641" t="inlineStr">
        <is>
          <t>STATE MEDICAID</t>
        </is>
      </c>
      <c r="I641" t="inlineStr">
        <is>
          <t>09177941</t>
        </is>
      </c>
      <c r="J641" t="inlineStr">
        <is>
          <t>01/19/2013 09:39 AM</t>
        </is>
      </c>
    </row>
    <row r="642">
      <c r="A642" t="inlineStr">
        <is>
          <t>R1641</t>
        </is>
      </c>
      <c r="B642" t="inlineStr">
        <is>
          <t>Chavez, Grace</t>
        </is>
      </c>
      <c r="C642" t="inlineStr">
        <is>
          <t>11.14.1963</t>
        </is>
      </c>
      <c r="D642" t="inlineStr">
        <is>
          <t>F</t>
        </is>
      </c>
      <c r="E642" t="inlineStr">
        <is>
          <t>(555) 682-5793</t>
        </is>
      </c>
      <c r="F642" t="inlineStr">
        <is>
          <t>grace.chavez22@example.com</t>
        </is>
      </c>
      <c r="G642" t="inlineStr">
        <is>
          <t>Bluestone OH 45502</t>
        </is>
      </c>
      <c r="H642" t="inlineStr">
        <is>
          <t>STATE MEDICAID</t>
        </is>
      </c>
      <c r="I642" t="inlineStr">
        <is>
          <t>2217215</t>
        </is>
      </c>
      <c r="J642" t="inlineStr">
        <is>
          <t>12/02/2019 03:32 PM</t>
        </is>
      </c>
    </row>
    <row r="643">
      <c r="A643" t="inlineStr">
        <is>
          <t>R1642</t>
        </is>
      </c>
      <c r="B643" t="inlineStr">
        <is>
          <t>Elliott, Janice</t>
        </is>
      </c>
      <c r="C643" t="inlineStr">
        <is>
          <t>10/16/1949</t>
        </is>
      </c>
      <c r="D643" t="inlineStr">
        <is>
          <t xml:space="preserve"> F</t>
        </is>
      </c>
      <c r="E643" t="inlineStr">
        <is>
          <t>555-406-1015</t>
        </is>
      </c>
      <c r="G643" t="inlineStr">
        <is>
          <t>Bluestone, OH 45503</t>
        </is>
      </c>
      <c r="H643" t="inlineStr">
        <is>
          <t>Silverline Medicare Advantage</t>
        </is>
      </c>
      <c r="I643" t="inlineStr">
        <is>
          <t>04779592</t>
        </is>
      </c>
      <c r="J643" t="inlineStr">
        <is>
          <t>10/19/2017 11:47 AM</t>
        </is>
      </c>
    </row>
    <row r="644">
      <c r="A644" t="inlineStr">
        <is>
          <t>R1643</t>
        </is>
      </c>
      <c r="B644" t="inlineStr">
        <is>
          <t>Richards, Robert</t>
        </is>
      </c>
      <c r="C644" t="inlineStr">
        <is>
          <t>11/03/1954</t>
        </is>
      </c>
      <c r="D644" t="inlineStr">
        <is>
          <t xml:space="preserve">M </t>
        </is>
      </c>
      <c r="E644" t="inlineStr">
        <is>
          <t>(555) 559-8984</t>
        </is>
      </c>
      <c r="F644" t="inlineStr">
        <is>
          <t>ROBERT.RICHARDS78@EXAMPLE.COM</t>
        </is>
      </c>
      <c r="G644" t="inlineStr">
        <is>
          <t>Riverbend, OH 45545</t>
        </is>
      </c>
      <c r="H644" t="inlineStr">
        <is>
          <t>Medicare Part A</t>
        </is>
      </c>
      <c r="I644" t="inlineStr">
        <is>
          <t>00049359</t>
        </is>
      </c>
      <c r="J644" t="inlineStr">
        <is>
          <t>01/31/2024 10:23 AM</t>
        </is>
      </c>
    </row>
    <row r="645">
      <c r="A645" t="inlineStr">
        <is>
          <t>R1644</t>
        </is>
      </c>
      <c r="B645" t="inlineStr">
        <is>
          <t>Perkins, Jack</t>
        </is>
      </c>
      <c r="C645" t="inlineStr">
        <is>
          <t>08/07/1993</t>
        </is>
      </c>
      <c r="D645" t="inlineStr">
        <is>
          <t>MALE</t>
        </is>
      </c>
      <c r="E645" t="inlineStr">
        <is>
          <t>555.263.3965</t>
        </is>
      </c>
      <c r="F645" t="inlineStr">
        <is>
          <t>jack.perkins53@example.com</t>
        </is>
      </c>
      <c r="G645" t="inlineStr">
        <is>
          <t>LAKEVIEW HEIGHTS, OH 45510</t>
        </is>
      </c>
      <c r="H645" t="inlineStr">
        <is>
          <t>KEYSTONE HEALTH PARTNERS</t>
        </is>
      </c>
      <c r="I645" t="inlineStr">
        <is>
          <t>00076448</t>
        </is>
      </c>
      <c r="J645" t="inlineStr">
        <is>
          <t>2019-06-20 13:23:00</t>
        </is>
      </c>
    </row>
    <row r="646">
      <c r="A646" t="inlineStr">
        <is>
          <t>R1645</t>
        </is>
      </c>
      <c r="B646" t="inlineStr">
        <is>
          <t>Ramirez, Wayne</t>
        </is>
      </c>
      <c r="C646" t="inlineStr">
        <is>
          <t>10/22/1943</t>
        </is>
      </c>
      <c r="D646" t="inlineStr">
        <is>
          <t>Male</t>
        </is>
      </c>
      <c r="E646" t="inlineStr">
        <is>
          <t>5552026823</t>
        </is>
      </c>
      <c r="F646" t="inlineStr">
        <is>
          <t>wayne.ramirez28@example.com</t>
        </is>
      </c>
      <c r="G646" t="inlineStr">
        <is>
          <t>RIVERBEND, OH 45545</t>
        </is>
      </c>
      <c r="H646" t="inlineStr">
        <is>
          <t>Medicare</t>
        </is>
      </c>
      <c r="I646" t="inlineStr">
        <is>
          <t>01678724</t>
        </is>
      </c>
      <c r="J646" t="inlineStr">
        <is>
          <t>2023-02-02 12:18:00</t>
        </is>
      </c>
    </row>
    <row r="647">
      <c r="A647" t="inlineStr">
        <is>
          <t>R1646</t>
        </is>
      </c>
      <c r="B647" t="inlineStr">
        <is>
          <t>Victoria Haddad</t>
        </is>
      </c>
      <c r="C647" t="inlineStr">
        <is>
          <t>09/19/1996</t>
        </is>
      </c>
      <c r="D647" t="inlineStr">
        <is>
          <t>F</t>
        </is>
      </c>
      <c r="E647" t="inlineStr">
        <is>
          <t>555-460-3595</t>
        </is>
      </c>
      <c r="F647" t="inlineStr">
        <is>
          <t xml:space="preserve"> victoria.haddad72@example.com </t>
        </is>
      </c>
      <c r="G647" t="inlineStr">
        <is>
          <t>Ashby Falls, OH 45610</t>
        </is>
      </c>
      <c r="H647" t="inlineStr">
        <is>
          <t>Keystone Health Partners</t>
        </is>
      </c>
      <c r="I647" t="inlineStr">
        <is>
          <t>MRN-05737819</t>
        </is>
      </c>
      <c r="J647" t="inlineStr">
        <is>
          <t>2022-07-04 07:37:00</t>
        </is>
      </c>
    </row>
    <row r="648">
      <c r="A648" t="inlineStr">
        <is>
          <t>R1647</t>
        </is>
      </c>
      <c r="B648" t="inlineStr">
        <is>
          <t>Hayes, Roger</t>
        </is>
      </c>
      <c r="C648" t="inlineStr">
        <is>
          <t>7/21/1999</t>
        </is>
      </c>
      <c r="D648" t="inlineStr">
        <is>
          <t>Male</t>
        </is>
      </c>
      <c r="E648" t="inlineStr">
        <is>
          <t>(555) 653-9148</t>
        </is>
      </c>
      <c r="F648" t="inlineStr">
        <is>
          <t>roger.hayes63@example.com</t>
        </is>
      </c>
      <c r="G648" t="inlineStr">
        <is>
          <t>Lakeview Heights, OH 45510</t>
        </is>
      </c>
      <c r="H648" t="inlineStr">
        <is>
          <t>Keystone Health Ptnrs</t>
        </is>
      </c>
      <c r="I648" t="inlineStr">
        <is>
          <t>06876509</t>
        </is>
      </c>
      <c r="J648" t="inlineStr">
        <is>
          <t>2016-08-14 13:04:00</t>
        </is>
      </c>
    </row>
    <row r="649">
      <c r="A649" t="inlineStr">
        <is>
          <t>R1648</t>
        </is>
      </c>
      <c r="B649" t="inlineStr">
        <is>
          <t>hudson, gabriel</t>
        </is>
      </c>
      <c r="C649" t="inlineStr">
        <is>
          <t>5/3/1933</t>
        </is>
      </c>
      <c r="D649" t="inlineStr">
        <is>
          <t xml:space="preserve">M </t>
        </is>
      </c>
      <c r="E649" t="inlineStr">
        <is>
          <t>555-329-5641</t>
        </is>
      </c>
      <c r="G649" t="inlineStr">
        <is>
          <t>Bluestone, OH 45503-5226</t>
        </is>
      </c>
      <c r="H649" t="inlineStr">
        <is>
          <t>Medicare Part A</t>
        </is>
      </c>
      <c r="I649" t="inlineStr">
        <is>
          <t>MRN-09999578</t>
        </is>
      </c>
      <c r="J649" t="inlineStr">
        <is>
          <t>2020-01-15 17:40:00</t>
        </is>
      </c>
    </row>
    <row r="650">
      <c r="A650" t="inlineStr">
        <is>
          <t>R1649</t>
        </is>
      </c>
      <c r="B650" t="inlineStr">
        <is>
          <t>Kimberly Ray</t>
        </is>
      </c>
      <c r="C650" t="inlineStr">
        <is>
          <t>1950-08-05</t>
        </is>
      </c>
      <c r="D650" t="inlineStr">
        <is>
          <t>F</t>
        </is>
      </c>
      <c r="E650" t="inlineStr">
        <is>
          <t>(555) 265-8569</t>
        </is>
      </c>
      <c r="F650" t="inlineStr">
        <is>
          <t>KIMBERLY.RAY4@EXAMPLE.COM</t>
        </is>
      </c>
      <c r="G650" t="inlineStr">
        <is>
          <t>Ashby Falls, OH 45610</t>
        </is>
      </c>
      <c r="H650" t="inlineStr">
        <is>
          <t>medicare</t>
        </is>
      </c>
      <c r="I650" t="inlineStr">
        <is>
          <t>08520187</t>
        </is>
      </c>
      <c r="J650" t="inlineStr">
        <is>
          <t>2013-08-07 18:26:00</t>
        </is>
      </c>
    </row>
    <row r="651">
      <c r="A651" t="inlineStr">
        <is>
          <t>R1650</t>
        </is>
      </c>
      <c r="B651" t="inlineStr">
        <is>
          <t>JONES, MARY</t>
        </is>
      </c>
      <c r="C651" t="inlineStr">
        <is>
          <t>2014-08-21</t>
        </is>
      </c>
      <c r="D651" t="inlineStr">
        <is>
          <t>F</t>
        </is>
      </c>
      <c r="E651" t="inlineStr">
        <is>
          <t>5554672515</t>
        </is>
      </c>
      <c r="F651" t="inlineStr">
        <is>
          <t>N/A</t>
        </is>
      </c>
      <c r="G651" t="inlineStr">
        <is>
          <t>BLUESTONE, OH 45502</t>
        </is>
      </c>
      <c r="H651" t="inlineStr">
        <is>
          <t>Summit Choice PPO</t>
        </is>
      </c>
      <c r="I651" t="inlineStr">
        <is>
          <t>04641650</t>
        </is>
      </c>
      <c r="J651" t="inlineStr">
        <is>
          <t>04/25/2016 11:44 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51"/>
  <sheetViews>
    <sheetView tabSelected="0" workbookViewId="0">
      <pane ySplit="1" topLeftCell="A2" activePane="bottomLeft" state="frozen"/>
      <selection pane="bottomLeft" activeCell="A1" sqref="A1"/>
    </sheetView>
  </sheetViews>
  <sheetFormatPr baseColWidth="8" defaultRowHeight="15"/>
  <cols>
    <col width="10" customWidth="1" min="1" max="1"/>
    <col width="26" customWidth="1" min="2" max="2"/>
    <col width="12" customWidth="1" min="3" max="3"/>
    <col width="8" customWidth="1" min="4" max="4"/>
    <col width="17" customWidth="1" min="5" max="5"/>
    <col width="34" customWidth="1" min="6" max="6"/>
    <col width="28" customWidth="1" min="7" max="7"/>
    <col width="30" customWidth="1" min="8" max="8"/>
    <col width="14" customWidth="1" min="9" max="9"/>
    <col width="21" customWidth="1" min="10" max="10"/>
    <col width="22" customWidth="1" min="11" max="11"/>
    <col width="12" customWidth="1" min="12" max="12"/>
    <col width="10" customWidth="1" min="13" max="13"/>
    <col width="13" customWidth="1" min="14" max="14"/>
    <col width="8" customWidth="1" min="15" max="15"/>
    <col width="10" customWidth="1" min="16" max="16"/>
    <col width="11" customWidth="1" min="17" max="17"/>
    <col width="17" customWidth="1" min="18" max="18"/>
    <col width="8" customWidth="1" min="19" max="19"/>
  </cols>
  <sheetData>
    <row r="1">
      <c r="A1" s="26" t="inlineStr">
        <is>
          <t>RecordID</t>
        </is>
      </c>
      <c r="B1" s="26" t="inlineStr">
        <is>
          <t>PatientName</t>
        </is>
      </c>
      <c r="C1" s="26" t="inlineStr">
        <is>
          <t>DOB</t>
        </is>
      </c>
      <c r="D1" s="26" t="inlineStr">
        <is>
          <t>Sex</t>
        </is>
      </c>
      <c r="E1" s="26" t="inlineStr">
        <is>
          <t>Phone</t>
        </is>
      </c>
      <c r="F1" s="26" t="inlineStr">
        <is>
          <t>Email</t>
        </is>
      </c>
      <c r="G1" s="26" t="inlineStr">
        <is>
          <t>CityStateZip</t>
        </is>
      </c>
      <c r="H1" s="26" t="inlineStr">
        <is>
          <t>Insurance</t>
        </is>
      </c>
      <c r="I1" s="26" t="inlineStr">
        <is>
          <t>MRN</t>
        </is>
      </c>
      <c r="J1" s="26" t="inlineStr">
        <is>
          <t>RegisteredOn</t>
        </is>
      </c>
      <c r="K1" s="27" t="inlineStr">
        <is>
          <t>NameClean</t>
        </is>
      </c>
      <c r="L1" s="27" t="inlineStr">
        <is>
          <t>DOBClean</t>
        </is>
      </c>
      <c r="M1" s="27" t="inlineStr">
        <is>
          <t>SexClean</t>
        </is>
      </c>
      <c r="N1" s="27" t="inlineStr">
        <is>
          <t>PhoneClean</t>
        </is>
      </c>
      <c r="O1" s="27" t="inlineStr">
        <is>
          <t>ZIP5</t>
        </is>
      </c>
      <c r="P1" s="27" t="inlineStr">
        <is>
          <t>PayerID</t>
        </is>
      </c>
      <c r="Q1" s="27" t="inlineStr">
        <is>
          <t>MRNClean</t>
        </is>
      </c>
      <c r="R1" s="27" t="inlineStr">
        <is>
          <t>RegisteredClean</t>
        </is>
      </c>
      <c r="S1" s="27" t="inlineStr">
        <is>
          <t>Keep</t>
        </is>
      </c>
    </row>
    <row r="2">
      <c r="A2" t="inlineStr">
        <is>
          <t>R1001</t>
        </is>
      </c>
      <c r="B2" t="inlineStr">
        <is>
          <t>Haddad, Jonathan</t>
        </is>
      </c>
      <c r="C2" t="inlineStr">
        <is>
          <t>2002-03-31</t>
        </is>
      </c>
      <c r="D2" t="inlineStr">
        <is>
          <t>M</t>
        </is>
      </c>
      <c r="E2" t="inlineStr">
        <is>
          <t>555.468.7891</t>
        </is>
      </c>
      <c r="F2" t="inlineStr">
        <is>
          <t>jonathan.haddad30@example.com</t>
        </is>
      </c>
      <c r="G2" t="inlineStr">
        <is>
          <t>Bluestone OH 45501</t>
        </is>
      </c>
      <c r="H2" t="inlineStr">
        <is>
          <t>Medicaid</t>
        </is>
      </c>
      <c r="I2" t="inlineStr">
        <is>
          <t>04979796</t>
        </is>
      </c>
      <c r="J2" t="inlineStr">
        <is>
          <t>2015-11-06 18:33:00</t>
        </is>
      </c>
      <c r="K2" s="28" t="n"/>
      <c r="L2" s="29" t="n"/>
      <c r="M2" s="28" t="n"/>
      <c r="N2" s="28" t="n"/>
      <c r="O2" s="28" t="n"/>
      <c r="P2" s="28" t="n"/>
      <c r="Q2" s="28" t="n"/>
      <c r="R2" s="30" t="n"/>
      <c r="S2" s="28" t="n"/>
    </row>
    <row r="3">
      <c r="A3" t="inlineStr">
        <is>
          <t>R1002</t>
        </is>
      </c>
      <c r="B3" t="inlineStr">
        <is>
          <t>Powell, Wei</t>
        </is>
      </c>
      <c r="C3" t="inlineStr">
        <is>
          <t>03-Apr-1957</t>
        </is>
      </c>
      <c r="D3" t="inlineStr">
        <is>
          <t>M</t>
        </is>
      </c>
      <c r="E3" t="inlineStr">
        <is>
          <t>(555) 476-7432</t>
        </is>
      </c>
      <c r="G3" t="inlineStr">
        <is>
          <t>CEDAR RIDGE, OH 45720</t>
        </is>
      </c>
      <c r="H3" t="inlineStr">
        <is>
          <t xml:space="preserve">Medicare </t>
        </is>
      </c>
      <c r="I3" t="inlineStr">
        <is>
          <t>01261473</t>
        </is>
      </c>
      <c r="J3" t="inlineStr">
        <is>
          <t>2023-05-03 16:02:00</t>
        </is>
      </c>
      <c r="K3" s="28" t="n"/>
      <c r="L3" s="29" t="n"/>
      <c r="M3" s="28" t="n"/>
      <c r="N3" s="28" t="n"/>
      <c r="O3" s="28" t="n"/>
      <c r="P3" s="28" t="n"/>
      <c r="Q3" s="28" t="n"/>
      <c r="R3" s="30" t="n"/>
      <c r="S3" s="28" t="n"/>
    </row>
    <row r="4">
      <c r="A4" t="inlineStr">
        <is>
          <t>R1003</t>
        </is>
      </c>
      <c r="B4" t="inlineStr">
        <is>
          <t>Campbell, Virginia</t>
        </is>
      </c>
      <c r="C4" t="inlineStr">
        <is>
          <t>08/06/1989</t>
        </is>
      </c>
      <c r="D4" t="inlineStr">
        <is>
          <t>Female</t>
        </is>
      </c>
      <c r="E4" t="inlineStr">
        <is>
          <t>(555) 455-0735</t>
        </is>
      </c>
      <c r="F4" t="inlineStr">
        <is>
          <t>virginia.campbell86@example.com</t>
        </is>
      </c>
      <c r="G4" t="inlineStr">
        <is>
          <t>Riverbend, OH 45545</t>
        </is>
      </c>
      <c r="H4" t="inlineStr">
        <is>
          <t>Summit Choice</t>
        </is>
      </c>
      <c r="I4" t="inlineStr">
        <is>
          <t>09849286</t>
        </is>
      </c>
      <c r="J4" t="inlineStr">
        <is>
          <t>2008-02-22 14:10:00</t>
        </is>
      </c>
      <c r="K4" s="28" t="n"/>
      <c r="L4" s="29" t="n"/>
      <c r="M4" s="28" t="n"/>
      <c r="N4" s="28" t="n"/>
      <c r="O4" s="28" t="n"/>
      <c r="P4" s="28" t="n"/>
      <c r="Q4" s="28" t="n"/>
      <c r="R4" s="30" t="n"/>
      <c r="S4" s="28" t="n"/>
    </row>
    <row r="5">
      <c r="A5" t="inlineStr">
        <is>
          <t>R1004</t>
        </is>
      </c>
      <c r="B5" t="inlineStr">
        <is>
          <t>MURRAY, MARGARET</t>
        </is>
      </c>
      <c r="C5" t="inlineStr">
        <is>
          <t>28-Dec-1993</t>
        </is>
      </c>
      <c r="D5" t="inlineStr">
        <is>
          <t>F</t>
        </is>
      </c>
      <c r="E5" t="inlineStr">
        <is>
          <t>(555) 841-8432</t>
        </is>
      </c>
      <c r="G5" t="inlineStr">
        <is>
          <t>Bluestone, OH 45501</t>
        </is>
      </c>
      <c r="H5" t="inlineStr">
        <is>
          <t>evergreen mutual insurance</t>
        </is>
      </c>
      <c r="I5" t="inlineStr">
        <is>
          <t>MRN-05927600</t>
        </is>
      </c>
      <c r="J5" t="inlineStr">
        <is>
          <t>05/30/2022 05:42 PM</t>
        </is>
      </c>
      <c r="K5" s="28" t="n"/>
      <c r="L5" s="29" t="n"/>
      <c r="M5" s="28" t="n"/>
      <c r="N5" s="28" t="n"/>
      <c r="O5" s="28" t="n"/>
      <c r="P5" s="28" t="n"/>
      <c r="Q5" s="28" t="n"/>
      <c r="R5" s="30" t="n"/>
      <c r="S5" s="28" t="n"/>
    </row>
    <row r="6">
      <c r="A6" t="inlineStr">
        <is>
          <t>R1005</t>
        </is>
      </c>
      <c r="B6" t="inlineStr">
        <is>
          <t>ELLIS, JOSEPH</t>
        </is>
      </c>
      <c r="C6" t="inlineStr">
        <is>
          <t>1960-07-05</t>
        </is>
      </c>
      <c r="D6" t="inlineStr">
        <is>
          <t>M</t>
        </is>
      </c>
      <c r="E6" t="inlineStr">
        <is>
          <t>(555) 914-3619</t>
        </is>
      </c>
      <c r="G6" t="inlineStr">
        <is>
          <t>LAKEVIEW HEIGHTS, OH 45510</t>
        </is>
      </c>
      <c r="H6" t="inlineStr">
        <is>
          <t>Medicare</t>
        </is>
      </c>
      <c r="I6" t="inlineStr">
        <is>
          <t>07075701</t>
        </is>
      </c>
      <c r="J6" t="inlineStr">
        <is>
          <t>01/16/2024 06:58 PM</t>
        </is>
      </c>
      <c r="K6" s="28" t="n"/>
      <c r="L6" s="29" t="n"/>
      <c r="M6" s="28" t="n"/>
      <c r="N6" s="28" t="n"/>
      <c r="O6" s="28" t="n"/>
      <c r="P6" s="28" t="n"/>
      <c r="Q6" s="28" t="n"/>
      <c r="R6" s="30" t="n"/>
      <c r="S6" s="28" t="n"/>
    </row>
    <row r="7">
      <c r="A7" t="inlineStr">
        <is>
          <t>R1006</t>
        </is>
      </c>
      <c r="B7" t="inlineStr">
        <is>
          <t>BOYD, DOUGLAS</t>
        </is>
      </c>
      <c r="C7" t="inlineStr">
        <is>
          <t>02/18/1928</t>
        </is>
      </c>
      <c r="D7" t="inlineStr">
        <is>
          <t>Male</t>
        </is>
      </c>
      <c r="E7" t="inlineStr">
        <is>
          <t>555-722-8468</t>
        </is>
      </c>
      <c r="G7" t="inlineStr">
        <is>
          <t>Granite Springs OH 45750</t>
        </is>
      </c>
      <c r="H7" t="inlineStr">
        <is>
          <t>Silverline Medicare Advantage</t>
        </is>
      </c>
      <c r="I7" t="inlineStr">
        <is>
          <t>09093811</t>
        </is>
      </c>
      <c r="J7" t="inlineStr">
        <is>
          <t>01/05/2025 04:03 PM</t>
        </is>
      </c>
      <c r="K7" s="28" t="n"/>
      <c r="L7" s="29" t="n"/>
      <c r="M7" s="28" t="n"/>
      <c r="N7" s="28" t="n"/>
      <c r="O7" s="28" t="n"/>
      <c r="P7" s="28" t="n"/>
      <c r="Q7" s="28" t="n"/>
      <c r="R7" s="30" t="n"/>
      <c r="S7" s="28" t="n"/>
    </row>
    <row r="8">
      <c r="A8" t="inlineStr">
        <is>
          <t>R1007</t>
        </is>
      </c>
      <c r="B8" t="inlineStr">
        <is>
          <t>perry, janet</t>
        </is>
      </c>
      <c r="C8" t="inlineStr">
        <is>
          <t>05/18/1950</t>
        </is>
      </c>
      <c r="D8" t="inlineStr">
        <is>
          <t>F</t>
        </is>
      </c>
      <c r="E8" t="inlineStr">
        <is>
          <t>555-261-7228</t>
        </is>
      </c>
      <c r="F8" t="inlineStr">
        <is>
          <t>none</t>
        </is>
      </c>
      <c r="G8" t="inlineStr">
        <is>
          <t>Granite Springs, OH 45750</t>
        </is>
      </c>
      <c r="H8" t="inlineStr">
        <is>
          <t>Silverline Medicare Advantage</t>
        </is>
      </c>
      <c r="I8" t="inlineStr">
        <is>
          <t>05265401</t>
        </is>
      </c>
      <c r="J8" t="inlineStr">
        <is>
          <t>09/21/2022 07:12 AM</t>
        </is>
      </c>
      <c r="K8" s="28" t="n"/>
      <c r="L8" s="29" t="n"/>
      <c r="M8" s="28" t="n"/>
      <c r="N8" s="28" t="n"/>
      <c r="O8" s="28" t="n"/>
      <c r="P8" s="28" t="n"/>
      <c r="Q8" s="28" t="n"/>
      <c r="R8" s="30" t="n"/>
      <c r="S8" s="28" t="n"/>
    </row>
    <row r="9">
      <c r="A9" t="inlineStr">
        <is>
          <t>R1008</t>
        </is>
      </c>
      <c r="B9" t="inlineStr">
        <is>
          <t>Hunter, Austin</t>
        </is>
      </c>
      <c r="C9" t="inlineStr">
        <is>
          <t>09/16/1957</t>
        </is>
      </c>
      <c r="D9" t="inlineStr">
        <is>
          <t>MALE</t>
        </is>
      </c>
      <c r="E9" t="inlineStr">
        <is>
          <t>(555) 570-6678</t>
        </is>
      </c>
      <c r="F9" t="inlineStr">
        <is>
          <t>austin.hunter80@example.com</t>
        </is>
      </c>
      <c r="G9" t="inlineStr">
        <is>
          <t>BLUESTONE, OH 45502</t>
        </is>
      </c>
      <c r="H9" t="inlineStr">
        <is>
          <t>SILVERLINE MEDICARE ADV.</t>
        </is>
      </c>
      <c r="I9" t="inlineStr">
        <is>
          <t>04897542</t>
        </is>
      </c>
      <c r="J9" t="inlineStr">
        <is>
          <t>2018-03-02 10:39:00</t>
        </is>
      </c>
      <c r="K9" s="28" t="n"/>
      <c r="L9" s="29" t="n"/>
      <c r="M9" s="28" t="n"/>
      <c r="N9" s="28" t="n"/>
      <c r="O9" s="28" t="n"/>
      <c r="P9" s="28" t="n"/>
      <c r="Q9" s="28" t="n"/>
      <c r="R9" s="30" t="n"/>
      <c r="S9" s="28" t="n"/>
    </row>
    <row r="10">
      <c r="A10" t="inlineStr">
        <is>
          <t>R1009</t>
        </is>
      </c>
      <c r="B10" t="inlineStr">
        <is>
          <t xml:space="preserve">  Alexander ,  Gary </t>
        </is>
      </c>
      <c r="C10" t="inlineStr">
        <is>
          <t>11/25/1948</t>
        </is>
      </c>
      <c r="D10" t="inlineStr">
        <is>
          <t>MALE</t>
        </is>
      </c>
      <c r="E10" t="inlineStr">
        <is>
          <t>555-509-5785</t>
        </is>
      </c>
      <c r="G10" t="inlineStr">
        <is>
          <t>Bluestone, OH 45501</t>
        </is>
      </c>
      <c r="H10" t="inlineStr">
        <is>
          <t xml:space="preserve">Silverline Medicare Advantage </t>
        </is>
      </c>
      <c r="I10" t="inlineStr">
        <is>
          <t>05801986</t>
        </is>
      </c>
      <c r="J10" t="inlineStr">
        <is>
          <t>05/18/2013 12:46 PM</t>
        </is>
      </c>
      <c r="K10" s="28" t="n"/>
      <c r="L10" s="29" t="n"/>
      <c r="M10" s="28" t="n"/>
      <c r="N10" s="28" t="n"/>
      <c r="O10" s="28" t="n"/>
      <c r="P10" s="28" t="n"/>
      <c r="Q10" s="28" t="n"/>
      <c r="R10" s="30" t="n"/>
      <c r="S10" s="28" t="n"/>
    </row>
    <row r="11">
      <c r="A11" t="inlineStr">
        <is>
          <t>R1010</t>
        </is>
      </c>
      <c r="B11" t="inlineStr">
        <is>
          <t xml:space="preserve">  Watson ,  Amy </t>
        </is>
      </c>
      <c r="C11" t="inlineStr">
        <is>
          <t>12/25/1980</t>
        </is>
      </c>
      <c r="D11" t="inlineStr">
        <is>
          <t xml:space="preserve"> F</t>
        </is>
      </c>
      <c r="E11" t="inlineStr">
        <is>
          <t>(555) 815-2249</t>
        </is>
      </c>
      <c r="G11" t="inlineStr">
        <is>
          <t>Bluestone, OH 45501-8106</t>
        </is>
      </c>
      <c r="H11" t="inlineStr">
        <is>
          <t>STATE MEDICAID</t>
        </is>
      </c>
      <c r="I11" t="inlineStr">
        <is>
          <t>1955231</t>
        </is>
      </c>
      <c r="J11" t="inlineStr">
        <is>
          <t>08/04/2018 10:40 AM</t>
        </is>
      </c>
      <c r="K11" s="28" t="n"/>
      <c r="L11" s="29" t="n"/>
      <c r="M11" s="28" t="n"/>
      <c r="N11" s="28" t="n"/>
      <c r="O11" s="28" t="n"/>
      <c r="P11" s="28" t="n"/>
      <c r="Q11" s="28" t="n"/>
      <c r="R11" s="30" t="n"/>
      <c r="S11" s="28" t="n"/>
    </row>
    <row r="12">
      <c r="A12" t="inlineStr">
        <is>
          <t>R1011</t>
        </is>
      </c>
      <c r="B12" t="inlineStr">
        <is>
          <t xml:space="preserve">  Ferguson ,  Carolyn </t>
        </is>
      </c>
      <c r="C12" t="inlineStr">
        <is>
          <t>14-Jan-2019</t>
        </is>
      </c>
      <c r="D12" t="inlineStr">
        <is>
          <t xml:space="preserve"> F</t>
        </is>
      </c>
      <c r="F12" t="inlineStr">
        <is>
          <t>N/A</t>
        </is>
      </c>
      <c r="G12" t="inlineStr">
        <is>
          <t>Oak Glen OH 45730</t>
        </is>
      </c>
      <c r="H12" t="inlineStr">
        <is>
          <t>KEYSTONE HEALTH PARTNERS</t>
        </is>
      </c>
      <c r="I12" t="inlineStr">
        <is>
          <t>MRN-06388981</t>
        </is>
      </c>
      <c r="J12" t="inlineStr">
        <is>
          <t>11/03/2020 05:27 PM</t>
        </is>
      </c>
      <c r="K12" s="28" t="n"/>
      <c r="L12" s="29" t="n"/>
      <c r="M12" s="28" t="n"/>
      <c r="N12" s="28" t="n"/>
      <c r="O12" s="28" t="n"/>
      <c r="P12" s="28" t="n"/>
      <c r="Q12" s="28" t="n"/>
      <c r="R12" s="30" t="n"/>
      <c r="S12" s="28" t="n"/>
    </row>
    <row r="13">
      <c r="A13" t="inlineStr">
        <is>
          <t>R1012</t>
        </is>
      </c>
      <c r="B13" t="inlineStr">
        <is>
          <t>Gomez, Walter</t>
        </is>
      </c>
      <c r="C13" t="inlineStr">
        <is>
          <t>12/16/1958</t>
        </is>
      </c>
      <c r="D13" t="inlineStr">
        <is>
          <t xml:space="preserve">M </t>
        </is>
      </c>
      <c r="E13" t="inlineStr">
        <is>
          <t>(555) 402-9498</t>
        </is>
      </c>
      <c r="F13" t="inlineStr">
        <is>
          <t>none</t>
        </is>
      </c>
      <c r="G13" t="inlineStr">
        <is>
          <t>ASHBY FALLS, OH 45610</t>
        </is>
      </c>
      <c r="H13" t="inlineStr">
        <is>
          <t>Silverline MA</t>
        </is>
      </c>
      <c r="I13" t="inlineStr">
        <is>
          <t>07279550</t>
        </is>
      </c>
      <c r="J13" t="inlineStr">
        <is>
          <t>2015-10-23 18:30:00</t>
        </is>
      </c>
      <c r="K13" s="28" t="n"/>
      <c r="L13" s="29" t="n"/>
      <c r="M13" s="28" t="n"/>
      <c r="N13" s="28" t="n"/>
      <c r="O13" s="28" t="n"/>
      <c r="P13" s="28" t="n"/>
      <c r="Q13" s="28" t="n"/>
      <c r="R13" s="30" t="n"/>
      <c r="S13" s="28" t="n"/>
    </row>
    <row r="14">
      <c r="A14" t="inlineStr">
        <is>
          <t>R1013</t>
        </is>
      </c>
      <c r="B14" t="inlineStr">
        <is>
          <t>Diaz, Angela</t>
        </is>
      </c>
      <c r="C14" t="inlineStr">
        <is>
          <t>05/25/1951</t>
        </is>
      </c>
      <c r="D14" t="inlineStr">
        <is>
          <t>FEMALE</t>
        </is>
      </c>
      <c r="E14" t="inlineStr">
        <is>
          <t>555-751-0512</t>
        </is>
      </c>
      <c r="F14" t="inlineStr">
        <is>
          <t>angela.diaz23@example.com</t>
        </is>
      </c>
      <c r="G14" t="inlineStr">
        <is>
          <t>Millbrook, OH 45530</t>
        </is>
      </c>
      <c r="H14" t="inlineStr">
        <is>
          <t>SILVERLINE MEDICARE ADV.</t>
        </is>
      </c>
      <c r="I14" t="inlineStr">
        <is>
          <t>01452965</t>
        </is>
      </c>
      <c r="J14" t="inlineStr">
        <is>
          <t>2019-03-19 09:47:00</t>
        </is>
      </c>
      <c r="K14" s="28" t="n"/>
      <c r="L14" s="29" t="n"/>
      <c r="M14" s="28" t="n"/>
      <c r="N14" s="28" t="n"/>
      <c r="O14" s="28" t="n"/>
      <c r="P14" s="28" t="n"/>
      <c r="Q14" s="28" t="n"/>
      <c r="R14" s="30" t="n"/>
      <c r="S14" s="28" t="n"/>
    </row>
    <row r="15">
      <c r="A15" t="inlineStr">
        <is>
          <t>R1014</t>
        </is>
      </c>
      <c r="B15" t="inlineStr">
        <is>
          <t>O'Brien, Virginia</t>
        </is>
      </c>
      <c r="C15" t="inlineStr">
        <is>
          <t>1940-10-20</t>
        </is>
      </c>
      <c r="D15" t="inlineStr">
        <is>
          <t>f</t>
        </is>
      </c>
      <c r="E15" t="inlineStr">
        <is>
          <t>(555) 972-5277</t>
        </is>
      </c>
      <c r="F15" t="inlineStr">
        <is>
          <t>virginia.obrien12@example.com</t>
        </is>
      </c>
      <c r="G15" t="inlineStr">
        <is>
          <t>Bluestone, OH 45501-2106</t>
        </is>
      </c>
      <c r="H15" t="inlineStr">
        <is>
          <t>Medicare</t>
        </is>
      </c>
      <c r="I15" t="inlineStr">
        <is>
          <t>02003462</t>
        </is>
      </c>
      <c r="J15" t="inlineStr">
        <is>
          <t>2023-02-28 11:19:00</t>
        </is>
      </c>
      <c r="K15" s="28" t="n"/>
      <c r="L15" s="29" t="n"/>
      <c r="M15" s="28" t="n"/>
      <c r="N15" s="28" t="n"/>
      <c r="O15" s="28" t="n"/>
      <c r="P15" s="28" t="n"/>
      <c r="Q15" s="28" t="n"/>
      <c r="R15" s="30" t="n"/>
      <c r="S15" s="28" t="n"/>
    </row>
    <row r="16">
      <c r="A16" t="inlineStr">
        <is>
          <t>R1015</t>
        </is>
      </c>
      <c r="B16" t="inlineStr">
        <is>
          <t>Stone, Frank</t>
        </is>
      </c>
      <c r="C16" t="inlineStr">
        <is>
          <t>11/10/1960</t>
        </is>
      </c>
      <c r="D16" t="inlineStr">
        <is>
          <t>M</t>
        </is>
      </c>
      <c r="E16" t="inlineStr">
        <is>
          <t>(555) 392-9849</t>
        </is>
      </c>
      <c r="F16" t="inlineStr">
        <is>
          <t>frank.stone92@example.com</t>
        </is>
      </c>
      <c r="G16" t="inlineStr">
        <is>
          <t>Fairhaven, OH 45620</t>
        </is>
      </c>
      <c r="H16" t="inlineStr">
        <is>
          <t>Medicare Part A</t>
        </is>
      </c>
      <c r="I16" t="inlineStr">
        <is>
          <t>488484</t>
        </is>
      </c>
      <c r="J16" t="inlineStr">
        <is>
          <t>2019-08-28 16:52:00</t>
        </is>
      </c>
      <c r="K16" s="28" t="n"/>
      <c r="L16" s="29" t="n"/>
      <c r="M16" s="28" t="n"/>
      <c r="N16" s="28" t="n"/>
      <c r="O16" s="28" t="n"/>
      <c r="P16" s="28" t="n"/>
      <c r="Q16" s="28" t="n"/>
      <c r="R16" s="30" t="n"/>
      <c r="S16" s="28" t="n"/>
    </row>
    <row r="17">
      <c r="A17" t="inlineStr">
        <is>
          <t>R1016</t>
        </is>
      </c>
      <c r="B17" t="inlineStr">
        <is>
          <t>Ryan, Theresa</t>
        </is>
      </c>
      <c r="C17" t="inlineStr">
        <is>
          <t>06/15/1967</t>
        </is>
      </c>
      <c r="D17" t="inlineStr">
        <is>
          <t>F</t>
        </is>
      </c>
      <c r="F17" t="inlineStr">
        <is>
          <t>THERESA.RYAN88@EXAMPLE.COM</t>
        </is>
      </c>
      <c r="G17" t="inlineStr">
        <is>
          <t>ASHBY FALLS, OH 45610</t>
        </is>
      </c>
      <c r="H17" t="inlineStr">
        <is>
          <t>KEYSTONE HEALTH PARTNERS</t>
        </is>
      </c>
      <c r="I17" t="inlineStr">
        <is>
          <t>5293385</t>
        </is>
      </c>
      <c r="J17" t="inlineStr">
        <is>
          <t>2017-09-20 09:54:00</t>
        </is>
      </c>
      <c r="K17" s="28" t="n"/>
      <c r="L17" s="29" t="n"/>
      <c r="M17" s="28" t="n"/>
      <c r="N17" s="28" t="n"/>
      <c r="O17" s="28" t="n"/>
      <c r="P17" s="28" t="n"/>
      <c r="Q17" s="28" t="n"/>
      <c r="R17" s="30" t="n"/>
      <c r="S17" s="28" t="n"/>
    </row>
    <row r="18">
      <c r="A18" t="inlineStr">
        <is>
          <t>R1017</t>
        </is>
      </c>
      <c r="B18" t="inlineStr">
        <is>
          <t>Amber White</t>
        </is>
      </c>
      <c r="C18" t="inlineStr">
        <is>
          <t>1996-06-24</t>
        </is>
      </c>
      <c r="D18" t="inlineStr">
        <is>
          <t>FEMALE</t>
        </is>
      </c>
      <c r="E18" t="inlineStr">
        <is>
          <t>(555) 556-3833</t>
        </is>
      </c>
      <c r="F18" t="inlineStr">
        <is>
          <t>amber.white81@example.com</t>
        </is>
      </c>
      <c r="G18" t="inlineStr">
        <is>
          <t>Cedar Ridge OH 45720</t>
        </is>
      </c>
      <c r="H18" t="inlineStr">
        <is>
          <t>Medicaid</t>
        </is>
      </c>
      <c r="I18" t="inlineStr">
        <is>
          <t>03929231</t>
        </is>
      </c>
      <c r="J18" t="inlineStr">
        <is>
          <t>2024-07-10 16:38:00</t>
        </is>
      </c>
      <c r="K18" s="28" t="n"/>
      <c r="L18" s="29" t="n"/>
      <c r="M18" s="28" t="n"/>
      <c r="N18" s="28" t="n"/>
      <c r="O18" s="28" t="n"/>
      <c r="P18" s="28" t="n"/>
      <c r="Q18" s="28" t="n"/>
      <c r="R18" s="30" t="n"/>
      <c r="S18" s="28" t="n"/>
    </row>
    <row r="19">
      <c r="A19" t="inlineStr">
        <is>
          <t>R1018</t>
        </is>
      </c>
      <c r="B19" t="inlineStr">
        <is>
          <t>Janet Carter</t>
        </is>
      </c>
      <c r="C19" t="inlineStr">
        <is>
          <t>06/22/2023</t>
        </is>
      </c>
      <c r="D19" t="inlineStr">
        <is>
          <t>Female</t>
        </is>
      </c>
      <c r="E19" t="inlineStr">
        <is>
          <t>555-742-3815</t>
        </is>
      </c>
      <c r="F19" t="inlineStr">
        <is>
          <t>N/A</t>
        </is>
      </c>
      <c r="G19" t="inlineStr">
        <is>
          <t>ASHBY FALLS, OH 45610</t>
        </is>
      </c>
      <c r="H19" t="inlineStr">
        <is>
          <t>medicaid</t>
        </is>
      </c>
      <c r="I19" t="inlineStr">
        <is>
          <t>08514640</t>
        </is>
      </c>
      <c r="J19" t="inlineStr">
        <is>
          <t>06/09/2024 11:20 AM</t>
        </is>
      </c>
      <c r="K19" s="28" t="n"/>
      <c r="L19" s="29" t="n"/>
      <c r="M19" s="28" t="n"/>
      <c r="N19" s="28" t="n"/>
      <c r="O19" s="28" t="n"/>
      <c r="P19" s="28" t="n"/>
      <c r="Q19" s="28" t="n"/>
      <c r="R19" s="30" t="n"/>
      <c r="S19" s="28" t="n"/>
    </row>
    <row r="20">
      <c r="A20" t="inlineStr">
        <is>
          <t>R1019</t>
        </is>
      </c>
      <c r="B20" t="inlineStr">
        <is>
          <t>OSEI, ROY</t>
        </is>
      </c>
      <c r="C20" t="inlineStr">
        <is>
          <t>3/22/1961</t>
        </is>
      </c>
      <c r="D20" t="inlineStr">
        <is>
          <t xml:space="preserve">M </t>
        </is>
      </c>
      <c r="E20" t="inlineStr">
        <is>
          <t>+1 555 597 3811</t>
        </is>
      </c>
      <c r="F20" t="inlineStr">
        <is>
          <t>roy.osei61@example.com</t>
        </is>
      </c>
      <c r="G20" t="inlineStr">
        <is>
          <t>BLUESTONE, OH 45503</t>
        </is>
      </c>
      <c r="H20" t="inlineStr">
        <is>
          <t>EVERGREEN MUTUAL INS</t>
        </is>
      </c>
      <c r="I20" t="inlineStr">
        <is>
          <t>04811155</t>
        </is>
      </c>
      <c r="J20" t="inlineStr">
        <is>
          <t>2009-01-12 13:09:00</t>
        </is>
      </c>
      <c r="K20" s="28" t="n"/>
      <c r="L20" s="29" t="n"/>
      <c r="M20" s="28" t="n"/>
      <c r="N20" s="28" t="n"/>
      <c r="O20" s="28" t="n"/>
      <c r="P20" s="28" t="n"/>
      <c r="Q20" s="28" t="n"/>
      <c r="R20" s="30" t="n"/>
      <c r="S20" s="28" t="n"/>
    </row>
    <row r="21">
      <c r="A21" t="inlineStr">
        <is>
          <t>R1020</t>
        </is>
      </c>
      <c r="B21" t="inlineStr">
        <is>
          <t>jimenez, bobby</t>
        </is>
      </c>
      <c r="C21" t="inlineStr">
        <is>
          <t>1988-10-28</t>
        </is>
      </c>
      <c r="D21" t="inlineStr">
        <is>
          <t>M</t>
        </is>
      </c>
      <c r="E21" t="inlineStr">
        <is>
          <t>555.252.4718</t>
        </is>
      </c>
      <c r="G21" t="inlineStr">
        <is>
          <t>Millbrook, OH 45530-1433</t>
        </is>
      </c>
      <c r="H21" t="inlineStr">
        <is>
          <t>Summit Choice</t>
        </is>
      </c>
      <c r="I21" t="inlineStr">
        <is>
          <t>5841378</t>
        </is>
      </c>
      <c r="J21" t="inlineStr">
        <is>
          <t>08/07/2020 12:17 PM</t>
        </is>
      </c>
      <c r="K21" s="28" t="n"/>
      <c r="L21" s="29" t="n"/>
      <c r="M21" s="28" t="n"/>
      <c r="N21" s="28" t="n"/>
      <c r="O21" s="28" t="n"/>
      <c r="P21" s="28" t="n"/>
      <c r="Q21" s="28" t="n"/>
      <c r="R21" s="30" t="n"/>
      <c r="S21" s="28" t="n"/>
    </row>
    <row r="22">
      <c r="A22" t="inlineStr">
        <is>
          <t>R1021</t>
        </is>
      </c>
      <c r="B22" t="inlineStr">
        <is>
          <t>O'Brien, Madison</t>
        </is>
      </c>
      <c r="C22" t="inlineStr">
        <is>
          <t>2014-06-11</t>
        </is>
      </c>
      <c r="D22" t="inlineStr">
        <is>
          <t>Female</t>
        </is>
      </c>
      <c r="E22" t="inlineStr">
        <is>
          <t>(555) 285-4455</t>
        </is>
      </c>
      <c r="G22" t="inlineStr">
        <is>
          <t>Bluestone, OH 45502</t>
        </is>
      </c>
      <c r="H22" t="inlineStr">
        <is>
          <t>Medicaid</t>
        </is>
      </c>
      <c r="I22" t="inlineStr">
        <is>
          <t>8523812</t>
        </is>
      </c>
      <c r="J22" t="inlineStr">
        <is>
          <t>03/28/2023 09:50 AM</t>
        </is>
      </c>
      <c r="K22" s="28" t="n"/>
      <c r="L22" s="29" t="n"/>
      <c r="M22" s="28" t="n"/>
      <c r="N22" s="28" t="n"/>
      <c r="O22" s="28" t="n"/>
      <c r="P22" s="28" t="n"/>
      <c r="Q22" s="28" t="n"/>
      <c r="R22" s="30" t="n"/>
      <c r="S22" s="28" t="n"/>
    </row>
    <row r="23">
      <c r="A23" t="inlineStr">
        <is>
          <t>R1022</t>
        </is>
      </c>
      <c r="B23" t="inlineStr">
        <is>
          <t>Ray, Michael</t>
        </is>
      </c>
      <c r="C23" t="inlineStr">
        <is>
          <t>10-Oct-2011</t>
        </is>
      </c>
      <c r="D23" t="inlineStr">
        <is>
          <t xml:space="preserve">M </t>
        </is>
      </c>
      <c r="E23" t="inlineStr">
        <is>
          <t>(555) 856-4092</t>
        </is>
      </c>
      <c r="F23" t="inlineStr">
        <is>
          <t>none</t>
        </is>
      </c>
      <c r="G23" t="inlineStr">
        <is>
          <t>Cedar Ridge, OH 45720</t>
        </is>
      </c>
      <c r="H23" t="inlineStr">
        <is>
          <t>Medicaid</t>
        </is>
      </c>
      <c r="I23" t="inlineStr">
        <is>
          <t>09317927</t>
        </is>
      </c>
      <c r="J23" t="inlineStr">
        <is>
          <t>09/28/2015 08:50 AM</t>
        </is>
      </c>
      <c r="K23" s="28" t="n"/>
      <c r="L23" s="29" t="n"/>
      <c r="M23" s="28" t="n"/>
      <c r="N23" s="28" t="n"/>
      <c r="O23" s="28" t="n"/>
      <c r="P23" s="28" t="n"/>
      <c r="Q23" s="28" t="n"/>
      <c r="R23" s="30" t="n"/>
      <c r="S23" s="28" t="n"/>
    </row>
    <row r="24">
      <c r="A24" t="inlineStr">
        <is>
          <t>R1023</t>
        </is>
      </c>
      <c r="B24" t="inlineStr">
        <is>
          <t>Robinson, Angela</t>
        </is>
      </c>
      <c r="C24" t="inlineStr">
        <is>
          <t>12-Jan-2018</t>
        </is>
      </c>
      <c r="D24" t="inlineStr">
        <is>
          <t>F</t>
        </is>
      </c>
      <c r="E24" t="inlineStr">
        <is>
          <t>555-580-6711</t>
        </is>
      </c>
      <c r="F24" t="inlineStr">
        <is>
          <t>none</t>
        </is>
      </c>
      <c r="G24" t="inlineStr">
        <is>
          <t>Bluestone OH 45502</t>
        </is>
      </c>
      <c r="H24" t="inlineStr">
        <is>
          <t>STATE MEDICAID</t>
        </is>
      </c>
      <c r="I24" t="inlineStr">
        <is>
          <t>00757638</t>
        </is>
      </c>
      <c r="J24" t="inlineStr">
        <is>
          <t>2022-05-01 12:49:00</t>
        </is>
      </c>
      <c r="K24" s="28" t="n"/>
      <c r="L24" s="29" t="n"/>
      <c r="M24" s="28" t="n"/>
      <c r="N24" s="28" t="n"/>
      <c r="O24" s="28" t="n"/>
      <c r="P24" s="28" t="n"/>
      <c r="Q24" s="28" t="n"/>
      <c r="R24" s="30" t="n"/>
      <c r="S24" s="28" t="n"/>
    </row>
    <row r="25">
      <c r="A25" t="inlineStr">
        <is>
          <t>R1024</t>
        </is>
      </c>
      <c r="B25" t="inlineStr">
        <is>
          <t>Vargas, Betty</t>
        </is>
      </c>
      <c r="C25" t="inlineStr">
        <is>
          <t>03/24/1996</t>
        </is>
      </c>
      <c r="D25" t="inlineStr">
        <is>
          <t xml:space="preserve"> F</t>
        </is>
      </c>
      <c r="E25" t="inlineStr">
        <is>
          <t>5553869767</t>
        </is>
      </c>
      <c r="F25" t="inlineStr">
        <is>
          <t>none</t>
        </is>
      </c>
      <c r="G25" t="inlineStr">
        <is>
          <t>BLUESTONE, OH 45503</t>
        </is>
      </c>
      <c r="H25" t="inlineStr">
        <is>
          <t>STATE MEDICAID</t>
        </is>
      </c>
      <c r="I25" t="inlineStr">
        <is>
          <t>09463107</t>
        </is>
      </c>
      <c r="J25" t="inlineStr">
        <is>
          <t>2020-05-07 14:43:00</t>
        </is>
      </c>
      <c r="K25" s="28" t="n"/>
      <c r="L25" s="29" t="n"/>
      <c r="M25" s="28" t="n"/>
      <c r="N25" s="28" t="n"/>
      <c r="O25" s="28" t="n"/>
      <c r="P25" s="28" t="n"/>
      <c r="Q25" s="28" t="n"/>
      <c r="R25" s="30" t="n"/>
      <c r="S25" s="28" t="n"/>
    </row>
    <row r="26">
      <c r="A26" t="inlineStr">
        <is>
          <t>R1025</t>
        </is>
      </c>
      <c r="B26" t="inlineStr">
        <is>
          <t>Harris, Doris</t>
        </is>
      </c>
      <c r="C26" t="inlineStr">
        <is>
          <t>1976-12-28</t>
        </is>
      </c>
      <c r="D26" t="inlineStr">
        <is>
          <t>F</t>
        </is>
      </c>
      <c r="E26" t="inlineStr">
        <is>
          <t>555.521.8783</t>
        </is>
      </c>
      <c r="F26" t="inlineStr">
        <is>
          <t>doris.harris90@example.com</t>
        </is>
      </c>
      <c r="G26" t="inlineStr">
        <is>
          <t>Bluestone, OH 45503</t>
        </is>
      </c>
      <c r="H26" t="inlineStr">
        <is>
          <t>self-pay</t>
        </is>
      </c>
      <c r="I26" t="inlineStr">
        <is>
          <t>06545996</t>
        </is>
      </c>
      <c r="J26" t="inlineStr">
        <is>
          <t>07/02/2020 11:15 AM</t>
        </is>
      </c>
      <c r="K26" s="28" t="n"/>
      <c r="L26" s="29" t="n"/>
      <c r="M26" s="28" t="n"/>
      <c r="N26" s="28" t="n"/>
      <c r="O26" s="28" t="n"/>
      <c r="P26" s="28" t="n"/>
      <c r="Q26" s="28" t="n"/>
      <c r="R26" s="30" t="n"/>
      <c r="S26" s="28" t="n"/>
    </row>
    <row r="27">
      <c r="A27" t="inlineStr">
        <is>
          <t>R1026</t>
        </is>
      </c>
      <c r="B27" t="inlineStr">
        <is>
          <t>SPENCER, GERALD</t>
        </is>
      </c>
      <c r="C27" t="inlineStr">
        <is>
          <t>06/30/1981</t>
        </is>
      </c>
      <c r="D27" t="inlineStr">
        <is>
          <t>m</t>
        </is>
      </c>
      <c r="E27" t="inlineStr">
        <is>
          <t>(555) 805-6914</t>
        </is>
      </c>
      <c r="F27" t="inlineStr">
        <is>
          <t>gerald.spencer79@example.com</t>
        </is>
      </c>
      <c r="G27" t="inlineStr">
        <is>
          <t>Ashby Falls, OH 45610-7699</t>
        </is>
      </c>
      <c r="H27" t="inlineStr">
        <is>
          <t>KEYSTONE HEALTH PARTNERS</t>
        </is>
      </c>
      <c r="I27" t="inlineStr">
        <is>
          <t>02651075</t>
        </is>
      </c>
      <c r="J27" t="inlineStr">
        <is>
          <t>03/24/2009 04:56 PM</t>
        </is>
      </c>
      <c r="K27" s="28" t="n"/>
      <c r="L27" s="29" t="n"/>
      <c r="M27" s="28" t="n"/>
      <c r="N27" s="28" t="n"/>
      <c r="O27" s="28" t="n"/>
      <c r="P27" s="28" t="n"/>
      <c r="Q27" s="28" t="n"/>
      <c r="R27" s="30" t="n"/>
      <c r="S27" s="28" t="n"/>
    </row>
    <row r="28">
      <c r="A28" t="inlineStr">
        <is>
          <t>R1027</t>
        </is>
      </c>
      <c r="B28" t="inlineStr">
        <is>
          <t>Paul Simmons</t>
        </is>
      </c>
      <c r="C28" t="inlineStr">
        <is>
          <t>01/05/1984</t>
        </is>
      </c>
      <c r="D28" t="inlineStr">
        <is>
          <t>M</t>
        </is>
      </c>
      <c r="E28" t="inlineStr">
        <is>
          <t>(555) 611-9026</t>
        </is>
      </c>
      <c r="F28" t="inlineStr">
        <is>
          <t>PAUL.SIMMONS91@EXAMPLE.COM</t>
        </is>
      </c>
      <c r="G28" t="inlineStr">
        <is>
          <t>LAKEVIEW HEIGHTS, OH 45510</t>
        </is>
      </c>
      <c r="H28" t="inlineStr">
        <is>
          <t>Keystone Health Partners</t>
        </is>
      </c>
      <c r="I28" t="inlineStr">
        <is>
          <t>08817764</t>
        </is>
      </c>
      <c r="J28" t="inlineStr">
        <is>
          <t>01/16/2018 05:15 PM</t>
        </is>
      </c>
      <c r="K28" s="28" t="n"/>
      <c r="L28" s="29" t="n"/>
      <c r="M28" s="28" t="n"/>
      <c r="N28" s="28" t="n"/>
      <c r="O28" s="28" t="n"/>
      <c r="P28" s="28" t="n"/>
      <c r="Q28" s="28" t="n"/>
      <c r="R28" s="30" t="n"/>
      <c r="S28" s="28" t="n"/>
    </row>
    <row r="29">
      <c r="A29" t="inlineStr">
        <is>
          <t>R1028</t>
        </is>
      </c>
      <c r="B29" t="inlineStr">
        <is>
          <t>SOTO, DORIS</t>
        </is>
      </c>
      <c r="C29" t="inlineStr">
        <is>
          <t>05/07/1975</t>
        </is>
      </c>
      <c r="D29" t="inlineStr">
        <is>
          <t>f</t>
        </is>
      </c>
      <c r="E29" t="inlineStr">
        <is>
          <t>555-686-8252</t>
        </is>
      </c>
      <c r="F29" t="inlineStr">
        <is>
          <t>doris.soto85@example.com</t>
        </is>
      </c>
      <c r="G29" t="inlineStr">
        <is>
          <t>Ashby Falls, OH 45610</t>
        </is>
      </c>
      <c r="H29" t="inlineStr">
        <is>
          <t>EVERGREEN MUTUAL INS</t>
        </is>
      </c>
      <c r="I29" t="inlineStr">
        <is>
          <t>03295027</t>
        </is>
      </c>
      <c r="J29" t="inlineStr">
        <is>
          <t>2024-01-22 07:05:00</t>
        </is>
      </c>
      <c r="K29" s="28" t="n"/>
      <c r="L29" s="29" t="n"/>
      <c r="M29" s="28" t="n"/>
      <c r="N29" s="28" t="n"/>
      <c r="O29" s="28" t="n"/>
      <c r="P29" s="28" t="n"/>
      <c r="Q29" s="28" t="n"/>
      <c r="R29" s="30" t="n"/>
      <c r="S29" s="28" t="n"/>
    </row>
    <row r="30">
      <c r="A30" t="inlineStr">
        <is>
          <t>R1029</t>
        </is>
      </c>
      <c r="B30" t="inlineStr">
        <is>
          <t>Wei Burns</t>
        </is>
      </c>
      <c r="C30" t="inlineStr">
        <is>
          <t>01.11.2003</t>
        </is>
      </c>
      <c r="D30" t="inlineStr">
        <is>
          <t>M</t>
        </is>
      </c>
      <c r="E30" t="inlineStr">
        <is>
          <t>(555) 817-3440</t>
        </is>
      </c>
      <c r="F30" t="inlineStr">
        <is>
          <t>wei.burns45@example.com</t>
        </is>
      </c>
      <c r="G30" t="inlineStr">
        <is>
          <t>Granite Springs, OH 45750</t>
        </is>
      </c>
      <c r="H30" t="inlineStr">
        <is>
          <t>Keystone Health Partners</t>
        </is>
      </c>
      <c r="I30" t="inlineStr">
        <is>
          <t>07405722</t>
        </is>
      </c>
      <c r="J30" t="inlineStr">
        <is>
          <t>10/02/2012 01:48 PM</t>
        </is>
      </c>
      <c r="K30" s="28" t="n"/>
      <c r="L30" s="29" t="n"/>
      <c r="M30" s="28" t="n"/>
      <c r="N30" s="28" t="n"/>
      <c r="O30" s="28" t="n"/>
      <c r="P30" s="28" t="n"/>
      <c r="Q30" s="28" t="n"/>
      <c r="R30" s="30" t="n"/>
      <c r="S30" s="28" t="n"/>
    </row>
    <row r="31">
      <c r="A31" t="inlineStr">
        <is>
          <t>R1030</t>
        </is>
      </c>
      <c r="B31" t="inlineStr">
        <is>
          <t>SANTOS, CARLOS</t>
        </is>
      </c>
      <c r="C31" t="inlineStr">
        <is>
          <t>22-Dec-1952</t>
        </is>
      </c>
      <c r="D31" t="inlineStr">
        <is>
          <t>M</t>
        </is>
      </c>
      <c r="E31" t="inlineStr">
        <is>
          <t>5552389242</t>
        </is>
      </c>
      <c r="F31" t="inlineStr">
        <is>
          <t xml:space="preserve"> carlos.santos91@example.com </t>
        </is>
      </c>
      <c r="G31" t="inlineStr">
        <is>
          <t>Bluestone, OH 45502</t>
        </is>
      </c>
      <c r="H31" t="inlineStr">
        <is>
          <t>Silverline Medicare Advantage</t>
        </is>
      </c>
      <c r="I31" t="inlineStr">
        <is>
          <t>01786386</t>
        </is>
      </c>
      <c r="J31" t="inlineStr">
        <is>
          <t>2021-10-28 10:01:00</t>
        </is>
      </c>
      <c r="K31" s="28" t="n"/>
      <c r="L31" s="29" t="n"/>
      <c r="M31" s="28" t="n"/>
      <c r="N31" s="28" t="n"/>
      <c r="O31" s="28" t="n"/>
      <c r="P31" s="28" t="n"/>
      <c r="Q31" s="28" t="n"/>
      <c r="R31" s="30" t="n"/>
      <c r="S31" s="28" t="n"/>
    </row>
    <row r="32">
      <c r="A32" t="inlineStr">
        <is>
          <t>R1031</t>
        </is>
      </c>
      <c r="B32" t="inlineStr">
        <is>
          <t xml:space="preserve">  Ellis ,  Jean </t>
        </is>
      </c>
      <c r="C32" t="inlineStr">
        <is>
          <t>1970-09-14</t>
        </is>
      </c>
      <c r="D32" t="inlineStr">
        <is>
          <t>F</t>
        </is>
      </c>
      <c r="E32" t="inlineStr">
        <is>
          <t>(555) 401-2840</t>
        </is>
      </c>
      <c r="G32" t="inlineStr">
        <is>
          <t>Bluestone, OH 45502</t>
        </is>
      </c>
      <c r="H32" t="inlineStr">
        <is>
          <t>Summit PPO</t>
        </is>
      </c>
      <c r="I32" t="inlineStr">
        <is>
          <t>04736523</t>
        </is>
      </c>
      <c r="J32" t="inlineStr">
        <is>
          <t>2017-10-03 17:58:00</t>
        </is>
      </c>
      <c r="K32" s="28" t="n"/>
      <c r="L32" s="29" t="n"/>
      <c r="M32" s="28" t="n"/>
      <c r="N32" s="28" t="n"/>
      <c r="O32" s="28" t="n"/>
      <c r="P32" s="28" t="n"/>
      <c r="Q32" s="28" t="n"/>
      <c r="R32" s="30" t="n"/>
      <c r="S32" s="28" t="n"/>
    </row>
    <row r="33">
      <c r="A33" t="inlineStr">
        <is>
          <t>R1032</t>
        </is>
      </c>
      <c r="B33" t="inlineStr">
        <is>
          <t>Freeman, Matthew</t>
        </is>
      </c>
      <c r="C33" t="inlineStr">
        <is>
          <t>11.06.1975</t>
        </is>
      </c>
      <c r="D33" t="inlineStr">
        <is>
          <t>MALE</t>
        </is>
      </c>
      <c r="E33" t="inlineStr">
        <is>
          <t>555-733-5390</t>
        </is>
      </c>
      <c r="G33" t="inlineStr">
        <is>
          <t>Ashby Falls, OH 45610</t>
        </is>
      </c>
      <c r="H33" t="inlineStr">
        <is>
          <t>Self Pay</t>
        </is>
      </c>
      <c r="I33" t="inlineStr">
        <is>
          <t>1143993</t>
        </is>
      </c>
      <c r="J33" t="inlineStr">
        <is>
          <t>2013-02-15 10:17:00</t>
        </is>
      </c>
      <c r="K33" s="28" t="n"/>
      <c r="L33" s="29" t="n"/>
      <c r="M33" s="28" t="n"/>
      <c r="N33" s="28" t="n"/>
      <c r="O33" s="28" t="n"/>
      <c r="P33" s="28" t="n"/>
      <c r="Q33" s="28" t="n"/>
      <c r="R33" s="30" t="n"/>
      <c r="S33" s="28" t="n"/>
    </row>
    <row r="34">
      <c r="A34" t="inlineStr">
        <is>
          <t>R1033</t>
        </is>
      </c>
      <c r="B34" t="inlineStr">
        <is>
          <t xml:space="preserve">  Baker ,  Ava </t>
        </is>
      </c>
      <c r="C34" t="inlineStr">
        <is>
          <t>06/12/2025</t>
        </is>
      </c>
      <c r="D34" t="inlineStr">
        <is>
          <t>Female</t>
        </is>
      </c>
      <c r="G34" t="inlineStr">
        <is>
          <t>Pine Hollow, OH 45640</t>
        </is>
      </c>
      <c r="H34" t="inlineStr">
        <is>
          <t>self-pay</t>
        </is>
      </c>
      <c r="I34" t="inlineStr">
        <is>
          <t>09501885</t>
        </is>
      </c>
      <c r="J34" t="inlineStr">
        <is>
          <t>03/15/2024 03:24 PM</t>
        </is>
      </c>
      <c r="K34" s="28" t="n"/>
      <c r="L34" s="29" t="n"/>
      <c r="M34" s="28" t="n"/>
      <c r="N34" s="28" t="n"/>
      <c r="O34" s="28" t="n"/>
      <c r="P34" s="28" t="n"/>
      <c r="Q34" s="28" t="n"/>
      <c r="R34" s="30" t="n"/>
      <c r="S34" s="28" t="n"/>
    </row>
    <row r="35">
      <c r="A35" t="inlineStr">
        <is>
          <t>R1034</t>
        </is>
      </c>
      <c r="B35" t="inlineStr">
        <is>
          <t>meyer, nancy</t>
        </is>
      </c>
      <c r="C35" t="inlineStr">
        <is>
          <t>1931-11-19</t>
        </is>
      </c>
      <c r="D35" t="inlineStr">
        <is>
          <t xml:space="preserve"> F</t>
        </is>
      </c>
      <c r="E35" t="inlineStr">
        <is>
          <t>555-971-3628</t>
        </is>
      </c>
      <c r="F35" t="inlineStr">
        <is>
          <t>nancy.meyer26@example.com</t>
        </is>
      </c>
      <c r="G35" t="inlineStr">
        <is>
          <t>Bluestone, OH 45503</t>
        </is>
      </c>
      <c r="H35" t="inlineStr">
        <is>
          <t>Silverline MA</t>
        </is>
      </c>
      <c r="I35" t="inlineStr">
        <is>
          <t>06141853</t>
        </is>
      </c>
      <c r="J35" t="inlineStr">
        <is>
          <t>05/01/2017 03:37 PM</t>
        </is>
      </c>
      <c r="K35" s="28" t="n"/>
      <c r="L35" s="29" t="n"/>
      <c r="M35" s="28" t="n"/>
      <c r="N35" s="28" t="n"/>
      <c r="O35" s="28" t="n"/>
      <c r="P35" s="28" t="n"/>
      <c r="Q35" s="28" t="n"/>
      <c r="R35" s="30" t="n"/>
      <c r="S35" s="28" t="n"/>
    </row>
    <row r="36">
      <c r="A36" t="inlineStr">
        <is>
          <t>R1035</t>
        </is>
      </c>
      <c r="B36" t="inlineStr">
        <is>
          <t>GARZA, DONNA</t>
        </is>
      </c>
      <c r="C36" t="inlineStr">
        <is>
          <t>04/11/2020</t>
        </is>
      </c>
      <c r="D36" t="inlineStr">
        <is>
          <t>f</t>
        </is>
      </c>
      <c r="E36" t="inlineStr">
        <is>
          <t>(555) 233-5856</t>
        </is>
      </c>
      <c r="F36" t="inlineStr">
        <is>
          <t>none</t>
        </is>
      </c>
      <c r="G36" t="inlineStr">
        <is>
          <t>Cedar Ridge, OH 45720</t>
        </is>
      </c>
      <c r="H36" t="inlineStr">
        <is>
          <t>Summit Choice PPO</t>
        </is>
      </c>
      <c r="I36" t="inlineStr">
        <is>
          <t>07765833</t>
        </is>
      </c>
      <c r="J36" t="inlineStr">
        <is>
          <t>06/27/2023 09:25 AM</t>
        </is>
      </c>
      <c r="K36" s="28" t="n"/>
      <c r="L36" s="29" t="n"/>
      <c r="M36" s="28" t="n"/>
      <c r="N36" s="28" t="n"/>
      <c r="O36" s="28" t="n"/>
      <c r="P36" s="28" t="n"/>
      <c r="Q36" s="28" t="n"/>
      <c r="R36" s="30" t="n"/>
      <c r="S36" s="28" t="n"/>
    </row>
    <row r="37">
      <c r="A37" t="inlineStr">
        <is>
          <t>R1036</t>
        </is>
      </c>
      <c r="B37" t="inlineStr">
        <is>
          <t>Abdi, Gregory</t>
        </is>
      </c>
      <c r="C37" t="inlineStr">
        <is>
          <t>8/1/1945</t>
        </is>
      </c>
      <c r="D37" t="inlineStr">
        <is>
          <t>M</t>
        </is>
      </c>
      <c r="E37" t="inlineStr">
        <is>
          <t>555.221.2464</t>
        </is>
      </c>
      <c r="G37" t="inlineStr">
        <is>
          <t>Lakeview Heights, OH 45510</t>
        </is>
      </c>
      <c r="H37" t="inlineStr">
        <is>
          <t>MEDICARE</t>
        </is>
      </c>
      <c r="I37" t="inlineStr">
        <is>
          <t>08665573</t>
        </is>
      </c>
      <c r="J37" t="inlineStr">
        <is>
          <t>2019-12-05 15:17:00</t>
        </is>
      </c>
      <c r="K37" s="28" t="n"/>
      <c r="L37" s="29" t="n"/>
      <c r="M37" s="28" t="n"/>
      <c r="N37" s="28" t="n"/>
      <c r="O37" s="28" t="n"/>
      <c r="P37" s="28" t="n"/>
      <c r="Q37" s="28" t="n"/>
      <c r="R37" s="30" t="n"/>
      <c r="S37" s="28" t="n"/>
    </row>
    <row r="38">
      <c r="A38" t="inlineStr">
        <is>
          <t>R1037</t>
        </is>
      </c>
      <c r="B38" t="inlineStr">
        <is>
          <t>Cooper, Nancy</t>
        </is>
      </c>
      <c r="C38" t="inlineStr">
        <is>
          <t>12-Jun-1948</t>
        </is>
      </c>
      <c r="D38" t="inlineStr">
        <is>
          <t>Female</t>
        </is>
      </c>
      <c r="E38" t="inlineStr">
        <is>
          <t>555.847.4160</t>
        </is>
      </c>
      <c r="G38" t="inlineStr">
        <is>
          <t>Bluestone, OH 45501</t>
        </is>
      </c>
      <c r="H38" t="inlineStr">
        <is>
          <t>Silverline MA</t>
        </is>
      </c>
      <c r="I38" t="inlineStr">
        <is>
          <t>01374637</t>
        </is>
      </c>
      <c r="J38" t="inlineStr">
        <is>
          <t>2008-11-15 15:26:00</t>
        </is>
      </c>
      <c r="K38" s="28" t="n"/>
      <c r="L38" s="29" t="n"/>
      <c r="M38" s="28" t="n"/>
      <c r="N38" s="28" t="n"/>
      <c r="O38" s="28" t="n"/>
      <c r="P38" s="28" t="n"/>
      <c r="Q38" s="28" t="n"/>
      <c r="R38" s="30" t="n"/>
      <c r="S38" s="28" t="n"/>
    </row>
    <row r="39">
      <c r="A39" t="inlineStr">
        <is>
          <t>R1038</t>
        </is>
      </c>
      <c r="B39" t="inlineStr">
        <is>
          <t>Weaver, Justin</t>
        </is>
      </c>
      <c r="C39" t="inlineStr">
        <is>
          <t>12-Jun-1990</t>
        </is>
      </c>
      <c r="D39" t="inlineStr">
        <is>
          <t>M</t>
        </is>
      </c>
      <c r="E39" t="inlineStr">
        <is>
          <t>(555) 328-2250</t>
        </is>
      </c>
      <c r="F39" t="inlineStr">
        <is>
          <t>justin.weaver6@example.com</t>
        </is>
      </c>
      <c r="G39" t="inlineStr">
        <is>
          <t>Bluestone, OH 45503-2144</t>
        </is>
      </c>
      <c r="H39" t="inlineStr">
        <is>
          <t>State Medicaid</t>
        </is>
      </c>
      <c r="I39" t="inlineStr">
        <is>
          <t>06122876</t>
        </is>
      </c>
      <c r="J39" t="inlineStr">
        <is>
          <t>2013-08-30 10:22:00</t>
        </is>
      </c>
      <c r="K39" s="28" t="n"/>
      <c r="L39" s="29" t="n"/>
      <c r="M39" s="28" t="n"/>
      <c r="N39" s="28" t="n"/>
      <c r="O39" s="28" t="n"/>
      <c r="P39" s="28" t="n"/>
      <c r="Q39" s="28" t="n"/>
      <c r="R39" s="30" t="n"/>
      <c r="S39" s="28" t="n"/>
    </row>
    <row r="40">
      <c r="A40" t="inlineStr">
        <is>
          <t>R1039</t>
        </is>
      </c>
      <c r="B40" t="inlineStr">
        <is>
          <t>GARCIA, PAMELA</t>
        </is>
      </c>
      <c r="C40" t="inlineStr">
        <is>
          <t>1962-02-11</t>
        </is>
      </c>
      <c r="D40" t="inlineStr">
        <is>
          <t>F</t>
        </is>
      </c>
      <c r="E40" t="inlineStr">
        <is>
          <t>555-239-0126</t>
        </is>
      </c>
      <c r="F40" t="inlineStr">
        <is>
          <t xml:space="preserve"> pamela.garcia63@example.com </t>
        </is>
      </c>
      <c r="G40" t="inlineStr">
        <is>
          <t>Bluestone, OH 45501-5610</t>
        </is>
      </c>
      <c r="H40" t="inlineStr">
        <is>
          <t>EVERGREEN MUTUAL INS</t>
        </is>
      </c>
      <c r="I40" t="inlineStr">
        <is>
          <t>5952813</t>
        </is>
      </c>
      <c r="J40" t="inlineStr">
        <is>
          <t>2018-02-20 07:23:00</t>
        </is>
      </c>
      <c r="K40" s="28" t="n"/>
      <c r="L40" s="29" t="n"/>
      <c r="M40" s="28" t="n"/>
      <c r="N40" s="28" t="n"/>
      <c r="O40" s="28" t="n"/>
      <c r="P40" s="28" t="n"/>
      <c r="Q40" s="28" t="n"/>
      <c r="R40" s="30" t="n"/>
      <c r="S40" s="28" t="n"/>
    </row>
    <row r="41">
      <c r="A41" t="inlineStr">
        <is>
          <t>R1040</t>
        </is>
      </c>
      <c r="B41" t="inlineStr">
        <is>
          <t>Stone, Charles</t>
        </is>
      </c>
      <c r="C41" t="inlineStr">
        <is>
          <t>1990-07-13</t>
        </is>
      </c>
      <c r="D41" t="inlineStr">
        <is>
          <t>MALE</t>
        </is>
      </c>
      <c r="E41" t="inlineStr">
        <is>
          <t>(555) 213-9817</t>
        </is>
      </c>
      <c r="F41" t="inlineStr">
        <is>
          <t>charles.stone42@example.com</t>
        </is>
      </c>
      <c r="G41" t="inlineStr">
        <is>
          <t>Bluestone, OH 45501</t>
        </is>
      </c>
      <c r="H41" t="inlineStr">
        <is>
          <t>Self Pay</t>
        </is>
      </c>
      <c r="I41" t="inlineStr">
        <is>
          <t>MRN-01745769</t>
        </is>
      </c>
      <c r="J41" t="inlineStr">
        <is>
          <t>2014-03-24 09:40:00</t>
        </is>
      </c>
      <c r="K41" s="28" t="n"/>
      <c r="L41" s="29" t="n"/>
      <c r="M41" s="28" t="n"/>
      <c r="N41" s="28" t="n"/>
      <c r="O41" s="28" t="n"/>
      <c r="P41" s="28" t="n"/>
      <c r="Q41" s="28" t="n"/>
      <c r="R41" s="30" t="n"/>
      <c r="S41" s="28" t="n"/>
    </row>
    <row r="42">
      <c r="A42" t="inlineStr">
        <is>
          <t>R1041</t>
        </is>
      </c>
      <c r="B42" t="inlineStr">
        <is>
          <t>Riley, Liam</t>
        </is>
      </c>
      <c r="C42" t="inlineStr">
        <is>
          <t>04/01/1939</t>
        </is>
      </c>
      <c r="D42" t="inlineStr">
        <is>
          <t>m</t>
        </is>
      </c>
      <c r="E42" t="inlineStr">
        <is>
          <t>555.492.4370</t>
        </is>
      </c>
      <c r="F42" t="inlineStr">
        <is>
          <t>liam.riley52@example.com</t>
        </is>
      </c>
      <c r="G42" t="inlineStr">
        <is>
          <t>Bluestone, OH 45503-4898</t>
        </is>
      </c>
      <c r="H42" t="inlineStr">
        <is>
          <t>Medicare Part A</t>
        </is>
      </c>
      <c r="I42" t="inlineStr">
        <is>
          <t>08002972</t>
        </is>
      </c>
      <c r="J42" t="inlineStr">
        <is>
          <t>05/15/2014 01:30 PM</t>
        </is>
      </c>
      <c r="K42" s="28" t="n"/>
      <c r="L42" s="29" t="n"/>
      <c r="M42" s="28" t="n"/>
      <c r="N42" s="28" t="n"/>
      <c r="O42" s="28" t="n"/>
      <c r="P42" s="28" t="n"/>
      <c r="Q42" s="28" t="n"/>
      <c r="R42" s="30" t="n"/>
      <c r="S42" s="28" t="n"/>
    </row>
    <row r="43">
      <c r="A43" t="inlineStr">
        <is>
          <t>R1042</t>
        </is>
      </c>
      <c r="B43" t="inlineStr">
        <is>
          <t>Novak, Patricia</t>
        </is>
      </c>
      <c r="C43" t="inlineStr">
        <is>
          <t>27-Jun-1948</t>
        </is>
      </c>
      <c r="D43" t="inlineStr">
        <is>
          <t>FEMALE</t>
        </is>
      </c>
      <c r="E43" t="inlineStr">
        <is>
          <t>+1 555 871 2848</t>
        </is>
      </c>
      <c r="F43" t="inlineStr">
        <is>
          <t>patricia.novak58@example.com</t>
        </is>
      </c>
      <c r="G43" t="inlineStr">
        <is>
          <t>Cedar Ridge, OH 45720</t>
        </is>
      </c>
      <c r="H43" t="inlineStr">
        <is>
          <t>Medicare</t>
        </is>
      </c>
      <c r="I43" t="inlineStr">
        <is>
          <t>07427300</t>
        </is>
      </c>
      <c r="J43" t="inlineStr">
        <is>
          <t>2008-09-22 18:43:00</t>
        </is>
      </c>
      <c r="K43" s="28" t="n"/>
      <c r="L43" s="29" t="n"/>
      <c r="M43" s="28" t="n"/>
      <c r="N43" s="28" t="n"/>
      <c r="O43" s="28" t="n"/>
      <c r="P43" s="28" t="n"/>
      <c r="Q43" s="28" t="n"/>
      <c r="R43" s="30" t="n"/>
      <c r="S43" s="28" t="n"/>
    </row>
    <row r="44">
      <c r="A44" t="inlineStr">
        <is>
          <t>R1043</t>
        </is>
      </c>
      <c r="B44" t="inlineStr">
        <is>
          <t>Perkins, Mark</t>
        </is>
      </c>
      <c r="C44" t="inlineStr">
        <is>
          <t>30-Dec-1972</t>
        </is>
      </c>
      <c r="D44" t="inlineStr">
        <is>
          <t>M</t>
        </is>
      </c>
      <c r="E44" t="inlineStr">
        <is>
          <t>5558130981</t>
        </is>
      </c>
      <c r="F44" t="inlineStr">
        <is>
          <t>mark.perkins62@example.com</t>
        </is>
      </c>
      <c r="G44" t="inlineStr">
        <is>
          <t>Bluestone, OH 45502</t>
        </is>
      </c>
      <c r="H44" t="inlineStr">
        <is>
          <t>Summit Choice</t>
        </is>
      </c>
      <c r="I44" t="inlineStr">
        <is>
          <t>03402940</t>
        </is>
      </c>
      <c r="J44" t="inlineStr">
        <is>
          <t>2022-05-21 18:03:00</t>
        </is>
      </c>
      <c r="K44" s="28" t="n"/>
      <c r="L44" s="29" t="n"/>
      <c r="M44" s="28" t="n"/>
      <c r="N44" s="28" t="n"/>
      <c r="O44" s="28" t="n"/>
      <c r="P44" s="28" t="n"/>
      <c r="Q44" s="28" t="n"/>
      <c r="R44" s="30" t="n"/>
      <c r="S44" s="28" t="n"/>
    </row>
    <row r="45">
      <c r="A45" t="inlineStr">
        <is>
          <t>R1044</t>
        </is>
      </c>
      <c r="B45" t="inlineStr">
        <is>
          <t>Dixon, Lawrence</t>
        </is>
      </c>
      <c r="C45" t="inlineStr">
        <is>
          <t>02-Oct-1993</t>
        </is>
      </c>
      <c r="D45" t="inlineStr">
        <is>
          <t>Male</t>
        </is>
      </c>
      <c r="E45" t="inlineStr">
        <is>
          <t>555.391.8264</t>
        </is>
      </c>
      <c r="F45" t="inlineStr">
        <is>
          <t>lawrence.dixon73@example.com</t>
        </is>
      </c>
      <c r="G45" t="inlineStr">
        <is>
          <t>Granite Springs, OH 45750</t>
        </is>
      </c>
      <c r="H45" t="inlineStr">
        <is>
          <t>Keystone Health Ptnrs</t>
        </is>
      </c>
      <c r="I45" t="inlineStr">
        <is>
          <t>9408089</t>
        </is>
      </c>
      <c r="J45" t="inlineStr">
        <is>
          <t>2023-11-30 17:50:00</t>
        </is>
      </c>
      <c r="K45" s="28" t="n"/>
      <c r="L45" s="29" t="n"/>
      <c r="M45" s="28" t="n"/>
      <c r="N45" s="28" t="n"/>
      <c r="O45" s="28" t="n"/>
      <c r="P45" s="28" t="n"/>
      <c r="Q45" s="28" t="n"/>
      <c r="R45" s="30" t="n"/>
      <c r="S45" s="28" t="n"/>
    </row>
    <row r="46">
      <c r="A46" t="inlineStr">
        <is>
          <t>R1045</t>
        </is>
      </c>
      <c r="B46" t="inlineStr">
        <is>
          <t>okafor, russell</t>
        </is>
      </c>
      <c r="C46" t="inlineStr">
        <is>
          <t>1992-07-02</t>
        </is>
      </c>
      <c r="D46" t="inlineStr">
        <is>
          <t>M</t>
        </is>
      </c>
      <c r="E46" t="inlineStr">
        <is>
          <t>5552731535</t>
        </is>
      </c>
      <c r="F46" t="inlineStr">
        <is>
          <t>none</t>
        </is>
      </c>
      <c r="G46" t="inlineStr">
        <is>
          <t>Bluestone, OH 45501</t>
        </is>
      </c>
      <c r="H46" t="inlineStr">
        <is>
          <t>SUMMIT CHOICE PPO</t>
        </is>
      </c>
      <c r="I46" t="inlineStr">
        <is>
          <t>MRN-06475252</t>
        </is>
      </c>
      <c r="J46" t="inlineStr">
        <is>
          <t>2012-10-26 16:04:00</t>
        </is>
      </c>
      <c r="K46" s="28" t="n"/>
      <c r="L46" s="29" t="n"/>
      <c r="M46" s="28" t="n"/>
      <c r="N46" s="28" t="n"/>
      <c r="O46" s="28" t="n"/>
      <c r="P46" s="28" t="n"/>
      <c r="Q46" s="28" t="n"/>
      <c r="R46" s="30" t="n"/>
      <c r="S46" s="28" t="n"/>
    </row>
    <row r="47">
      <c r="A47" t="inlineStr">
        <is>
          <t>R1046</t>
        </is>
      </c>
      <c r="B47" t="inlineStr">
        <is>
          <t>BAKER, ROY</t>
        </is>
      </c>
      <c r="C47" t="inlineStr">
        <is>
          <t>10/27/1958</t>
        </is>
      </c>
      <c r="D47" t="inlineStr">
        <is>
          <t>MALE</t>
        </is>
      </c>
      <c r="E47" t="inlineStr">
        <is>
          <t>5558068961</t>
        </is>
      </c>
      <c r="F47" t="inlineStr">
        <is>
          <t>roy.baker25@example.com</t>
        </is>
      </c>
      <c r="G47" t="inlineStr">
        <is>
          <t>ASHBY FALLS, OH 45610</t>
        </is>
      </c>
      <c r="H47" t="inlineStr">
        <is>
          <t>MEDICARE</t>
        </is>
      </c>
      <c r="I47" t="inlineStr">
        <is>
          <t>08248013</t>
        </is>
      </c>
      <c r="J47" t="inlineStr">
        <is>
          <t>07/15/2020 03:48 PM</t>
        </is>
      </c>
      <c r="K47" s="28" t="n"/>
      <c r="L47" s="29" t="n"/>
      <c r="M47" s="28" t="n"/>
      <c r="N47" s="28" t="n"/>
      <c r="O47" s="28" t="n"/>
      <c r="P47" s="28" t="n"/>
      <c r="Q47" s="28" t="n"/>
      <c r="R47" s="30" t="n"/>
      <c r="S47" s="28" t="n"/>
    </row>
    <row r="48">
      <c r="A48" t="inlineStr">
        <is>
          <t>R1047</t>
        </is>
      </c>
      <c r="B48" t="inlineStr">
        <is>
          <t>Dixon, Melissa</t>
        </is>
      </c>
      <c r="C48" t="inlineStr">
        <is>
          <t>05.06.2008</t>
        </is>
      </c>
      <c r="D48" t="inlineStr">
        <is>
          <t>f</t>
        </is>
      </c>
      <c r="E48" t="inlineStr">
        <is>
          <t>(555) 404-6914</t>
        </is>
      </c>
      <c r="F48" t="inlineStr">
        <is>
          <t>melissa.dixon81@example.com</t>
        </is>
      </c>
      <c r="G48" t="inlineStr">
        <is>
          <t>Lakeview Heights, OH 45510-8399</t>
        </is>
      </c>
      <c r="H48" t="inlineStr">
        <is>
          <t>medicaid</t>
        </is>
      </c>
      <c r="I48" t="inlineStr">
        <is>
          <t>09909221</t>
        </is>
      </c>
      <c r="J48" t="inlineStr">
        <is>
          <t>10/07/2023 05:43 PM</t>
        </is>
      </c>
      <c r="K48" s="28" t="n"/>
      <c r="L48" s="29" t="n"/>
      <c r="M48" s="28" t="n"/>
      <c r="N48" s="28" t="n"/>
      <c r="O48" s="28" t="n"/>
      <c r="P48" s="28" t="n"/>
      <c r="Q48" s="28" t="n"/>
      <c r="R48" s="30" t="n"/>
      <c r="S48" s="28" t="n"/>
    </row>
    <row r="49">
      <c r="A49" t="inlineStr">
        <is>
          <t>R1048</t>
        </is>
      </c>
      <c r="B49" t="inlineStr">
        <is>
          <t>vasquez, michael</t>
        </is>
      </c>
      <c r="C49" t="inlineStr">
        <is>
          <t>1990-10-17</t>
        </is>
      </c>
      <c r="D49" t="inlineStr">
        <is>
          <t>Male</t>
        </is>
      </c>
      <c r="E49" t="inlineStr">
        <is>
          <t>555-523-7427</t>
        </is>
      </c>
      <c r="F49" t="inlineStr">
        <is>
          <t xml:space="preserve"> michael.vasquez38@example.com </t>
        </is>
      </c>
      <c r="G49" t="inlineStr">
        <is>
          <t>BLUESTONE, OH 45501</t>
        </is>
      </c>
      <c r="H49" t="inlineStr">
        <is>
          <t>Evergreen Mutual</t>
        </is>
      </c>
      <c r="I49" t="inlineStr">
        <is>
          <t>08629648</t>
        </is>
      </c>
      <c r="J49" t="inlineStr">
        <is>
          <t>2020-12-21 13:34:00</t>
        </is>
      </c>
      <c r="K49" s="28" t="n"/>
      <c r="L49" s="29" t="n"/>
      <c r="M49" s="28" t="n"/>
      <c r="N49" s="28" t="n"/>
      <c r="O49" s="28" t="n"/>
      <c r="P49" s="28" t="n"/>
      <c r="Q49" s="28" t="n"/>
      <c r="R49" s="30" t="n"/>
      <c r="S49" s="28" t="n"/>
    </row>
    <row r="50">
      <c r="A50" t="inlineStr">
        <is>
          <t>R1049</t>
        </is>
      </c>
      <c r="B50" t="inlineStr">
        <is>
          <t>FISHER, ELIJAH</t>
        </is>
      </c>
      <c r="C50" t="inlineStr">
        <is>
          <t>06-Jan-1942</t>
        </is>
      </c>
      <c r="D50" t="inlineStr">
        <is>
          <t>Male</t>
        </is>
      </c>
      <c r="E50" t="inlineStr">
        <is>
          <t>555-828-3122</t>
        </is>
      </c>
      <c r="F50" t="inlineStr">
        <is>
          <t>elijah.fisher88@example.com</t>
        </is>
      </c>
      <c r="G50" t="inlineStr">
        <is>
          <t>Bluestone, OH 45503</t>
        </is>
      </c>
      <c r="H50" t="inlineStr">
        <is>
          <t>MEDICARE</t>
        </is>
      </c>
      <c r="I50" t="inlineStr">
        <is>
          <t>07818829</t>
        </is>
      </c>
      <c r="J50" t="inlineStr">
        <is>
          <t>2024-01-26 08:11:00</t>
        </is>
      </c>
      <c r="K50" s="28" t="n"/>
      <c r="L50" s="29" t="n"/>
      <c r="M50" s="28" t="n"/>
      <c r="N50" s="28" t="n"/>
      <c r="O50" s="28" t="n"/>
      <c r="P50" s="28" t="n"/>
      <c r="Q50" s="28" t="n"/>
      <c r="R50" s="30" t="n"/>
      <c r="S50" s="28" t="n"/>
    </row>
    <row r="51">
      <c r="A51" t="inlineStr">
        <is>
          <t>R1050</t>
        </is>
      </c>
      <c r="B51" t="inlineStr">
        <is>
          <t>Marshall, Mei</t>
        </is>
      </c>
      <c r="C51" t="inlineStr">
        <is>
          <t>08/11/1967</t>
        </is>
      </c>
      <c r="D51" t="inlineStr">
        <is>
          <t>Female</t>
        </is>
      </c>
      <c r="E51" t="inlineStr">
        <is>
          <t>(555) 640-9696</t>
        </is>
      </c>
      <c r="F51" t="inlineStr">
        <is>
          <t xml:space="preserve"> mei.marshall27@example.com </t>
        </is>
      </c>
      <c r="G51" t="inlineStr">
        <is>
          <t>FAIRHAVEN, OH 45620</t>
        </is>
      </c>
      <c r="H51" t="inlineStr">
        <is>
          <t>KEYSTONE HEALTH PARTNERS</t>
        </is>
      </c>
      <c r="I51" t="inlineStr">
        <is>
          <t>MRN-03478502</t>
        </is>
      </c>
      <c r="J51" t="inlineStr">
        <is>
          <t>02/29/2020 02:47 PM</t>
        </is>
      </c>
      <c r="K51" s="28" t="n"/>
      <c r="L51" s="29" t="n"/>
      <c r="M51" s="28" t="n"/>
      <c r="N51" s="28" t="n"/>
      <c r="O51" s="28" t="n"/>
      <c r="P51" s="28" t="n"/>
      <c r="Q51" s="28" t="n"/>
      <c r="R51" s="30" t="n"/>
      <c r="S51" s="28" t="n"/>
    </row>
    <row r="52">
      <c r="A52" t="inlineStr">
        <is>
          <t>R1051</t>
        </is>
      </c>
      <c r="B52" t="inlineStr">
        <is>
          <t>GARCIA, SHARON</t>
        </is>
      </c>
      <c r="C52" t="inlineStr">
        <is>
          <t>02/23/2014</t>
        </is>
      </c>
      <c r="D52" t="inlineStr">
        <is>
          <t xml:space="preserve"> F</t>
        </is>
      </c>
      <c r="G52" t="inlineStr">
        <is>
          <t>Bluestone, OH 45501-3837</t>
        </is>
      </c>
      <c r="H52" t="inlineStr">
        <is>
          <t>Uninsured</t>
        </is>
      </c>
      <c r="I52" t="inlineStr">
        <is>
          <t>03094497</t>
        </is>
      </c>
      <c r="J52" t="inlineStr">
        <is>
          <t>2023-01-19 09:31:00</t>
        </is>
      </c>
      <c r="K52" s="28" t="n"/>
      <c r="L52" s="29" t="n"/>
      <c r="M52" s="28" t="n"/>
      <c r="N52" s="28" t="n"/>
      <c r="O52" s="28" t="n"/>
      <c r="P52" s="28" t="n"/>
      <c r="Q52" s="28" t="n"/>
      <c r="R52" s="30" t="n"/>
      <c r="S52" s="28" t="n"/>
    </row>
    <row r="53">
      <c r="A53" t="inlineStr">
        <is>
          <t>R1052</t>
        </is>
      </c>
      <c r="B53" t="inlineStr">
        <is>
          <t>Mason Riley</t>
        </is>
      </c>
      <c r="C53" t="inlineStr">
        <is>
          <t>1967-05-29</t>
        </is>
      </c>
      <c r="D53" t="inlineStr">
        <is>
          <t>M</t>
        </is>
      </c>
      <c r="E53" t="inlineStr">
        <is>
          <t>555.541.3702</t>
        </is>
      </c>
      <c r="F53" t="inlineStr">
        <is>
          <t>mason.riley93@example.com</t>
        </is>
      </c>
      <c r="G53" t="inlineStr">
        <is>
          <t>Bluestone, OH 45502</t>
        </is>
      </c>
      <c r="H53" t="inlineStr">
        <is>
          <t xml:space="preserve">Medicare </t>
        </is>
      </c>
      <c r="I53" t="inlineStr">
        <is>
          <t>05429806</t>
        </is>
      </c>
      <c r="J53" t="inlineStr">
        <is>
          <t>04/29/2008 04:51 PM</t>
        </is>
      </c>
      <c r="K53" s="28" t="n"/>
      <c r="L53" s="29" t="n"/>
      <c r="M53" s="28" t="n"/>
      <c r="N53" s="28" t="n"/>
      <c r="O53" s="28" t="n"/>
      <c r="P53" s="28" t="n"/>
      <c r="Q53" s="28" t="n"/>
      <c r="R53" s="30" t="n"/>
      <c r="S53" s="28" t="n"/>
    </row>
    <row r="54">
      <c r="A54" t="inlineStr">
        <is>
          <t>R1053</t>
        </is>
      </c>
      <c r="B54" t="inlineStr">
        <is>
          <t>Mason Riley</t>
        </is>
      </c>
      <c r="C54" t="inlineStr">
        <is>
          <t>1967-05-29</t>
        </is>
      </c>
      <c r="D54" t="inlineStr">
        <is>
          <t>M</t>
        </is>
      </c>
      <c r="E54" t="inlineStr">
        <is>
          <t>555.541.3702</t>
        </is>
      </c>
      <c r="F54" t="inlineStr">
        <is>
          <t>mason.riley93@example.com</t>
        </is>
      </c>
      <c r="G54" t="inlineStr">
        <is>
          <t>Bluestone, OH 45502</t>
        </is>
      </c>
      <c r="H54" t="inlineStr">
        <is>
          <t xml:space="preserve">Medicare </t>
        </is>
      </c>
      <c r="I54" t="inlineStr">
        <is>
          <t>05429806</t>
        </is>
      </c>
      <c r="J54" t="inlineStr">
        <is>
          <t>04/29/2008 04:51 PM</t>
        </is>
      </c>
      <c r="K54" s="28" t="n"/>
      <c r="L54" s="29" t="n"/>
      <c r="M54" s="28" t="n"/>
      <c r="N54" s="28" t="n"/>
      <c r="O54" s="28" t="n"/>
      <c r="P54" s="28" t="n"/>
      <c r="Q54" s="28" t="n"/>
      <c r="R54" s="30" t="n"/>
      <c r="S54" s="28" t="n"/>
    </row>
    <row r="55">
      <c r="A55" t="inlineStr">
        <is>
          <t>R1054</t>
        </is>
      </c>
      <c r="B55" t="inlineStr">
        <is>
          <t>Ramos, Christina</t>
        </is>
      </c>
      <c r="C55" t="inlineStr">
        <is>
          <t>01/23/1953</t>
        </is>
      </c>
      <c r="D55" t="inlineStr">
        <is>
          <t xml:space="preserve"> F</t>
        </is>
      </c>
      <c r="F55" t="inlineStr">
        <is>
          <t>christina.ramos36@example.com</t>
        </is>
      </c>
      <c r="G55" t="inlineStr">
        <is>
          <t>Bluestone OH 45502</t>
        </is>
      </c>
      <c r="H55" t="inlineStr">
        <is>
          <t xml:space="preserve">Medicare </t>
        </is>
      </c>
      <c r="I55" t="inlineStr">
        <is>
          <t>08517291</t>
        </is>
      </c>
      <c r="J55" t="inlineStr">
        <is>
          <t>2022-11-04 12:56:00</t>
        </is>
      </c>
      <c r="K55" s="28" t="n"/>
      <c r="L55" s="29" t="n"/>
      <c r="M55" s="28" t="n"/>
      <c r="N55" s="28" t="n"/>
      <c r="O55" s="28" t="n"/>
      <c r="P55" s="28" t="n"/>
      <c r="Q55" s="28" t="n"/>
      <c r="R55" s="30" t="n"/>
      <c r="S55" s="28" t="n"/>
    </row>
    <row r="56">
      <c r="A56" t="inlineStr">
        <is>
          <t>R1055</t>
        </is>
      </c>
      <c r="B56" t="inlineStr">
        <is>
          <t>Bailey, Zachary</t>
        </is>
      </c>
      <c r="C56" t="inlineStr">
        <is>
          <t>11/09/1994</t>
        </is>
      </c>
      <c r="D56" t="inlineStr">
        <is>
          <t>m</t>
        </is>
      </c>
      <c r="E56" t="inlineStr">
        <is>
          <t>555-527-1948</t>
        </is>
      </c>
      <c r="F56" t="inlineStr">
        <is>
          <t>none</t>
        </is>
      </c>
      <c r="G56" t="inlineStr">
        <is>
          <t>Ashby Falls, OH 45610</t>
        </is>
      </c>
      <c r="H56" t="inlineStr">
        <is>
          <t>Medicaid</t>
        </is>
      </c>
      <c r="I56" t="inlineStr">
        <is>
          <t>09148220</t>
        </is>
      </c>
      <c r="J56" t="inlineStr">
        <is>
          <t>2015-10-18 16:47:00</t>
        </is>
      </c>
      <c r="K56" s="28" t="n"/>
      <c r="L56" s="29" t="n"/>
      <c r="M56" s="28" t="n"/>
      <c r="N56" s="28" t="n"/>
      <c r="O56" s="28" t="n"/>
      <c r="P56" s="28" t="n"/>
      <c r="Q56" s="28" t="n"/>
      <c r="R56" s="30" t="n"/>
      <c r="S56" s="28" t="n"/>
    </row>
    <row r="57">
      <c r="A57" t="inlineStr">
        <is>
          <t>R1056</t>
        </is>
      </c>
      <c r="B57" t="inlineStr">
        <is>
          <t>Webb, Emma</t>
        </is>
      </c>
      <c r="C57" t="inlineStr">
        <is>
          <t>1977-10-08</t>
        </is>
      </c>
      <c r="D57" t="inlineStr">
        <is>
          <t>Female</t>
        </is>
      </c>
      <c r="E57" t="inlineStr">
        <is>
          <t>555-540-8001</t>
        </is>
      </c>
      <c r="F57" t="inlineStr">
        <is>
          <t>emma.webb89@example.com</t>
        </is>
      </c>
      <c r="G57" t="inlineStr">
        <is>
          <t>Bluestone OH 45501</t>
        </is>
      </c>
      <c r="H57" t="inlineStr">
        <is>
          <t>Keystone</t>
        </is>
      </c>
      <c r="I57" t="inlineStr">
        <is>
          <t>05757055</t>
        </is>
      </c>
      <c r="J57" t="inlineStr">
        <is>
          <t>2014-06-02 16:26:00</t>
        </is>
      </c>
      <c r="K57" s="28" t="n"/>
      <c r="L57" s="29" t="n"/>
      <c r="M57" s="28" t="n"/>
      <c r="N57" s="28" t="n"/>
      <c r="O57" s="28" t="n"/>
      <c r="P57" s="28" t="n"/>
      <c r="Q57" s="28" t="n"/>
      <c r="R57" s="30" t="n"/>
      <c r="S57" s="28" t="n"/>
    </row>
    <row r="58">
      <c r="A58" t="inlineStr">
        <is>
          <t>R1057</t>
        </is>
      </c>
      <c r="B58" t="inlineStr">
        <is>
          <t>James West</t>
        </is>
      </c>
      <c r="C58" t="inlineStr">
        <is>
          <t>1976-04-26</t>
        </is>
      </c>
      <c r="D58" t="inlineStr">
        <is>
          <t>M</t>
        </is>
      </c>
      <c r="E58" t="inlineStr">
        <is>
          <t>5557688951</t>
        </is>
      </c>
      <c r="G58" t="inlineStr">
        <is>
          <t>Bluestone, OH 45501</t>
        </is>
      </c>
      <c r="H58" t="inlineStr">
        <is>
          <t>Keystone</t>
        </is>
      </c>
      <c r="I58" t="inlineStr">
        <is>
          <t>253537</t>
        </is>
      </c>
      <c r="J58" t="inlineStr">
        <is>
          <t>2024-01-22 17:36:00</t>
        </is>
      </c>
      <c r="K58" s="28" t="n"/>
      <c r="L58" s="29" t="n"/>
      <c r="M58" s="28" t="n"/>
      <c r="N58" s="28" t="n"/>
      <c r="O58" s="28" t="n"/>
      <c r="P58" s="28" t="n"/>
      <c r="Q58" s="28" t="n"/>
      <c r="R58" s="30" t="n"/>
      <c r="S58" s="28" t="n"/>
    </row>
    <row r="59">
      <c r="A59" t="inlineStr">
        <is>
          <t>R1058</t>
        </is>
      </c>
      <c r="B59" t="inlineStr">
        <is>
          <t>Kim, Ethan</t>
        </is>
      </c>
      <c r="C59" t="inlineStr">
        <is>
          <t>23-May-1931</t>
        </is>
      </c>
      <c r="D59" t="inlineStr">
        <is>
          <t>m</t>
        </is>
      </c>
      <c r="E59" t="inlineStr">
        <is>
          <t>5559648131</t>
        </is>
      </c>
      <c r="F59" t="inlineStr">
        <is>
          <t>ethan.kim24@example.com</t>
        </is>
      </c>
      <c r="G59" t="inlineStr">
        <is>
          <t>Ashby Falls, OH 45610-1593</t>
        </is>
      </c>
      <c r="H59" t="inlineStr">
        <is>
          <t>MEDICARE</t>
        </is>
      </c>
      <c r="I59" t="inlineStr">
        <is>
          <t>02110671</t>
        </is>
      </c>
      <c r="J59" t="inlineStr">
        <is>
          <t>2022-10-29 10:04:00</t>
        </is>
      </c>
      <c r="K59" s="28" t="n"/>
      <c r="L59" s="29" t="n"/>
      <c r="M59" s="28" t="n"/>
      <c r="N59" s="28" t="n"/>
      <c r="O59" s="28" t="n"/>
      <c r="P59" s="28" t="n"/>
      <c r="Q59" s="28" t="n"/>
      <c r="R59" s="30" t="n"/>
      <c r="S59" s="28" t="n"/>
    </row>
    <row r="60">
      <c r="A60" t="inlineStr">
        <is>
          <t>R1059</t>
        </is>
      </c>
      <c r="B60" t="inlineStr">
        <is>
          <t>SIMPSON, BRENDA</t>
        </is>
      </c>
      <c r="C60" t="inlineStr">
        <is>
          <t>29-Nov-1931</t>
        </is>
      </c>
      <c r="D60" t="inlineStr">
        <is>
          <t>F</t>
        </is>
      </c>
      <c r="E60" t="inlineStr">
        <is>
          <t>555-705-1228</t>
        </is>
      </c>
      <c r="F60" t="inlineStr">
        <is>
          <t xml:space="preserve"> brenda.simpson97@example.com </t>
        </is>
      </c>
      <c r="G60" t="inlineStr">
        <is>
          <t>Riverbend, OH 45545</t>
        </is>
      </c>
      <c r="H60" t="inlineStr">
        <is>
          <t xml:space="preserve">Silverline Medicare Advantage </t>
        </is>
      </c>
      <c r="I60" t="inlineStr">
        <is>
          <t>9464644</t>
        </is>
      </c>
      <c r="J60" t="inlineStr">
        <is>
          <t>02/27/2022 04:18 PM</t>
        </is>
      </c>
      <c r="K60" s="28" t="n"/>
      <c r="L60" s="29" t="n"/>
      <c r="M60" s="28" t="n"/>
      <c r="N60" s="28" t="n"/>
      <c r="O60" s="28" t="n"/>
      <c r="P60" s="28" t="n"/>
      <c r="Q60" s="28" t="n"/>
      <c r="R60" s="30" t="n"/>
      <c r="S60" s="28" t="n"/>
    </row>
    <row r="61">
      <c r="A61" t="inlineStr">
        <is>
          <t>R1060</t>
        </is>
      </c>
      <c r="B61" t="inlineStr">
        <is>
          <t xml:space="preserve">  Nguyen ,  Joyce </t>
        </is>
      </c>
      <c r="C61" t="inlineStr">
        <is>
          <t>12.17.1969</t>
        </is>
      </c>
      <c r="D61" t="inlineStr">
        <is>
          <t>f</t>
        </is>
      </c>
      <c r="E61" t="inlineStr">
        <is>
          <t>(555) 678-2970</t>
        </is>
      </c>
      <c r="F61" t="inlineStr">
        <is>
          <t>joyce.nguyen64@example.com</t>
        </is>
      </c>
      <c r="G61" t="inlineStr">
        <is>
          <t>Bluestone, OH 45503</t>
        </is>
      </c>
      <c r="H61" t="inlineStr">
        <is>
          <t>Keystone Health Ptnrs</t>
        </is>
      </c>
      <c r="I61" t="inlineStr">
        <is>
          <t>MRN-01093076</t>
        </is>
      </c>
      <c r="J61" t="inlineStr">
        <is>
          <t>12/18/2021 06:27 PM</t>
        </is>
      </c>
      <c r="K61" s="28" t="n"/>
      <c r="L61" s="29" t="n"/>
      <c r="M61" s="28" t="n"/>
      <c r="N61" s="28" t="n"/>
      <c r="O61" s="28" t="n"/>
      <c r="P61" s="28" t="n"/>
      <c r="Q61" s="28" t="n"/>
      <c r="R61" s="30" t="n"/>
      <c r="S61" s="28" t="n"/>
    </row>
    <row r="62">
      <c r="A62" t="inlineStr">
        <is>
          <t>R1061</t>
        </is>
      </c>
      <c r="B62" t="inlineStr">
        <is>
          <t>graham, madison</t>
        </is>
      </c>
      <c r="C62" t="inlineStr">
        <is>
          <t>1956-04-05</t>
        </is>
      </c>
      <c r="D62" t="inlineStr">
        <is>
          <t>FEMALE</t>
        </is>
      </c>
      <c r="E62" t="inlineStr">
        <is>
          <t>555-354-1445</t>
        </is>
      </c>
      <c r="F62" t="inlineStr">
        <is>
          <t xml:space="preserve"> madison.graham17@example.com </t>
        </is>
      </c>
      <c r="G62" t="inlineStr">
        <is>
          <t>Pine Hollow OH 45640</t>
        </is>
      </c>
      <c r="H62" t="inlineStr">
        <is>
          <t>Silverline Medicare Advantage</t>
        </is>
      </c>
      <c r="I62" t="inlineStr">
        <is>
          <t>01942895</t>
        </is>
      </c>
      <c r="J62" t="inlineStr">
        <is>
          <t>03/22/2023 10:18 AM</t>
        </is>
      </c>
      <c r="K62" s="28" t="n"/>
      <c r="L62" s="29" t="n"/>
      <c r="M62" s="28" t="n"/>
      <c r="N62" s="28" t="n"/>
      <c r="O62" s="28" t="n"/>
      <c r="P62" s="28" t="n"/>
      <c r="Q62" s="28" t="n"/>
      <c r="R62" s="30" t="n"/>
      <c r="S62" s="28" t="n"/>
    </row>
    <row r="63">
      <c r="A63" t="inlineStr">
        <is>
          <t>R1062</t>
        </is>
      </c>
      <c r="B63" t="inlineStr">
        <is>
          <t>Yilmaz, Russell</t>
        </is>
      </c>
      <c r="C63" t="inlineStr">
        <is>
          <t>3/7/1944</t>
        </is>
      </c>
      <c r="D63" t="inlineStr">
        <is>
          <t>m</t>
        </is>
      </c>
      <c r="E63" t="inlineStr">
        <is>
          <t>(555) 410-3531</t>
        </is>
      </c>
      <c r="F63" t="inlineStr">
        <is>
          <t>russell.yilmaz74@example.com</t>
        </is>
      </c>
      <c r="G63" t="inlineStr">
        <is>
          <t>Bluestone, OH 45501</t>
        </is>
      </c>
      <c r="H63" t="inlineStr">
        <is>
          <t>Medicare</t>
        </is>
      </c>
      <c r="I63" t="inlineStr">
        <is>
          <t>MRN-05528633</t>
        </is>
      </c>
      <c r="J63" t="inlineStr">
        <is>
          <t>2009-02-25 11:05:00</t>
        </is>
      </c>
      <c r="K63" s="28" t="n"/>
      <c r="L63" s="29" t="n"/>
      <c r="M63" s="28" t="n"/>
      <c r="N63" s="28" t="n"/>
      <c r="O63" s="28" t="n"/>
      <c r="P63" s="28" t="n"/>
      <c r="Q63" s="28" t="n"/>
      <c r="R63" s="30" t="n"/>
      <c r="S63" s="28" t="n"/>
    </row>
    <row r="64">
      <c r="A64" t="inlineStr">
        <is>
          <t>R1063</t>
        </is>
      </c>
      <c r="B64" t="inlineStr">
        <is>
          <t>MITCHELL, AUSTIN</t>
        </is>
      </c>
      <c r="C64" t="inlineStr">
        <is>
          <t>1984-09-27</t>
        </is>
      </c>
      <c r="D64" t="inlineStr">
        <is>
          <t>m</t>
        </is>
      </c>
      <c r="E64" t="inlineStr">
        <is>
          <t>(555) 224-4330</t>
        </is>
      </c>
      <c r="G64" t="inlineStr">
        <is>
          <t>Bluestone, OH 45503-3104</t>
        </is>
      </c>
      <c r="H64" t="inlineStr">
        <is>
          <t>Evergreen Mutual</t>
        </is>
      </c>
      <c r="I64" t="inlineStr">
        <is>
          <t>03225016</t>
        </is>
      </c>
      <c r="J64" t="inlineStr">
        <is>
          <t>08/16/2023 07:15 AM</t>
        </is>
      </c>
      <c r="K64" s="28" t="n"/>
      <c r="L64" s="29" t="n"/>
      <c r="M64" s="28" t="n"/>
      <c r="N64" s="28" t="n"/>
      <c r="O64" s="28" t="n"/>
      <c r="P64" s="28" t="n"/>
      <c r="Q64" s="28" t="n"/>
      <c r="R64" s="30" t="n"/>
      <c r="S64" s="28" t="n"/>
    </row>
    <row r="65">
      <c r="A65" t="inlineStr">
        <is>
          <t>R1064</t>
        </is>
      </c>
      <c r="B65" t="inlineStr">
        <is>
          <t>Woods, Rebecca</t>
        </is>
      </c>
      <c r="C65" t="inlineStr">
        <is>
          <t>02/16/2013</t>
        </is>
      </c>
      <c r="D65" t="inlineStr">
        <is>
          <t xml:space="preserve"> F</t>
        </is>
      </c>
      <c r="E65" t="inlineStr">
        <is>
          <t>555-237-5511</t>
        </is>
      </c>
      <c r="F65" t="inlineStr">
        <is>
          <t>N/A</t>
        </is>
      </c>
      <c r="G65" t="inlineStr">
        <is>
          <t>Fairhaven OH 45620</t>
        </is>
      </c>
      <c r="H65" t="inlineStr">
        <is>
          <t>SUMMIT CHOICE PPO</t>
        </is>
      </c>
      <c r="I65" t="inlineStr">
        <is>
          <t>3823788</t>
        </is>
      </c>
      <c r="J65" t="inlineStr">
        <is>
          <t>04/12/2022 08:21 AM</t>
        </is>
      </c>
      <c r="K65" s="28" t="n"/>
      <c r="L65" s="29" t="n"/>
      <c r="M65" s="28" t="n"/>
      <c r="N65" s="28" t="n"/>
      <c r="O65" s="28" t="n"/>
      <c r="P65" s="28" t="n"/>
      <c r="Q65" s="28" t="n"/>
      <c r="R65" s="30" t="n"/>
      <c r="S65" s="28" t="n"/>
    </row>
    <row r="66">
      <c r="A66" t="inlineStr">
        <is>
          <t>R1065</t>
        </is>
      </c>
      <c r="B66" t="inlineStr">
        <is>
          <t>Vazquez, Raymond</t>
        </is>
      </c>
      <c r="C66" t="inlineStr">
        <is>
          <t>12/20/1978</t>
        </is>
      </c>
      <c r="D66" t="inlineStr">
        <is>
          <t>M</t>
        </is>
      </c>
      <c r="E66" t="inlineStr">
        <is>
          <t>555.902.2296</t>
        </is>
      </c>
      <c r="F66" t="inlineStr">
        <is>
          <t>raymond.vazquez97@example.com</t>
        </is>
      </c>
      <c r="G66" t="inlineStr">
        <is>
          <t>Granite Springs, OH 45750</t>
        </is>
      </c>
      <c r="H66" t="inlineStr">
        <is>
          <t>Keystone</t>
        </is>
      </c>
      <c r="I66" t="inlineStr">
        <is>
          <t>2166473</t>
        </is>
      </c>
      <c r="J66" t="inlineStr">
        <is>
          <t>12/10/2013 06:31 PM</t>
        </is>
      </c>
      <c r="K66" s="28" t="n"/>
      <c r="L66" s="29" t="n"/>
      <c r="M66" s="28" t="n"/>
      <c r="N66" s="28" t="n"/>
      <c r="O66" s="28" t="n"/>
      <c r="P66" s="28" t="n"/>
      <c r="Q66" s="28" t="n"/>
      <c r="R66" s="30" t="n"/>
      <c r="S66" s="28" t="n"/>
    </row>
    <row r="67">
      <c r="A67" t="inlineStr">
        <is>
          <t>R1066</t>
        </is>
      </c>
      <c r="B67" t="inlineStr">
        <is>
          <t>RIVERA, JANICE</t>
        </is>
      </c>
      <c r="C67" t="inlineStr">
        <is>
          <t>03-Oct-1954</t>
        </is>
      </c>
      <c r="D67" t="inlineStr">
        <is>
          <t>F</t>
        </is>
      </c>
      <c r="E67" t="inlineStr">
        <is>
          <t>555-215-2910</t>
        </is>
      </c>
      <c r="F67" t="inlineStr">
        <is>
          <t>JANICE.RIVERA6@EXAMPLE.COM</t>
        </is>
      </c>
      <c r="G67" t="inlineStr">
        <is>
          <t>Bluestone OH 45502</t>
        </is>
      </c>
      <c r="H67" t="inlineStr">
        <is>
          <t>Medicare</t>
        </is>
      </c>
      <c r="I67" t="inlineStr">
        <is>
          <t>08967147</t>
        </is>
      </c>
      <c r="J67" t="inlineStr">
        <is>
          <t>10/31/2015 05:43 PM</t>
        </is>
      </c>
      <c r="K67" s="28" t="n"/>
      <c r="L67" s="29" t="n"/>
      <c r="M67" s="28" t="n"/>
      <c r="N67" s="28" t="n"/>
      <c r="O67" s="28" t="n"/>
      <c r="P67" s="28" t="n"/>
      <c r="Q67" s="28" t="n"/>
      <c r="R67" s="30" t="n"/>
      <c r="S67" s="28" t="n"/>
    </row>
    <row r="68">
      <c r="A68" t="inlineStr">
        <is>
          <t>R1067</t>
        </is>
      </c>
      <c r="B68" t="inlineStr">
        <is>
          <t>Baker, Harold</t>
        </is>
      </c>
      <c r="C68" t="inlineStr">
        <is>
          <t>1974-09-03</t>
        </is>
      </c>
      <c r="D68" t="inlineStr">
        <is>
          <t>m</t>
        </is>
      </c>
      <c r="E68" t="inlineStr">
        <is>
          <t>555.394.1033</t>
        </is>
      </c>
      <c r="G68" t="inlineStr">
        <is>
          <t>Bluestone, OH 45503</t>
        </is>
      </c>
      <c r="H68" t="inlineStr">
        <is>
          <t>Summit Choice</t>
        </is>
      </c>
      <c r="I68" t="inlineStr">
        <is>
          <t>02660253</t>
        </is>
      </c>
      <c r="J68" t="inlineStr">
        <is>
          <t>2019-07-04 08:47:00</t>
        </is>
      </c>
      <c r="K68" s="28" t="n"/>
      <c r="L68" s="29" t="n"/>
      <c r="M68" s="28" t="n"/>
      <c r="N68" s="28" t="n"/>
      <c r="O68" s="28" t="n"/>
      <c r="P68" s="28" t="n"/>
      <c r="Q68" s="28" t="n"/>
      <c r="R68" s="30" t="n"/>
      <c r="S68" s="28" t="n"/>
    </row>
    <row r="69">
      <c r="A69" t="inlineStr">
        <is>
          <t>R1068</t>
        </is>
      </c>
      <c r="B69" t="inlineStr">
        <is>
          <t>Webb, Carol</t>
        </is>
      </c>
      <c r="C69" t="inlineStr">
        <is>
          <t>03/21/1989</t>
        </is>
      </c>
      <c r="D69" t="inlineStr">
        <is>
          <t>F</t>
        </is>
      </c>
      <c r="E69" t="inlineStr">
        <is>
          <t>555-368-4845</t>
        </is>
      </c>
      <c r="F69" t="inlineStr">
        <is>
          <t>none</t>
        </is>
      </c>
      <c r="G69" t="inlineStr">
        <is>
          <t>Millbrook, OH 45530</t>
        </is>
      </c>
      <c r="H69" t="inlineStr">
        <is>
          <t>Keystone</t>
        </is>
      </c>
      <c r="I69" t="inlineStr">
        <is>
          <t>4419907</t>
        </is>
      </c>
      <c r="J69" t="inlineStr">
        <is>
          <t>2009-04-11 18:04:00</t>
        </is>
      </c>
      <c r="K69" s="28" t="n"/>
      <c r="L69" s="29" t="n"/>
      <c r="M69" s="28" t="n"/>
      <c r="N69" s="28" t="n"/>
      <c r="O69" s="28" t="n"/>
      <c r="P69" s="28" t="n"/>
      <c r="Q69" s="28" t="n"/>
      <c r="R69" s="30" t="n"/>
      <c r="S69" s="28" t="n"/>
    </row>
    <row r="70">
      <c r="A70" t="inlineStr">
        <is>
          <t>R1069</t>
        </is>
      </c>
      <c r="B70" t="inlineStr">
        <is>
          <t>Boyd, Kayla</t>
        </is>
      </c>
      <c r="C70" t="inlineStr">
        <is>
          <t>1998-11-18</t>
        </is>
      </c>
      <c r="D70" t="inlineStr">
        <is>
          <t>F</t>
        </is>
      </c>
      <c r="E70" t="inlineStr">
        <is>
          <t>(555) 583-8893</t>
        </is>
      </c>
      <c r="F70" t="inlineStr">
        <is>
          <t>none</t>
        </is>
      </c>
      <c r="G70" t="inlineStr">
        <is>
          <t>Bluestone, OH 45503-7785</t>
        </is>
      </c>
      <c r="H70" t="inlineStr">
        <is>
          <t>Medicare</t>
        </is>
      </c>
      <c r="I70" t="inlineStr">
        <is>
          <t>04461134</t>
        </is>
      </c>
      <c r="J70" t="inlineStr">
        <is>
          <t>02/19/2011 01:36 PM</t>
        </is>
      </c>
      <c r="K70" s="28" t="n"/>
      <c r="L70" s="29" t="n"/>
      <c r="M70" s="28" t="n"/>
      <c r="N70" s="28" t="n"/>
      <c r="O70" s="28" t="n"/>
      <c r="P70" s="28" t="n"/>
      <c r="Q70" s="28" t="n"/>
      <c r="R70" s="30" t="n"/>
      <c r="S70" s="28" t="n"/>
    </row>
    <row r="71">
      <c r="A71" t="inlineStr">
        <is>
          <t>R1070</t>
        </is>
      </c>
      <c r="B71" t="inlineStr">
        <is>
          <t>GRIFFIN, AARON</t>
        </is>
      </c>
      <c r="C71" t="inlineStr">
        <is>
          <t>10/08/2006</t>
        </is>
      </c>
      <c r="D71" t="inlineStr">
        <is>
          <t>M</t>
        </is>
      </c>
      <c r="E71" t="inlineStr">
        <is>
          <t>(555) 354-3611</t>
        </is>
      </c>
      <c r="F71" t="inlineStr">
        <is>
          <t>aaron.griffin9@example.com</t>
        </is>
      </c>
      <c r="G71" t="inlineStr">
        <is>
          <t>Millbrook, OH 45530-1254</t>
        </is>
      </c>
      <c r="H71" t="inlineStr">
        <is>
          <t>Evergreen Mutual</t>
        </is>
      </c>
      <c r="I71" t="inlineStr">
        <is>
          <t>05891705</t>
        </is>
      </c>
      <c r="J71" t="inlineStr">
        <is>
          <t>2025-02-24 15:13:00</t>
        </is>
      </c>
      <c r="K71" s="28" t="n"/>
      <c r="L71" s="29" t="n"/>
      <c r="M71" s="28" t="n"/>
      <c r="N71" s="28" t="n"/>
      <c r="O71" s="28" t="n"/>
      <c r="P71" s="28" t="n"/>
      <c r="Q71" s="28" t="n"/>
      <c r="R71" s="30" t="n"/>
      <c r="S71" s="28" t="n"/>
    </row>
    <row r="72">
      <c r="A72" t="inlineStr">
        <is>
          <t>R1071</t>
        </is>
      </c>
      <c r="B72" t="inlineStr">
        <is>
          <t>Graham, Kelly</t>
        </is>
      </c>
      <c r="C72" t="inlineStr">
        <is>
          <t>12/25/1981</t>
        </is>
      </c>
      <c r="D72" t="inlineStr">
        <is>
          <t xml:space="preserve"> F</t>
        </is>
      </c>
      <c r="E72" t="inlineStr">
        <is>
          <t>5558871239</t>
        </is>
      </c>
      <c r="F72" t="inlineStr">
        <is>
          <t>KELLY.GRAHAM65@EXAMPLE.COM</t>
        </is>
      </c>
      <c r="G72" t="inlineStr">
        <is>
          <t>Bluestone OH 45502</t>
        </is>
      </c>
      <c r="H72" t="inlineStr">
        <is>
          <t>Evergreen Mutual</t>
        </is>
      </c>
      <c r="I72" t="inlineStr">
        <is>
          <t>07861473</t>
        </is>
      </c>
      <c r="J72" t="inlineStr">
        <is>
          <t>2015-04-15 11:38:00</t>
        </is>
      </c>
      <c r="K72" s="28" t="n"/>
      <c r="L72" s="29" t="n"/>
      <c r="M72" s="28" t="n"/>
      <c r="N72" s="28" t="n"/>
      <c r="O72" s="28" t="n"/>
      <c r="P72" s="28" t="n"/>
      <c r="Q72" s="28" t="n"/>
      <c r="R72" s="30" t="n"/>
      <c r="S72" s="28" t="n"/>
    </row>
    <row r="73">
      <c r="A73" t="inlineStr">
        <is>
          <t>R1072</t>
        </is>
      </c>
      <c r="B73" t="inlineStr">
        <is>
          <t>Lawrence, James</t>
        </is>
      </c>
      <c r="C73" t="inlineStr">
        <is>
          <t>07-Jun-2008</t>
        </is>
      </c>
      <c r="D73" t="inlineStr">
        <is>
          <t xml:space="preserve">M </t>
        </is>
      </c>
      <c r="E73" t="inlineStr">
        <is>
          <t>(555) 522-7615</t>
        </is>
      </c>
      <c r="G73" t="inlineStr">
        <is>
          <t>Fairhaven, OH 45620</t>
        </is>
      </c>
      <c r="H73" t="inlineStr">
        <is>
          <t>Evergreen Mutual Insurance</t>
        </is>
      </c>
      <c r="I73" t="inlineStr">
        <is>
          <t>07810147</t>
        </is>
      </c>
      <c r="J73" t="inlineStr">
        <is>
          <t>2010-03-06 18:06:00</t>
        </is>
      </c>
      <c r="K73" s="28" t="n"/>
      <c r="L73" s="29" t="n"/>
      <c r="M73" s="28" t="n"/>
      <c r="N73" s="28" t="n"/>
      <c r="O73" s="28" t="n"/>
      <c r="P73" s="28" t="n"/>
      <c r="Q73" s="28" t="n"/>
      <c r="R73" s="30" t="n"/>
      <c r="S73" s="28" t="n"/>
    </row>
    <row r="74">
      <c r="A74" t="inlineStr">
        <is>
          <t>R1073</t>
        </is>
      </c>
      <c r="B74" t="inlineStr">
        <is>
          <t>FORD, GLORIA</t>
        </is>
      </c>
      <c r="C74" t="inlineStr">
        <is>
          <t>3/15/1977</t>
        </is>
      </c>
      <c r="D74" t="inlineStr">
        <is>
          <t>F</t>
        </is>
      </c>
      <c r="E74" t="inlineStr">
        <is>
          <t>(555) 389-4675</t>
        </is>
      </c>
      <c r="F74" t="inlineStr">
        <is>
          <t>none</t>
        </is>
      </c>
      <c r="G74" t="inlineStr">
        <is>
          <t>Bluestone, OH 45501</t>
        </is>
      </c>
      <c r="H74" t="inlineStr">
        <is>
          <t>Medicare Part A</t>
        </is>
      </c>
      <c r="I74" t="inlineStr">
        <is>
          <t>MRN-05547556</t>
        </is>
      </c>
      <c r="J74" t="inlineStr">
        <is>
          <t>2021-05-04 18:00:00</t>
        </is>
      </c>
      <c r="K74" s="28" t="n"/>
      <c r="L74" s="29" t="n"/>
      <c r="M74" s="28" t="n"/>
      <c r="N74" s="28" t="n"/>
      <c r="O74" s="28" t="n"/>
      <c r="P74" s="28" t="n"/>
      <c r="Q74" s="28" t="n"/>
      <c r="R74" s="30" t="n"/>
      <c r="S74" s="28" t="n"/>
    </row>
    <row r="75">
      <c r="A75" t="inlineStr">
        <is>
          <t>R1074</t>
        </is>
      </c>
      <c r="B75" t="inlineStr">
        <is>
          <t>MORRIS, JOYCE</t>
        </is>
      </c>
      <c r="C75" t="inlineStr">
        <is>
          <t>1953-04-10</t>
        </is>
      </c>
      <c r="D75" t="inlineStr">
        <is>
          <t>F</t>
        </is>
      </c>
      <c r="E75" t="inlineStr">
        <is>
          <t>555-239-5019</t>
        </is>
      </c>
      <c r="F75" t="inlineStr">
        <is>
          <t>joyce.morris11@example.com</t>
        </is>
      </c>
      <c r="G75" t="inlineStr">
        <is>
          <t>BLUESTONE, OH 45501</t>
        </is>
      </c>
      <c r="H75" t="inlineStr">
        <is>
          <t xml:space="preserve">Medicare </t>
        </is>
      </c>
      <c r="I75" t="inlineStr">
        <is>
          <t>MRN-02042253</t>
        </is>
      </c>
      <c r="J75" t="inlineStr">
        <is>
          <t>2008-10-08 14:43:00</t>
        </is>
      </c>
      <c r="K75" s="28" t="n"/>
      <c r="L75" s="29" t="n"/>
      <c r="M75" s="28" t="n"/>
      <c r="N75" s="28" t="n"/>
      <c r="O75" s="28" t="n"/>
      <c r="P75" s="28" t="n"/>
      <c r="Q75" s="28" t="n"/>
      <c r="R75" s="30" t="n"/>
      <c r="S75" s="28" t="n"/>
    </row>
    <row r="76">
      <c r="A76" t="inlineStr">
        <is>
          <t>R1075</t>
        </is>
      </c>
      <c r="B76" t="inlineStr">
        <is>
          <t xml:space="preserve">  Mills ,  Rebecca </t>
        </is>
      </c>
      <c r="C76" t="inlineStr">
        <is>
          <t>02/16/1948</t>
        </is>
      </c>
      <c r="D76" t="inlineStr">
        <is>
          <t>Female</t>
        </is>
      </c>
      <c r="E76" t="inlineStr">
        <is>
          <t>(555) 248-0585</t>
        </is>
      </c>
      <c r="F76" t="inlineStr">
        <is>
          <t>N/A</t>
        </is>
      </c>
      <c r="G76" t="inlineStr">
        <is>
          <t>ASHBY FALLS, OH 45610</t>
        </is>
      </c>
      <c r="H76" t="inlineStr">
        <is>
          <t>Silverline Medicare Advantage</t>
        </is>
      </c>
      <c r="I76" t="inlineStr">
        <is>
          <t>08708853</t>
        </is>
      </c>
      <c r="J76" t="inlineStr">
        <is>
          <t>2023-12-10 13:28:00</t>
        </is>
      </c>
      <c r="K76" s="28" t="n"/>
      <c r="L76" s="29" t="n"/>
      <c r="M76" s="28" t="n"/>
      <c r="N76" s="28" t="n"/>
      <c r="O76" s="28" t="n"/>
      <c r="P76" s="28" t="n"/>
      <c r="Q76" s="28" t="n"/>
      <c r="R76" s="30" t="n"/>
      <c r="S76" s="28" t="n"/>
    </row>
    <row r="77">
      <c r="A77" t="inlineStr">
        <is>
          <t>R1076</t>
        </is>
      </c>
      <c r="B77" t="inlineStr">
        <is>
          <t>carroll, lori</t>
        </is>
      </c>
      <c r="C77" t="inlineStr">
        <is>
          <t>30-Mar-1970</t>
        </is>
      </c>
      <c r="D77" t="inlineStr">
        <is>
          <t>f</t>
        </is>
      </c>
      <c r="E77" t="inlineStr">
        <is>
          <t>5552285285</t>
        </is>
      </c>
      <c r="F77" t="inlineStr">
        <is>
          <t xml:space="preserve"> lori.carroll2@example.com </t>
        </is>
      </c>
      <c r="G77" t="inlineStr">
        <is>
          <t>Fairhaven OH 45620</t>
        </is>
      </c>
      <c r="H77" t="inlineStr">
        <is>
          <t>evergreen mutual insurance</t>
        </is>
      </c>
      <c r="I77" t="inlineStr">
        <is>
          <t>MRN-01877775</t>
        </is>
      </c>
      <c r="J77" t="inlineStr">
        <is>
          <t>2016-11-26 12:24:00</t>
        </is>
      </c>
      <c r="K77" s="28" t="n"/>
      <c r="L77" s="29" t="n"/>
      <c r="M77" s="28" t="n"/>
      <c r="N77" s="28" t="n"/>
      <c r="O77" s="28" t="n"/>
      <c r="P77" s="28" t="n"/>
      <c r="Q77" s="28" t="n"/>
      <c r="R77" s="30" t="n"/>
      <c r="S77" s="28" t="n"/>
    </row>
    <row r="78">
      <c r="A78" t="inlineStr">
        <is>
          <t>R1077</t>
        </is>
      </c>
      <c r="B78" t="inlineStr">
        <is>
          <t>Cheryl Nichols</t>
        </is>
      </c>
      <c r="C78" t="inlineStr">
        <is>
          <t>22-Dec-2016</t>
        </is>
      </c>
      <c r="D78" t="inlineStr">
        <is>
          <t>F</t>
        </is>
      </c>
      <c r="E78" t="inlineStr">
        <is>
          <t>(555) 892-8232</t>
        </is>
      </c>
      <c r="F78" t="inlineStr">
        <is>
          <t>N/A</t>
        </is>
      </c>
      <c r="G78" t="inlineStr">
        <is>
          <t>Cedar Ridge OH 45720</t>
        </is>
      </c>
      <c r="H78" t="inlineStr">
        <is>
          <t>Keystone</t>
        </is>
      </c>
      <c r="I78" t="inlineStr">
        <is>
          <t>06732493</t>
        </is>
      </c>
      <c r="J78" t="inlineStr">
        <is>
          <t>05/18/2023 01:08 PM</t>
        </is>
      </c>
      <c r="K78" s="28" t="n"/>
      <c r="L78" s="29" t="n"/>
      <c r="M78" s="28" t="n"/>
      <c r="N78" s="28" t="n"/>
      <c r="O78" s="28" t="n"/>
      <c r="P78" s="28" t="n"/>
      <c r="Q78" s="28" t="n"/>
      <c r="R78" s="30" t="n"/>
      <c r="S78" s="28" t="n"/>
    </row>
    <row r="79">
      <c r="A79" t="inlineStr">
        <is>
          <t>R1078</t>
        </is>
      </c>
      <c r="B79" t="inlineStr">
        <is>
          <t>black, kyle</t>
        </is>
      </c>
      <c r="C79" t="inlineStr">
        <is>
          <t>08/24/1960</t>
        </is>
      </c>
      <c r="D79" t="inlineStr">
        <is>
          <t xml:space="preserve">M </t>
        </is>
      </c>
      <c r="E79" t="inlineStr">
        <is>
          <t>5555735424</t>
        </is>
      </c>
      <c r="F79" t="inlineStr">
        <is>
          <t xml:space="preserve"> kyle.black48@example.com </t>
        </is>
      </c>
      <c r="G79" t="inlineStr">
        <is>
          <t>Granite Springs, OH 45750-8153</t>
        </is>
      </c>
      <c r="H79" t="inlineStr">
        <is>
          <t>Silverline Medicare Advantage</t>
        </is>
      </c>
      <c r="I79" t="inlineStr">
        <is>
          <t>05971081</t>
        </is>
      </c>
      <c r="J79" t="inlineStr">
        <is>
          <t>2023-03-17 17:00:00</t>
        </is>
      </c>
      <c r="K79" s="28" t="n"/>
      <c r="L79" s="29" t="n"/>
      <c r="M79" s="28" t="n"/>
      <c r="N79" s="28" t="n"/>
      <c r="O79" s="28" t="n"/>
      <c r="P79" s="28" t="n"/>
      <c r="Q79" s="28" t="n"/>
      <c r="R79" s="30" t="n"/>
      <c r="S79" s="28" t="n"/>
    </row>
    <row r="80">
      <c r="A80" t="inlineStr">
        <is>
          <t>R1079</t>
        </is>
      </c>
      <c r="B80" t="inlineStr">
        <is>
          <t>Joan Rogers</t>
        </is>
      </c>
      <c r="C80" t="inlineStr">
        <is>
          <t>8/28/1973</t>
        </is>
      </c>
      <c r="D80" t="inlineStr">
        <is>
          <t>f</t>
        </is>
      </c>
      <c r="E80" t="inlineStr">
        <is>
          <t>5557309391</t>
        </is>
      </c>
      <c r="G80" t="inlineStr">
        <is>
          <t>Oak Glen OH 45730</t>
        </is>
      </c>
      <c r="H80" t="inlineStr">
        <is>
          <t>SUMMIT CHOICE PPO</t>
        </is>
      </c>
      <c r="I80" t="inlineStr">
        <is>
          <t>01032557</t>
        </is>
      </c>
      <c r="J80" t="inlineStr">
        <is>
          <t>2019-09-26 18:15:00</t>
        </is>
      </c>
      <c r="K80" s="28" t="n"/>
      <c r="L80" s="29" t="n"/>
      <c r="M80" s="28" t="n"/>
      <c r="N80" s="28" t="n"/>
      <c r="O80" s="28" t="n"/>
      <c r="P80" s="28" t="n"/>
      <c r="Q80" s="28" t="n"/>
      <c r="R80" s="30" t="n"/>
      <c r="S80" s="28" t="n"/>
    </row>
    <row r="81">
      <c r="A81" t="inlineStr">
        <is>
          <t>R1080</t>
        </is>
      </c>
      <c r="B81" t="inlineStr">
        <is>
          <t xml:space="preserve">  Hall ,  Elizabeth </t>
        </is>
      </c>
      <c r="C81" t="inlineStr">
        <is>
          <t>10/13/1930</t>
        </is>
      </c>
      <c r="D81" t="inlineStr">
        <is>
          <t>F</t>
        </is>
      </c>
      <c r="E81" t="inlineStr">
        <is>
          <t>(555) 265-9832</t>
        </is>
      </c>
      <c r="F81" t="inlineStr">
        <is>
          <t>none</t>
        </is>
      </c>
      <c r="G81" t="inlineStr">
        <is>
          <t>Cedar Ridge, OH 45720</t>
        </is>
      </c>
      <c r="H81" t="inlineStr">
        <is>
          <t>MEDICARE</t>
        </is>
      </c>
      <c r="I81" t="inlineStr">
        <is>
          <t>02079944</t>
        </is>
      </c>
      <c r="J81" t="inlineStr">
        <is>
          <t>05/03/2024 08:48 AM</t>
        </is>
      </c>
      <c r="K81" s="28" t="n"/>
      <c r="L81" s="29" t="n"/>
      <c r="M81" s="28" t="n"/>
      <c r="N81" s="28" t="n"/>
      <c r="O81" s="28" t="n"/>
      <c r="P81" s="28" t="n"/>
      <c r="Q81" s="28" t="n"/>
      <c r="R81" s="30" t="n"/>
      <c r="S81" s="28" t="n"/>
    </row>
    <row r="82">
      <c r="A82" t="inlineStr">
        <is>
          <t>R1081</t>
        </is>
      </c>
      <c r="B82" t="inlineStr">
        <is>
          <t>hill, olivia</t>
        </is>
      </c>
      <c r="C82" t="inlineStr">
        <is>
          <t>06/20/1971</t>
        </is>
      </c>
      <c r="D82" t="inlineStr">
        <is>
          <t>FEMALE</t>
        </is>
      </c>
      <c r="E82" t="inlineStr">
        <is>
          <t>(555) 226-4598</t>
        </is>
      </c>
      <c r="G82" t="inlineStr">
        <is>
          <t>Ashby Falls, OH 45610</t>
        </is>
      </c>
      <c r="H82" t="inlineStr">
        <is>
          <t>medicaid</t>
        </is>
      </c>
      <c r="I82" t="inlineStr">
        <is>
          <t>03540862</t>
        </is>
      </c>
      <c r="J82" t="inlineStr">
        <is>
          <t>09/04/2013 09:22 AM</t>
        </is>
      </c>
      <c r="K82" s="28" t="n"/>
      <c r="L82" s="29" t="n"/>
      <c r="M82" s="28" t="n"/>
      <c r="N82" s="28" t="n"/>
      <c r="O82" s="28" t="n"/>
      <c r="P82" s="28" t="n"/>
      <c r="Q82" s="28" t="n"/>
      <c r="R82" s="30" t="n"/>
      <c r="S82" s="28" t="n"/>
    </row>
    <row r="83">
      <c r="A83" t="inlineStr">
        <is>
          <t>R1082</t>
        </is>
      </c>
      <c r="B83" t="inlineStr">
        <is>
          <t>MILLS, JUDITH</t>
        </is>
      </c>
      <c r="C83" t="inlineStr">
        <is>
          <t>11/16/2024</t>
        </is>
      </c>
      <c r="D83" t="inlineStr">
        <is>
          <t>F</t>
        </is>
      </c>
      <c r="E83" t="inlineStr">
        <is>
          <t>+1 555 244 4192</t>
        </is>
      </c>
      <c r="G83" t="inlineStr">
        <is>
          <t>Cedar Ridge OH 45720</t>
        </is>
      </c>
      <c r="H83" t="inlineStr">
        <is>
          <t>Keystone Health Ptnrs</t>
        </is>
      </c>
      <c r="I83" t="inlineStr">
        <is>
          <t>MRN-06895046</t>
        </is>
      </c>
      <c r="J83" t="inlineStr">
        <is>
          <t>2024-01-11 18:27:00</t>
        </is>
      </c>
      <c r="K83" s="28" t="n"/>
      <c r="L83" s="29" t="n"/>
      <c r="M83" s="28" t="n"/>
      <c r="N83" s="28" t="n"/>
      <c r="O83" s="28" t="n"/>
      <c r="P83" s="28" t="n"/>
      <c r="Q83" s="28" t="n"/>
      <c r="R83" s="30" t="n"/>
      <c r="S83" s="28" t="n"/>
    </row>
    <row r="84">
      <c r="A84" t="inlineStr">
        <is>
          <t>R1083</t>
        </is>
      </c>
      <c r="B84" t="inlineStr">
        <is>
          <t>Brian Duncan</t>
        </is>
      </c>
      <c r="C84" t="inlineStr">
        <is>
          <t>12/15/1964</t>
        </is>
      </c>
      <c r="D84" t="inlineStr">
        <is>
          <t xml:space="preserve">M </t>
        </is>
      </c>
      <c r="E84" t="inlineStr">
        <is>
          <t>(555) 319-0716</t>
        </is>
      </c>
      <c r="F84" t="inlineStr">
        <is>
          <t>brian.duncan6@example.com</t>
        </is>
      </c>
      <c r="G84" t="inlineStr">
        <is>
          <t>Bluestone, OH 45501-2072</t>
        </is>
      </c>
      <c r="H84" t="inlineStr">
        <is>
          <t>Uninsured</t>
        </is>
      </c>
      <c r="I84" t="inlineStr">
        <is>
          <t>3531946</t>
        </is>
      </c>
      <c r="J84" t="inlineStr">
        <is>
          <t>02/26/2020 04:50 PM</t>
        </is>
      </c>
      <c r="K84" s="28" t="n"/>
      <c r="L84" s="29" t="n"/>
      <c r="M84" s="28" t="n"/>
      <c r="N84" s="28" t="n"/>
      <c r="O84" s="28" t="n"/>
      <c r="P84" s="28" t="n"/>
      <c r="Q84" s="28" t="n"/>
      <c r="R84" s="30" t="n"/>
      <c r="S84" s="28" t="n"/>
    </row>
    <row r="85">
      <c r="A85" t="inlineStr">
        <is>
          <t>R1084</t>
        </is>
      </c>
      <c r="B85" t="inlineStr">
        <is>
          <t>Alice Gordon</t>
        </is>
      </c>
      <c r="C85" t="inlineStr">
        <is>
          <t>3/12/1975</t>
        </is>
      </c>
      <c r="D85" t="inlineStr">
        <is>
          <t>f</t>
        </is>
      </c>
      <c r="E85" t="inlineStr">
        <is>
          <t>(555) 665-1818</t>
        </is>
      </c>
      <c r="F85" t="inlineStr">
        <is>
          <t>alice.gordon74@example.com</t>
        </is>
      </c>
      <c r="G85" t="inlineStr">
        <is>
          <t>Oak Glen, OH 45730</t>
        </is>
      </c>
      <c r="H85" t="inlineStr">
        <is>
          <t>SUMMIT CHOICE PPO</t>
        </is>
      </c>
      <c r="I85" t="inlineStr">
        <is>
          <t>00169023</t>
        </is>
      </c>
      <c r="J85" t="inlineStr">
        <is>
          <t>07/03/2020 08:22 AM</t>
        </is>
      </c>
      <c r="K85" s="28" t="n"/>
      <c r="L85" s="29" t="n"/>
      <c r="M85" s="28" t="n"/>
      <c r="N85" s="28" t="n"/>
      <c r="O85" s="28" t="n"/>
      <c r="P85" s="28" t="n"/>
      <c r="Q85" s="28" t="n"/>
      <c r="R85" s="30" t="n"/>
      <c r="S85" s="28" t="n"/>
    </row>
    <row r="86">
      <c r="A86" t="inlineStr">
        <is>
          <t>R1085</t>
        </is>
      </c>
      <c r="B86" t="inlineStr">
        <is>
          <t>guzman, scott</t>
        </is>
      </c>
      <c r="C86" t="inlineStr">
        <is>
          <t>6/26/1952</t>
        </is>
      </c>
      <c r="D86" t="inlineStr">
        <is>
          <t>MALE</t>
        </is>
      </c>
      <c r="E86" t="inlineStr">
        <is>
          <t>+1 555 390 7920</t>
        </is>
      </c>
      <c r="F86" t="inlineStr">
        <is>
          <t>none</t>
        </is>
      </c>
      <c r="G86" t="inlineStr">
        <is>
          <t>Bluestone, OH 45503</t>
        </is>
      </c>
      <c r="H86" t="inlineStr">
        <is>
          <t>Medicaid</t>
        </is>
      </c>
      <c r="I86" t="inlineStr">
        <is>
          <t>09325124</t>
        </is>
      </c>
      <c r="J86" t="inlineStr">
        <is>
          <t>2010-01-26 17:45:00</t>
        </is>
      </c>
      <c r="K86" s="28" t="n"/>
      <c r="L86" s="29" t="n"/>
      <c r="M86" s="28" t="n"/>
      <c r="N86" s="28" t="n"/>
      <c r="O86" s="28" t="n"/>
      <c r="P86" s="28" t="n"/>
      <c r="Q86" s="28" t="n"/>
      <c r="R86" s="30" t="n"/>
      <c r="S86" s="28" t="n"/>
    </row>
    <row r="87">
      <c r="A87" t="inlineStr">
        <is>
          <t>R1086</t>
        </is>
      </c>
      <c r="B87" t="inlineStr">
        <is>
          <t>Hicks, Ruth</t>
        </is>
      </c>
      <c r="C87" t="inlineStr">
        <is>
          <t>12/03/1970</t>
        </is>
      </c>
      <c r="D87" t="inlineStr">
        <is>
          <t>Female</t>
        </is>
      </c>
      <c r="E87" t="inlineStr">
        <is>
          <t>(555) 268-7126</t>
        </is>
      </c>
      <c r="F87" t="inlineStr">
        <is>
          <t>ruth.hicks53@example.com</t>
        </is>
      </c>
      <c r="G87" t="inlineStr">
        <is>
          <t>Bluestone, OH 45501-3043</t>
        </is>
      </c>
      <c r="H87" t="inlineStr">
        <is>
          <t xml:space="preserve">Medicare </t>
        </is>
      </c>
      <c r="I87" t="inlineStr">
        <is>
          <t>2664675</t>
        </is>
      </c>
      <c r="J87" t="inlineStr">
        <is>
          <t>05/29/2021 11:58 AM</t>
        </is>
      </c>
      <c r="K87" s="28" t="n"/>
      <c r="L87" s="29" t="n"/>
      <c r="M87" s="28" t="n"/>
      <c r="N87" s="28" t="n"/>
      <c r="O87" s="28" t="n"/>
      <c r="P87" s="28" t="n"/>
      <c r="Q87" s="28" t="n"/>
      <c r="R87" s="30" t="n"/>
      <c r="S87" s="28" t="n"/>
    </row>
    <row r="88">
      <c r="A88" t="inlineStr">
        <is>
          <t>R1087</t>
        </is>
      </c>
      <c r="B88" t="inlineStr">
        <is>
          <t>myers, kenneth</t>
        </is>
      </c>
      <c r="C88" t="inlineStr">
        <is>
          <t>22-May-1993</t>
        </is>
      </c>
      <c r="D88" t="inlineStr">
        <is>
          <t>M</t>
        </is>
      </c>
      <c r="E88" t="inlineStr">
        <is>
          <t>(555) 364-1293</t>
        </is>
      </c>
      <c r="F88" t="inlineStr">
        <is>
          <t>none</t>
        </is>
      </c>
      <c r="G88" t="inlineStr">
        <is>
          <t>Ashby Falls, OH 45610</t>
        </is>
      </c>
      <c r="H88" t="inlineStr">
        <is>
          <t>Self Pay</t>
        </is>
      </c>
      <c r="I88" t="inlineStr">
        <is>
          <t>00887342</t>
        </is>
      </c>
      <c r="J88" t="inlineStr">
        <is>
          <t>03/21/2020 10:14 AM</t>
        </is>
      </c>
      <c r="K88" s="28" t="n"/>
      <c r="L88" s="29" t="n"/>
      <c r="M88" s="28" t="n"/>
      <c r="N88" s="28" t="n"/>
      <c r="O88" s="28" t="n"/>
      <c r="P88" s="28" t="n"/>
      <c r="Q88" s="28" t="n"/>
      <c r="R88" s="30" t="n"/>
      <c r="S88" s="28" t="n"/>
    </row>
    <row r="89">
      <c r="A89" t="inlineStr">
        <is>
          <t>R1088</t>
        </is>
      </c>
      <c r="B89" t="inlineStr">
        <is>
          <t>wright, joe</t>
        </is>
      </c>
      <c r="C89" t="inlineStr">
        <is>
          <t>01.02.1966</t>
        </is>
      </c>
      <c r="D89" t="inlineStr">
        <is>
          <t>m</t>
        </is>
      </c>
      <c r="F89" t="inlineStr">
        <is>
          <t>joe.wright88@example.com</t>
        </is>
      </c>
      <c r="G89" t="inlineStr">
        <is>
          <t>Lakeview Heights OH 45510</t>
        </is>
      </c>
      <c r="H89" t="inlineStr">
        <is>
          <t>Medicaid</t>
        </is>
      </c>
      <c r="I89" t="inlineStr">
        <is>
          <t>07004771</t>
        </is>
      </c>
      <c r="J89" t="inlineStr">
        <is>
          <t>08/05/2022 04:04 PM</t>
        </is>
      </c>
      <c r="K89" s="28" t="n"/>
      <c r="L89" s="29" t="n"/>
      <c r="M89" s="28" t="n"/>
      <c r="N89" s="28" t="n"/>
      <c r="O89" s="28" t="n"/>
      <c r="P89" s="28" t="n"/>
      <c r="Q89" s="28" t="n"/>
      <c r="R89" s="30" t="n"/>
      <c r="S89" s="28" t="n"/>
    </row>
    <row r="90">
      <c r="A90" t="inlineStr">
        <is>
          <t>R1089</t>
        </is>
      </c>
      <c r="B90" t="inlineStr">
        <is>
          <t>Hill, Evelyn</t>
        </is>
      </c>
      <c r="C90" t="inlineStr">
        <is>
          <t>02/21/1985</t>
        </is>
      </c>
      <c r="D90" t="inlineStr">
        <is>
          <t>f</t>
        </is>
      </c>
      <c r="E90" t="inlineStr">
        <is>
          <t>555-303-2019</t>
        </is>
      </c>
      <c r="G90" t="inlineStr">
        <is>
          <t>Cedar Ridge OH 45720</t>
        </is>
      </c>
      <c r="H90" t="inlineStr">
        <is>
          <t>Keystone Health Partners</t>
        </is>
      </c>
      <c r="I90" t="inlineStr">
        <is>
          <t>04354423</t>
        </is>
      </c>
      <c r="J90" t="inlineStr">
        <is>
          <t>2013-03-05 17:26:00</t>
        </is>
      </c>
      <c r="K90" s="28" t="n"/>
      <c r="L90" s="29" t="n"/>
      <c r="M90" s="28" t="n"/>
      <c r="N90" s="28" t="n"/>
      <c r="O90" s="28" t="n"/>
      <c r="P90" s="28" t="n"/>
      <c r="Q90" s="28" t="n"/>
      <c r="R90" s="30" t="n"/>
      <c r="S90" s="28" t="n"/>
    </row>
    <row r="91">
      <c r="A91" t="inlineStr">
        <is>
          <t>R1090</t>
        </is>
      </c>
      <c r="B91" t="inlineStr">
        <is>
          <t>CHEN, CHRISTINE</t>
        </is>
      </c>
      <c r="C91" t="inlineStr">
        <is>
          <t>08.05.1976</t>
        </is>
      </c>
      <c r="D91" t="inlineStr">
        <is>
          <t>F</t>
        </is>
      </c>
      <c r="E91" t="inlineStr">
        <is>
          <t>555-264-8394</t>
        </is>
      </c>
      <c r="F91" t="inlineStr">
        <is>
          <t>christine.chen71@example.com</t>
        </is>
      </c>
      <c r="G91" t="inlineStr">
        <is>
          <t>PINE HOLLOW, OH 45640</t>
        </is>
      </c>
      <c r="H91" t="inlineStr">
        <is>
          <t>Keystone Health Ptnrs</t>
        </is>
      </c>
      <c r="I91" t="inlineStr">
        <is>
          <t>04357028</t>
        </is>
      </c>
      <c r="J91" t="inlineStr">
        <is>
          <t>2023-11-28 15:15:00</t>
        </is>
      </c>
      <c r="K91" s="28" t="n"/>
      <c r="L91" s="29" t="n"/>
      <c r="M91" s="28" t="n"/>
      <c r="N91" s="28" t="n"/>
      <c r="O91" s="28" t="n"/>
      <c r="P91" s="28" t="n"/>
      <c r="Q91" s="28" t="n"/>
      <c r="R91" s="30" t="n"/>
      <c r="S91" s="28" t="n"/>
    </row>
    <row r="92">
      <c r="A92" t="inlineStr">
        <is>
          <t>R1091</t>
        </is>
      </c>
      <c r="B92" t="inlineStr">
        <is>
          <t>Nancy Garcia</t>
        </is>
      </c>
      <c r="C92" t="inlineStr">
        <is>
          <t>09.02.2019</t>
        </is>
      </c>
      <c r="D92" t="inlineStr">
        <is>
          <t>F</t>
        </is>
      </c>
      <c r="E92" t="inlineStr">
        <is>
          <t>+1 555 337 8000</t>
        </is>
      </c>
      <c r="G92" t="inlineStr">
        <is>
          <t>MILLBROOK, OH 45530</t>
        </is>
      </c>
      <c r="H92" t="inlineStr">
        <is>
          <t>SELF PAY</t>
        </is>
      </c>
      <c r="I92" t="inlineStr">
        <is>
          <t>05633680</t>
        </is>
      </c>
      <c r="J92" t="inlineStr">
        <is>
          <t>04/24/2022 04:00 PM</t>
        </is>
      </c>
      <c r="K92" s="28" t="n"/>
      <c r="L92" s="29" t="n"/>
      <c r="M92" s="28" t="n"/>
      <c r="N92" s="28" t="n"/>
      <c r="O92" s="28" t="n"/>
      <c r="P92" s="28" t="n"/>
      <c r="Q92" s="28" t="n"/>
      <c r="R92" s="30" t="n"/>
      <c r="S92" s="28" t="n"/>
    </row>
    <row r="93">
      <c r="A93" t="inlineStr">
        <is>
          <t>R1092</t>
        </is>
      </c>
      <c r="B93" t="inlineStr">
        <is>
          <t>Webb, Cynthia</t>
        </is>
      </c>
      <c r="C93" t="inlineStr">
        <is>
          <t>08/25/1931</t>
        </is>
      </c>
      <c r="D93" t="inlineStr">
        <is>
          <t>FEMALE</t>
        </is>
      </c>
      <c r="E93" t="inlineStr">
        <is>
          <t>(555) 336-7605</t>
        </is>
      </c>
      <c r="G93" t="inlineStr">
        <is>
          <t>Granite Springs, OH 45750</t>
        </is>
      </c>
      <c r="H93" t="inlineStr">
        <is>
          <t>Medicare</t>
        </is>
      </c>
      <c r="I93" t="inlineStr">
        <is>
          <t>6216626</t>
        </is>
      </c>
      <c r="J93" t="inlineStr">
        <is>
          <t>2022-11-18 16:28:00</t>
        </is>
      </c>
      <c r="K93" s="28" t="n"/>
      <c r="L93" s="29" t="n"/>
      <c r="M93" s="28" t="n"/>
      <c r="N93" s="28" t="n"/>
      <c r="O93" s="28" t="n"/>
      <c r="P93" s="28" t="n"/>
      <c r="Q93" s="28" t="n"/>
      <c r="R93" s="30" t="n"/>
      <c r="S93" s="28" t="n"/>
    </row>
    <row r="94">
      <c r="A94" t="inlineStr">
        <is>
          <t>R1093</t>
        </is>
      </c>
      <c r="B94" t="inlineStr">
        <is>
          <t>Kennedy, Larry</t>
        </is>
      </c>
      <c r="C94" t="inlineStr">
        <is>
          <t>03/24/1995</t>
        </is>
      </c>
      <c r="D94" t="inlineStr">
        <is>
          <t>M</t>
        </is>
      </c>
      <c r="E94" t="inlineStr">
        <is>
          <t>(555) 645-4182</t>
        </is>
      </c>
      <c r="G94" t="inlineStr">
        <is>
          <t>Bluestone, OH 45501</t>
        </is>
      </c>
      <c r="H94" t="inlineStr">
        <is>
          <t>Summit Choice PPO</t>
        </is>
      </c>
      <c r="I94" t="inlineStr">
        <is>
          <t>05271904</t>
        </is>
      </c>
      <c r="J94" t="inlineStr">
        <is>
          <t>2024-03-24 16:11:00</t>
        </is>
      </c>
      <c r="K94" s="28" t="n"/>
      <c r="L94" s="29" t="n"/>
      <c r="M94" s="28" t="n"/>
      <c r="N94" s="28" t="n"/>
      <c r="O94" s="28" t="n"/>
      <c r="P94" s="28" t="n"/>
      <c r="Q94" s="28" t="n"/>
      <c r="R94" s="30" t="n"/>
      <c r="S94" s="28" t="n"/>
    </row>
    <row r="95">
      <c r="A95" t="inlineStr">
        <is>
          <t>R1094</t>
        </is>
      </c>
      <c r="B95" t="inlineStr">
        <is>
          <t xml:space="preserve">  Jenkins ,  Jordan </t>
        </is>
      </c>
      <c r="C95" t="inlineStr">
        <is>
          <t>11/30/1970</t>
        </is>
      </c>
      <c r="D95" t="inlineStr">
        <is>
          <t xml:space="preserve">M </t>
        </is>
      </c>
      <c r="E95" t="inlineStr">
        <is>
          <t>555-615-1984</t>
        </is>
      </c>
      <c r="G95" t="inlineStr">
        <is>
          <t>Riverbend, OH 45545</t>
        </is>
      </c>
      <c r="H95" t="inlineStr">
        <is>
          <t>Evergreen Mutual Insurance</t>
        </is>
      </c>
      <c r="I95" t="inlineStr">
        <is>
          <t>03939906</t>
        </is>
      </c>
      <c r="J95" t="inlineStr">
        <is>
          <t>2014-03-12 12:21:00</t>
        </is>
      </c>
      <c r="K95" s="28" t="n"/>
      <c r="L95" s="29" t="n"/>
      <c r="M95" s="28" t="n"/>
      <c r="N95" s="28" t="n"/>
      <c r="O95" s="28" t="n"/>
      <c r="P95" s="28" t="n"/>
      <c r="Q95" s="28" t="n"/>
      <c r="R95" s="30" t="n"/>
      <c r="S95" s="28" t="n"/>
    </row>
    <row r="96">
      <c r="A96" t="inlineStr">
        <is>
          <t>R1095</t>
        </is>
      </c>
      <c r="B96" t="inlineStr">
        <is>
          <t>James Ward</t>
        </is>
      </c>
      <c r="C96" t="inlineStr">
        <is>
          <t>05/07/2011</t>
        </is>
      </c>
      <c r="D96" t="inlineStr">
        <is>
          <t xml:space="preserve">M </t>
        </is>
      </c>
      <c r="E96" t="inlineStr">
        <is>
          <t>(555) 510-4393</t>
        </is>
      </c>
      <c r="G96" t="inlineStr">
        <is>
          <t>Pine Hollow, OH 45640</t>
        </is>
      </c>
      <c r="H96" t="inlineStr">
        <is>
          <t>Medicaid</t>
        </is>
      </c>
      <c r="I96" t="inlineStr">
        <is>
          <t>06565875</t>
        </is>
      </c>
      <c r="J96" t="inlineStr">
        <is>
          <t>04/26/2020 09:54 AM</t>
        </is>
      </c>
      <c r="K96" s="28" t="n"/>
      <c r="L96" s="29" t="n"/>
      <c r="M96" s="28" t="n"/>
      <c r="N96" s="28" t="n"/>
      <c r="O96" s="28" t="n"/>
      <c r="P96" s="28" t="n"/>
      <c r="Q96" s="28" t="n"/>
      <c r="R96" s="30" t="n"/>
      <c r="S96" s="28" t="n"/>
    </row>
    <row r="97">
      <c r="A97" t="inlineStr">
        <is>
          <t>R1096</t>
        </is>
      </c>
      <c r="B97" t="inlineStr">
        <is>
          <t>Gary Butler</t>
        </is>
      </c>
      <c r="C97" t="inlineStr">
        <is>
          <t>7/15/1974</t>
        </is>
      </c>
      <c r="D97" t="inlineStr">
        <is>
          <t xml:space="preserve">M </t>
        </is>
      </c>
      <c r="E97" t="inlineStr">
        <is>
          <t>555-320-7658</t>
        </is>
      </c>
      <c r="F97" t="inlineStr">
        <is>
          <t>GARY.BUTLER7@EXAMPLE.COM</t>
        </is>
      </c>
      <c r="G97" t="inlineStr">
        <is>
          <t>Lakeview Heights, OH 45510</t>
        </is>
      </c>
      <c r="H97" t="inlineStr">
        <is>
          <t>Self Pay</t>
        </is>
      </c>
      <c r="I97" t="inlineStr">
        <is>
          <t>03594697</t>
        </is>
      </c>
      <c r="J97" t="inlineStr">
        <is>
          <t>10/30/2010 12:51 PM</t>
        </is>
      </c>
      <c r="K97" s="28" t="n"/>
      <c r="L97" s="29" t="n"/>
      <c r="M97" s="28" t="n"/>
      <c r="N97" s="28" t="n"/>
      <c r="O97" s="28" t="n"/>
      <c r="P97" s="28" t="n"/>
      <c r="Q97" s="28" t="n"/>
      <c r="R97" s="30" t="n"/>
      <c r="S97" s="28" t="n"/>
    </row>
    <row r="98">
      <c r="A98" t="inlineStr">
        <is>
          <t>R1097</t>
        </is>
      </c>
      <c r="B98" t="inlineStr">
        <is>
          <t>Lewis, Justin</t>
        </is>
      </c>
      <c r="C98" t="inlineStr">
        <is>
          <t>10/28/1975</t>
        </is>
      </c>
      <c r="D98" t="inlineStr">
        <is>
          <t>M</t>
        </is>
      </c>
      <c r="E98" t="inlineStr">
        <is>
          <t>(555) 837-9187</t>
        </is>
      </c>
      <c r="F98" t="inlineStr">
        <is>
          <t>justin.lewis28@example.com</t>
        </is>
      </c>
      <c r="G98" t="inlineStr">
        <is>
          <t>Bluestone, OH 45501</t>
        </is>
      </c>
      <c r="H98" t="inlineStr">
        <is>
          <t>Summit Choice</t>
        </is>
      </c>
      <c r="I98" t="inlineStr">
        <is>
          <t>01918074</t>
        </is>
      </c>
      <c r="J98" t="inlineStr">
        <is>
          <t>2024-03-28 13:04:00</t>
        </is>
      </c>
      <c r="K98" s="28" t="n"/>
      <c r="L98" s="29" t="n"/>
      <c r="M98" s="28" t="n"/>
      <c r="N98" s="28" t="n"/>
      <c r="O98" s="28" t="n"/>
      <c r="P98" s="28" t="n"/>
      <c r="Q98" s="28" t="n"/>
      <c r="R98" s="30" t="n"/>
      <c r="S98" s="28" t="n"/>
    </row>
    <row r="99">
      <c r="A99" t="inlineStr">
        <is>
          <t>R1098</t>
        </is>
      </c>
      <c r="B99" t="inlineStr">
        <is>
          <t>Stephens, Thomas</t>
        </is>
      </c>
      <c r="C99" t="inlineStr">
        <is>
          <t>2017-01-15</t>
        </is>
      </c>
      <c r="D99" t="inlineStr">
        <is>
          <t>M</t>
        </is>
      </c>
      <c r="E99" t="inlineStr">
        <is>
          <t>555.529.1908</t>
        </is>
      </c>
      <c r="F99" t="inlineStr">
        <is>
          <t>N/A</t>
        </is>
      </c>
      <c r="G99" t="inlineStr">
        <is>
          <t>Bluestone, OH 45501-7876</t>
        </is>
      </c>
      <c r="H99" t="inlineStr">
        <is>
          <t>STATE MEDICAID</t>
        </is>
      </c>
      <c r="I99" t="inlineStr">
        <is>
          <t>MRN-04172198</t>
        </is>
      </c>
      <c r="J99" t="inlineStr">
        <is>
          <t>2023-02-22 15:55:00</t>
        </is>
      </c>
      <c r="K99" s="28" t="n"/>
      <c r="L99" s="29" t="n"/>
      <c r="M99" s="28" t="n"/>
      <c r="N99" s="28" t="n"/>
      <c r="O99" s="28" t="n"/>
      <c r="P99" s="28" t="n"/>
      <c r="Q99" s="28" t="n"/>
      <c r="R99" s="30" t="n"/>
      <c r="S99" s="28" t="n"/>
    </row>
    <row r="100">
      <c r="A100" t="inlineStr">
        <is>
          <t>R1099</t>
        </is>
      </c>
      <c r="B100" t="inlineStr">
        <is>
          <t xml:space="preserve">  Pierce ,  Donald </t>
        </is>
      </c>
      <c r="C100" t="inlineStr">
        <is>
          <t>02/15/1982</t>
        </is>
      </c>
      <c r="D100" t="inlineStr">
        <is>
          <t>M</t>
        </is>
      </c>
      <c r="E100" t="inlineStr">
        <is>
          <t>555-530-0421</t>
        </is>
      </c>
      <c r="F100" t="inlineStr">
        <is>
          <t>DONALD.PIERCE84@EXAMPLE.COM</t>
        </is>
      </c>
      <c r="G100" t="inlineStr">
        <is>
          <t>Bluestone, OH 45502</t>
        </is>
      </c>
      <c r="H100" t="inlineStr">
        <is>
          <t>KEYSTONE HEALTH PARTNERS</t>
        </is>
      </c>
      <c r="I100" t="inlineStr">
        <is>
          <t>1983869</t>
        </is>
      </c>
      <c r="J100" t="inlineStr">
        <is>
          <t>05/31/2013 06:54 PM</t>
        </is>
      </c>
      <c r="K100" s="28" t="n"/>
      <c r="L100" s="29" t="n"/>
      <c r="M100" s="28" t="n"/>
      <c r="N100" s="28" t="n"/>
      <c r="O100" s="28" t="n"/>
      <c r="P100" s="28" t="n"/>
      <c r="Q100" s="28" t="n"/>
      <c r="R100" s="30" t="n"/>
      <c r="S100" s="28" t="n"/>
    </row>
    <row r="101">
      <c r="A101" t="inlineStr">
        <is>
          <t>R1100</t>
        </is>
      </c>
      <c r="B101" t="inlineStr">
        <is>
          <t>WEBB, OLIVIA</t>
        </is>
      </c>
      <c r="C101" t="inlineStr">
        <is>
          <t>1958-06-03</t>
        </is>
      </c>
      <c r="D101" t="inlineStr">
        <is>
          <t>FEMALE</t>
        </is>
      </c>
      <c r="E101" t="inlineStr">
        <is>
          <t>(555) 800-9787</t>
        </is>
      </c>
      <c r="F101" t="inlineStr">
        <is>
          <t>olivia.webb19@example.com</t>
        </is>
      </c>
      <c r="G101" t="inlineStr">
        <is>
          <t>Lakeview Heights, OH 45510</t>
        </is>
      </c>
      <c r="H101" t="inlineStr">
        <is>
          <t>medicare</t>
        </is>
      </c>
      <c r="I101" t="inlineStr">
        <is>
          <t>1715298</t>
        </is>
      </c>
      <c r="J101" t="inlineStr">
        <is>
          <t>2018-11-30 11:09:00</t>
        </is>
      </c>
      <c r="K101" s="28" t="n"/>
      <c r="L101" s="29" t="n"/>
      <c r="M101" s="28" t="n"/>
      <c r="N101" s="28" t="n"/>
      <c r="O101" s="28" t="n"/>
      <c r="P101" s="28" t="n"/>
      <c r="Q101" s="28" t="n"/>
      <c r="R101" s="30" t="n"/>
      <c r="S101" s="28" t="n"/>
    </row>
    <row r="102">
      <c r="A102" t="inlineStr">
        <is>
          <t>R1101</t>
        </is>
      </c>
      <c r="B102" t="inlineStr">
        <is>
          <t>Kim, Bruce</t>
        </is>
      </c>
      <c r="C102" t="inlineStr">
        <is>
          <t>2017-07-29</t>
        </is>
      </c>
      <c r="D102" t="inlineStr">
        <is>
          <t>M</t>
        </is>
      </c>
      <c r="E102" t="inlineStr">
        <is>
          <t>(555) 371-9508</t>
        </is>
      </c>
      <c r="F102" t="inlineStr">
        <is>
          <t>N/A</t>
        </is>
      </c>
      <c r="G102" t="inlineStr">
        <is>
          <t>Cedar Ridge, OH 45720</t>
        </is>
      </c>
      <c r="H102" t="inlineStr">
        <is>
          <t>Keystone Health Ptnrs</t>
        </is>
      </c>
      <c r="I102" t="inlineStr">
        <is>
          <t>00317850</t>
        </is>
      </c>
      <c r="J102" t="inlineStr">
        <is>
          <t>05/19/2018 11:51 AM</t>
        </is>
      </c>
      <c r="K102" s="28" t="n"/>
      <c r="L102" s="29" t="n"/>
      <c r="M102" s="28" t="n"/>
      <c r="N102" s="28" t="n"/>
      <c r="O102" s="28" t="n"/>
      <c r="P102" s="28" t="n"/>
      <c r="Q102" s="28" t="n"/>
      <c r="R102" s="30" t="n"/>
      <c r="S102" s="28" t="n"/>
    </row>
    <row r="103">
      <c r="A103" t="inlineStr">
        <is>
          <t>R1102</t>
        </is>
      </c>
      <c r="B103" t="inlineStr">
        <is>
          <t>HART, LAUREN</t>
        </is>
      </c>
      <c r="C103" t="inlineStr">
        <is>
          <t>02/25/2023</t>
        </is>
      </c>
      <c r="D103" t="inlineStr">
        <is>
          <t>F</t>
        </is>
      </c>
      <c r="E103" t="inlineStr">
        <is>
          <t>(555) 395-0840</t>
        </is>
      </c>
      <c r="F103" t="inlineStr">
        <is>
          <t>N/A</t>
        </is>
      </c>
      <c r="G103" t="inlineStr">
        <is>
          <t>Oak Glen, OH 45730</t>
        </is>
      </c>
      <c r="H103" t="inlineStr">
        <is>
          <t>Evergreen Mutual Insurance</t>
        </is>
      </c>
      <c r="I103" t="inlineStr">
        <is>
          <t>MRN-02455918</t>
        </is>
      </c>
      <c r="J103" t="inlineStr">
        <is>
          <t>2023-03-01 10:13:00</t>
        </is>
      </c>
      <c r="K103" s="28" t="n"/>
      <c r="L103" s="29" t="n"/>
      <c r="M103" s="28" t="n"/>
      <c r="N103" s="28" t="n"/>
      <c r="O103" s="28" t="n"/>
      <c r="P103" s="28" t="n"/>
      <c r="Q103" s="28" t="n"/>
      <c r="R103" s="30" t="n"/>
      <c r="S103" s="28" t="n"/>
    </row>
    <row r="104">
      <c r="A104" t="inlineStr">
        <is>
          <t>R1103</t>
        </is>
      </c>
      <c r="B104" t="inlineStr">
        <is>
          <t>Shaw, Michael</t>
        </is>
      </c>
      <c r="C104" t="inlineStr">
        <is>
          <t>5/12/1953</t>
        </is>
      </c>
      <c r="D104" t="inlineStr">
        <is>
          <t xml:space="preserve">M </t>
        </is>
      </c>
      <c r="E104" t="inlineStr">
        <is>
          <t>(555) 373-4984</t>
        </is>
      </c>
      <c r="G104" t="inlineStr">
        <is>
          <t>Ashby Falls, OH 45610</t>
        </is>
      </c>
      <c r="H104" t="inlineStr">
        <is>
          <t>Silverline Medicare Advantage</t>
        </is>
      </c>
      <c r="I104" t="inlineStr">
        <is>
          <t>MRN-00903733</t>
        </is>
      </c>
      <c r="J104" t="inlineStr">
        <is>
          <t>2014-05-14 15:59:00</t>
        </is>
      </c>
      <c r="K104" s="28" t="n"/>
      <c r="L104" s="29" t="n"/>
      <c r="M104" s="28" t="n"/>
      <c r="N104" s="28" t="n"/>
      <c r="O104" s="28" t="n"/>
      <c r="P104" s="28" t="n"/>
      <c r="Q104" s="28" t="n"/>
      <c r="R104" s="30" t="n"/>
      <c r="S104" s="28" t="n"/>
    </row>
    <row r="105">
      <c r="A105" t="inlineStr">
        <is>
          <t>R1104</t>
        </is>
      </c>
      <c r="B105" t="inlineStr">
        <is>
          <t>LEWIS, STEPHEN</t>
        </is>
      </c>
      <c r="C105" t="inlineStr">
        <is>
          <t>21-Apr-1983</t>
        </is>
      </c>
      <c r="D105" t="inlineStr">
        <is>
          <t xml:space="preserve">M </t>
        </is>
      </c>
      <c r="E105" t="inlineStr">
        <is>
          <t>(555) 470-3353</t>
        </is>
      </c>
      <c r="F105" t="inlineStr">
        <is>
          <t xml:space="preserve"> stephen.lewis74@example.com </t>
        </is>
      </c>
      <c r="G105" t="inlineStr">
        <is>
          <t>Cedar Ridge OH 45720</t>
        </is>
      </c>
      <c r="H105" t="inlineStr">
        <is>
          <t>KEYSTONE HEALTH PARTNERS</t>
        </is>
      </c>
      <c r="I105" t="inlineStr">
        <is>
          <t>09813532</t>
        </is>
      </c>
      <c r="J105" t="inlineStr">
        <is>
          <t>2018-02-02 16:06:00</t>
        </is>
      </c>
      <c r="K105" s="28" t="n"/>
      <c r="L105" s="29" t="n"/>
      <c r="M105" s="28" t="n"/>
      <c r="N105" s="28" t="n"/>
      <c r="O105" s="28" t="n"/>
      <c r="P105" s="28" t="n"/>
      <c r="Q105" s="28" t="n"/>
      <c r="R105" s="30" t="n"/>
      <c r="S105" s="28" t="n"/>
    </row>
    <row r="106">
      <c r="A106" t="inlineStr">
        <is>
          <t>R1105</t>
        </is>
      </c>
      <c r="B106" t="inlineStr">
        <is>
          <t>Brenda Richards</t>
        </is>
      </c>
      <c r="C106" t="inlineStr">
        <is>
          <t>25-Jan-1985</t>
        </is>
      </c>
      <c r="D106" t="inlineStr">
        <is>
          <t>f</t>
        </is>
      </c>
      <c r="E106" t="inlineStr">
        <is>
          <t>(555) 982-9201</t>
        </is>
      </c>
      <c r="G106" t="inlineStr">
        <is>
          <t>Bluestone, OH 45503</t>
        </is>
      </c>
      <c r="H106" t="inlineStr">
        <is>
          <t>Evergreen Mutual</t>
        </is>
      </c>
      <c r="I106" t="inlineStr">
        <is>
          <t>08573115</t>
        </is>
      </c>
      <c r="J106" t="inlineStr">
        <is>
          <t>2011-11-07 09:16:00</t>
        </is>
      </c>
      <c r="K106" s="28" t="n"/>
      <c r="L106" s="29" t="n"/>
      <c r="M106" s="28" t="n"/>
      <c r="N106" s="28" t="n"/>
      <c r="O106" s="28" t="n"/>
      <c r="P106" s="28" t="n"/>
      <c r="Q106" s="28" t="n"/>
      <c r="R106" s="30" t="n"/>
      <c r="S106" s="28" t="n"/>
    </row>
    <row r="107">
      <c r="A107" t="inlineStr">
        <is>
          <t>R1106</t>
        </is>
      </c>
      <c r="B107" t="inlineStr">
        <is>
          <t>Evans, Megan</t>
        </is>
      </c>
      <c r="C107" t="inlineStr">
        <is>
          <t>1983-01-15</t>
        </is>
      </c>
      <c r="D107" t="inlineStr">
        <is>
          <t>F</t>
        </is>
      </c>
      <c r="E107" t="inlineStr">
        <is>
          <t>555-765-2910</t>
        </is>
      </c>
      <c r="F107" t="inlineStr">
        <is>
          <t xml:space="preserve"> megan.evans38@example.com </t>
        </is>
      </c>
      <c r="G107" t="inlineStr">
        <is>
          <t>Bluestone, OH 45502-6220</t>
        </is>
      </c>
      <c r="H107" t="inlineStr">
        <is>
          <t>medicaid</t>
        </is>
      </c>
      <c r="I107" t="inlineStr">
        <is>
          <t>09012782</t>
        </is>
      </c>
      <c r="J107" t="inlineStr">
        <is>
          <t>10/01/2023 07:14 AM</t>
        </is>
      </c>
      <c r="K107" s="28" t="n"/>
      <c r="L107" s="29" t="n"/>
      <c r="M107" s="28" t="n"/>
      <c r="N107" s="28" t="n"/>
      <c r="O107" s="28" t="n"/>
      <c r="P107" s="28" t="n"/>
      <c r="Q107" s="28" t="n"/>
      <c r="R107" s="30" t="n"/>
      <c r="S107" s="28" t="n"/>
    </row>
    <row r="108">
      <c r="A108" t="inlineStr">
        <is>
          <t>R1107</t>
        </is>
      </c>
      <c r="B108" t="inlineStr">
        <is>
          <t xml:space="preserve">  Lawrence ,  James </t>
        </is>
      </c>
      <c r="C108" t="inlineStr">
        <is>
          <t>06/07/2008</t>
        </is>
      </c>
      <c r="D108" t="inlineStr">
        <is>
          <t>MALE</t>
        </is>
      </c>
      <c r="E108" t="inlineStr">
        <is>
          <t>5555227615</t>
        </is>
      </c>
      <c r="G108" t="inlineStr">
        <is>
          <t>Fairhaven OH 45620</t>
        </is>
      </c>
      <c r="H108" t="inlineStr">
        <is>
          <t>Evergreen Mutual Insurance</t>
        </is>
      </c>
      <c r="I108" t="inlineStr">
        <is>
          <t>07810147</t>
        </is>
      </c>
      <c r="J108" t="inlineStr">
        <is>
          <t>03/06/2010 07:24 AM</t>
        </is>
      </c>
      <c r="K108" s="28" t="n"/>
      <c r="L108" s="29" t="n"/>
      <c r="M108" s="28" t="n"/>
      <c r="N108" s="28" t="n"/>
      <c r="O108" s="28" t="n"/>
      <c r="P108" s="28" t="n"/>
      <c r="Q108" s="28" t="n"/>
      <c r="R108" s="30" t="n"/>
      <c r="S108" s="28" t="n"/>
    </row>
    <row r="109">
      <c r="A109" t="inlineStr">
        <is>
          <t>R1108</t>
        </is>
      </c>
      <c r="B109" t="inlineStr">
        <is>
          <t>Cole, Ivan</t>
        </is>
      </c>
      <c r="C109" t="inlineStr">
        <is>
          <t>7/27/1979</t>
        </is>
      </c>
      <c r="D109" t="inlineStr">
        <is>
          <t>M</t>
        </is>
      </c>
      <c r="E109" t="inlineStr">
        <is>
          <t>555.653.4539</t>
        </is>
      </c>
      <c r="G109" t="inlineStr">
        <is>
          <t>Bluestone, OH 45501</t>
        </is>
      </c>
      <c r="H109" t="inlineStr">
        <is>
          <t>Keystone Health Partners</t>
        </is>
      </c>
      <c r="I109" t="inlineStr">
        <is>
          <t>8307991</t>
        </is>
      </c>
      <c r="J109" t="inlineStr">
        <is>
          <t>10/16/2022 11:46 AM</t>
        </is>
      </c>
      <c r="K109" s="28" t="n"/>
      <c r="L109" s="29" t="n"/>
      <c r="M109" s="28" t="n"/>
      <c r="N109" s="28" t="n"/>
      <c r="O109" s="28" t="n"/>
      <c r="P109" s="28" t="n"/>
      <c r="Q109" s="28" t="n"/>
      <c r="R109" s="30" t="n"/>
      <c r="S109" s="28" t="n"/>
    </row>
    <row r="110">
      <c r="A110" t="inlineStr">
        <is>
          <t>R1109</t>
        </is>
      </c>
      <c r="B110" t="inlineStr">
        <is>
          <t>Vargas, Alexis</t>
        </is>
      </c>
      <c r="C110" t="inlineStr">
        <is>
          <t>2017-11-23</t>
        </is>
      </c>
      <c r="D110" t="inlineStr">
        <is>
          <t>Female</t>
        </is>
      </c>
      <c r="E110" t="inlineStr">
        <is>
          <t>555-871-7984</t>
        </is>
      </c>
      <c r="G110" t="inlineStr">
        <is>
          <t>Lakeview Heights, OH 45510</t>
        </is>
      </c>
      <c r="H110" t="inlineStr">
        <is>
          <t>Keystone</t>
        </is>
      </c>
      <c r="I110" t="inlineStr">
        <is>
          <t>5450661</t>
        </is>
      </c>
      <c r="J110" t="inlineStr">
        <is>
          <t>08/22/2022 12:33 PM</t>
        </is>
      </c>
      <c r="K110" s="28" t="n"/>
      <c r="L110" s="29" t="n"/>
      <c r="M110" s="28" t="n"/>
      <c r="N110" s="28" t="n"/>
      <c r="O110" s="28" t="n"/>
      <c r="P110" s="28" t="n"/>
      <c r="Q110" s="28" t="n"/>
      <c r="R110" s="30" t="n"/>
      <c r="S110" s="28" t="n"/>
    </row>
    <row r="111">
      <c r="A111" t="inlineStr">
        <is>
          <t>R1110</t>
        </is>
      </c>
      <c r="B111" t="inlineStr">
        <is>
          <t>Berry, Larry</t>
        </is>
      </c>
      <c r="C111" t="inlineStr">
        <is>
          <t>04.14.1966</t>
        </is>
      </c>
      <c r="D111" t="inlineStr">
        <is>
          <t xml:space="preserve">M </t>
        </is>
      </c>
      <c r="E111" t="inlineStr">
        <is>
          <t>555-405-4877</t>
        </is>
      </c>
      <c r="F111" t="inlineStr">
        <is>
          <t>larry.berry13@example.com</t>
        </is>
      </c>
      <c r="G111" t="inlineStr">
        <is>
          <t>Lakeview Heights, OH 45510</t>
        </is>
      </c>
      <c r="H111" t="inlineStr">
        <is>
          <t>State Medicaid</t>
        </is>
      </c>
      <c r="I111" t="inlineStr">
        <is>
          <t>02495145</t>
        </is>
      </c>
      <c r="J111" t="inlineStr">
        <is>
          <t>12/13/2022 03:31 PM</t>
        </is>
      </c>
      <c r="K111" s="28" t="n"/>
      <c r="L111" s="29" t="n"/>
      <c r="M111" s="28" t="n"/>
      <c r="N111" s="28" t="n"/>
      <c r="O111" s="28" t="n"/>
      <c r="P111" s="28" t="n"/>
      <c r="Q111" s="28" t="n"/>
      <c r="R111" s="30" t="n"/>
      <c r="S111" s="28" t="n"/>
    </row>
    <row r="112">
      <c r="A112" t="inlineStr">
        <is>
          <t>R1111</t>
        </is>
      </c>
      <c r="B112" t="inlineStr">
        <is>
          <t>Abdi, Jack</t>
        </is>
      </c>
      <c r="C112" t="inlineStr">
        <is>
          <t>10/22/1967</t>
        </is>
      </c>
      <c r="D112" t="inlineStr">
        <is>
          <t>m</t>
        </is>
      </c>
      <c r="E112" t="inlineStr">
        <is>
          <t>555-439-9741</t>
        </is>
      </c>
      <c r="F112" t="inlineStr">
        <is>
          <t>jack.abdi32@example.com</t>
        </is>
      </c>
      <c r="G112" t="inlineStr">
        <is>
          <t>Bluestone, OH 45502</t>
        </is>
      </c>
      <c r="H112" t="inlineStr">
        <is>
          <t>Keystone Health Partners</t>
        </is>
      </c>
      <c r="I112" t="inlineStr">
        <is>
          <t>02531372</t>
        </is>
      </c>
      <c r="J112" t="inlineStr">
        <is>
          <t>2015-09-30 15:37:00</t>
        </is>
      </c>
      <c r="K112" s="28" t="n"/>
      <c r="L112" s="29" t="n"/>
      <c r="M112" s="28" t="n"/>
      <c r="N112" s="28" t="n"/>
      <c r="O112" s="28" t="n"/>
      <c r="P112" s="28" t="n"/>
      <c r="Q112" s="28" t="n"/>
      <c r="R112" s="30" t="n"/>
      <c r="S112" s="28" t="n"/>
    </row>
    <row r="113">
      <c r="A113" t="inlineStr">
        <is>
          <t>R1112</t>
        </is>
      </c>
      <c r="B113" t="inlineStr">
        <is>
          <t>Reynolds, Isabella</t>
        </is>
      </c>
      <c r="C113" t="inlineStr">
        <is>
          <t>12/13/1947</t>
        </is>
      </c>
      <c r="D113" t="inlineStr">
        <is>
          <t>FEMALE</t>
        </is>
      </c>
      <c r="E113" t="inlineStr">
        <is>
          <t>(555) 575-8192</t>
        </is>
      </c>
      <c r="F113" t="inlineStr">
        <is>
          <t>ISABELLA.REYNOLDS40@EXAMPLE.COM</t>
        </is>
      </c>
      <c r="G113" t="inlineStr">
        <is>
          <t>Granite Springs, OH 45750-6869</t>
        </is>
      </c>
      <c r="H113" t="inlineStr">
        <is>
          <t>MEDICARE</t>
        </is>
      </c>
      <c r="I113" t="inlineStr">
        <is>
          <t>02373873</t>
        </is>
      </c>
      <c r="J113" t="inlineStr">
        <is>
          <t>2017-03-22 07:11:00</t>
        </is>
      </c>
      <c r="K113" s="28" t="n"/>
      <c r="L113" s="29" t="n"/>
      <c r="M113" s="28" t="n"/>
      <c r="N113" s="28" t="n"/>
      <c r="O113" s="28" t="n"/>
      <c r="P113" s="28" t="n"/>
      <c r="Q113" s="28" t="n"/>
      <c r="R113" s="30" t="n"/>
      <c r="S113" s="28" t="n"/>
    </row>
    <row r="114">
      <c r="A114" t="inlineStr">
        <is>
          <t>R1113</t>
        </is>
      </c>
      <c r="B114" t="inlineStr">
        <is>
          <t>REYES, GEORGE</t>
        </is>
      </c>
      <c r="C114" t="inlineStr">
        <is>
          <t>09/26/2021</t>
        </is>
      </c>
      <c r="D114" t="inlineStr">
        <is>
          <t>Male</t>
        </is>
      </c>
      <c r="E114" t="inlineStr">
        <is>
          <t>5557438583</t>
        </is>
      </c>
      <c r="G114" t="inlineStr">
        <is>
          <t>Bluestone OH 45502</t>
        </is>
      </c>
      <c r="H114" t="inlineStr">
        <is>
          <t>Keystone Health Partners</t>
        </is>
      </c>
      <c r="I114" t="inlineStr">
        <is>
          <t>MRN-06444684</t>
        </is>
      </c>
      <c r="J114" t="inlineStr">
        <is>
          <t>2022-06-09 09:41:00</t>
        </is>
      </c>
      <c r="K114" s="28" t="n"/>
      <c r="L114" s="29" t="n"/>
      <c r="M114" s="28" t="n"/>
      <c r="N114" s="28" t="n"/>
      <c r="O114" s="28" t="n"/>
      <c r="P114" s="28" t="n"/>
      <c r="Q114" s="28" t="n"/>
      <c r="R114" s="30" t="n"/>
      <c r="S114" s="28" t="n"/>
    </row>
    <row r="115">
      <c r="A115" t="inlineStr">
        <is>
          <t>R1114</t>
        </is>
      </c>
      <c r="B115" t="inlineStr">
        <is>
          <t>Garza, Brenda</t>
        </is>
      </c>
      <c r="C115" t="inlineStr">
        <is>
          <t>01/25/1954</t>
        </is>
      </c>
      <c r="D115" t="inlineStr">
        <is>
          <t>FEMALE</t>
        </is>
      </c>
      <c r="F115" t="inlineStr">
        <is>
          <t>brenda.garza62@example.com</t>
        </is>
      </c>
      <c r="G115" t="inlineStr">
        <is>
          <t>Millbrook, OH 45530</t>
        </is>
      </c>
      <c r="H115" t="inlineStr">
        <is>
          <t xml:space="preserve">Silverline Medicare Advantage </t>
        </is>
      </c>
      <c r="I115" t="inlineStr">
        <is>
          <t>00889017</t>
        </is>
      </c>
      <c r="J115" t="inlineStr">
        <is>
          <t>06/03/2019 07:55 AM</t>
        </is>
      </c>
      <c r="K115" s="28" t="n"/>
      <c r="L115" s="29" t="n"/>
      <c r="M115" s="28" t="n"/>
      <c r="N115" s="28" t="n"/>
      <c r="O115" s="28" t="n"/>
      <c r="P115" s="28" t="n"/>
      <c r="Q115" s="28" t="n"/>
      <c r="R115" s="30" t="n"/>
      <c r="S115" s="28" t="n"/>
    </row>
    <row r="116">
      <c r="A116" t="inlineStr">
        <is>
          <t>R1115</t>
        </is>
      </c>
      <c r="B116" t="inlineStr">
        <is>
          <t>Martinez, Julie</t>
        </is>
      </c>
      <c r="C116" t="inlineStr">
        <is>
          <t>09/09/1938</t>
        </is>
      </c>
      <c r="D116" t="inlineStr">
        <is>
          <t>f</t>
        </is>
      </c>
      <c r="E116" t="inlineStr">
        <is>
          <t>5553703297</t>
        </is>
      </c>
      <c r="F116" t="inlineStr">
        <is>
          <t>JULIE.MARTINEZ24@EXAMPLE.COM</t>
        </is>
      </c>
      <c r="G116" t="inlineStr">
        <is>
          <t>ASHBY FALLS, OH 45610</t>
        </is>
      </c>
      <c r="H116" t="inlineStr">
        <is>
          <t>Keystone</t>
        </is>
      </c>
      <c r="I116" t="inlineStr">
        <is>
          <t>01941487</t>
        </is>
      </c>
      <c r="J116" t="inlineStr">
        <is>
          <t>2021-06-24 08:21:00</t>
        </is>
      </c>
      <c r="K116" s="28" t="n"/>
      <c r="L116" s="29" t="n"/>
      <c r="M116" s="28" t="n"/>
      <c r="N116" s="28" t="n"/>
      <c r="O116" s="28" t="n"/>
      <c r="P116" s="28" t="n"/>
      <c r="Q116" s="28" t="n"/>
      <c r="R116" s="30" t="n"/>
      <c r="S116" s="28" t="n"/>
    </row>
    <row r="117">
      <c r="A117" t="inlineStr">
        <is>
          <t>R1116</t>
        </is>
      </c>
      <c r="B117" t="inlineStr">
        <is>
          <t>Rodriguez, Natalie</t>
        </is>
      </c>
      <c r="C117" t="inlineStr">
        <is>
          <t>8/22/2022</t>
        </is>
      </c>
      <c r="D117" t="inlineStr">
        <is>
          <t>Female</t>
        </is>
      </c>
      <c r="E117" t="inlineStr">
        <is>
          <t>(555) 828-3586</t>
        </is>
      </c>
      <c r="G117" t="inlineStr">
        <is>
          <t>Riverbend, OH 45545</t>
        </is>
      </c>
      <c r="H117" t="inlineStr">
        <is>
          <t>medicaid</t>
        </is>
      </c>
      <c r="I117" t="inlineStr">
        <is>
          <t>00800061</t>
        </is>
      </c>
      <c r="J117" t="inlineStr">
        <is>
          <t>2023-04-12 08:52:00</t>
        </is>
      </c>
      <c r="K117" s="28" t="n"/>
      <c r="L117" s="29" t="n"/>
      <c r="M117" s="28" t="n"/>
      <c r="N117" s="28" t="n"/>
      <c r="O117" s="28" t="n"/>
      <c r="P117" s="28" t="n"/>
      <c r="Q117" s="28" t="n"/>
      <c r="R117" s="30" t="n"/>
      <c r="S117" s="28" t="n"/>
    </row>
    <row r="118">
      <c r="A118" t="inlineStr">
        <is>
          <t>R1117</t>
        </is>
      </c>
      <c r="B118" t="inlineStr">
        <is>
          <t>Petrov, Steven</t>
        </is>
      </c>
      <c r="C118" t="inlineStr">
        <is>
          <t>5/31/1950</t>
        </is>
      </c>
      <c r="D118" t="inlineStr">
        <is>
          <t xml:space="preserve">M </t>
        </is>
      </c>
      <c r="E118" t="inlineStr">
        <is>
          <t>(555) 360-7665</t>
        </is>
      </c>
      <c r="F118" t="inlineStr">
        <is>
          <t>steven.petrov50@example.com</t>
        </is>
      </c>
      <c r="G118" t="inlineStr">
        <is>
          <t>Fairhaven, OH 45620</t>
        </is>
      </c>
      <c r="H118" t="inlineStr">
        <is>
          <t>SILVERLINE MEDICARE ADV.</t>
        </is>
      </c>
      <c r="I118" t="inlineStr">
        <is>
          <t>3470651</t>
        </is>
      </c>
      <c r="J118" t="inlineStr">
        <is>
          <t>10/15/2018 11:47 AM</t>
        </is>
      </c>
      <c r="K118" s="28" t="n"/>
      <c r="L118" s="29" t="n"/>
      <c r="M118" s="28" t="n"/>
      <c r="N118" s="28" t="n"/>
      <c r="O118" s="28" t="n"/>
      <c r="P118" s="28" t="n"/>
      <c r="Q118" s="28" t="n"/>
      <c r="R118" s="30" t="n"/>
      <c r="S118" s="28" t="n"/>
    </row>
    <row r="119">
      <c r="A119" t="inlineStr">
        <is>
          <t>R1118</t>
        </is>
      </c>
      <c r="B119" t="inlineStr">
        <is>
          <t xml:space="preserve">  Fisher ,  Jordan </t>
        </is>
      </c>
      <c r="C119" t="inlineStr">
        <is>
          <t>06/20/1995</t>
        </is>
      </c>
      <c r="D119" t="inlineStr">
        <is>
          <t>Male</t>
        </is>
      </c>
      <c r="E119" t="inlineStr">
        <is>
          <t>555.439.0726</t>
        </is>
      </c>
      <c r="F119" t="inlineStr">
        <is>
          <t>jordan.fisher9@example.com</t>
        </is>
      </c>
      <c r="G119" t="inlineStr">
        <is>
          <t>Millbrook OH 45530</t>
        </is>
      </c>
      <c r="H119" t="inlineStr">
        <is>
          <t>Summit Choice PPO</t>
        </is>
      </c>
      <c r="I119" t="inlineStr">
        <is>
          <t>00145898</t>
        </is>
      </c>
      <c r="J119" t="inlineStr">
        <is>
          <t>2010-09-20 08:35:00</t>
        </is>
      </c>
      <c r="K119" s="28" t="n"/>
      <c r="L119" s="29" t="n"/>
      <c r="M119" s="28" t="n"/>
      <c r="N119" s="28" t="n"/>
      <c r="O119" s="28" t="n"/>
      <c r="P119" s="28" t="n"/>
      <c r="Q119" s="28" t="n"/>
      <c r="R119" s="30" t="n"/>
      <c r="S119" s="28" t="n"/>
    </row>
    <row r="120">
      <c r="A120" t="inlineStr">
        <is>
          <t>R1119</t>
        </is>
      </c>
      <c r="B120" t="inlineStr">
        <is>
          <t>Romero, Ronald</t>
        </is>
      </c>
      <c r="C120" t="inlineStr">
        <is>
          <t>09/25/2024</t>
        </is>
      </c>
      <c r="D120" t="inlineStr">
        <is>
          <t xml:space="preserve">M </t>
        </is>
      </c>
      <c r="E120" t="inlineStr">
        <is>
          <t>(555) 497-7584</t>
        </is>
      </c>
      <c r="G120" t="inlineStr">
        <is>
          <t>Fairhaven, OH 45620</t>
        </is>
      </c>
      <c r="H120" t="inlineStr">
        <is>
          <t>State Medicaid</t>
        </is>
      </c>
      <c r="I120" t="inlineStr">
        <is>
          <t>3842543</t>
        </is>
      </c>
      <c r="J120" t="inlineStr">
        <is>
          <t>2024-01-02 18:23:00</t>
        </is>
      </c>
      <c r="K120" s="28" t="n"/>
      <c r="L120" s="29" t="n"/>
      <c r="M120" s="28" t="n"/>
      <c r="N120" s="28" t="n"/>
      <c r="O120" s="28" t="n"/>
      <c r="P120" s="28" t="n"/>
      <c r="Q120" s="28" t="n"/>
      <c r="R120" s="30" t="n"/>
      <c r="S120" s="28" t="n"/>
    </row>
    <row r="121">
      <c r="A121" t="inlineStr">
        <is>
          <t>R1120</t>
        </is>
      </c>
      <c r="B121" t="inlineStr">
        <is>
          <t>HAYES, ROGER</t>
        </is>
      </c>
      <c r="C121" t="inlineStr">
        <is>
          <t>07.21.1999</t>
        </is>
      </c>
      <c r="D121" t="inlineStr">
        <is>
          <t>m</t>
        </is>
      </c>
      <c r="E121" t="inlineStr">
        <is>
          <t>555.653.9148</t>
        </is>
      </c>
      <c r="F121" t="inlineStr">
        <is>
          <t>ROGER.HAYES63@EXAMPLE.COM</t>
        </is>
      </c>
      <c r="G121" t="inlineStr">
        <is>
          <t>Lakeview Heights OH 45510</t>
        </is>
      </c>
      <c r="H121" t="inlineStr">
        <is>
          <t>KEYSTONE HEALTH PARTNERS</t>
        </is>
      </c>
      <c r="I121" t="inlineStr">
        <is>
          <t>MRN-06876509</t>
        </is>
      </c>
      <c r="J121" t="inlineStr">
        <is>
          <t>2016-08-14 07:29:00</t>
        </is>
      </c>
      <c r="K121" s="28" t="n"/>
      <c r="L121" s="29" t="n"/>
      <c r="M121" s="28" t="n"/>
      <c r="N121" s="28" t="n"/>
      <c r="O121" s="28" t="n"/>
      <c r="P121" s="28" t="n"/>
      <c r="Q121" s="28" t="n"/>
      <c r="R121" s="30" t="n"/>
      <c r="S121" s="28" t="n"/>
    </row>
    <row r="122">
      <c r="A122" t="inlineStr">
        <is>
          <t>R1121</t>
        </is>
      </c>
      <c r="B122" t="inlineStr">
        <is>
          <t>Okafor, Julie</t>
        </is>
      </c>
      <c r="C122" t="inlineStr">
        <is>
          <t>2017-10-15</t>
        </is>
      </c>
      <c r="D122" t="inlineStr">
        <is>
          <t xml:space="preserve"> F</t>
        </is>
      </c>
      <c r="E122" t="inlineStr">
        <is>
          <t>5558910943</t>
        </is>
      </c>
      <c r="G122" t="inlineStr">
        <is>
          <t>Bluestone, OH 45501-6520</t>
        </is>
      </c>
      <c r="H122" t="inlineStr">
        <is>
          <t>State Medicaid</t>
        </is>
      </c>
      <c r="I122" t="inlineStr">
        <is>
          <t>08308962</t>
        </is>
      </c>
      <c r="J122" t="inlineStr">
        <is>
          <t>2018-02-13 15:55:00</t>
        </is>
      </c>
      <c r="K122" s="28" t="n"/>
      <c r="L122" s="29" t="n"/>
      <c r="M122" s="28" t="n"/>
      <c r="N122" s="28" t="n"/>
      <c r="O122" s="28" t="n"/>
      <c r="P122" s="28" t="n"/>
      <c r="Q122" s="28" t="n"/>
      <c r="R122" s="30" t="n"/>
      <c r="S122" s="28" t="n"/>
    </row>
    <row r="123">
      <c r="A123" t="inlineStr">
        <is>
          <t>R1122</t>
        </is>
      </c>
      <c r="B123" t="inlineStr">
        <is>
          <t>MENDEZ, AHMED</t>
        </is>
      </c>
      <c r="C123" t="inlineStr">
        <is>
          <t>05/17/1957</t>
        </is>
      </c>
      <c r="D123" t="inlineStr">
        <is>
          <t>m</t>
        </is>
      </c>
      <c r="E123" t="inlineStr">
        <is>
          <t>(555) 245-0134</t>
        </is>
      </c>
      <c r="F123" t="inlineStr">
        <is>
          <t>ahmed.mendez12@example.com</t>
        </is>
      </c>
      <c r="G123" t="inlineStr">
        <is>
          <t>Oak Glen, OH 45730</t>
        </is>
      </c>
      <c r="H123" t="inlineStr">
        <is>
          <t>Silverline MA</t>
        </is>
      </c>
      <c r="I123" t="inlineStr">
        <is>
          <t>06294115</t>
        </is>
      </c>
      <c r="J123" t="inlineStr">
        <is>
          <t>12/06/2008 04:07 PM</t>
        </is>
      </c>
      <c r="K123" s="28" t="n"/>
      <c r="L123" s="29" t="n"/>
      <c r="M123" s="28" t="n"/>
      <c r="N123" s="28" t="n"/>
      <c r="O123" s="28" t="n"/>
      <c r="P123" s="28" t="n"/>
      <c r="Q123" s="28" t="n"/>
      <c r="R123" s="30" t="n"/>
      <c r="S123" s="28" t="n"/>
    </row>
    <row r="124">
      <c r="A124" t="inlineStr">
        <is>
          <t>R1123</t>
        </is>
      </c>
      <c r="B124" t="inlineStr">
        <is>
          <t>Torres, Jason</t>
        </is>
      </c>
      <c r="C124" t="inlineStr">
        <is>
          <t>05/17/1966</t>
        </is>
      </c>
      <c r="D124" t="inlineStr">
        <is>
          <t>M</t>
        </is>
      </c>
      <c r="E124" t="inlineStr">
        <is>
          <t>(555) 267-5116</t>
        </is>
      </c>
      <c r="F124" t="inlineStr">
        <is>
          <t xml:space="preserve"> jason.torres65@example.com </t>
        </is>
      </c>
      <c r="G124" t="inlineStr">
        <is>
          <t>Cedar Ridge, OH 45720</t>
        </is>
      </c>
      <c r="H124" t="inlineStr">
        <is>
          <t>SELF PAY</t>
        </is>
      </c>
      <c r="I124" t="inlineStr">
        <is>
          <t>MRN-02172512</t>
        </is>
      </c>
      <c r="J124" t="inlineStr">
        <is>
          <t>2014-09-15 09:38:00</t>
        </is>
      </c>
      <c r="K124" s="28" t="n"/>
      <c r="L124" s="29" t="n"/>
      <c r="M124" s="28" t="n"/>
      <c r="N124" s="28" t="n"/>
      <c r="O124" s="28" t="n"/>
      <c r="P124" s="28" t="n"/>
      <c r="Q124" s="28" t="n"/>
      <c r="R124" s="30" t="n"/>
      <c r="S124" s="28" t="n"/>
    </row>
    <row r="125">
      <c r="A125" t="inlineStr">
        <is>
          <t>R1124</t>
        </is>
      </c>
      <c r="B125" t="inlineStr">
        <is>
          <t>KIM, RONALD</t>
        </is>
      </c>
      <c r="C125" t="inlineStr">
        <is>
          <t>10/29/1991</t>
        </is>
      </c>
      <c r="D125" t="inlineStr">
        <is>
          <t>M</t>
        </is>
      </c>
      <c r="E125" t="inlineStr">
        <is>
          <t>+1 555 212 7953</t>
        </is>
      </c>
      <c r="F125" t="inlineStr">
        <is>
          <t>ronald.kim77@example.com</t>
        </is>
      </c>
      <c r="G125" t="inlineStr">
        <is>
          <t>Bluestone OH 45503</t>
        </is>
      </c>
      <c r="H125" t="inlineStr">
        <is>
          <t>KEYSTONE HEALTH PARTNERS</t>
        </is>
      </c>
      <c r="I125" t="inlineStr">
        <is>
          <t>1159652</t>
        </is>
      </c>
      <c r="J125" t="inlineStr">
        <is>
          <t>2014-03-12 07:02:00</t>
        </is>
      </c>
      <c r="K125" s="28" t="n"/>
      <c r="L125" s="29" t="n"/>
      <c r="M125" s="28" t="n"/>
      <c r="N125" s="28" t="n"/>
      <c r="O125" s="28" t="n"/>
      <c r="P125" s="28" t="n"/>
      <c r="Q125" s="28" t="n"/>
      <c r="R125" s="30" t="n"/>
      <c r="S125" s="28" t="n"/>
    </row>
    <row r="126">
      <c r="A126" t="inlineStr">
        <is>
          <t>R1125</t>
        </is>
      </c>
      <c r="B126" t="inlineStr">
        <is>
          <t>HICKS, LIAM</t>
        </is>
      </c>
      <c r="C126" t="inlineStr">
        <is>
          <t>1989-03-26</t>
        </is>
      </c>
      <c r="D126" t="inlineStr">
        <is>
          <t>M</t>
        </is>
      </c>
      <c r="E126" t="inlineStr">
        <is>
          <t>555.805.1442</t>
        </is>
      </c>
      <c r="F126" t="inlineStr">
        <is>
          <t>liam.hicks44@example.com</t>
        </is>
      </c>
      <c r="G126" t="inlineStr">
        <is>
          <t>Bluestone, OH 45502</t>
        </is>
      </c>
      <c r="H126" t="inlineStr">
        <is>
          <t>Summit Choice</t>
        </is>
      </c>
      <c r="I126" t="inlineStr">
        <is>
          <t>MRN-05908693</t>
        </is>
      </c>
      <c r="J126" t="inlineStr">
        <is>
          <t>07/13/2008 11:46 AM</t>
        </is>
      </c>
      <c r="K126" s="28" t="n"/>
      <c r="L126" s="29" t="n"/>
      <c r="M126" s="28" t="n"/>
      <c r="N126" s="28" t="n"/>
      <c r="O126" s="28" t="n"/>
      <c r="P126" s="28" t="n"/>
      <c r="Q126" s="28" t="n"/>
      <c r="R126" s="30" t="n"/>
      <c r="S126" s="28" t="n"/>
    </row>
    <row r="127">
      <c r="A127" t="inlineStr">
        <is>
          <t>R1126</t>
        </is>
      </c>
      <c r="B127" t="inlineStr">
        <is>
          <t>Barnes, Alice</t>
        </is>
      </c>
      <c r="C127" t="inlineStr">
        <is>
          <t>1956-10-24</t>
        </is>
      </c>
      <c r="D127" t="inlineStr">
        <is>
          <t>f</t>
        </is>
      </c>
      <c r="E127" t="inlineStr">
        <is>
          <t>(555) 880-3261</t>
        </is>
      </c>
      <c r="F127" t="inlineStr">
        <is>
          <t>alice.barnes62@example.com</t>
        </is>
      </c>
      <c r="G127" t="inlineStr">
        <is>
          <t>Ashby Falls, OH 45610</t>
        </is>
      </c>
      <c r="H127" t="inlineStr">
        <is>
          <t>Medicare Part A</t>
        </is>
      </c>
      <c r="I127" t="inlineStr">
        <is>
          <t>08140971</t>
        </is>
      </c>
      <c r="J127" t="inlineStr">
        <is>
          <t>03/19/2010 01:21 PM</t>
        </is>
      </c>
      <c r="K127" s="28" t="n"/>
      <c r="L127" s="29" t="n"/>
      <c r="M127" s="28" t="n"/>
      <c r="N127" s="28" t="n"/>
      <c r="O127" s="28" t="n"/>
      <c r="P127" s="28" t="n"/>
      <c r="Q127" s="28" t="n"/>
      <c r="R127" s="30" t="n"/>
      <c r="S127" s="28" t="n"/>
    </row>
    <row r="128">
      <c r="A128" t="inlineStr">
        <is>
          <t>R1127</t>
        </is>
      </c>
      <c r="B128" t="inlineStr">
        <is>
          <t>Camila Abbott</t>
        </is>
      </c>
      <c r="C128" t="inlineStr">
        <is>
          <t>09/20/1982</t>
        </is>
      </c>
      <c r="D128" t="inlineStr">
        <is>
          <t xml:space="preserve"> F</t>
        </is>
      </c>
      <c r="E128" t="inlineStr">
        <is>
          <t>555-703-6887</t>
        </is>
      </c>
      <c r="F128" t="inlineStr">
        <is>
          <t>N/A</t>
        </is>
      </c>
      <c r="G128" t="inlineStr">
        <is>
          <t>Bluestone, OH 45501</t>
        </is>
      </c>
      <c r="H128" t="inlineStr">
        <is>
          <t>Evergreen Mutual</t>
        </is>
      </c>
      <c r="I128" t="inlineStr">
        <is>
          <t>8142734</t>
        </is>
      </c>
      <c r="J128" t="inlineStr">
        <is>
          <t>2017-04-28 12:54:00</t>
        </is>
      </c>
      <c r="K128" s="28" t="n"/>
      <c r="L128" s="29" t="n"/>
      <c r="M128" s="28" t="n"/>
      <c r="N128" s="28" t="n"/>
      <c r="O128" s="28" t="n"/>
      <c r="P128" s="28" t="n"/>
      <c r="Q128" s="28" t="n"/>
      <c r="R128" s="30" t="n"/>
      <c r="S128" s="28" t="n"/>
    </row>
    <row r="129">
      <c r="A129" t="inlineStr">
        <is>
          <t>R1128</t>
        </is>
      </c>
      <c r="B129" t="inlineStr">
        <is>
          <t>Martin, Ruth</t>
        </is>
      </c>
      <c r="C129" t="inlineStr">
        <is>
          <t>02-Jan-2017</t>
        </is>
      </c>
      <c r="D129" t="inlineStr">
        <is>
          <t xml:space="preserve"> F</t>
        </is>
      </c>
      <c r="E129" t="inlineStr">
        <is>
          <t>5559840781</t>
        </is>
      </c>
      <c r="F129" t="inlineStr">
        <is>
          <t>none</t>
        </is>
      </c>
      <c r="G129" t="inlineStr">
        <is>
          <t>Pine Hollow, OH 45640</t>
        </is>
      </c>
      <c r="H129" t="inlineStr">
        <is>
          <t>STATE MEDICAID</t>
        </is>
      </c>
      <c r="I129" t="inlineStr">
        <is>
          <t>2595019</t>
        </is>
      </c>
      <c r="J129" t="inlineStr">
        <is>
          <t>2024-01-14 10:07:00</t>
        </is>
      </c>
      <c r="K129" s="28" t="n"/>
      <c r="L129" s="29" t="n"/>
      <c r="M129" s="28" t="n"/>
      <c r="N129" s="28" t="n"/>
      <c r="O129" s="28" t="n"/>
      <c r="P129" s="28" t="n"/>
      <c r="Q129" s="28" t="n"/>
      <c r="R129" s="30" t="n"/>
      <c r="S129" s="28" t="n"/>
    </row>
    <row r="130">
      <c r="A130" t="inlineStr">
        <is>
          <t>R1129</t>
        </is>
      </c>
      <c r="B130" t="inlineStr">
        <is>
          <t>Gomez, Kenneth</t>
        </is>
      </c>
      <c r="C130" t="inlineStr">
        <is>
          <t>01/16/1993</t>
        </is>
      </c>
      <c r="D130" t="inlineStr">
        <is>
          <t>M</t>
        </is>
      </c>
      <c r="E130" t="inlineStr">
        <is>
          <t>5559125524</t>
        </is>
      </c>
      <c r="G130" t="inlineStr">
        <is>
          <t>Bluestone, OH 45502</t>
        </is>
      </c>
      <c r="H130" t="inlineStr">
        <is>
          <t>STATE MEDICAID</t>
        </is>
      </c>
      <c r="I130" t="inlineStr">
        <is>
          <t>06125388</t>
        </is>
      </c>
      <c r="J130" t="inlineStr">
        <is>
          <t>2010-04-17 18:57:00</t>
        </is>
      </c>
      <c r="K130" s="28" t="n"/>
      <c r="L130" s="29" t="n"/>
      <c r="M130" s="28" t="n"/>
      <c r="N130" s="28" t="n"/>
      <c r="O130" s="28" t="n"/>
      <c r="P130" s="28" t="n"/>
      <c r="Q130" s="28" t="n"/>
      <c r="R130" s="30" t="n"/>
      <c r="S130" s="28" t="n"/>
    </row>
    <row r="131">
      <c r="A131" t="inlineStr">
        <is>
          <t>R1130</t>
        </is>
      </c>
      <c r="B131" t="inlineStr">
        <is>
          <t>FERNANDEZ, OLIVIA</t>
        </is>
      </c>
      <c r="C131" t="inlineStr">
        <is>
          <t>01/28/1965</t>
        </is>
      </c>
      <c r="D131" t="inlineStr">
        <is>
          <t>F</t>
        </is>
      </c>
      <c r="E131" t="inlineStr">
        <is>
          <t>555-829-2894</t>
        </is>
      </c>
      <c r="F131" t="inlineStr">
        <is>
          <t>olivia.fernandez60@example.com</t>
        </is>
      </c>
      <c r="G131" t="inlineStr">
        <is>
          <t>Bluestone, OH 45501</t>
        </is>
      </c>
      <c r="H131" t="inlineStr">
        <is>
          <t>self-pay</t>
        </is>
      </c>
      <c r="I131" t="inlineStr">
        <is>
          <t>05937268</t>
        </is>
      </c>
      <c r="J131" t="inlineStr">
        <is>
          <t>2023-05-17 12:30:00</t>
        </is>
      </c>
      <c r="K131" s="28" t="n"/>
      <c r="L131" s="29" t="n"/>
      <c r="M131" s="28" t="n"/>
      <c r="N131" s="28" t="n"/>
      <c r="O131" s="28" t="n"/>
      <c r="P131" s="28" t="n"/>
      <c r="Q131" s="28" t="n"/>
      <c r="R131" s="30" t="n"/>
      <c r="S131" s="28" t="n"/>
    </row>
    <row r="132">
      <c r="A132" t="inlineStr">
        <is>
          <t>R1131</t>
        </is>
      </c>
      <c r="B132" t="inlineStr">
        <is>
          <t>PALMER, JEREMY</t>
        </is>
      </c>
      <c r="C132" t="inlineStr">
        <is>
          <t>02-Aug-2021</t>
        </is>
      </c>
      <c r="D132" t="inlineStr">
        <is>
          <t>M</t>
        </is>
      </c>
      <c r="E132" t="inlineStr">
        <is>
          <t>555-943-1980</t>
        </is>
      </c>
      <c r="G132" t="inlineStr">
        <is>
          <t>BLUESTONE, OH 45502</t>
        </is>
      </c>
      <c r="H132" t="inlineStr">
        <is>
          <t>Medicaid</t>
        </is>
      </c>
      <c r="I132" t="inlineStr">
        <is>
          <t>MRN-02353502</t>
        </is>
      </c>
      <c r="J132" t="inlineStr">
        <is>
          <t>2024-09-23 08:25:00</t>
        </is>
      </c>
      <c r="K132" s="28" t="n"/>
      <c r="L132" s="29" t="n"/>
      <c r="M132" s="28" t="n"/>
      <c r="N132" s="28" t="n"/>
      <c r="O132" s="28" t="n"/>
      <c r="P132" s="28" t="n"/>
      <c r="Q132" s="28" t="n"/>
      <c r="R132" s="30" t="n"/>
      <c r="S132" s="28" t="n"/>
    </row>
    <row r="133">
      <c r="A133" t="inlineStr">
        <is>
          <t>R1132</t>
        </is>
      </c>
      <c r="B133" t="inlineStr">
        <is>
          <t>O'BRIEN, GERALD</t>
        </is>
      </c>
      <c r="C133" t="inlineStr">
        <is>
          <t>03-Apr-1951</t>
        </is>
      </c>
      <c r="D133" t="inlineStr">
        <is>
          <t>M</t>
        </is>
      </c>
      <c r="E133" t="inlineStr">
        <is>
          <t>5558841724</t>
        </is>
      </c>
      <c r="F133" t="inlineStr">
        <is>
          <t>gerald.obrien57@example.com</t>
        </is>
      </c>
      <c r="G133" t="inlineStr">
        <is>
          <t>Ashby Falls, OH 45610</t>
        </is>
      </c>
      <c r="H133" t="inlineStr">
        <is>
          <t xml:space="preserve">Medicare </t>
        </is>
      </c>
      <c r="I133" t="inlineStr">
        <is>
          <t>08915176</t>
        </is>
      </c>
      <c r="J133" t="inlineStr">
        <is>
          <t>2021-09-24 16:32:00</t>
        </is>
      </c>
      <c r="K133" s="28" t="n"/>
      <c r="L133" s="29" t="n"/>
      <c r="M133" s="28" t="n"/>
      <c r="N133" s="28" t="n"/>
      <c r="O133" s="28" t="n"/>
      <c r="P133" s="28" t="n"/>
      <c r="Q133" s="28" t="n"/>
      <c r="R133" s="30" t="n"/>
      <c r="S133" s="28" t="n"/>
    </row>
    <row r="134">
      <c r="A134" t="inlineStr">
        <is>
          <t>R1133</t>
        </is>
      </c>
      <c r="B134" t="inlineStr">
        <is>
          <t>Cruz, Sarah</t>
        </is>
      </c>
      <c r="C134" t="inlineStr">
        <is>
          <t>01/13/1973</t>
        </is>
      </c>
      <c r="D134" t="inlineStr">
        <is>
          <t>f</t>
        </is>
      </c>
      <c r="E134" t="inlineStr">
        <is>
          <t>555.697.2896</t>
        </is>
      </c>
      <c r="F134" t="inlineStr">
        <is>
          <t>sarah.cruz64@example.com</t>
        </is>
      </c>
      <c r="G134" t="inlineStr">
        <is>
          <t>Bluestone, OH 45503-7960</t>
        </is>
      </c>
      <c r="H134" t="inlineStr">
        <is>
          <t>Keystone Health Partners</t>
        </is>
      </c>
      <c r="I134" t="inlineStr">
        <is>
          <t>02316374</t>
        </is>
      </c>
      <c r="J134" t="inlineStr">
        <is>
          <t>2012-07-15 13:25:00</t>
        </is>
      </c>
      <c r="K134" s="28" t="n"/>
      <c r="L134" s="29" t="n"/>
      <c r="M134" s="28" t="n"/>
      <c r="N134" s="28" t="n"/>
      <c r="O134" s="28" t="n"/>
      <c r="P134" s="28" t="n"/>
      <c r="Q134" s="28" t="n"/>
      <c r="R134" s="30" t="n"/>
      <c r="S134" s="28" t="n"/>
    </row>
    <row r="135">
      <c r="A135" t="inlineStr">
        <is>
          <t>R1134</t>
        </is>
      </c>
      <c r="B135" t="inlineStr">
        <is>
          <t>Simpson, Charlotte</t>
        </is>
      </c>
      <c r="C135" t="inlineStr">
        <is>
          <t>12/26/1994</t>
        </is>
      </c>
      <c r="D135" t="inlineStr">
        <is>
          <t>F</t>
        </is>
      </c>
      <c r="E135" t="inlineStr">
        <is>
          <t>555-947-1385</t>
        </is>
      </c>
      <c r="F135" t="inlineStr">
        <is>
          <t xml:space="preserve"> charlotte.simpson5@example.com </t>
        </is>
      </c>
      <c r="G135" t="inlineStr">
        <is>
          <t>Ashby Falls OH 45610</t>
        </is>
      </c>
      <c r="H135" t="inlineStr">
        <is>
          <t>Keystone Health Partners</t>
        </is>
      </c>
      <c r="I135" t="inlineStr">
        <is>
          <t>652911</t>
        </is>
      </c>
      <c r="J135" t="inlineStr">
        <is>
          <t>2023-12-19 11:22:00</t>
        </is>
      </c>
      <c r="K135" s="28" t="n"/>
      <c r="L135" s="29" t="n"/>
      <c r="M135" s="28" t="n"/>
      <c r="N135" s="28" t="n"/>
      <c r="O135" s="28" t="n"/>
      <c r="P135" s="28" t="n"/>
      <c r="Q135" s="28" t="n"/>
      <c r="R135" s="30" t="n"/>
      <c r="S135" s="28" t="n"/>
    </row>
    <row r="136">
      <c r="A136" t="inlineStr">
        <is>
          <t>R1135</t>
        </is>
      </c>
      <c r="B136" t="inlineStr">
        <is>
          <t>Ryan, Betty</t>
        </is>
      </c>
      <c r="C136" t="inlineStr">
        <is>
          <t>08/24/1987</t>
        </is>
      </c>
      <c r="D136" t="inlineStr">
        <is>
          <t xml:space="preserve"> F</t>
        </is>
      </c>
      <c r="E136" t="inlineStr">
        <is>
          <t>5558095500</t>
        </is>
      </c>
      <c r="F136" t="inlineStr">
        <is>
          <t>betty.ryan47@example.com</t>
        </is>
      </c>
      <c r="G136" t="inlineStr">
        <is>
          <t>Oak Glen, OH 45730</t>
        </is>
      </c>
      <c r="H136" t="inlineStr">
        <is>
          <t>Summit PPO</t>
        </is>
      </c>
      <c r="I136" t="inlineStr">
        <is>
          <t>221821</t>
        </is>
      </c>
      <c r="J136" t="inlineStr">
        <is>
          <t>2011-08-19 07:34:00</t>
        </is>
      </c>
      <c r="K136" s="28" t="n"/>
      <c r="L136" s="29" t="n"/>
      <c r="M136" s="28" t="n"/>
      <c r="N136" s="28" t="n"/>
      <c r="O136" s="28" t="n"/>
      <c r="P136" s="28" t="n"/>
      <c r="Q136" s="28" t="n"/>
      <c r="R136" s="30" t="n"/>
      <c r="S136" s="28" t="n"/>
    </row>
    <row r="137">
      <c r="A137" t="inlineStr">
        <is>
          <t>R1136</t>
        </is>
      </c>
      <c r="B137" t="inlineStr">
        <is>
          <t>Marshall, Gloria</t>
        </is>
      </c>
      <c r="C137" t="inlineStr">
        <is>
          <t>03/09/1981</t>
        </is>
      </c>
      <c r="D137" t="inlineStr">
        <is>
          <t>F</t>
        </is>
      </c>
      <c r="E137" t="inlineStr">
        <is>
          <t>(555) 970-1063</t>
        </is>
      </c>
      <c r="F137" t="inlineStr">
        <is>
          <t>none</t>
        </is>
      </c>
      <c r="G137" t="inlineStr">
        <is>
          <t>Bluestone OH 45502</t>
        </is>
      </c>
      <c r="H137" t="inlineStr">
        <is>
          <t>Keystone Health Ptnrs</t>
        </is>
      </c>
      <c r="I137" t="inlineStr">
        <is>
          <t>06414784</t>
        </is>
      </c>
      <c r="J137" t="inlineStr">
        <is>
          <t>06/29/2015 05:18 PM</t>
        </is>
      </c>
      <c r="K137" s="28" t="n"/>
      <c r="L137" s="29" t="n"/>
      <c r="M137" s="28" t="n"/>
      <c r="N137" s="28" t="n"/>
      <c r="O137" s="28" t="n"/>
      <c r="P137" s="28" t="n"/>
      <c r="Q137" s="28" t="n"/>
      <c r="R137" s="30" t="n"/>
      <c r="S137" s="28" t="n"/>
    </row>
    <row r="138">
      <c r="A138" t="inlineStr">
        <is>
          <t>R1137</t>
        </is>
      </c>
      <c r="B138" t="inlineStr">
        <is>
          <t>Susan Warren</t>
        </is>
      </c>
      <c r="C138" t="inlineStr">
        <is>
          <t>1964-08-23</t>
        </is>
      </c>
      <c r="D138" t="inlineStr">
        <is>
          <t>F</t>
        </is>
      </c>
      <c r="E138" t="inlineStr">
        <is>
          <t>(555) 668-8102</t>
        </is>
      </c>
      <c r="F138" t="inlineStr">
        <is>
          <t>susan.warren82@example.com</t>
        </is>
      </c>
      <c r="G138" t="inlineStr">
        <is>
          <t>Oak Glen, OH 45730-6968</t>
        </is>
      </c>
      <c r="H138" t="inlineStr">
        <is>
          <t>Summit Choice</t>
        </is>
      </c>
      <c r="I138" t="inlineStr">
        <is>
          <t>MRN-02136160</t>
        </is>
      </c>
      <c r="J138" t="inlineStr">
        <is>
          <t>2018-04-26 14:57:00</t>
        </is>
      </c>
      <c r="K138" s="28" t="n"/>
      <c r="L138" s="29" t="n"/>
      <c r="M138" s="28" t="n"/>
      <c r="N138" s="28" t="n"/>
      <c r="O138" s="28" t="n"/>
      <c r="P138" s="28" t="n"/>
      <c r="Q138" s="28" t="n"/>
      <c r="R138" s="30" t="n"/>
      <c r="S138" s="28" t="n"/>
    </row>
    <row r="139">
      <c r="A139" t="inlineStr">
        <is>
          <t>R1138</t>
        </is>
      </c>
      <c r="B139" t="inlineStr">
        <is>
          <t>okafor, elizabeth</t>
        </is>
      </c>
      <c r="C139" t="inlineStr">
        <is>
          <t>07.11.1953</t>
        </is>
      </c>
      <c r="D139" t="inlineStr">
        <is>
          <t>FEMALE</t>
        </is>
      </c>
      <c r="E139" t="inlineStr">
        <is>
          <t>555-325-5690</t>
        </is>
      </c>
      <c r="F139" t="inlineStr">
        <is>
          <t>elizabeth.okafor2@example.com</t>
        </is>
      </c>
      <c r="G139" t="inlineStr">
        <is>
          <t>LAKEVIEW HEIGHTS, OH 45510</t>
        </is>
      </c>
      <c r="H139" t="inlineStr">
        <is>
          <t>Medicare</t>
        </is>
      </c>
      <c r="I139" t="inlineStr">
        <is>
          <t>MRN-08425893</t>
        </is>
      </c>
      <c r="J139" t="inlineStr">
        <is>
          <t>10/12/2023 02:53 PM</t>
        </is>
      </c>
      <c r="K139" s="28" t="n"/>
      <c r="L139" s="29" t="n"/>
      <c r="M139" s="28" t="n"/>
      <c r="N139" s="28" t="n"/>
      <c r="O139" s="28" t="n"/>
      <c r="P139" s="28" t="n"/>
      <c r="Q139" s="28" t="n"/>
      <c r="R139" s="30" t="n"/>
      <c r="S139" s="28" t="n"/>
    </row>
    <row r="140">
      <c r="A140" t="inlineStr">
        <is>
          <t>R1139</t>
        </is>
      </c>
      <c r="B140" t="inlineStr">
        <is>
          <t>Moore, Vincent</t>
        </is>
      </c>
      <c r="C140" t="inlineStr">
        <is>
          <t>01/29/1964</t>
        </is>
      </c>
      <c r="D140" t="inlineStr">
        <is>
          <t xml:space="preserve">M </t>
        </is>
      </c>
      <c r="E140" t="inlineStr">
        <is>
          <t>555-672-4798</t>
        </is>
      </c>
      <c r="F140" t="inlineStr">
        <is>
          <t>vincent.moore63@example.com</t>
        </is>
      </c>
      <c r="G140" t="inlineStr">
        <is>
          <t>Millbrook, OH 45530</t>
        </is>
      </c>
      <c r="H140" t="inlineStr">
        <is>
          <t xml:space="preserve">Medicare </t>
        </is>
      </c>
      <c r="I140" t="inlineStr">
        <is>
          <t>04817985</t>
        </is>
      </c>
      <c r="J140" t="inlineStr">
        <is>
          <t>2013-11-03 16:37:00</t>
        </is>
      </c>
      <c r="K140" s="28" t="n"/>
      <c r="L140" s="29" t="n"/>
      <c r="M140" s="28" t="n"/>
      <c r="N140" s="28" t="n"/>
      <c r="O140" s="28" t="n"/>
      <c r="P140" s="28" t="n"/>
      <c r="Q140" s="28" t="n"/>
      <c r="R140" s="30" t="n"/>
      <c r="S140" s="28" t="n"/>
    </row>
    <row r="141">
      <c r="A141" t="inlineStr">
        <is>
          <t>R1140</t>
        </is>
      </c>
      <c r="B141" t="inlineStr">
        <is>
          <t>Myers, Deborah</t>
        </is>
      </c>
      <c r="C141" t="inlineStr">
        <is>
          <t>02-May-1929</t>
        </is>
      </c>
      <c r="D141" t="inlineStr">
        <is>
          <t>f</t>
        </is>
      </c>
      <c r="E141" t="inlineStr">
        <is>
          <t>555.375.3618</t>
        </is>
      </c>
      <c r="F141" t="inlineStr">
        <is>
          <t>deborah.myers57@example.com</t>
        </is>
      </c>
      <c r="G141" t="inlineStr">
        <is>
          <t>Bluestone OH 45502</t>
        </is>
      </c>
      <c r="H141" t="inlineStr">
        <is>
          <t>medicare</t>
        </is>
      </c>
      <c r="I141" t="inlineStr">
        <is>
          <t>5688207</t>
        </is>
      </c>
      <c r="J141" t="inlineStr">
        <is>
          <t>2010-04-30 12:25:00</t>
        </is>
      </c>
      <c r="K141" s="28" t="n"/>
      <c r="L141" s="29" t="n"/>
      <c r="M141" s="28" t="n"/>
      <c r="N141" s="28" t="n"/>
      <c r="O141" s="28" t="n"/>
      <c r="P141" s="28" t="n"/>
      <c r="Q141" s="28" t="n"/>
      <c r="R141" s="30" t="n"/>
      <c r="S141" s="28" t="n"/>
    </row>
    <row r="142">
      <c r="A142" t="inlineStr">
        <is>
          <t>R1141</t>
        </is>
      </c>
      <c r="B142" t="inlineStr">
        <is>
          <t>Myers, Mei</t>
        </is>
      </c>
      <c r="C142" t="inlineStr">
        <is>
          <t>04/04/1978</t>
        </is>
      </c>
      <c r="D142" t="inlineStr">
        <is>
          <t>F</t>
        </is>
      </c>
      <c r="E142" t="inlineStr">
        <is>
          <t>(555) 324-1732</t>
        </is>
      </c>
      <c r="F142" t="inlineStr">
        <is>
          <t>MEI.MYERS39@EXAMPLE.COM</t>
        </is>
      </c>
      <c r="G142" t="inlineStr">
        <is>
          <t>GRANITE SPRINGS, OH 45750</t>
        </is>
      </c>
      <c r="H142" t="inlineStr">
        <is>
          <t>Keystone Health Ptnrs</t>
        </is>
      </c>
      <c r="I142" t="inlineStr">
        <is>
          <t>08032932</t>
        </is>
      </c>
      <c r="J142" t="inlineStr">
        <is>
          <t>2018-03-30 09:47:00</t>
        </is>
      </c>
      <c r="K142" s="28" t="n"/>
      <c r="L142" s="29" t="n"/>
      <c r="M142" s="28" t="n"/>
      <c r="N142" s="28" t="n"/>
      <c r="O142" s="28" t="n"/>
      <c r="P142" s="28" t="n"/>
      <c r="Q142" s="28" t="n"/>
      <c r="R142" s="30" t="n"/>
      <c r="S142" s="28" t="n"/>
    </row>
    <row r="143">
      <c r="A143" t="inlineStr">
        <is>
          <t>R1142</t>
        </is>
      </c>
      <c r="B143" t="inlineStr">
        <is>
          <t>Cox, Anthony</t>
        </is>
      </c>
      <c r="C143" t="inlineStr">
        <is>
          <t>02/23/1932</t>
        </is>
      </c>
      <c r="D143" t="inlineStr">
        <is>
          <t xml:space="preserve">M </t>
        </is>
      </c>
      <c r="E143" t="inlineStr">
        <is>
          <t>(555) 311-7517</t>
        </is>
      </c>
      <c r="F143" t="inlineStr">
        <is>
          <t>ANTHONY.COX77@EXAMPLE.COM</t>
        </is>
      </c>
      <c r="G143" t="inlineStr">
        <is>
          <t>Bluestone, OH 45502</t>
        </is>
      </c>
      <c r="H143" t="inlineStr">
        <is>
          <t>Medicare</t>
        </is>
      </c>
      <c r="I143" t="inlineStr">
        <is>
          <t>07903462</t>
        </is>
      </c>
      <c r="J143" t="inlineStr">
        <is>
          <t>09/17/2012 01:20 PM</t>
        </is>
      </c>
      <c r="K143" s="28" t="n"/>
      <c r="L143" s="29" t="n"/>
      <c r="M143" s="28" t="n"/>
      <c r="N143" s="28" t="n"/>
      <c r="O143" s="28" t="n"/>
      <c r="P143" s="28" t="n"/>
      <c r="Q143" s="28" t="n"/>
      <c r="R143" s="30" t="n"/>
      <c r="S143" s="28" t="n"/>
    </row>
    <row r="144">
      <c r="A144" t="inlineStr">
        <is>
          <t>R1143</t>
        </is>
      </c>
      <c r="B144" t="inlineStr">
        <is>
          <t xml:space="preserve">  Yilmaz ,  Hannah </t>
        </is>
      </c>
      <c r="C144" t="inlineStr">
        <is>
          <t>07/06/1955</t>
        </is>
      </c>
      <c r="D144" t="inlineStr">
        <is>
          <t xml:space="preserve"> F</t>
        </is>
      </c>
      <c r="E144" t="inlineStr">
        <is>
          <t>5558200461</t>
        </is>
      </c>
      <c r="F144" t="inlineStr">
        <is>
          <t>HANNAH.YILMAZ16@EXAMPLE.COM</t>
        </is>
      </c>
      <c r="G144" t="inlineStr">
        <is>
          <t>BLUESTONE, OH 45502</t>
        </is>
      </c>
      <c r="H144" t="inlineStr">
        <is>
          <t>Silverline Medicare Advantage</t>
        </is>
      </c>
      <c r="I144" t="inlineStr">
        <is>
          <t>05953522</t>
        </is>
      </c>
      <c r="J144" t="inlineStr">
        <is>
          <t>2018-05-23 14:22:00</t>
        </is>
      </c>
      <c r="K144" s="28" t="n"/>
      <c r="L144" s="29" t="n"/>
      <c r="M144" s="28" t="n"/>
      <c r="N144" s="28" t="n"/>
      <c r="O144" s="28" t="n"/>
      <c r="P144" s="28" t="n"/>
      <c r="Q144" s="28" t="n"/>
      <c r="R144" s="30" t="n"/>
      <c r="S144" s="28" t="n"/>
    </row>
    <row r="145">
      <c r="A145" t="inlineStr">
        <is>
          <t>R1144</t>
        </is>
      </c>
      <c r="B145" t="inlineStr">
        <is>
          <t>gonzalez, frank</t>
        </is>
      </c>
      <c r="C145" t="inlineStr">
        <is>
          <t>07/15/2000</t>
        </is>
      </c>
      <c r="D145" t="inlineStr">
        <is>
          <t>M</t>
        </is>
      </c>
      <c r="E145" t="inlineStr">
        <is>
          <t>555.939.2526</t>
        </is>
      </c>
      <c r="F145" t="inlineStr">
        <is>
          <t>frank.gonzalez60@example.com</t>
        </is>
      </c>
      <c r="G145" t="inlineStr">
        <is>
          <t>BLUESTONE, OH 45501</t>
        </is>
      </c>
      <c r="H145" t="inlineStr">
        <is>
          <t>Evergreen Mutual</t>
        </is>
      </c>
      <c r="I145" t="inlineStr">
        <is>
          <t>MRN-01312758</t>
        </is>
      </c>
      <c r="J145" t="inlineStr">
        <is>
          <t>2014-11-16 10:52:00</t>
        </is>
      </c>
      <c r="K145" s="28" t="n"/>
      <c r="L145" s="29" t="n"/>
      <c r="M145" s="28" t="n"/>
      <c r="N145" s="28" t="n"/>
      <c r="O145" s="28" t="n"/>
      <c r="P145" s="28" t="n"/>
      <c r="Q145" s="28" t="n"/>
      <c r="R145" s="30" t="n"/>
      <c r="S145" s="28" t="n"/>
    </row>
    <row r="146">
      <c r="A146" t="inlineStr">
        <is>
          <t>R1145</t>
        </is>
      </c>
      <c r="B146" t="inlineStr">
        <is>
          <t>Jason Armstrong</t>
        </is>
      </c>
      <c r="C146" t="inlineStr">
        <is>
          <t>1963-01-29</t>
        </is>
      </c>
      <c r="D146" t="inlineStr">
        <is>
          <t>MALE</t>
        </is>
      </c>
      <c r="E146" t="inlineStr">
        <is>
          <t>555-894-5497</t>
        </is>
      </c>
      <c r="F146" t="inlineStr">
        <is>
          <t>JASON.ARMSTRONG71@EXAMPLE.COM</t>
        </is>
      </c>
      <c r="G146" t="inlineStr">
        <is>
          <t>Ashby Falls OH 45610</t>
        </is>
      </c>
      <c r="H146" t="inlineStr">
        <is>
          <t>Keystone Health Ptnrs</t>
        </is>
      </c>
      <c r="I146" t="inlineStr">
        <is>
          <t>9471398</t>
        </is>
      </c>
      <c r="J146" t="inlineStr">
        <is>
          <t>08/14/2008 09:05 AM</t>
        </is>
      </c>
      <c r="K146" s="28" t="n"/>
      <c r="L146" s="29" t="n"/>
      <c r="M146" s="28" t="n"/>
      <c r="N146" s="28" t="n"/>
      <c r="O146" s="28" t="n"/>
      <c r="P146" s="28" t="n"/>
      <c r="Q146" s="28" t="n"/>
      <c r="R146" s="30" t="n"/>
      <c r="S146" s="28" t="n"/>
    </row>
    <row r="147">
      <c r="A147" t="inlineStr">
        <is>
          <t>R1146</t>
        </is>
      </c>
      <c r="B147" t="inlineStr">
        <is>
          <t>Young, Carl</t>
        </is>
      </c>
      <c r="C147" t="inlineStr">
        <is>
          <t>15-Jun-1996</t>
        </is>
      </c>
      <c r="D147" t="inlineStr">
        <is>
          <t xml:space="preserve">M </t>
        </is>
      </c>
      <c r="E147" t="inlineStr">
        <is>
          <t>(555) 298-6693</t>
        </is>
      </c>
      <c r="G147" t="inlineStr">
        <is>
          <t>BLUESTONE, OH 45503</t>
        </is>
      </c>
      <c r="H147" t="inlineStr">
        <is>
          <t>Evergreen Mutual Insurance</t>
        </is>
      </c>
      <c r="I147" t="inlineStr">
        <is>
          <t>9996631</t>
        </is>
      </c>
      <c r="J147" t="inlineStr">
        <is>
          <t>01/16/2023 11:21 AM</t>
        </is>
      </c>
      <c r="K147" s="28" t="n"/>
      <c r="L147" s="29" t="n"/>
      <c r="M147" s="28" t="n"/>
      <c r="N147" s="28" t="n"/>
      <c r="O147" s="28" t="n"/>
      <c r="P147" s="28" t="n"/>
      <c r="Q147" s="28" t="n"/>
      <c r="R147" s="30" t="n"/>
      <c r="S147" s="28" t="n"/>
    </row>
    <row r="148">
      <c r="A148" t="inlineStr">
        <is>
          <t>R1147</t>
        </is>
      </c>
      <c r="B148" t="inlineStr">
        <is>
          <t xml:space="preserve">  Sanders ,  Gabriel </t>
        </is>
      </c>
      <c r="C148" t="inlineStr">
        <is>
          <t>07/21/1973</t>
        </is>
      </c>
      <c r="D148" t="inlineStr">
        <is>
          <t>m</t>
        </is>
      </c>
      <c r="E148" t="inlineStr">
        <is>
          <t>(555) 640-9513</t>
        </is>
      </c>
      <c r="F148" t="inlineStr">
        <is>
          <t>gabriel.sanders29@example.com</t>
        </is>
      </c>
      <c r="G148" t="inlineStr">
        <is>
          <t>Bluestone OH 45501</t>
        </is>
      </c>
      <c r="H148" t="inlineStr">
        <is>
          <t>Summit Choice PPO</t>
        </is>
      </c>
      <c r="I148" t="inlineStr">
        <is>
          <t>07502887</t>
        </is>
      </c>
      <c r="J148" t="inlineStr">
        <is>
          <t>10/20/2011 04:47 PM</t>
        </is>
      </c>
      <c r="K148" s="28" t="n"/>
      <c r="L148" s="29" t="n"/>
      <c r="M148" s="28" t="n"/>
      <c r="N148" s="28" t="n"/>
      <c r="O148" s="28" t="n"/>
      <c r="P148" s="28" t="n"/>
      <c r="Q148" s="28" t="n"/>
      <c r="R148" s="30" t="n"/>
      <c r="S148" s="28" t="n"/>
    </row>
    <row r="149">
      <c r="A149" t="inlineStr">
        <is>
          <t>R1148</t>
        </is>
      </c>
      <c r="B149" t="inlineStr">
        <is>
          <t>KELLY, PAUL</t>
        </is>
      </c>
      <c r="C149" t="inlineStr">
        <is>
          <t>2007-12-14</t>
        </is>
      </c>
      <c r="D149" t="inlineStr">
        <is>
          <t>m</t>
        </is>
      </c>
      <c r="E149" t="inlineStr">
        <is>
          <t>(555) 353-5255</t>
        </is>
      </c>
      <c r="F149" t="inlineStr">
        <is>
          <t>N/A</t>
        </is>
      </c>
      <c r="G149" t="inlineStr">
        <is>
          <t>Pine Hollow, OH 45640-6806</t>
        </is>
      </c>
      <c r="H149" t="inlineStr">
        <is>
          <t>EVERGREEN MUTUAL INS</t>
        </is>
      </c>
      <c r="I149" t="inlineStr">
        <is>
          <t>08602948</t>
        </is>
      </c>
      <c r="J149" t="inlineStr">
        <is>
          <t>2008-03-08 14:53:00</t>
        </is>
      </c>
      <c r="K149" s="28" t="n"/>
      <c r="L149" s="29" t="n"/>
      <c r="M149" s="28" t="n"/>
      <c r="N149" s="28" t="n"/>
      <c r="O149" s="28" t="n"/>
      <c r="P149" s="28" t="n"/>
      <c r="Q149" s="28" t="n"/>
      <c r="R149" s="30" t="n"/>
      <c r="S149" s="28" t="n"/>
    </row>
    <row r="150">
      <c r="A150" t="inlineStr">
        <is>
          <t>R1149</t>
        </is>
      </c>
      <c r="B150" t="inlineStr">
        <is>
          <t>BAILEY, SARA</t>
        </is>
      </c>
      <c r="C150" t="inlineStr">
        <is>
          <t>1983-03-08</t>
        </is>
      </c>
      <c r="D150" t="inlineStr">
        <is>
          <t>f</t>
        </is>
      </c>
      <c r="E150" t="inlineStr">
        <is>
          <t>555-533-7192</t>
        </is>
      </c>
      <c r="F150" t="inlineStr">
        <is>
          <t>N/A</t>
        </is>
      </c>
      <c r="G150" t="inlineStr">
        <is>
          <t>Granite Springs, OH 45750</t>
        </is>
      </c>
      <c r="H150" t="inlineStr">
        <is>
          <t>Evergreen Mutual Insurance</t>
        </is>
      </c>
      <c r="I150" t="inlineStr">
        <is>
          <t>07070962</t>
        </is>
      </c>
      <c r="J150" t="inlineStr">
        <is>
          <t>2023-08-15 15:53:00</t>
        </is>
      </c>
      <c r="K150" s="28" t="n"/>
      <c r="L150" s="29" t="n"/>
      <c r="M150" s="28" t="n"/>
      <c r="N150" s="28" t="n"/>
      <c r="O150" s="28" t="n"/>
      <c r="P150" s="28" t="n"/>
      <c r="Q150" s="28" t="n"/>
      <c r="R150" s="30" t="n"/>
      <c r="S150" s="28" t="n"/>
    </row>
    <row r="151">
      <c r="A151" t="inlineStr">
        <is>
          <t>R1150</t>
        </is>
      </c>
      <c r="B151" t="inlineStr">
        <is>
          <t>KIM, ISABELLA</t>
        </is>
      </c>
      <c r="C151" t="inlineStr">
        <is>
          <t>18-Apr-1971</t>
        </is>
      </c>
      <c r="D151" t="inlineStr">
        <is>
          <t>F</t>
        </is>
      </c>
      <c r="E151" t="inlineStr">
        <is>
          <t>5559244977</t>
        </is>
      </c>
      <c r="F151" t="inlineStr">
        <is>
          <t>isabella.kim67@example.com</t>
        </is>
      </c>
      <c r="G151" t="inlineStr">
        <is>
          <t>Bluestone OH 45501</t>
        </is>
      </c>
      <c r="H151" t="inlineStr">
        <is>
          <t>STATE MEDICAID</t>
        </is>
      </c>
      <c r="I151" t="inlineStr">
        <is>
          <t>00503299</t>
        </is>
      </c>
      <c r="J151" t="inlineStr">
        <is>
          <t>09/17/2021 12:38 PM</t>
        </is>
      </c>
      <c r="K151" s="28" t="n"/>
      <c r="L151" s="29" t="n"/>
      <c r="M151" s="28" t="n"/>
      <c r="N151" s="28" t="n"/>
      <c r="O151" s="28" t="n"/>
      <c r="P151" s="28" t="n"/>
      <c r="Q151" s="28" t="n"/>
      <c r="R151" s="30" t="n"/>
      <c r="S151" s="28" t="n"/>
    </row>
    <row r="152">
      <c r="A152" t="inlineStr">
        <is>
          <t>R1151</t>
        </is>
      </c>
      <c r="B152" t="inlineStr">
        <is>
          <t>Rodriguez, Walter</t>
        </is>
      </c>
      <c r="C152" t="inlineStr">
        <is>
          <t>08.23.1988</t>
        </is>
      </c>
      <c r="D152" t="inlineStr">
        <is>
          <t>Male</t>
        </is>
      </c>
      <c r="E152" t="inlineStr">
        <is>
          <t>(555) 709-6734</t>
        </is>
      </c>
      <c r="F152" t="inlineStr">
        <is>
          <t>N/A</t>
        </is>
      </c>
      <c r="G152" t="inlineStr">
        <is>
          <t>CEDAR RIDGE, OH 45720</t>
        </is>
      </c>
      <c r="H152" t="inlineStr">
        <is>
          <t>Uninsured</t>
        </is>
      </c>
      <c r="I152" t="inlineStr">
        <is>
          <t>2093150</t>
        </is>
      </c>
      <c r="J152" t="inlineStr">
        <is>
          <t>2013-03-03 14:09:00</t>
        </is>
      </c>
      <c r="K152" s="28" t="n"/>
      <c r="L152" s="29" t="n"/>
      <c r="M152" s="28" t="n"/>
      <c r="N152" s="28" t="n"/>
      <c r="O152" s="28" t="n"/>
      <c r="P152" s="28" t="n"/>
      <c r="Q152" s="28" t="n"/>
      <c r="R152" s="30" t="n"/>
      <c r="S152" s="28" t="n"/>
    </row>
    <row r="153">
      <c r="A153" t="inlineStr">
        <is>
          <t>R1152</t>
        </is>
      </c>
      <c r="B153" t="inlineStr">
        <is>
          <t>James White</t>
        </is>
      </c>
      <c r="C153" t="inlineStr">
        <is>
          <t>14-Dec-1973</t>
        </is>
      </c>
      <c r="D153" t="inlineStr">
        <is>
          <t>m</t>
        </is>
      </c>
      <c r="E153" t="inlineStr">
        <is>
          <t>(555) 881-8522</t>
        </is>
      </c>
      <c r="F153" t="inlineStr">
        <is>
          <t>james.white42@example.com</t>
        </is>
      </c>
      <c r="G153" t="inlineStr">
        <is>
          <t>Bluestone, OH 45503</t>
        </is>
      </c>
      <c r="H153" t="inlineStr">
        <is>
          <t>Keystone</t>
        </is>
      </c>
      <c r="I153" t="inlineStr">
        <is>
          <t>02778644</t>
        </is>
      </c>
      <c r="J153" t="inlineStr">
        <is>
          <t>2015-11-10 11:55:00</t>
        </is>
      </c>
      <c r="K153" s="28" t="n"/>
      <c r="L153" s="29" t="n"/>
      <c r="M153" s="28" t="n"/>
      <c r="N153" s="28" t="n"/>
      <c r="O153" s="28" t="n"/>
      <c r="P153" s="28" t="n"/>
      <c r="Q153" s="28" t="n"/>
      <c r="R153" s="30" t="n"/>
      <c r="S153" s="28" t="n"/>
    </row>
    <row r="154">
      <c r="A154" t="inlineStr">
        <is>
          <t>R1153</t>
        </is>
      </c>
      <c r="B154" t="inlineStr">
        <is>
          <t>Gonzalez, Hannah</t>
        </is>
      </c>
      <c r="C154" t="inlineStr">
        <is>
          <t>2/18/1973</t>
        </is>
      </c>
      <c r="D154" t="inlineStr">
        <is>
          <t>Female</t>
        </is>
      </c>
      <c r="E154" t="inlineStr">
        <is>
          <t>+1 555 860 4164</t>
        </is>
      </c>
      <c r="F154" t="inlineStr">
        <is>
          <t>HANNAH.GONZALEZ89@EXAMPLE.COM</t>
        </is>
      </c>
      <c r="G154" t="inlineStr">
        <is>
          <t>Cedar Ridge, OH 45720</t>
        </is>
      </c>
      <c r="H154" t="inlineStr">
        <is>
          <t>KEYSTONE HEALTH PARTNERS</t>
        </is>
      </c>
      <c r="I154" t="inlineStr">
        <is>
          <t>00640025</t>
        </is>
      </c>
      <c r="J154" t="inlineStr">
        <is>
          <t>2012-08-03 09:10:00</t>
        </is>
      </c>
      <c r="K154" s="28" t="n"/>
      <c r="L154" s="29" t="n"/>
      <c r="M154" s="28" t="n"/>
      <c r="N154" s="28" t="n"/>
      <c r="O154" s="28" t="n"/>
      <c r="P154" s="28" t="n"/>
      <c r="Q154" s="28" t="n"/>
      <c r="R154" s="30" t="n"/>
      <c r="S154" s="28" t="n"/>
    </row>
    <row r="155">
      <c r="A155" t="inlineStr">
        <is>
          <t>R1154</t>
        </is>
      </c>
      <c r="B155" t="inlineStr">
        <is>
          <t>Kelley, Kimberly</t>
        </is>
      </c>
      <c r="C155" t="inlineStr">
        <is>
          <t>8/17/1969</t>
        </is>
      </c>
      <c r="D155" t="inlineStr">
        <is>
          <t>F</t>
        </is>
      </c>
      <c r="E155" t="inlineStr">
        <is>
          <t>555.761.2809</t>
        </is>
      </c>
      <c r="F155" t="inlineStr">
        <is>
          <t>kimberly.kelley61@example.com</t>
        </is>
      </c>
      <c r="G155" t="inlineStr">
        <is>
          <t>Bluestone, OH 45501</t>
        </is>
      </c>
      <c r="H155" t="inlineStr">
        <is>
          <t>KEYSTONE HEALTH PARTNERS</t>
        </is>
      </c>
      <c r="I155" t="inlineStr">
        <is>
          <t>05567811</t>
        </is>
      </c>
      <c r="J155" t="inlineStr">
        <is>
          <t>2022-06-26 13:28:00</t>
        </is>
      </c>
      <c r="K155" s="28" t="n"/>
      <c r="L155" s="29" t="n"/>
      <c r="M155" s="28" t="n"/>
      <c r="N155" s="28" t="n"/>
      <c r="O155" s="28" t="n"/>
      <c r="P155" s="28" t="n"/>
      <c r="Q155" s="28" t="n"/>
      <c r="R155" s="30" t="n"/>
      <c r="S155" s="28" t="n"/>
    </row>
    <row r="156">
      <c r="A156" t="inlineStr">
        <is>
          <t>R1155</t>
        </is>
      </c>
      <c r="B156" t="inlineStr">
        <is>
          <t>WILLIAMS, SANDRA</t>
        </is>
      </c>
      <c r="C156" t="inlineStr">
        <is>
          <t>1997-07-07</t>
        </is>
      </c>
      <c r="D156" t="inlineStr">
        <is>
          <t>FEMALE</t>
        </is>
      </c>
      <c r="E156" t="inlineStr">
        <is>
          <t>5553272243</t>
        </is>
      </c>
      <c r="F156" t="inlineStr">
        <is>
          <t>sandra.williams96@example.com</t>
        </is>
      </c>
      <c r="G156" t="inlineStr">
        <is>
          <t>Bluestone, OH 45501</t>
        </is>
      </c>
      <c r="H156" t="inlineStr">
        <is>
          <t>Medicaid</t>
        </is>
      </c>
      <c r="I156" t="inlineStr">
        <is>
          <t>02793426</t>
        </is>
      </c>
      <c r="J156" t="inlineStr">
        <is>
          <t>2014-12-22 11:30:00</t>
        </is>
      </c>
      <c r="K156" s="28" t="n"/>
      <c r="L156" s="29" t="n"/>
      <c r="M156" s="28" t="n"/>
      <c r="N156" s="28" t="n"/>
      <c r="O156" s="28" t="n"/>
      <c r="P156" s="28" t="n"/>
      <c r="Q156" s="28" t="n"/>
      <c r="R156" s="30" t="n"/>
      <c r="S156" s="28" t="n"/>
    </row>
    <row r="157">
      <c r="A157" t="inlineStr">
        <is>
          <t>R1156</t>
        </is>
      </c>
      <c r="B157" t="inlineStr">
        <is>
          <t>Ford, Steven</t>
        </is>
      </c>
      <c r="C157" t="inlineStr">
        <is>
          <t>1951-01-04</t>
        </is>
      </c>
      <c r="D157" t="inlineStr">
        <is>
          <t>Male</t>
        </is>
      </c>
      <c r="E157" t="inlineStr">
        <is>
          <t>(555) 786-8809</t>
        </is>
      </c>
      <c r="F157" t="inlineStr">
        <is>
          <t>steven.ford77@example.com</t>
        </is>
      </c>
      <c r="G157" t="inlineStr">
        <is>
          <t>Bluestone, OH 45501</t>
        </is>
      </c>
      <c r="H157" t="inlineStr">
        <is>
          <t xml:space="preserve">Medicare </t>
        </is>
      </c>
      <c r="I157" t="inlineStr">
        <is>
          <t>06651639</t>
        </is>
      </c>
      <c r="J157" t="inlineStr">
        <is>
          <t>2013-03-15 11:20:00</t>
        </is>
      </c>
      <c r="K157" s="28" t="n"/>
      <c r="L157" s="29" t="n"/>
      <c r="M157" s="28" t="n"/>
      <c r="N157" s="28" t="n"/>
      <c r="O157" s="28" t="n"/>
      <c r="P157" s="28" t="n"/>
      <c r="Q157" s="28" t="n"/>
      <c r="R157" s="30" t="n"/>
      <c r="S157" s="28" t="n"/>
    </row>
    <row r="158">
      <c r="A158" t="inlineStr">
        <is>
          <t>R1157</t>
        </is>
      </c>
      <c r="B158" t="inlineStr">
        <is>
          <t>Daniels, Mei</t>
        </is>
      </c>
      <c r="C158" t="inlineStr">
        <is>
          <t>1991-04-30</t>
        </is>
      </c>
      <c r="D158" t="inlineStr">
        <is>
          <t>Female</t>
        </is>
      </c>
      <c r="E158" t="inlineStr">
        <is>
          <t>(555) 735-7501</t>
        </is>
      </c>
      <c r="F158" t="inlineStr">
        <is>
          <t>none</t>
        </is>
      </c>
      <c r="G158" t="inlineStr">
        <is>
          <t>Ashby Falls, OH 45610</t>
        </is>
      </c>
      <c r="H158" t="inlineStr">
        <is>
          <t>Keystone Health Ptnrs</t>
        </is>
      </c>
      <c r="I158" t="inlineStr">
        <is>
          <t>08347484</t>
        </is>
      </c>
      <c r="J158" t="inlineStr">
        <is>
          <t>2024-04-01 07:41:00</t>
        </is>
      </c>
      <c r="K158" s="28" t="n"/>
      <c r="L158" s="29" t="n"/>
      <c r="M158" s="28" t="n"/>
      <c r="N158" s="28" t="n"/>
      <c r="O158" s="28" t="n"/>
      <c r="P158" s="28" t="n"/>
      <c r="Q158" s="28" t="n"/>
      <c r="R158" s="30" t="n"/>
      <c r="S158" s="28" t="n"/>
    </row>
    <row r="159">
      <c r="A159" t="inlineStr">
        <is>
          <t>R1158</t>
        </is>
      </c>
      <c r="B159" t="inlineStr">
        <is>
          <t>Herrera, Rachel</t>
        </is>
      </c>
      <c r="C159" t="inlineStr">
        <is>
          <t>17-Mar-2004</t>
        </is>
      </c>
      <c r="D159" t="inlineStr">
        <is>
          <t>F</t>
        </is>
      </c>
      <c r="E159" t="inlineStr">
        <is>
          <t>5553215074</t>
        </is>
      </c>
      <c r="F159" t="inlineStr">
        <is>
          <t>none</t>
        </is>
      </c>
      <c r="G159" t="inlineStr">
        <is>
          <t>Oak Glen, OH 45730</t>
        </is>
      </c>
      <c r="H159" t="inlineStr">
        <is>
          <t>evergreen mutual insurance</t>
        </is>
      </c>
      <c r="I159" t="inlineStr">
        <is>
          <t>06151059</t>
        </is>
      </c>
      <c r="J159" t="inlineStr">
        <is>
          <t>2021-07-06 13:40:00</t>
        </is>
      </c>
      <c r="K159" s="28" t="n"/>
      <c r="L159" s="29" t="n"/>
      <c r="M159" s="28" t="n"/>
      <c r="N159" s="28" t="n"/>
      <c r="O159" s="28" t="n"/>
      <c r="P159" s="28" t="n"/>
      <c r="Q159" s="28" t="n"/>
      <c r="R159" s="30" t="n"/>
      <c r="S159" s="28" t="n"/>
    </row>
    <row r="160">
      <c r="A160" t="inlineStr">
        <is>
          <t>R1159</t>
        </is>
      </c>
      <c r="B160" t="inlineStr">
        <is>
          <t>Russell Edwards</t>
        </is>
      </c>
      <c r="C160" t="inlineStr">
        <is>
          <t>1959-11-12</t>
        </is>
      </c>
      <c r="D160" t="inlineStr">
        <is>
          <t>m</t>
        </is>
      </c>
      <c r="E160" t="inlineStr">
        <is>
          <t>555-880-1032</t>
        </is>
      </c>
      <c r="F160" t="inlineStr">
        <is>
          <t>RUSSELL.EDWARDS22@EXAMPLE.COM</t>
        </is>
      </c>
      <c r="G160" t="inlineStr">
        <is>
          <t>Bluestone, OH 45503-6066</t>
        </is>
      </c>
      <c r="H160" t="inlineStr">
        <is>
          <t>Medicare</t>
        </is>
      </c>
      <c r="I160" t="inlineStr">
        <is>
          <t>08132110</t>
        </is>
      </c>
      <c r="J160" t="inlineStr">
        <is>
          <t>04/21/2011 09:19 AM</t>
        </is>
      </c>
      <c r="K160" s="28" t="n"/>
      <c r="L160" s="29" t="n"/>
      <c r="M160" s="28" t="n"/>
      <c r="N160" s="28" t="n"/>
      <c r="O160" s="28" t="n"/>
      <c r="P160" s="28" t="n"/>
      <c r="Q160" s="28" t="n"/>
      <c r="R160" s="30" t="n"/>
      <c r="S160" s="28" t="n"/>
    </row>
    <row r="161">
      <c r="A161" t="inlineStr">
        <is>
          <t>R1160</t>
        </is>
      </c>
      <c r="B161" t="inlineStr">
        <is>
          <t>Tucker, Rebecca</t>
        </is>
      </c>
      <c r="C161" t="inlineStr">
        <is>
          <t>1977-05-15</t>
        </is>
      </c>
      <c r="D161" t="inlineStr">
        <is>
          <t xml:space="preserve"> F</t>
        </is>
      </c>
      <c r="E161" t="inlineStr">
        <is>
          <t>555-555-9353</t>
        </is>
      </c>
      <c r="F161" t="inlineStr">
        <is>
          <t>N/A</t>
        </is>
      </c>
      <c r="G161" t="inlineStr">
        <is>
          <t>Bluestone, OH 45503</t>
        </is>
      </c>
      <c r="H161" t="inlineStr">
        <is>
          <t>Medicaid</t>
        </is>
      </c>
      <c r="I161" t="inlineStr">
        <is>
          <t>02488816</t>
        </is>
      </c>
      <c r="J161" t="inlineStr">
        <is>
          <t>2024-06-01 08:26:00</t>
        </is>
      </c>
      <c r="K161" s="28" t="n"/>
      <c r="L161" s="29" t="n"/>
      <c r="M161" s="28" t="n"/>
      <c r="N161" s="28" t="n"/>
      <c r="O161" s="28" t="n"/>
      <c r="P161" s="28" t="n"/>
      <c r="Q161" s="28" t="n"/>
      <c r="R161" s="30" t="n"/>
      <c r="S161" s="28" t="n"/>
    </row>
    <row r="162">
      <c r="A162" t="inlineStr">
        <is>
          <t>R1161</t>
        </is>
      </c>
      <c r="B162" t="inlineStr">
        <is>
          <t>Edwards, Catherine</t>
        </is>
      </c>
      <c r="C162" t="inlineStr">
        <is>
          <t>01/28/1940</t>
        </is>
      </c>
      <c r="D162" t="inlineStr">
        <is>
          <t>Female</t>
        </is>
      </c>
      <c r="E162" t="inlineStr">
        <is>
          <t>(555) 562-3136</t>
        </is>
      </c>
      <c r="F162" t="inlineStr">
        <is>
          <t>catherine.edwards94@example.com</t>
        </is>
      </c>
      <c r="G162" t="inlineStr">
        <is>
          <t>Bluestone, OH 45503-1618</t>
        </is>
      </c>
      <c r="H162" t="inlineStr">
        <is>
          <t>medicare</t>
        </is>
      </c>
      <c r="I162" t="inlineStr">
        <is>
          <t>03985229</t>
        </is>
      </c>
      <c r="J162" t="inlineStr">
        <is>
          <t>2023-07-16 18:48:00</t>
        </is>
      </c>
      <c r="K162" s="28" t="n"/>
      <c r="L162" s="29" t="n"/>
      <c r="M162" s="28" t="n"/>
      <c r="N162" s="28" t="n"/>
      <c r="O162" s="28" t="n"/>
      <c r="P162" s="28" t="n"/>
      <c r="Q162" s="28" t="n"/>
      <c r="R162" s="30" t="n"/>
      <c r="S162" s="28" t="n"/>
    </row>
    <row r="163">
      <c r="A163" t="inlineStr">
        <is>
          <t>R1162</t>
        </is>
      </c>
      <c r="B163" t="inlineStr">
        <is>
          <t>Guzman, Donna</t>
        </is>
      </c>
      <c r="C163" t="inlineStr">
        <is>
          <t>06.15.1975</t>
        </is>
      </c>
      <c r="D163" t="inlineStr">
        <is>
          <t xml:space="preserve"> F</t>
        </is>
      </c>
      <c r="E163" t="inlineStr">
        <is>
          <t>(555) 675-9847</t>
        </is>
      </c>
      <c r="F163" t="inlineStr">
        <is>
          <t>donna.guzman10@example.com</t>
        </is>
      </c>
      <c r="G163" t="inlineStr">
        <is>
          <t>Bluestone, OH 45501</t>
        </is>
      </c>
      <c r="H163" t="inlineStr">
        <is>
          <t>Keystone</t>
        </is>
      </c>
      <c r="I163" t="inlineStr">
        <is>
          <t>5240385</t>
        </is>
      </c>
      <c r="J163" t="inlineStr">
        <is>
          <t>09/08/2010 06:16 PM</t>
        </is>
      </c>
      <c r="K163" s="28" t="n"/>
      <c r="L163" s="29" t="n"/>
      <c r="M163" s="28" t="n"/>
      <c r="N163" s="28" t="n"/>
      <c r="O163" s="28" t="n"/>
      <c r="P163" s="28" t="n"/>
      <c r="Q163" s="28" t="n"/>
      <c r="R163" s="30" t="n"/>
      <c r="S163" s="28" t="n"/>
    </row>
    <row r="164">
      <c r="A164" t="inlineStr">
        <is>
          <t>R1163</t>
        </is>
      </c>
      <c r="B164" t="inlineStr">
        <is>
          <t>Hill, Frank</t>
        </is>
      </c>
      <c r="C164" t="inlineStr">
        <is>
          <t>1952-08-28</t>
        </is>
      </c>
      <c r="D164" t="inlineStr">
        <is>
          <t>Male</t>
        </is>
      </c>
      <c r="E164" t="inlineStr">
        <is>
          <t>(555) 787-7802</t>
        </is>
      </c>
      <c r="F164" t="inlineStr">
        <is>
          <t>frank.hill20@example.com</t>
        </is>
      </c>
      <c r="G164" t="inlineStr">
        <is>
          <t>Cedar Ridge, OH 45720</t>
        </is>
      </c>
      <c r="H164" t="inlineStr">
        <is>
          <t>Medicare</t>
        </is>
      </c>
      <c r="I164" t="inlineStr">
        <is>
          <t>01262319</t>
        </is>
      </c>
      <c r="J164" t="inlineStr">
        <is>
          <t>2013-02-21 09:04:00</t>
        </is>
      </c>
      <c r="K164" s="28" t="n"/>
      <c r="L164" s="29" t="n"/>
      <c r="M164" s="28" t="n"/>
      <c r="N164" s="28" t="n"/>
      <c r="O164" s="28" t="n"/>
      <c r="P164" s="28" t="n"/>
      <c r="Q164" s="28" t="n"/>
      <c r="R164" s="30" t="n"/>
      <c r="S164" s="28" t="n"/>
    </row>
    <row r="165">
      <c r="A165" t="inlineStr">
        <is>
          <t>R1164</t>
        </is>
      </c>
      <c r="B165" t="inlineStr">
        <is>
          <t>MILLER, DAVID</t>
        </is>
      </c>
      <c r="C165" t="inlineStr">
        <is>
          <t>1959-04-30</t>
        </is>
      </c>
      <c r="D165" t="inlineStr">
        <is>
          <t>M</t>
        </is>
      </c>
      <c r="E165" t="inlineStr">
        <is>
          <t>(555) 690-4207</t>
        </is>
      </c>
      <c r="G165" t="inlineStr">
        <is>
          <t>Oak Glen, OH 45730</t>
        </is>
      </c>
      <c r="H165" t="inlineStr">
        <is>
          <t>Medicare</t>
        </is>
      </c>
      <c r="I165" t="inlineStr">
        <is>
          <t>06785087</t>
        </is>
      </c>
      <c r="J165" t="inlineStr">
        <is>
          <t>2015-10-21 13:37:00</t>
        </is>
      </c>
      <c r="K165" s="28" t="n"/>
      <c r="L165" s="29" t="n"/>
      <c r="M165" s="28" t="n"/>
      <c r="N165" s="28" t="n"/>
      <c r="O165" s="28" t="n"/>
      <c r="P165" s="28" t="n"/>
      <c r="Q165" s="28" t="n"/>
      <c r="R165" s="30" t="n"/>
      <c r="S165" s="28" t="n"/>
    </row>
    <row r="166">
      <c r="A166" t="inlineStr">
        <is>
          <t>R1165</t>
        </is>
      </c>
      <c r="B166" t="inlineStr">
        <is>
          <t>Cruz, Isabella</t>
        </is>
      </c>
      <c r="C166" t="inlineStr">
        <is>
          <t>10.19.2004</t>
        </is>
      </c>
      <c r="D166" t="inlineStr">
        <is>
          <t>FEMALE</t>
        </is>
      </c>
      <c r="E166" t="inlineStr">
        <is>
          <t>555.372.4686</t>
        </is>
      </c>
      <c r="F166" t="inlineStr">
        <is>
          <t>isabella.cruz16@example.com</t>
        </is>
      </c>
      <c r="G166" t="inlineStr">
        <is>
          <t>RIVERBEND, OH 45545</t>
        </is>
      </c>
      <c r="H166" t="inlineStr">
        <is>
          <t>Medicare</t>
        </is>
      </c>
      <c r="I166" t="inlineStr">
        <is>
          <t>03449108</t>
        </is>
      </c>
      <c r="J166" t="inlineStr">
        <is>
          <t>2009-04-27 10:53:00</t>
        </is>
      </c>
      <c r="K166" s="28" t="n"/>
      <c r="L166" s="29" t="n"/>
      <c r="M166" s="28" t="n"/>
      <c r="N166" s="28" t="n"/>
      <c r="O166" s="28" t="n"/>
      <c r="P166" s="28" t="n"/>
      <c r="Q166" s="28" t="n"/>
      <c r="R166" s="30" t="n"/>
      <c r="S166" s="28" t="n"/>
    </row>
    <row r="167">
      <c r="A167" t="inlineStr">
        <is>
          <t>R1166</t>
        </is>
      </c>
      <c r="B167" t="inlineStr">
        <is>
          <t>Novak, Larry</t>
        </is>
      </c>
      <c r="C167" t="inlineStr">
        <is>
          <t>05/13/1990</t>
        </is>
      </c>
      <c r="D167" t="inlineStr">
        <is>
          <t>MALE</t>
        </is>
      </c>
      <c r="E167" t="inlineStr">
        <is>
          <t>(555) 246-8236</t>
        </is>
      </c>
      <c r="F167" t="inlineStr">
        <is>
          <t>none</t>
        </is>
      </c>
      <c r="G167" t="inlineStr">
        <is>
          <t>Cedar Ridge, OH 45720-1280</t>
        </is>
      </c>
      <c r="H167" t="inlineStr">
        <is>
          <t>self-pay</t>
        </is>
      </c>
      <c r="I167" t="inlineStr">
        <is>
          <t>09205091</t>
        </is>
      </c>
      <c r="J167" t="inlineStr">
        <is>
          <t>2023-06-15 16:27:00</t>
        </is>
      </c>
      <c r="K167" s="28" t="n"/>
      <c r="L167" s="29" t="n"/>
      <c r="M167" s="28" t="n"/>
      <c r="N167" s="28" t="n"/>
      <c r="O167" s="28" t="n"/>
      <c r="P167" s="28" t="n"/>
      <c r="Q167" s="28" t="n"/>
      <c r="R167" s="30" t="n"/>
      <c r="S167" s="28" t="n"/>
    </row>
    <row r="168">
      <c r="A168" t="inlineStr">
        <is>
          <t>R1167</t>
        </is>
      </c>
      <c r="B168" t="inlineStr">
        <is>
          <t>Amy Gardner</t>
        </is>
      </c>
      <c r="C168" t="inlineStr">
        <is>
          <t>11/02/1929</t>
        </is>
      </c>
      <c r="D168" t="inlineStr">
        <is>
          <t>f</t>
        </is>
      </c>
      <c r="E168" t="inlineStr">
        <is>
          <t>5554970429</t>
        </is>
      </c>
      <c r="F168" t="inlineStr">
        <is>
          <t>AMY.GARDNER71@EXAMPLE.COM</t>
        </is>
      </c>
      <c r="G168" t="inlineStr">
        <is>
          <t>Lakeview Heights, OH 45510-2939</t>
        </is>
      </c>
      <c r="H168" t="inlineStr">
        <is>
          <t>Medicare</t>
        </is>
      </c>
      <c r="I168" t="inlineStr">
        <is>
          <t>05340359</t>
        </is>
      </c>
      <c r="J168" t="inlineStr">
        <is>
          <t>2023-11-08 08:00:00</t>
        </is>
      </c>
      <c r="K168" s="28" t="n"/>
      <c r="L168" s="29" t="n"/>
      <c r="M168" s="28" t="n"/>
      <c r="N168" s="28" t="n"/>
      <c r="O168" s="28" t="n"/>
      <c r="P168" s="28" t="n"/>
      <c r="Q168" s="28" t="n"/>
      <c r="R168" s="30" t="n"/>
      <c r="S168" s="28" t="n"/>
    </row>
    <row r="169">
      <c r="A169" t="inlineStr">
        <is>
          <t>R1168</t>
        </is>
      </c>
      <c r="B169" t="inlineStr">
        <is>
          <t>CRUZ, BENJAMIN</t>
        </is>
      </c>
      <c r="C169" t="inlineStr">
        <is>
          <t>05-Jul-1995</t>
        </is>
      </c>
      <c r="D169" t="inlineStr">
        <is>
          <t xml:space="preserve">M </t>
        </is>
      </c>
      <c r="G169" t="inlineStr">
        <is>
          <t>Bluestone OH 45501</t>
        </is>
      </c>
      <c r="H169" t="inlineStr">
        <is>
          <t>KEYSTONE HEALTH PARTNERS</t>
        </is>
      </c>
      <c r="I169" t="inlineStr">
        <is>
          <t>MRN-01157885</t>
        </is>
      </c>
      <c r="J169" t="inlineStr">
        <is>
          <t>2011-05-28 07:51:00</t>
        </is>
      </c>
      <c r="K169" s="28" t="n"/>
      <c r="L169" s="29" t="n"/>
      <c r="M169" s="28" t="n"/>
      <c r="N169" s="28" t="n"/>
      <c r="O169" s="28" t="n"/>
      <c r="P169" s="28" t="n"/>
      <c r="Q169" s="28" t="n"/>
      <c r="R169" s="30" t="n"/>
      <c r="S169" s="28" t="n"/>
    </row>
    <row r="170">
      <c r="A170" t="inlineStr">
        <is>
          <t>R1169</t>
        </is>
      </c>
      <c r="B170" t="inlineStr">
        <is>
          <t>Hernandez, Mia</t>
        </is>
      </c>
      <c r="C170" t="inlineStr">
        <is>
          <t>03.18.1967</t>
        </is>
      </c>
      <c r="D170" t="inlineStr">
        <is>
          <t>F</t>
        </is>
      </c>
      <c r="E170" t="inlineStr">
        <is>
          <t>(555) 234-4081</t>
        </is>
      </c>
      <c r="F170" t="inlineStr">
        <is>
          <t>mia.hernandez63@example.com</t>
        </is>
      </c>
      <c r="G170" t="inlineStr">
        <is>
          <t>Bluestone OH 45502</t>
        </is>
      </c>
      <c r="H170" t="inlineStr">
        <is>
          <t>Evergreen Mutual Insurance</t>
        </is>
      </c>
      <c r="I170" t="inlineStr">
        <is>
          <t>MRN-09194491</t>
        </is>
      </c>
      <c r="J170" t="inlineStr">
        <is>
          <t>2024-05-19 15:51:00</t>
        </is>
      </c>
      <c r="K170" s="28" t="n"/>
      <c r="L170" s="29" t="n"/>
      <c r="M170" s="28" t="n"/>
      <c r="N170" s="28" t="n"/>
      <c r="O170" s="28" t="n"/>
      <c r="P170" s="28" t="n"/>
      <c r="Q170" s="28" t="n"/>
      <c r="R170" s="30" t="n"/>
      <c r="S170" s="28" t="n"/>
    </row>
    <row r="171">
      <c r="A171" t="inlineStr">
        <is>
          <t>R1170</t>
        </is>
      </c>
      <c r="B171" t="inlineStr">
        <is>
          <t>Jerry Holmes</t>
        </is>
      </c>
      <c r="C171" t="inlineStr">
        <is>
          <t>1989-06-23</t>
        </is>
      </c>
      <c r="D171" t="inlineStr">
        <is>
          <t>M</t>
        </is>
      </c>
      <c r="E171" t="inlineStr">
        <is>
          <t>555.544.9275</t>
        </is>
      </c>
      <c r="F171" t="inlineStr">
        <is>
          <t>N/A</t>
        </is>
      </c>
      <c r="G171" t="inlineStr">
        <is>
          <t>Fairhaven, OH 45620-5704</t>
        </is>
      </c>
      <c r="H171" t="inlineStr">
        <is>
          <t>Keystone</t>
        </is>
      </c>
      <c r="I171" t="inlineStr">
        <is>
          <t>09090898</t>
        </is>
      </c>
      <c r="J171" t="inlineStr">
        <is>
          <t>2011-03-14 15:09:00</t>
        </is>
      </c>
      <c r="K171" s="28" t="n"/>
      <c r="L171" s="29" t="n"/>
      <c r="M171" s="28" t="n"/>
      <c r="N171" s="28" t="n"/>
      <c r="O171" s="28" t="n"/>
      <c r="P171" s="28" t="n"/>
      <c r="Q171" s="28" t="n"/>
      <c r="R171" s="30" t="n"/>
      <c r="S171" s="28" t="n"/>
    </row>
    <row r="172">
      <c r="A172" t="inlineStr">
        <is>
          <t>R1171</t>
        </is>
      </c>
      <c r="B172" t="inlineStr">
        <is>
          <t>TAYLOR, EMILY</t>
        </is>
      </c>
      <c r="C172" t="inlineStr">
        <is>
          <t>11/1/2003</t>
        </is>
      </c>
      <c r="D172" t="inlineStr">
        <is>
          <t xml:space="preserve"> F</t>
        </is>
      </c>
      <c r="E172" t="inlineStr">
        <is>
          <t>555-790-1716</t>
        </is>
      </c>
      <c r="F172" t="inlineStr">
        <is>
          <t>none</t>
        </is>
      </c>
      <c r="G172" t="inlineStr">
        <is>
          <t>Fairhaven, OH 45620</t>
        </is>
      </c>
      <c r="H172" t="inlineStr">
        <is>
          <t>State Medicaid</t>
        </is>
      </c>
      <c r="I172" t="inlineStr">
        <is>
          <t>05400611</t>
        </is>
      </c>
      <c r="J172" t="inlineStr">
        <is>
          <t>2023-06-20 13:48:00</t>
        </is>
      </c>
      <c r="K172" s="28" t="n"/>
      <c r="L172" s="29" t="n"/>
      <c r="M172" s="28" t="n"/>
      <c r="N172" s="28" t="n"/>
      <c r="O172" s="28" t="n"/>
      <c r="P172" s="28" t="n"/>
      <c r="Q172" s="28" t="n"/>
      <c r="R172" s="30" t="n"/>
      <c r="S172" s="28" t="n"/>
    </row>
    <row r="173">
      <c r="A173" t="inlineStr">
        <is>
          <t>R1172</t>
        </is>
      </c>
      <c r="B173" t="inlineStr">
        <is>
          <t>GRANT, CAROL</t>
        </is>
      </c>
      <c r="C173" t="inlineStr">
        <is>
          <t>1998-11-24</t>
        </is>
      </c>
      <c r="D173" t="inlineStr">
        <is>
          <t xml:space="preserve"> F</t>
        </is>
      </c>
      <c r="E173" t="inlineStr">
        <is>
          <t>5552579405</t>
        </is>
      </c>
      <c r="F173" t="inlineStr">
        <is>
          <t>carol.grant7@example.com</t>
        </is>
      </c>
      <c r="G173" t="inlineStr">
        <is>
          <t>BLUESTONE, OH 45501</t>
        </is>
      </c>
      <c r="H173" t="inlineStr">
        <is>
          <t>Keystone Health Partners</t>
        </is>
      </c>
      <c r="I173" t="inlineStr">
        <is>
          <t>8157930</t>
        </is>
      </c>
      <c r="J173" t="inlineStr">
        <is>
          <t>05/02/2011 09:32 AM</t>
        </is>
      </c>
      <c r="K173" s="28" t="n"/>
      <c r="L173" s="29" t="n"/>
      <c r="M173" s="28" t="n"/>
      <c r="N173" s="28" t="n"/>
      <c r="O173" s="28" t="n"/>
      <c r="P173" s="28" t="n"/>
      <c r="Q173" s="28" t="n"/>
      <c r="R173" s="30" t="n"/>
      <c r="S173" s="28" t="n"/>
    </row>
    <row r="174">
      <c r="A174" t="inlineStr">
        <is>
          <t>R1173</t>
        </is>
      </c>
      <c r="B174" t="inlineStr">
        <is>
          <t>Jimenez, Marie</t>
        </is>
      </c>
      <c r="C174" t="inlineStr">
        <is>
          <t>1977-05-02</t>
        </is>
      </c>
      <c r="D174" t="inlineStr">
        <is>
          <t>Female</t>
        </is>
      </c>
      <c r="E174" t="inlineStr">
        <is>
          <t>555-725-4850</t>
        </is>
      </c>
      <c r="F174" t="inlineStr">
        <is>
          <t>marie.jimenez66@example.com</t>
        </is>
      </c>
      <c r="G174" t="inlineStr">
        <is>
          <t>PINE HOLLOW, OH 45640</t>
        </is>
      </c>
      <c r="H174" t="inlineStr">
        <is>
          <t>self-pay</t>
        </is>
      </c>
      <c r="I174" t="inlineStr">
        <is>
          <t>09297384</t>
        </is>
      </c>
      <c r="J174" t="inlineStr">
        <is>
          <t>2018-05-14 08:18:00</t>
        </is>
      </c>
      <c r="K174" s="28" t="n"/>
      <c r="L174" s="29" t="n"/>
      <c r="M174" s="28" t="n"/>
      <c r="N174" s="28" t="n"/>
      <c r="O174" s="28" t="n"/>
      <c r="P174" s="28" t="n"/>
      <c r="Q174" s="28" t="n"/>
      <c r="R174" s="30" t="n"/>
      <c r="S174" s="28" t="n"/>
    </row>
    <row r="175">
      <c r="A175" t="inlineStr">
        <is>
          <t>R1174</t>
        </is>
      </c>
      <c r="B175" t="inlineStr">
        <is>
          <t>Brittany Wood</t>
        </is>
      </c>
      <c r="C175" t="inlineStr">
        <is>
          <t>01/08/1981</t>
        </is>
      </c>
      <c r="D175" t="inlineStr">
        <is>
          <t>F</t>
        </is>
      </c>
      <c r="E175" t="inlineStr">
        <is>
          <t>555-380-5195</t>
        </is>
      </c>
      <c r="F175" t="inlineStr">
        <is>
          <t>brittany.wood40@example.com</t>
        </is>
      </c>
      <c r="G175" t="inlineStr">
        <is>
          <t>Bluestone, OH 45503-6953</t>
        </is>
      </c>
      <c r="H175" t="inlineStr">
        <is>
          <t>Summit Choice PPO</t>
        </is>
      </c>
      <c r="I175" t="inlineStr">
        <is>
          <t>01507990</t>
        </is>
      </c>
      <c r="J175" t="inlineStr">
        <is>
          <t>2010-02-20 10:49:00</t>
        </is>
      </c>
      <c r="K175" s="28" t="n"/>
      <c r="L175" s="29" t="n"/>
      <c r="M175" s="28" t="n"/>
      <c r="N175" s="28" t="n"/>
      <c r="O175" s="28" t="n"/>
      <c r="P175" s="28" t="n"/>
      <c r="Q175" s="28" t="n"/>
      <c r="R175" s="30" t="n"/>
      <c r="S175" s="28" t="n"/>
    </row>
    <row r="176">
      <c r="A176" t="inlineStr">
        <is>
          <t>R1175</t>
        </is>
      </c>
      <c r="B176" t="inlineStr">
        <is>
          <t>HAMILTON, VIRGINIA</t>
        </is>
      </c>
      <c r="C176" t="inlineStr">
        <is>
          <t>2004-10-25</t>
        </is>
      </c>
      <c r="D176" t="inlineStr">
        <is>
          <t>F</t>
        </is>
      </c>
      <c r="E176" t="inlineStr">
        <is>
          <t>(555) 346-0206</t>
        </is>
      </c>
      <c r="F176" t="inlineStr">
        <is>
          <t>virginia.hamilton23@example.com</t>
        </is>
      </c>
      <c r="G176" t="inlineStr">
        <is>
          <t>Cedar Ridge, OH 45720</t>
        </is>
      </c>
      <c r="H176" t="inlineStr">
        <is>
          <t>SUMMIT CHOICE PPO</t>
        </is>
      </c>
      <c r="I176" t="inlineStr">
        <is>
          <t>6546392</t>
        </is>
      </c>
      <c r="J176" t="inlineStr">
        <is>
          <t>11/03/2022 07:39 AM</t>
        </is>
      </c>
      <c r="K176" s="28" t="n"/>
      <c r="L176" s="29" t="n"/>
      <c r="M176" s="28" t="n"/>
      <c r="N176" s="28" t="n"/>
      <c r="O176" s="28" t="n"/>
      <c r="P176" s="28" t="n"/>
      <c r="Q176" s="28" t="n"/>
      <c r="R176" s="30" t="n"/>
      <c r="S176" s="28" t="n"/>
    </row>
    <row r="177">
      <c r="A177" t="inlineStr">
        <is>
          <t>R1176</t>
        </is>
      </c>
      <c r="B177" t="inlineStr">
        <is>
          <t>REYES, PAUL</t>
        </is>
      </c>
      <c r="C177" t="inlineStr">
        <is>
          <t>1948-01-02</t>
        </is>
      </c>
      <c r="D177" t="inlineStr">
        <is>
          <t>Male</t>
        </is>
      </c>
      <c r="E177" t="inlineStr">
        <is>
          <t>555.428.1908</t>
        </is>
      </c>
      <c r="G177" t="inlineStr">
        <is>
          <t>ASHBY FALLS, OH 45610</t>
        </is>
      </c>
      <c r="H177" t="inlineStr">
        <is>
          <t>Medicare Part A</t>
        </is>
      </c>
      <c r="I177" t="inlineStr">
        <is>
          <t>07190333</t>
        </is>
      </c>
      <c r="J177" t="inlineStr">
        <is>
          <t>07/10/2010 12:48 PM</t>
        </is>
      </c>
      <c r="K177" s="28" t="n"/>
      <c r="L177" s="29" t="n"/>
      <c r="M177" s="28" t="n"/>
      <c r="N177" s="28" t="n"/>
      <c r="O177" s="28" t="n"/>
      <c r="P177" s="28" t="n"/>
      <c r="Q177" s="28" t="n"/>
      <c r="R177" s="30" t="n"/>
      <c r="S177" s="28" t="n"/>
    </row>
    <row r="178">
      <c r="A178" t="inlineStr">
        <is>
          <t>R1177</t>
        </is>
      </c>
      <c r="B178" t="inlineStr">
        <is>
          <t xml:space="preserve">  Ramos ,  Albert </t>
        </is>
      </c>
      <c r="C178" t="inlineStr">
        <is>
          <t>10/13/2025</t>
        </is>
      </c>
      <c r="D178" t="inlineStr">
        <is>
          <t xml:space="preserve">M </t>
        </is>
      </c>
      <c r="E178" t="inlineStr">
        <is>
          <t>+1 555 288 5776</t>
        </is>
      </c>
      <c r="F178" t="inlineStr">
        <is>
          <t>N/A</t>
        </is>
      </c>
      <c r="G178" t="inlineStr">
        <is>
          <t>Bluestone, OH 45503</t>
        </is>
      </c>
      <c r="H178" t="inlineStr">
        <is>
          <t>Medicaid</t>
        </is>
      </c>
      <c r="I178" t="inlineStr">
        <is>
          <t>00965645</t>
        </is>
      </c>
      <c r="J178" t="inlineStr">
        <is>
          <t>2024-03-16 08:20:00</t>
        </is>
      </c>
      <c r="K178" s="28" t="n"/>
      <c r="L178" s="29" t="n"/>
      <c r="M178" s="28" t="n"/>
      <c r="N178" s="28" t="n"/>
      <c r="O178" s="28" t="n"/>
      <c r="P178" s="28" t="n"/>
      <c r="Q178" s="28" t="n"/>
      <c r="R178" s="30" t="n"/>
      <c r="S178" s="28" t="n"/>
    </row>
    <row r="179">
      <c r="A179" t="inlineStr">
        <is>
          <t>R1178</t>
        </is>
      </c>
      <c r="B179" t="inlineStr">
        <is>
          <t>THOMPSON, LAURA</t>
        </is>
      </c>
      <c r="C179" t="inlineStr">
        <is>
          <t>03.14.1949</t>
        </is>
      </c>
      <c r="D179" t="inlineStr">
        <is>
          <t>f</t>
        </is>
      </c>
      <c r="E179" t="inlineStr">
        <is>
          <t>(555) 437-5204</t>
        </is>
      </c>
      <c r="G179" t="inlineStr">
        <is>
          <t>Bluestone, OH 45501</t>
        </is>
      </c>
      <c r="H179" t="inlineStr">
        <is>
          <t>Silverline Medicare Advantage</t>
        </is>
      </c>
      <c r="I179" t="inlineStr">
        <is>
          <t>06069362</t>
        </is>
      </c>
      <c r="J179" t="inlineStr">
        <is>
          <t>2011-01-25 12:31:00</t>
        </is>
      </c>
      <c r="K179" s="28" t="n"/>
      <c r="L179" s="29" t="n"/>
      <c r="M179" s="28" t="n"/>
      <c r="N179" s="28" t="n"/>
      <c r="O179" s="28" t="n"/>
      <c r="P179" s="28" t="n"/>
      <c r="Q179" s="28" t="n"/>
      <c r="R179" s="30" t="n"/>
      <c r="S179" s="28" t="n"/>
    </row>
    <row r="180">
      <c r="A180" t="inlineStr">
        <is>
          <t>R1179</t>
        </is>
      </c>
      <c r="B180" t="inlineStr">
        <is>
          <t>John Fisher</t>
        </is>
      </c>
      <c r="C180" t="inlineStr">
        <is>
          <t>10/15/1958</t>
        </is>
      </c>
      <c r="D180" t="inlineStr">
        <is>
          <t xml:space="preserve">M </t>
        </is>
      </c>
      <c r="E180" t="inlineStr">
        <is>
          <t>(555) 339-7953</t>
        </is>
      </c>
      <c r="F180" t="inlineStr">
        <is>
          <t>john.fisher35@example.com</t>
        </is>
      </c>
      <c r="G180" t="inlineStr">
        <is>
          <t>Lakeview Heights, OH 45510</t>
        </is>
      </c>
      <c r="H180" t="inlineStr">
        <is>
          <t>SILVERLINE MEDICARE ADV.</t>
        </is>
      </c>
      <c r="I180" t="inlineStr">
        <is>
          <t>06605485</t>
        </is>
      </c>
      <c r="J180" t="inlineStr">
        <is>
          <t>07/03/2024 09:24 AM</t>
        </is>
      </c>
      <c r="K180" s="28" t="n"/>
      <c r="L180" s="29" t="n"/>
      <c r="M180" s="28" t="n"/>
      <c r="N180" s="28" t="n"/>
      <c r="O180" s="28" t="n"/>
      <c r="P180" s="28" t="n"/>
      <c r="Q180" s="28" t="n"/>
      <c r="R180" s="30" t="n"/>
      <c r="S180" s="28" t="n"/>
    </row>
    <row r="181">
      <c r="A181" t="inlineStr">
        <is>
          <t>R1180</t>
        </is>
      </c>
      <c r="B181" t="inlineStr">
        <is>
          <t>Sullivan, Carlos</t>
        </is>
      </c>
      <c r="C181" t="inlineStr">
        <is>
          <t>12/15/1983</t>
        </is>
      </c>
      <c r="D181" t="inlineStr">
        <is>
          <t>Male</t>
        </is>
      </c>
      <c r="E181" t="inlineStr">
        <is>
          <t>555-555-2599</t>
        </is>
      </c>
      <c r="F181" t="inlineStr">
        <is>
          <t>N/A</t>
        </is>
      </c>
      <c r="G181" t="inlineStr">
        <is>
          <t>BLUESTONE, OH 45502</t>
        </is>
      </c>
      <c r="H181" t="inlineStr">
        <is>
          <t>self-pay</t>
        </is>
      </c>
      <c r="I181" t="inlineStr">
        <is>
          <t>06960491</t>
        </is>
      </c>
      <c r="J181" t="inlineStr">
        <is>
          <t>2024-01-12 08:41:00</t>
        </is>
      </c>
      <c r="K181" s="28" t="n"/>
      <c r="L181" s="29" t="n"/>
      <c r="M181" s="28" t="n"/>
      <c r="N181" s="28" t="n"/>
      <c r="O181" s="28" t="n"/>
      <c r="P181" s="28" t="n"/>
      <c r="Q181" s="28" t="n"/>
      <c r="R181" s="30" t="n"/>
      <c r="S181" s="28" t="n"/>
    </row>
    <row r="182">
      <c r="A182" t="inlineStr">
        <is>
          <t>R1181</t>
        </is>
      </c>
      <c r="B182" t="inlineStr">
        <is>
          <t>William Barnes</t>
        </is>
      </c>
      <c r="C182" t="inlineStr">
        <is>
          <t>1/3/2003</t>
        </is>
      </c>
      <c r="D182" t="inlineStr">
        <is>
          <t>M</t>
        </is>
      </c>
      <c r="F182" t="inlineStr">
        <is>
          <t>william.barnes76@example.com</t>
        </is>
      </c>
      <c r="G182" t="inlineStr">
        <is>
          <t>Bluestone, OH 45503-5772</t>
        </is>
      </c>
      <c r="H182" t="inlineStr">
        <is>
          <t>KEYSTONE HEALTH PARTNERS</t>
        </is>
      </c>
      <c r="I182" t="inlineStr">
        <is>
          <t>3053503</t>
        </is>
      </c>
      <c r="J182" t="inlineStr">
        <is>
          <t>2011-05-31 07:38:00</t>
        </is>
      </c>
      <c r="K182" s="28" t="n"/>
      <c r="L182" s="29" t="n"/>
      <c r="M182" s="28" t="n"/>
      <c r="N182" s="28" t="n"/>
      <c r="O182" s="28" t="n"/>
      <c r="P182" s="28" t="n"/>
      <c r="Q182" s="28" t="n"/>
      <c r="R182" s="30" t="n"/>
      <c r="S182" s="28" t="n"/>
    </row>
    <row r="183">
      <c r="A183" t="inlineStr">
        <is>
          <t>R1182</t>
        </is>
      </c>
      <c r="B183" t="inlineStr">
        <is>
          <t>Rivera, Rachel</t>
        </is>
      </c>
      <c r="C183" t="inlineStr">
        <is>
          <t>06/25/1952</t>
        </is>
      </c>
      <c r="D183" t="inlineStr">
        <is>
          <t>F</t>
        </is>
      </c>
      <c r="E183" t="inlineStr">
        <is>
          <t>(555) 825-4706</t>
        </is>
      </c>
      <c r="F183" t="inlineStr">
        <is>
          <t>rachel.rivera87@example.com</t>
        </is>
      </c>
      <c r="G183" t="inlineStr">
        <is>
          <t>Pine Hollow, OH 45640</t>
        </is>
      </c>
      <c r="H183" t="inlineStr">
        <is>
          <t>Silverline MA</t>
        </is>
      </c>
      <c r="I183" t="inlineStr">
        <is>
          <t>09348784</t>
        </is>
      </c>
      <c r="J183" t="inlineStr">
        <is>
          <t>2021-07-09 16:01:00</t>
        </is>
      </c>
      <c r="K183" s="28" t="n"/>
      <c r="L183" s="29" t="n"/>
      <c r="M183" s="28" t="n"/>
      <c r="N183" s="28" t="n"/>
      <c r="O183" s="28" t="n"/>
      <c r="P183" s="28" t="n"/>
      <c r="Q183" s="28" t="n"/>
      <c r="R183" s="30" t="n"/>
      <c r="S183" s="28" t="n"/>
    </row>
    <row r="184">
      <c r="A184" t="inlineStr">
        <is>
          <t>R1183</t>
        </is>
      </c>
      <c r="B184" t="inlineStr">
        <is>
          <t>Willis, Tyler</t>
        </is>
      </c>
      <c r="C184" t="inlineStr">
        <is>
          <t>08/09/1963</t>
        </is>
      </c>
      <c r="D184" t="inlineStr">
        <is>
          <t>M</t>
        </is>
      </c>
      <c r="F184" t="inlineStr">
        <is>
          <t xml:space="preserve"> tyler.willis67@example.com </t>
        </is>
      </c>
      <c r="G184" t="inlineStr">
        <is>
          <t>Bluestone, OH 45503</t>
        </is>
      </c>
      <c r="H184" t="inlineStr">
        <is>
          <t>SUMMIT CHOICE PPO</t>
        </is>
      </c>
      <c r="I184" t="inlineStr">
        <is>
          <t>MRN-02528776</t>
        </is>
      </c>
      <c r="J184" t="inlineStr">
        <is>
          <t>2015-05-26 15:02:00</t>
        </is>
      </c>
      <c r="K184" s="28" t="n"/>
      <c r="L184" s="29" t="n"/>
      <c r="M184" s="28" t="n"/>
      <c r="N184" s="28" t="n"/>
      <c r="O184" s="28" t="n"/>
      <c r="P184" s="28" t="n"/>
      <c r="Q184" s="28" t="n"/>
      <c r="R184" s="30" t="n"/>
      <c r="S184" s="28" t="n"/>
    </row>
    <row r="185">
      <c r="A185" t="inlineStr">
        <is>
          <t>R1184</t>
        </is>
      </c>
      <c r="B185" t="inlineStr">
        <is>
          <t>Silva, Kimberly</t>
        </is>
      </c>
      <c r="C185" t="inlineStr">
        <is>
          <t>5/29/1932</t>
        </is>
      </c>
      <c r="D185" t="inlineStr">
        <is>
          <t>Female</t>
        </is>
      </c>
      <c r="E185" t="inlineStr">
        <is>
          <t>(555) 914-4001</t>
        </is>
      </c>
      <c r="G185" t="inlineStr">
        <is>
          <t>Cedar Ridge, OH 45720-3025</t>
        </is>
      </c>
      <c r="H185" t="inlineStr">
        <is>
          <t>Silverline MA</t>
        </is>
      </c>
      <c r="I185" t="inlineStr">
        <is>
          <t>MRN-07141057</t>
        </is>
      </c>
      <c r="J185" t="inlineStr">
        <is>
          <t>2019-01-11 09:44:00</t>
        </is>
      </c>
      <c r="K185" s="28" t="n"/>
      <c r="L185" s="29" t="n"/>
      <c r="M185" s="28" t="n"/>
      <c r="N185" s="28" t="n"/>
      <c r="O185" s="28" t="n"/>
      <c r="P185" s="28" t="n"/>
      <c r="Q185" s="28" t="n"/>
      <c r="R185" s="30" t="n"/>
      <c r="S185" s="28" t="n"/>
    </row>
    <row r="186">
      <c r="A186" t="inlineStr">
        <is>
          <t>R1185</t>
        </is>
      </c>
      <c r="B186" t="inlineStr">
        <is>
          <t>Lewis, Evelyn</t>
        </is>
      </c>
      <c r="C186" t="inlineStr">
        <is>
          <t>10/06/1982</t>
        </is>
      </c>
      <c r="D186" t="inlineStr">
        <is>
          <t>FEMALE</t>
        </is>
      </c>
      <c r="E186" t="inlineStr">
        <is>
          <t>555-734-2951</t>
        </is>
      </c>
      <c r="G186" t="inlineStr">
        <is>
          <t>Bluestone, OH 45503-4320</t>
        </is>
      </c>
      <c r="H186" t="inlineStr">
        <is>
          <t>Keystone</t>
        </is>
      </c>
      <c r="I186" t="inlineStr">
        <is>
          <t>MRN-04174690</t>
        </is>
      </c>
      <c r="J186" t="inlineStr">
        <is>
          <t>2008-06-07 10:51:00</t>
        </is>
      </c>
      <c r="K186" s="28" t="n"/>
      <c r="L186" s="29" t="n"/>
      <c r="M186" s="28" t="n"/>
      <c r="N186" s="28" t="n"/>
      <c r="O186" s="28" t="n"/>
      <c r="P186" s="28" t="n"/>
      <c r="Q186" s="28" t="n"/>
      <c r="R186" s="30" t="n"/>
      <c r="S186" s="28" t="n"/>
    </row>
    <row r="187">
      <c r="A187" t="inlineStr">
        <is>
          <t>R1186</t>
        </is>
      </c>
      <c r="B187" t="inlineStr">
        <is>
          <t>Gordon, Alice</t>
        </is>
      </c>
      <c r="C187" t="inlineStr">
        <is>
          <t>03/12/1975</t>
        </is>
      </c>
      <c r="D187" t="inlineStr">
        <is>
          <t>F</t>
        </is>
      </c>
      <c r="E187" t="inlineStr">
        <is>
          <t>5556651818</t>
        </is>
      </c>
      <c r="F187" t="inlineStr">
        <is>
          <t>alice.gordon74@example.com</t>
        </is>
      </c>
      <c r="G187" t="inlineStr">
        <is>
          <t>Oak Glen, OH 45730</t>
        </is>
      </c>
      <c r="H187" t="inlineStr">
        <is>
          <t>Summit PPO</t>
        </is>
      </c>
      <c r="I187" t="inlineStr">
        <is>
          <t>00169023</t>
        </is>
      </c>
      <c r="J187" t="inlineStr">
        <is>
          <t>2020-07-03 08:56:00</t>
        </is>
      </c>
      <c r="K187" s="28" t="n"/>
      <c r="L187" s="29" t="n"/>
      <c r="M187" s="28" t="n"/>
      <c r="N187" s="28" t="n"/>
      <c r="O187" s="28" t="n"/>
      <c r="P187" s="28" t="n"/>
      <c r="Q187" s="28" t="n"/>
      <c r="R187" s="30" t="n"/>
      <c r="S187" s="28" t="n"/>
    </row>
    <row r="188">
      <c r="A188" t="inlineStr">
        <is>
          <t>R1187</t>
        </is>
      </c>
      <c r="B188" t="inlineStr">
        <is>
          <t>HARRISON, JERRY</t>
        </is>
      </c>
      <c r="C188" t="inlineStr">
        <is>
          <t>1971-02-08</t>
        </is>
      </c>
      <c r="D188" t="inlineStr">
        <is>
          <t>MALE</t>
        </is>
      </c>
      <c r="E188" t="inlineStr">
        <is>
          <t>5557237413</t>
        </is>
      </c>
      <c r="F188" t="inlineStr">
        <is>
          <t xml:space="preserve"> jerry.harrison88@example.com </t>
        </is>
      </c>
      <c r="G188" t="inlineStr">
        <is>
          <t>Bluestone, OH 45501</t>
        </is>
      </c>
      <c r="H188" t="inlineStr">
        <is>
          <t>State Medicaid</t>
        </is>
      </c>
      <c r="I188" t="inlineStr">
        <is>
          <t>04988438</t>
        </is>
      </c>
      <c r="J188" t="inlineStr">
        <is>
          <t>2024-02-10 18:40:00</t>
        </is>
      </c>
      <c r="K188" s="28" t="n"/>
      <c r="L188" s="29" t="n"/>
      <c r="M188" s="28" t="n"/>
      <c r="N188" s="28" t="n"/>
      <c r="O188" s="28" t="n"/>
      <c r="P188" s="28" t="n"/>
      <c r="Q188" s="28" t="n"/>
      <c r="R188" s="30" t="n"/>
      <c r="S188" s="28" t="n"/>
    </row>
    <row r="189">
      <c r="A189" t="inlineStr">
        <is>
          <t>R1188</t>
        </is>
      </c>
      <c r="B189" t="inlineStr">
        <is>
          <t>Joan Vasquez</t>
        </is>
      </c>
      <c r="C189" t="inlineStr">
        <is>
          <t>08/16/2002</t>
        </is>
      </c>
      <c r="D189" t="inlineStr">
        <is>
          <t>FEMALE</t>
        </is>
      </c>
      <c r="E189" t="inlineStr">
        <is>
          <t>+1 555 891 4598</t>
        </is>
      </c>
      <c r="F189" t="inlineStr">
        <is>
          <t xml:space="preserve"> joan.vasquez75@example.com </t>
        </is>
      </c>
      <c r="G189" t="inlineStr">
        <is>
          <t>Granite Springs, OH 45750</t>
        </is>
      </c>
      <c r="H189" t="inlineStr">
        <is>
          <t>Summit Choice PPO</t>
        </is>
      </c>
      <c r="I189" t="inlineStr">
        <is>
          <t>08397185</t>
        </is>
      </c>
      <c r="J189" t="inlineStr">
        <is>
          <t>06/09/2023 12:17 PM</t>
        </is>
      </c>
      <c r="K189" s="28" t="n"/>
      <c r="L189" s="29" t="n"/>
      <c r="M189" s="28" t="n"/>
      <c r="N189" s="28" t="n"/>
      <c r="O189" s="28" t="n"/>
      <c r="P189" s="28" t="n"/>
      <c r="Q189" s="28" t="n"/>
      <c r="R189" s="30" t="n"/>
      <c r="S189" s="28" t="n"/>
    </row>
    <row r="190">
      <c r="A190" t="inlineStr">
        <is>
          <t>R1189</t>
        </is>
      </c>
      <c r="B190" t="inlineStr">
        <is>
          <t>Bennett, Lori</t>
        </is>
      </c>
      <c r="C190" t="inlineStr">
        <is>
          <t>10/08/2023</t>
        </is>
      </c>
      <c r="D190" t="inlineStr">
        <is>
          <t>FEMALE</t>
        </is>
      </c>
      <c r="E190" t="inlineStr">
        <is>
          <t>555.435.6638</t>
        </is>
      </c>
      <c r="F190" t="inlineStr">
        <is>
          <t>N/A</t>
        </is>
      </c>
      <c r="G190" t="inlineStr">
        <is>
          <t>Bluestone, OH 45502</t>
        </is>
      </c>
      <c r="H190" t="inlineStr">
        <is>
          <t>Medicaid</t>
        </is>
      </c>
      <c r="I190" t="inlineStr">
        <is>
          <t>07098225</t>
        </is>
      </c>
      <c r="J190" t="inlineStr">
        <is>
          <t>2023-11-24 13:47:00</t>
        </is>
      </c>
      <c r="K190" s="28" t="n"/>
      <c r="L190" s="29" t="n"/>
      <c r="M190" s="28" t="n"/>
      <c r="N190" s="28" t="n"/>
      <c r="O190" s="28" t="n"/>
      <c r="P190" s="28" t="n"/>
      <c r="Q190" s="28" t="n"/>
      <c r="R190" s="30" t="n"/>
      <c r="S190" s="28" t="n"/>
    </row>
    <row r="191">
      <c r="A191" t="inlineStr">
        <is>
          <t>R1190</t>
        </is>
      </c>
      <c r="B191" t="inlineStr">
        <is>
          <t>GRANT, LEILA</t>
        </is>
      </c>
      <c r="C191" t="inlineStr">
        <is>
          <t>12/05/1933</t>
        </is>
      </c>
      <c r="D191" t="inlineStr">
        <is>
          <t xml:space="preserve"> F</t>
        </is>
      </c>
      <c r="E191" t="inlineStr">
        <is>
          <t>555.886.2376</t>
        </is>
      </c>
      <c r="G191" t="inlineStr">
        <is>
          <t>Bluestone, OH 45501</t>
        </is>
      </c>
      <c r="H191" t="inlineStr">
        <is>
          <t>Medicare Part A</t>
        </is>
      </c>
      <c r="I191" t="inlineStr">
        <is>
          <t>06360985</t>
        </is>
      </c>
      <c r="J191" t="inlineStr">
        <is>
          <t>2017-02-18 13:59:00</t>
        </is>
      </c>
      <c r="K191" s="28" t="n"/>
      <c r="L191" s="29" t="n"/>
      <c r="M191" s="28" t="n"/>
      <c r="N191" s="28" t="n"/>
      <c r="O191" s="28" t="n"/>
      <c r="P191" s="28" t="n"/>
      <c r="Q191" s="28" t="n"/>
      <c r="R191" s="30" t="n"/>
      <c r="S191" s="28" t="n"/>
    </row>
    <row r="192">
      <c r="A192" t="inlineStr">
        <is>
          <t>R1191</t>
        </is>
      </c>
      <c r="B192" t="inlineStr">
        <is>
          <t>Grace Andrews</t>
        </is>
      </c>
      <c r="C192" t="inlineStr">
        <is>
          <t>10/16/1969</t>
        </is>
      </c>
      <c r="D192" t="inlineStr">
        <is>
          <t xml:space="preserve"> F</t>
        </is>
      </c>
      <c r="E192" t="inlineStr">
        <is>
          <t>(555) 984-5544</t>
        </is>
      </c>
      <c r="F192" t="inlineStr">
        <is>
          <t>grace.andrews28@example.com</t>
        </is>
      </c>
      <c r="G192" t="inlineStr">
        <is>
          <t>Bluestone OH 45501</t>
        </is>
      </c>
      <c r="H192" t="inlineStr">
        <is>
          <t>Keystone Health Ptnrs</t>
        </is>
      </c>
      <c r="I192" t="inlineStr">
        <is>
          <t>06411556</t>
        </is>
      </c>
      <c r="J192" t="inlineStr">
        <is>
          <t>2020-10-31 08:13:00</t>
        </is>
      </c>
      <c r="K192" s="28" t="n"/>
      <c r="L192" s="29" t="n"/>
      <c r="M192" s="28" t="n"/>
      <c r="N192" s="28" t="n"/>
      <c r="O192" s="28" t="n"/>
      <c r="P192" s="28" t="n"/>
      <c r="Q192" s="28" t="n"/>
      <c r="R192" s="30" t="n"/>
      <c r="S192" s="28" t="n"/>
    </row>
    <row r="193">
      <c r="A193" t="inlineStr">
        <is>
          <t>R1192</t>
        </is>
      </c>
      <c r="B193" t="inlineStr">
        <is>
          <t xml:space="preserve">  Porter ,  Wei </t>
        </is>
      </c>
      <c r="C193" t="inlineStr">
        <is>
          <t>19-Jan-1979</t>
        </is>
      </c>
      <c r="D193" t="inlineStr">
        <is>
          <t>Male</t>
        </is>
      </c>
      <c r="E193" t="inlineStr">
        <is>
          <t>+1 555 728 8462</t>
        </is>
      </c>
      <c r="F193" t="inlineStr">
        <is>
          <t>wei.porter70@example.com</t>
        </is>
      </c>
      <c r="G193" t="inlineStr">
        <is>
          <t>Cedar Ridge, OH 45720</t>
        </is>
      </c>
      <c r="H193" t="inlineStr">
        <is>
          <t>Evergreen Mutual Insurance</t>
        </is>
      </c>
      <c r="I193" t="inlineStr">
        <is>
          <t>6928829</t>
        </is>
      </c>
      <c r="J193" t="inlineStr">
        <is>
          <t>2021-03-08 14:09:00</t>
        </is>
      </c>
      <c r="K193" s="28" t="n"/>
      <c r="L193" s="29" t="n"/>
      <c r="M193" s="28" t="n"/>
      <c r="N193" s="28" t="n"/>
      <c r="O193" s="28" t="n"/>
      <c r="P193" s="28" t="n"/>
      <c r="Q193" s="28" t="n"/>
      <c r="R193" s="30" t="n"/>
      <c r="S193" s="28" t="n"/>
    </row>
    <row r="194">
      <c r="A194" t="inlineStr">
        <is>
          <t>R1193</t>
        </is>
      </c>
      <c r="B194" t="inlineStr">
        <is>
          <t>Chen, Betty</t>
        </is>
      </c>
      <c r="C194" t="inlineStr">
        <is>
          <t>03/31/2001</t>
        </is>
      </c>
      <c r="D194" t="inlineStr">
        <is>
          <t>Female</t>
        </is>
      </c>
      <c r="E194" t="inlineStr">
        <is>
          <t>(555) 237-6636</t>
        </is>
      </c>
      <c r="G194" t="inlineStr">
        <is>
          <t>Pine Hollow, OH 45640</t>
        </is>
      </c>
      <c r="H194" t="inlineStr">
        <is>
          <t>EVERGREEN MUTUAL INS</t>
        </is>
      </c>
      <c r="I194" t="inlineStr">
        <is>
          <t>8132111</t>
        </is>
      </c>
      <c r="J194" t="inlineStr">
        <is>
          <t>08/14/2018 09:44 AM</t>
        </is>
      </c>
      <c r="K194" s="28" t="n"/>
      <c r="L194" s="29" t="n"/>
      <c r="M194" s="28" t="n"/>
      <c r="N194" s="28" t="n"/>
      <c r="O194" s="28" t="n"/>
      <c r="P194" s="28" t="n"/>
      <c r="Q194" s="28" t="n"/>
      <c r="R194" s="30" t="n"/>
      <c r="S194" s="28" t="n"/>
    </row>
    <row r="195">
      <c r="A195" t="inlineStr">
        <is>
          <t>R1194</t>
        </is>
      </c>
      <c r="B195" t="inlineStr">
        <is>
          <t>Charles Stone</t>
        </is>
      </c>
      <c r="C195" t="inlineStr">
        <is>
          <t>07.13.1990</t>
        </is>
      </c>
      <c r="D195" t="inlineStr">
        <is>
          <t>MALE</t>
        </is>
      </c>
      <c r="E195" t="inlineStr">
        <is>
          <t>(555) 213-9817</t>
        </is>
      </c>
      <c r="F195" t="inlineStr">
        <is>
          <t>charles.stone42@example.com</t>
        </is>
      </c>
      <c r="G195" t="inlineStr">
        <is>
          <t>BLUESTONE, OH 45501</t>
        </is>
      </c>
      <c r="H195" t="inlineStr">
        <is>
          <t>Self Pay</t>
        </is>
      </c>
      <c r="I195" t="inlineStr">
        <is>
          <t>01745769</t>
        </is>
      </c>
      <c r="J195" t="inlineStr">
        <is>
          <t>03/24/2014 06:38 PM</t>
        </is>
      </c>
      <c r="K195" s="28" t="n"/>
      <c r="L195" s="29" t="n"/>
      <c r="M195" s="28" t="n"/>
      <c r="N195" s="28" t="n"/>
      <c r="O195" s="28" t="n"/>
      <c r="P195" s="28" t="n"/>
      <c r="Q195" s="28" t="n"/>
      <c r="R195" s="30" t="n"/>
      <c r="S195" s="28" t="n"/>
    </row>
    <row r="196">
      <c r="A196" t="inlineStr">
        <is>
          <t>R1195</t>
        </is>
      </c>
      <c r="B196" t="inlineStr">
        <is>
          <t>ramos, sarah</t>
        </is>
      </c>
      <c r="C196" t="inlineStr">
        <is>
          <t>1949-10-02</t>
        </is>
      </c>
      <c r="D196" t="inlineStr">
        <is>
          <t>Female</t>
        </is>
      </c>
      <c r="E196" t="inlineStr">
        <is>
          <t>555.976.8822</t>
        </is>
      </c>
      <c r="F196" t="inlineStr">
        <is>
          <t>N/A</t>
        </is>
      </c>
      <c r="G196" t="inlineStr">
        <is>
          <t>Bluestone OH 45501</t>
        </is>
      </c>
      <c r="H196" t="inlineStr">
        <is>
          <t>Medicare Part A</t>
        </is>
      </c>
      <c r="I196" t="inlineStr">
        <is>
          <t>09901687</t>
        </is>
      </c>
      <c r="J196" t="inlineStr">
        <is>
          <t>2014-12-16 11:09:00</t>
        </is>
      </c>
      <c r="K196" s="28" t="n"/>
      <c r="L196" s="29" t="n"/>
      <c r="M196" s="28" t="n"/>
      <c r="N196" s="28" t="n"/>
      <c r="O196" s="28" t="n"/>
      <c r="P196" s="28" t="n"/>
      <c r="Q196" s="28" t="n"/>
      <c r="R196" s="30" t="n"/>
      <c r="S196" s="28" t="n"/>
    </row>
    <row r="197">
      <c r="A197" t="inlineStr">
        <is>
          <t>R1196</t>
        </is>
      </c>
      <c r="B197" t="inlineStr">
        <is>
          <t>Hill, Wayne</t>
        </is>
      </c>
      <c r="C197" t="inlineStr">
        <is>
          <t>08/17/1948</t>
        </is>
      </c>
      <c r="D197" t="inlineStr">
        <is>
          <t>m</t>
        </is>
      </c>
      <c r="E197" t="inlineStr">
        <is>
          <t>(555) 435-1905</t>
        </is>
      </c>
      <c r="F197" t="inlineStr">
        <is>
          <t>none</t>
        </is>
      </c>
      <c r="G197" t="inlineStr">
        <is>
          <t>Riverbend OH 45545</t>
        </is>
      </c>
      <c r="H197" t="inlineStr">
        <is>
          <t>Silverline Medicare Advantage</t>
        </is>
      </c>
      <c r="I197" t="inlineStr">
        <is>
          <t>02220363</t>
        </is>
      </c>
      <c r="J197" t="inlineStr">
        <is>
          <t>2017-07-08 15:00:00</t>
        </is>
      </c>
      <c r="K197" s="28" t="n"/>
      <c r="L197" s="29" t="n"/>
      <c r="M197" s="28" t="n"/>
      <c r="N197" s="28" t="n"/>
      <c r="O197" s="28" t="n"/>
      <c r="P197" s="28" t="n"/>
      <c r="Q197" s="28" t="n"/>
      <c r="R197" s="30" t="n"/>
      <c r="S197" s="28" t="n"/>
    </row>
    <row r="198">
      <c r="A198" t="inlineStr">
        <is>
          <t>R1197</t>
        </is>
      </c>
      <c r="B198" t="inlineStr">
        <is>
          <t>HILL, FRANK</t>
        </is>
      </c>
      <c r="C198" t="inlineStr">
        <is>
          <t>1952-08-28</t>
        </is>
      </c>
      <c r="D198" t="inlineStr">
        <is>
          <t>M</t>
        </is>
      </c>
      <c r="E198" t="inlineStr">
        <is>
          <t>(555) 787-7802</t>
        </is>
      </c>
      <c r="F198" t="inlineStr">
        <is>
          <t>frank.hill20@example.com</t>
        </is>
      </c>
      <c r="G198" t="inlineStr">
        <is>
          <t>Cedar Ridge, OH 45720</t>
        </is>
      </c>
      <c r="H198" t="inlineStr">
        <is>
          <t>medicare</t>
        </is>
      </c>
      <c r="I198" t="inlineStr">
        <is>
          <t>1262319</t>
        </is>
      </c>
      <c r="J198" t="inlineStr">
        <is>
          <t>2013-02-21 11:48:00</t>
        </is>
      </c>
      <c r="K198" s="28" t="n"/>
      <c r="L198" s="29" t="n"/>
      <c r="M198" s="28" t="n"/>
      <c r="N198" s="28" t="n"/>
      <c r="O198" s="28" t="n"/>
      <c r="P198" s="28" t="n"/>
      <c r="Q198" s="28" t="n"/>
      <c r="R198" s="30" t="n"/>
      <c r="S198" s="28" t="n"/>
    </row>
    <row r="199">
      <c r="A199" t="inlineStr">
        <is>
          <t>R1198</t>
        </is>
      </c>
      <c r="B199" t="inlineStr">
        <is>
          <t>gomez, walter</t>
        </is>
      </c>
      <c r="C199" t="inlineStr">
        <is>
          <t>12/16/1958</t>
        </is>
      </c>
      <c r="D199" t="inlineStr">
        <is>
          <t>M</t>
        </is>
      </c>
      <c r="E199" t="inlineStr">
        <is>
          <t>(555) 402-9498</t>
        </is>
      </c>
      <c r="F199" t="inlineStr">
        <is>
          <t>none</t>
        </is>
      </c>
      <c r="G199" t="inlineStr">
        <is>
          <t>ASHBY FALLS, OH 45610</t>
        </is>
      </c>
      <c r="H199" t="inlineStr">
        <is>
          <t xml:space="preserve">Silverline Medicare Advantage </t>
        </is>
      </c>
      <c r="I199" t="inlineStr">
        <is>
          <t>07279550</t>
        </is>
      </c>
      <c r="J199" t="inlineStr">
        <is>
          <t>2015-10-23 17:06:00</t>
        </is>
      </c>
      <c r="K199" s="28" t="n"/>
      <c r="L199" s="29" t="n"/>
      <c r="M199" s="28" t="n"/>
      <c r="N199" s="28" t="n"/>
      <c r="O199" s="28" t="n"/>
      <c r="P199" s="28" t="n"/>
      <c r="Q199" s="28" t="n"/>
      <c r="R199" s="30" t="n"/>
      <c r="S199" s="28" t="n"/>
    </row>
    <row r="200">
      <c r="A200" t="inlineStr">
        <is>
          <t>R1199</t>
        </is>
      </c>
      <c r="B200" t="inlineStr">
        <is>
          <t>ELLIOTT, JUAN</t>
        </is>
      </c>
      <c r="C200" t="inlineStr">
        <is>
          <t>1985-09-28</t>
        </is>
      </c>
      <c r="D200" t="inlineStr">
        <is>
          <t>Male</t>
        </is>
      </c>
      <c r="E200" t="inlineStr">
        <is>
          <t>(555) 453-9960</t>
        </is>
      </c>
      <c r="F200" t="inlineStr">
        <is>
          <t xml:space="preserve"> juan.elliott23@example.com </t>
        </is>
      </c>
      <c r="G200" t="inlineStr">
        <is>
          <t>Bluestone, OH 45501</t>
        </is>
      </c>
      <c r="H200" t="inlineStr">
        <is>
          <t>Keystone Health Partners</t>
        </is>
      </c>
      <c r="I200" t="inlineStr">
        <is>
          <t>780447</t>
        </is>
      </c>
      <c r="J200" t="inlineStr">
        <is>
          <t>2008-12-04 11:08:00</t>
        </is>
      </c>
      <c r="K200" s="28" t="n"/>
      <c r="L200" s="29" t="n"/>
      <c r="M200" s="28" t="n"/>
      <c r="N200" s="28" t="n"/>
      <c r="O200" s="28" t="n"/>
      <c r="P200" s="28" t="n"/>
      <c r="Q200" s="28" t="n"/>
      <c r="R200" s="30" t="n"/>
      <c r="S200" s="28" t="n"/>
    </row>
    <row r="201">
      <c r="A201" t="inlineStr">
        <is>
          <t>R1200</t>
        </is>
      </c>
      <c r="B201" t="inlineStr">
        <is>
          <t xml:space="preserve">  McDonald ,  Mark </t>
        </is>
      </c>
      <c r="C201" t="inlineStr">
        <is>
          <t>06/22/1954</t>
        </is>
      </c>
      <c r="D201" t="inlineStr">
        <is>
          <t>M</t>
        </is>
      </c>
      <c r="E201" t="inlineStr">
        <is>
          <t>5556060213</t>
        </is>
      </c>
      <c r="F201" t="inlineStr">
        <is>
          <t>MARK.MCDONALD1@EXAMPLE.COM</t>
        </is>
      </c>
      <c r="G201" t="inlineStr">
        <is>
          <t>Ashby Falls, OH 45610-5591</t>
        </is>
      </c>
      <c r="H201" t="inlineStr">
        <is>
          <t>Medicare Part A</t>
        </is>
      </c>
      <c r="I201" t="inlineStr">
        <is>
          <t>6667083</t>
        </is>
      </c>
      <c r="J201" t="inlineStr">
        <is>
          <t>2022-09-17 11:33:00</t>
        </is>
      </c>
      <c r="K201" s="28" t="n"/>
      <c r="L201" s="29" t="n"/>
      <c r="M201" s="28" t="n"/>
      <c r="N201" s="28" t="n"/>
      <c r="O201" s="28" t="n"/>
      <c r="P201" s="28" t="n"/>
      <c r="Q201" s="28" t="n"/>
      <c r="R201" s="30" t="n"/>
      <c r="S201" s="28" t="n"/>
    </row>
    <row r="202">
      <c r="A202" t="inlineStr">
        <is>
          <t>R1201</t>
        </is>
      </c>
      <c r="B202" t="inlineStr">
        <is>
          <t>Ramos, Denise</t>
        </is>
      </c>
      <c r="C202" t="inlineStr">
        <is>
          <t>1991-02-01</t>
        </is>
      </c>
      <c r="D202" t="inlineStr">
        <is>
          <t>Female</t>
        </is>
      </c>
      <c r="E202" t="inlineStr">
        <is>
          <t>5557538264</t>
        </is>
      </c>
      <c r="G202" t="inlineStr">
        <is>
          <t>Pine Hollow OH 45640</t>
        </is>
      </c>
      <c r="H202" t="inlineStr">
        <is>
          <t>Medicaid</t>
        </is>
      </c>
      <c r="I202" t="inlineStr">
        <is>
          <t>03585244</t>
        </is>
      </c>
      <c r="J202" t="inlineStr">
        <is>
          <t>12/07/2022 01:56 PM</t>
        </is>
      </c>
      <c r="K202" s="28" t="n"/>
      <c r="L202" s="29" t="n"/>
      <c r="M202" s="28" t="n"/>
      <c r="N202" s="28" t="n"/>
      <c r="O202" s="28" t="n"/>
      <c r="P202" s="28" t="n"/>
      <c r="Q202" s="28" t="n"/>
      <c r="R202" s="30" t="n"/>
      <c r="S202" s="28" t="n"/>
    </row>
    <row r="203">
      <c r="A203" t="inlineStr">
        <is>
          <t>R1202</t>
        </is>
      </c>
      <c r="B203" t="inlineStr">
        <is>
          <t xml:space="preserve">  Harris ,  Ana </t>
        </is>
      </c>
      <c r="C203" t="inlineStr">
        <is>
          <t>10/27/1975</t>
        </is>
      </c>
      <c r="D203" t="inlineStr">
        <is>
          <t>F</t>
        </is>
      </c>
      <c r="E203" t="inlineStr">
        <is>
          <t>5555983049</t>
        </is>
      </c>
      <c r="F203" t="inlineStr">
        <is>
          <t>ana.harris27@example.com</t>
        </is>
      </c>
      <c r="G203" t="inlineStr">
        <is>
          <t>Bluestone OH 45501</t>
        </is>
      </c>
      <c r="H203" t="inlineStr">
        <is>
          <t>medicaid</t>
        </is>
      </c>
      <c r="I203" t="inlineStr">
        <is>
          <t>04778826</t>
        </is>
      </c>
      <c r="J203" t="inlineStr">
        <is>
          <t>2022-07-09 12:52:00</t>
        </is>
      </c>
      <c r="K203" s="28" t="n"/>
      <c r="L203" s="29" t="n"/>
      <c r="M203" s="28" t="n"/>
      <c r="N203" s="28" t="n"/>
      <c r="O203" s="28" t="n"/>
      <c r="P203" s="28" t="n"/>
      <c r="Q203" s="28" t="n"/>
      <c r="R203" s="30" t="n"/>
      <c r="S203" s="28" t="n"/>
    </row>
    <row r="204">
      <c r="A204" t="inlineStr">
        <is>
          <t>R1203</t>
        </is>
      </c>
      <c r="B204" t="inlineStr">
        <is>
          <t>carroll, charles</t>
        </is>
      </c>
      <c r="C204" t="inlineStr">
        <is>
          <t>1974-10-11</t>
        </is>
      </c>
      <c r="D204" t="inlineStr">
        <is>
          <t>M</t>
        </is>
      </c>
      <c r="E204" t="inlineStr">
        <is>
          <t>(555) 493-1102</t>
        </is>
      </c>
      <c r="F204" t="inlineStr">
        <is>
          <t>CHARLES.CARROLL82@EXAMPLE.COM</t>
        </is>
      </c>
      <c r="G204" t="inlineStr">
        <is>
          <t>Riverbend OH 45545</t>
        </is>
      </c>
      <c r="H204" t="inlineStr">
        <is>
          <t>self-pay</t>
        </is>
      </c>
      <c r="I204" t="inlineStr">
        <is>
          <t>01547286</t>
        </is>
      </c>
      <c r="J204" t="inlineStr">
        <is>
          <t>2021-06-10 12:52:00</t>
        </is>
      </c>
      <c r="K204" s="28" t="n"/>
      <c r="L204" s="29" t="n"/>
      <c r="M204" s="28" t="n"/>
      <c r="N204" s="28" t="n"/>
      <c r="O204" s="28" t="n"/>
      <c r="P204" s="28" t="n"/>
      <c r="Q204" s="28" t="n"/>
      <c r="R204" s="30" t="n"/>
      <c r="S204" s="28" t="n"/>
    </row>
    <row r="205">
      <c r="A205" t="inlineStr">
        <is>
          <t>R1204</t>
        </is>
      </c>
      <c r="B205" t="inlineStr">
        <is>
          <t>Stone, Pamela</t>
        </is>
      </c>
      <c r="C205" t="inlineStr">
        <is>
          <t>08/09/1970</t>
        </is>
      </c>
      <c r="D205" t="inlineStr">
        <is>
          <t xml:space="preserve"> F</t>
        </is>
      </c>
      <c r="E205" t="inlineStr">
        <is>
          <t>555-221-5419</t>
        </is>
      </c>
      <c r="F205" t="inlineStr">
        <is>
          <t>N/A</t>
        </is>
      </c>
      <c r="G205" t="inlineStr">
        <is>
          <t>Lakeview Heights, OH 45510-2432</t>
        </is>
      </c>
      <c r="H205" t="inlineStr">
        <is>
          <t>Evergreen Mutual Insurance</t>
        </is>
      </c>
      <c r="I205" t="inlineStr">
        <is>
          <t>MRN-04009956</t>
        </is>
      </c>
      <c r="J205" t="inlineStr">
        <is>
          <t>04/24/2018 12:24 PM</t>
        </is>
      </c>
      <c r="K205" s="28" t="n"/>
      <c r="L205" s="29" t="n"/>
      <c r="M205" s="28" t="n"/>
      <c r="N205" s="28" t="n"/>
      <c r="O205" s="28" t="n"/>
      <c r="P205" s="28" t="n"/>
      <c r="Q205" s="28" t="n"/>
      <c r="R205" s="30" t="n"/>
      <c r="S205" s="28" t="n"/>
    </row>
    <row r="206">
      <c r="A206" t="inlineStr">
        <is>
          <t>R1205</t>
        </is>
      </c>
      <c r="B206" t="inlineStr">
        <is>
          <t>Garza, Henry</t>
        </is>
      </c>
      <c r="C206" t="inlineStr">
        <is>
          <t>09/02/1992</t>
        </is>
      </c>
      <c r="D206" t="inlineStr">
        <is>
          <t>M</t>
        </is>
      </c>
      <c r="E206" t="inlineStr">
        <is>
          <t>555-250-0086</t>
        </is>
      </c>
      <c r="F206" t="inlineStr">
        <is>
          <t>henry.garza30@example.com</t>
        </is>
      </c>
      <c r="G206" t="inlineStr">
        <is>
          <t>Bluestone, OH 45501-7783</t>
        </is>
      </c>
      <c r="H206" t="inlineStr">
        <is>
          <t>State Medicaid</t>
        </is>
      </c>
      <c r="I206" t="inlineStr">
        <is>
          <t>00952633</t>
        </is>
      </c>
      <c r="J206" t="inlineStr">
        <is>
          <t>2018-06-07 11:31:00</t>
        </is>
      </c>
      <c r="K206" s="28" t="n"/>
      <c r="L206" s="29" t="n"/>
      <c r="M206" s="28" t="n"/>
      <c r="N206" s="28" t="n"/>
      <c r="O206" s="28" t="n"/>
      <c r="P206" s="28" t="n"/>
      <c r="Q206" s="28" t="n"/>
      <c r="R206" s="30" t="n"/>
      <c r="S206" s="28" t="n"/>
    </row>
    <row r="207">
      <c r="A207" t="inlineStr">
        <is>
          <t>R1206</t>
        </is>
      </c>
      <c r="B207" t="inlineStr">
        <is>
          <t>Payne, Amina</t>
        </is>
      </c>
      <c r="C207" t="inlineStr">
        <is>
          <t>04/01/1946</t>
        </is>
      </c>
      <c r="D207" t="inlineStr">
        <is>
          <t>FEMALE</t>
        </is>
      </c>
      <c r="E207" t="inlineStr">
        <is>
          <t>5552241948</t>
        </is>
      </c>
      <c r="G207" t="inlineStr">
        <is>
          <t>Oak Glen OH 45730</t>
        </is>
      </c>
      <c r="H207" t="inlineStr">
        <is>
          <t xml:space="preserve">Medicare </t>
        </is>
      </c>
      <c r="I207" t="inlineStr">
        <is>
          <t>03612527</t>
        </is>
      </c>
      <c r="J207" t="inlineStr">
        <is>
          <t>2010-02-23 14:02:00</t>
        </is>
      </c>
      <c r="K207" s="28" t="n"/>
      <c r="L207" s="29" t="n"/>
      <c r="M207" s="28" t="n"/>
      <c r="N207" s="28" t="n"/>
      <c r="O207" s="28" t="n"/>
      <c r="P207" s="28" t="n"/>
      <c r="Q207" s="28" t="n"/>
      <c r="R207" s="30" t="n"/>
      <c r="S207" s="28" t="n"/>
    </row>
    <row r="208">
      <c r="A208" t="inlineStr">
        <is>
          <t>R1207</t>
        </is>
      </c>
      <c r="B208" t="inlineStr">
        <is>
          <t>Bailey, Zachary</t>
        </is>
      </c>
      <c r="C208" t="inlineStr">
        <is>
          <t>11/09/1994</t>
        </is>
      </c>
      <c r="D208" t="inlineStr">
        <is>
          <t>m</t>
        </is>
      </c>
      <c r="E208" t="inlineStr">
        <is>
          <t>555-527-1948</t>
        </is>
      </c>
      <c r="F208" t="inlineStr">
        <is>
          <t>none</t>
        </is>
      </c>
      <c r="G208" t="inlineStr">
        <is>
          <t>Ashby Falls, OH 45610</t>
        </is>
      </c>
      <c r="H208" t="inlineStr">
        <is>
          <t>Medicaid</t>
        </is>
      </c>
      <c r="I208" t="inlineStr">
        <is>
          <t>09148220</t>
        </is>
      </c>
      <c r="J208" t="inlineStr">
        <is>
          <t>2015-10-18 16:47:00</t>
        </is>
      </c>
      <c r="K208" s="28" t="n"/>
      <c r="L208" s="29" t="n"/>
      <c r="M208" s="28" t="n"/>
      <c r="N208" s="28" t="n"/>
      <c r="O208" s="28" t="n"/>
      <c r="P208" s="28" t="n"/>
      <c r="Q208" s="28" t="n"/>
      <c r="R208" s="30" t="n"/>
      <c r="S208" s="28" t="n"/>
    </row>
    <row r="209">
      <c r="A209" t="inlineStr">
        <is>
          <t>R1208</t>
        </is>
      </c>
      <c r="B209" t="inlineStr">
        <is>
          <t>Laura Bailey</t>
        </is>
      </c>
      <c r="C209" t="inlineStr">
        <is>
          <t>3/28/1936</t>
        </is>
      </c>
      <c r="D209" t="inlineStr">
        <is>
          <t xml:space="preserve"> F</t>
        </is>
      </c>
      <c r="E209" t="inlineStr">
        <is>
          <t>(555) 937-2983</t>
        </is>
      </c>
      <c r="F209" t="inlineStr">
        <is>
          <t>laura.bailey25@example.com</t>
        </is>
      </c>
      <c r="G209" t="inlineStr">
        <is>
          <t>RIVERBEND, OH 45545</t>
        </is>
      </c>
      <c r="H209" t="inlineStr">
        <is>
          <t>Silverline MA</t>
        </is>
      </c>
      <c r="I209" t="inlineStr">
        <is>
          <t>MRN-05739284</t>
        </is>
      </c>
      <c r="J209" t="inlineStr">
        <is>
          <t>09/08/2023 03:41 PM</t>
        </is>
      </c>
      <c r="K209" s="28" t="n"/>
      <c r="L209" s="29" t="n"/>
      <c r="M209" s="28" t="n"/>
      <c r="N209" s="28" t="n"/>
      <c r="O209" s="28" t="n"/>
      <c r="P209" s="28" t="n"/>
      <c r="Q209" s="28" t="n"/>
      <c r="R209" s="30" t="n"/>
      <c r="S209" s="28" t="n"/>
    </row>
    <row r="210">
      <c r="A210" t="inlineStr">
        <is>
          <t>R1209</t>
        </is>
      </c>
      <c r="B210" t="inlineStr">
        <is>
          <t>Gutierrez, Harper</t>
        </is>
      </c>
      <c r="C210" t="inlineStr">
        <is>
          <t>14-Sep-1961</t>
        </is>
      </c>
      <c r="D210" t="inlineStr">
        <is>
          <t>FEMALE</t>
        </is>
      </c>
      <c r="E210" t="inlineStr">
        <is>
          <t>+1 555 436 3618</t>
        </is>
      </c>
      <c r="F210" t="inlineStr">
        <is>
          <t>harper.gutierrez46@example.com</t>
        </is>
      </c>
      <c r="G210" t="inlineStr">
        <is>
          <t>Bluestone, OH 45501</t>
        </is>
      </c>
      <c r="H210" t="inlineStr">
        <is>
          <t>medicaid</t>
        </is>
      </c>
      <c r="I210" t="inlineStr">
        <is>
          <t>06219115</t>
        </is>
      </c>
      <c r="J210" t="inlineStr">
        <is>
          <t>2016-04-24 16:57:00</t>
        </is>
      </c>
      <c r="K210" s="28" t="n"/>
      <c r="L210" s="29" t="n"/>
      <c r="M210" s="28" t="n"/>
      <c r="N210" s="28" t="n"/>
      <c r="O210" s="28" t="n"/>
      <c r="P210" s="28" t="n"/>
      <c r="Q210" s="28" t="n"/>
      <c r="R210" s="30" t="n"/>
      <c r="S210" s="28" t="n"/>
    </row>
    <row r="211">
      <c r="A211" t="inlineStr">
        <is>
          <t>R1210</t>
        </is>
      </c>
      <c r="B211" t="inlineStr">
        <is>
          <t>TUCKER, TIMOTHY</t>
        </is>
      </c>
      <c r="C211" t="inlineStr">
        <is>
          <t>2015-05-21</t>
        </is>
      </c>
      <c r="D211" t="inlineStr">
        <is>
          <t>M</t>
        </is>
      </c>
      <c r="E211" t="inlineStr">
        <is>
          <t>(555) 584-2550</t>
        </is>
      </c>
      <c r="G211" t="inlineStr">
        <is>
          <t>Bluestone, OH 45501</t>
        </is>
      </c>
      <c r="H211" t="inlineStr">
        <is>
          <t>Summit Choice</t>
        </is>
      </c>
      <c r="I211" t="inlineStr">
        <is>
          <t>06111672</t>
        </is>
      </c>
      <c r="J211" t="inlineStr">
        <is>
          <t>2022-05-28 10:44:00</t>
        </is>
      </c>
      <c r="K211" s="28" t="n"/>
      <c r="L211" s="29" t="n"/>
      <c r="M211" s="28" t="n"/>
      <c r="N211" s="28" t="n"/>
      <c r="O211" s="28" t="n"/>
      <c r="P211" s="28" t="n"/>
      <c r="Q211" s="28" t="n"/>
      <c r="R211" s="30" t="n"/>
      <c r="S211" s="28" t="n"/>
    </row>
    <row r="212">
      <c r="A212" t="inlineStr">
        <is>
          <t>R1211</t>
        </is>
      </c>
      <c r="B212" t="inlineStr">
        <is>
          <t>Jimenez, Victoria</t>
        </is>
      </c>
      <c r="C212" t="inlineStr">
        <is>
          <t>04/16/1933</t>
        </is>
      </c>
      <c r="D212" t="inlineStr">
        <is>
          <t>F</t>
        </is>
      </c>
      <c r="E212" t="inlineStr">
        <is>
          <t>(555) 348-0613</t>
        </is>
      </c>
      <c r="G212" t="inlineStr">
        <is>
          <t>Bluestone, OH 45502-3496</t>
        </is>
      </c>
      <c r="H212" t="inlineStr">
        <is>
          <t>medicare</t>
        </is>
      </c>
      <c r="I212" t="inlineStr">
        <is>
          <t>MRN-04191496</t>
        </is>
      </c>
      <c r="J212" t="inlineStr">
        <is>
          <t>2023-12-14 09:15:00</t>
        </is>
      </c>
      <c r="K212" s="28" t="n"/>
      <c r="L212" s="29" t="n"/>
      <c r="M212" s="28" t="n"/>
      <c r="N212" s="28" t="n"/>
      <c r="O212" s="28" t="n"/>
      <c r="P212" s="28" t="n"/>
      <c r="Q212" s="28" t="n"/>
      <c r="R212" s="30" t="n"/>
      <c r="S212" s="28" t="n"/>
    </row>
    <row r="213">
      <c r="A213" t="inlineStr">
        <is>
          <t>R1212</t>
        </is>
      </c>
      <c r="B213" t="inlineStr">
        <is>
          <t>Arnold, Alice</t>
        </is>
      </c>
      <c r="C213" t="inlineStr">
        <is>
          <t>08.29.1967</t>
        </is>
      </c>
      <c r="D213" t="inlineStr">
        <is>
          <t>F</t>
        </is>
      </c>
      <c r="E213" t="inlineStr">
        <is>
          <t>555-940-0536</t>
        </is>
      </c>
      <c r="F213" t="inlineStr">
        <is>
          <t>N/A</t>
        </is>
      </c>
      <c r="G213" t="inlineStr">
        <is>
          <t>BLUESTONE, OH 45502</t>
        </is>
      </c>
      <c r="H213" t="inlineStr">
        <is>
          <t>Summit Choice PPO</t>
        </is>
      </c>
      <c r="I213" t="inlineStr">
        <is>
          <t>01806668</t>
        </is>
      </c>
      <c r="J213" t="inlineStr">
        <is>
          <t>2016-01-23 15:54:00</t>
        </is>
      </c>
      <c r="K213" s="28" t="n"/>
      <c r="L213" s="29" t="n"/>
      <c r="M213" s="28" t="n"/>
      <c r="N213" s="28" t="n"/>
      <c r="O213" s="28" t="n"/>
      <c r="P213" s="28" t="n"/>
      <c r="Q213" s="28" t="n"/>
      <c r="R213" s="30" t="n"/>
      <c r="S213" s="28" t="n"/>
    </row>
    <row r="214">
      <c r="A214" t="inlineStr">
        <is>
          <t>R1213</t>
        </is>
      </c>
      <c r="B214" t="inlineStr">
        <is>
          <t>Rogers, Natalie</t>
        </is>
      </c>
      <c r="C214" t="inlineStr">
        <is>
          <t>04.15.1957</t>
        </is>
      </c>
      <c r="D214" t="inlineStr">
        <is>
          <t>Female</t>
        </is>
      </c>
      <c r="E214" t="inlineStr">
        <is>
          <t>5558869370</t>
        </is>
      </c>
      <c r="G214" t="inlineStr">
        <is>
          <t>Granite Springs, OH 45750</t>
        </is>
      </c>
      <c r="H214" t="inlineStr">
        <is>
          <t xml:space="preserve">Silverline Medicare Advantage </t>
        </is>
      </c>
      <c r="I214" t="inlineStr">
        <is>
          <t>05630106</t>
        </is>
      </c>
      <c r="J214" t="inlineStr">
        <is>
          <t>2018-03-31 14:00:00</t>
        </is>
      </c>
      <c r="K214" s="28" t="n"/>
      <c r="L214" s="29" t="n"/>
      <c r="M214" s="28" t="n"/>
      <c r="N214" s="28" t="n"/>
      <c r="O214" s="28" t="n"/>
      <c r="P214" s="28" t="n"/>
      <c r="Q214" s="28" t="n"/>
      <c r="R214" s="30" t="n"/>
      <c r="S214" s="28" t="n"/>
    </row>
    <row r="215">
      <c r="A215" t="inlineStr">
        <is>
          <t>R1214</t>
        </is>
      </c>
      <c r="B215" t="inlineStr">
        <is>
          <t>BAILEY, HELEN</t>
        </is>
      </c>
      <c r="C215" t="inlineStr">
        <is>
          <t>2019-08-14</t>
        </is>
      </c>
      <c r="D215" t="inlineStr">
        <is>
          <t xml:space="preserve"> F</t>
        </is>
      </c>
      <c r="E215" t="inlineStr">
        <is>
          <t>(555) 411-7487</t>
        </is>
      </c>
      <c r="F215" t="inlineStr">
        <is>
          <t>none</t>
        </is>
      </c>
      <c r="G215" t="inlineStr">
        <is>
          <t>Bluestone, OH 45503</t>
        </is>
      </c>
      <c r="H215" t="inlineStr">
        <is>
          <t>medicaid</t>
        </is>
      </c>
      <c r="I215" t="inlineStr">
        <is>
          <t>MRN-03044407</t>
        </is>
      </c>
      <c r="J215" t="inlineStr">
        <is>
          <t>06/09/2020 07:17 AM</t>
        </is>
      </c>
      <c r="K215" s="28" t="n"/>
      <c r="L215" s="29" t="n"/>
      <c r="M215" s="28" t="n"/>
      <c r="N215" s="28" t="n"/>
      <c r="O215" s="28" t="n"/>
      <c r="P215" s="28" t="n"/>
      <c r="Q215" s="28" t="n"/>
      <c r="R215" s="30" t="n"/>
      <c r="S215" s="28" t="n"/>
    </row>
    <row r="216">
      <c r="A216" t="inlineStr">
        <is>
          <t>R1215</t>
        </is>
      </c>
      <c r="B216" t="inlineStr">
        <is>
          <t>Kennedy, Ashley</t>
        </is>
      </c>
      <c r="C216" t="inlineStr">
        <is>
          <t>8/29/1945</t>
        </is>
      </c>
      <c r="D216" t="inlineStr">
        <is>
          <t>FEMALE</t>
        </is>
      </c>
      <c r="E216" t="inlineStr">
        <is>
          <t>(555) 831-0774</t>
        </is>
      </c>
      <c r="F216" t="inlineStr">
        <is>
          <t xml:space="preserve"> ashley.kennedy42@example.com </t>
        </is>
      </c>
      <c r="G216" t="inlineStr">
        <is>
          <t>Bluestone, OH 45501-4147</t>
        </is>
      </c>
      <c r="H216" t="inlineStr">
        <is>
          <t>Silverline MA</t>
        </is>
      </c>
      <c r="I216" t="inlineStr">
        <is>
          <t>07641208</t>
        </is>
      </c>
      <c r="J216" t="inlineStr">
        <is>
          <t>2010-02-23 16:52:00</t>
        </is>
      </c>
      <c r="K216" s="28" t="n"/>
      <c r="L216" s="29" t="n"/>
      <c r="M216" s="28" t="n"/>
      <c r="N216" s="28" t="n"/>
      <c r="O216" s="28" t="n"/>
      <c r="P216" s="28" t="n"/>
      <c r="Q216" s="28" t="n"/>
      <c r="R216" s="30" t="n"/>
      <c r="S216" s="28" t="n"/>
    </row>
    <row r="217">
      <c r="A217" t="inlineStr">
        <is>
          <t>R1216</t>
        </is>
      </c>
      <c r="B217" t="inlineStr">
        <is>
          <t>Long, Alice</t>
        </is>
      </c>
      <c r="C217" t="inlineStr">
        <is>
          <t>6/9/1958</t>
        </is>
      </c>
      <c r="D217" t="inlineStr">
        <is>
          <t>F</t>
        </is>
      </c>
      <c r="E217" t="inlineStr">
        <is>
          <t>555-379-8167</t>
        </is>
      </c>
      <c r="F217" t="inlineStr">
        <is>
          <t>none</t>
        </is>
      </c>
      <c r="G217" t="inlineStr">
        <is>
          <t>Riverbend, OH 45545-2266</t>
        </is>
      </c>
      <c r="H217" t="inlineStr">
        <is>
          <t xml:space="preserve">Silverline Medicare Advantage </t>
        </is>
      </c>
      <c r="I217" t="inlineStr">
        <is>
          <t>4823186</t>
        </is>
      </c>
      <c r="J217" t="inlineStr">
        <is>
          <t>2017-01-15 15:21:00</t>
        </is>
      </c>
      <c r="K217" s="28" t="n"/>
      <c r="L217" s="29" t="n"/>
      <c r="M217" s="28" t="n"/>
      <c r="N217" s="28" t="n"/>
      <c r="O217" s="28" t="n"/>
      <c r="P217" s="28" t="n"/>
      <c r="Q217" s="28" t="n"/>
      <c r="R217" s="30" t="n"/>
      <c r="S217" s="28" t="n"/>
    </row>
    <row r="218">
      <c r="A218" t="inlineStr">
        <is>
          <t>R1217</t>
        </is>
      </c>
      <c r="B218" t="inlineStr">
        <is>
          <t>Mason Contreras</t>
        </is>
      </c>
      <c r="C218" t="inlineStr">
        <is>
          <t>01/06/1971</t>
        </is>
      </c>
      <c r="D218" t="inlineStr">
        <is>
          <t>Male</t>
        </is>
      </c>
      <c r="E218" t="inlineStr">
        <is>
          <t>5555052212</t>
        </is>
      </c>
      <c r="F218" t="inlineStr">
        <is>
          <t>mason.contreras11@example.com</t>
        </is>
      </c>
      <c r="G218" t="inlineStr">
        <is>
          <t>ASHBY FALLS, OH 45610</t>
        </is>
      </c>
      <c r="H218" t="inlineStr">
        <is>
          <t>SUMMIT CHOICE PPO</t>
        </is>
      </c>
      <c r="I218" t="inlineStr">
        <is>
          <t>4850335</t>
        </is>
      </c>
      <c r="J218" t="inlineStr">
        <is>
          <t>2016-03-20 09:41:00</t>
        </is>
      </c>
      <c r="K218" s="28" t="n"/>
      <c r="L218" s="29" t="n"/>
      <c r="M218" s="28" t="n"/>
      <c r="N218" s="28" t="n"/>
      <c r="O218" s="28" t="n"/>
      <c r="P218" s="28" t="n"/>
      <c r="Q218" s="28" t="n"/>
      <c r="R218" s="30" t="n"/>
      <c r="S218" s="28" t="n"/>
    </row>
    <row r="219">
      <c r="A219" t="inlineStr">
        <is>
          <t>R1218</t>
        </is>
      </c>
      <c r="B219" t="inlineStr">
        <is>
          <t>Gomez, Elizabeth</t>
        </is>
      </c>
      <c r="C219" t="inlineStr">
        <is>
          <t>1970-10-26</t>
        </is>
      </c>
      <c r="D219" t="inlineStr">
        <is>
          <t>F</t>
        </is>
      </c>
      <c r="E219" t="inlineStr">
        <is>
          <t>(555) 701-2318</t>
        </is>
      </c>
      <c r="F219" t="inlineStr">
        <is>
          <t xml:space="preserve"> elizabeth.gomez76@example.com </t>
        </is>
      </c>
      <c r="G219" t="inlineStr">
        <is>
          <t>Millbrook, OH 45530</t>
        </is>
      </c>
      <c r="H219" t="inlineStr">
        <is>
          <t>State Medicaid</t>
        </is>
      </c>
      <c r="I219" t="inlineStr">
        <is>
          <t>5094809</t>
        </is>
      </c>
      <c r="J219" t="inlineStr">
        <is>
          <t>05/14/2008 03:36 PM</t>
        </is>
      </c>
      <c r="K219" s="28" t="n"/>
      <c r="L219" s="29" t="n"/>
      <c r="M219" s="28" t="n"/>
      <c r="N219" s="28" t="n"/>
      <c r="O219" s="28" t="n"/>
      <c r="P219" s="28" t="n"/>
      <c r="Q219" s="28" t="n"/>
      <c r="R219" s="30" t="n"/>
      <c r="S219" s="28" t="n"/>
    </row>
    <row r="220">
      <c r="A220" t="inlineStr">
        <is>
          <t>R1219</t>
        </is>
      </c>
      <c r="B220" t="inlineStr">
        <is>
          <t>WATSON, DIEGO</t>
        </is>
      </c>
      <c r="C220" t="inlineStr">
        <is>
          <t>4/1/1960</t>
        </is>
      </c>
      <c r="D220" t="inlineStr">
        <is>
          <t>m</t>
        </is>
      </c>
      <c r="E220" t="inlineStr">
        <is>
          <t>555-269-2605</t>
        </is>
      </c>
      <c r="F220" t="inlineStr">
        <is>
          <t>diego.watson13@example.com</t>
        </is>
      </c>
      <c r="G220" t="inlineStr">
        <is>
          <t>Bluestone OH 45501</t>
        </is>
      </c>
      <c r="H220" t="inlineStr">
        <is>
          <t>MEDICARE</t>
        </is>
      </c>
      <c r="I220" t="inlineStr">
        <is>
          <t>06141663</t>
        </is>
      </c>
      <c r="J220" t="inlineStr">
        <is>
          <t>09/04/2014 12:11 PM</t>
        </is>
      </c>
      <c r="K220" s="28" t="n"/>
      <c r="L220" s="29" t="n"/>
      <c r="M220" s="28" t="n"/>
      <c r="N220" s="28" t="n"/>
      <c r="O220" s="28" t="n"/>
      <c r="P220" s="28" t="n"/>
      <c r="Q220" s="28" t="n"/>
      <c r="R220" s="30" t="n"/>
      <c r="S220" s="28" t="n"/>
    </row>
    <row r="221">
      <c r="A221" t="inlineStr">
        <is>
          <t>R1220</t>
        </is>
      </c>
      <c r="B221" t="inlineStr">
        <is>
          <t>Noah Kowalski</t>
        </is>
      </c>
      <c r="C221" t="inlineStr">
        <is>
          <t>9/26/1967</t>
        </is>
      </c>
      <c r="D221" t="inlineStr">
        <is>
          <t>M</t>
        </is>
      </c>
      <c r="E221" t="inlineStr">
        <is>
          <t>555-510-0104</t>
        </is>
      </c>
      <c r="G221" t="inlineStr">
        <is>
          <t>Cedar Ridge, OH 45720</t>
        </is>
      </c>
      <c r="H221" t="inlineStr">
        <is>
          <t>Evergreen Mutual</t>
        </is>
      </c>
      <c r="I221" t="inlineStr">
        <is>
          <t>03353384</t>
        </is>
      </c>
      <c r="J221" t="inlineStr">
        <is>
          <t>2020-07-01 12:39:00</t>
        </is>
      </c>
      <c r="K221" s="28" t="n"/>
      <c r="L221" s="29" t="n"/>
      <c r="M221" s="28" t="n"/>
      <c r="N221" s="28" t="n"/>
      <c r="O221" s="28" t="n"/>
      <c r="P221" s="28" t="n"/>
      <c r="Q221" s="28" t="n"/>
      <c r="R221" s="30" t="n"/>
      <c r="S221" s="28" t="n"/>
    </row>
    <row r="222">
      <c r="A222" t="inlineStr">
        <is>
          <t>R1221</t>
        </is>
      </c>
      <c r="B222" t="inlineStr">
        <is>
          <t>TUCKER, SOPHIA</t>
        </is>
      </c>
      <c r="C222" t="inlineStr">
        <is>
          <t>09/08/1966</t>
        </is>
      </c>
      <c r="D222" t="inlineStr">
        <is>
          <t>F</t>
        </is>
      </c>
      <c r="E222" t="inlineStr">
        <is>
          <t>(555) 338-5503</t>
        </is>
      </c>
      <c r="G222" t="inlineStr">
        <is>
          <t>Bluestone, OH 45502</t>
        </is>
      </c>
      <c r="H222" t="inlineStr">
        <is>
          <t>State Medicaid</t>
        </is>
      </c>
      <c r="I222" t="inlineStr">
        <is>
          <t>1276260</t>
        </is>
      </c>
      <c r="J222" t="inlineStr">
        <is>
          <t>2019-12-21 08:22:00</t>
        </is>
      </c>
      <c r="K222" s="28" t="n"/>
      <c r="L222" s="29" t="n"/>
      <c r="M222" s="28" t="n"/>
      <c r="N222" s="28" t="n"/>
      <c r="O222" s="28" t="n"/>
      <c r="P222" s="28" t="n"/>
      <c r="Q222" s="28" t="n"/>
      <c r="R222" s="30" t="n"/>
      <c r="S222" s="28" t="n"/>
    </row>
    <row r="223">
      <c r="A223" t="inlineStr">
        <is>
          <t>R1222</t>
        </is>
      </c>
      <c r="B223" t="inlineStr">
        <is>
          <t>Kelly, Paul</t>
        </is>
      </c>
      <c r="C223" t="inlineStr">
        <is>
          <t>12/14/2007</t>
        </is>
      </c>
      <c r="D223" t="inlineStr">
        <is>
          <t>Male</t>
        </is>
      </c>
      <c r="E223" t="inlineStr">
        <is>
          <t>+1 555 353 5255</t>
        </is>
      </c>
      <c r="F223" t="inlineStr">
        <is>
          <t>N/A</t>
        </is>
      </c>
      <c r="G223" t="inlineStr">
        <is>
          <t>Pine Hollow, OH 45640</t>
        </is>
      </c>
      <c r="H223" t="inlineStr">
        <is>
          <t>EVERGREEN MUTUAL INS</t>
        </is>
      </c>
      <c r="I223" t="inlineStr">
        <is>
          <t>8602948</t>
        </is>
      </c>
      <c r="J223" t="inlineStr">
        <is>
          <t>03/08/2008 02:22 PM</t>
        </is>
      </c>
      <c r="K223" s="28" t="n"/>
      <c r="L223" s="29" t="n"/>
      <c r="M223" s="28" t="n"/>
      <c r="N223" s="28" t="n"/>
      <c r="O223" s="28" t="n"/>
      <c r="P223" s="28" t="n"/>
      <c r="Q223" s="28" t="n"/>
      <c r="R223" s="30" t="n"/>
      <c r="S223" s="28" t="n"/>
    </row>
    <row r="224">
      <c r="A224" t="inlineStr">
        <is>
          <t>R1223</t>
        </is>
      </c>
      <c r="B224" t="inlineStr">
        <is>
          <t>Soto, Diego</t>
        </is>
      </c>
      <c r="C224" t="inlineStr">
        <is>
          <t>12-May-1978</t>
        </is>
      </c>
      <c r="D224" t="inlineStr">
        <is>
          <t>MALE</t>
        </is>
      </c>
      <c r="E224" t="inlineStr">
        <is>
          <t>+1 555 864 5221</t>
        </is>
      </c>
      <c r="F224" t="inlineStr">
        <is>
          <t>diego.soto17@example.com</t>
        </is>
      </c>
      <c r="G224" t="inlineStr">
        <is>
          <t>Bluestone, OH 45501</t>
        </is>
      </c>
      <c r="H224" t="inlineStr">
        <is>
          <t>Keystone Health Partners</t>
        </is>
      </c>
      <c r="I224" t="inlineStr">
        <is>
          <t>05433632</t>
        </is>
      </c>
      <c r="J224" t="inlineStr">
        <is>
          <t>2017-06-11 08:41:00</t>
        </is>
      </c>
      <c r="K224" s="28" t="n"/>
      <c r="L224" s="29" t="n"/>
      <c r="M224" s="28" t="n"/>
      <c r="N224" s="28" t="n"/>
      <c r="O224" s="28" t="n"/>
      <c r="P224" s="28" t="n"/>
      <c r="Q224" s="28" t="n"/>
      <c r="R224" s="30" t="n"/>
      <c r="S224" s="28" t="n"/>
    </row>
    <row r="225">
      <c r="A225" t="inlineStr">
        <is>
          <t>R1224</t>
        </is>
      </c>
      <c r="B225" t="inlineStr">
        <is>
          <t>MENDOZA, BARBARA</t>
        </is>
      </c>
      <c r="C225" t="inlineStr">
        <is>
          <t>03/16/1991</t>
        </is>
      </c>
      <c r="D225" t="inlineStr">
        <is>
          <t>F</t>
        </is>
      </c>
      <c r="E225" t="inlineStr">
        <is>
          <t>555-781-8351</t>
        </is>
      </c>
      <c r="F225" t="inlineStr">
        <is>
          <t>barbara.mendoza22@example.com</t>
        </is>
      </c>
      <c r="G225" t="inlineStr">
        <is>
          <t>Pine Hollow OH 45640</t>
        </is>
      </c>
      <c r="H225" t="inlineStr">
        <is>
          <t>Keystone Health Ptnrs</t>
        </is>
      </c>
      <c r="I225" t="inlineStr">
        <is>
          <t>1006974</t>
        </is>
      </c>
      <c r="J225" t="inlineStr">
        <is>
          <t>2014-10-23 07:57:00</t>
        </is>
      </c>
      <c r="K225" s="28" t="n"/>
      <c r="L225" s="29" t="n"/>
      <c r="M225" s="28" t="n"/>
      <c r="N225" s="28" t="n"/>
      <c r="O225" s="28" t="n"/>
      <c r="P225" s="28" t="n"/>
      <c r="Q225" s="28" t="n"/>
      <c r="R225" s="30" t="n"/>
      <c r="S225" s="28" t="n"/>
    </row>
    <row r="226">
      <c r="A226" t="inlineStr">
        <is>
          <t>R1225</t>
        </is>
      </c>
      <c r="B226" t="inlineStr">
        <is>
          <t>Tran, Carl</t>
        </is>
      </c>
      <c r="C226" t="inlineStr">
        <is>
          <t>09/11/1977</t>
        </is>
      </c>
      <c r="D226" t="inlineStr">
        <is>
          <t>M</t>
        </is>
      </c>
      <c r="E226" t="inlineStr">
        <is>
          <t>555.918.5930</t>
        </is>
      </c>
      <c r="F226" t="inlineStr">
        <is>
          <t>carl.tran61@example.com</t>
        </is>
      </c>
      <c r="G226" t="inlineStr">
        <is>
          <t>Bluestone, OH 45502</t>
        </is>
      </c>
      <c r="H226" t="inlineStr">
        <is>
          <t>Keystone Health Partners</t>
        </is>
      </c>
      <c r="I226" t="inlineStr">
        <is>
          <t>8180386</t>
        </is>
      </c>
      <c r="J226" t="inlineStr">
        <is>
          <t>2015-06-24 09:17:00</t>
        </is>
      </c>
      <c r="K226" s="28" t="n"/>
      <c r="L226" s="29" t="n"/>
      <c r="M226" s="28" t="n"/>
      <c r="N226" s="28" t="n"/>
      <c r="O226" s="28" t="n"/>
      <c r="P226" s="28" t="n"/>
      <c r="Q226" s="28" t="n"/>
      <c r="R226" s="30" t="n"/>
      <c r="S226" s="28" t="n"/>
    </row>
    <row r="227">
      <c r="A227" t="inlineStr">
        <is>
          <t>R1226</t>
        </is>
      </c>
      <c r="B227" t="inlineStr">
        <is>
          <t>Daniels, Amanda</t>
        </is>
      </c>
      <c r="C227" t="inlineStr">
        <is>
          <t>06/16/1963</t>
        </is>
      </c>
      <c r="D227" t="inlineStr">
        <is>
          <t>f</t>
        </is>
      </c>
      <c r="E227" t="inlineStr">
        <is>
          <t>555-451-1976</t>
        </is>
      </c>
      <c r="F227" t="inlineStr">
        <is>
          <t xml:space="preserve"> amanda.daniels56@example.com </t>
        </is>
      </c>
      <c r="G227" t="inlineStr">
        <is>
          <t>Bluestone OH 45502</t>
        </is>
      </c>
      <c r="H227" t="inlineStr">
        <is>
          <t>Self Pay</t>
        </is>
      </c>
      <c r="I227" t="inlineStr">
        <is>
          <t>03557869</t>
        </is>
      </c>
      <c r="J227" t="inlineStr">
        <is>
          <t>10/10/2022 08:57 AM</t>
        </is>
      </c>
      <c r="K227" s="28" t="n"/>
      <c r="L227" s="29" t="n"/>
      <c r="M227" s="28" t="n"/>
      <c r="N227" s="28" t="n"/>
      <c r="O227" s="28" t="n"/>
      <c r="P227" s="28" t="n"/>
      <c r="Q227" s="28" t="n"/>
      <c r="R227" s="30" t="n"/>
      <c r="S227" s="28" t="n"/>
    </row>
    <row r="228">
      <c r="A228" t="inlineStr">
        <is>
          <t>R1227</t>
        </is>
      </c>
      <c r="B228" t="inlineStr">
        <is>
          <t>Brittany Stevens</t>
        </is>
      </c>
      <c r="C228" t="inlineStr">
        <is>
          <t>05/30/1979</t>
        </is>
      </c>
      <c r="D228" t="inlineStr">
        <is>
          <t>F</t>
        </is>
      </c>
      <c r="E228" t="inlineStr">
        <is>
          <t>555.453.9894</t>
        </is>
      </c>
      <c r="G228" t="inlineStr">
        <is>
          <t>Bluestone, OH 45502</t>
        </is>
      </c>
      <c r="H228" t="inlineStr">
        <is>
          <t>evergreen mutual insurance</t>
        </is>
      </c>
      <c r="I228" t="inlineStr">
        <is>
          <t>02728460</t>
        </is>
      </c>
      <c r="J228" t="inlineStr">
        <is>
          <t>2020-11-13 13:11:00</t>
        </is>
      </c>
      <c r="K228" s="28" t="n"/>
      <c r="L228" s="29" t="n"/>
      <c r="M228" s="28" t="n"/>
      <c r="N228" s="28" t="n"/>
      <c r="O228" s="28" t="n"/>
      <c r="P228" s="28" t="n"/>
      <c r="Q228" s="28" t="n"/>
      <c r="R228" s="30" t="n"/>
      <c r="S228" s="28" t="n"/>
    </row>
    <row r="229">
      <c r="A229" t="inlineStr">
        <is>
          <t>R1228</t>
        </is>
      </c>
      <c r="B229" t="inlineStr">
        <is>
          <t>Watson, Bryan</t>
        </is>
      </c>
      <c r="C229" t="inlineStr">
        <is>
          <t>11/29/2009</t>
        </is>
      </c>
      <c r="D229" t="inlineStr">
        <is>
          <t>M</t>
        </is>
      </c>
      <c r="G229" t="inlineStr">
        <is>
          <t>Ashby Falls OH 45610</t>
        </is>
      </c>
      <c r="H229" t="inlineStr">
        <is>
          <t>Keystone</t>
        </is>
      </c>
      <c r="I229" t="inlineStr">
        <is>
          <t>04480598</t>
        </is>
      </c>
      <c r="J229" t="inlineStr">
        <is>
          <t>2017-11-18 10:04:00</t>
        </is>
      </c>
      <c r="K229" s="28" t="n"/>
      <c r="L229" s="29" t="n"/>
      <c r="M229" s="28" t="n"/>
      <c r="N229" s="28" t="n"/>
      <c r="O229" s="28" t="n"/>
      <c r="P229" s="28" t="n"/>
      <c r="Q229" s="28" t="n"/>
      <c r="R229" s="30" t="n"/>
      <c r="S229" s="28" t="n"/>
    </row>
    <row r="230">
      <c r="A230" t="inlineStr">
        <is>
          <t>R1229</t>
        </is>
      </c>
      <c r="B230" t="inlineStr">
        <is>
          <t xml:space="preserve">  Owens ,  Mark </t>
        </is>
      </c>
      <c r="C230" t="inlineStr">
        <is>
          <t>1958-12-30</t>
        </is>
      </c>
      <c r="D230" t="inlineStr">
        <is>
          <t>MALE</t>
        </is>
      </c>
      <c r="E230" t="inlineStr">
        <is>
          <t>(555) 645-4551</t>
        </is>
      </c>
      <c r="F230" t="inlineStr">
        <is>
          <t>mark.owens17@example.com</t>
        </is>
      </c>
      <c r="G230" t="inlineStr">
        <is>
          <t>Lakeview Heights, OH 45510</t>
        </is>
      </c>
      <c r="H230" t="inlineStr">
        <is>
          <t>Silverline Medicare Advantage</t>
        </is>
      </c>
      <c r="I230" t="inlineStr">
        <is>
          <t>05792923</t>
        </is>
      </c>
      <c r="J230" t="inlineStr">
        <is>
          <t>2020-12-14 15:17:00</t>
        </is>
      </c>
      <c r="K230" s="28" t="n"/>
      <c r="L230" s="29" t="n"/>
      <c r="M230" s="28" t="n"/>
      <c r="N230" s="28" t="n"/>
      <c r="O230" s="28" t="n"/>
      <c r="P230" s="28" t="n"/>
      <c r="Q230" s="28" t="n"/>
      <c r="R230" s="30" t="n"/>
      <c r="S230" s="28" t="n"/>
    </row>
    <row r="231">
      <c r="A231" t="inlineStr">
        <is>
          <t>R1230</t>
        </is>
      </c>
      <c r="B231" t="inlineStr">
        <is>
          <t xml:space="preserve">  Stone ,  Amber </t>
        </is>
      </c>
      <c r="C231" t="inlineStr">
        <is>
          <t>09/07/1947</t>
        </is>
      </c>
      <c r="D231" t="inlineStr">
        <is>
          <t>F</t>
        </is>
      </c>
      <c r="E231" t="inlineStr">
        <is>
          <t>(555) 627-0353</t>
        </is>
      </c>
      <c r="F231" t="inlineStr">
        <is>
          <t>amber.stone77@example.com</t>
        </is>
      </c>
      <c r="G231" t="inlineStr">
        <is>
          <t>Bluestone, OH 45501</t>
        </is>
      </c>
      <c r="H231" t="inlineStr">
        <is>
          <t>Silverline Medicare Advantage</t>
        </is>
      </c>
      <c r="I231" t="inlineStr">
        <is>
          <t>MRN-01869762</t>
        </is>
      </c>
      <c r="J231" t="inlineStr">
        <is>
          <t>2021-05-16 16:41:00</t>
        </is>
      </c>
      <c r="K231" s="28" t="n"/>
      <c r="L231" s="29" t="n"/>
      <c r="M231" s="28" t="n"/>
      <c r="N231" s="28" t="n"/>
      <c r="O231" s="28" t="n"/>
      <c r="P231" s="28" t="n"/>
      <c r="Q231" s="28" t="n"/>
      <c r="R231" s="30" t="n"/>
      <c r="S231" s="28" t="n"/>
    </row>
    <row r="232">
      <c r="A232" t="inlineStr">
        <is>
          <t>R1231</t>
        </is>
      </c>
      <c r="B232" t="inlineStr">
        <is>
          <t xml:space="preserve">  Kennedy ,  Mateo </t>
        </is>
      </c>
      <c r="C232" t="inlineStr">
        <is>
          <t>12.23.1963</t>
        </is>
      </c>
      <c r="D232" t="inlineStr">
        <is>
          <t xml:space="preserve">M </t>
        </is>
      </c>
      <c r="E232" t="inlineStr">
        <is>
          <t>555-401-6618</t>
        </is>
      </c>
      <c r="F232" t="inlineStr">
        <is>
          <t xml:space="preserve"> mateo.kennedy63@example.com </t>
        </is>
      </c>
      <c r="G232" t="inlineStr">
        <is>
          <t>Bluestone, OH 45502</t>
        </is>
      </c>
      <c r="H232" t="inlineStr">
        <is>
          <t>Summit Choice</t>
        </is>
      </c>
      <c r="I232" t="inlineStr">
        <is>
          <t>09554295</t>
        </is>
      </c>
      <c r="J232" t="inlineStr">
        <is>
          <t>2019-11-07 16:38:00</t>
        </is>
      </c>
      <c r="K232" s="28" t="n"/>
      <c r="L232" s="29" t="n"/>
      <c r="M232" s="28" t="n"/>
      <c r="N232" s="28" t="n"/>
      <c r="O232" s="28" t="n"/>
      <c r="P232" s="28" t="n"/>
      <c r="Q232" s="28" t="n"/>
      <c r="R232" s="30" t="n"/>
      <c r="S232" s="28" t="n"/>
    </row>
    <row r="233">
      <c r="A233" t="inlineStr">
        <is>
          <t>R1232</t>
        </is>
      </c>
      <c r="B233" t="inlineStr">
        <is>
          <t>RAMOS, BILLY</t>
        </is>
      </c>
      <c r="C233" t="inlineStr">
        <is>
          <t>1976-09-13</t>
        </is>
      </c>
      <c r="D233" t="inlineStr">
        <is>
          <t>M</t>
        </is>
      </c>
      <c r="E233" t="inlineStr">
        <is>
          <t>555.463.0932</t>
        </is>
      </c>
      <c r="F233" t="inlineStr">
        <is>
          <t>none</t>
        </is>
      </c>
      <c r="G233" t="inlineStr">
        <is>
          <t>Bluestone, OH 45502</t>
        </is>
      </c>
      <c r="H233" t="inlineStr">
        <is>
          <t>evergreen mutual insurance</t>
        </is>
      </c>
      <c r="I233" t="inlineStr">
        <is>
          <t>2142827</t>
        </is>
      </c>
      <c r="J233" t="inlineStr">
        <is>
          <t>2019-12-30 13:35:00</t>
        </is>
      </c>
      <c r="K233" s="28" t="n"/>
      <c r="L233" s="29" t="n"/>
      <c r="M233" s="28" t="n"/>
      <c r="N233" s="28" t="n"/>
      <c r="O233" s="28" t="n"/>
      <c r="P233" s="28" t="n"/>
      <c r="Q233" s="28" t="n"/>
      <c r="R233" s="30" t="n"/>
      <c r="S233" s="28" t="n"/>
    </row>
    <row r="234">
      <c r="A234" t="inlineStr">
        <is>
          <t>R1233</t>
        </is>
      </c>
      <c r="B234" t="inlineStr">
        <is>
          <t>rice, jennifer</t>
        </is>
      </c>
      <c r="C234" t="inlineStr">
        <is>
          <t>21-Nov-1952</t>
        </is>
      </c>
      <c r="D234" t="inlineStr">
        <is>
          <t xml:space="preserve"> F</t>
        </is>
      </c>
      <c r="E234" t="inlineStr">
        <is>
          <t>(555) 885-0695</t>
        </is>
      </c>
      <c r="F234" t="inlineStr">
        <is>
          <t>none</t>
        </is>
      </c>
      <c r="G234" t="inlineStr">
        <is>
          <t>Lakeview Heights, OH 45510</t>
        </is>
      </c>
      <c r="H234" t="inlineStr">
        <is>
          <t>SILVERLINE MEDICARE ADV.</t>
        </is>
      </c>
      <c r="I234" t="inlineStr">
        <is>
          <t>5525049</t>
        </is>
      </c>
      <c r="J234" t="inlineStr">
        <is>
          <t>2022-03-28 16:44:00</t>
        </is>
      </c>
      <c r="K234" s="28" t="n"/>
      <c r="L234" s="29" t="n"/>
      <c r="M234" s="28" t="n"/>
      <c r="N234" s="28" t="n"/>
      <c r="O234" s="28" t="n"/>
      <c r="P234" s="28" t="n"/>
      <c r="Q234" s="28" t="n"/>
      <c r="R234" s="30" t="n"/>
      <c r="S234" s="28" t="n"/>
    </row>
    <row r="235">
      <c r="A235" t="inlineStr">
        <is>
          <t>R1234</t>
        </is>
      </c>
      <c r="B235" t="inlineStr">
        <is>
          <t xml:space="preserve">  Torres ,  Dorothy </t>
        </is>
      </c>
      <c r="C235" t="inlineStr">
        <is>
          <t>08/31/1960</t>
        </is>
      </c>
      <c r="D235" t="inlineStr">
        <is>
          <t>FEMALE</t>
        </is>
      </c>
      <c r="E235" t="inlineStr">
        <is>
          <t>5552400753</t>
        </is>
      </c>
      <c r="F235" t="inlineStr">
        <is>
          <t>dorothy.torres41@example.com</t>
        </is>
      </c>
      <c r="G235" t="inlineStr">
        <is>
          <t>Bluestone, OH 45503</t>
        </is>
      </c>
      <c r="H235" t="inlineStr">
        <is>
          <t>Medicare Part A</t>
        </is>
      </c>
      <c r="I235" t="inlineStr">
        <is>
          <t>02589128</t>
        </is>
      </c>
      <c r="J235" t="inlineStr">
        <is>
          <t>2020-05-14 16:34:00</t>
        </is>
      </c>
      <c r="K235" s="28" t="n"/>
      <c r="L235" s="29" t="n"/>
      <c r="M235" s="28" t="n"/>
      <c r="N235" s="28" t="n"/>
      <c r="O235" s="28" t="n"/>
      <c r="P235" s="28" t="n"/>
      <c r="Q235" s="28" t="n"/>
      <c r="R235" s="30" t="n"/>
      <c r="S235" s="28" t="n"/>
    </row>
    <row r="236">
      <c r="A236" t="inlineStr">
        <is>
          <t>R1235</t>
        </is>
      </c>
      <c r="B236" t="inlineStr">
        <is>
          <t>Bell, Amina</t>
        </is>
      </c>
      <c r="C236" t="inlineStr">
        <is>
          <t>09/21/1941</t>
        </is>
      </c>
      <c r="D236" t="inlineStr">
        <is>
          <t>Female</t>
        </is>
      </c>
      <c r="E236" t="inlineStr">
        <is>
          <t>5553953278</t>
        </is>
      </c>
      <c r="G236" t="inlineStr">
        <is>
          <t>Bluestone, OH 45503-6022</t>
        </is>
      </c>
      <c r="H236" t="inlineStr">
        <is>
          <t>medicare</t>
        </is>
      </c>
      <c r="I236" t="inlineStr">
        <is>
          <t>06955109</t>
        </is>
      </c>
      <c r="J236" t="inlineStr">
        <is>
          <t>2024-04-08 12:39:00</t>
        </is>
      </c>
      <c r="K236" s="28" t="n"/>
      <c r="L236" s="29" t="n"/>
      <c r="M236" s="28" t="n"/>
      <c r="N236" s="28" t="n"/>
      <c r="O236" s="28" t="n"/>
      <c r="P236" s="28" t="n"/>
      <c r="Q236" s="28" t="n"/>
      <c r="R236" s="30" t="n"/>
      <c r="S236" s="28" t="n"/>
    </row>
    <row r="237">
      <c r="A237" t="inlineStr">
        <is>
          <t>R1236</t>
        </is>
      </c>
      <c r="B237" t="inlineStr">
        <is>
          <t>PATTERSON, SHIRLEY</t>
        </is>
      </c>
      <c r="C237" t="inlineStr">
        <is>
          <t>2014-07-08</t>
        </is>
      </c>
      <c r="D237" t="inlineStr">
        <is>
          <t>Female</t>
        </is>
      </c>
      <c r="E237" t="inlineStr">
        <is>
          <t>(555) 823-3256</t>
        </is>
      </c>
      <c r="F237" t="inlineStr">
        <is>
          <t>none</t>
        </is>
      </c>
      <c r="G237" t="inlineStr">
        <is>
          <t>Fairhaven, OH 45620</t>
        </is>
      </c>
      <c r="H237" t="inlineStr">
        <is>
          <t>medicaid</t>
        </is>
      </c>
      <c r="I237" t="inlineStr">
        <is>
          <t>07843022</t>
        </is>
      </c>
      <c r="J237" t="inlineStr">
        <is>
          <t>2015-02-28 16:49:00</t>
        </is>
      </c>
      <c r="K237" s="28" t="n"/>
      <c r="L237" s="29" t="n"/>
      <c r="M237" s="28" t="n"/>
      <c r="N237" s="28" t="n"/>
      <c r="O237" s="28" t="n"/>
      <c r="P237" s="28" t="n"/>
      <c r="Q237" s="28" t="n"/>
      <c r="R237" s="30" t="n"/>
      <c r="S237" s="28" t="n"/>
    </row>
    <row r="238">
      <c r="A238" t="inlineStr">
        <is>
          <t>R1237</t>
        </is>
      </c>
      <c r="B238" t="inlineStr">
        <is>
          <t xml:space="preserve">  Bailey ,  Ethan </t>
        </is>
      </c>
      <c r="C238" t="inlineStr">
        <is>
          <t>12.15.1965</t>
        </is>
      </c>
      <c r="D238" t="inlineStr">
        <is>
          <t>Male</t>
        </is>
      </c>
      <c r="E238" t="inlineStr">
        <is>
          <t>555.859.0939</t>
        </is>
      </c>
      <c r="F238" t="inlineStr">
        <is>
          <t>ethan.bailey7@example.com</t>
        </is>
      </c>
      <c r="G238" t="inlineStr">
        <is>
          <t>LAKEVIEW HEIGHTS, OH 45510</t>
        </is>
      </c>
      <c r="H238" t="inlineStr">
        <is>
          <t>evergreen mutual insurance</t>
        </is>
      </c>
      <c r="I238" t="inlineStr">
        <is>
          <t>04938178</t>
        </is>
      </c>
      <c r="J238" t="inlineStr">
        <is>
          <t>2024-07-12 07:55:00</t>
        </is>
      </c>
      <c r="K238" s="28" t="n"/>
      <c r="L238" s="29" t="n"/>
      <c r="M238" s="28" t="n"/>
      <c r="N238" s="28" t="n"/>
      <c r="O238" s="28" t="n"/>
      <c r="P238" s="28" t="n"/>
      <c r="Q238" s="28" t="n"/>
      <c r="R238" s="30" t="n"/>
      <c r="S238" s="28" t="n"/>
    </row>
    <row r="239">
      <c r="A239" t="inlineStr">
        <is>
          <t>R1238</t>
        </is>
      </c>
      <c r="B239" t="inlineStr">
        <is>
          <t>Hill, Debra</t>
        </is>
      </c>
      <c r="C239" t="inlineStr">
        <is>
          <t>2006-11-22</t>
        </is>
      </c>
      <c r="D239" t="inlineStr">
        <is>
          <t>F</t>
        </is>
      </c>
      <c r="E239" t="inlineStr">
        <is>
          <t>555-452-3580</t>
        </is>
      </c>
      <c r="G239" t="inlineStr">
        <is>
          <t>Bluestone, OH 45502</t>
        </is>
      </c>
      <c r="H239" t="inlineStr">
        <is>
          <t>Summit PPO</t>
        </is>
      </c>
      <c r="I239" t="inlineStr">
        <is>
          <t>7676806</t>
        </is>
      </c>
      <c r="J239" t="inlineStr">
        <is>
          <t>2020-01-06 18:42:00</t>
        </is>
      </c>
      <c r="K239" s="28" t="n"/>
      <c r="L239" s="29" t="n"/>
      <c r="M239" s="28" t="n"/>
      <c r="N239" s="28" t="n"/>
      <c r="O239" s="28" t="n"/>
      <c r="P239" s="28" t="n"/>
      <c r="Q239" s="28" t="n"/>
      <c r="R239" s="30" t="n"/>
      <c r="S239" s="28" t="n"/>
    </row>
    <row r="240">
      <c r="A240" t="inlineStr">
        <is>
          <t>R1239</t>
        </is>
      </c>
      <c r="B240" t="inlineStr">
        <is>
          <t>Gregory Washington</t>
        </is>
      </c>
      <c r="C240" t="inlineStr">
        <is>
          <t>1951-10-02</t>
        </is>
      </c>
      <c r="D240" t="inlineStr">
        <is>
          <t>MALE</t>
        </is>
      </c>
      <c r="E240" t="inlineStr">
        <is>
          <t>5555009635</t>
        </is>
      </c>
      <c r="F240" t="inlineStr">
        <is>
          <t>GREGORY.WASHINGTON24@EXAMPLE.COM</t>
        </is>
      </c>
      <c r="G240" t="inlineStr">
        <is>
          <t>Bluestone OH 45501</t>
        </is>
      </c>
      <c r="H240" t="inlineStr">
        <is>
          <t>Medicare Part A</t>
        </is>
      </c>
      <c r="I240" t="inlineStr">
        <is>
          <t>02284522</t>
        </is>
      </c>
      <c r="J240" t="inlineStr">
        <is>
          <t>2023-06-13 15:20:00</t>
        </is>
      </c>
      <c r="K240" s="28" t="n"/>
      <c r="L240" s="29" t="n"/>
      <c r="M240" s="28" t="n"/>
      <c r="N240" s="28" t="n"/>
      <c r="O240" s="28" t="n"/>
      <c r="P240" s="28" t="n"/>
      <c r="Q240" s="28" t="n"/>
      <c r="R240" s="30" t="n"/>
      <c r="S240" s="28" t="n"/>
    </row>
    <row r="241">
      <c r="A241" t="inlineStr">
        <is>
          <t>R1240</t>
        </is>
      </c>
      <c r="B241" t="inlineStr">
        <is>
          <t>Alvarez, Andrew</t>
        </is>
      </c>
      <c r="C241" t="inlineStr">
        <is>
          <t>10/03/1982</t>
        </is>
      </c>
      <c r="D241" t="inlineStr">
        <is>
          <t>m</t>
        </is>
      </c>
      <c r="E241" t="inlineStr">
        <is>
          <t>(555) 632-1857</t>
        </is>
      </c>
      <c r="F241" t="inlineStr">
        <is>
          <t>andrew.alvarez51@example.com</t>
        </is>
      </c>
      <c r="G241" t="inlineStr">
        <is>
          <t>Millbrook, OH 45530</t>
        </is>
      </c>
      <c r="H241" t="inlineStr">
        <is>
          <t>Keystone</t>
        </is>
      </c>
      <c r="I241" t="inlineStr">
        <is>
          <t>00277257</t>
        </is>
      </c>
      <c r="J241" t="inlineStr">
        <is>
          <t>2023-03-30 12:28:00</t>
        </is>
      </c>
      <c r="K241" s="28" t="n"/>
      <c r="L241" s="29" t="n"/>
      <c r="M241" s="28" t="n"/>
      <c r="N241" s="28" t="n"/>
      <c r="O241" s="28" t="n"/>
      <c r="P241" s="28" t="n"/>
      <c r="Q241" s="28" t="n"/>
      <c r="R241" s="30" t="n"/>
      <c r="S241" s="28" t="n"/>
    </row>
    <row r="242">
      <c r="A242" t="inlineStr">
        <is>
          <t>R1241</t>
        </is>
      </c>
      <c r="B242" t="inlineStr">
        <is>
          <t>BERRY, MARIE</t>
        </is>
      </c>
      <c r="C242" t="inlineStr">
        <is>
          <t>01-Apr-1981</t>
        </is>
      </c>
      <c r="D242" t="inlineStr">
        <is>
          <t>F</t>
        </is>
      </c>
      <c r="E242" t="inlineStr">
        <is>
          <t>(555) 910-4513</t>
        </is>
      </c>
      <c r="F242" t="inlineStr">
        <is>
          <t>marie.berry71@example.com</t>
        </is>
      </c>
      <c r="G242" t="inlineStr">
        <is>
          <t>BLUESTONE, OH 45501</t>
        </is>
      </c>
      <c r="H242" t="inlineStr">
        <is>
          <t>Summit Choice</t>
        </is>
      </c>
      <c r="I242" t="inlineStr">
        <is>
          <t>01387085</t>
        </is>
      </c>
      <c r="J242" t="inlineStr">
        <is>
          <t>2019-10-13 14:00:00</t>
        </is>
      </c>
      <c r="K242" s="28" t="n"/>
      <c r="L242" s="29" t="n"/>
      <c r="M242" s="28" t="n"/>
      <c r="N242" s="28" t="n"/>
      <c r="O242" s="28" t="n"/>
      <c r="P242" s="28" t="n"/>
      <c r="Q242" s="28" t="n"/>
      <c r="R242" s="30" t="n"/>
      <c r="S242" s="28" t="n"/>
    </row>
    <row r="243">
      <c r="A243" t="inlineStr">
        <is>
          <t>R1242</t>
        </is>
      </c>
      <c r="B243" t="inlineStr">
        <is>
          <t>DELGADO, KIMBERLY</t>
        </is>
      </c>
      <c r="C243" t="inlineStr">
        <is>
          <t>12/12/1981</t>
        </is>
      </c>
      <c r="D243" t="inlineStr">
        <is>
          <t>f</t>
        </is>
      </c>
      <c r="E243" t="inlineStr">
        <is>
          <t>5555359714</t>
        </is>
      </c>
      <c r="F243" t="inlineStr">
        <is>
          <t>N/A</t>
        </is>
      </c>
      <c r="G243" t="inlineStr">
        <is>
          <t>BLUESTONE, OH 45501</t>
        </is>
      </c>
      <c r="H243" t="inlineStr">
        <is>
          <t>evergreen mutual insurance</t>
        </is>
      </c>
      <c r="I243" t="inlineStr">
        <is>
          <t>00102284</t>
        </is>
      </c>
      <c r="J243" t="inlineStr">
        <is>
          <t>06/21/2023 03:19 PM</t>
        </is>
      </c>
      <c r="K243" s="28" t="n"/>
      <c r="L243" s="29" t="n"/>
      <c r="M243" s="28" t="n"/>
      <c r="N243" s="28" t="n"/>
      <c r="O243" s="28" t="n"/>
      <c r="P243" s="28" t="n"/>
      <c r="Q243" s="28" t="n"/>
      <c r="R243" s="30" t="n"/>
      <c r="S243" s="28" t="n"/>
    </row>
    <row r="244">
      <c r="A244" t="inlineStr">
        <is>
          <t>R1243</t>
        </is>
      </c>
      <c r="B244" t="inlineStr">
        <is>
          <t>Tran, Carl</t>
        </is>
      </c>
      <c r="C244" t="inlineStr">
        <is>
          <t>1977-09-11</t>
        </is>
      </c>
      <c r="D244" t="inlineStr">
        <is>
          <t>M</t>
        </is>
      </c>
      <c r="E244" t="inlineStr">
        <is>
          <t>(555) 918-5930</t>
        </is>
      </c>
      <c r="F244" t="inlineStr">
        <is>
          <t>carl.tran61@example.com</t>
        </is>
      </c>
      <c r="G244" t="inlineStr">
        <is>
          <t>Bluestone, OH 45502</t>
        </is>
      </c>
      <c r="H244" t="inlineStr">
        <is>
          <t>Keystone Health Partners</t>
        </is>
      </c>
      <c r="I244" t="inlineStr">
        <is>
          <t>08180386</t>
        </is>
      </c>
      <c r="J244" t="inlineStr">
        <is>
          <t>06/24/2015 01:31 PM</t>
        </is>
      </c>
      <c r="K244" s="28" t="n"/>
      <c r="L244" s="29" t="n"/>
      <c r="M244" s="28" t="n"/>
      <c r="N244" s="28" t="n"/>
      <c r="O244" s="28" t="n"/>
      <c r="P244" s="28" t="n"/>
      <c r="Q244" s="28" t="n"/>
      <c r="R244" s="30" t="n"/>
      <c r="S244" s="28" t="n"/>
    </row>
    <row r="245">
      <c r="A245" t="inlineStr">
        <is>
          <t>R1244</t>
        </is>
      </c>
      <c r="B245" t="inlineStr">
        <is>
          <t>cruz, paul</t>
        </is>
      </c>
      <c r="C245" t="inlineStr">
        <is>
          <t>11-Apr-1958</t>
        </is>
      </c>
      <c r="D245" t="inlineStr">
        <is>
          <t>m</t>
        </is>
      </c>
      <c r="E245" t="inlineStr">
        <is>
          <t>555-987-8128</t>
        </is>
      </c>
      <c r="G245" t="inlineStr">
        <is>
          <t>Riverbend, OH 45545</t>
        </is>
      </c>
      <c r="H245" t="inlineStr">
        <is>
          <t>medicare</t>
        </is>
      </c>
      <c r="I245" t="inlineStr">
        <is>
          <t>08247600</t>
        </is>
      </c>
      <c r="J245" t="inlineStr">
        <is>
          <t>2023-09-08 11:02:00</t>
        </is>
      </c>
      <c r="K245" s="28" t="n"/>
      <c r="L245" s="29" t="n"/>
      <c r="M245" s="28" t="n"/>
      <c r="N245" s="28" t="n"/>
      <c r="O245" s="28" t="n"/>
      <c r="P245" s="28" t="n"/>
      <c r="Q245" s="28" t="n"/>
      <c r="R245" s="30" t="n"/>
      <c r="S245" s="28" t="n"/>
    </row>
    <row r="246">
      <c r="A246" t="inlineStr">
        <is>
          <t>R1245</t>
        </is>
      </c>
      <c r="B246" t="inlineStr">
        <is>
          <t>Martin, Katherine</t>
        </is>
      </c>
      <c r="C246" t="inlineStr">
        <is>
          <t>08/13/1944</t>
        </is>
      </c>
      <c r="D246" t="inlineStr">
        <is>
          <t>F</t>
        </is>
      </c>
      <c r="E246" t="inlineStr">
        <is>
          <t>5554141440</t>
        </is>
      </c>
      <c r="F246" t="inlineStr">
        <is>
          <t xml:space="preserve"> katherine.martin54@example.com </t>
        </is>
      </c>
      <c r="G246" t="inlineStr">
        <is>
          <t>BLUESTONE, OH 45502</t>
        </is>
      </c>
      <c r="H246" t="inlineStr">
        <is>
          <t>SILVERLINE MEDICARE ADV.</t>
        </is>
      </c>
      <c r="I246" t="inlineStr">
        <is>
          <t>06128568</t>
        </is>
      </c>
      <c r="J246" t="inlineStr">
        <is>
          <t>2014-05-30 13:39:00</t>
        </is>
      </c>
      <c r="K246" s="28" t="n"/>
      <c r="L246" s="29" t="n"/>
      <c r="M246" s="28" t="n"/>
      <c r="N246" s="28" t="n"/>
      <c r="O246" s="28" t="n"/>
      <c r="P246" s="28" t="n"/>
      <c r="Q246" s="28" t="n"/>
      <c r="R246" s="30" t="n"/>
      <c r="S246" s="28" t="n"/>
    </row>
    <row r="247">
      <c r="A247" t="inlineStr">
        <is>
          <t>R1246</t>
        </is>
      </c>
      <c r="B247" t="inlineStr">
        <is>
          <t>cox, stephen</t>
        </is>
      </c>
      <c r="C247" t="inlineStr">
        <is>
          <t>06/13/1954</t>
        </is>
      </c>
      <c r="D247" t="inlineStr">
        <is>
          <t>M</t>
        </is>
      </c>
      <c r="E247" t="inlineStr">
        <is>
          <t>(555) 366-5844</t>
        </is>
      </c>
      <c r="F247" t="inlineStr">
        <is>
          <t>STEPHEN.COX43@EXAMPLE.COM</t>
        </is>
      </c>
      <c r="G247" t="inlineStr">
        <is>
          <t>Millbrook, OH 45530</t>
        </is>
      </c>
      <c r="H247" t="inlineStr">
        <is>
          <t>SILVERLINE MEDICARE ADV.</t>
        </is>
      </c>
      <c r="I247" t="inlineStr">
        <is>
          <t>06998349</t>
        </is>
      </c>
      <c r="J247" t="inlineStr">
        <is>
          <t>09/05/2021 12:21 PM</t>
        </is>
      </c>
      <c r="K247" s="28" t="n"/>
      <c r="L247" s="29" t="n"/>
      <c r="M247" s="28" t="n"/>
      <c r="N247" s="28" t="n"/>
      <c r="O247" s="28" t="n"/>
      <c r="P247" s="28" t="n"/>
      <c r="Q247" s="28" t="n"/>
      <c r="R247" s="30" t="n"/>
      <c r="S247" s="28" t="n"/>
    </row>
    <row r="248">
      <c r="A248" t="inlineStr">
        <is>
          <t>R1247</t>
        </is>
      </c>
      <c r="B248" t="inlineStr">
        <is>
          <t>Meyer, Scott</t>
        </is>
      </c>
      <c r="C248" t="inlineStr">
        <is>
          <t>03/05/1939</t>
        </is>
      </c>
      <c r="D248" t="inlineStr">
        <is>
          <t>Male</t>
        </is>
      </c>
      <c r="E248" t="inlineStr">
        <is>
          <t>+1 555 966 8645</t>
        </is>
      </c>
      <c r="F248" t="inlineStr">
        <is>
          <t>scott.meyer12@example.com</t>
        </is>
      </c>
      <c r="G248" t="inlineStr">
        <is>
          <t>Lakeview Heights, OH 45510</t>
        </is>
      </c>
      <c r="H248" t="inlineStr">
        <is>
          <t>medicare</t>
        </is>
      </c>
      <c r="I248" t="inlineStr">
        <is>
          <t>02744266</t>
        </is>
      </c>
      <c r="J248" t="inlineStr">
        <is>
          <t>2010-01-21 15:29:00</t>
        </is>
      </c>
      <c r="K248" s="28" t="n"/>
      <c r="L248" s="29" t="n"/>
      <c r="M248" s="28" t="n"/>
      <c r="N248" s="28" t="n"/>
      <c r="O248" s="28" t="n"/>
      <c r="P248" s="28" t="n"/>
      <c r="Q248" s="28" t="n"/>
      <c r="R248" s="30" t="n"/>
      <c r="S248" s="28" t="n"/>
    </row>
    <row r="249">
      <c r="A249" t="inlineStr">
        <is>
          <t>R1248</t>
        </is>
      </c>
      <c r="B249" t="inlineStr">
        <is>
          <t>Baker, Gerald</t>
        </is>
      </c>
      <c r="C249" t="inlineStr">
        <is>
          <t>1953-09-02</t>
        </is>
      </c>
      <c r="D249" t="inlineStr">
        <is>
          <t>MALE</t>
        </is>
      </c>
      <c r="E249" t="inlineStr">
        <is>
          <t>555.666.1362</t>
        </is>
      </c>
      <c r="F249" t="inlineStr">
        <is>
          <t>gerald.baker27@example.com</t>
        </is>
      </c>
      <c r="G249" t="inlineStr">
        <is>
          <t>Bluestone OH 45501</t>
        </is>
      </c>
      <c r="H249" t="inlineStr">
        <is>
          <t xml:space="preserve">Medicare </t>
        </is>
      </c>
      <c r="I249" t="inlineStr">
        <is>
          <t>6464821</t>
        </is>
      </c>
      <c r="J249" t="inlineStr">
        <is>
          <t>08/19/2012 04:44 PM</t>
        </is>
      </c>
      <c r="K249" s="28" t="n"/>
      <c r="L249" s="29" t="n"/>
      <c r="M249" s="28" t="n"/>
      <c r="N249" s="28" t="n"/>
      <c r="O249" s="28" t="n"/>
      <c r="P249" s="28" t="n"/>
      <c r="Q249" s="28" t="n"/>
      <c r="R249" s="30" t="n"/>
      <c r="S249" s="28" t="n"/>
    </row>
    <row r="250">
      <c r="A250" t="inlineStr">
        <is>
          <t>R1249</t>
        </is>
      </c>
      <c r="B250" t="inlineStr">
        <is>
          <t>Williams, Adam</t>
        </is>
      </c>
      <c r="C250" t="inlineStr">
        <is>
          <t>05.11.1967</t>
        </is>
      </c>
      <c r="D250" t="inlineStr">
        <is>
          <t>M</t>
        </is>
      </c>
      <c r="E250" t="inlineStr">
        <is>
          <t>555-794-3609</t>
        </is>
      </c>
      <c r="F250" t="inlineStr">
        <is>
          <t>ADAM.WILLIAMS55@EXAMPLE.COM</t>
        </is>
      </c>
      <c r="G250" t="inlineStr">
        <is>
          <t>Bluestone, OH 45503</t>
        </is>
      </c>
      <c r="H250" t="inlineStr">
        <is>
          <t>Evergreen Mutual Insurance</t>
        </is>
      </c>
      <c r="I250" t="inlineStr">
        <is>
          <t>MRN-06854891</t>
        </is>
      </c>
      <c r="J250" t="inlineStr">
        <is>
          <t>01/05/2008 12:09 PM</t>
        </is>
      </c>
      <c r="K250" s="28" t="n"/>
      <c r="L250" s="29" t="n"/>
      <c r="M250" s="28" t="n"/>
      <c r="N250" s="28" t="n"/>
      <c r="O250" s="28" t="n"/>
      <c r="P250" s="28" t="n"/>
      <c r="Q250" s="28" t="n"/>
      <c r="R250" s="30" t="n"/>
      <c r="S250" s="28" t="n"/>
    </row>
    <row r="251">
      <c r="A251" t="inlineStr">
        <is>
          <t>R1250</t>
        </is>
      </c>
      <c r="B251" t="inlineStr">
        <is>
          <t>guzman, scott</t>
        </is>
      </c>
      <c r="C251" t="inlineStr">
        <is>
          <t>6/26/1952</t>
        </is>
      </c>
      <c r="D251" t="inlineStr">
        <is>
          <t>MALE</t>
        </is>
      </c>
      <c r="E251" t="inlineStr">
        <is>
          <t>+1 555 390 7920</t>
        </is>
      </c>
      <c r="F251" t="inlineStr">
        <is>
          <t>none</t>
        </is>
      </c>
      <c r="G251" t="inlineStr">
        <is>
          <t>Bluestone, OH 45503</t>
        </is>
      </c>
      <c r="H251" t="inlineStr">
        <is>
          <t>Medicaid</t>
        </is>
      </c>
      <c r="I251" t="inlineStr">
        <is>
          <t>09325124</t>
        </is>
      </c>
      <c r="J251" t="inlineStr">
        <is>
          <t>2010-01-26 17:45:00</t>
        </is>
      </c>
      <c r="K251" s="28" t="n"/>
      <c r="L251" s="29" t="n"/>
      <c r="M251" s="28" t="n"/>
      <c r="N251" s="28" t="n"/>
      <c r="O251" s="28" t="n"/>
      <c r="P251" s="28" t="n"/>
      <c r="Q251" s="28" t="n"/>
      <c r="R251" s="30" t="n"/>
      <c r="S251" s="28" t="n"/>
    </row>
    <row r="252">
      <c r="A252" t="inlineStr">
        <is>
          <t>R1251</t>
        </is>
      </c>
      <c r="B252" t="inlineStr">
        <is>
          <t>Douglas Santos</t>
        </is>
      </c>
      <c r="C252" t="inlineStr">
        <is>
          <t>01/17/1977</t>
        </is>
      </c>
      <c r="D252" t="inlineStr">
        <is>
          <t>Male</t>
        </is>
      </c>
      <c r="E252" t="inlineStr">
        <is>
          <t>(555) 760-1226</t>
        </is>
      </c>
      <c r="F252" t="inlineStr">
        <is>
          <t>douglas.santos1@example.com</t>
        </is>
      </c>
      <c r="G252" t="inlineStr">
        <is>
          <t>Bluestone, OH 45502-3490</t>
        </is>
      </c>
      <c r="H252" t="inlineStr">
        <is>
          <t>Evergreen Mutual</t>
        </is>
      </c>
      <c r="I252" t="inlineStr">
        <is>
          <t>00417955</t>
        </is>
      </c>
      <c r="J252" t="inlineStr">
        <is>
          <t>2017-12-04 10:54:00</t>
        </is>
      </c>
      <c r="K252" s="28" t="n"/>
      <c r="L252" s="29" t="n"/>
      <c r="M252" s="28" t="n"/>
      <c r="N252" s="28" t="n"/>
      <c r="O252" s="28" t="n"/>
      <c r="P252" s="28" t="n"/>
      <c r="Q252" s="28" t="n"/>
      <c r="R252" s="30" t="n"/>
      <c r="S252" s="28" t="n"/>
    </row>
    <row r="253">
      <c r="A253" t="inlineStr">
        <is>
          <t>R1252</t>
        </is>
      </c>
      <c r="B253" t="inlineStr">
        <is>
          <t>lindqvist, stephen</t>
        </is>
      </c>
      <c r="C253" t="inlineStr">
        <is>
          <t>10/26/2019</t>
        </is>
      </c>
      <c r="D253" t="inlineStr">
        <is>
          <t>Male</t>
        </is>
      </c>
      <c r="E253" t="inlineStr">
        <is>
          <t>(555) 794-1060</t>
        </is>
      </c>
      <c r="F253" t="inlineStr">
        <is>
          <t>none</t>
        </is>
      </c>
      <c r="G253" t="inlineStr">
        <is>
          <t>Bluestone, OH 45502</t>
        </is>
      </c>
      <c r="H253" t="inlineStr">
        <is>
          <t>STATE MEDICAID</t>
        </is>
      </c>
      <c r="I253" t="inlineStr">
        <is>
          <t>07627760</t>
        </is>
      </c>
      <c r="J253" t="inlineStr">
        <is>
          <t>2020-01-25 10:56:00</t>
        </is>
      </c>
      <c r="K253" s="28" t="n"/>
      <c r="L253" s="29" t="n"/>
      <c r="M253" s="28" t="n"/>
      <c r="N253" s="28" t="n"/>
      <c r="O253" s="28" t="n"/>
      <c r="P253" s="28" t="n"/>
      <c r="Q253" s="28" t="n"/>
      <c r="R253" s="30" t="n"/>
      <c r="S253" s="28" t="n"/>
    </row>
    <row r="254">
      <c r="A254" t="inlineStr">
        <is>
          <t>R1253</t>
        </is>
      </c>
      <c r="B254" t="inlineStr">
        <is>
          <t>Ray, Diego</t>
        </is>
      </c>
      <c r="C254" t="inlineStr">
        <is>
          <t>1967-03-13</t>
        </is>
      </c>
      <c r="D254" t="inlineStr">
        <is>
          <t>M</t>
        </is>
      </c>
      <c r="E254" t="inlineStr">
        <is>
          <t>555-314-6808</t>
        </is>
      </c>
      <c r="F254" t="inlineStr">
        <is>
          <t>diego.ray86@example.com</t>
        </is>
      </c>
      <c r="G254" t="inlineStr">
        <is>
          <t>Oak Glen OH 45730</t>
        </is>
      </c>
      <c r="H254" t="inlineStr">
        <is>
          <t>EVERGREEN MUTUAL INS</t>
        </is>
      </c>
      <c r="I254" t="inlineStr">
        <is>
          <t>191674</t>
        </is>
      </c>
      <c r="J254" t="inlineStr">
        <is>
          <t>06/11/2016 04:13 PM</t>
        </is>
      </c>
      <c r="K254" s="28" t="n"/>
      <c r="L254" s="29" t="n"/>
      <c r="M254" s="28" t="n"/>
      <c r="N254" s="28" t="n"/>
      <c r="O254" s="28" t="n"/>
      <c r="P254" s="28" t="n"/>
      <c r="Q254" s="28" t="n"/>
      <c r="R254" s="30" t="n"/>
      <c r="S254" s="28" t="n"/>
    </row>
    <row r="255">
      <c r="A255" t="inlineStr">
        <is>
          <t>R1254</t>
        </is>
      </c>
      <c r="B255" t="inlineStr">
        <is>
          <t>Woods, Rebecca</t>
        </is>
      </c>
      <c r="C255" t="inlineStr">
        <is>
          <t>02/16/2013</t>
        </is>
      </c>
      <c r="D255" t="inlineStr">
        <is>
          <t xml:space="preserve"> F</t>
        </is>
      </c>
      <c r="E255" t="inlineStr">
        <is>
          <t>555-237-5511</t>
        </is>
      </c>
      <c r="F255" t="inlineStr">
        <is>
          <t>N/A</t>
        </is>
      </c>
      <c r="G255" t="inlineStr">
        <is>
          <t>Fairhaven OH 45620</t>
        </is>
      </c>
      <c r="H255" t="inlineStr">
        <is>
          <t>SUMMIT CHOICE PPO</t>
        </is>
      </c>
      <c r="I255" t="inlineStr">
        <is>
          <t>3823788</t>
        </is>
      </c>
      <c r="J255" t="inlineStr">
        <is>
          <t>04/12/2022 08:21 AM</t>
        </is>
      </c>
      <c r="K255" s="28" t="n"/>
      <c r="L255" s="29" t="n"/>
      <c r="M255" s="28" t="n"/>
      <c r="N255" s="28" t="n"/>
      <c r="O255" s="28" t="n"/>
      <c r="P255" s="28" t="n"/>
      <c r="Q255" s="28" t="n"/>
      <c r="R255" s="30" t="n"/>
      <c r="S255" s="28" t="n"/>
    </row>
    <row r="256">
      <c r="A256" t="inlineStr">
        <is>
          <t>R1255</t>
        </is>
      </c>
      <c r="B256" t="inlineStr">
        <is>
          <t xml:space="preserve">  Fisher ,  Elijah </t>
        </is>
      </c>
      <c r="C256" t="inlineStr">
        <is>
          <t>1/6/1942</t>
        </is>
      </c>
      <c r="D256" t="inlineStr">
        <is>
          <t>MALE</t>
        </is>
      </c>
      <c r="E256" t="inlineStr">
        <is>
          <t>(555) 828-3122</t>
        </is>
      </c>
      <c r="F256" t="inlineStr">
        <is>
          <t>ELIJAH.FISHER88@EXAMPLE.COM</t>
        </is>
      </c>
      <c r="G256" t="inlineStr">
        <is>
          <t>Bluestone, OH 45503</t>
        </is>
      </c>
      <c r="H256" t="inlineStr">
        <is>
          <t>Medicare Part A</t>
        </is>
      </c>
      <c r="I256" t="inlineStr">
        <is>
          <t>MRN-07818829</t>
        </is>
      </c>
      <c r="J256" t="inlineStr">
        <is>
          <t>2024-01-26 13:57:00</t>
        </is>
      </c>
      <c r="K256" s="28" t="n"/>
      <c r="L256" s="29" t="n"/>
      <c r="M256" s="28" t="n"/>
      <c r="N256" s="28" t="n"/>
      <c r="O256" s="28" t="n"/>
      <c r="P256" s="28" t="n"/>
      <c r="Q256" s="28" t="n"/>
      <c r="R256" s="30" t="n"/>
      <c r="S256" s="28" t="n"/>
    </row>
    <row r="257">
      <c r="A257" t="inlineStr">
        <is>
          <t>R1256</t>
        </is>
      </c>
      <c r="B257" t="inlineStr">
        <is>
          <t xml:space="preserve">  Ramos ,  Mark </t>
        </is>
      </c>
      <c r="C257" t="inlineStr">
        <is>
          <t>08/06/1963</t>
        </is>
      </c>
      <c r="D257" t="inlineStr">
        <is>
          <t>Male</t>
        </is>
      </c>
      <c r="E257" t="inlineStr">
        <is>
          <t>(555) 480-8570</t>
        </is>
      </c>
      <c r="G257" t="inlineStr">
        <is>
          <t>Bluestone, OH 45501</t>
        </is>
      </c>
      <c r="H257" t="inlineStr">
        <is>
          <t>medicaid</t>
        </is>
      </c>
      <c r="I257" t="inlineStr">
        <is>
          <t>05206313</t>
        </is>
      </c>
      <c r="J257" t="inlineStr">
        <is>
          <t>2017-09-02 07:21:00</t>
        </is>
      </c>
      <c r="K257" s="28" t="n"/>
      <c r="L257" s="29" t="n"/>
      <c r="M257" s="28" t="n"/>
      <c r="N257" s="28" t="n"/>
      <c r="O257" s="28" t="n"/>
      <c r="P257" s="28" t="n"/>
      <c r="Q257" s="28" t="n"/>
      <c r="R257" s="30" t="n"/>
      <c r="S257" s="28" t="n"/>
    </row>
    <row r="258">
      <c r="A258" t="inlineStr">
        <is>
          <t>R1257</t>
        </is>
      </c>
      <c r="B258" t="inlineStr">
        <is>
          <t xml:space="preserve">  Allen ,  Lucia </t>
        </is>
      </c>
      <c r="C258" t="inlineStr">
        <is>
          <t>7/12/1962</t>
        </is>
      </c>
      <c r="D258" t="inlineStr">
        <is>
          <t>F</t>
        </is>
      </c>
      <c r="E258" t="inlineStr">
        <is>
          <t>+1 555 302 5026</t>
        </is>
      </c>
      <c r="F258" t="inlineStr">
        <is>
          <t xml:space="preserve"> lucia.allen29@example.com </t>
        </is>
      </c>
      <c r="G258" t="inlineStr">
        <is>
          <t>Bluestone OH 45501</t>
        </is>
      </c>
      <c r="H258" t="inlineStr">
        <is>
          <t>Evergreen Mutual</t>
        </is>
      </c>
      <c r="I258" t="inlineStr">
        <is>
          <t>03884891</t>
        </is>
      </c>
      <c r="J258" t="inlineStr">
        <is>
          <t>2023-11-18 12:42:00</t>
        </is>
      </c>
      <c r="K258" s="28" t="n"/>
      <c r="L258" s="29" t="n"/>
      <c r="M258" s="28" t="n"/>
      <c r="N258" s="28" t="n"/>
      <c r="O258" s="28" t="n"/>
      <c r="P258" s="28" t="n"/>
      <c r="Q258" s="28" t="n"/>
      <c r="R258" s="30" t="n"/>
      <c r="S258" s="28" t="n"/>
    </row>
    <row r="259">
      <c r="A259" t="inlineStr">
        <is>
          <t>R1258</t>
        </is>
      </c>
      <c r="B259" t="inlineStr">
        <is>
          <t>MATTHEWS, JEREMY</t>
        </is>
      </c>
      <c r="C259" t="inlineStr">
        <is>
          <t>1969-12-12</t>
        </is>
      </c>
      <c r="D259" t="inlineStr">
        <is>
          <t xml:space="preserve">M </t>
        </is>
      </c>
      <c r="E259" t="inlineStr">
        <is>
          <t>555.529.9630</t>
        </is>
      </c>
      <c r="F259" t="inlineStr">
        <is>
          <t>jeremy.matthews63@example.com</t>
        </is>
      </c>
      <c r="G259" t="inlineStr">
        <is>
          <t>BLUESTONE, OH 45501</t>
        </is>
      </c>
      <c r="H259" t="inlineStr">
        <is>
          <t>State Medicaid</t>
        </is>
      </c>
      <c r="I259" t="inlineStr">
        <is>
          <t>2066863</t>
        </is>
      </c>
      <c r="J259" t="inlineStr">
        <is>
          <t>11/22/2020 07:21 AM</t>
        </is>
      </c>
      <c r="K259" s="28" t="n"/>
      <c r="L259" s="29" t="n"/>
      <c r="M259" s="28" t="n"/>
      <c r="N259" s="28" t="n"/>
      <c r="O259" s="28" t="n"/>
      <c r="P259" s="28" t="n"/>
      <c r="Q259" s="28" t="n"/>
      <c r="R259" s="30" t="n"/>
      <c r="S259" s="28" t="n"/>
    </row>
    <row r="260">
      <c r="A260" t="inlineStr">
        <is>
          <t>R1259</t>
        </is>
      </c>
      <c r="B260" t="inlineStr">
        <is>
          <t>Clark, Lori</t>
        </is>
      </c>
      <c r="C260" t="inlineStr">
        <is>
          <t>1995-05-04</t>
        </is>
      </c>
      <c r="D260" t="inlineStr">
        <is>
          <t>F</t>
        </is>
      </c>
      <c r="E260" t="inlineStr">
        <is>
          <t>555.308.1506</t>
        </is>
      </c>
      <c r="F260" t="inlineStr">
        <is>
          <t>N/A</t>
        </is>
      </c>
      <c r="G260" t="inlineStr">
        <is>
          <t>Riverbend, OH 45545</t>
        </is>
      </c>
      <c r="H260" t="inlineStr">
        <is>
          <t>STATE MEDICAID</t>
        </is>
      </c>
      <c r="I260" t="inlineStr">
        <is>
          <t>03026415</t>
        </is>
      </c>
      <c r="J260" t="inlineStr">
        <is>
          <t>04/10/2024 06:49 PM</t>
        </is>
      </c>
      <c r="K260" s="28" t="n"/>
      <c r="L260" s="29" t="n"/>
      <c r="M260" s="28" t="n"/>
      <c r="N260" s="28" t="n"/>
      <c r="O260" s="28" t="n"/>
      <c r="P260" s="28" t="n"/>
      <c r="Q260" s="28" t="n"/>
      <c r="R260" s="30" t="n"/>
      <c r="S260" s="28" t="n"/>
    </row>
    <row r="261">
      <c r="A261" t="inlineStr">
        <is>
          <t>R1260</t>
        </is>
      </c>
      <c r="B261" t="inlineStr">
        <is>
          <t>Christine Tucker</t>
        </is>
      </c>
      <c r="C261" t="inlineStr">
        <is>
          <t>06/09/2013</t>
        </is>
      </c>
      <c r="D261" t="inlineStr">
        <is>
          <t>FEMALE</t>
        </is>
      </c>
      <c r="E261" t="inlineStr">
        <is>
          <t>(555) 506-5756</t>
        </is>
      </c>
      <c r="F261" t="inlineStr">
        <is>
          <t>none</t>
        </is>
      </c>
      <c r="G261" t="inlineStr">
        <is>
          <t>Ashby Falls, OH 45610-7516</t>
        </is>
      </c>
      <c r="H261" t="inlineStr">
        <is>
          <t>EVERGREEN MUTUAL INS</t>
        </is>
      </c>
      <c r="I261" t="inlineStr">
        <is>
          <t>04048547</t>
        </is>
      </c>
      <c r="J261" t="inlineStr">
        <is>
          <t>2015-08-09 10:38:00</t>
        </is>
      </c>
      <c r="K261" s="28" t="n"/>
      <c r="L261" s="29" t="n"/>
      <c r="M261" s="28" t="n"/>
      <c r="N261" s="28" t="n"/>
      <c r="O261" s="28" t="n"/>
      <c r="P261" s="28" t="n"/>
      <c r="Q261" s="28" t="n"/>
      <c r="R261" s="30" t="n"/>
      <c r="S261" s="28" t="n"/>
    </row>
    <row r="262">
      <c r="A262" t="inlineStr">
        <is>
          <t>R1261</t>
        </is>
      </c>
      <c r="B262" t="inlineStr">
        <is>
          <t>Wallace, Lori</t>
        </is>
      </c>
      <c r="C262" t="inlineStr">
        <is>
          <t>12/03/1956</t>
        </is>
      </c>
      <c r="D262" t="inlineStr">
        <is>
          <t>f</t>
        </is>
      </c>
      <c r="E262" t="inlineStr">
        <is>
          <t>(555) 572-1650</t>
        </is>
      </c>
      <c r="F262" t="inlineStr">
        <is>
          <t>lori.wallace54@example.com</t>
        </is>
      </c>
      <c r="G262" t="inlineStr">
        <is>
          <t>Bluestone, OH 45501</t>
        </is>
      </c>
      <c r="H262" t="inlineStr">
        <is>
          <t>medicare</t>
        </is>
      </c>
      <c r="I262" t="inlineStr">
        <is>
          <t>7122577</t>
        </is>
      </c>
      <c r="J262" t="inlineStr">
        <is>
          <t>01/18/2018 05:22 PM</t>
        </is>
      </c>
      <c r="K262" s="28" t="n"/>
      <c r="L262" s="29" t="n"/>
      <c r="M262" s="28" t="n"/>
      <c r="N262" s="28" t="n"/>
      <c r="O262" s="28" t="n"/>
      <c r="P262" s="28" t="n"/>
      <c r="Q262" s="28" t="n"/>
      <c r="R262" s="30" t="n"/>
      <c r="S262" s="28" t="n"/>
    </row>
    <row r="263">
      <c r="A263" t="inlineStr">
        <is>
          <t>R1262</t>
        </is>
      </c>
      <c r="B263" t="inlineStr">
        <is>
          <t>Robinson, Gary</t>
        </is>
      </c>
      <c r="C263" t="inlineStr">
        <is>
          <t>01.22.1974</t>
        </is>
      </c>
      <c r="D263" t="inlineStr">
        <is>
          <t>M</t>
        </is>
      </c>
      <c r="E263" t="inlineStr">
        <is>
          <t>555-912-9672</t>
        </is>
      </c>
      <c r="F263" t="inlineStr">
        <is>
          <t>GARY.ROBINSON18@EXAMPLE.COM</t>
        </is>
      </c>
      <c r="G263" t="inlineStr">
        <is>
          <t>Oak Glen, OH 45730</t>
        </is>
      </c>
      <c r="H263" t="inlineStr">
        <is>
          <t>Keystone Health Partners</t>
        </is>
      </c>
      <c r="I263" t="inlineStr">
        <is>
          <t>MRN-01204240</t>
        </is>
      </c>
      <c r="J263" t="inlineStr">
        <is>
          <t>2020-02-27 07:08:00</t>
        </is>
      </c>
      <c r="K263" s="28" t="n"/>
      <c r="L263" s="29" t="n"/>
      <c r="M263" s="28" t="n"/>
      <c r="N263" s="28" t="n"/>
      <c r="O263" s="28" t="n"/>
      <c r="P263" s="28" t="n"/>
      <c r="Q263" s="28" t="n"/>
      <c r="R263" s="30" t="n"/>
      <c r="S263" s="28" t="n"/>
    </row>
    <row r="264">
      <c r="A264" t="inlineStr">
        <is>
          <t>R1263</t>
        </is>
      </c>
      <c r="B264" t="inlineStr">
        <is>
          <t>Isabella Turner</t>
        </is>
      </c>
      <c r="C264" t="inlineStr">
        <is>
          <t>08/27/1941</t>
        </is>
      </c>
      <c r="D264" t="inlineStr">
        <is>
          <t>F</t>
        </is>
      </c>
      <c r="E264" t="inlineStr">
        <is>
          <t>555.875.2073</t>
        </is>
      </c>
      <c r="F264" t="inlineStr">
        <is>
          <t xml:space="preserve"> isabella.turner66@example.com </t>
        </is>
      </c>
      <c r="G264" t="inlineStr">
        <is>
          <t>MILLBROOK, OH 45530</t>
        </is>
      </c>
      <c r="H264" t="inlineStr">
        <is>
          <t>medicaid</t>
        </is>
      </c>
      <c r="I264" t="inlineStr">
        <is>
          <t>MRN-05339433</t>
        </is>
      </c>
      <c r="J264" t="inlineStr">
        <is>
          <t>2023-01-19 07:50:00</t>
        </is>
      </c>
      <c r="K264" s="28" t="n"/>
      <c r="L264" s="29" t="n"/>
      <c r="M264" s="28" t="n"/>
      <c r="N264" s="28" t="n"/>
      <c r="O264" s="28" t="n"/>
      <c r="P264" s="28" t="n"/>
      <c r="Q264" s="28" t="n"/>
      <c r="R264" s="30" t="n"/>
      <c r="S264" s="28" t="n"/>
    </row>
    <row r="265">
      <c r="A265" t="inlineStr">
        <is>
          <t>R1264</t>
        </is>
      </c>
      <c r="B265" t="inlineStr">
        <is>
          <t>Rodriguez, Matthew</t>
        </is>
      </c>
      <c r="C265" t="inlineStr">
        <is>
          <t>02/06/1980</t>
        </is>
      </c>
      <c r="D265" t="inlineStr">
        <is>
          <t xml:space="preserve">M </t>
        </is>
      </c>
      <c r="E265" t="inlineStr">
        <is>
          <t>555.667.8849</t>
        </is>
      </c>
      <c r="F265" t="inlineStr">
        <is>
          <t xml:space="preserve"> matthew.rodriguez14@example.com </t>
        </is>
      </c>
      <c r="G265" t="inlineStr">
        <is>
          <t>Cedar Ridge, OH 45720</t>
        </is>
      </c>
      <c r="H265" t="inlineStr">
        <is>
          <t>Keystone Health Partners</t>
        </is>
      </c>
      <c r="I265" t="inlineStr">
        <is>
          <t>01895000</t>
        </is>
      </c>
      <c r="J265" t="inlineStr">
        <is>
          <t>2017-02-22 18:12:00</t>
        </is>
      </c>
      <c r="K265" s="28" t="n"/>
      <c r="L265" s="29" t="n"/>
      <c r="M265" s="28" t="n"/>
      <c r="N265" s="28" t="n"/>
      <c r="O265" s="28" t="n"/>
      <c r="P265" s="28" t="n"/>
      <c r="Q265" s="28" t="n"/>
      <c r="R265" s="30" t="n"/>
      <c r="S265" s="28" t="n"/>
    </row>
    <row r="266">
      <c r="A266" t="inlineStr">
        <is>
          <t>R1265</t>
        </is>
      </c>
      <c r="B266" t="inlineStr">
        <is>
          <t>Susan Osei</t>
        </is>
      </c>
      <c r="C266" t="inlineStr">
        <is>
          <t>2012-03-07</t>
        </is>
      </c>
      <c r="D266" t="inlineStr">
        <is>
          <t xml:space="preserve"> F</t>
        </is>
      </c>
      <c r="E266" t="inlineStr">
        <is>
          <t>555-751-7351</t>
        </is>
      </c>
      <c r="G266" t="inlineStr">
        <is>
          <t>Lakeview Heights, OH 45510</t>
        </is>
      </c>
      <c r="H266" t="inlineStr">
        <is>
          <t>STATE MEDICAID</t>
        </is>
      </c>
      <c r="I266" t="inlineStr">
        <is>
          <t>02585847</t>
        </is>
      </c>
      <c r="J266" t="inlineStr">
        <is>
          <t>12/05/2023 07:58 AM</t>
        </is>
      </c>
      <c r="K266" s="28" t="n"/>
      <c r="L266" s="29" t="n"/>
      <c r="M266" s="28" t="n"/>
      <c r="N266" s="28" t="n"/>
      <c r="O266" s="28" t="n"/>
      <c r="P266" s="28" t="n"/>
      <c r="Q266" s="28" t="n"/>
      <c r="R266" s="30" t="n"/>
      <c r="S266" s="28" t="n"/>
    </row>
    <row r="267">
      <c r="A267" t="inlineStr">
        <is>
          <t>R1266</t>
        </is>
      </c>
      <c r="B267" t="inlineStr">
        <is>
          <t>GARCIA, PAMELA</t>
        </is>
      </c>
      <c r="C267" t="inlineStr">
        <is>
          <t>1962-02-11</t>
        </is>
      </c>
      <c r="D267" t="inlineStr">
        <is>
          <t>F</t>
        </is>
      </c>
      <c r="E267" t="inlineStr">
        <is>
          <t>555-239-0126</t>
        </is>
      </c>
      <c r="F267" t="inlineStr">
        <is>
          <t xml:space="preserve"> pamela.garcia63@example.com </t>
        </is>
      </c>
      <c r="G267" t="inlineStr">
        <is>
          <t>Bluestone, OH 45501-5610</t>
        </is>
      </c>
      <c r="H267" t="inlineStr">
        <is>
          <t>EVERGREEN MUTUAL INS</t>
        </is>
      </c>
      <c r="I267" t="inlineStr">
        <is>
          <t>5952813</t>
        </is>
      </c>
      <c r="J267" t="inlineStr">
        <is>
          <t>2018-02-20 07:23:00</t>
        </is>
      </c>
      <c r="K267" s="28" t="n"/>
      <c r="L267" s="29" t="n"/>
      <c r="M267" s="28" t="n"/>
      <c r="N267" s="28" t="n"/>
      <c r="O267" s="28" t="n"/>
      <c r="P267" s="28" t="n"/>
      <c r="Q267" s="28" t="n"/>
      <c r="R267" s="30" t="n"/>
      <c r="S267" s="28" t="n"/>
    </row>
    <row r="268">
      <c r="A268" t="inlineStr">
        <is>
          <t>R1267</t>
        </is>
      </c>
      <c r="B268" t="inlineStr">
        <is>
          <t>Hawkins, Marie</t>
        </is>
      </c>
      <c r="C268" t="inlineStr">
        <is>
          <t>02/19/2001</t>
        </is>
      </c>
      <c r="D268" t="inlineStr">
        <is>
          <t>F</t>
        </is>
      </c>
      <c r="E268" t="inlineStr">
        <is>
          <t>(555) 472-0186</t>
        </is>
      </c>
      <c r="G268" t="inlineStr">
        <is>
          <t>Granite Springs, OH 45750</t>
        </is>
      </c>
      <c r="H268" t="inlineStr">
        <is>
          <t>Evergreen Mutual Insurance</t>
        </is>
      </c>
      <c r="I268" t="inlineStr">
        <is>
          <t>4552128</t>
        </is>
      </c>
      <c r="J268" t="inlineStr">
        <is>
          <t>2016-12-02 09:38:00</t>
        </is>
      </c>
      <c r="K268" s="28" t="n"/>
      <c r="L268" s="29" t="n"/>
      <c r="M268" s="28" t="n"/>
      <c r="N268" s="28" t="n"/>
      <c r="O268" s="28" t="n"/>
      <c r="P268" s="28" t="n"/>
      <c r="Q268" s="28" t="n"/>
      <c r="R268" s="30" t="n"/>
      <c r="S268" s="28" t="n"/>
    </row>
    <row r="269">
      <c r="A269" t="inlineStr">
        <is>
          <t>R1268</t>
        </is>
      </c>
      <c r="B269" t="inlineStr">
        <is>
          <t>Brenda Daniels</t>
        </is>
      </c>
      <c r="C269" t="inlineStr">
        <is>
          <t>06/29/1993</t>
        </is>
      </c>
      <c r="D269" t="inlineStr">
        <is>
          <t>Female</t>
        </is>
      </c>
      <c r="E269" t="inlineStr">
        <is>
          <t>555.520.2578</t>
        </is>
      </c>
      <c r="F269" t="inlineStr">
        <is>
          <t>brenda.daniels3@example.com</t>
        </is>
      </c>
      <c r="G269" t="inlineStr">
        <is>
          <t>Bluestone, OH 45502-3567</t>
        </is>
      </c>
      <c r="H269" t="inlineStr">
        <is>
          <t>Evergreen Mutual Insurance</t>
        </is>
      </c>
      <c r="I269" t="inlineStr">
        <is>
          <t>03193264</t>
        </is>
      </c>
      <c r="J269" t="inlineStr">
        <is>
          <t>02/05/2024 12:43 PM</t>
        </is>
      </c>
      <c r="K269" s="28" t="n"/>
      <c r="L269" s="29" t="n"/>
      <c r="M269" s="28" t="n"/>
      <c r="N269" s="28" t="n"/>
      <c r="O269" s="28" t="n"/>
      <c r="P269" s="28" t="n"/>
      <c r="Q269" s="28" t="n"/>
      <c r="R269" s="30" t="n"/>
      <c r="S269" s="28" t="n"/>
    </row>
    <row r="270">
      <c r="A270" t="inlineStr">
        <is>
          <t>R1269</t>
        </is>
      </c>
      <c r="B270" t="inlineStr">
        <is>
          <t>Hawkins, Peter</t>
        </is>
      </c>
      <c r="C270" t="inlineStr">
        <is>
          <t>12/07/1985</t>
        </is>
      </c>
      <c r="D270" t="inlineStr">
        <is>
          <t>M</t>
        </is>
      </c>
      <c r="E270" t="inlineStr">
        <is>
          <t>(555) 202-1590</t>
        </is>
      </c>
      <c r="F270" t="inlineStr">
        <is>
          <t>none</t>
        </is>
      </c>
      <c r="G270" t="inlineStr">
        <is>
          <t>Cedar Ridge OH 45720</t>
        </is>
      </c>
      <c r="H270" t="inlineStr">
        <is>
          <t>Medicare</t>
        </is>
      </c>
      <c r="I270" t="inlineStr">
        <is>
          <t>9781994</t>
        </is>
      </c>
      <c r="J270" t="inlineStr">
        <is>
          <t>07/30/2023 05:36 PM</t>
        </is>
      </c>
      <c r="K270" s="28" t="n"/>
      <c r="L270" s="29" t="n"/>
      <c r="M270" s="28" t="n"/>
      <c r="N270" s="28" t="n"/>
      <c r="O270" s="28" t="n"/>
      <c r="P270" s="28" t="n"/>
      <c r="Q270" s="28" t="n"/>
      <c r="R270" s="30" t="n"/>
      <c r="S270" s="28" t="n"/>
    </row>
    <row r="271">
      <c r="A271" t="inlineStr">
        <is>
          <t>R1270</t>
        </is>
      </c>
      <c r="B271" t="inlineStr">
        <is>
          <t>Charles Hudson</t>
        </is>
      </c>
      <c r="C271" t="inlineStr">
        <is>
          <t>12/08/2003</t>
        </is>
      </c>
      <c r="D271" t="inlineStr">
        <is>
          <t xml:space="preserve">M </t>
        </is>
      </c>
      <c r="E271" t="inlineStr">
        <is>
          <t>555-676-7404</t>
        </is>
      </c>
      <c r="F271" t="inlineStr">
        <is>
          <t>charles.hudson48@example.com</t>
        </is>
      </c>
      <c r="G271" t="inlineStr">
        <is>
          <t>Riverbend, OH 45545-9414</t>
        </is>
      </c>
      <c r="H271" t="inlineStr">
        <is>
          <t>Medicaid</t>
        </is>
      </c>
      <c r="I271" t="inlineStr">
        <is>
          <t>03034463</t>
        </is>
      </c>
      <c r="J271" t="inlineStr">
        <is>
          <t>2023-05-11 08:05:00</t>
        </is>
      </c>
      <c r="K271" s="28" t="n"/>
      <c r="L271" s="29" t="n"/>
      <c r="M271" s="28" t="n"/>
      <c r="N271" s="28" t="n"/>
      <c r="O271" s="28" t="n"/>
      <c r="P271" s="28" t="n"/>
      <c r="Q271" s="28" t="n"/>
      <c r="R271" s="30" t="n"/>
      <c r="S271" s="28" t="n"/>
    </row>
    <row r="272">
      <c r="A272" t="inlineStr">
        <is>
          <t>R1271</t>
        </is>
      </c>
      <c r="B272" t="inlineStr">
        <is>
          <t>ELLIS, JOSEPH</t>
        </is>
      </c>
      <c r="C272" t="inlineStr">
        <is>
          <t>1960-07-05</t>
        </is>
      </c>
      <c r="D272" t="inlineStr">
        <is>
          <t>M</t>
        </is>
      </c>
      <c r="E272" t="inlineStr">
        <is>
          <t>(555) 914-3619</t>
        </is>
      </c>
      <c r="G272" t="inlineStr">
        <is>
          <t>LAKEVIEW HEIGHTS, OH 45510</t>
        </is>
      </c>
      <c r="H272" t="inlineStr">
        <is>
          <t>Medicare</t>
        </is>
      </c>
      <c r="I272" t="inlineStr">
        <is>
          <t>07075701</t>
        </is>
      </c>
      <c r="J272" t="inlineStr">
        <is>
          <t>01/16/2024 06:58 PM</t>
        </is>
      </c>
      <c r="K272" s="28" t="n"/>
      <c r="L272" s="29" t="n"/>
      <c r="M272" s="28" t="n"/>
      <c r="N272" s="28" t="n"/>
      <c r="O272" s="28" t="n"/>
      <c r="P272" s="28" t="n"/>
      <c r="Q272" s="28" t="n"/>
      <c r="R272" s="30" t="n"/>
      <c r="S272" s="28" t="n"/>
    </row>
    <row r="273">
      <c r="A273" t="inlineStr">
        <is>
          <t>R1272</t>
        </is>
      </c>
      <c r="B273" t="inlineStr">
        <is>
          <t>garcia, karen</t>
        </is>
      </c>
      <c r="C273" t="inlineStr">
        <is>
          <t>11-Nov-1933</t>
        </is>
      </c>
      <c r="D273" t="inlineStr">
        <is>
          <t>F</t>
        </is>
      </c>
      <c r="E273" t="inlineStr">
        <is>
          <t>(555) 504-1389</t>
        </is>
      </c>
      <c r="F273" t="inlineStr">
        <is>
          <t>karen.garcia58@example.com</t>
        </is>
      </c>
      <c r="G273" t="inlineStr">
        <is>
          <t>Millbrook OH 45530</t>
        </is>
      </c>
      <c r="H273" t="inlineStr">
        <is>
          <t>Silverline MA</t>
        </is>
      </c>
      <c r="I273" t="inlineStr">
        <is>
          <t>09810155</t>
        </is>
      </c>
      <c r="J273" t="inlineStr">
        <is>
          <t>2010-05-21 07:56:00</t>
        </is>
      </c>
      <c r="K273" s="28" t="n"/>
      <c r="L273" s="29" t="n"/>
      <c r="M273" s="28" t="n"/>
      <c r="N273" s="28" t="n"/>
      <c r="O273" s="28" t="n"/>
      <c r="P273" s="28" t="n"/>
      <c r="Q273" s="28" t="n"/>
      <c r="R273" s="30" t="n"/>
      <c r="S273" s="28" t="n"/>
    </row>
    <row r="274">
      <c r="A274" t="inlineStr">
        <is>
          <t>R1273</t>
        </is>
      </c>
      <c r="B274" t="inlineStr">
        <is>
          <t xml:space="preserve">  Rivera ,  Joshua </t>
        </is>
      </c>
      <c r="C274" t="inlineStr">
        <is>
          <t>04/15/2018</t>
        </is>
      </c>
      <c r="D274" t="inlineStr">
        <is>
          <t>m</t>
        </is>
      </c>
      <c r="E274" t="inlineStr">
        <is>
          <t>555-959-1061</t>
        </is>
      </c>
      <c r="F274" t="inlineStr">
        <is>
          <t>none</t>
        </is>
      </c>
      <c r="G274" t="inlineStr">
        <is>
          <t>Pine Hollow, OH 45640</t>
        </is>
      </c>
      <c r="H274" t="inlineStr">
        <is>
          <t>STATE MEDICAID</t>
        </is>
      </c>
      <c r="I274" t="inlineStr">
        <is>
          <t>MRN-08392421</t>
        </is>
      </c>
      <c r="J274" t="inlineStr">
        <is>
          <t>2020-08-17 11:00:00</t>
        </is>
      </c>
      <c r="K274" s="28" t="n"/>
      <c r="L274" s="29" t="n"/>
      <c r="M274" s="28" t="n"/>
      <c r="N274" s="28" t="n"/>
      <c r="O274" s="28" t="n"/>
      <c r="P274" s="28" t="n"/>
      <c r="Q274" s="28" t="n"/>
      <c r="R274" s="30" t="n"/>
      <c r="S274" s="28" t="n"/>
    </row>
    <row r="275">
      <c r="A275" t="inlineStr">
        <is>
          <t>R1274</t>
        </is>
      </c>
      <c r="B275" t="inlineStr">
        <is>
          <t>SULLIVAN, JEREMY</t>
        </is>
      </c>
      <c r="C275" t="inlineStr">
        <is>
          <t>1983-08-08</t>
        </is>
      </c>
      <c r="D275" t="inlineStr">
        <is>
          <t xml:space="preserve">M </t>
        </is>
      </c>
      <c r="E275" t="inlineStr">
        <is>
          <t>(555) 431-1956</t>
        </is>
      </c>
      <c r="F275" t="inlineStr">
        <is>
          <t>jeremy.sullivan79@example.com</t>
        </is>
      </c>
      <c r="G275" t="inlineStr">
        <is>
          <t>Millbrook, OH 45530</t>
        </is>
      </c>
      <c r="H275" t="inlineStr">
        <is>
          <t>medicaid</t>
        </is>
      </c>
      <c r="I275" t="inlineStr">
        <is>
          <t>04324932</t>
        </is>
      </c>
      <c r="J275" t="inlineStr">
        <is>
          <t>2009-09-30 10:23:00</t>
        </is>
      </c>
      <c r="K275" s="28" t="n"/>
      <c r="L275" s="29" t="n"/>
      <c r="M275" s="28" t="n"/>
      <c r="N275" s="28" t="n"/>
      <c r="O275" s="28" t="n"/>
      <c r="P275" s="28" t="n"/>
      <c r="Q275" s="28" t="n"/>
      <c r="R275" s="30" t="n"/>
      <c r="S275" s="28" t="n"/>
    </row>
    <row r="276">
      <c r="A276" t="inlineStr">
        <is>
          <t>R1275</t>
        </is>
      </c>
      <c r="B276" t="inlineStr">
        <is>
          <t>Jose Castillo</t>
        </is>
      </c>
      <c r="C276" t="inlineStr">
        <is>
          <t>06/16/1988</t>
        </is>
      </c>
      <c r="D276" t="inlineStr">
        <is>
          <t>MALE</t>
        </is>
      </c>
      <c r="E276" t="inlineStr">
        <is>
          <t>(555) 579-7315</t>
        </is>
      </c>
      <c r="F276" t="inlineStr">
        <is>
          <t>jose.castillo46@example.com</t>
        </is>
      </c>
      <c r="G276" t="inlineStr">
        <is>
          <t>Cedar Ridge OH 45720</t>
        </is>
      </c>
      <c r="H276" t="inlineStr">
        <is>
          <t>Keystone</t>
        </is>
      </c>
      <c r="I276" t="inlineStr">
        <is>
          <t>4700829</t>
        </is>
      </c>
      <c r="J276" t="inlineStr">
        <is>
          <t>2023-01-21 07:09:00</t>
        </is>
      </c>
      <c r="K276" s="28" t="n"/>
      <c r="L276" s="29" t="n"/>
      <c r="M276" s="28" t="n"/>
      <c r="N276" s="28" t="n"/>
      <c r="O276" s="28" t="n"/>
      <c r="P276" s="28" t="n"/>
      <c r="Q276" s="28" t="n"/>
      <c r="R276" s="30" t="n"/>
      <c r="S276" s="28" t="n"/>
    </row>
    <row r="277">
      <c r="A277" t="inlineStr">
        <is>
          <t>R1276</t>
        </is>
      </c>
      <c r="B277" t="inlineStr">
        <is>
          <t>Joyce Myers</t>
        </is>
      </c>
      <c r="C277" t="inlineStr">
        <is>
          <t>11/22/1986</t>
        </is>
      </c>
      <c r="D277" t="inlineStr">
        <is>
          <t>Female</t>
        </is>
      </c>
      <c r="E277" t="inlineStr">
        <is>
          <t>(555) 668-8099</t>
        </is>
      </c>
      <c r="F277" t="inlineStr">
        <is>
          <t>joyce.myers58@example.com</t>
        </is>
      </c>
      <c r="G277" t="inlineStr">
        <is>
          <t>Lakeview Heights OH 45510</t>
        </is>
      </c>
      <c r="H277" t="inlineStr">
        <is>
          <t>KEYSTONE HEALTH PARTNERS</t>
        </is>
      </c>
      <c r="I277" t="inlineStr">
        <is>
          <t>09570394</t>
        </is>
      </c>
      <c r="J277" t="inlineStr">
        <is>
          <t>08/29/2009 07:36 AM</t>
        </is>
      </c>
      <c r="K277" s="28" t="n"/>
      <c r="L277" s="29" t="n"/>
      <c r="M277" s="28" t="n"/>
      <c r="N277" s="28" t="n"/>
      <c r="O277" s="28" t="n"/>
      <c r="P277" s="28" t="n"/>
      <c r="Q277" s="28" t="n"/>
      <c r="R277" s="30" t="n"/>
      <c r="S277" s="28" t="n"/>
    </row>
    <row r="278">
      <c r="A278" t="inlineStr">
        <is>
          <t>R1277</t>
        </is>
      </c>
      <c r="B278" t="inlineStr">
        <is>
          <t>Morris, Lisa</t>
        </is>
      </c>
      <c r="C278" t="inlineStr">
        <is>
          <t>1997-02-09</t>
        </is>
      </c>
      <c r="D278" t="inlineStr">
        <is>
          <t>F</t>
        </is>
      </c>
      <c r="E278" t="inlineStr">
        <is>
          <t>+1 555 949 0290</t>
        </is>
      </c>
      <c r="F278" t="inlineStr">
        <is>
          <t>lisa.morris81@example.com</t>
        </is>
      </c>
      <c r="G278" t="inlineStr">
        <is>
          <t>Bluestone, OH 45501</t>
        </is>
      </c>
      <c r="H278" t="inlineStr">
        <is>
          <t>medicaid</t>
        </is>
      </c>
      <c r="I278" t="inlineStr">
        <is>
          <t>2299698</t>
        </is>
      </c>
      <c r="J278" t="inlineStr">
        <is>
          <t>2012-05-12 17:06:00</t>
        </is>
      </c>
      <c r="K278" s="28" t="n"/>
      <c r="L278" s="29" t="n"/>
      <c r="M278" s="28" t="n"/>
      <c r="N278" s="28" t="n"/>
      <c r="O278" s="28" t="n"/>
      <c r="P278" s="28" t="n"/>
      <c r="Q278" s="28" t="n"/>
      <c r="R278" s="30" t="n"/>
      <c r="S278" s="28" t="n"/>
    </row>
    <row r="279">
      <c r="A279" t="inlineStr">
        <is>
          <t>R1278</t>
        </is>
      </c>
      <c r="B279" t="inlineStr">
        <is>
          <t>MITCHELL, AUSTIN</t>
        </is>
      </c>
      <c r="C279" t="inlineStr">
        <is>
          <t>1984-09-27</t>
        </is>
      </c>
      <c r="D279" t="inlineStr">
        <is>
          <t>MALE</t>
        </is>
      </c>
      <c r="E279" t="inlineStr">
        <is>
          <t>(555) 224-4330</t>
        </is>
      </c>
      <c r="F279" t="inlineStr">
        <is>
          <t>N/A</t>
        </is>
      </c>
      <c r="G279" t="inlineStr">
        <is>
          <t>Bluestone OH 45503</t>
        </is>
      </c>
      <c r="H279" t="inlineStr">
        <is>
          <t>EVERGREEN MUTUAL INS</t>
        </is>
      </c>
      <c r="I279" t="inlineStr">
        <is>
          <t>03225016</t>
        </is>
      </c>
      <c r="J279" t="inlineStr">
        <is>
          <t>2023-08-16 15:55:00</t>
        </is>
      </c>
      <c r="K279" s="28" t="n"/>
      <c r="L279" s="29" t="n"/>
      <c r="M279" s="28" t="n"/>
      <c r="N279" s="28" t="n"/>
      <c r="O279" s="28" t="n"/>
      <c r="P279" s="28" t="n"/>
      <c r="Q279" s="28" t="n"/>
      <c r="R279" s="30" t="n"/>
      <c r="S279" s="28" t="n"/>
    </row>
    <row r="280">
      <c r="A280" t="inlineStr">
        <is>
          <t>R1279</t>
        </is>
      </c>
      <c r="B280" t="inlineStr">
        <is>
          <t>Diana Garcia</t>
        </is>
      </c>
      <c r="C280" t="inlineStr">
        <is>
          <t>08-Nov-1968</t>
        </is>
      </c>
      <c r="D280" t="inlineStr">
        <is>
          <t>F</t>
        </is>
      </c>
      <c r="G280" t="inlineStr">
        <is>
          <t>Bluestone, OH 45503</t>
        </is>
      </c>
      <c r="H280" t="inlineStr">
        <is>
          <t>Uninsured</t>
        </is>
      </c>
      <c r="I280" t="inlineStr">
        <is>
          <t>03704670</t>
        </is>
      </c>
      <c r="J280" t="inlineStr">
        <is>
          <t>05/26/2021 03:26 PM</t>
        </is>
      </c>
      <c r="K280" s="28" t="n"/>
      <c r="L280" s="29" t="n"/>
      <c r="M280" s="28" t="n"/>
      <c r="N280" s="28" t="n"/>
      <c r="O280" s="28" t="n"/>
      <c r="P280" s="28" t="n"/>
      <c r="Q280" s="28" t="n"/>
      <c r="R280" s="30" t="n"/>
      <c r="S280" s="28" t="n"/>
    </row>
    <row r="281">
      <c r="A281" t="inlineStr">
        <is>
          <t>R1280</t>
        </is>
      </c>
      <c r="B281" t="inlineStr">
        <is>
          <t>Lawrence Campbell</t>
        </is>
      </c>
      <c r="C281" t="inlineStr">
        <is>
          <t>03/06/1969</t>
        </is>
      </c>
      <c r="D281" t="inlineStr">
        <is>
          <t>M</t>
        </is>
      </c>
      <c r="E281" t="inlineStr">
        <is>
          <t>(555) 462-5228</t>
        </is>
      </c>
      <c r="G281" t="inlineStr">
        <is>
          <t>Fairhaven, OH 45620</t>
        </is>
      </c>
      <c r="H281" t="inlineStr">
        <is>
          <t>self-pay</t>
        </is>
      </c>
      <c r="I281" t="inlineStr">
        <is>
          <t>06288542</t>
        </is>
      </c>
      <c r="J281" t="inlineStr">
        <is>
          <t>01/31/2020 09:51 AM</t>
        </is>
      </c>
      <c r="K281" s="28" t="n"/>
      <c r="L281" s="29" t="n"/>
      <c r="M281" s="28" t="n"/>
      <c r="N281" s="28" t="n"/>
      <c r="O281" s="28" t="n"/>
      <c r="P281" s="28" t="n"/>
      <c r="Q281" s="28" t="n"/>
      <c r="R281" s="30" t="n"/>
      <c r="S281" s="28" t="n"/>
    </row>
    <row r="282">
      <c r="A282" t="inlineStr">
        <is>
          <t>R1281</t>
        </is>
      </c>
      <c r="B282" t="inlineStr">
        <is>
          <t>anderson, kathryn</t>
        </is>
      </c>
      <c r="C282" t="inlineStr">
        <is>
          <t>12/17/2018</t>
        </is>
      </c>
      <c r="D282" t="inlineStr">
        <is>
          <t xml:space="preserve"> F</t>
        </is>
      </c>
      <c r="E282" t="inlineStr">
        <is>
          <t>+1 555 754 1845</t>
        </is>
      </c>
      <c r="F282" t="inlineStr">
        <is>
          <t>none</t>
        </is>
      </c>
      <c r="G282" t="inlineStr">
        <is>
          <t>Pine Hollow, OH 45640</t>
        </is>
      </c>
      <c r="H282" t="inlineStr">
        <is>
          <t>Self-Pay</t>
        </is>
      </c>
      <c r="I282" t="inlineStr">
        <is>
          <t>02649593</t>
        </is>
      </c>
      <c r="J282" t="inlineStr">
        <is>
          <t>2022-02-21 17:52:00</t>
        </is>
      </c>
      <c r="K282" s="28" t="n"/>
      <c r="L282" s="29" t="n"/>
      <c r="M282" s="28" t="n"/>
      <c r="N282" s="28" t="n"/>
      <c r="O282" s="28" t="n"/>
      <c r="P282" s="28" t="n"/>
      <c r="Q282" s="28" t="n"/>
      <c r="R282" s="30" t="n"/>
      <c r="S282" s="28" t="n"/>
    </row>
    <row r="283">
      <c r="A283" t="inlineStr">
        <is>
          <t>R1282</t>
        </is>
      </c>
      <c r="B283" t="inlineStr">
        <is>
          <t>WARD, KIMBERLY</t>
        </is>
      </c>
      <c r="C283" t="inlineStr">
        <is>
          <t>1990-10-11</t>
        </is>
      </c>
      <c r="D283" t="inlineStr">
        <is>
          <t xml:space="preserve"> F</t>
        </is>
      </c>
      <c r="E283" t="inlineStr">
        <is>
          <t>555-937-0011</t>
        </is>
      </c>
      <c r="G283" t="inlineStr">
        <is>
          <t>Cedar Ridge, OH 45720</t>
        </is>
      </c>
      <c r="H283" t="inlineStr">
        <is>
          <t>evergreen mutual insurance</t>
        </is>
      </c>
      <c r="I283" t="inlineStr">
        <is>
          <t>02547554</t>
        </is>
      </c>
      <c r="J283" t="inlineStr">
        <is>
          <t>2017-12-04 14:27:00</t>
        </is>
      </c>
      <c r="K283" s="28" t="n"/>
      <c r="L283" s="29" t="n"/>
      <c r="M283" s="28" t="n"/>
      <c r="N283" s="28" t="n"/>
      <c r="O283" s="28" t="n"/>
      <c r="P283" s="28" t="n"/>
      <c r="Q283" s="28" t="n"/>
      <c r="R283" s="30" t="n"/>
      <c r="S283" s="28" t="n"/>
    </row>
    <row r="284">
      <c r="A284" t="inlineStr">
        <is>
          <t>R1283</t>
        </is>
      </c>
      <c r="B284" t="inlineStr">
        <is>
          <t xml:space="preserve">  Rogers ,  Wei </t>
        </is>
      </c>
      <c r="C284" t="inlineStr">
        <is>
          <t>10/05/2000</t>
        </is>
      </c>
      <c r="D284" t="inlineStr">
        <is>
          <t>m</t>
        </is>
      </c>
      <c r="E284" t="inlineStr">
        <is>
          <t>555-585-7520</t>
        </is>
      </c>
      <c r="F284" t="inlineStr">
        <is>
          <t>wei.rogers94@example.com</t>
        </is>
      </c>
      <c r="G284" t="inlineStr">
        <is>
          <t>Bluestone, OH 45501-9586</t>
        </is>
      </c>
      <c r="H284" t="inlineStr">
        <is>
          <t>SELF PAY</t>
        </is>
      </c>
      <c r="I284" t="inlineStr">
        <is>
          <t>06530332</t>
        </is>
      </c>
      <c r="J284" t="inlineStr">
        <is>
          <t>02/21/2024 02:50 PM</t>
        </is>
      </c>
      <c r="K284" s="28" t="n"/>
      <c r="L284" s="29" t="n"/>
      <c r="M284" s="28" t="n"/>
      <c r="N284" s="28" t="n"/>
      <c r="O284" s="28" t="n"/>
      <c r="P284" s="28" t="n"/>
      <c r="Q284" s="28" t="n"/>
      <c r="R284" s="30" t="n"/>
      <c r="S284" s="28" t="n"/>
    </row>
    <row r="285">
      <c r="A285" t="inlineStr">
        <is>
          <t>R1284</t>
        </is>
      </c>
      <c r="B285" t="inlineStr">
        <is>
          <t>PORTER, GABRIEL</t>
        </is>
      </c>
      <c r="C285" t="inlineStr">
        <is>
          <t>02/24/1974</t>
        </is>
      </c>
      <c r="D285" t="inlineStr">
        <is>
          <t xml:space="preserve">M </t>
        </is>
      </c>
      <c r="E285" t="inlineStr">
        <is>
          <t>555-449-9479</t>
        </is>
      </c>
      <c r="F285" t="inlineStr">
        <is>
          <t>gabriel.porter50@example.com</t>
        </is>
      </c>
      <c r="G285" t="inlineStr">
        <is>
          <t>Pine Hollow, OH 45640</t>
        </is>
      </c>
      <c r="H285" t="inlineStr">
        <is>
          <t>Summit Choice PPO</t>
        </is>
      </c>
      <c r="I285" t="inlineStr">
        <is>
          <t>2973301</t>
        </is>
      </c>
      <c r="J285" t="inlineStr">
        <is>
          <t>2018-09-09 10:17:00</t>
        </is>
      </c>
      <c r="K285" s="28" t="n"/>
      <c r="L285" s="29" t="n"/>
      <c r="M285" s="28" t="n"/>
      <c r="N285" s="28" t="n"/>
      <c r="O285" s="28" t="n"/>
      <c r="P285" s="28" t="n"/>
      <c r="Q285" s="28" t="n"/>
      <c r="R285" s="30" t="n"/>
      <c r="S285" s="28" t="n"/>
    </row>
    <row r="286">
      <c r="A286" t="inlineStr">
        <is>
          <t>R1285</t>
        </is>
      </c>
      <c r="B286" t="inlineStr">
        <is>
          <t>Davis, Julie</t>
        </is>
      </c>
      <c r="C286" t="inlineStr">
        <is>
          <t>03.18.1947</t>
        </is>
      </c>
      <c r="D286" t="inlineStr">
        <is>
          <t>FEMALE</t>
        </is>
      </c>
      <c r="E286" t="inlineStr">
        <is>
          <t>(555) 836-6569</t>
        </is>
      </c>
      <c r="F286" t="inlineStr">
        <is>
          <t>julie.davis34@example.com</t>
        </is>
      </c>
      <c r="G286" t="inlineStr">
        <is>
          <t>Bluestone, OH 45501-2185</t>
        </is>
      </c>
      <c r="H286" t="inlineStr">
        <is>
          <t>medicare</t>
        </is>
      </c>
      <c r="I286" t="inlineStr">
        <is>
          <t>07407216</t>
        </is>
      </c>
      <c r="J286" t="inlineStr">
        <is>
          <t>2023-10-04 17:09:00</t>
        </is>
      </c>
      <c r="K286" s="28" t="n"/>
      <c r="L286" s="29" t="n"/>
      <c r="M286" s="28" t="n"/>
      <c r="N286" s="28" t="n"/>
      <c r="O286" s="28" t="n"/>
      <c r="P286" s="28" t="n"/>
      <c r="Q286" s="28" t="n"/>
      <c r="R286" s="30" t="n"/>
      <c r="S286" s="28" t="n"/>
    </row>
    <row r="287">
      <c r="A287" t="inlineStr">
        <is>
          <t>R1286</t>
        </is>
      </c>
      <c r="B287" t="inlineStr">
        <is>
          <t>WAGNER, JUSTIN</t>
        </is>
      </c>
      <c r="C287" t="inlineStr">
        <is>
          <t>1974-11-04</t>
        </is>
      </c>
      <c r="D287" t="inlineStr">
        <is>
          <t>m</t>
        </is>
      </c>
      <c r="F287" t="inlineStr">
        <is>
          <t>justin.wagner51@example.com</t>
        </is>
      </c>
      <c r="G287" t="inlineStr">
        <is>
          <t>Bluestone OH 45501</t>
        </is>
      </c>
      <c r="H287" t="inlineStr">
        <is>
          <t>Uninsured</t>
        </is>
      </c>
      <c r="I287" t="inlineStr">
        <is>
          <t>04372929</t>
        </is>
      </c>
      <c r="J287" t="inlineStr">
        <is>
          <t>2023-05-10 07:28:00</t>
        </is>
      </c>
      <c r="K287" s="28" t="n"/>
      <c r="L287" s="29" t="n"/>
      <c r="M287" s="28" t="n"/>
      <c r="N287" s="28" t="n"/>
      <c r="O287" s="28" t="n"/>
      <c r="P287" s="28" t="n"/>
      <c r="Q287" s="28" t="n"/>
      <c r="R287" s="30" t="n"/>
      <c r="S287" s="28" t="n"/>
    </row>
    <row r="288">
      <c r="A288" t="inlineStr">
        <is>
          <t>R1287</t>
        </is>
      </c>
      <c r="B288" t="inlineStr">
        <is>
          <t>Price, Jordan</t>
        </is>
      </c>
      <c r="C288" t="inlineStr">
        <is>
          <t>11/29/1998</t>
        </is>
      </c>
      <c r="D288" t="inlineStr">
        <is>
          <t>M</t>
        </is>
      </c>
      <c r="E288" t="inlineStr">
        <is>
          <t>5552826267</t>
        </is>
      </c>
      <c r="G288" t="inlineStr">
        <is>
          <t>Bluestone, OH 45502</t>
        </is>
      </c>
      <c r="H288" t="inlineStr">
        <is>
          <t>KEYSTONE HEALTH PARTNERS</t>
        </is>
      </c>
      <c r="I288" t="inlineStr">
        <is>
          <t>8964375</t>
        </is>
      </c>
      <c r="J288" t="inlineStr">
        <is>
          <t>12/22/2012 09:13 AM</t>
        </is>
      </c>
      <c r="K288" s="28" t="n"/>
      <c r="L288" s="29" t="n"/>
      <c r="M288" s="28" t="n"/>
      <c r="N288" s="28" t="n"/>
      <c r="O288" s="28" t="n"/>
      <c r="P288" s="28" t="n"/>
      <c r="Q288" s="28" t="n"/>
      <c r="R288" s="30" t="n"/>
      <c r="S288" s="28" t="n"/>
    </row>
    <row r="289">
      <c r="A289" t="inlineStr">
        <is>
          <t>R1288</t>
        </is>
      </c>
      <c r="B289" t="inlineStr">
        <is>
          <t>Richardson, Philip</t>
        </is>
      </c>
      <c r="C289" t="inlineStr">
        <is>
          <t>1956-08-05</t>
        </is>
      </c>
      <c r="D289" t="inlineStr">
        <is>
          <t xml:space="preserve">M </t>
        </is>
      </c>
      <c r="E289" t="inlineStr">
        <is>
          <t>(555) 699-4127</t>
        </is>
      </c>
      <c r="F289" t="inlineStr">
        <is>
          <t xml:space="preserve"> philip.richardson91@example.com </t>
        </is>
      </c>
      <c r="G289" t="inlineStr">
        <is>
          <t>Bluestone, OH 45503</t>
        </is>
      </c>
      <c r="H289" t="inlineStr">
        <is>
          <t>Silverline MA</t>
        </is>
      </c>
      <c r="I289" t="inlineStr">
        <is>
          <t>MRN-00504665</t>
        </is>
      </c>
      <c r="J289" t="inlineStr">
        <is>
          <t>07/14/2021 05:51 PM</t>
        </is>
      </c>
      <c r="K289" s="28" t="n"/>
      <c r="L289" s="29" t="n"/>
      <c r="M289" s="28" t="n"/>
      <c r="N289" s="28" t="n"/>
      <c r="O289" s="28" t="n"/>
      <c r="P289" s="28" t="n"/>
      <c r="Q289" s="28" t="n"/>
      <c r="R289" s="30" t="n"/>
      <c r="S289" s="28" t="n"/>
    </row>
    <row r="290">
      <c r="A290" t="inlineStr">
        <is>
          <t>R1289</t>
        </is>
      </c>
      <c r="B290" t="inlineStr">
        <is>
          <t>Nelson, Noah</t>
        </is>
      </c>
      <c r="C290" t="inlineStr">
        <is>
          <t>25-Oct-1989</t>
        </is>
      </c>
      <c r="D290" t="inlineStr">
        <is>
          <t>m</t>
        </is>
      </c>
      <c r="E290" t="inlineStr">
        <is>
          <t>555-828-1354</t>
        </is>
      </c>
      <c r="F290" t="inlineStr">
        <is>
          <t>noah.nelson24@example.com</t>
        </is>
      </c>
      <c r="G290" t="inlineStr">
        <is>
          <t>Bluestone, OH 45501</t>
        </is>
      </c>
      <c r="H290" t="inlineStr">
        <is>
          <t>Summit PPO</t>
        </is>
      </c>
      <c r="I290" t="inlineStr">
        <is>
          <t>08317145</t>
        </is>
      </c>
      <c r="J290" t="inlineStr">
        <is>
          <t>06/22/2021 07:33 AM</t>
        </is>
      </c>
      <c r="K290" s="28" t="n"/>
      <c r="L290" s="29" t="n"/>
      <c r="M290" s="28" t="n"/>
      <c r="N290" s="28" t="n"/>
      <c r="O290" s="28" t="n"/>
      <c r="P290" s="28" t="n"/>
      <c r="Q290" s="28" t="n"/>
      <c r="R290" s="30" t="n"/>
      <c r="S290" s="28" t="n"/>
    </row>
    <row r="291">
      <c r="A291" t="inlineStr">
        <is>
          <t>R1290</t>
        </is>
      </c>
      <c r="B291" t="inlineStr">
        <is>
          <t>Peters, Janice</t>
        </is>
      </c>
      <c r="C291" t="inlineStr">
        <is>
          <t>01.20.1998</t>
        </is>
      </c>
      <c r="D291" t="inlineStr">
        <is>
          <t>f</t>
        </is>
      </c>
      <c r="E291" t="inlineStr">
        <is>
          <t>5552940043</t>
        </is>
      </c>
      <c r="F291" t="inlineStr">
        <is>
          <t>janice.peters55@example.com</t>
        </is>
      </c>
      <c r="G291" t="inlineStr">
        <is>
          <t>Lakeview Heights, OH 45510-2717</t>
        </is>
      </c>
      <c r="H291" t="inlineStr">
        <is>
          <t>SELF PAY</t>
        </is>
      </c>
      <c r="I291" t="inlineStr">
        <is>
          <t>06109281</t>
        </is>
      </c>
      <c r="J291" t="inlineStr">
        <is>
          <t>2013-02-19 09:04:00</t>
        </is>
      </c>
      <c r="K291" s="28" t="n"/>
      <c r="L291" s="29" t="n"/>
      <c r="M291" s="28" t="n"/>
      <c r="N291" s="28" t="n"/>
      <c r="O291" s="28" t="n"/>
      <c r="P291" s="28" t="n"/>
      <c r="Q291" s="28" t="n"/>
      <c r="R291" s="30" t="n"/>
      <c r="S291" s="28" t="n"/>
    </row>
    <row r="292">
      <c r="A292" t="inlineStr">
        <is>
          <t>R1291</t>
        </is>
      </c>
      <c r="B292" t="inlineStr">
        <is>
          <t>Hill, Debra</t>
        </is>
      </c>
      <c r="C292" t="inlineStr">
        <is>
          <t>2006-11-22</t>
        </is>
      </c>
      <c r="D292" t="inlineStr">
        <is>
          <t>F</t>
        </is>
      </c>
      <c r="E292" t="inlineStr">
        <is>
          <t>555-452-3580</t>
        </is>
      </c>
      <c r="G292" t="inlineStr">
        <is>
          <t>Bluestone, OH 45502</t>
        </is>
      </c>
      <c r="H292" t="inlineStr">
        <is>
          <t>Summit PPO</t>
        </is>
      </c>
      <c r="I292" t="inlineStr">
        <is>
          <t>7676806</t>
        </is>
      </c>
      <c r="J292" t="inlineStr">
        <is>
          <t>2020-01-06 18:42:00</t>
        </is>
      </c>
      <c r="K292" s="28" t="n"/>
      <c r="L292" s="29" t="n"/>
      <c r="M292" s="28" t="n"/>
      <c r="N292" s="28" t="n"/>
      <c r="O292" s="28" t="n"/>
      <c r="P292" s="28" t="n"/>
      <c r="Q292" s="28" t="n"/>
      <c r="R292" s="30" t="n"/>
      <c r="S292" s="28" t="n"/>
    </row>
    <row r="293">
      <c r="A293" t="inlineStr">
        <is>
          <t>R1292</t>
        </is>
      </c>
      <c r="B293" t="inlineStr">
        <is>
          <t>Teresa Green</t>
        </is>
      </c>
      <c r="C293" t="inlineStr">
        <is>
          <t>07/14/1959</t>
        </is>
      </c>
      <c r="D293" t="inlineStr">
        <is>
          <t xml:space="preserve"> F</t>
        </is>
      </c>
      <c r="E293" t="inlineStr">
        <is>
          <t>555.717.9944</t>
        </is>
      </c>
      <c r="F293" t="inlineStr">
        <is>
          <t>teresa.green82@example.com</t>
        </is>
      </c>
      <c r="G293" t="inlineStr">
        <is>
          <t>BLUESTONE, OH 45502</t>
        </is>
      </c>
      <c r="H293" t="inlineStr">
        <is>
          <t>MEDICARE</t>
        </is>
      </c>
      <c r="I293" t="inlineStr">
        <is>
          <t>08307873</t>
        </is>
      </c>
      <c r="J293" t="inlineStr">
        <is>
          <t>05/28/2021 09:10 AM</t>
        </is>
      </c>
      <c r="K293" s="28" t="n"/>
      <c r="L293" s="29" t="n"/>
      <c r="M293" s="28" t="n"/>
      <c r="N293" s="28" t="n"/>
      <c r="O293" s="28" t="n"/>
      <c r="P293" s="28" t="n"/>
      <c r="Q293" s="28" t="n"/>
      <c r="R293" s="30" t="n"/>
      <c r="S293" s="28" t="n"/>
    </row>
    <row r="294">
      <c r="A294" t="inlineStr">
        <is>
          <t>R1293</t>
        </is>
      </c>
      <c r="B294" t="inlineStr">
        <is>
          <t>MENDEZ, AHMED</t>
        </is>
      </c>
      <c r="C294" t="inlineStr">
        <is>
          <t>05/17/1957</t>
        </is>
      </c>
      <c r="D294" t="inlineStr">
        <is>
          <t>m</t>
        </is>
      </c>
      <c r="E294" t="inlineStr">
        <is>
          <t>(555) 245-0134</t>
        </is>
      </c>
      <c r="F294" t="inlineStr">
        <is>
          <t>ahmed.mendez12@example.com</t>
        </is>
      </c>
      <c r="G294" t="inlineStr">
        <is>
          <t>Oak Glen, OH 45730</t>
        </is>
      </c>
      <c r="H294" t="inlineStr">
        <is>
          <t>Silverline MA</t>
        </is>
      </c>
      <c r="I294" t="inlineStr">
        <is>
          <t>06294115</t>
        </is>
      </c>
      <c r="J294" t="inlineStr">
        <is>
          <t>12/06/2008 04:07 PM</t>
        </is>
      </c>
      <c r="K294" s="28" t="n"/>
      <c r="L294" s="29" t="n"/>
      <c r="M294" s="28" t="n"/>
      <c r="N294" s="28" t="n"/>
      <c r="O294" s="28" t="n"/>
      <c r="P294" s="28" t="n"/>
      <c r="Q294" s="28" t="n"/>
      <c r="R294" s="30" t="n"/>
      <c r="S294" s="28" t="n"/>
    </row>
    <row r="295">
      <c r="A295" t="inlineStr">
        <is>
          <t>R1294</t>
        </is>
      </c>
      <c r="B295" t="inlineStr">
        <is>
          <t>Payne, Diane</t>
        </is>
      </c>
      <c r="C295" t="inlineStr">
        <is>
          <t>05/27/1927</t>
        </is>
      </c>
      <c r="D295" t="inlineStr">
        <is>
          <t xml:space="preserve"> F</t>
        </is>
      </c>
      <c r="E295" t="inlineStr">
        <is>
          <t>555-750-6972</t>
        </is>
      </c>
      <c r="F295" t="inlineStr">
        <is>
          <t>diane.payne93@example.com</t>
        </is>
      </c>
      <c r="G295" t="inlineStr">
        <is>
          <t>Riverbend, OH 45545</t>
        </is>
      </c>
      <c r="H295" t="inlineStr">
        <is>
          <t>Silverline Medicare Advantage</t>
        </is>
      </c>
      <c r="I295" t="inlineStr">
        <is>
          <t>4265950</t>
        </is>
      </c>
      <c r="J295" t="inlineStr">
        <is>
          <t>01/18/2014 02:11 PM</t>
        </is>
      </c>
      <c r="K295" s="28" t="n"/>
      <c r="L295" s="29" t="n"/>
      <c r="M295" s="28" t="n"/>
      <c r="N295" s="28" t="n"/>
      <c r="O295" s="28" t="n"/>
      <c r="P295" s="28" t="n"/>
      <c r="Q295" s="28" t="n"/>
      <c r="R295" s="30" t="n"/>
      <c r="S295" s="28" t="n"/>
    </row>
    <row r="296">
      <c r="A296" t="inlineStr">
        <is>
          <t>R1295</t>
        </is>
      </c>
      <c r="B296" t="inlineStr">
        <is>
          <t>Roberts, Shirley</t>
        </is>
      </c>
      <c r="C296" t="inlineStr">
        <is>
          <t>03/08/1991</t>
        </is>
      </c>
      <c r="D296" t="inlineStr">
        <is>
          <t>Female</t>
        </is>
      </c>
      <c r="E296" t="inlineStr">
        <is>
          <t>(555) 513-3271</t>
        </is>
      </c>
      <c r="G296" t="inlineStr">
        <is>
          <t>Bluestone, OH 45502</t>
        </is>
      </c>
      <c r="H296" t="inlineStr">
        <is>
          <t>medicaid</t>
        </is>
      </c>
      <c r="I296" t="inlineStr">
        <is>
          <t>8710159</t>
        </is>
      </c>
      <c r="J296" t="inlineStr">
        <is>
          <t>09/11/2013 04:18 PM</t>
        </is>
      </c>
      <c r="K296" s="28" t="n"/>
      <c r="L296" s="29" t="n"/>
      <c r="M296" s="28" t="n"/>
      <c r="N296" s="28" t="n"/>
      <c r="O296" s="28" t="n"/>
      <c r="P296" s="28" t="n"/>
      <c r="Q296" s="28" t="n"/>
      <c r="R296" s="30" t="n"/>
      <c r="S296" s="28" t="n"/>
    </row>
    <row r="297">
      <c r="A297" t="inlineStr">
        <is>
          <t>R1296</t>
        </is>
      </c>
      <c r="B297" t="inlineStr">
        <is>
          <t>Wright, Joe</t>
        </is>
      </c>
      <c r="C297" t="inlineStr">
        <is>
          <t>01/02/1966</t>
        </is>
      </c>
      <c r="D297" t="inlineStr">
        <is>
          <t>Male</t>
        </is>
      </c>
      <c r="E297" t="inlineStr">
        <is>
          <t>555-936-5734</t>
        </is>
      </c>
      <c r="F297" t="inlineStr">
        <is>
          <t>joe.wright88@example.com</t>
        </is>
      </c>
      <c r="G297" t="inlineStr">
        <is>
          <t>Lakeview Heights OH 45510</t>
        </is>
      </c>
      <c r="H297" t="inlineStr">
        <is>
          <t>medicaid</t>
        </is>
      </c>
      <c r="I297" t="inlineStr">
        <is>
          <t>07004771</t>
        </is>
      </c>
      <c r="J297" t="inlineStr">
        <is>
          <t>08/05/2022 10:30 AM</t>
        </is>
      </c>
      <c r="K297" s="28" t="n"/>
      <c r="L297" s="29" t="n"/>
      <c r="M297" s="28" t="n"/>
      <c r="N297" s="28" t="n"/>
      <c r="O297" s="28" t="n"/>
      <c r="P297" s="28" t="n"/>
      <c r="Q297" s="28" t="n"/>
      <c r="R297" s="30" t="n"/>
      <c r="S297" s="28" t="n"/>
    </row>
    <row r="298">
      <c r="A298" t="inlineStr">
        <is>
          <t>R1297</t>
        </is>
      </c>
      <c r="B298" t="inlineStr">
        <is>
          <t>Willis, Jordan</t>
        </is>
      </c>
      <c r="C298" t="inlineStr">
        <is>
          <t>2014-04-13</t>
        </is>
      </c>
      <c r="D298" t="inlineStr">
        <is>
          <t>MALE</t>
        </is>
      </c>
      <c r="E298" t="inlineStr">
        <is>
          <t>+1 555 248 0999</t>
        </is>
      </c>
      <c r="F298" t="inlineStr">
        <is>
          <t>N/A</t>
        </is>
      </c>
      <c r="G298" t="inlineStr">
        <is>
          <t>Bluestone, OH 45503</t>
        </is>
      </c>
      <c r="H298" t="inlineStr">
        <is>
          <t>KEYSTONE HEALTH PARTNERS</t>
        </is>
      </c>
      <c r="I298" t="inlineStr">
        <is>
          <t>9457046</t>
        </is>
      </c>
      <c r="J298" t="inlineStr">
        <is>
          <t>2019-02-13 07:57:00</t>
        </is>
      </c>
      <c r="K298" s="28" t="n"/>
      <c r="L298" s="29" t="n"/>
      <c r="M298" s="28" t="n"/>
      <c r="N298" s="28" t="n"/>
      <c r="O298" s="28" t="n"/>
      <c r="P298" s="28" t="n"/>
      <c r="Q298" s="28" t="n"/>
      <c r="R298" s="30" t="n"/>
      <c r="S298" s="28" t="n"/>
    </row>
    <row r="299">
      <c r="A299" t="inlineStr">
        <is>
          <t>R1298</t>
        </is>
      </c>
      <c r="B299" t="inlineStr">
        <is>
          <t>Lori Clark</t>
        </is>
      </c>
      <c r="C299" t="inlineStr">
        <is>
          <t>1995-05-04</t>
        </is>
      </c>
      <c r="D299" t="inlineStr">
        <is>
          <t>FEMALE</t>
        </is>
      </c>
      <c r="E299" t="inlineStr">
        <is>
          <t>555-308-1506</t>
        </is>
      </c>
      <c r="G299" t="inlineStr">
        <is>
          <t>Riverbend, OH 45545-9539</t>
        </is>
      </c>
      <c r="H299" t="inlineStr">
        <is>
          <t>Medicaid</t>
        </is>
      </c>
      <c r="I299" t="inlineStr">
        <is>
          <t>MRN-03026415</t>
        </is>
      </c>
      <c r="J299" t="inlineStr">
        <is>
          <t>2024-04-10 15:54:00</t>
        </is>
      </c>
      <c r="K299" s="28" t="n"/>
      <c r="L299" s="29" t="n"/>
      <c r="M299" s="28" t="n"/>
      <c r="N299" s="28" t="n"/>
      <c r="O299" s="28" t="n"/>
      <c r="P299" s="28" t="n"/>
      <c r="Q299" s="28" t="n"/>
      <c r="R299" s="30" t="n"/>
      <c r="S299" s="28" t="n"/>
    </row>
    <row r="300">
      <c r="A300" t="inlineStr">
        <is>
          <t>R1299</t>
        </is>
      </c>
      <c r="B300" t="inlineStr">
        <is>
          <t>West, Jessica</t>
        </is>
      </c>
      <c r="C300" t="inlineStr">
        <is>
          <t>11/24/2006</t>
        </is>
      </c>
      <c r="D300" t="inlineStr">
        <is>
          <t>FEMALE</t>
        </is>
      </c>
      <c r="E300" t="inlineStr">
        <is>
          <t>555-295-5466</t>
        </is>
      </c>
      <c r="F300" t="inlineStr">
        <is>
          <t>N/A</t>
        </is>
      </c>
      <c r="G300" t="inlineStr">
        <is>
          <t>LAKEVIEW HEIGHTS, OH 45510</t>
        </is>
      </c>
      <c r="H300" t="inlineStr">
        <is>
          <t>Summit PPO</t>
        </is>
      </c>
      <c r="I300" t="inlineStr">
        <is>
          <t>05957615</t>
        </is>
      </c>
      <c r="J300" t="inlineStr">
        <is>
          <t>2021-07-17 16:28:00</t>
        </is>
      </c>
      <c r="K300" s="28" t="n"/>
      <c r="L300" s="29" t="n"/>
      <c r="M300" s="28" t="n"/>
      <c r="N300" s="28" t="n"/>
      <c r="O300" s="28" t="n"/>
      <c r="P300" s="28" t="n"/>
      <c r="Q300" s="28" t="n"/>
      <c r="R300" s="30" t="n"/>
      <c r="S300" s="28" t="n"/>
    </row>
    <row r="301">
      <c r="A301" t="inlineStr">
        <is>
          <t>R1300</t>
        </is>
      </c>
      <c r="B301" t="inlineStr">
        <is>
          <t>Ramirez, Wayne</t>
        </is>
      </c>
      <c r="C301" t="inlineStr">
        <is>
          <t>10/22/1943</t>
        </is>
      </c>
      <c r="D301" t="inlineStr">
        <is>
          <t>Male</t>
        </is>
      </c>
      <c r="F301" t="inlineStr">
        <is>
          <t>wayne.ramirez28@example.com</t>
        </is>
      </c>
      <c r="G301" t="inlineStr">
        <is>
          <t>Riverbend, OH 45545</t>
        </is>
      </c>
      <c r="H301" t="inlineStr">
        <is>
          <t>Medicare Part A</t>
        </is>
      </c>
      <c r="I301" t="inlineStr">
        <is>
          <t>01678724</t>
        </is>
      </c>
      <c r="J301" t="inlineStr">
        <is>
          <t>02/02/2023 04:20 PM</t>
        </is>
      </c>
      <c r="K301" s="28" t="n"/>
      <c r="L301" s="29" t="n"/>
      <c r="M301" s="28" t="n"/>
      <c r="N301" s="28" t="n"/>
      <c r="O301" s="28" t="n"/>
      <c r="P301" s="28" t="n"/>
      <c r="Q301" s="28" t="n"/>
      <c r="R301" s="30" t="n"/>
      <c r="S301" s="28" t="n"/>
    </row>
    <row r="302">
      <c r="A302" t="inlineStr">
        <is>
          <t>R1301</t>
        </is>
      </c>
      <c r="B302" t="inlineStr">
        <is>
          <t>CARPENTER, ANN</t>
        </is>
      </c>
      <c r="C302" t="inlineStr">
        <is>
          <t>23-Apr-2016</t>
        </is>
      </c>
      <c r="D302" t="inlineStr">
        <is>
          <t>Female</t>
        </is>
      </c>
      <c r="E302" t="inlineStr">
        <is>
          <t>+1 555 919 4295</t>
        </is>
      </c>
      <c r="F302" t="inlineStr">
        <is>
          <t>N/A</t>
        </is>
      </c>
      <c r="G302" t="inlineStr">
        <is>
          <t>Bluestone, OH 45501</t>
        </is>
      </c>
      <c r="H302" t="inlineStr">
        <is>
          <t>Keystone</t>
        </is>
      </c>
      <c r="I302" t="inlineStr">
        <is>
          <t>956886</t>
        </is>
      </c>
      <c r="J302" t="inlineStr">
        <is>
          <t>12/24/2023 03:26 PM</t>
        </is>
      </c>
      <c r="K302" s="28" t="n"/>
      <c r="L302" s="29" t="n"/>
      <c r="M302" s="28" t="n"/>
      <c r="N302" s="28" t="n"/>
      <c r="O302" s="28" t="n"/>
      <c r="P302" s="28" t="n"/>
      <c r="Q302" s="28" t="n"/>
      <c r="R302" s="30" t="n"/>
      <c r="S302" s="28" t="n"/>
    </row>
    <row r="303">
      <c r="A303" t="inlineStr">
        <is>
          <t>R1302</t>
        </is>
      </c>
      <c r="B303" t="inlineStr">
        <is>
          <t>WALKER, JESSE</t>
        </is>
      </c>
      <c r="C303" t="inlineStr">
        <is>
          <t>21-Jun-2019</t>
        </is>
      </c>
      <c r="D303" t="inlineStr">
        <is>
          <t>Male</t>
        </is>
      </c>
      <c r="E303" t="inlineStr">
        <is>
          <t>555-696-9600</t>
        </is>
      </c>
      <c r="G303" t="inlineStr">
        <is>
          <t>Bluestone, OH 45502</t>
        </is>
      </c>
      <c r="H303" t="inlineStr">
        <is>
          <t>EVERGREEN MUTUAL INS</t>
        </is>
      </c>
      <c r="I303" t="inlineStr">
        <is>
          <t>4887094</t>
        </is>
      </c>
      <c r="J303" t="inlineStr">
        <is>
          <t>2023-02-21 09:18:00</t>
        </is>
      </c>
      <c r="K303" s="28" t="n"/>
      <c r="L303" s="29" t="n"/>
      <c r="M303" s="28" t="n"/>
      <c r="N303" s="28" t="n"/>
      <c r="O303" s="28" t="n"/>
      <c r="P303" s="28" t="n"/>
      <c r="Q303" s="28" t="n"/>
      <c r="R303" s="30" t="n"/>
      <c r="S303" s="28" t="n"/>
    </row>
    <row r="304">
      <c r="A304" t="inlineStr">
        <is>
          <t>R1303</t>
        </is>
      </c>
      <c r="B304" t="inlineStr">
        <is>
          <t>Tran, Russell</t>
        </is>
      </c>
      <c r="C304" t="inlineStr">
        <is>
          <t>08/27/1969</t>
        </is>
      </c>
      <c r="D304" t="inlineStr">
        <is>
          <t>Male</t>
        </is>
      </c>
      <c r="E304" t="inlineStr">
        <is>
          <t>555-794-8931</t>
        </is>
      </c>
      <c r="F304" t="inlineStr">
        <is>
          <t>russell.tran13@example.com</t>
        </is>
      </c>
      <c r="G304" t="inlineStr">
        <is>
          <t>Lakeview Heights, OH 45510</t>
        </is>
      </c>
      <c r="H304" t="inlineStr">
        <is>
          <t>evergreen mutual insurance</t>
        </is>
      </c>
      <c r="I304" t="inlineStr">
        <is>
          <t>MRN-07403992</t>
        </is>
      </c>
      <c r="J304" t="inlineStr">
        <is>
          <t>05/05/2016 10:42 AM</t>
        </is>
      </c>
      <c r="K304" s="28" t="n"/>
      <c r="L304" s="29" t="n"/>
      <c r="M304" s="28" t="n"/>
      <c r="N304" s="28" t="n"/>
      <c r="O304" s="28" t="n"/>
      <c r="P304" s="28" t="n"/>
      <c r="Q304" s="28" t="n"/>
      <c r="R304" s="30" t="n"/>
      <c r="S304" s="28" t="n"/>
    </row>
    <row r="305">
      <c r="A305" t="inlineStr">
        <is>
          <t>R1304</t>
        </is>
      </c>
      <c r="B305" t="inlineStr">
        <is>
          <t>Matthews, Isabella</t>
        </is>
      </c>
      <c r="C305" t="inlineStr">
        <is>
          <t>05/05/1949</t>
        </is>
      </c>
      <c r="D305" t="inlineStr">
        <is>
          <t>f</t>
        </is>
      </c>
      <c r="E305" t="inlineStr">
        <is>
          <t>555-343-5690</t>
        </is>
      </c>
      <c r="F305" t="inlineStr">
        <is>
          <t>isabella.matthews33@example.com</t>
        </is>
      </c>
      <c r="G305" t="inlineStr">
        <is>
          <t>Bluestone OH 45503</t>
        </is>
      </c>
      <c r="H305" t="inlineStr">
        <is>
          <t>KEYSTONE HEALTH PARTNERS</t>
        </is>
      </c>
      <c r="I305" t="inlineStr">
        <is>
          <t>03481967</t>
        </is>
      </c>
      <c r="J305" t="inlineStr">
        <is>
          <t>2019-04-24 08:54:00</t>
        </is>
      </c>
      <c r="K305" s="28" t="n"/>
      <c r="L305" s="29" t="n"/>
      <c r="M305" s="28" t="n"/>
      <c r="N305" s="28" t="n"/>
      <c r="O305" s="28" t="n"/>
      <c r="P305" s="28" t="n"/>
      <c r="Q305" s="28" t="n"/>
      <c r="R305" s="30" t="n"/>
      <c r="S305" s="28" t="n"/>
    </row>
    <row r="306">
      <c r="A306" t="inlineStr">
        <is>
          <t>R1305</t>
        </is>
      </c>
      <c r="B306" t="inlineStr">
        <is>
          <t>Marshall, Helen</t>
        </is>
      </c>
      <c r="C306" t="inlineStr">
        <is>
          <t>12/22/1994</t>
        </is>
      </c>
      <c r="D306" t="inlineStr">
        <is>
          <t>f</t>
        </is>
      </c>
      <c r="E306" t="inlineStr">
        <is>
          <t>(555) 509-2345</t>
        </is>
      </c>
      <c r="F306" t="inlineStr">
        <is>
          <t xml:space="preserve"> helen.marshall56@example.com </t>
        </is>
      </c>
      <c r="G306" t="inlineStr">
        <is>
          <t>Bluestone, OH 45502</t>
        </is>
      </c>
      <c r="H306" t="inlineStr">
        <is>
          <t>STATE MEDICAID</t>
        </is>
      </c>
      <c r="I306" t="inlineStr">
        <is>
          <t>07360613</t>
        </is>
      </c>
      <c r="J306" t="inlineStr">
        <is>
          <t>06/04/2022 12:22 PM</t>
        </is>
      </c>
      <c r="K306" s="28" t="n"/>
      <c r="L306" s="29" t="n"/>
      <c r="M306" s="28" t="n"/>
      <c r="N306" s="28" t="n"/>
      <c r="O306" s="28" t="n"/>
      <c r="P306" s="28" t="n"/>
      <c r="Q306" s="28" t="n"/>
      <c r="R306" s="30" t="n"/>
      <c r="S306" s="28" t="n"/>
    </row>
    <row r="307">
      <c r="A307" t="inlineStr">
        <is>
          <t>R1306</t>
        </is>
      </c>
      <c r="B307" t="inlineStr">
        <is>
          <t>COLEMAN, SHARON</t>
        </is>
      </c>
      <c r="C307" t="inlineStr">
        <is>
          <t>2013-10-04</t>
        </is>
      </c>
      <c r="D307" t="inlineStr">
        <is>
          <t>F</t>
        </is>
      </c>
      <c r="E307" t="inlineStr">
        <is>
          <t>5558783463</t>
        </is>
      </c>
      <c r="F307" t="inlineStr">
        <is>
          <t>none</t>
        </is>
      </c>
      <c r="G307" t="inlineStr">
        <is>
          <t>CEDAR RIDGE, OH 45720</t>
        </is>
      </c>
      <c r="H307" t="inlineStr">
        <is>
          <t>EVERGREEN MUTUAL INS</t>
        </is>
      </c>
      <c r="I307" t="inlineStr">
        <is>
          <t>02542087</t>
        </is>
      </c>
      <c r="J307" t="inlineStr">
        <is>
          <t>05/13/2023 11:25 AM</t>
        </is>
      </c>
      <c r="K307" s="28" t="n"/>
      <c r="L307" s="29" t="n"/>
      <c r="M307" s="28" t="n"/>
      <c r="N307" s="28" t="n"/>
      <c r="O307" s="28" t="n"/>
      <c r="P307" s="28" t="n"/>
      <c r="Q307" s="28" t="n"/>
      <c r="R307" s="30" t="n"/>
      <c r="S307" s="28" t="n"/>
    </row>
    <row r="308">
      <c r="A308" t="inlineStr">
        <is>
          <t>R1307</t>
        </is>
      </c>
      <c r="B308" t="inlineStr">
        <is>
          <t>sullivan, kayla</t>
        </is>
      </c>
      <c r="C308" t="inlineStr">
        <is>
          <t>03/30/1971</t>
        </is>
      </c>
      <c r="D308" t="inlineStr">
        <is>
          <t>F</t>
        </is>
      </c>
      <c r="E308" t="inlineStr">
        <is>
          <t>(555) 364-1182</t>
        </is>
      </c>
      <c r="F308" t="inlineStr">
        <is>
          <t>kayla.sullivan71@example.com</t>
        </is>
      </c>
      <c r="G308" t="inlineStr">
        <is>
          <t>Bluestone, OH 45501</t>
        </is>
      </c>
      <c r="H308" t="inlineStr">
        <is>
          <t>Summit Choice</t>
        </is>
      </c>
      <c r="I308" t="inlineStr">
        <is>
          <t>05155556</t>
        </is>
      </c>
      <c r="J308" t="inlineStr">
        <is>
          <t>2023-06-01 14:36:00</t>
        </is>
      </c>
      <c r="K308" s="28" t="n"/>
      <c r="L308" s="29" t="n"/>
      <c r="M308" s="28" t="n"/>
      <c r="N308" s="28" t="n"/>
      <c r="O308" s="28" t="n"/>
      <c r="P308" s="28" t="n"/>
      <c r="Q308" s="28" t="n"/>
      <c r="R308" s="30" t="n"/>
      <c r="S308" s="28" t="n"/>
    </row>
    <row r="309">
      <c r="A309" t="inlineStr">
        <is>
          <t>R1308</t>
        </is>
      </c>
      <c r="B309" t="inlineStr">
        <is>
          <t>Adams, Kathleen</t>
        </is>
      </c>
      <c r="C309" t="inlineStr">
        <is>
          <t>2/4/1999</t>
        </is>
      </c>
      <c r="D309" t="inlineStr">
        <is>
          <t>Female</t>
        </is>
      </c>
      <c r="E309" t="inlineStr">
        <is>
          <t>+1 555 627 8064</t>
        </is>
      </c>
      <c r="F309" t="inlineStr">
        <is>
          <t>kathleen.adams29@example.com</t>
        </is>
      </c>
      <c r="G309" t="inlineStr">
        <is>
          <t>ASHBY FALLS, OH 45610</t>
        </is>
      </c>
      <c r="H309" t="inlineStr">
        <is>
          <t>medicaid</t>
        </is>
      </c>
      <c r="I309" t="inlineStr">
        <is>
          <t>03502069</t>
        </is>
      </c>
      <c r="J309" t="inlineStr">
        <is>
          <t>2021-10-24 18:52:00</t>
        </is>
      </c>
      <c r="K309" s="28" t="n"/>
      <c r="L309" s="29" t="n"/>
      <c r="M309" s="28" t="n"/>
      <c r="N309" s="28" t="n"/>
      <c r="O309" s="28" t="n"/>
      <c r="P309" s="28" t="n"/>
      <c r="Q309" s="28" t="n"/>
      <c r="R309" s="30" t="n"/>
      <c r="S309" s="28" t="n"/>
    </row>
    <row r="310">
      <c r="A310" t="inlineStr">
        <is>
          <t>R1309</t>
        </is>
      </c>
      <c r="B310" t="inlineStr">
        <is>
          <t>Wayne Freeman</t>
        </is>
      </c>
      <c r="C310" t="inlineStr">
        <is>
          <t>09/02/1956</t>
        </is>
      </c>
      <c r="D310" t="inlineStr">
        <is>
          <t>m</t>
        </is>
      </c>
      <c r="E310" t="inlineStr">
        <is>
          <t>(555) 449-3334</t>
        </is>
      </c>
      <c r="F310" t="inlineStr">
        <is>
          <t>N/A</t>
        </is>
      </c>
      <c r="G310" t="inlineStr">
        <is>
          <t>Granite Springs, OH 45750-1949</t>
        </is>
      </c>
      <c r="H310" t="inlineStr">
        <is>
          <t>Medicare Part A</t>
        </is>
      </c>
      <c r="I310" t="inlineStr">
        <is>
          <t>00326186</t>
        </is>
      </c>
      <c r="J310" t="inlineStr">
        <is>
          <t>2023-07-05 16:05:00</t>
        </is>
      </c>
      <c r="K310" s="28" t="n"/>
      <c r="L310" s="29" t="n"/>
      <c r="M310" s="28" t="n"/>
      <c r="N310" s="28" t="n"/>
      <c r="O310" s="28" t="n"/>
      <c r="P310" s="28" t="n"/>
      <c r="Q310" s="28" t="n"/>
      <c r="R310" s="30" t="n"/>
      <c r="S310" s="28" t="n"/>
    </row>
    <row r="311">
      <c r="A311" t="inlineStr">
        <is>
          <t>R1310</t>
        </is>
      </c>
      <c r="B311" t="inlineStr">
        <is>
          <t>Davis, Danielle</t>
        </is>
      </c>
      <c r="C311" t="inlineStr">
        <is>
          <t>02/03/1951</t>
        </is>
      </c>
      <c r="D311" t="inlineStr">
        <is>
          <t>Female</t>
        </is>
      </c>
      <c r="E311" t="inlineStr">
        <is>
          <t>555-218-1576</t>
        </is>
      </c>
      <c r="F311" t="inlineStr">
        <is>
          <t>N/A</t>
        </is>
      </c>
      <c r="G311" t="inlineStr">
        <is>
          <t>Cedar Ridge, OH 45720</t>
        </is>
      </c>
      <c r="H311" t="inlineStr">
        <is>
          <t>MEDICARE</t>
        </is>
      </c>
      <c r="I311" t="inlineStr">
        <is>
          <t>MRN-09111135</t>
        </is>
      </c>
      <c r="J311" t="inlineStr">
        <is>
          <t>2023-10-11 18:43:00</t>
        </is>
      </c>
      <c r="K311" s="28" t="n"/>
      <c r="L311" s="29" t="n"/>
      <c r="M311" s="28" t="n"/>
      <c r="N311" s="28" t="n"/>
      <c r="O311" s="28" t="n"/>
      <c r="P311" s="28" t="n"/>
      <c r="Q311" s="28" t="n"/>
      <c r="R311" s="30" t="n"/>
      <c r="S311" s="28" t="n"/>
    </row>
    <row r="312">
      <c r="A312" t="inlineStr">
        <is>
          <t>R1311</t>
        </is>
      </c>
      <c r="B312" t="inlineStr">
        <is>
          <t>Frank Guzman</t>
        </is>
      </c>
      <c r="C312" t="inlineStr">
        <is>
          <t>1951-08-30</t>
        </is>
      </c>
      <c r="D312" t="inlineStr">
        <is>
          <t>Male</t>
        </is>
      </c>
      <c r="E312" t="inlineStr">
        <is>
          <t>(555) 903-0352</t>
        </is>
      </c>
      <c r="F312" t="inlineStr">
        <is>
          <t>frank.guzman42@example.com</t>
        </is>
      </c>
      <c r="G312" t="inlineStr">
        <is>
          <t>Riverbend, OH 45545-4433</t>
        </is>
      </c>
      <c r="H312" t="inlineStr">
        <is>
          <t>medicare</t>
        </is>
      </c>
      <c r="I312" t="inlineStr">
        <is>
          <t>MRN-06602278</t>
        </is>
      </c>
      <c r="J312" t="inlineStr">
        <is>
          <t>01/24/2020 10:46 AM</t>
        </is>
      </c>
      <c r="K312" s="28" t="n"/>
      <c r="L312" s="29" t="n"/>
      <c r="M312" s="28" t="n"/>
      <c r="N312" s="28" t="n"/>
      <c r="O312" s="28" t="n"/>
      <c r="P312" s="28" t="n"/>
      <c r="Q312" s="28" t="n"/>
      <c r="R312" s="30" t="n"/>
      <c r="S312" s="28" t="n"/>
    </row>
    <row r="313">
      <c r="A313" t="inlineStr">
        <is>
          <t>R1312</t>
        </is>
      </c>
      <c r="B313" t="inlineStr">
        <is>
          <t>RIVERA, SHARON</t>
        </is>
      </c>
      <c r="C313" t="inlineStr">
        <is>
          <t>1936-12-04</t>
        </is>
      </c>
      <c r="D313" t="inlineStr">
        <is>
          <t xml:space="preserve"> F</t>
        </is>
      </c>
      <c r="E313" t="inlineStr">
        <is>
          <t>555-671-9573</t>
        </is>
      </c>
      <c r="F313" t="inlineStr">
        <is>
          <t>SHARON.RIVERA21@EXAMPLE.COM</t>
        </is>
      </c>
      <c r="G313" t="inlineStr">
        <is>
          <t>Bluestone OH 45502</t>
        </is>
      </c>
      <c r="H313" t="inlineStr">
        <is>
          <t>medicare</t>
        </is>
      </c>
      <c r="I313" t="inlineStr">
        <is>
          <t>05891212</t>
        </is>
      </c>
      <c r="J313" t="inlineStr">
        <is>
          <t>03/23/2008 02:17 PM</t>
        </is>
      </c>
      <c r="K313" s="28" t="n"/>
      <c r="L313" s="29" t="n"/>
      <c r="M313" s="28" t="n"/>
      <c r="N313" s="28" t="n"/>
      <c r="O313" s="28" t="n"/>
      <c r="P313" s="28" t="n"/>
      <c r="Q313" s="28" t="n"/>
      <c r="R313" s="30" t="n"/>
      <c r="S313" s="28" t="n"/>
    </row>
    <row r="314">
      <c r="A314" t="inlineStr">
        <is>
          <t>R1313</t>
        </is>
      </c>
      <c r="B314" t="inlineStr">
        <is>
          <t>Kimberly Ray</t>
        </is>
      </c>
      <c r="C314" t="inlineStr">
        <is>
          <t>1950-08-05</t>
        </is>
      </c>
      <c r="D314" t="inlineStr">
        <is>
          <t>F</t>
        </is>
      </c>
      <c r="E314" t="inlineStr">
        <is>
          <t>(555) 265-8569</t>
        </is>
      </c>
      <c r="F314" t="inlineStr">
        <is>
          <t>KIMBERLY.RAY4@EXAMPLE.COM</t>
        </is>
      </c>
      <c r="G314" t="inlineStr">
        <is>
          <t>Ashby Falls, OH 45610</t>
        </is>
      </c>
      <c r="H314" t="inlineStr">
        <is>
          <t>medicare</t>
        </is>
      </c>
      <c r="I314" t="inlineStr">
        <is>
          <t>08520187</t>
        </is>
      </c>
      <c r="J314" t="inlineStr">
        <is>
          <t>2013-08-07 18:26:00</t>
        </is>
      </c>
      <c r="K314" s="28" t="n"/>
      <c r="L314" s="29" t="n"/>
      <c r="M314" s="28" t="n"/>
      <c r="N314" s="28" t="n"/>
      <c r="O314" s="28" t="n"/>
      <c r="P314" s="28" t="n"/>
      <c r="Q314" s="28" t="n"/>
      <c r="R314" s="30" t="n"/>
      <c r="S314" s="28" t="n"/>
    </row>
    <row r="315">
      <c r="A315" t="inlineStr">
        <is>
          <t>R1314</t>
        </is>
      </c>
      <c r="B315" t="inlineStr">
        <is>
          <t>Keith Holmes</t>
        </is>
      </c>
      <c r="C315" t="inlineStr">
        <is>
          <t>1969-05-25</t>
        </is>
      </c>
      <c r="D315" t="inlineStr">
        <is>
          <t>m</t>
        </is>
      </c>
      <c r="E315" t="inlineStr">
        <is>
          <t>555-814-1961</t>
        </is>
      </c>
      <c r="G315" t="inlineStr">
        <is>
          <t>Cedar Ridge, OH 45720</t>
        </is>
      </c>
      <c r="H315" t="inlineStr">
        <is>
          <t>Keystone Health Ptnrs</t>
        </is>
      </c>
      <c r="I315" t="inlineStr">
        <is>
          <t>03646690</t>
        </is>
      </c>
      <c r="J315" t="inlineStr">
        <is>
          <t>2009-07-08 18:49:00</t>
        </is>
      </c>
      <c r="K315" s="28" t="n"/>
      <c r="L315" s="29" t="n"/>
      <c r="M315" s="28" t="n"/>
      <c r="N315" s="28" t="n"/>
      <c r="O315" s="28" t="n"/>
      <c r="P315" s="28" t="n"/>
      <c r="Q315" s="28" t="n"/>
      <c r="R315" s="30" t="n"/>
      <c r="S315" s="28" t="n"/>
    </row>
    <row r="316">
      <c r="A316" t="inlineStr">
        <is>
          <t>R1315</t>
        </is>
      </c>
      <c r="B316" t="inlineStr">
        <is>
          <t>FISHER, KAYLA</t>
        </is>
      </c>
      <c r="C316" t="inlineStr">
        <is>
          <t>11/17/1954</t>
        </is>
      </c>
      <c r="D316" t="inlineStr">
        <is>
          <t xml:space="preserve"> F</t>
        </is>
      </c>
      <c r="E316" t="inlineStr">
        <is>
          <t>(555) 639-8023</t>
        </is>
      </c>
      <c r="F316" t="inlineStr">
        <is>
          <t>kayla.fisher82@example.com</t>
        </is>
      </c>
      <c r="G316" t="inlineStr">
        <is>
          <t>Ashby Falls OH 45610</t>
        </is>
      </c>
      <c r="H316" t="inlineStr">
        <is>
          <t xml:space="preserve">Medicare </t>
        </is>
      </c>
      <c r="I316" t="inlineStr">
        <is>
          <t>458769</t>
        </is>
      </c>
      <c r="J316" t="inlineStr">
        <is>
          <t>2018-02-07 11:09:00</t>
        </is>
      </c>
      <c r="K316" s="28" t="n"/>
      <c r="L316" s="29" t="n"/>
      <c r="M316" s="28" t="n"/>
      <c r="N316" s="28" t="n"/>
      <c r="O316" s="28" t="n"/>
      <c r="P316" s="28" t="n"/>
      <c r="Q316" s="28" t="n"/>
      <c r="R316" s="30" t="n"/>
      <c r="S316" s="28" t="n"/>
    </row>
    <row r="317">
      <c r="A317" t="inlineStr">
        <is>
          <t>R1316</t>
        </is>
      </c>
      <c r="B317" t="inlineStr">
        <is>
          <t>Tran, Martha</t>
        </is>
      </c>
      <c r="C317" t="inlineStr">
        <is>
          <t>10.12.1999</t>
        </is>
      </c>
      <c r="D317" t="inlineStr">
        <is>
          <t>F</t>
        </is>
      </c>
      <c r="E317" t="inlineStr">
        <is>
          <t>5556160932</t>
        </is>
      </c>
      <c r="F317" t="inlineStr">
        <is>
          <t>martha.tran62@example.com</t>
        </is>
      </c>
      <c r="G317" t="inlineStr">
        <is>
          <t>Riverbend, OH 45545</t>
        </is>
      </c>
      <c r="H317" t="inlineStr">
        <is>
          <t>Self Pay</t>
        </is>
      </c>
      <c r="I317" t="inlineStr">
        <is>
          <t>06932617</t>
        </is>
      </c>
      <c r="J317" t="inlineStr">
        <is>
          <t>2016-02-05 10:22:00</t>
        </is>
      </c>
      <c r="K317" s="28" t="n"/>
      <c r="L317" s="29" t="n"/>
      <c r="M317" s="28" t="n"/>
      <c r="N317" s="28" t="n"/>
      <c r="O317" s="28" t="n"/>
      <c r="P317" s="28" t="n"/>
      <c r="Q317" s="28" t="n"/>
      <c r="R317" s="30" t="n"/>
      <c r="S317" s="28" t="n"/>
    </row>
    <row r="318">
      <c r="A318" t="inlineStr">
        <is>
          <t>R1317</t>
        </is>
      </c>
      <c r="B318" t="inlineStr">
        <is>
          <t>TUCKER, SOPHIA</t>
        </is>
      </c>
      <c r="C318" t="inlineStr">
        <is>
          <t>09/08/1966</t>
        </is>
      </c>
      <c r="D318" t="inlineStr">
        <is>
          <t>F</t>
        </is>
      </c>
      <c r="E318" t="inlineStr">
        <is>
          <t>(555) 338-5503</t>
        </is>
      </c>
      <c r="G318" t="inlineStr">
        <is>
          <t>Bluestone, OH 45502</t>
        </is>
      </c>
      <c r="H318" t="inlineStr">
        <is>
          <t>State Medicaid</t>
        </is>
      </c>
      <c r="I318" t="inlineStr">
        <is>
          <t>1276260</t>
        </is>
      </c>
      <c r="J318" t="inlineStr">
        <is>
          <t>2019-12-21 08:22:00</t>
        </is>
      </c>
      <c r="K318" s="28" t="n"/>
      <c r="L318" s="29" t="n"/>
      <c r="M318" s="28" t="n"/>
      <c r="N318" s="28" t="n"/>
      <c r="O318" s="28" t="n"/>
      <c r="P318" s="28" t="n"/>
      <c r="Q318" s="28" t="n"/>
      <c r="R318" s="30" t="n"/>
      <c r="S318" s="28" t="n"/>
    </row>
    <row r="319">
      <c r="A319" t="inlineStr">
        <is>
          <t>R1318</t>
        </is>
      </c>
      <c r="B319" t="inlineStr">
        <is>
          <t>Marshall, Diane</t>
        </is>
      </c>
      <c r="C319" t="inlineStr">
        <is>
          <t>1975-11-09</t>
        </is>
      </c>
      <c r="D319" t="inlineStr">
        <is>
          <t>F</t>
        </is>
      </c>
      <c r="E319" t="inlineStr">
        <is>
          <t>(555) 669-5712</t>
        </is>
      </c>
      <c r="G319" t="inlineStr">
        <is>
          <t>Bluestone, OH 45502</t>
        </is>
      </c>
      <c r="H319" t="inlineStr">
        <is>
          <t>State Medicaid</t>
        </is>
      </c>
      <c r="I319" t="inlineStr">
        <is>
          <t>08147910</t>
        </is>
      </c>
      <c r="J319" t="inlineStr">
        <is>
          <t>2019-02-07 13:36:00</t>
        </is>
      </c>
      <c r="K319" s="28" t="n"/>
      <c r="L319" s="29" t="n"/>
      <c r="M319" s="28" t="n"/>
      <c r="N319" s="28" t="n"/>
      <c r="O319" s="28" t="n"/>
      <c r="P319" s="28" t="n"/>
      <c r="Q319" s="28" t="n"/>
      <c r="R319" s="30" t="n"/>
      <c r="S319" s="28" t="n"/>
    </row>
    <row r="320">
      <c r="A320" t="inlineStr">
        <is>
          <t>R1319</t>
        </is>
      </c>
      <c r="B320" t="inlineStr">
        <is>
          <t xml:space="preserve">  Harrison ,  Jerry </t>
        </is>
      </c>
      <c r="C320" t="inlineStr">
        <is>
          <t>2/8/1971</t>
        </is>
      </c>
      <c r="D320" t="inlineStr">
        <is>
          <t>M</t>
        </is>
      </c>
      <c r="E320" t="inlineStr">
        <is>
          <t>(555) 723-7413</t>
        </is>
      </c>
      <c r="F320" t="inlineStr">
        <is>
          <t xml:space="preserve"> jerry.harrison88@example.com </t>
        </is>
      </c>
      <c r="G320" t="inlineStr">
        <is>
          <t>Bluestone, OH 45501-9344</t>
        </is>
      </c>
      <c r="H320" t="inlineStr">
        <is>
          <t>medicaid</t>
        </is>
      </c>
      <c r="I320" t="inlineStr">
        <is>
          <t>4988438</t>
        </is>
      </c>
      <c r="J320" t="inlineStr">
        <is>
          <t>02/10/2024 10:47 AM</t>
        </is>
      </c>
      <c r="K320" s="28" t="n"/>
      <c r="L320" s="29" t="n"/>
      <c r="M320" s="28" t="n"/>
      <c r="N320" s="28" t="n"/>
      <c r="O320" s="28" t="n"/>
      <c r="P320" s="28" t="n"/>
      <c r="Q320" s="28" t="n"/>
      <c r="R320" s="30" t="n"/>
      <c r="S320" s="28" t="n"/>
    </row>
    <row r="321">
      <c r="A321" t="inlineStr">
        <is>
          <t>R1320</t>
        </is>
      </c>
      <c r="B321" t="inlineStr">
        <is>
          <t>FOX, KAYLA</t>
        </is>
      </c>
      <c r="C321" t="inlineStr">
        <is>
          <t>02/19/1947</t>
        </is>
      </c>
      <c r="D321" t="inlineStr">
        <is>
          <t>Female</t>
        </is>
      </c>
      <c r="E321" t="inlineStr">
        <is>
          <t>(555) 818-1870</t>
        </is>
      </c>
      <c r="F321" t="inlineStr">
        <is>
          <t>kayla.fox61@example.com</t>
        </is>
      </c>
      <c r="G321" t="inlineStr">
        <is>
          <t>Bluestone, OH 45501</t>
        </is>
      </c>
      <c r="H321" t="inlineStr">
        <is>
          <t>Medicare</t>
        </is>
      </c>
      <c r="I321" t="inlineStr">
        <is>
          <t>06693235</t>
        </is>
      </c>
      <c r="J321" t="inlineStr">
        <is>
          <t>12/29/2020 08:35 AM</t>
        </is>
      </c>
      <c r="K321" s="28" t="n"/>
      <c r="L321" s="29" t="n"/>
      <c r="M321" s="28" t="n"/>
      <c r="N321" s="28" t="n"/>
      <c r="O321" s="28" t="n"/>
      <c r="P321" s="28" t="n"/>
      <c r="Q321" s="28" t="n"/>
      <c r="R321" s="30" t="n"/>
      <c r="S321" s="28" t="n"/>
    </row>
    <row r="322">
      <c r="A322" t="inlineStr">
        <is>
          <t>R1321</t>
        </is>
      </c>
      <c r="B322" t="inlineStr">
        <is>
          <t>Snyder, Doris</t>
        </is>
      </c>
      <c r="C322" t="inlineStr">
        <is>
          <t>06/20/1961</t>
        </is>
      </c>
      <c r="D322" t="inlineStr">
        <is>
          <t>F</t>
        </is>
      </c>
      <c r="E322" t="inlineStr">
        <is>
          <t>(555) 662-0283</t>
        </is>
      </c>
      <c r="F322" t="inlineStr">
        <is>
          <t>doris.snyder71@example.com</t>
        </is>
      </c>
      <c r="G322" t="inlineStr">
        <is>
          <t>Bluestone OH 45501</t>
        </is>
      </c>
      <c r="H322" t="inlineStr">
        <is>
          <t>self-pay</t>
        </is>
      </c>
      <c r="I322" t="inlineStr">
        <is>
          <t>01249951</t>
        </is>
      </c>
      <c r="J322" t="inlineStr">
        <is>
          <t>11/08/2010 12:30 PM</t>
        </is>
      </c>
      <c r="K322" s="28" t="n"/>
      <c r="L322" s="29" t="n"/>
      <c r="M322" s="28" t="n"/>
      <c r="N322" s="28" t="n"/>
      <c r="O322" s="28" t="n"/>
      <c r="P322" s="28" t="n"/>
      <c r="Q322" s="28" t="n"/>
      <c r="R322" s="30" t="n"/>
      <c r="S322" s="28" t="n"/>
    </row>
    <row r="323">
      <c r="A323" t="inlineStr">
        <is>
          <t>R1322</t>
        </is>
      </c>
      <c r="B323" t="inlineStr">
        <is>
          <t>Adams, Ronald</t>
        </is>
      </c>
      <c r="C323" t="inlineStr">
        <is>
          <t>11/04/1957</t>
        </is>
      </c>
      <c r="D323" t="inlineStr">
        <is>
          <t>m</t>
        </is>
      </c>
      <c r="E323" t="inlineStr">
        <is>
          <t>+1 555 543 3945</t>
        </is>
      </c>
      <c r="F323" t="inlineStr">
        <is>
          <t>ronald.adams64@example.com</t>
        </is>
      </c>
      <c r="G323" t="inlineStr">
        <is>
          <t>MILLBROOK, OH 45530</t>
        </is>
      </c>
      <c r="H323" t="inlineStr">
        <is>
          <t xml:space="preserve">Silverline Medicare Advantage </t>
        </is>
      </c>
      <c r="I323" t="inlineStr">
        <is>
          <t>MRN-08734597</t>
        </is>
      </c>
      <c r="J323" t="inlineStr">
        <is>
          <t>08/12/2015 03:07 PM</t>
        </is>
      </c>
      <c r="K323" s="28" t="n"/>
      <c r="L323" s="29" t="n"/>
      <c r="M323" s="28" t="n"/>
      <c r="N323" s="28" t="n"/>
      <c r="O323" s="28" t="n"/>
      <c r="P323" s="28" t="n"/>
      <c r="Q323" s="28" t="n"/>
      <c r="R323" s="30" t="n"/>
      <c r="S323" s="28" t="n"/>
    </row>
    <row r="324">
      <c r="A324" t="inlineStr">
        <is>
          <t>R1323</t>
        </is>
      </c>
      <c r="B324" t="inlineStr">
        <is>
          <t>Romero, James</t>
        </is>
      </c>
      <c r="C324" t="inlineStr">
        <is>
          <t>02-Aug-1971</t>
        </is>
      </c>
      <c r="D324" t="inlineStr">
        <is>
          <t>Male</t>
        </is>
      </c>
      <c r="E324" t="inlineStr">
        <is>
          <t>(555) 909-0173</t>
        </is>
      </c>
      <c r="F324" t="inlineStr">
        <is>
          <t>N/A</t>
        </is>
      </c>
      <c r="G324" t="inlineStr">
        <is>
          <t>Lakeview Heights, OH 45510</t>
        </is>
      </c>
      <c r="H324" t="inlineStr">
        <is>
          <t>Evergreen Mutual</t>
        </is>
      </c>
      <c r="I324" t="inlineStr">
        <is>
          <t>3648297</t>
        </is>
      </c>
      <c r="J324" t="inlineStr">
        <is>
          <t>2024-06-14 18:09:00</t>
        </is>
      </c>
      <c r="K324" s="28" t="n"/>
      <c r="L324" s="29" t="n"/>
      <c r="M324" s="28" t="n"/>
      <c r="N324" s="28" t="n"/>
      <c r="O324" s="28" t="n"/>
      <c r="P324" s="28" t="n"/>
      <c r="Q324" s="28" t="n"/>
      <c r="R324" s="30" t="n"/>
      <c r="S324" s="28" t="n"/>
    </row>
    <row r="325">
      <c r="A325" t="inlineStr">
        <is>
          <t>R1324</t>
        </is>
      </c>
      <c r="B325" t="inlineStr">
        <is>
          <t>WELLS, OLIVIA</t>
        </is>
      </c>
      <c r="C325" t="inlineStr">
        <is>
          <t>1986-05-10</t>
        </is>
      </c>
      <c r="D325" t="inlineStr">
        <is>
          <t xml:space="preserve"> F</t>
        </is>
      </c>
      <c r="E325" t="inlineStr">
        <is>
          <t>5554604883</t>
        </is>
      </c>
      <c r="F325" t="inlineStr">
        <is>
          <t>olivia.wells51@example.com</t>
        </is>
      </c>
      <c r="G325" t="inlineStr">
        <is>
          <t>ASHBY FALLS, OH 45610</t>
        </is>
      </c>
      <c r="H325" t="inlineStr">
        <is>
          <t>self-pay</t>
        </is>
      </c>
      <c r="I325" t="inlineStr">
        <is>
          <t>05411565</t>
        </is>
      </c>
      <c r="J325" t="inlineStr">
        <is>
          <t>2015-09-02 10:45:00</t>
        </is>
      </c>
      <c r="K325" s="28" t="n"/>
      <c r="L325" s="29" t="n"/>
      <c r="M325" s="28" t="n"/>
      <c r="N325" s="28" t="n"/>
      <c r="O325" s="28" t="n"/>
      <c r="P325" s="28" t="n"/>
      <c r="Q325" s="28" t="n"/>
      <c r="R325" s="30" t="n"/>
      <c r="S325" s="28" t="n"/>
    </row>
    <row r="326">
      <c r="A326" t="inlineStr">
        <is>
          <t>R1325</t>
        </is>
      </c>
      <c r="B326" t="inlineStr">
        <is>
          <t>Kim, Ethan</t>
        </is>
      </c>
      <c r="C326" t="inlineStr">
        <is>
          <t>23-May-1931</t>
        </is>
      </c>
      <c r="D326" t="inlineStr">
        <is>
          <t>m</t>
        </is>
      </c>
      <c r="E326" t="inlineStr">
        <is>
          <t>5559648131</t>
        </is>
      </c>
      <c r="F326" t="inlineStr">
        <is>
          <t>ethan.kim24@example.com</t>
        </is>
      </c>
      <c r="G326" t="inlineStr">
        <is>
          <t>Ashby Falls, OH 45610-1593</t>
        </is>
      </c>
      <c r="H326" t="inlineStr">
        <is>
          <t>MEDICARE</t>
        </is>
      </c>
      <c r="I326" t="inlineStr">
        <is>
          <t>02110671</t>
        </is>
      </c>
      <c r="J326" t="inlineStr">
        <is>
          <t>2022-10-29 10:04:00</t>
        </is>
      </c>
      <c r="K326" s="28" t="n"/>
      <c r="L326" s="29" t="n"/>
      <c r="M326" s="28" t="n"/>
      <c r="N326" s="28" t="n"/>
      <c r="O326" s="28" t="n"/>
      <c r="P326" s="28" t="n"/>
      <c r="Q326" s="28" t="n"/>
      <c r="R326" s="30" t="n"/>
      <c r="S326" s="28" t="n"/>
    </row>
    <row r="327">
      <c r="A327" t="inlineStr">
        <is>
          <t>R1326</t>
        </is>
      </c>
      <c r="B327" t="inlineStr">
        <is>
          <t>Contreras, Aaliyah</t>
        </is>
      </c>
      <c r="C327" t="inlineStr">
        <is>
          <t>10/06/2001</t>
        </is>
      </c>
      <c r="D327" t="inlineStr">
        <is>
          <t>FEMALE</t>
        </is>
      </c>
      <c r="E327" t="inlineStr">
        <is>
          <t>5559273158</t>
        </is>
      </c>
      <c r="F327" t="inlineStr">
        <is>
          <t xml:space="preserve"> aaliyah.contreras52@example.com </t>
        </is>
      </c>
      <c r="G327" t="inlineStr">
        <is>
          <t>Cedar Ridge, OH 45720</t>
        </is>
      </c>
      <c r="H327" t="inlineStr">
        <is>
          <t>Self Pay</t>
        </is>
      </c>
      <c r="I327" t="inlineStr">
        <is>
          <t>MRN-05209520</t>
        </is>
      </c>
      <c r="J327" t="inlineStr">
        <is>
          <t>07/27/2012 08:26 AM</t>
        </is>
      </c>
      <c r="K327" s="28" t="n"/>
      <c r="L327" s="29" t="n"/>
      <c r="M327" s="28" t="n"/>
      <c r="N327" s="28" t="n"/>
      <c r="O327" s="28" t="n"/>
      <c r="P327" s="28" t="n"/>
      <c r="Q327" s="28" t="n"/>
      <c r="R327" s="30" t="n"/>
      <c r="S327" s="28" t="n"/>
    </row>
    <row r="328">
      <c r="A328" t="inlineStr">
        <is>
          <t>R1327</t>
        </is>
      </c>
      <c r="B328" t="inlineStr">
        <is>
          <t>Haddad, Charles</t>
        </is>
      </c>
      <c r="C328" t="inlineStr">
        <is>
          <t>19-Mar-1954</t>
        </is>
      </c>
      <c r="D328" t="inlineStr">
        <is>
          <t>M</t>
        </is>
      </c>
      <c r="F328" t="inlineStr">
        <is>
          <t>CHARLES.HADDAD21@EXAMPLE.COM</t>
        </is>
      </c>
      <c r="G328" t="inlineStr">
        <is>
          <t>Bluestone, OH 45503</t>
        </is>
      </c>
      <c r="H328" t="inlineStr">
        <is>
          <t>medicare</t>
        </is>
      </c>
      <c r="I328" t="inlineStr">
        <is>
          <t>00872871</t>
        </is>
      </c>
      <c r="J328" t="inlineStr">
        <is>
          <t>2021-12-03 18:04:00</t>
        </is>
      </c>
      <c r="K328" s="28" t="n"/>
      <c r="L328" s="29" t="n"/>
      <c r="M328" s="28" t="n"/>
      <c r="N328" s="28" t="n"/>
      <c r="O328" s="28" t="n"/>
      <c r="P328" s="28" t="n"/>
      <c r="Q328" s="28" t="n"/>
      <c r="R328" s="30" t="n"/>
      <c r="S328" s="28" t="n"/>
    </row>
    <row r="329">
      <c r="A329" t="inlineStr">
        <is>
          <t>R1328</t>
        </is>
      </c>
      <c r="B329" t="inlineStr">
        <is>
          <t>Cunningham, Denise</t>
        </is>
      </c>
      <c r="C329" t="inlineStr">
        <is>
          <t>29-Aug-1948</t>
        </is>
      </c>
      <c r="D329" t="inlineStr">
        <is>
          <t>F</t>
        </is>
      </c>
      <c r="E329" t="inlineStr">
        <is>
          <t>+1 555 675 0081</t>
        </is>
      </c>
      <c r="F329" t="inlineStr">
        <is>
          <t>denise.cunningham60@example.com</t>
        </is>
      </c>
      <c r="G329" t="inlineStr">
        <is>
          <t>Millbrook, OH 45530</t>
        </is>
      </c>
      <c r="H329" t="inlineStr">
        <is>
          <t>Keystone Health Ptnrs</t>
        </is>
      </c>
      <c r="I329" t="inlineStr">
        <is>
          <t>03525844</t>
        </is>
      </c>
      <c r="J329" t="inlineStr">
        <is>
          <t>2013-02-27 17:23:00</t>
        </is>
      </c>
      <c r="K329" s="28" t="n"/>
      <c r="L329" s="29" t="n"/>
      <c r="M329" s="28" t="n"/>
      <c r="N329" s="28" t="n"/>
      <c r="O329" s="28" t="n"/>
      <c r="P329" s="28" t="n"/>
      <c r="Q329" s="28" t="n"/>
      <c r="R329" s="30" t="n"/>
      <c r="S329" s="28" t="n"/>
    </row>
    <row r="330">
      <c r="A330" t="inlineStr">
        <is>
          <t>R1329</t>
        </is>
      </c>
      <c r="B330" t="inlineStr">
        <is>
          <t>Ellis, Willie</t>
        </is>
      </c>
      <c r="C330" t="inlineStr">
        <is>
          <t>07/10/1997</t>
        </is>
      </c>
      <c r="D330" t="inlineStr">
        <is>
          <t>M</t>
        </is>
      </c>
      <c r="E330" t="inlineStr">
        <is>
          <t>555.892.8446</t>
        </is>
      </c>
      <c r="F330" t="inlineStr">
        <is>
          <t>N/A</t>
        </is>
      </c>
      <c r="G330" t="inlineStr">
        <is>
          <t>ASHBY FALLS, OH 45610</t>
        </is>
      </c>
      <c r="H330" t="inlineStr">
        <is>
          <t>EVERGREEN MUTUAL INS</t>
        </is>
      </c>
      <c r="I330" t="inlineStr">
        <is>
          <t>4096558</t>
        </is>
      </c>
      <c r="J330" t="inlineStr">
        <is>
          <t>2009-02-02 16:56:00</t>
        </is>
      </c>
      <c r="K330" s="28" t="n"/>
      <c r="L330" s="29" t="n"/>
      <c r="M330" s="28" t="n"/>
      <c r="N330" s="28" t="n"/>
      <c r="O330" s="28" t="n"/>
      <c r="P330" s="28" t="n"/>
      <c r="Q330" s="28" t="n"/>
      <c r="R330" s="30" t="n"/>
      <c r="S330" s="28" t="n"/>
    </row>
    <row r="331">
      <c r="A331" t="inlineStr">
        <is>
          <t>R1330</t>
        </is>
      </c>
      <c r="B331" t="inlineStr">
        <is>
          <t>Snyder, Lori</t>
        </is>
      </c>
      <c r="C331" t="inlineStr">
        <is>
          <t>1967-02-02</t>
        </is>
      </c>
      <c r="D331" t="inlineStr">
        <is>
          <t xml:space="preserve"> F</t>
        </is>
      </c>
      <c r="E331" t="inlineStr">
        <is>
          <t>5553977541</t>
        </is>
      </c>
      <c r="F331" t="inlineStr">
        <is>
          <t>LORI.SNYDER13@EXAMPLE.COM</t>
        </is>
      </c>
      <c r="G331" t="inlineStr">
        <is>
          <t>Oak Glen, OH 45730</t>
        </is>
      </c>
      <c r="H331" t="inlineStr">
        <is>
          <t>medicaid</t>
        </is>
      </c>
      <c r="I331" t="inlineStr">
        <is>
          <t>02031509</t>
        </is>
      </c>
      <c r="J331" t="inlineStr">
        <is>
          <t>2019-07-22 15:26:00</t>
        </is>
      </c>
      <c r="K331" s="28" t="n"/>
      <c r="L331" s="29" t="n"/>
      <c r="M331" s="28" t="n"/>
      <c r="N331" s="28" t="n"/>
      <c r="O331" s="28" t="n"/>
      <c r="P331" s="28" t="n"/>
      <c r="Q331" s="28" t="n"/>
      <c r="R331" s="30" t="n"/>
      <c r="S331" s="28" t="n"/>
    </row>
    <row r="332">
      <c r="A332" t="inlineStr">
        <is>
          <t>R1331</t>
        </is>
      </c>
      <c r="B332" t="inlineStr">
        <is>
          <t>Murray, Roger</t>
        </is>
      </c>
      <c r="C332" t="inlineStr">
        <is>
          <t>8/21/1981</t>
        </is>
      </c>
      <c r="D332" t="inlineStr">
        <is>
          <t>Male</t>
        </is>
      </c>
      <c r="E332" t="inlineStr">
        <is>
          <t>(555) 718-6415</t>
        </is>
      </c>
      <c r="F332" t="inlineStr">
        <is>
          <t>none</t>
        </is>
      </c>
      <c r="G332" t="inlineStr">
        <is>
          <t>Oak Glen, OH 45730</t>
        </is>
      </c>
      <c r="H332" t="inlineStr">
        <is>
          <t>Evergreen Mutual</t>
        </is>
      </c>
      <c r="I332" t="inlineStr">
        <is>
          <t>MRN-07547770</t>
        </is>
      </c>
      <c r="J332" t="inlineStr">
        <is>
          <t>01/17/2023 07:02 AM</t>
        </is>
      </c>
      <c r="K332" s="28" t="n"/>
      <c r="L332" s="29" t="n"/>
      <c r="M332" s="28" t="n"/>
      <c r="N332" s="28" t="n"/>
      <c r="O332" s="28" t="n"/>
      <c r="P332" s="28" t="n"/>
      <c r="Q332" s="28" t="n"/>
      <c r="R332" s="30" t="n"/>
      <c r="S332" s="28" t="n"/>
    </row>
    <row r="333">
      <c r="A333" t="inlineStr">
        <is>
          <t>R1332</t>
        </is>
      </c>
      <c r="B333" t="inlineStr">
        <is>
          <t>Ronald Cox</t>
        </is>
      </c>
      <c r="C333" t="inlineStr">
        <is>
          <t>07-Jun-2005</t>
        </is>
      </c>
      <c r="D333" t="inlineStr">
        <is>
          <t>MALE</t>
        </is>
      </c>
      <c r="E333" t="inlineStr">
        <is>
          <t>555.529.8330</t>
        </is>
      </c>
      <c r="F333" t="inlineStr">
        <is>
          <t>none</t>
        </is>
      </c>
      <c r="G333" t="inlineStr">
        <is>
          <t>Cedar Ridge OH 45720</t>
        </is>
      </c>
      <c r="H333" t="inlineStr">
        <is>
          <t>STATE MEDICAID</t>
        </is>
      </c>
      <c r="I333" t="inlineStr">
        <is>
          <t>03601518</t>
        </is>
      </c>
      <c r="J333" t="inlineStr">
        <is>
          <t>2014-08-15 09:23:00</t>
        </is>
      </c>
      <c r="K333" s="28" t="n"/>
      <c r="L333" s="29" t="n"/>
      <c r="M333" s="28" t="n"/>
      <c r="N333" s="28" t="n"/>
      <c r="O333" s="28" t="n"/>
      <c r="P333" s="28" t="n"/>
      <c r="Q333" s="28" t="n"/>
      <c r="R333" s="30" t="n"/>
      <c r="S333" s="28" t="n"/>
    </row>
    <row r="334">
      <c r="A334" t="inlineStr">
        <is>
          <t>R1333</t>
        </is>
      </c>
      <c r="B334" t="inlineStr">
        <is>
          <t>RIVERA, KELLY</t>
        </is>
      </c>
      <c r="C334" t="inlineStr">
        <is>
          <t>07-Dec-1941</t>
        </is>
      </c>
      <c r="D334" t="inlineStr">
        <is>
          <t>F</t>
        </is>
      </c>
      <c r="E334" t="inlineStr">
        <is>
          <t>5554026172</t>
        </is>
      </c>
      <c r="G334" t="inlineStr">
        <is>
          <t>Cedar Ridge OH 45720</t>
        </is>
      </c>
      <c r="H334" t="inlineStr">
        <is>
          <t>medicare</t>
        </is>
      </c>
      <c r="I334" t="inlineStr">
        <is>
          <t>00130754</t>
        </is>
      </c>
      <c r="J334" t="inlineStr">
        <is>
          <t>2012-10-13 18:26:00</t>
        </is>
      </c>
      <c r="K334" s="28" t="n"/>
      <c r="L334" s="29" t="n"/>
      <c r="M334" s="28" t="n"/>
      <c r="N334" s="28" t="n"/>
      <c r="O334" s="28" t="n"/>
      <c r="P334" s="28" t="n"/>
      <c r="Q334" s="28" t="n"/>
      <c r="R334" s="30" t="n"/>
      <c r="S334" s="28" t="n"/>
    </row>
    <row r="335">
      <c r="A335" t="inlineStr">
        <is>
          <t>R1334</t>
        </is>
      </c>
      <c r="B335" t="inlineStr">
        <is>
          <t>gomez, elizabeth</t>
        </is>
      </c>
      <c r="C335" t="inlineStr">
        <is>
          <t>26-Oct-1970</t>
        </is>
      </c>
      <c r="D335" t="inlineStr">
        <is>
          <t>f</t>
        </is>
      </c>
      <c r="E335" t="inlineStr">
        <is>
          <t>(555) 701-2318</t>
        </is>
      </c>
      <c r="F335" t="inlineStr">
        <is>
          <t>elizabeth.gomez76@example.com</t>
        </is>
      </c>
      <c r="G335" t="inlineStr">
        <is>
          <t>Millbrook OH 45530</t>
        </is>
      </c>
      <c r="H335" t="inlineStr">
        <is>
          <t>State Medicaid</t>
        </is>
      </c>
      <c r="I335" t="inlineStr">
        <is>
          <t>05094809</t>
        </is>
      </c>
      <c r="J335" t="inlineStr">
        <is>
          <t>2008-05-14 15:10:00</t>
        </is>
      </c>
      <c r="K335" s="28" t="n"/>
      <c r="L335" s="29" t="n"/>
      <c r="M335" s="28" t="n"/>
      <c r="N335" s="28" t="n"/>
      <c r="O335" s="28" t="n"/>
      <c r="P335" s="28" t="n"/>
      <c r="Q335" s="28" t="n"/>
      <c r="R335" s="30" t="n"/>
      <c r="S335" s="28" t="n"/>
    </row>
    <row r="336">
      <c r="A336" t="inlineStr">
        <is>
          <t>R1335</t>
        </is>
      </c>
      <c r="B336" t="inlineStr">
        <is>
          <t>Campbell, Luis</t>
        </is>
      </c>
      <c r="C336" t="inlineStr">
        <is>
          <t>04.25.1978</t>
        </is>
      </c>
      <c r="D336" t="inlineStr">
        <is>
          <t>Male</t>
        </is>
      </c>
      <c r="E336" t="inlineStr">
        <is>
          <t>(555) 736-4151</t>
        </is>
      </c>
      <c r="F336" t="inlineStr">
        <is>
          <t xml:space="preserve"> luis.campbell36@example.com </t>
        </is>
      </c>
      <c r="G336" t="inlineStr">
        <is>
          <t>BLUESTONE, OH 45501</t>
        </is>
      </c>
      <c r="H336" t="inlineStr">
        <is>
          <t>medicaid</t>
        </is>
      </c>
      <c r="I336" t="inlineStr">
        <is>
          <t>06081608</t>
        </is>
      </c>
      <c r="J336" t="inlineStr">
        <is>
          <t>2021-05-13 08:53:00</t>
        </is>
      </c>
      <c r="K336" s="28" t="n"/>
      <c r="L336" s="29" t="n"/>
      <c r="M336" s="28" t="n"/>
      <c r="N336" s="28" t="n"/>
      <c r="O336" s="28" t="n"/>
      <c r="P336" s="28" t="n"/>
      <c r="Q336" s="28" t="n"/>
      <c r="R336" s="30" t="n"/>
      <c r="S336" s="28" t="n"/>
    </row>
    <row r="337">
      <c r="A337" t="inlineStr">
        <is>
          <t>R1336</t>
        </is>
      </c>
      <c r="B337" t="inlineStr">
        <is>
          <t>Gutierrez, Angela</t>
        </is>
      </c>
      <c r="C337" t="inlineStr">
        <is>
          <t>03/30/1979</t>
        </is>
      </c>
      <c r="D337" t="inlineStr">
        <is>
          <t xml:space="preserve"> F</t>
        </is>
      </c>
      <c r="E337" t="inlineStr">
        <is>
          <t>555-684-6835</t>
        </is>
      </c>
      <c r="G337" t="inlineStr">
        <is>
          <t>Bluestone, OH 45502</t>
        </is>
      </c>
      <c r="H337" t="inlineStr">
        <is>
          <t>Self Pay</t>
        </is>
      </c>
      <c r="I337" t="inlineStr">
        <is>
          <t>08946657</t>
        </is>
      </c>
      <c r="J337" t="inlineStr">
        <is>
          <t>2014-05-09 17:10:00</t>
        </is>
      </c>
      <c r="K337" s="28" t="n"/>
      <c r="L337" s="29" t="n"/>
      <c r="M337" s="28" t="n"/>
      <c r="N337" s="28" t="n"/>
      <c r="O337" s="28" t="n"/>
      <c r="P337" s="28" t="n"/>
      <c r="Q337" s="28" t="n"/>
      <c r="R337" s="30" t="n"/>
      <c r="S337" s="28" t="n"/>
    </row>
    <row r="338">
      <c r="A338" t="inlineStr">
        <is>
          <t>R1337</t>
        </is>
      </c>
      <c r="B338" t="inlineStr">
        <is>
          <t>Rice, Omar</t>
        </is>
      </c>
      <c r="C338" t="inlineStr">
        <is>
          <t>1997-01-16</t>
        </is>
      </c>
      <c r="D338" t="inlineStr">
        <is>
          <t>m</t>
        </is>
      </c>
      <c r="E338" t="inlineStr">
        <is>
          <t>+1 555 335 8050</t>
        </is>
      </c>
      <c r="F338" t="inlineStr">
        <is>
          <t>omar.rice44@example.com</t>
        </is>
      </c>
      <c r="G338" t="inlineStr">
        <is>
          <t>Oak Glen, OH 45730</t>
        </is>
      </c>
      <c r="H338" t="inlineStr">
        <is>
          <t>KEYSTONE HEALTH PARTNERS</t>
        </is>
      </c>
      <c r="I338" t="inlineStr">
        <is>
          <t>01222255</t>
        </is>
      </c>
      <c r="J338" t="inlineStr">
        <is>
          <t>2011-12-04 12:17:00</t>
        </is>
      </c>
      <c r="K338" s="28" t="n"/>
      <c r="L338" s="29" t="n"/>
      <c r="M338" s="28" t="n"/>
      <c r="N338" s="28" t="n"/>
      <c r="O338" s="28" t="n"/>
      <c r="P338" s="28" t="n"/>
      <c r="Q338" s="28" t="n"/>
      <c r="R338" s="30" t="n"/>
      <c r="S338" s="28" t="n"/>
    </row>
    <row r="339">
      <c r="A339" t="inlineStr">
        <is>
          <t>R1338</t>
        </is>
      </c>
      <c r="B339" t="inlineStr">
        <is>
          <t>Contreras, Timothy</t>
        </is>
      </c>
      <c r="C339" t="inlineStr">
        <is>
          <t>1967-04-24</t>
        </is>
      </c>
      <c r="D339" t="inlineStr">
        <is>
          <t>m</t>
        </is>
      </c>
      <c r="E339" t="inlineStr">
        <is>
          <t>555-474-9288</t>
        </is>
      </c>
      <c r="F339" t="inlineStr">
        <is>
          <t>timothy.contreras88@example.com</t>
        </is>
      </c>
      <c r="G339" t="inlineStr">
        <is>
          <t>Millbrook, OH 45530</t>
        </is>
      </c>
      <c r="H339" t="inlineStr">
        <is>
          <t>Summit PPO</t>
        </is>
      </c>
      <c r="I339" t="inlineStr">
        <is>
          <t>MRN-09878400</t>
        </is>
      </c>
      <c r="J339" t="inlineStr">
        <is>
          <t>03/07/2014 02:24 PM</t>
        </is>
      </c>
      <c r="K339" s="28" t="n"/>
      <c r="L339" s="29" t="n"/>
      <c r="M339" s="28" t="n"/>
      <c r="N339" s="28" t="n"/>
      <c r="O339" s="28" t="n"/>
      <c r="P339" s="28" t="n"/>
      <c r="Q339" s="28" t="n"/>
      <c r="R339" s="30" t="n"/>
      <c r="S339" s="28" t="n"/>
    </row>
    <row r="340">
      <c r="A340" t="inlineStr">
        <is>
          <t>R1339</t>
        </is>
      </c>
      <c r="B340" t="inlineStr">
        <is>
          <t>Jeffrey Nelson</t>
        </is>
      </c>
      <c r="C340" t="inlineStr">
        <is>
          <t>02/18/1973</t>
        </is>
      </c>
      <c r="D340" t="inlineStr">
        <is>
          <t>M</t>
        </is>
      </c>
      <c r="E340" t="inlineStr">
        <is>
          <t>(555) 251-8810</t>
        </is>
      </c>
      <c r="F340" t="inlineStr">
        <is>
          <t>none</t>
        </is>
      </c>
      <c r="G340" t="inlineStr">
        <is>
          <t>MILLBROOK, OH 45530</t>
        </is>
      </c>
      <c r="H340" t="inlineStr">
        <is>
          <t>Evergreen Mutual Insurance</t>
        </is>
      </c>
      <c r="I340" t="inlineStr">
        <is>
          <t>00972222</t>
        </is>
      </c>
      <c r="J340" t="inlineStr">
        <is>
          <t>2009-10-06 15:44:00</t>
        </is>
      </c>
      <c r="K340" s="28" t="n"/>
      <c r="L340" s="29" t="n"/>
      <c r="M340" s="28" t="n"/>
      <c r="N340" s="28" t="n"/>
      <c r="O340" s="28" t="n"/>
      <c r="P340" s="28" t="n"/>
      <c r="Q340" s="28" t="n"/>
      <c r="R340" s="30" t="n"/>
      <c r="S340" s="28" t="n"/>
    </row>
    <row r="341">
      <c r="A341" t="inlineStr">
        <is>
          <t>R1340</t>
        </is>
      </c>
      <c r="B341" t="inlineStr">
        <is>
          <t>WEST, DYLAN</t>
        </is>
      </c>
      <c r="C341" t="inlineStr">
        <is>
          <t>09/07/1977</t>
        </is>
      </c>
      <c r="D341" t="inlineStr">
        <is>
          <t>Male</t>
        </is>
      </c>
      <c r="E341" t="inlineStr">
        <is>
          <t>5553672927</t>
        </is>
      </c>
      <c r="F341" t="inlineStr">
        <is>
          <t>N/A</t>
        </is>
      </c>
      <c r="G341" t="inlineStr">
        <is>
          <t>Bluestone, OH 45502</t>
        </is>
      </c>
      <c r="H341" t="inlineStr">
        <is>
          <t>EVERGREEN MUTUAL INS</t>
        </is>
      </c>
      <c r="I341" t="inlineStr">
        <is>
          <t>08282423</t>
        </is>
      </c>
      <c r="J341" t="inlineStr">
        <is>
          <t>2017-04-09 09:59:00</t>
        </is>
      </c>
      <c r="K341" s="28" t="n"/>
      <c r="L341" s="29" t="n"/>
      <c r="M341" s="28" t="n"/>
      <c r="N341" s="28" t="n"/>
      <c r="O341" s="28" t="n"/>
      <c r="P341" s="28" t="n"/>
      <c r="Q341" s="28" t="n"/>
      <c r="R341" s="30" t="n"/>
      <c r="S341" s="28" t="n"/>
    </row>
    <row r="342">
      <c r="A342" t="inlineStr">
        <is>
          <t>R1341</t>
        </is>
      </c>
      <c r="B342" t="inlineStr">
        <is>
          <t>Donna Robertson</t>
        </is>
      </c>
      <c r="C342" t="inlineStr">
        <is>
          <t>1999-08-23</t>
        </is>
      </c>
      <c r="D342" t="inlineStr">
        <is>
          <t>F</t>
        </is>
      </c>
      <c r="E342" t="inlineStr">
        <is>
          <t>(555) 670-5347</t>
        </is>
      </c>
      <c r="G342" t="inlineStr">
        <is>
          <t>RIVERBEND, OH 45545</t>
        </is>
      </c>
      <c r="H342" t="inlineStr">
        <is>
          <t>EVERGREEN MUTUAL INS</t>
        </is>
      </c>
      <c r="I342" t="inlineStr">
        <is>
          <t>00332545</t>
        </is>
      </c>
      <c r="J342" t="inlineStr">
        <is>
          <t>01/24/2018 08:10 AM</t>
        </is>
      </c>
      <c r="K342" s="28" t="n"/>
      <c r="L342" s="29" t="n"/>
      <c r="M342" s="28" t="n"/>
      <c r="N342" s="28" t="n"/>
      <c r="O342" s="28" t="n"/>
      <c r="P342" s="28" t="n"/>
      <c r="Q342" s="28" t="n"/>
      <c r="R342" s="30" t="n"/>
      <c r="S342" s="28" t="n"/>
    </row>
    <row r="343">
      <c r="A343" t="inlineStr">
        <is>
          <t>R1342</t>
        </is>
      </c>
      <c r="B343" t="inlineStr">
        <is>
          <t>Ortiz, George</t>
        </is>
      </c>
      <c r="C343" t="inlineStr">
        <is>
          <t>12/17/1996</t>
        </is>
      </c>
      <c r="D343" t="inlineStr">
        <is>
          <t xml:space="preserve">M </t>
        </is>
      </c>
      <c r="E343" t="inlineStr">
        <is>
          <t>555-548-0196</t>
        </is>
      </c>
      <c r="G343" t="inlineStr">
        <is>
          <t>Bluestone OH 45502</t>
        </is>
      </c>
      <c r="H343" t="inlineStr">
        <is>
          <t>State Medicaid</t>
        </is>
      </c>
      <c r="I343" t="inlineStr">
        <is>
          <t>3630536</t>
        </is>
      </c>
      <c r="J343" t="inlineStr">
        <is>
          <t>2014-02-03 15:40:00</t>
        </is>
      </c>
      <c r="K343" s="28" t="n"/>
      <c r="L343" s="29" t="n"/>
      <c r="M343" s="28" t="n"/>
      <c r="N343" s="28" t="n"/>
      <c r="O343" s="28" t="n"/>
      <c r="P343" s="28" t="n"/>
      <c r="Q343" s="28" t="n"/>
      <c r="R343" s="30" t="n"/>
      <c r="S343" s="28" t="n"/>
    </row>
    <row r="344">
      <c r="A344" t="inlineStr">
        <is>
          <t>R1343</t>
        </is>
      </c>
      <c r="B344" t="inlineStr">
        <is>
          <t>ROGERS, JEAN</t>
        </is>
      </c>
      <c r="C344" t="inlineStr">
        <is>
          <t>10/31/1960</t>
        </is>
      </c>
      <c r="D344" t="inlineStr">
        <is>
          <t>f</t>
        </is>
      </c>
      <c r="E344" t="inlineStr">
        <is>
          <t>555-900-0623</t>
        </is>
      </c>
      <c r="F344" t="inlineStr">
        <is>
          <t>N/A</t>
        </is>
      </c>
      <c r="G344" t="inlineStr">
        <is>
          <t>Bluestone, OH 45503</t>
        </is>
      </c>
      <c r="H344" t="inlineStr">
        <is>
          <t>Silverline MA</t>
        </is>
      </c>
      <c r="I344" t="inlineStr">
        <is>
          <t>09374611</t>
        </is>
      </c>
      <c r="J344" t="inlineStr">
        <is>
          <t>2019-08-06 10:36:00</t>
        </is>
      </c>
      <c r="K344" s="28" t="n"/>
      <c r="L344" s="29" t="n"/>
      <c r="M344" s="28" t="n"/>
      <c r="N344" s="28" t="n"/>
      <c r="O344" s="28" t="n"/>
      <c r="P344" s="28" t="n"/>
      <c r="Q344" s="28" t="n"/>
      <c r="R344" s="30" t="n"/>
      <c r="S344" s="28" t="n"/>
    </row>
    <row r="345">
      <c r="A345" t="inlineStr">
        <is>
          <t>R1344</t>
        </is>
      </c>
      <c r="B345" t="inlineStr">
        <is>
          <t>Ryan, Ruth</t>
        </is>
      </c>
      <c r="C345" t="inlineStr">
        <is>
          <t>2016-12-16</t>
        </is>
      </c>
      <c r="D345" t="inlineStr">
        <is>
          <t>Female</t>
        </is>
      </c>
      <c r="E345" t="inlineStr">
        <is>
          <t>5554179950</t>
        </is>
      </c>
      <c r="G345" t="inlineStr">
        <is>
          <t>Riverbend, OH 45545-5318</t>
        </is>
      </c>
      <c r="H345" t="inlineStr">
        <is>
          <t>Medicaid</t>
        </is>
      </c>
      <c r="I345" t="inlineStr">
        <is>
          <t>06523104</t>
        </is>
      </c>
      <c r="J345" t="inlineStr">
        <is>
          <t>2020-02-20 18:33:00</t>
        </is>
      </c>
      <c r="K345" s="28" t="n"/>
      <c r="L345" s="29" t="n"/>
      <c r="M345" s="28" t="n"/>
      <c r="N345" s="28" t="n"/>
      <c r="O345" s="28" t="n"/>
      <c r="P345" s="28" t="n"/>
      <c r="Q345" s="28" t="n"/>
      <c r="R345" s="30" t="n"/>
      <c r="S345" s="28" t="n"/>
    </row>
    <row r="346">
      <c r="A346" t="inlineStr">
        <is>
          <t>R1345</t>
        </is>
      </c>
      <c r="B346" t="inlineStr">
        <is>
          <t>Davis, Anthony</t>
        </is>
      </c>
      <c r="C346" t="inlineStr">
        <is>
          <t>1971-08-24</t>
        </is>
      </c>
      <c r="D346" t="inlineStr">
        <is>
          <t>M</t>
        </is>
      </c>
      <c r="E346" t="inlineStr">
        <is>
          <t>5554444170</t>
        </is>
      </c>
      <c r="F346" t="inlineStr">
        <is>
          <t>anthony.davis87@example.com</t>
        </is>
      </c>
      <c r="G346" t="inlineStr">
        <is>
          <t>Lakeview Heights OH 45510</t>
        </is>
      </c>
      <c r="H346" t="inlineStr">
        <is>
          <t>STATE MEDICAID</t>
        </is>
      </c>
      <c r="I346" t="inlineStr">
        <is>
          <t>03812845</t>
        </is>
      </c>
      <c r="J346" t="inlineStr">
        <is>
          <t>2009-09-11 13:34:00</t>
        </is>
      </c>
      <c r="K346" s="28" t="n"/>
      <c r="L346" s="29" t="n"/>
      <c r="M346" s="28" t="n"/>
      <c r="N346" s="28" t="n"/>
      <c r="O346" s="28" t="n"/>
      <c r="P346" s="28" t="n"/>
      <c r="Q346" s="28" t="n"/>
      <c r="R346" s="30" t="n"/>
      <c r="S346" s="28" t="n"/>
    </row>
    <row r="347">
      <c r="A347" t="inlineStr">
        <is>
          <t>R1346</t>
        </is>
      </c>
      <c r="B347" t="inlineStr">
        <is>
          <t>Bryant, Aaron</t>
        </is>
      </c>
      <c r="C347" t="inlineStr">
        <is>
          <t>04/21/1999</t>
        </is>
      </c>
      <c r="D347" t="inlineStr">
        <is>
          <t>Male</t>
        </is>
      </c>
      <c r="E347" t="inlineStr">
        <is>
          <t>(555) 729-8064</t>
        </is>
      </c>
      <c r="F347" t="inlineStr">
        <is>
          <t xml:space="preserve"> aaron.bryant51@example.com </t>
        </is>
      </c>
      <c r="G347" t="inlineStr">
        <is>
          <t>Bluestone, OH 45501-3915</t>
        </is>
      </c>
      <c r="H347" t="inlineStr">
        <is>
          <t>Keystone</t>
        </is>
      </c>
      <c r="I347" t="inlineStr">
        <is>
          <t>01167184</t>
        </is>
      </c>
      <c r="J347" t="inlineStr">
        <is>
          <t>06/08/2022 05:30 PM</t>
        </is>
      </c>
      <c r="K347" s="28" t="n"/>
      <c r="L347" s="29" t="n"/>
      <c r="M347" s="28" t="n"/>
      <c r="N347" s="28" t="n"/>
      <c r="O347" s="28" t="n"/>
      <c r="P347" s="28" t="n"/>
      <c r="Q347" s="28" t="n"/>
      <c r="R347" s="30" t="n"/>
      <c r="S347" s="28" t="n"/>
    </row>
    <row r="348">
      <c r="A348" t="inlineStr">
        <is>
          <t>R1347</t>
        </is>
      </c>
      <c r="B348" t="inlineStr">
        <is>
          <t>sanders, jeremy</t>
        </is>
      </c>
      <c r="C348" t="inlineStr">
        <is>
          <t>09.09.1977</t>
        </is>
      </c>
      <c r="D348" t="inlineStr">
        <is>
          <t>M</t>
        </is>
      </c>
      <c r="E348" t="inlineStr">
        <is>
          <t>555-535-9791</t>
        </is>
      </c>
      <c r="F348" t="inlineStr">
        <is>
          <t>jeremy.sanders77@example.com</t>
        </is>
      </c>
      <c r="G348" t="inlineStr">
        <is>
          <t>Bluestone, OH 45501-4876</t>
        </is>
      </c>
      <c r="H348" t="inlineStr">
        <is>
          <t>evergreen mutual insurance</t>
        </is>
      </c>
      <c r="I348" t="inlineStr">
        <is>
          <t>5897802</t>
        </is>
      </c>
      <c r="J348" t="inlineStr">
        <is>
          <t>06/13/2015 11:38 AM</t>
        </is>
      </c>
      <c r="K348" s="28" t="n"/>
      <c r="L348" s="29" t="n"/>
      <c r="M348" s="28" t="n"/>
      <c r="N348" s="28" t="n"/>
      <c r="O348" s="28" t="n"/>
      <c r="P348" s="28" t="n"/>
      <c r="Q348" s="28" t="n"/>
      <c r="R348" s="30" t="n"/>
      <c r="S348" s="28" t="n"/>
    </row>
    <row r="349">
      <c r="A349" t="inlineStr">
        <is>
          <t>R1348</t>
        </is>
      </c>
      <c r="B349" t="inlineStr">
        <is>
          <t>Medina, Abigail</t>
        </is>
      </c>
      <c r="C349" t="inlineStr">
        <is>
          <t>1931-01-26</t>
        </is>
      </c>
      <c r="D349" t="inlineStr">
        <is>
          <t xml:space="preserve"> F</t>
        </is>
      </c>
      <c r="E349" t="inlineStr">
        <is>
          <t>555-780-9268</t>
        </is>
      </c>
      <c r="F349" t="inlineStr">
        <is>
          <t>abigail.medina21@example.com</t>
        </is>
      </c>
      <c r="G349" t="inlineStr">
        <is>
          <t>Millbrook, OH 45530</t>
        </is>
      </c>
      <c r="H349" t="inlineStr">
        <is>
          <t>Silverline Medicare Advantage</t>
        </is>
      </c>
      <c r="I349" t="inlineStr">
        <is>
          <t>04464336</t>
        </is>
      </c>
      <c r="J349" t="inlineStr">
        <is>
          <t>2022-09-22 14:20:00</t>
        </is>
      </c>
      <c r="K349" s="28" t="n"/>
      <c r="L349" s="29" t="n"/>
      <c r="M349" s="28" t="n"/>
      <c r="N349" s="28" t="n"/>
      <c r="O349" s="28" t="n"/>
      <c r="P349" s="28" t="n"/>
      <c r="Q349" s="28" t="n"/>
      <c r="R349" s="30" t="n"/>
      <c r="S349" s="28" t="n"/>
    </row>
    <row r="350">
      <c r="A350" t="inlineStr">
        <is>
          <t>R1349</t>
        </is>
      </c>
      <c r="B350" t="inlineStr">
        <is>
          <t>Shaw, Michael</t>
        </is>
      </c>
      <c r="C350" t="inlineStr">
        <is>
          <t>5/12/1953</t>
        </is>
      </c>
      <c r="D350" t="inlineStr">
        <is>
          <t xml:space="preserve">M </t>
        </is>
      </c>
      <c r="E350" t="inlineStr">
        <is>
          <t>(555) 373-4984</t>
        </is>
      </c>
      <c r="G350" t="inlineStr">
        <is>
          <t>Ashby Falls, OH 45610</t>
        </is>
      </c>
      <c r="H350" t="inlineStr">
        <is>
          <t>Silverline Medicare Advantage</t>
        </is>
      </c>
      <c r="I350" t="inlineStr">
        <is>
          <t>MRN-00903733</t>
        </is>
      </c>
      <c r="J350" t="inlineStr">
        <is>
          <t>2014-05-14 15:59:00</t>
        </is>
      </c>
      <c r="K350" s="28" t="n"/>
      <c r="L350" s="29" t="n"/>
      <c r="M350" s="28" t="n"/>
      <c r="N350" s="28" t="n"/>
      <c r="O350" s="28" t="n"/>
      <c r="P350" s="28" t="n"/>
      <c r="Q350" s="28" t="n"/>
      <c r="R350" s="30" t="n"/>
      <c r="S350" s="28" t="n"/>
    </row>
    <row r="351">
      <c r="A351" t="inlineStr">
        <is>
          <t>R1350</t>
        </is>
      </c>
      <c r="B351" t="inlineStr">
        <is>
          <t>Kowalski, Robert</t>
        </is>
      </c>
      <c r="C351" t="inlineStr">
        <is>
          <t>1981-05-15</t>
        </is>
      </c>
      <c r="D351" t="inlineStr">
        <is>
          <t>M</t>
        </is>
      </c>
      <c r="E351" t="inlineStr">
        <is>
          <t>5553594360</t>
        </is>
      </c>
      <c r="F351" t="inlineStr">
        <is>
          <t>robert.kowalski92@example.com</t>
        </is>
      </c>
      <c r="G351" t="inlineStr">
        <is>
          <t>Fairhaven, OH 45620</t>
        </is>
      </c>
      <c r="H351" t="inlineStr">
        <is>
          <t>EVERGREEN MUTUAL INS</t>
        </is>
      </c>
      <c r="I351" t="inlineStr">
        <is>
          <t>MRN-08059670</t>
        </is>
      </c>
      <c r="J351" t="inlineStr">
        <is>
          <t>2021-08-09 15:59:00</t>
        </is>
      </c>
      <c r="K351" s="28" t="n"/>
      <c r="L351" s="29" t="n"/>
      <c r="M351" s="28" t="n"/>
      <c r="N351" s="28" t="n"/>
      <c r="O351" s="28" t="n"/>
      <c r="P351" s="28" t="n"/>
      <c r="Q351" s="28" t="n"/>
      <c r="R351" s="30" t="n"/>
      <c r="S351" s="28" t="n"/>
    </row>
    <row r="352">
      <c r="A352" t="inlineStr">
        <is>
          <t>R1351</t>
        </is>
      </c>
      <c r="B352" t="inlineStr">
        <is>
          <t>Shaw, Eugene</t>
        </is>
      </c>
      <c r="C352" t="inlineStr">
        <is>
          <t>1966-01-31</t>
        </is>
      </c>
      <c r="D352" t="inlineStr">
        <is>
          <t xml:space="preserve">M </t>
        </is>
      </c>
      <c r="E352" t="inlineStr">
        <is>
          <t>(555) 765-8513</t>
        </is>
      </c>
      <c r="F352" t="inlineStr">
        <is>
          <t>N/A</t>
        </is>
      </c>
      <c r="G352" t="inlineStr">
        <is>
          <t>BLUESTONE, OH 45501</t>
        </is>
      </c>
      <c r="H352" t="inlineStr">
        <is>
          <t>Keystone Health Partners</t>
        </is>
      </c>
      <c r="I352" t="inlineStr">
        <is>
          <t>03800736</t>
        </is>
      </c>
      <c r="J352" t="inlineStr">
        <is>
          <t>2011-05-09 11:30:00</t>
        </is>
      </c>
      <c r="K352" s="28" t="n"/>
      <c r="L352" s="29" t="n"/>
      <c r="M352" s="28" t="n"/>
      <c r="N352" s="28" t="n"/>
      <c r="O352" s="28" t="n"/>
      <c r="P352" s="28" t="n"/>
      <c r="Q352" s="28" t="n"/>
      <c r="R352" s="30" t="n"/>
      <c r="S352" s="28" t="n"/>
    </row>
    <row r="353">
      <c r="A353" t="inlineStr">
        <is>
          <t>R1352</t>
        </is>
      </c>
      <c r="B353" t="inlineStr">
        <is>
          <t>Bradley Johnston</t>
        </is>
      </c>
      <c r="C353" t="inlineStr">
        <is>
          <t>2016-03-21</t>
        </is>
      </c>
      <c r="D353" t="inlineStr">
        <is>
          <t>m</t>
        </is>
      </c>
      <c r="E353" t="inlineStr">
        <is>
          <t>(555) 987-3536</t>
        </is>
      </c>
      <c r="F353" t="inlineStr">
        <is>
          <t>N/A</t>
        </is>
      </c>
      <c r="G353" t="inlineStr">
        <is>
          <t>Pine Hollow, OH 45640-9632</t>
        </is>
      </c>
      <c r="H353" t="inlineStr">
        <is>
          <t>SUMMIT CHOICE PPO</t>
        </is>
      </c>
      <c r="I353" t="inlineStr">
        <is>
          <t>4670548</t>
        </is>
      </c>
      <c r="J353" t="inlineStr">
        <is>
          <t>05/23/2020 07:33 AM</t>
        </is>
      </c>
      <c r="K353" s="28" t="n"/>
      <c r="L353" s="29" t="n"/>
      <c r="M353" s="28" t="n"/>
      <c r="N353" s="28" t="n"/>
      <c r="O353" s="28" t="n"/>
      <c r="P353" s="28" t="n"/>
      <c r="Q353" s="28" t="n"/>
      <c r="R353" s="30" t="n"/>
      <c r="S353" s="28" t="n"/>
    </row>
    <row r="354">
      <c r="A354" t="inlineStr">
        <is>
          <t>R1353</t>
        </is>
      </c>
      <c r="B354" t="inlineStr">
        <is>
          <t xml:space="preserve">  Gardner ,  Debra </t>
        </is>
      </c>
      <c r="C354" t="inlineStr">
        <is>
          <t>08/08/1957</t>
        </is>
      </c>
      <c r="D354" t="inlineStr">
        <is>
          <t>FEMALE</t>
        </is>
      </c>
      <c r="E354" t="inlineStr">
        <is>
          <t>5558966851</t>
        </is>
      </c>
      <c r="G354" t="inlineStr">
        <is>
          <t>Granite Springs, OH 45750</t>
        </is>
      </c>
      <c r="H354" t="inlineStr">
        <is>
          <t>SILVERLINE MEDICARE ADV.</t>
        </is>
      </c>
      <c r="I354" t="inlineStr">
        <is>
          <t>08724975</t>
        </is>
      </c>
      <c r="J354" t="inlineStr">
        <is>
          <t>2015-10-18 17:13:00</t>
        </is>
      </c>
      <c r="K354" s="28" t="n"/>
      <c r="L354" s="29" t="n"/>
      <c r="M354" s="28" t="n"/>
      <c r="N354" s="28" t="n"/>
      <c r="O354" s="28" t="n"/>
      <c r="P354" s="28" t="n"/>
      <c r="Q354" s="28" t="n"/>
      <c r="R354" s="30" t="n"/>
      <c r="S354" s="28" t="n"/>
    </row>
    <row r="355">
      <c r="A355" t="inlineStr">
        <is>
          <t>R1354</t>
        </is>
      </c>
      <c r="B355" t="inlineStr">
        <is>
          <t>Wright, Jerry</t>
        </is>
      </c>
      <c r="C355" t="inlineStr">
        <is>
          <t>07.26.1948</t>
        </is>
      </c>
      <c r="D355" t="inlineStr">
        <is>
          <t>M</t>
        </is>
      </c>
      <c r="E355" t="inlineStr">
        <is>
          <t>555-385-7218</t>
        </is>
      </c>
      <c r="F355" t="inlineStr">
        <is>
          <t>jerry.wright2@example.com</t>
        </is>
      </c>
      <c r="G355" t="inlineStr">
        <is>
          <t>BLUESTONE, OH 45502</t>
        </is>
      </c>
      <c r="H355" t="inlineStr">
        <is>
          <t>MEDICARE</t>
        </is>
      </c>
      <c r="I355" t="inlineStr">
        <is>
          <t>02037200</t>
        </is>
      </c>
      <c r="J355" t="inlineStr">
        <is>
          <t>01/24/2018 08:14 AM</t>
        </is>
      </c>
      <c r="K355" s="28" t="n"/>
      <c r="L355" s="29" t="n"/>
      <c r="M355" s="28" t="n"/>
      <c r="N355" s="28" t="n"/>
      <c r="O355" s="28" t="n"/>
      <c r="P355" s="28" t="n"/>
      <c r="Q355" s="28" t="n"/>
      <c r="R355" s="30" t="n"/>
      <c r="S355" s="28" t="n"/>
    </row>
    <row r="356">
      <c r="A356" t="inlineStr">
        <is>
          <t>R1355</t>
        </is>
      </c>
      <c r="B356" t="inlineStr">
        <is>
          <t>GONZALES, VICTORIA</t>
        </is>
      </c>
      <c r="C356" t="inlineStr">
        <is>
          <t>01-Jun-2000</t>
        </is>
      </c>
      <c r="D356" t="inlineStr">
        <is>
          <t>Female</t>
        </is>
      </c>
      <c r="F356" t="inlineStr">
        <is>
          <t>victoria.gonzales23@example.com</t>
        </is>
      </c>
      <c r="G356" t="inlineStr">
        <is>
          <t>Riverbend, OH 45545</t>
        </is>
      </c>
      <c r="H356" t="inlineStr">
        <is>
          <t>KEYSTONE HEALTH PARTNERS</t>
        </is>
      </c>
      <c r="I356" t="inlineStr">
        <is>
          <t>00252890</t>
        </is>
      </c>
      <c r="J356" t="inlineStr">
        <is>
          <t>11/17/2020 01:38 PM</t>
        </is>
      </c>
      <c r="K356" s="28" t="n"/>
      <c r="L356" s="29" t="n"/>
      <c r="M356" s="28" t="n"/>
      <c r="N356" s="28" t="n"/>
      <c r="O356" s="28" t="n"/>
      <c r="P356" s="28" t="n"/>
      <c r="Q356" s="28" t="n"/>
      <c r="R356" s="30" t="n"/>
      <c r="S356" s="28" t="n"/>
    </row>
    <row r="357">
      <c r="A357" t="inlineStr">
        <is>
          <t>R1356</t>
        </is>
      </c>
      <c r="B357" t="inlineStr">
        <is>
          <t>Chavez, Ava</t>
        </is>
      </c>
      <c r="C357" t="inlineStr">
        <is>
          <t>1950-12-02</t>
        </is>
      </c>
      <c r="D357" t="inlineStr">
        <is>
          <t>F</t>
        </is>
      </c>
      <c r="E357" t="inlineStr">
        <is>
          <t>555-322-2148</t>
        </is>
      </c>
      <c r="F357" t="inlineStr">
        <is>
          <t>ava.chavez94@example.com</t>
        </is>
      </c>
      <c r="G357" t="inlineStr">
        <is>
          <t>Bluestone, OH 45501-9622</t>
        </is>
      </c>
      <c r="H357" t="inlineStr">
        <is>
          <t>Silverline Medicare Advantage</t>
        </is>
      </c>
      <c r="I357" t="inlineStr">
        <is>
          <t>00550533</t>
        </is>
      </c>
      <c r="J357" t="inlineStr">
        <is>
          <t>08/07/2022 06:11 PM</t>
        </is>
      </c>
      <c r="K357" s="28" t="n"/>
      <c r="L357" s="29" t="n"/>
      <c r="M357" s="28" t="n"/>
      <c r="N357" s="28" t="n"/>
      <c r="O357" s="28" t="n"/>
      <c r="P357" s="28" t="n"/>
      <c r="Q357" s="28" t="n"/>
      <c r="R357" s="30" t="n"/>
      <c r="S357" s="28" t="n"/>
    </row>
    <row r="358">
      <c r="A358" t="inlineStr">
        <is>
          <t>R1357</t>
        </is>
      </c>
      <c r="B358" t="inlineStr">
        <is>
          <t>Turner, Lucia</t>
        </is>
      </c>
      <c r="C358" t="inlineStr">
        <is>
          <t>2018-03-31</t>
        </is>
      </c>
      <c r="D358" t="inlineStr">
        <is>
          <t>Female</t>
        </is>
      </c>
      <c r="E358" t="inlineStr">
        <is>
          <t>(555) 579-7204</t>
        </is>
      </c>
      <c r="G358" t="inlineStr">
        <is>
          <t>Bluestone, OH 45502</t>
        </is>
      </c>
      <c r="H358" t="inlineStr">
        <is>
          <t>Summit PPO</t>
        </is>
      </c>
      <c r="I358" t="inlineStr">
        <is>
          <t>00787405</t>
        </is>
      </c>
      <c r="J358" t="inlineStr">
        <is>
          <t>08/15/2022 08:07 AM</t>
        </is>
      </c>
      <c r="K358" s="28" t="n"/>
      <c r="L358" s="29" t="n"/>
      <c r="M358" s="28" t="n"/>
      <c r="N358" s="28" t="n"/>
      <c r="O358" s="28" t="n"/>
      <c r="P358" s="28" t="n"/>
      <c r="Q358" s="28" t="n"/>
      <c r="R358" s="30" t="n"/>
      <c r="S358" s="28" t="n"/>
    </row>
    <row r="359">
      <c r="A359" t="inlineStr">
        <is>
          <t>R1358</t>
        </is>
      </c>
      <c r="B359" t="inlineStr">
        <is>
          <t>Cooper, Abigail</t>
        </is>
      </c>
      <c r="C359" t="inlineStr">
        <is>
          <t>28-Feb-1958</t>
        </is>
      </c>
      <c r="D359" t="inlineStr">
        <is>
          <t>F</t>
        </is>
      </c>
      <c r="E359" t="inlineStr">
        <is>
          <t>555-918-4173</t>
        </is>
      </c>
      <c r="F359" t="inlineStr">
        <is>
          <t>abigail.cooper73@example.com</t>
        </is>
      </c>
      <c r="G359" t="inlineStr">
        <is>
          <t>Bluestone, OH 45501-9319</t>
        </is>
      </c>
      <c r="H359" t="inlineStr">
        <is>
          <t>MEDICARE</t>
        </is>
      </c>
      <c r="I359" t="inlineStr">
        <is>
          <t>00477549</t>
        </is>
      </c>
      <c r="J359" t="inlineStr">
        <is>
          <t>09/10/2020 09:53 AM</t>
        </is>
      </c>
      <c r="K359" s="28" t="n"/>
      <c r="L359" s="29" t="n"/>
      <c r="M359" s="28" t="n"/>
      <c r="N359" s="28" t="n"/>
      <c r="O359" s="28" t="n"/>
      <c r="P359" s="28" t="n"/>
      <c r="Q359" s="28" t="n"/>
      <c r="R359" s="30" t="n"/>
      <c r="S359" s="28" t="n"/>
    </row>
    <row r="360">
      <c r="A360" t="inlineStr">
        <is>
          <t>R1359</t>
        </is>
      </c>
      <c r="B360" t="inlineStr">
        <is>
          <t>Marshall, Diane</t>
        </is>
      </c>
      <c r="C360" t="inlineStr">
        <is>
          <t>11/09/1975</t>
        </is>
      </c>
      <c r="D360" t="inlineStr">
        <is>
          <t>FEMALE</t>
        </is>
      </c>
      <c r="E360" t="inlineStr">
        <is>
          <t>(555) 669-5712</t>
        </is>
      </c>
      <c r="G360" t="inlineStr">
        <is>
          <t>Bluestone, OH 45502</t>
        </is>
      </c>
      <c r="H360" t="inlineStr">
        <is>
          <t>Medicaid</t>
        </is>
      </c>
      <c r="I360" t="inlineStr">
        <is>
          <t>08147910</t>
        </is>
      </c>
      <c r="J360" t="inlineStr">
        <is>
          <t>2019-02-07 09:48:00</t>
        </is>
      </c>
      <c r="K360" s="28" t="n"/>
      <c r="L360" s="29" t="n"/>
      <c r="M360" s="28" t="n"/>
      <c r="N360" s="28" t="n"/>
      <c r="O360" s="28" t="n"/>
      <c r="P360" s="28" t="n"/>
      <c r="Q360" s="28" t="n"/>
      <c r="R360" s="30" t="n"/>
      <c r="S360" s="28" t="n"/>
    </row>
    <row r="361">
      <c r="A361" t="inlineStr">
        <is>
          <t>R1360</t>
        </is>
      </c>
      <c r="B361" t="inlineStr">
        <is>
          <t>wilson, rebecca</t>
        </is>
      </c>
      <c r="C361" t="inlineStr">
        <is>
          <t>08-Apr-1992</t>
        </is>
      </c>
      <c r="D361" t="inlineStr">
        <is>
          <t xml:space="preserve"> F</t>
        </is>
      </c>
      <c r="E361" t="inlineStr">
        <is>
          <t>(555) 243-5347</t>
        </is>
      </c>
      <c r="F361" t="inlineStr">
        <is>
          <t>N/A</t>
        </is>
      </c>
      <c r="G361" t="inlineStr">
        <is>
          <t>FAIRHAVEN, OH 45620</t>
        </is>
      </c>
      <c r="H361" t="inlineStr">
        <is>
          <t>Medicaid</t>
        </is>
      </c>
      <c r="I361" t="inlineStr">
        <is>
          <t>08079623</t>
        </is>
      </c>
      <c r="J361" t="inlineStr">
        <is>
          <t>2013-05-20 11:52:00</t>
        </is>
      </c>
      <c r="K361" s="28" t="n"/>
      <c r="L361" s="29" t="n"/>
      <c r="M361" s="28" t="n"/>
      <c r="N361" s="28" t="n"/>
      <c r="O361" s="28" t="n"/>
      <c r="P361" s="28" t="n"/>
      <c r="Q361" s="28" t="n"/>
      <c r="R361" s="30" t="n"/>
      <c r="S361" s="28" t="n"/>
    </row>
    <row r="362">
      <c r="A362" t="inlineStr">
        <is>
          <t>R1361</t>
        </is>
      </c>
      <c r="B362" t="inlineStr">
        <is>
          <t>myers, mei</t>
        </is>
      </c>
      <c r="C362" t="inlineStr">
        <is>
          <t>11/17/1934</t>
        </is>
      </c>
      <c r="D362" t="inlineStr">
        <is>
          <t>F</t>
        </is>
      </c>
      <c r="E362" t="inlineStr">
        <is>
          <t>5555913655</t>
        </is>
      </c>
      <c r="G362" t="inlineStr">
        <is>
          <t>Lakeview Heights OH 45510</t>
        </is>
      </c>
      <c r="H362" t="inlineStr">
        <is>
          <t>STATE MEDICAID</t>
        </is>
      </c>
      <c r="I362" t="inlineStr">
        <is>
          <t>09177941</t>
        </is>
      </c>
      <c r="J362" t="inlineStr">
        <is>
          <t>01/19/2013 09:39 AM</t>
        </is>
      </c>
      <c r="K362" s="28" t="n"/>
      <c r="L362" s="29" t="n"/>
      <c r="M362" s="28" t="n"/>
      <c r="N362" s="28" t="n"/>
      <c r="O362" s="28" t="n"/>
      <c r="P362" s="28" t="n"/>
      <c r="Q362" s="28" t="n"/>
      <c r="R362" s="30" t="n"/>
      <c r="S362" s="28" t="n"/>
    </row>
    <row r="363">
      <c r="A363" t="inlineStr">
        <is>
          <t>R1362</t>
        </is>
      </c>
      <c r="B363" t="inlineStr">
        <is>
          <t>Castro, Evelyn</t>
        </is>
      </c>
      <c r="C363" t="inlineStr">
        <is>
          <t>07/28/1954</t>
        </is>
      </c>
      <c r="D363" t="inlineStr">
        <is>
          <t>f</t>
        </is>
      </c>
      <c r="E363" t="inlineStr">
        <is>
          <t>5556160207</t>
        </is>
      </c>
      <c r="F363" t="inlineStr">
        <is>
          <t>evelyn.castro83@example.com</t>
        </is>
      </c>
      <c r="G363" t="inlineStr">
        <is>
          <t>Millbrook, OH 45530</t>
        </is>
      </c>
      <c r="H363" t="inlineStr">
        <is>
          <t>Medicare Part A</t>
        </is>
      </c>
      <c r="I363" t="inlineStr">
        <is>
          <t>09209071</t>
        </is>
      </c>
      <c r="J363" t="inlineStr">
        <is>
          <t>2023-09-27 17:53:00</t>
        </is>
      </c>
      <c r="K363" s="28" t="n"/>
      <c r="L363" s="29" t="n"/>
      <c r="M363" s="28" t="n"/>
      <c r="N363" s="28" t="n"/>
      <c r="O363" s="28" t="n"/>
      <c r="P363" s="28" t="n"/>
      <c r="Q363" s="28" t="n"/>
      <c r="R363" s="30" t="n"/>
      <c r="S363" s="28" t="n"/>
    </row>
    <row r="364">
      <c r="A364" t="inlineStr">
        <is>
          <t>R1363</t>
        </is>
      </c>
      <c r="B364" t="inlineStr">
        <is>
          <t>Holmes, Samuel</t>
        </is>
      </c>
      <c r="C364" t="inlineStr">
        <is>
          <t>12.17.1980</t>
        </is>
      </c>
      <c r="D364" t="inlineStr">
        <is>
          <t>m</t>
        </is>
      </c>
      <c r="E364" t="inlineStr">
        <is>
          <t>5553284327</t>
        </is>
      </c>
      <c r="F364" t="inlineStr">
        <is>
          <t>N/A</t>
        </is>
      </c>
      <c r="G364" t="inlineStr">
        <is>
          <t>Bluestone OH 45502</t>
        </is>
      </c>
      <c r="H364" t="inlineStr">
        <is>
          <t>KEYSTONE HEALTH PARTNERS</t>
        </is>
      </c>
      <c r="I364" t="inlineStr">
        <is>
          <t>06048168</t>
        </is>
      </c>
      <c r="J364" t="inlineStr">
        <is>
          <t>2023-06-05 07:59:00</t>
        </is>
      </c>
      <c r="K364" s="28" t="n"/>
      <c r="L364" s="29" t="n"/>
      <c r="M364" s="28" t="n"/>
      <c r="N364" s="28" t="n"/>
      <c r="O364" s="28" t="n"/>
      <c r="P364" s="28" t="n"/>
      <c r="Q364" s="28" t="n"/>
      <c r="R364" s="30" t="n"/>
      <c r="S364" s="28" t="n"/>
    </row>
    <row r="365">
      <c r="A365" t="inlineStr">
        <is>
          <t>R1364</t>
        </is>
      </c>
      <c r="B365" t="inlineStr">
        <is>
          <t>Randy Vazquez</t>
        </is>
      </c>
      <c r="C365" t="inlineStr">
        <is>
          <t>12/24/1991</t>
        </is>
      </c>
      <c r="D365" t="inlineStr">
        <is>
          <t>M</t>
        </is>
      </c>
      <c r="E365" t="inlineStr">
        <is>
          <t>(555) 661-2671</t>
        </is>
      </c>
      <c r="F365" t="inlineStr">
        <is>
          <t>none</t>
        </is>
      </c>
      <c r="G365" t="inlineStr">
        <is>
          <t>Cedar Ridge OH 45720</t>
        </is>
      </c>
      <c r="H365" t="inlineStr">
        <is>
          <t>Self Pay</t>
        </is>
      </c>
      <c r="I365" t="inlineStr">
        <is>
          <t>06412541</t>
        </is>
      </c>
      <c r="J365" t="inlineStr">
        <is>
          <t>11/05/2017 12:14 PM</t>
        </is>
      </c>
      <c r="K365" s="28" t="n"/>
      <c r="L365" s="29" t="n"/>
      <c r="M365" s="28" t="n"/>
      <c r="N365" s="28" t="n"/>
      <c r="O365" s="28" t="n"/>
      <c r="P365" s="28" t="n"/>
      <c r="Q365" s="28" t="n"/>
      <c r="R365" s="30" t="n"/>
      <c r="S365" s="28" t="n"/>
    </row>
    <row r="366">
      <c r="A366" t="inlineStr">
        <is>
          <t>R1365</t>
        </is>
      </c>
      <c r="B366" t="inlineStr">
        <is>
          <t>Jacqueline Wright</t>
        </is>
      </c>
      <c r="C366" t="inlineStr">
        <is>
          <t>10/03/2021</t>
        </is>
      </c>
      <c r="D366" t="inlineStr">
        <is>
          <t xml:space="preserve"> F</t>
        </is>
      </c>
      <c r="E366" t="inlineStr">
        <is>
          <t>555-573-3296</t>
        </is>
      </c>
      <c r="G366" t="inlineStr">
        <is>
          <t>Fairhaven, OH 45620-9009</t>
        </is>
      </c>
      <c r="H366" t="inlineStr">
        <is>
          <t>Keystone Health Ptnrs</t>
        </is>
      </c>
      <c r="I366" t="inlineStr">
        <is>
          <t>6177614</t>
        </is>
      </c>
      <c r="J366" t="inlineStr">
        <is>
          <t>05/13/2022 07:28 AM</t>
        </is>
      </c>
      <c r="K366" s="28" t="n"/>
      <c r="L366" s="29" t="n"/>
      <c r="M366" s="28" t="n"/>
      <c r="N366" s="28" t="n"/>
      <c r="O366" s="28" t="n"/>
      <c r="P366" s="28" t="n"/>
      <c r="Q366" s="28" t="n"/>
      <c r="R366" s="30" t="n"/>
      <c r="S366" s="28" t="n"/>
    </row>
    <row r="367">
      <c r="A367" t="inlineStr">
        <is>
          <t>R1366</t>
        </is>
      </c>
      <c r="B367" t="inlineStr">
        <is>
          <t>Jeffrey Gomez</t>
        </is>
      </c>
      <c r="C367" t="inlineStr">
        <is>
          <t>18-May-1993</t>
        </is>
      </c>
      <c r="D367" t="inlineStr">
        <is>
          <t xml:space="preserve">M </t>
        </is>
      </c>
      <c r="E367" t="inlineStr">
        <is>
          <t>555-567-4231</t>
        </is>
      </c>
      <c r="F367" t="inlineStr">
        <is>
          <t>none</t>
        </is>
      </c>
      <c r="G367" t="inlineStr">
        <is>
          <t>Cedar Ridge, OH 45720</t>
        </is>
      </c>
      <c r="H367" t="inlineStr">
        <is>
          <t>Keystone Health Partners</t>
        </is>
      </c>
      <c r="I367" t="inlineStr">
        <is>
          <t>3731552</t>
        </is>
      </c>
      <c r="J367" t="inlineStr">
        <is>
          <t>2014-05-02 17:33:00</t>
        </is>
      </c>
      <c r="K367" s="28" t="n"/>
      <c r="L367" s="29" t="n"/>
      <c r="M367" s="28" t="n"/>
      <c r="N367" s="28" t="n"/>
      <c r="O367" s="28" t="n"/>
      <c r="P367" s="28" t="n"/>
      <c r="Q367" s="28" t="n"/>
      <c r="R367" s="30" t="n"/>
      <c r="S367" s="28" t="n"/>
    </row>
    <row r="368">
      <c r="A368" t="inlineStr">
        <is>
          <t>R1367</t>
        </is>
      </c>
      <c r="B368" t="inlineStr">
        <is>
          <t xml:space="preserve">  Sanders ,  Jeremy </t>
        </is>
      </c>
      <c r="C368" t="inlineStr">
        <is>
          <t>09-Sep-1977</t>
        </is>
      </c>
      <c r="D368" t="inlineStr">
        <is>
          <t>MALE</t>
        </is>
      </c>
      <c r="E368" t="inlineStr">
        <is>
          <t>555-535-9791</t>
        </is>
      </c>
      <c r="F368" t="inlineStr">
        <is>
          <t>jeremy.sanders77@example.com</t>
        </is>
      </c>
      <c r="G368" t="inlineStr">
        <is>
          <t>Bluestone, OH 45501</t>
        </is>
      </c>
      <c r="H368" t="inlineStr">
        <is>
          <t>EVERGREEN MUTUAL INS</t>
        </is>
      </c>
      <c r="I368" t="inlineStr">
        <is>
          <t>05897802</t>
        </is>
      </c>
      <c r="J368" t="inlineStr">
        <is>
          <t>2015-06-13 17:37:00</t>
        </is>
      </c>
      <c r="K368" s="28" t="n"/>
      <c r="L368" s="29" t="n"/>
      <c r="M368" s="28" t="n"/>
      <c r="N368" s="28" t="n"/>
      <c r="O368" s="28" t="n"/>
      <c r="P368" s="28" t="n"/>
      <c r="Q368" s="28" t="n"/>
      <c r="R368" s="30" t="n"/>
      <c r="S368" s="28" t="n"/>
    </row>
    <row r="369">
      <c r="A369" t="inlineStr">
        <is>
          <t>R1368</t>
        </is>
      </c>
      <c r="B369" t="inlineStr">
        <is>
          <t>coleman, shirley</t>
        </is>
      </c>
      <c r="C369" t="inlineStr">
        <is>
          <t>1949-11-11</t>
        </is>
      </c>
      <c r="D369" t="inlineStr">
        <is>
          <t>FEMALE</t>
        </is>
      </c>
      <c r="E369" t="inlineStr">
        <is>
          <t>555-211-0116</t>
        </is>
      </c>
      <c r="F369" t="inlineStr">
        <is>
          <t>N/A</t>
        </is>
      </c>
      <c r="G369" t="inlineStr">
        <is>
          <t>Bluestone, OH 45503</t>
        </is>
      </c>
      <c r="H369" t="inlineStr">
        <is>
          <t>SILVERLINE MEDICARE ADV.</t>
        </is>
      </c>
      <c r="I369" t="inlineStr">
        <is>
          <t>6141586</t>
        </is>
      </c>
      <c r="J369" t="inlineStr">
        <is>
          <t>05/13/2012 12:06 PM</t>
        </is>
      </c>
      <c r="K369" s="28" t="n"/>
      <c r="L369" s="29" t="n"/>
      <c r="M369" s="28" t="n"/>
      <c r="N369" s="28" t="n"/>
      <c r="O369" s="28" t="n"/>
      <c r="P369" s="28" t="n"/>
      <c r="Q369" s="28" t="n"/>
      <c r="R369" s="30" t="n"/>
      <c r="S369" s="28" t="n"/>
    </row>
    <row r="370">
      <c r="A370" t="inlineStr">
        <is>
          <t>R1369</t>
        </is>
      </c>
      <c r="B370" t="inlineStr">
        <is>
          <t>RYAN, RUTH</t>
        </is>
      </c>
      <c r="C370" t="inlineStr">
        <is>
          <t>12/16/2016</t>
        </is>
      </c>
      <c r="D370" t="inlineStr">
        <is>
          <t>FEMALE</t>
        </is>
      </c>
      <c r="E370" t="inlineStr">
        <is>
          <t>5554179950</t>
        </is>
      </c>
      <c r="F370" t="inlineStr">
        <is>
          <t>N/A</t>
        </is>
      </c>
      <c r="G370" t="inlineStr">
        <is>
          <t>Riverbend, OH 45545-7729</t>
        </is>
      </c>
      <c r="H370" t="inlineStr">
        <is>
          <t>Medicaid</t>
        </is>
      </c>
      <c r="I370" t="inlineStr">
        <is>
          <t>MRN-06523104</t>
        </is>
      </c>
      <c r="J370" t="inlineStr">
        <is>
          <t>2020-02-20 13:50:00</t>
        </is>
      </c>
      <c r="K370" s="28" t="n"/>
      <c r="L370" s="29" t="n"/>
      <c r="M370" s="28" t="n"/>
      <c r="N370" s="28" t="n"/>
      <c r="O370" s="28" t="n"/>
      <c r="P370" s="28" t="n"/>
      <c r="Q370" s="28" t="n"/>
      <c r="R370" s="30" t="n"/>
      <c r="S370" s="28" t="n"/>
    </row>
    <row r="371">
      <c r="A371" t="inlineStr">
        <is>
          <t>R1370</t>
        </is>
      </c>
      <c r="B371" t="inlineStr">
        <is>
          <t>Mateo Lawrence</t>
        </is>
      </c>
      <c r="C371" t="inlineStr">
        <is>
          <t>04/07/1992</t>
        </is>
      </c>
      <c r="D371" t="inlineStr">
        <is>
          <t>MALE</t>
        </is>
      </c>
      <c r="E371" t="inlineStr">
        <is>
          <t>5558714798</t>
        </is>
      </c>
      <c r="F371" t="inlineStr">
        <is>
          <t>mateo.lawrence49@example.com</t>
        </is>
      </c>
      <c r="G371" t="inlineStr">
        <is>
          <t>Ashby Falls, OH 45610</t>
        </is>
      </c>
      <c r="H371" t="inlineStr">
        <is>
          <t>Evergreen Mutual Insurance</t>
        </is>
      </c>
      <c r="I371" t="inlineStr">
        <is>
          <t>03195031</t>
        </is>
      </c>
      <c r="J371" t="inlineStr">
        <is>
          <t>2014-12-17 14:30:00</t>
        </is>
      </c>
      <c r="K371" s="28" t="n"/>
      <c r="L371" s="29" t="n"/>
      <c r="M371" s="28" t="n"/>
      <c r="N371" s="28" t="n"/>
      <c r="O371" s="28" t="n"/>
      <c r="P371" s="28" t="n"/>
      <c r="Q371" s="28" t="n"/>
      <c r="R371" s="30" t="n"/>
      <c r="S371" s="28" t="n"/>
    </row>
    <row r="372">
      <c r="A372" t="inlineStr">
        <is>
          <t>R1371</t>
        </is>
      </c>
      <c r="B372" t="inlineStr">
        <is>
          <t>FLORES, JANICE</t>
        </is>
      </c>
      <c r="C372" t="inlineStr">
        <is>
          <t>09/09/1947</t>
        </is>
      </c>
      <c r="D372" t="inlineStr">
        <is>
          <t>F</t>
        </is>
      </c>
      <c r="E372" t="inlineStr">
        <is>
          <t>(555) 615-5780</t>
        </is>
      </c>
      <c r="F372" t="inlineStr">
        <is>
          <t>N/A</t>
        </is>
      </c>
      <c r="G372" t="inlineStr">
        <is>
          <t>Bluestone OH 45502</t>
        </is>
      </c>
      <c r="H372" t="inlineStr">
        <is>
          <t xml:space="preserve">Medicare </t>
        </is>
      </c>
      <c r="I372" t="inlineStr">
        <is>
          <t>3928116</t>
        </is>
      </c>
      <c r="J372" t="inlineStr">
        <is>
          <t>2017-09-20 13:40:00</t>
        </is>
      </c>
      <c r="K372" s="28" t="n"/>
      <c r="L372" s="29" t="n"/>
      <c r="M372" s="28" t="n"/>
      <c r="N372" s="28" t="n"/>
      <c r="O372" s="28" t="n"/>
      <c r="P372" s="28" t="n"/>
      <c r="Q372" s="28" t="n"/>
      <c r="R372" s="30" t="n"/>
      <c r="S372" s="28" t="n"/>
    </row>
    <row r="373">
      <c r="A373" t="inlineStr">
        <is>
          <t>R1372</t>
        </is>
      </c>
      <c r="B373" t="inlineStr">
        <is>
          <t>Novak, Larry</t>
        </is>
      </c>
      <c r="C373" t="inlineStr">
        <is>
          <t>1990-05-13</t>
        </is>
      </c>
      <c r="D373" t="inlineStr">
        <is>
          <t xml:space="preserve">M </t>
        </is>
      </c>
      <c r="E373" t="inlineStr">
        <is>
          <t>+1 555 246 8236</t>
        </is>
      </c>
      <c r="G373" t="inlineStr">
        <is>
          <t>Cedar Ridge, OH 45720</t>
        </is>
      </c>
      <c r="H373" t="inlineStr">
        <is>
          <t>Self Pay</t>
        </is>
      </c>
      <c r="I373" t="inlineStr">
        <is>
          <t>09205091</t>
        </is>
      </c>
      <c r="J373" t="inlineStr">
        <is>
          <t>06/15/2023 11:42 AM</t>
        </is>
      </c>
      <c r="K373" s="28" t="n"/>
      <c r="L373" s="29" t="n"/>
      <c r="M373" s="28" t="n"/>
      <c r="N373" s="28" t="n"/>
      <c r="O373" s="28" t="n"/>
      <c r="P373" s="28" t="n"/>
      <c r="Q373" s="28" t="n"/>
      <c r="R373" s="30" t="n"/>
      <c r="S373" s="28" t="n"/>
    </row>
    <row r="374">
      <c r="A374" t="inlineStr">
        <is>
          <t>R1373</t>
        </is>
      </c>
      <c r="B374" t="inlineStr">
        <is>
          <t>Flores, Doris</t>
        </is>
      </c>
      <c r="C374" t="inlineStr">
        <is>
          <t>1974-08-22</t>
        </is>
      </c>
      <c r="D374" t="inlineStr">
        <is>
          <t>F</t>
        </is>
      </c>
      <c r="E374" t="inlineStr">
        <is>
          <t>(555) 870-8449</t>
        </is>
      </c>
      <c r="F374" t="inlineStr">
        <is>
          <t xml:space="preserve"> doris.flores20@example.com </t>
        </is>
      </c>
      <c r="G374" t="inlineStr">
        <is>
          <t>Fairhaven, OH 45620-4177</t>
        </is>
      </c>
      <c r="H374" t="inlineStr">
        <is>
          <t>State Medicaid</t>
        </is>
      </c>
      <c r="I374" t="inlineStr">
        <is>
          <t>07532010</t>
        </is>
      </c>
      <c r="J374" t="inlineStr">
        <is>
          <t>2012-08-04 11:16:00</t>
        </is>
      </c>
      <c r="K374" s="28" t="n"/>
      <c r="L374" s="29" t="n"/>
      <c r="M374" s="28" t="n"/>
      <c r="N374" s="28" t="n"/>
      <c r="O374" s="28" t="n"/>
      <c r="P374" s="28" t="n"/>
      <c r="Q374" s="28" t="n"/>
      <c r="R374" s="30" t="n"/>
      <c r="S374" s="28" t="n"/>
    </row>
    <row r="375">
      <c r="A375" t="inlineStr">
        <is>
          <t>R1374</t>
        </is>
      </c>
      <c r="B375" t="inlineStr">
        <is>
          <t>Roberts, Aaron</t>
        </is>
      </c>
      <c r="C375" t="inlineStr">
        <is>
          <t>11/23/1969</t>
        </is>
      </c>
      <c r="D375" t="inlineStr">
        <is>
          <t>M</t>
        </is>
      </c>
      <c r="E375" t="inlineStr">
        <is>
          <t>5555881445</t>
        </is>
      </c>
      <c r="F375" t="inlineStr">
        <is>
          <t xml:space="preserve"> aaron.roberts46@example.com </t>
        </is>
      </c>
      <c r="G375" t="inlineStr">
        <is>
          <t>Bluestone, OH 45502</t>
        </is>
      </c>
      <c r="H375" t="inlineStr">
        <is>
          <t>Evergreen Mutual Insurance</t>
        </is>
      </c>
      <c r="I375" t="inlineStr">
        <is>
          <t>08274115</t>
        </is>
      </c>
      <c r="J375" t="inlineStr">
        <is>
          <t>2023-04-27 13:46:00</t>
        </is>
      </c>
      <c r="K375" s="28" t="n"/>
      <c r="L375" s="29" t="n"/>
      <c r="M375" s="28" t="n"/>
      <c r="N375" s="28" t="n"/>
      <c r="O375" s="28" t="n"/>
      <c r="P375" s="28" t="n"/>
      <c r="Q375" s="28" t="n"/>
      <c r="R375" s="30" t="n"/>
      <c r="S375" s="28" t="n"/>
    </row>
    <row r="376">
      <c r="A376" t="inlineStr">
        <is>
          <t>R1375</t>
        </is>
      </c>
      <c r="B376" t="inlineStr">
        <is>
          <t>CLARK, HENRY</t>
        </is>
      </c>
      <c r="C376" t="inlineStr">
        <is>
          <t>1950-01-20</t>
        </is>
      </c>
      <c r="D376" t="inlineStr">
        <is>
          <t>MALE</t>
        </is>
      </c>
      <c r="E376" t="inlineStr">
        <is>
          <t>5555901437</t>
        </is>
      </c>
      <c r="F376" t="inlineStr">
        <is>
          <t>HENRY.CLARK50@EXAMPLE.COM</t>
        </is>
      </c>
      <c r="G376" t="inlineStr">
        <is>
          <t>Riverbend, OH 45545</t>
        </is>
      </c>
      <c r="H376" t="inlineStr">
        <is>
          <t>Medicare</t>
        </is>
      </c>
      <c r="I376" t="inlineStr">
        <is>
          <t>9838136</t>
        </is>
      </c>
      <c r="J376" t="inlineStr">
        <is>
          <t>08/18/2008 11:37 AM</t>
        </is>
      </c>
      <c r="K376" s="28" t="n"/>
      <c r="L376" s="29" t="n"/>
      <c r="M376" s="28" t="n"/>
      <c r="N376" s="28" t="n"/>
      <c r="O376" s="28" t="n"/>
      <c r="P376" s="28" t="n"/>
      <c r="Q376" s="28" t="n"/>
      <c r="R376" s="30" t="n"/>
      <c r="S376" s="28" t="n"/>
    </row>
    <row r="377">
      <c r="A377" t="inlineStr">
        <is>
          <t>R1376</t>
        </is>
      </c>
      <c r="B377" t="inlineStr">
        <is>
          <t>cruz, paul</t>
        </is>
      </c>
      <c r="C377" t="inlineStr">
        <is>
          <t>11-Apr-1958</t>
        </is>
      </c>
      <c r="D377" t="inlineStr">
        <is>
          <t>m</t>
        </is>
      </c>
      <c r="E377" t="inlineStr">
        <is>
          <t>555-987-8128</t>
        </is>
      </c>
      <c r="G377" t="inlineStr">
        <is>
          <t>Riverbend, OH 45545</t>
        </is>
      </c>
      <c r="H377" t="inlineStr">
        <is>
          <t>medicare</t>
        </is>
      </c>
      <c r="I377" t="inlineStr">
        <is>
          <t>08247600</t>
        </is>
      </c>
      <c r="J377" t="inlineStr">
        <is>
          <t>2023-09-08 11:02:00</t>
        </is>
      </c>
      <c r="K377" s="28" t="n"/>
      <c r="L377" s="29" t="n"/>
      <c r="M377" s="28" t="n"/>
      <c r="N377" s="28" t="n"/>
      <c r="O377" s="28" t="n"/>
      <c r="P377" s="28" t="n"/>
      <c r="Q377" s="28" t="n"/>
      <c r="R377" s="30" t="n"/>
      <c r="S377" s="28" t="n"/>
    </row>
    <row r="378">
      <c r="A378" t="inlineStr">
        <is>
          <t>R1377</t>
        </is>
      </c>
      <c r="B378" t="inlineStr">
        <is>
          <t>Aguilar, George</t>
        </is>
      </c>
      <c r="C378" t="inlineStr">
        <is>
          <t>01/11/1995</t>
        </is>
      </c>
      <c r="D378" t="inlineStr">
        <is>
          <t xml:space="preserve">M </t>
        </is>
      </c>
      <c r="E378" t="inlineStr">
        <is>
          <t>555.519.1314</t>
        </is>
      </c>
      <c r="F378" t="inlineStr">
        <is>
          <t>george.aguilar9@example.com</t>
        </is>
      </c>
      <c r="G378" t="inlineStr">
        <is>
          <t>BLUESTONE, OH 45503</t>
        </is>
      </c>
      <c r="H378" t="inlineStr">
        <is>
          <t>evergreen mutual insurance</t>
        </is>
      </c>
      <c r="I378" t="inlineStr">
        <is>
          <t>01825933</t>
        </is>
      </c>
      <c r="J378" t="inlineStr">
        <is>
          <t>2011-08-03 11:24:00</t>
        </is>
      </c>
      <c r="K378" s="28" t="n"/>
      <c r="L378" s="29" t="n"/>
      <c r="M378" s="28" t="n"/>
      <c r="N378" s="28" t="n"/>
      <c r="O378" s="28" t="n"/>
      <c r="P378" s="28" t="n"/>
      <c r="Q378" s="28" t="n"/>
      <c r="R378" s="30" t="n"/>
      <c r="S378" s="28" t="n"/>
    </row>
    <row r="379">
      <c r="A379" t="inlineStr">
        <is>
          <t>R1378</t>
        </is>
      </c>
      <c r="B379" t="inlineStr">
        <is>
          <t>hernandez, aaliyah</t>
        </is>
      </c>
      <c r="C379" t="inlineStr">
        <is>
          <t>30-Jan-1973</t>
        </is>
      </c>
      <c r="D379" t="inlineStr">
        <is>
          <t>F</t>
        </is>
      </c>
      <c r="E379" t="inlineStr">
        <is>
          <t>(555) 357-4334</t>
        </is>
      </c>
      <c r="F379" t="inlineStr">
        <is>
          <t>AALIYAH.HERNANDEZ29@EXAMPLE.COM</t>
        </is>
      </c>
      <c r="G379" t="inlineStr">
        <is>
          <t>Bluestone, OH 45501</t>
        </is>
      </c>
      <c r="H379" t="inlineStr">
        <is>
          <t>EVERGREEN MUTUAL INS</t>
        </is>
      </c>
      <c r="I379" t="inlineStr">
        <is>
          <t>05132014</t>
        </is>
      </c>
      <c r="J379" t="inlineStr">
        <is>
          <t>2009-01-25 17:33:00</t>
        </is>
      </c>
      <c r="K379" s="28" t="n"/>
      <c r="L379" s="29" t="n"/>
      <c r="M379" s="28" t="n"/>
      <c r="N379" s="28" t="n"/>
      <c r="O379" s="28" t="n"/>
      <c r="P379" s="28" t="n"/>
      <c r="Q379" s="28" t="n"/>
      <c r="R379" s="30" t="n"/>
      <c r="S379" s="28" t="n"/>
    </row>
    <row r="380">
      <c r="A380" t="inlineStr">
        <is>
          <t>R1379</t>
        </is>
      </c>
      <c r="B380" t="inlineStr">
        <is>
          <t>jenkins, cynthia</t>
        </is>
      </c>
      <c r="C380" t="inlineStr">
        <is>
          <t>07-Mar-1965</t>
        </is>
      </c>
      <c r="D380" t="inlineStr">
        <is>
          <t>F</t>
        </is>
      </c>
      <c r="E380" t="inlineStr">
        <is>
          <t>555-874-2561</t>
        </is>
      </c>
      <c r="F380" t="inlineStr">
        <is>
          <t>cynthia.jenkins67@example.com</t>
        </is>
      </c>
      <c r="G380" t="inlineStr">
        <is>
          <t>Oak Glen, OH 45730</t>
        </is>
      </c>
      <c r="H380" t="inlineStr">
        <is>
          <t>STATE MEDICAID</t>
        </is>
      </c>
      <c r="I380" t="inlineStr">
        <is>
          <t>00538877</t>
        </is>
      </c>
      <c r="J380" t="inlineStr">
        <is>
          <t>01/20/2019 05:00 PM</t>
        </is>
      </c>
      <c r="K380" s="28" t="n"/>
      <c r="L380" s="29" t="n"/>
      <c r="M380" s="28" t="n"/>
      <c r="N380" s="28" t="n"/>
      <c r="O380" s="28" t="n"/>
      <c r="P380" s="28" t="n"/>
      <c r="Q380" s="28" t="n"/>
      <c r="R380" s="30" t="n"/>
      <c r="S380" s="28" t="n"/>
    </row>
    <row r="381">
      <c r="A381" t="inlineStr">
        <is>
          <t>R1380</t>
        </is>
      </c>
      <c r="B381" t="inlineStr">
        <is>
          <t>Fisher, Henry</t>
        </is>
      </c>
      <c r="C381" t="inlineStr">
        <is>
          <t>07/01/2004</t>
        </is>
      </c>
      <c r="D381" t="inlineStr">
        <is>
          <t>M</t>
        </is>
      </c>
      <c r="E381" t="inlineStr">
        <is>
          <t>(555) 712-6362</t>
        </is>
      </c>
      <c r="G381" t="inlineStr">
        <is>
          <t>Bluestone, OH 45503-7959</t>
        </is>
      </c>
      <c r="H381" t="inlineStr">
        <is>
          <t>evergreen mutual insurance</t>
        </is>
      </c>
      <c r="I381" t="inlineStr">
        <is>
          <t>05189138</t>
        </is>
      </c>
      <c r="J381" t="inlineStr">
        <is>
          <t>08/24/2017 09:41 AM</t>
        </is>
      </c>
      <c r="K381" s="28" t="n"/>
      <c r="L381" s="29" t="n"/>
      <c r="M381" s="28" t="n"/>
      <c r="N381" s="28" t="n"/>
      <c r="O381" s="28" t="n"/>
      <c r="P381" s="28" t="n"/>
      <c r="Q381" s="28" t="n"/>
      <c r="R381" s="30" t="n"/>
      <c r="S381" s="28" t="n"/>
    </row>
    <row r="382">
      <c r="A382" t="inlineStr">
        <is>
          <t>R1381</t>
        </is>
      </c>
      <c r="B382" t="inlineStr">
        <is>
          <t>kim, angela</t>
        </is>
      </c>
      <c r="C382" t="inlineStr">
        <is>
          <t>05/22/1964</t>
        </is>
      </c>
      <c r="D382" t="inlineStr">
        <is>
          <t>F</t>
        </is>
      </c>
      <c r="E382" t="inlineStr">
        <is>
          <t>555.516.5844</t>
        </is>
      </c>
      <c r="F382" t="inlineStr">
        <is>
          <t>angela.kim4@example.com</t>
        </is>
      </c>
      <c r="G382" t="inlineStr">
        <is>
          <t>Bluestone, OH 45501-5311</t>
        </is>
      </c>
      <c r="H382" t="inlineStr">
        <is>
          <t>EVERGREEN MUTUAL INS</t>
        </is>
      </c>
      <c r="I382" t="inlineStr">
        <is>
          <t>6569579</t>
        </is>
      </c>
      <c r="J382" t="inlineStr">
        <is>
          <t>2015-12-05 12:09:00</t>
        </is>
      </c>
      <c r="K382" s="28" t="n"/>
      <c r="L382" s="29" t="n"/>
      <c r="M382" s="28" t="n"/>
      <c r="N382" s="28" t="n"/>
      <c r="O382" s="28" t="n"/>
      <c r="P382" s="28" t="n"/>
      <c r="Q382" s="28" t="n"/>
      <c r="R382" s="30" t="n"/>
      <c r="S382" s="28" t="n"/>
    </row>
    <row r="383">
      <c r="A383" t="inlineStr">
        <is>
          <t>R1382</t>
        </is>
      </c>
      <c r="B383" t="inlineStr">
        <is>
          <t>Murphy, Denise</t>
        </is>
      </c>
      <c r="C383" t="inlineStr">
        <is>
          <t>01/20/1927</t>
        </is>
      </c>
      <c r="D383" t="inlineStr">
        <is>
          <t>FEMALE</t>
        </is>
      </c>
      <c r="E383" t="inlineStr">
        <is>
          <t>555-952-7130</t>
        </is>
      </c>
      <c r="F383" t="inlineStr">
        <is>
          <t>N/A</t>
        </is>
      </c>
      <c r="G383" t="inlineStr">
        <is>
          <t>Riverbend, OH 45545</t>
        </is>
      </c>
      <c r="H383" t="inlineStr">
        <is>
          <t>medicare</t>
        </is>
      </c>
      <c r="I383" t="inlineStr">
        <is>
          <t>06450086</t>
        </is>
      </c>
      <c r="J383" t="inlineStr">
        <is>
          <t>2022-03-11 11:17:00</t>
        </is>
      </c>
      <c r="K383" s="28" t="n"/>
      <c r="L383" s="29" t="n"/>
      <c r="M383" s="28" t="n"/>
      <c r="N383" s="28" t="n"/>
      <c r="O383" s="28" t="n"/>
      <c r="P383" s="28" t="n"/>
      <c r="Q383" s="28" t="n"/>
      <c r="R383" s="30" t="n"/>
      <c r="S383" s="28" t="n"/>
    </row>
    <row r="384">
      <c r="A384" t="inlineStr">
        <is>
          <t>R1383</t>
        </is>
      </c>
      <c r="B384" t="inlineStr">
        <is>
          <t>MORGAN, BRUCE</t>
        </is>
      </c>
      <c r="C384" t="inlineStr">
        <is>
          <t>1945-09-29</t>
        </is>
      </c>
      <c r="D384" t="inlineStr">
        <is>
          <t>M</t>
        </is>
      </c>
      <c r="E384" t="inlineStr">
        <is>
          <t>555-339-1617</t>
        </is>
      </c>
      <c r="F384" t="inlineStr">
        <is>
          <t xml:space="preserve"> bruce.morgan9@example.com </t>
        </is>
      </c>
      <c r="G384" t="inlineStr">
        <is>
          <t>Bluestone OH 45501</t>
        </is>
      </c>
      <c r="H384" t="inlineStr">
        <is>
          <t xml:space="preserve">Silverline Medicare Advantage </t>
        </is>
      </c>
      <c r="I384" t="inlineStr">
        <is>
          <t>08554017</t>
        </is>
      </c>
      <c r="J384" t="inlineStr">
        <is>
          <t>2023-12-02 13:36:00</t>
        </is>
      </c>
      <c r="K384" s="28" t="n"/>
      <c r="L384" s="29" t="n"/>
      <c r="M384" s="28" t="n"/>
      <c r="N384" s="28" t="n"/>
      <c r="O384" s="28" t="n"/>
      <c r="P384" s="28" t="n"/>
      <c r="Q384" s="28" t="n"/>
      <c r="R384" s="30" t="n"/>
      <c r="S384" s="28" t="n"/>
    </row>
    <row r="385">
      <c r="A385" t="inlineStr">
        <is>
          <t>R1384</t>
        </is>
      </c>
      <c r="B385" t="inlineStr">
        <is>
          <t>Nicholas Stewart</t>
        </is>
      </c>
      <c r="C385" t="inlineStr">
        <is>
          <t>06/22/2005</t>
        </is>
      </c>
      <c r="D385" t="inlineStr">
        <is>
          <t>M</t>
        </is>
      </c>
      <c r="E385" t="inlineStr">
        <is>
          <t>555.866.9208</t>
        </is>
      </c>
      <c r="F385" t="inlineStr">
        <is>
          <t>N/A</t>
        </is>
      </c>
      <c r="G385" t="inlineStr">
        <is>
          <t>Ashby Falls OH 45610</t>
        </is>
      </c>
      <c r="H385" t="inlineStr">
        <is>
          <t>Summit Choice PPO</t>
        </is>
      </c>
      <c r="I385" t="inlineStr">
        <is>
          <t>MRN-08933110</t>
        </is>
      </c>
      <c r="J385" t="inlineStr">
        <is>
          <t>11/24/2017 05:27 PM</t>
        </is>
      </c>
      <c r="K385" s="28" t="n"/>
      <c r="L385" s="29" t="n"/>
      <c r="M385" s="28" t="n"/>
      <c r="N385" s="28" t="n"/>
      <c r="O385" s="28" t="n"/>
      <c r="P385" s="28" t="n"/>
      <c r="Q385" s="28" t="n"/>
      <c r="R385" s="30" t="n"/>
      <c r="S385" s="28" t="n"/>
    </row>
    <row r="386">
      <c r="A386" t="inlineStr">
        <is>
          <t>R1385</t>
        </is>
      </c>
      <c r="B386" t="inlineStr">
        <is>
          <t>Delgado, Virginia</t>
        </is>
      </c>
      <c r="C386" t="inlineStr">
        <is>
          <t>05.07.1931</t>
        </is>
      </c>
      <c r="D386" t="inlineStr">
        <is>
          <t>F</t>
        </is>
      </c>
      <c r="E386" t="inlineStr">
        <is>
          <t>5553727037</t>
        </is>
      </c>
      <c r="F386" t="inlineStr">
        <is>
          <t>virginia.delgado82@example.com</t>
        </is>
      </c>
      <c r="G386" t="inlineStr">
        <is>
          <t>Granite Springs, OH 45750-2440</t>
        </is>
      </c>
      <c r="H386" t="inlineStr">
        <is>
          <t>State Medicaid</t>
        </is>
      </c>
      <c r="I386" t="inlineStr">
        <is>
          <t>01808639</t>
        </is>
      </c>
      <c r="J386" t="inlineStr">
        <is>
          <t>09/16/2023 06:00 PM</t>
        </is>
      </c>
      <c r="K386" s="28" t="n"/>
      <c r="L386" s="29" t="n"/>
      <c r="M386" s="28" t="n"/>
      <c r="N386" s="28" t="n"/>
      <c r="O386" s="28" t="n"/>
      <c r="P386" s="28" t="n"/>
      <c r="Q386" s="28" t="n"/>
      <c r="R386" s="30" t="n"/>
      <c r="S386" s="28" t="n"/>
    </row>
    <row r="387">
      <c r="A387" t="inlineStr">
        <is>
          <t>R1386</t>
        </is>
      </c>
      <c r="B387" t="inlineStr">
        <is>
          <t>FERGUSON, DORIS</t>
        </is>
      </c>
      <c r="C387" t="inlineStr">
        <is>
          <t>12/30/2005</t>
        </is>
      </c>
      <c r="D387" t="inlineStr">
        <is>
          <t xml:space="preserve"> F</t>
        </is>
      </c>
      <c r="E387" t="inlineStr">
        <is>
          <t>555-853-7424</t>
        </is>
      </c>
      <c r="F387" t="inlineStr">
        <is>
          <t>none</t>
        </is>
      </c>
      <c r="G387" t="inlineStr">
        <is>
          <t>Bluestone, OH 45503</t>
        </is>
      </c>
      <c r="H387" t="inlineStr">
        <is>
          <t>Keystone</t>
        </is>
      </c>
      <c r="I387" t="inlineStr">
        <is>
          <t>04601599</t>
        </is>
      </c>
      <c r="J387" t="inlineStr">
        <is>
          <t>06/08/2021 05:59 PM</t>
        </is>
      </c>
      <c r="K387" s="28" t="n"/>
      <c r="L387" s="29" t="n"/>
      <c r="M387" s="28" t="n"/>
      <c r="N387" s="28" t="n"/>
      <c r="O387" s="28" t="n"/>
      <c r="P387" s="28" t="n"/>
      <c r="Q387" s="28" t="n"/>
      <c r="R387" s="30" t="n"/>
      <c r="S387" s="28" t="n"/>
    </row>
    <row r="388">
      <c r="A388" t="inlineStr">
        <is>
          <t>R1387</t>
        </is>
      </c>
      <c r="B388" t="inlineStr">
        <is>
          <t>hayes, joseph</t>
        </is>
      </c>
      <c r="C388" t="inlineStr">
        <is>
          <t>12/18/1930</t>
        </is>
      </c>
      <c r="D388" t="inlineStr">
        <is>
          <t>Male</t>
        </is>
      </c>
      <c r="E388" t="inlineStr">
        <is>
          <t>555.738.5381</t>
        </is>
      </c>
      <c r="F388" t="inlineStr">
        <is>
          <t>joseph.hayes58@example.com</t>
        </is>
      </c>
      <c r="G388" t="inlineStr">
        <is>
          <t>Riverbend OH 45545</t>
        </is>
      </c>
      <c r="H388" t="inlineStr">
        <is>
          <t>Silverline Medicare Advantage</t>
        </is>
      </c>
      <c r="I388" t="inlineStr">
        <is>
          <t>MRN-01744632</t>
        </is>
      </c>
      <c r="J388" t="inlineStr">
        <is>
          <t>2012-04-10 14:52:00</t>
        </is>
      </c>
      <c r="K388" s="28" t="n"/>
      <c r="L388" s="29" t="n"/>
      <c r="M388" s="28" t="n"/>
      <c r="N388" s="28" t="n"/>
      <c r="O388" s="28" t="n"/>
      <c r="P388" s="28" t="n"/>
      <c r="Q388" s="28" t="n"/>
      <c r="R388" s="30" t="n"/>
      <c r="S388" s="28" t="n"/>
    </row>
    <row r="389">
      <c r="A389" t="inlineStr">
        <is>
          <t>R1388</t>
        </is>
      </c>
      <c r="B389" t="inlineStr">
        <is>
          <t>robertson, susan</t>
        </is>
      </c>
      <c r="C389" t="inlineStr">
        <is>
          <t>11/17/1988</t>
        </is>
      </c>
      <c r="D389" t="inlineStr">
        <is>
          <t>F</t>
        </is>
      </c>
      <c r="E389" t="inlineStr">
        <is>
          <t>(555) 826-5383</t>
        </is>
      </c>
      <c r="F389" t="inlineStr">
        <is>
          <t>SUSAN.ROBERTSON44@EXAMPLE.COM</t>
        </is>
      </c>
      <c r="G389" t="inlineStr">
        <is>
          <t>RIVERBEND, OH 45545</t>
        </is>
      </c>
      <c r="H389" t="inlineStr">
        <is>
          <t>Summit PPO</t>
        </is>
      </c>
      <c r="I389" t="inlineStr">
        <is>
          <t>09482389</t>
        </is>
      </c>
      <c r="J389" t="inlineStr">
        <is>
          <t>2023-11-11 10:27:00</t>
        </is>
      </c>
      <c r="K389" s="28" t="n"/>
      <c r="L389" s="29" t="n"/>
      <c r="M389" s="28" t="n"/>
      <c r="N389" s="28" t="n"/>
      <c r="O389" s="28" t="n"/>
      <c r="P389" s="28" t="n"/>
      <c r="Q389" s="28" t="n"/>
      <c r="R389" s="30" t="n"/>
      <c r="S389" s="28" t="n"/>
    </row>
    <row r="390">
      <c r="A390" t="inlineStr">
        <is>
          <t>R1389</t>
        </is>
      </c>
      <c r="B390" t="inlineStr">
        <is>
          <t>Ortiz, Aaliyah</t>
        </is>
      </c>
      <c r="C390" t="inlineStr">
        <is>
          <t>06/24/1953</t>
        </is>
      </c>
      <c r="D390" t="inlineStr">
        <is>
          <t>FEMALE</t>
        </is>
      </c>
      <c r="E390" t="inlineStr">
        <is>
          <t>(555) 842-9227</t>
        </is>
      </c>
      <c r="G390" t="inlineStr">
        <is>
          <t>Pine Hollow, OH 45640-8347</t>
        </is>
      </c>
      <c r="H390" t="inlineStr">
        <is>
          <t>SILVERLINE MEDICARE ADV.</t>
        </is>
      </c>
      <c r="I390" t="inlineStr">
        <is>
          <t>09572943</t>
        </is>
      </c>
      <c r="J390" t="inlineStr">
        <is>
          <t>2024-06-05 10:46:00</t>
        </is>
      </c>
      <c r="K390" s="28" t="n"/>
      <c r="L390" s="29" t="n"/>
      <c r="M390" s="28" t="n"/>
      <c r="N390" s="28" t="n"/>
      <c r="O390" s="28" t="n"/>
      <c r="P390" s="28" t="n"/>
      <c r="Q390" s="28" t="n"/>
      <c r="R390" s="30" t="n"/>
      <c r="S390" s="28" t="n"/>
    </row>
    <row r="391">
      <c r="A391" t="inlineStr">
        <is>
          <t>R1390</t>
        </is>
      </c>
      <c r="B391" t="inlineStr">
        <is>
          <t>Bradley, Christian</t>
        </is>
      </c>
      <c r="C391" t="inlineStr">
        <is>
          <t>08/01/2005</t>
        </is>
      </c>
      <c r="D391" t="inlineStr">
        <is>
          <t>M</t>
        </is>
      </c>
      <c r="E391" t="inlineStr">
        <is>
          <t>(555) 901-7787</t>
        </is>
      </c>
      <c r="G391" t="inlineStr">
        <is>
          <t>Lakeview Heights, OH 45510</t>
        </is>
      </c>
      <c r="H391" t="inlineStr">
        <is>
          <t>EVERGREEN MUTUAL INS</t>
        </is>
      </c>
      <c r="I391" t="inlineStr">
        <is>
          <t>05766438</t>
        </is>
      </c>
      <c r="J391" t="inlineStr">
        <is>
          <t>2009-10-12 17:47:00</t>
        </is>
      </c>
      <c r="K391" s="28" t="n"/>
      <c r="L391" s="29" t="n"/>
      <c r="M391" s="28" t="n"/>
      <c r="N391" s="28" t="n"/>
      <c r="O391" s="28" t="n"/>
      <c r="P391" s="28" t="n"/>
      <c r="Q391" s="28" t="n"/>
      <c r="R391" s="30" t="n"/>
      <c r="S391" s="28" t="n"/>
    </row>
    <row r="392">
      <c r="A392" t="inlineStr">
        <is>
          <t>R1391</t>
        </is>
      </c>
      <c r="B392" t="inlineStr">
        <is>
          <t xml:space="preserve">  Alvarado ,  Wayne </t>
        </is>
      </c>
      <c r="C392" t="inlineStr">
        <is>
          <t>11/9/1950</t>
        </is>
      </c>
      <c r="D392" t="inlineStr">
        <is>
          <t>M</t>
        </is>
      </c>
      <c r="E392" t="inlineStr">
        <is>
          <t>5558365983</t>
        </is>
      </c>
      <c r="F392" t="inlineStr">
        <is>
          <t>none</t>
        </is>
      </c>
      <c r="G392" t="inlineStr">
        <is>
          <t>Ashby Falls, OH 45610</t>
        </is>
      </c>
      <c r="H392" t="inlineStr">
        <is>
          <t>Medicare</t>
        </is>
      </c>
      <c r="I392" t="inlineStr">
        <is>
          <t>1860654</t>
        </is>
      </c>
      <c r="J392" t="inlineStr">
        <is>
          <t>2016-03-24 08:09:00</t>
        </is>
      </c>
      <c r="K392" s="28" t="n"/>
      <c r="L392" s="29" t="n"/>
      <c r="M392" s="28" t="n"/>
      <c r="N392" s="28" t="n"/>
      <c r="O392" s="28" t="n"/>
      <c r="P392" s="28" t="n"/>
      <c r="Q392" s="28" t="n"/>
      <c r="R392" s="30" t="n"/>
      <c r="S392" s="28" t="n"/>
    </row>
    <row r="393">
      <c r="A393" t="inlineStr">
        <is>
          <t>R1392</t>
        </is>
      </c>
      <c r="B393" t="inlineStr">
        <is>
          <t>Grace Porter</t>
        </is>
      </c>
      <c r="C393" t="inlineStr">
        <is>
          <t>1954-07-02</t>
        </is>
      </c>
      <c r="D393" t="inlineStr">
        <is>
          <t>FEMALE</t>
        </is>
      </c>
      <c r="E393" t="inlineStr">
        <is>
          <t>+1 555 491 9202</t>
        </is>
      </c>
      <c r="F393" t="inlineStr">
        <is>
          <t>GRACE.PORTER46@EXAMPLE.COM</t>
        </is>
      </c>
      <c r="G393" t="inlineStr">
        <is>
          <t>Bluestone OH 45503</t>
        </is>
      </c>
      <c r="H393" t="inlineStr">
        <is>
          <t>MEDICARE</t>
        </is>
      </c>
      <c r="I393" t="inlineStr">
        <is>
          <t>04969153</t>
        </is>
      </c>
      <c r="J393" t="inlineStr">
        <is>
          <t>04/29/2008 12:49 PM</t>
        </is>
      </c>
      <c r="K393" s="28" t="n"/>
      <c r="L393" s="29" t="n"/>
      <c r="M393" s="28" t="n"/>
      <c r="N393" s="28" t="n"/>
      <c r="O393" s="28" t="n"/>
      <c r="P393" s="28" t="n"/>
      <c r="Q393" s="28" t="n"/>
      <c r="R393" s="30" t="n"/>
      <c r="S393" s="28" t="n"/>
    </row>
    <row r="394">
      <c r="A394" t="inlineStr">
        <is>
          <t>R1393</t>
        </is>
      </c>
      <c r="B394" t="inlineStr">
        <is>
          <t>Jose Hunter</t>
        </is>
      </c>
      <c r="C394" t="inlineStr">
        <is>
          <t>1964-01-15</t>
        </is>
      </c>
      <c r="D394" t="inlineStr">
        <is>
          <t>m</t>
        </is>
      </c>
      <c r="E394" t="inlineStr">
        <is>
          <t>(555) 611-7422</t>
        </is>
      </c>
      <c r="F394" t="inlineStr">
        <is>
          <t>N/A</t>
        </is>
      </c>
      <c r="G394" t="inlineStr">
        <is>
          <t>Riverbend OH 45545</t>
        </is>
      </c>
      <c r="H394" t="inlineStr">
        <is>
          <t>Medicare</t>
        </is>
      </c>
      <c r="I394" t="inlineStr">
        <is>
          <t>06833009</t>
        </is>
      </c>
      <c r="J394" t="inlineStr">
        <is>
          <t>05/05/2011 02:57 PM</t>
        </is>
      </c>
      <c r="K394" s="28" t="n"/>
      <c r="L394" s="29" t="n"/>
      <c r="M394" s="28" t="n"/>
      <c r="N394" s="28" t="n"/>
      <c r="O394" s="28" t="n"/>
      <c r="P394" s="28" t="n"/>
      <c r="Q394" s="28" t="n"/>
      <c r="R394" s="30" t="n"/>
      <c r="S394" s="28" t="n"/>
    </row>
    <row r="395">
      <c r="A395" t="inlineStr">
        <is>
          <t>R1394</t>
        </is>
      </c>
      <c r="B395" t="inlineStr">
        <is>
          <t>Collins, Daniel</t>
        </is>
      </c>
      <c r="C395" t="inlineStr">
        <is>
          <t>04-Dec-1953</t>
        </is>
      </c>
      <c r="D395" t="inlineStr">
        <is>
          <t>Male</t>
        </is>
      </c>
      <c r="F395" t="inlineStr">
        <is>
          <t>daniel.collins46@example.com</t>
        </is>
      </c>
      <c r="G395" t="inlineStr">
        <is>
          <t>Riverbend, OH 45545</t>
        </is>
      </c>
      <c r="H395" t="inlineStr">
        <is>
          <t>medicare</t>
        </is>
      </c>
      <c r="I395" t="inlineStr">
        <is>
          <t>9658059</t>
        </is>
      </c>
      <c r="J395" t="inlineStr">
        <is>
          <t>04/27/2008 08:04 AM</t>
        </is>
      </c>
      <c r="K395" s="28" t="n"/>
      <c r="L395" s="29" t="n"/>
      <c r="M395" s="28" t="n"/>
      <c r="N395" s="28" t="n"/>
      <c r="O395" s="28" t="n"/>
      <c r="P395" s="28" t="n"/>
      <c r="Q395" s="28" t="n"/>
      <c r="R395" s="30" t="n"/>
      <c r="S395" s="28" t="n"/>
    </row>
    <row r="396">
      <c r="A396" t="inlineStr">
        <is>
          <t>R1395</t>
        </is>
      </c>
      <c r="B396" t="inlineStr">
        <is>
          <t>Palmer, Henry</t>
        </is>
      </c>
      <c r="C396" t="inlineStr">
        <is>
          <t>1938-05-06</t>
        </is>
      </c>
      <c r="D396" t="inlineStr">
        <is>
          <t>m</t>
        </is>
      </c>
      <c r="E396" t="inlineStr">
        <is>
          <t>5557465684</t>
        </is>
      </c>
      <c r="F396" t="inlineStr">
        <is>
          <t>henry.palmer36@example.com</t>
        </is>
      </c>
      <c r="G396" t="inlineStr">
        <is>
          <t>RIVERBEND, OH 45545</t>
        </is>
      </c>
      <c r="H396" t="inlineStr">
        <is>
          <t xml:space="preserve">Medicare </t>
        </is>
      </c>
      <c r="I396" t="inlineStr">
        <is>
          <t>01315892</t>
        </is>
      </c>
      <c r="J396" t="inlineStr">
        <is>
          <t>2012-01-16 18:07:00</t>
        </is>
      </c>
      <c r="K396" s="28" t="n"/>
      <c r="L396" s="29" t="n"/>
      <c r="M396" s="28" t="n"/>
      <c r="N396" s="28" t="n"/>
      <c r="O396" s="28" t="n"/>
      <c r="P396" s="28" t="n"/>
      <c r="Q396" s="28" t="n"/>
      <c r="R396" s="30" t="n"/>
      <c r="S396" s="28" t="n"/>
    </row>
    <row r="397">
      <c r="A397" t="inlineStr">
        <is>
          <t>R1396</t>
        </is>
      </c>
      <c r="B397" t="inlineStr">
        <is>
          <t>WARREN, CHARLES</t>
        </is>
      </c>
      <c r="C397" t="inlineStr">
        <is>
          <t>12/03/1964</t>
        </is>
      </c>
      <c r="D397" t="inlineStr">
        <is>
          <t>m</t>
        </is>
      </c>
      <c r="E397" t="inlineStr">
        <is>
          <t>5557036527</t>
        </is>
      </c>
      <c r="F397" t="inlineStr">
        <is>
          <t>none</t>
        </is>
      </c>
      <c r="G397" t="inlineStr">
        <is>
          <t>Cedar Ridge, OH 45720</t>
        </is>
      </c>
      <c r="H397" t="inlineStr">
        <is>
          <t>MEDICARE</t>
        </is>
      </c>
      <c r="I397" t="inlineStr">
        <is>
          <t>9335474</t>
        </is>
      </c>
      <c r="J397" t="inlineStr">
        <is>
          <t>10/11/2021 04:14 PM</t>
        </is>
      </c>
      <c r="K397" s="28" t="n"/>
      <c r="L397" s="29" t="n"/>
      <c r="M397" s="28" t="n"/>
      <c r="N397" s="28" t="n"/>
      <c r="O397" s="28" t="n"/>
      <c r="P397" s="28" t="n"/>
      <c r="Q397" s="28" t="n"/>
      <c r="R397" s="30" t="n"/>
      <c r="S397" s="28" t="n"/>
    </row>
    <row r="398">
      <c r="A398" t="inlineStr">
        <is>
          <t>R1397</t>
        </is>
      </c>
      <c r="B398" t="inlineStr">
        <is>
          <t>Walker, Judith</t>
        </is>
      </c>
      <c r="C398" t="inlineStr">
        <is>
          <t>14-Nov-1993</t>
        </is>
      </c>
      <c r="D398" t="inlineStr">
        <is>
          <t>FEMALE</t>
        </is>
      </c>
      <c r="E398" t="inlineStr">
        <is>
          <t>(555) 404-7258</t>
        </is>
      </c>
      <c r="F398" t="inlineStr">
        <is>
          <t>judith.walker43@example.com</t>
        </is>
      </c>
      <c r="G398" t="inlineStr">
        <is>
          <t>Bluestone, OH 45502</t>
        </is>
      </c>
      <c r="H398" t="inlineStr">
        <is>
          <t>evergreen mutual insurance</t>
        </is>
      </c>
      <c r="I398" t="inlineStr">
        <is>
          <t>2570260</t>
        </is>
      </c>
      <c r="J398" t="inlineStr">
        <is>
          <t>06/25/2024 09:29 AM</t>
        </is>
      </c>
      <c r="K398" s="28" t="n"/>
      <c r="L398" s="29" t="n"/>
      <c r="M398" s="28" t="n"/>
      <c r="N398" s="28" t="n"/>
      <c r="O398" s="28" t="n"/>
      <c r="P398" s="28" t="n"/>
      <c r="Q398" s="28" t="n"/>
      <c r="R398" s="30" t="n"/>
      <c r="S398" s="28" t="n"/>
    </row>
    <row r="399">
      <c r="A399" t="inlineStr">
        <is>
          <t>R1398</t>
        </is>
      </c>
      <c r="B399" t="inlineStr">
        <is>
          <t>RUSSELL, AMINA</t>
        </is>
      </c>
      <c r="C399" t="inlineStr">
        <is>
          <t>10/13/2002</t>
        </is>
      </c>
      <c r="D399" t="inlineStr">
        <is>
          <t>F</t>
        </is>
      </c>
      <c r="E399" t="inlineStr">
        <is>
          <t>5557389748</t>
        </is>
      </c>
      <c r="F399" t="inlineStr">
        <is>
          <t>N/A</t>
        </is>
      </c>
      <c r="G399" t="inlineStr">
        <is>
          <t>Bluestone OH 45501</t>
        </is>
      </c>
      <c r="H399" t="inlineStr">
        <is>
          <t>medicare</t>
        </is>
      </c>
      <c r="I399" t="inlineStr">
        <is>
          <t>08037553</t>
        </is>
      </c>
      <c r="J399" t="inlineStr">
        <is>
          <t>2020-08-13 16:16:00</t>
        </is>
      </c>
      <c r="K399" s="28" t="n"/>
      <c r="L399" s="29" t="n"/>
      <c r="M399" s="28" t="n"/>
      <c r="N399" s="28" t="n"/>
      <c r="O399" s="28" t="n"/>
      <c r="P399" s="28" t="n"/>
      <c r="Q399" s="28" t="n"/>
      <c r="R399" s="30" t="n"/>
      <c r="S399" s="28" t="n"/>
    </row>
    <row r="400">
      <c r="A400" t="inlineStr">
        <is>
          <t>R1399</t>
        </is>
      </c>
      <c r="B400" t="inlineStr">
        <is>
          <t>Wilson, Rebecca</t>
        </is>
      </c>
      <c r="C400" t="inlineStr">
        <is>
          <t>4/8/1992</t>
        </is>
      </c>
      <c r="D400" t="inlineStr">
        <is>
          <t>FEMALE</t>
        </is>
      </c>
      <c r="E400" t="inlineStr">
        <is>
          <t>555.243.5347</t>
        </is>
      </c>
      <c r="F400" t="inlineStr">
        <is>
          <t>none</t>
        </is>
      </c>
      <c r="G400" t="inlineStr">
        <is>
          <t>FAIRHAVEN, OH 45620</t>
        </is>
      </c>
      <c r="H400" t="inlineStr">
        <is>
          <t>State Medicaid</t>
        </is>
      </c>
      <c r="I400" t="inlineStr">
        <is>
          <t>08079623</t>
        </is>
      </c>
      <c r="J400" t="inlineStr">
        <is>
          <t>2013-05-20 16:05:00</t>
        </is>
      </c>
      <c r="K400" s="28" t="n"/>
      <c r="L400" s="29" t="n"/>
      <c r="M400" s="28" t="n"/>
      <c r="N400" s="28" t="n"/>
      <c r="O400" s="28" t="n"/>
      <c r="P400" s="28" t="n"/>
      <c r="Q400" s="28" t="n"/>
      <c r="R400" s="30" t="n"/>
      <c r="S400" s="28" t="n"/>
    </row>
    <row r="401">
      <c r="A401" t="inlineStr">
        <is>
          <t>R1400</t>
        </is>
      </c>
      <c r="B401" t="inlineStr">
        <is>
          <t>Robinson, Brian</t>
        </is>
      </c>
      <c r="C401" t="inlineStr">
        <is>
          <t>05/09/2006</t>
        </is>
      </c>
      <c r="D401" t="inlineStr">
        <is>
          <t xml:space="preserve">M </t>
        </is>
      </c>
      <c r="E401" t="inlineStr">
        <is>
          <t>5553216567</t>
        </is>
      </c>
      <c r="F401" t="inlineStr">
        <is>
          <t xml:space="preserve"> brian.robinson55@example.com </t>
        </is>
      </c>
      <c r="G401" t="inlineStr">
        <is>
          <t>Cedar Ridge OH 45720</t>
        </is>
      </c>
      <c r="H401" t="inlineStr">
        <is>
          <t>STATE MEDICAID</t>
        </is>
      </c>
      <c r="I401" t="inlineStr">
        <is>
          <t>03479397</t>
        </is>
      </c>
      <c r="J401" t="inlineStr">
        <is>
          <t>2018-12-24 15:12:00</t>
        </is>
      </c>
      <c r="K401" s="28" t="n"/>
      <c r="L401" s="29" t="n"/>
      <c r="M401" s="28" t="n"/>
      <c r="N401" s="28" t="n"/>
      <c r="O401" s="28" t="n"/>
      <c r="P401" s="28" t="n"/>
      <c r="Q401" s="28" t="n"/>
      <c r="R401" s="30" t="n"/>
      <c r="S401" s="28" t="n"/>
    </row>
    <row r="402">
      <c r="A402" t="inlineStr">
        <is>
          <t>R1401</t>
        </is>
      </c>
      <c r="B402" t="inlineStr">
        <is>
          <t xml:space="preserve">  Andrews ,  Danielle </t>
        </is>
      </c>
      <c r="C402" t="inlineStr">
        <is>
          <t>1990-07-02</t>
        </is>
      </c>
      <c r="D402" t="inlineStr">
        <is>
          <t>FEMALE</t>
        </is>
      </c>
      <c r="E402" t="inlineStr">
        <is>
          <t>5559599966</t>
        </is>
      </c>
      <c r="F402" t="inlineStr">
        <is>
          <t xml:space="preserve"> danielle.andrews44@example.com </t>
        </is>
      </c>
      <c r="G402" t="inlineStr">
        <is>
          <t>Cedar Ridge, OH 45720</t>
        </is>
      </c>
      <c r="H402" t="inlineStr">
        <is>
          <t>Evergreen Mutual Insurance</t>
        </is>
      </c>
      <c r="I402" t="inlineStr">
        <is>
          <t>07250969</t>
        </is>
      </c>
      <c r="J402" t="inlineStr">
        <is>
          <t>2024-10-04 08:23:00</t>
        </is>
      </c>
      <c r="K402" s="28" t="n"/>
      <c r="L402" s="29" t="n"/>
      <c r="M402" s="28" t="n"/>
      <c r="N402" s="28" t="n"/>
      <c r="O402" s="28" t="n"/>
      <c r="P402" s="28" t="n"/>
      <c r="Q402" s="28" t="n"/>
      <c r="R402" s="30" t="n"/>
      <c r="S402" s="28" t="n"/>
    </row>
    <row r="403">
      <c r="A403" t="inlineStr">
        <is>
          <t>R1402</t>
        </is>
      </c>
      <c r="B403" t="inlineStr">
        <is>
          <t>Ethan Carpenter</t>
        </is>
      </c>
      <c r="C403" t="inlineStr">
        <is>
          <t>04/15/1976</t>
        </is>
      </c>
      <c r="D403" t="inlineStr">
        <is>
          <t>MALE</t>
        </is>
      </c>
      <c r="E403" t="inlineStr">
        <is>
          <t>+1 555 374 7862</t>
        </is>
      </c>
      <c r="F403" t="inlineStr">
        <is>
          <t>none</t>
        </is>
      </c>
      <c r="G403" t="inlineStr">
        <is>
          <t>Bluestone, OH 45501</t>
        </is>
      </c>
      <c r="H403" t="inlineStr">
        <is>
          <t>medicaid</t>
        </is>
      </c>
      <c r="I403" t="inlineStr">
        <is>
          <t>09533208</t>
        </is>
      </c>
      <c r="J403" t="inlineStr">
        <is>
          <t>2022-07-25 13:43:00</t>
        </is>
      </c>
      <c r="K403" s="28" t="n"/>
      <c r="L403" s="29" t="n"/>
      <c r="M403" s="28" t="n"/>
      <c r="N403" s="28" t="n"/>
      <c r="O403" s="28" t="n"/>
      <c r="P403" s="28" t="n"/>
      <c r="Q403" s="28" t="n"/>
      <c r="R403" s="30" t="n"/>
      <c r="S403" s="28" t="n"/>
    </row>
    <row r="404">
      <c r="A404" t="inlineStr">
        <is>
          <t>R1403</t>
        </is>
      </c>
      <c r="B404" t="inlineStr">
        <is>
          <t>CHAVEZ, HELEN</t>
        </is>
      </c>
      <c r="C404" t="inlineStr">
        <is>
          <t>12/23/2020</t>
        </is>
      </c>
      <c r="D404" t="inlineStr">
        <is>
          <t>f</t>
        </is>
      </c>
      <c r="E404" t="inlineStr">
        <is>
          <t>+1 555 697 4114</t>
        </is>
      </c>
      <c r="F404" t="inlineStr">
        <is>
          <t>N/A</t>
        </is>
      </c>
      <c r="G404" t="inlineStr">
        <is>
          <t>Riverbend, OH 45545-2821</t>
        </is>
      </c>
      <c r="H404" t="inlineStr">
        <is>
          <t>State Medicaid</t>
        </is>
      </c>
      <c r="I404" t="inlineStr">
        <is>
          <t>07050556</t>
        </is>
      </c>
      <c r="J404" t="inlineStr">
        <is>
          <t>2024-10-03 08:01:00</t>
        </is>
      </c>
      <c r="K404" s="28" t="n"/>
      <c r="L404" s="29" t="n"/>
      <c r="M404" s="28" t="n"/>
      <c r="N404" s="28" t="n"/>
      <c r="O404" s="28" t="n"/>
      <c r="P404" s="28" t="n"/>
      <c r="Q404" s="28" t="n"/>
      <c r="R404" s="30" t="n"/>
      <c r="S404" s="28" t="n"/>
    </row>
    <row r="405">
      <c r="A405" t="inlineStr">
        <is>
          <t>R1404</t>
        </is>
      </c>
      <c r="B405" t="inlineStr">
        <is>
          <t xml:space="preserve">  Hill ,  William </t>
        </is>
      </c>
      <c r="C405" t="inlineStr">
        <is>
          <t>04/14/1976</t>
        </is>
      </c>
      <c r="D405" t="inlineStr">
        <is>
          <t xml:space="preserve">M </t>
        </is>
      </c>
      <c r="E405" t="inlineStr">
        <is>
          <t>555-608-2788</t>
        </is>
      </c>
      <c r="G405" t="inlineStr">
        <is>
          <t>Bluestone, OH 45502</t>
        </is>
      </c>
      <c r="H405" t="inlineStr">
        <is>
          <t>Keystone Health Ptnrs</t>
        </is>
      </c>
      <c r="I405" t="inlineStr">
        <is>
          <t>MRN-02364235</t>
        </is>
      </c>
      <c r="J405" t="inlineStr">
        <is>
          <t>2023-03-04 15:01:00</t>
        </is>
      </c>
      <c r="K405" s="28" t="n"/>
      <c r="L405" s="29" t="n"/>
      <c r="M405" s="28" t="n"/>
      <c r="N405" s="28" t="n"/>
      <c r="O405" s="28" t="n"/>
      <c r="P405" s="28" t="n"/>
      <c r="Q405" s="28" t="n"/>
      <c r="R405" s="30" t="n"/>
      <c r="S405" s="28" t="n"/>
    </row>
    <row r="406">
      <c r="A406" t="inlineStr">
        <is>
          <t>R1405</t>
        </is>
      </c>
      <c r="B406" t="inlineStr">
        <is>
          <t>Timothy Nguyen</t>
        </is>
      </c>
      <c r="C406" t="inlineStr">
        <is>
          <t>06/07/1988</t>
        </is>
      </c>
      <c r="D406" t="inlineStr">
        <is>
          <t xml:space="preserve">M </t>
        </is>
      </c>
      <c r="E406" t="inlineStr">
        <is>
          <t>5558630329</t>
        </is>
      </c>
      <c r="F406" t="inlineStr">
        <is>
          <t>timothy.nguyen2@example.com</t>
        </is>
      </c>
      <c r="G406" t="inlineStr">
        <is>
          <t>Ashby Falls, OH 45610</t>
        </is>
      </c>
      <c r="H406" t="inlineStr">
        <is>
          <t>Evergreen Mutual Insurance</t>
        </is>
      </c>
      <c r="I406" t="inlineStr">
        <is>
          <t>07422003</t>
        </is>
      </c>
      <c r="J406" t="inlineStr">
        <is>
          <t>2023-05-21 16:17:00</t>
        </is>
      </c>
      <c r="K406" s="28" t="n"/>
      <c r="L406" s="29" t="n"/>
      <c r="M406" s="28" t="n"/>
      <c r="N406" s="28" t="n"/>
      <c r="O406" s="28" t="n"/>
      <c r="P406" s="28" t="n"/>
      <c r="Q406" s="28" t="n"/>
      <c r="R406" s="30" t="n"/>
      <c r="S406" s="28" t="n"/>
    </row>
    <row r="407">
      <c r="A407" t="inlineStr">
        <is>
          <t>R1406</t>
        </is>
      </c>
      <c r="B407" t="inlineStr">
        <is>
          <t>Alan Reynolds</t>
        </is>
      </c>
      <c r="C407" t="inlineStr">
        <is>
          <t>03/31/1968</t>
        </is>
      </c>
      <c r="D407" t="inlineStr">
        <is>
          <t>MALE</t>
        </is>
      </c>
      <c r="E407" t="inlineStr">
        <is>
          <t>555-310-1596</t>
        </is>
      </c>
      <c r="F407" t="inlineStr">
        <is>
          <t xml:space="preserve"> alan.reynolds93@example.com </t>
        </is>
      </c>
      <c r="G407" t="inlineStr">
        <is>
          <t>Cedar Ridge, OH 45720</t>
        </is>
      </c>
      <c r="H407" t="inlineStr">
        <is>
          <t>Keystone</t>
        </is>
      </c>
      <c r="I407" t="inlineStr">
        <is>
          <t>06061489</t>
        </is>
      </c>
      <c r="J407" t="inlineStr">
        <is>
          <t>2016-03-17 08:19:00</t>
        </is>
      </c>
      <c r="K407" s="28" t="n"/>
      <c r="L407" s="29" t="n"/>
      <c r="M407" s="28" t="n"/>
      <c r="N407" s="28" t="n"/>
      <c r="O407" s="28" t="n"/>
      <c r="P407" s="28" t="n"/>
      <c r="Q407" s="28" t="n"/>
      <c r="R407" s="30" t="n"/>
      <c r="S407" s="28" t="n"/>
    </row>
    <row r="408">
      <c r="A408" t="inlineStr">
        <is>
          <t>R1407</t>
        </is>
      </c>
      <c r="B408" t="inlineStr">
        <is>
          <t>Ward, Thomas</t>
        </is>
      </c>
      <c r="C408" t="inlineStr">
        <is>
          <t>1964-08-14</t>
        </is>
      </c>
      <c r="D408" t="inlineStr">
        <is>
          <t>Male</t>
        </is>
      </c>
      <c r="E408" t="inlineStr">
        <is>
          <t>555-951-4780</t>
        </is>
      </c>
      <c r="F408" t="inlineStr">
        <is>
          <t>thomas.ward53@example.com</t>
        </is>
      </c>
      <c r="G408" t="inlineStr">
        <is>
          <t>Cedar Ridge, OH 45720</t>
        </is>
      </c>
      <c r="H408" t="inlineStr">
        <is>
          <t>SUMMIT CHOICE PPO</t>
        </is>
      </c>
      <c r="I408" t="inlineStr">
        <is>
          <t>00100233</t>
        </is>
      </c>
      <c r="J408" t="inlineStr">
        <is>
          <t>2010-11-07 12:06:00</t>
        </is>
      </c>
      <c r="K408" s="28" t="n"/>
      <c r="L408" s="29" t="n"/>
      <c r="M408" s="28" t="n"/>
      <c r="N408" s="28" t="n"/>
      <c r="O408" s="28" t="n"/>
      <c r="P408" s="28" t="n"/>
      <c r="Q408" s="28" t="n"/>
      <c r="R408" s="30" t="n"/>
      <c r="S408" s="28" t="n"/>
    </row>
    <row r="409">
      <c r="A409" t="inlineStr">
        <is>
          <t>R1408</t>
        </is>
      </c>
      <c r="B409" t="inlineStr">
        <is>
          <t xml:space="preserve">  Harrison ,  Kayla </t>
        </is>
      </c>
      <c r="C409" t="inlineStr">
        <is>
          <t>12/20/1975</t>
        </is>
      </c>
      <c r="D409" t="inlineStr">
        <is>
          <t>f</t>
        </is>
      </c>
      <c r="E409" t="inlineStr">
        <is>
          <t>555.281.1106</t>
        </is>
      </c>
      <c r="F409" t="inlineStr">
        <is>
          <t xml:space="preserve"> kayla.harrison19@example.com </t>
        </is>
      </c>
      <c r="G409" t="inlineStr">
        <is>
          <t>Lakeview Heights, OH 45510</t>
        </is>
      </c>
      <c r="H409" t="inlineStr">
        <is>
          <t>Summit Choice</t>
        </is>
      </c>
      <c r="I409" t="inlineStr">
        <is>
          <t>03441776</t>
        </is>
      </c>
      <c r="J409" t="inlineStr">
        <is>
          <t>12/13/2018 12:05 PM</t>
        </is>
      </c>
      <c r="K409" s="28" t="n"/>
      <c r="L409" s="29" t="n"/>
      <c r="M409" s="28" t="n"/>
      <c r="N409" s="28" t="n"/>
      <c r="O409" s="28" t="n"/>
      <c r="P409" s="28" t="n"/>
      <c r="Q409" s="28" t="n"/>
      <c r="R409" s="30" t="n"/>
      <c r="S409" s="28" t="n"/>
    </row>
    <row r="410">
      <c r="A410" t="inlineStr">
        <is>
          <t>R1409</t>
        </is>
      </c>
      <c r="B410" t="inlineStr">
        <is>
          <t>WHITE, AMBER</t>
        </is>
      </c>
      <c r="C410" t="inlineStr">
        <is>
          <t>6/24/1996</t>
        </is>
      </c>
      <c r="D410" t="inlineStr">
        <is>
          <t xml:space="preserve"> F</t>
        </is>
      </c>
      <c r="E410" t="inlineStr">
        <is>
          <t>5555563833</t>
        </is>
      </c>
      <c r="F410" t="inlineStr">
        <is>
          <t>amber.white81@example.com</t>
        </is>
      </c>
      <c r="G410" t="inlineStr">
        <is>
          <t>Cedar Ridge, OH 45720</t>
        </is>
      </c>
      <c r="H410" t="inlineStr">
        <is>
          <t>STATE MEDICAID</t>
        </is>
      </c>
      <c r="I410" t="inlineStr">
        <is>
          <t>3929231</t>
        </is>
      </c>
      <c r="J410" t="inlineStr">
        <is>
          <t>07/10/2024 07:15 AM</t>
        </is>
      </c>
      <c r="K410" s="28" t="n"/>
      <c r="L410" s="29" t="n"/>
      <c r="M410" s="28" t="n"/>
      <c r="N410" s="28" t="n"/>
      <c r="O410" s="28" t="n"/>
      <c r="P410" s="28" t="n"/>
      <c r="Q410" s="28" t="n"/>
      <c r="R410" s="30" t="n"/>
      <c r="S410" s="28" t="n"/>
    </row>
    <row r="411">
      <c r="A411" t="inlineStr">
        <is>
          <t>R1410</t>
        </is>
      </c>
      <c r="B411" t="inlineStr">
        <is>
          <t>rivera, sara</t>
        </is>
      </c>
      <c r="C411" t="inlineStr">
        <is>
          <t>08-May-2003</t>
        </is>
      </c>
      <c r="D411" t="inlineStr">
        <is>
          <t>F</t>
        </is>
      </c>
      <c r="E411" t="inlineStr">
        <is>
          <t>555.959.7535</t>
        </is>
      </c>
      <c r="F411" t="inlineStr">
        <is>
          <t>N/A</t>
        </is>
      </c>
      <c r="G411" t="inlineStr">
        <is>
          <t>Bluestone, OH 45501</t>
        </is>
      </c>
      <c r="H411" t="inlineStr">
        <is>
          <t>EVERGREEN MUTUAL INS</t>
        </is>
      </c>
      <c r="I411" t="inlineStr">
        <is>
          <t>5674546</t>
        </is>
      </c>
      <c r="J411" t="inlineStr">
        <is>
          <t>01/27/2010 12:06 PM</t>
        </is>
      </c>
      <c r="K411" s="28" t="n"/>
      <c r="L411" s="29" t="n"/>
      <c r="M411" s="28" t="n"/>
      <c r="N411" s="28" t="n"/>
      <c r="O411" s="28" t="n"/>
      <c r="P411" s="28" t="n"/>
      <c r="Q411" s="28" t="n"/>
      <c r="R411" s="30" t="n"/>
      <c r="S411" s="28" t="n"/>
    </row>
    <row r="412">
      <c r="A412" t="inlineStr">
        <is>
          <t>R1411</t>
        </is>
      </c>
      <c r="B412" t="inlineStr">
        <is>
          <t>Hayes, Nicholas</t>
        </is>
      </c>
      <c r="C412" t="inlineStr">
        <is>
          <t>1989-04-08</t>
        </is>
      </c>
      <c r="D412" t="inlineStr">
        <is>
          <t xml:space="preserve">M </t>
        </is>
      </c>
      <c r="E412" t="inlineStr">
        <is>
          <t>+1 555 855 2858</t>
        </is>
      </c>
      <c r="F412" t="inlineStr">
        <is>
          <t>NICHOLAS.HAYES10@EXAMPLE.COM</t>
        </is>
      </c>
      <c r="G412" t="inlineStr">
        <is>
          <t>Cedar Ridge OH 45720</t>
        </is>
      </c>
      <c r="H412" t="inlineStr">
        <is>
          <t>Keystone Health Ptnrs</t>
        </is>
      </c>
      <c r="I412" t="inlineStr">
        <is>
          <t>01583225</t>
        </is>
      </c>
      <c r="J412" t="inlineStr">
        <is>
          <t>2012-02-17 13:52:00</t>
        </is>
      </c>
      <c r="K412" s="28" t="n"/>
      <c r="L412" s="29" t="n"/>
      <c r="M412" s="28" t="n"/>
      <c r="N412" s="28" t="n"/>
      <c r="O412" s="28" t="n"/>
      <c r="P412" s="28" t="n"/>
      <c r="Q412" s="28" t="n"/>
      <c r="R412" s="30" t="n"/>
      <c r="S412" s="28" t="n"/>
    </row>
    <row r="413">
      <c r="A413" t="inlineStr">
        <is>
          <t>R1412</t>
        </is>
      </c>
      <c r="B413" t="inlineStr">
        <is>
          <t>Holmes, Jessica</t>
        </is>
      </c>
      <c r="C413" t="inlineStr">
        <is>
          <t>03/31/1981</t>
        </is>
      </c>
      <c r="D413" t="inlineStr">
        <is>
          <t xml:space="preserve"> F</t>
        </is>
      </c>
      <c r="E413" t="inlineStr">
        <is>
          <t>555-983-1092</t>
        </is>
      </c>
      <c r="F413" t="inlineStr">
        <is>
          <t>jessica.holmes71@example.com</t>
        </is>
      </c>
      <c r="G413" t="inlineStr">
        <is>
          <t>Cedar Ridge OH 45720</t>
        </is>
      </c>
      <c r="H413" t="inlineStr">
        <is>
          <t>Evergreen Mutual Insurance</t>
        </is>
      </c>
      <c r="I413" t="inlineStr">
        <is>
          <t>07958044</t>
        </is>
      </c>
      <c r="J413" t="inlineStr">
        <is>
          <t>2023-05-08 13:58:00</t>
        </is>
      </c>
      <c r="K413" s="28" t="n"/>
      <c r="L413" s="29" t="n"/>
      <c r="M413" s="28" t="n"/>
      <c r="N413" s="28" t="n"/>
      <c r="O413" s="28" t="n"/>
      <c r="P413" s="28" t="n"/>
      <c r="Q413" s="28" t="n"/>
      <c r="R413" s="30" t="n"/>
      <c r="S413" s="28" t="n"/>
    </row>
    <row r="414">
      <c r="A414" t="inlineStr">
        <is>
          <t>R1413</t>
        </is>
      </c>
      <c r="B414" t="inlineStr">
        <is>
          <t>coleman, mei</t>
        </is>
      </c>
      <c r="C414" t="inlineStr">
        <is>
          <t>1975-09-30</t>
        </is>
      </c>
      <c r="D414" t="inlineStr">
        <is>
          <t>FEMALE</t>
        </is>
      </c>
      <c r="E414" t="inlineStr">
        <is>
          <t>5553414951</t>
        </is>
      </c>
      <c r="F414" t="inlineStr">
        <is>
          <t>MEI.COLEMAN79@EXAMPLE.COM</t>
        </is>
      </c>
      <c r="G414" t="inlineStr">
        <is>
          <t>Bluestone, OH 45502</t>
        </is>
      </c>
      <c r="H414" t="inlineStr">
        <is>
          <t>Evergreen Mutual Insurance</t>
        </is>
      </c>
      <c r="I414" t="inlineStr">
        <is>
          <t>01580053</t>
        </is>
      </c>
      <c r="J414" t="inlineStr">
        <is>
          <t>2022-09-23 09:55:00</t>
        </is>
      </c>
      <c r="K414" s="28" t="n"/>
      <c r="L414" s="29" t="n"/>
      <c r="M414" s="28" t="n"/>
      <c r="N414" s="28" t="n"/>
      <c r="O414" s="28" t="n"/>
      <c r="P414" s="28" t="n"/>
      <c r="Q414" s="28" t="n"/>
      <c r="R414" s="30" t="n"/>
      <c r="S414" s="28" t="n"/>
    </row>
    <row r="415">
      <c r="A415" t="inlineStr">
        <is>
          <t>R1414</t>
        </is>
      </c>
      <c r="B415" t="inlineStr">
        <is>
          <t>Helen Richards</t>
        </is>
      </c>
      <c r="C415" t="inlineStr">
        <is>
          <t>18-Sep-1970</t>
        </is>
      </c>
      <c r="D415" t="inlineStr">
        <is>
          <t>F</t>
        </is>
      </c>
      <c r="E415" t="inlineStr">
        <is>
          <t>+1 555 292 4923</t>
        </is>
      </c>
      <c r="F415" t="inlineStr">
        <is>
          <t>helen.richards34@example.com</t>
        </is>
      </c>
      <c r="G415" t="inlineStr">
        <is>
          <t>Bluestone, OH 45501-8671</t>
        </is>
      </c>
      <c r="H415" t="inlineStr">
        <is>
          <t>Summit PPO</t>
        </is>
      </c>
      <c r="I415" t="inlineStr">
        <is>
          <t>7134019</t>
        </is>
      </c>
      <c r="J415" t="inlineStr">
        <is>
          <t>09/28/2023 04:00 PM</t>
        </is>
      </c>
      <c r="K415" s="28" t="n"/>
      <c r="L415" s="29" t="n"/>
      <c r="M415" s="28" t="n"/>
      <c r="N415" s="28" t="n"/>
      <c r="O415" s="28" t="n"/>
      <c r="P415" s="28" t="n"/>
      <c r="Q415" s="28" t="n"/>
      <c r="R415" s="30" t="n"/>
      <c r="S415" s="28" t="n"/>
    </row>
    <row r="416">
      <c r="A416" t="inlineStr">
        <is>
          <t>R1415</t>
        </is>
      </c>
      <c r="B416" t="inlineStr">
        <is>
          <t>SANCHEZ, DIANA</t>
        </is>
      </c>
      <c r="C416" t="inlineStr">
        <is>
          <t>10/29/2016</t>
        </is>
      </c>
      <c r="D416" t="inlineStr">
        <is>
          <t>Female</t>
        </is>
      </c>
      <c r="E416" t="inlineStr">
        <is>
          <t>(555) 220-4806</t>
        </is>
      </c>
      <c r="F416" t="inlineStr">
        <is>
          <t>N/A</t>
        </is>
      </c>
      <c r="G416" t="inlineStr">
        <is>
          <t>Bluestone, OH 45502</t>
        </is>
      </c>
      <c r="H416" t="inlineStr">
        <is>
          <t>Summit PPO</t>
        </is>
      </c>
      <c r="I416" t="inlineStr">
        <is>
          <t>2389560</t>
        </is>
      </c>
      <c r="J416" t="inlineStr">
        <is>
          <t>2020-09-20 15:40:00</t>
        </is>
      </c>
      <c r="K416" s="28" t="n"/>
      <c r="L416" s="29" t="n"/>
      <c r="M416" s="28" t="n"/>
      <c r="N416" s="28" t="n"/>
      <c r="O416" s="28" t="n"/>
      <c r="P416" s="28" t="n"/>
      <c r="Q416" s="28" t="n"/>
      <c r="R416" s="30" t="n"/>
      <c r="S416" s="28" t="n"/>
    </row>
    <row r="417">
      <c r="A417" t="inlineStr">
        <is>
          <t>R1416</t>
        </is>
      </c>
      <c r="B417" t="inlineStr">
        <is>
          <t>Daniels, Mei</t>
        </is>
      </c>
      <c r="C417" t="inlineStr">
        <is>
          <t>1991-04-30</t>
        </is>
      </c>
      <c r="D417" t="inlineStr">
        <is>
          <t>Female</t>
        </is>
      </c>
      <c r="E417" t="inlineStr">
        <is>
          <t>(555) 735-7501</t>
        </is>
      </c>
      <c r="F417" t="inlineStr">
        <is>
          <t>none</t>
        </is>
      </c>
      <c r="G417" t="inlineStr">
        <is>
          <t>Ashby Falls, OH 45610</t>
        </is>
      </c>
      <c r="H417" t="inlineStr">
        <is>
          <t>Keystone Health Ptnrs</t>
        </is>
      </c>
      <c r="I417" t="inlineStr">
        <is>
          <t>08347484</t>
        </is>
      </c>
      <c r="J417" t="inlineStr">
        <is>
          <t>2024-04-01 07:41:00</t>
        </is>
      </c>
      <c r="K417" s="28" t="n"/>
      <c r="L417" s="29" t="n"/>
      <c r="M417" s="28" t="n"/>
      <c r="N417" s="28" t="n"/>
      <c r="O417" s="28" t="n"/>
      <c r="P417" s="28" t="n"/>
      <c r="Q417" s="28" t="n"/>
      <c r="R417" s="30" t="n"/>
      <c r="S417" s="28" t="n"/>
    </row>
    <row r="418">
      <c r="A418" t="inlineStr">
        <is>
          <t>R1417</t>
        </is>
      </c>
      <c r="B418" t="inlineStr">
        <is>
          <t>Webb, Donald</t>
        </is>
      </c>
      <c r="C418" t="inlineStr">
        <is>
          <t>1967-01-14</t>
        </is>
      </c>
      <c r="D418" t="inlineStr">
        <is>
          <t>MALE</t>
        </is>
      </c>
      <c r="E418" t="inlineStr">
        <is>
          <t>(555) 667-2592</t>
        </is>
      </c>
      <c r="F418" t="inlineStr">
        <is>
          <t>donald.webb86@example.com</t>
        </is>
      </c>
      <c r="G418" t="inlineStr">
        <is>
          <t>BLUESTONE, OH 45503</t>
        </is>
      </c>
      <c r="H418" t="inlineStr">
        <is>
          <t>SELF PAY</t>
        </is>
      </c>
      <c r="I418" t="inlineStr">
        <is>
          <t>MRN-05026116</t>
        </is>
      </c>
      <c r="J418" t="inlineStr">
        <is>
          <t>05/31/2017 12:29 PM</t>
        </is>
      </c>
      <c r="K418" s="28" t="n"/>
      <c r="L418" s="29" t="n"/>
      <c r="M418" s="28" t="n"/>
      <c r="N418" s="28" t="n"/>
      <c r="O418" s="28" t="n"/>
      <c r="P418" s="28" t="n"/>
      <c r="Q418" s="28" t="n"/>
      <c r="R418" s="30" t="n"/>
      <c r="S418" s="28" t="n"/>
    </row>
    <row r="419">
      <c r="A419" t="inlineStr">
        <is>
          <t>R1418</t>
        </is>
      </c>
      <c r="B419" t="inlineStr">
        <is>
          <t>Jackson, Natalie</t>
        </is>
      </c>
      <c r="C419" t="inlineStr">
        <is>
          <t>02/19/1965</t>
        </is>
      </c>
      <c r="D419" t="inlineStr">
        <is>
          <t xml:space="preserve"> F</t>
        </is>
      </c>
      <c r="E419" t="inlineStr">
        <is>
          <t>5555783874</t>
        </is>
      </c>
      <c r="G419" t="inlineStr">
        <is>
          <t>Bluestone, OH 45503</t>
        </is>
      </c>
      <c r="H419" t="inlineStr">
        <is>
          <t>STATE MEDICAID</t>
        </is>
      </c>
      <c r="I419" t="inlineStr">
        <is>
          <t>7344075</t>
        </is>
      </c>
      <c r="J419" t="inlineStr">
        <is>
          <t>09/20/2013 03:57 PM</t>
        </is>
      </c>
      <c r="K419" s="28" t="n"/>
      <c r="L419" s="29" t="n"/>
      <c r="M419" s="28" t="n"/>
      <c r="N419" s="28" t="n"/>
      <c r="O419" s="28" t="n"/>
      <c r="P419" s="28" t="n"/>
      <c r="Q419" s="28" t="n"/>
      <c r="R419" s="30" t="n"/>
      <c r="S419" s="28" t="n"/>
    </row>
    <row r="420">
      <c r="A420" t="inlineStr">
        <is>
          <t>R1419</t>
        </is>
      </c>
      <c r="B420" t="inlineStr">
        <is>
          <t>BERRY, BRYAN</t>
        </is>
      </c>
      <c r="C420" t="inlineStr">
        <is>
          <t>11/19/1961</t>
        </is>
      </c>
      <c r="D420" t="inlineStr">
        <is>
          <t xml:space="preserve">M </t>
        </is>
      </c>
      <c r="E420" t="inlineStr">
        <is>
          <t>555.545.4947</t>
        </is>
      </c>
      <c r="F420" t="inlineStr">
        <is>
          <t>none</t>
        </is>
      </c>
      <c r="G420" t="inlineStr">
        <is>
          <t>LAKEVIEW HEIGHTS, OH 45510</t>
        </is>
      </c>
      <c r="H420" t="inlineStr">
        <is>
          <t>Keystone</t>
        </is>
      </c>
      <c r="I420" t="inlineStr">
        <is>
          <t>07401534</t>
        </is>
      </c>
      <c r="J420" t="inlineStr">
        <is>
          <t>07/28/2011 12:47 PM</t>
        </is>
      </c>
      <c r="K420" s="28" t="n"/>
      <c r="L420" s="29" t="n"/>
      <c r="M420" s="28" t="n"/>
      <c r="N420" s="28" t="n"/>
      <c r="O420" s="28" t="n"/>
      <c r="P420" s="28" t="n"/>
      <c r="Q420" s="28" t="n"/>
      <c r="R420" s="30" t="n"/>
      <c r="S420" s="28" t="n"/>
    </row>
    <row r="421">
      <c r="A421" t="inlineStr">
        <is>
          <t>R1420</t>
        </is>
      </c>
      <c r="B421" t="inlineStr">
        <is>
          <t>LOPEZ, ROSA</t>
        </is>
      </c>
      <c r="C421" t="inlineStr">
        <is>
          <t>09/05/1945</t>
        </is>
      </c>
      <c r="D421" t="inlineStr">
        <is>
          <t>F</t>
        </is>
      </c>
      <c r="E421" t="inlineStr">
        <is>
          <t>(555) 550-5753</t>
        </is>
      </c>
      <c r="F421" t="inlineStr">
        <is>
          <t>rosa.lopez32@example.com</t>
        </is>
      </c>
      <c r="G421" t="inlineStr">
        <is>
          <t>Cedar Ridge OH 45720</t>
        </is>
      </c>
      <c r="H421" t="inlineStr">
        <is>
          <t>medicare</t>
        </is>
      </c>
      <c r="I421" t="inlineStr">
        <is>
          <t>1512014</t>
        </is>
      </c>
      <c r="J421" t="inlineStr">
        <is>
          <t>01/14/2021 05:33 PM</t>
        </is>
      </c>
      <c r="K421" s="28" t="n"/>
      <c r="L421" s="29" t="n"/>
      <c r="M421" s="28" t="n"/>
      <c r="N421" s="28" t="n"/>
      <c r="O421" s="28" t="n"/>
      <c r="P421" s="28" t="n"/>
      <c r="Q421" s="28" t="n"/>
      <c r="R421" s="30" t="n"/>
      <c r="S421" s="28" t="n"/>
    </row>
    <row r="422">
      <c r="A422" t="inlineStr">
        <is>
          <t>R1421</t>
        </is>
      </c>
      <c r="B422" t="inlineStr">
        <is>
          <t>HOLMES, LINH</t>
        </is>
      </c>
      <c r="C422" t="inlineStr">
        <is>
          <t>1960-11-29</t>
        </is>
      </c>
      <c r="D422" t="inlineStr">
        <is>
          <t>F</t>
        </is>
      </c>
      <c r="E422" t="inlineStr">
        <is>
          <t>555-323-6796</t>
        </is>
      </c>
      <c r="F422" t="inlineStr">
        <is>
          <t>linh.holmes92@example.com</t>
        </is>
      </c>
      <c r="G422" t="inlineStr">
        <is>
          <t>Pine Hollow, OH 45640-4804</t>
        </is>
      </c>
      <c r="H422" t="inlineStr">
        <is>
          <t>medicaid</t>
        </is>
      </c>
      <c r="I422" t="inlineStr">
        <is>
          <t>03873071</t>
        </is>
      </c>
      <c r="J422" t="inlineStr">
        <is>
          <t>2018-05-02 16:19:00</t>
        </is>
      </c>
      <c r="K422" s="28" t="n"/>
      <c r="L422" s="29" t="n"/>
      <c r="M422" s="28" t="n"/>
      <c r="N422" s="28" t="n"/>
      <c r="O422" s="28" t="n"/>
      <c r="P422" s="28" t="n"/>
      <c r="Q422" s="28" t="n"/>
      <c r="R422" s="30" t="n"/>
      <c r="S422" s="28" t="n"/>
    </row>
    <row r="423">
      <c r="A423" t="inlineStr">
        <is>
          <t>R1422</t>
        </is>
      </c>
      <c r="B423" t="inlineStr">
        <is>
          <t>Jones, Susan</t>
        </is>
      </c>
      <c r="C423" t="inlineStr">
        <is>
          <t>14-Sep-1968</t>
        </is>
      </c>
      <c r="D423" t="inlineStr">
        <is>
          <t>F</t>
        </is>
      </c>
      <c r="E423" t="inlineStr">
        <is>
          <t>555-617-3686</t>
        </is>
      </c>
      <c r="F423" t="inlineStr">
        <is>
          <t xml:space="preserve"> susan.jones36@example.com </t>
        </is>
      </c>
      <c r="G423" t="inlineStr">
        <is>
          <t>BLUESTONE, OH 45503</t>
        </is>
      </c>
      <c r="H423" t="inlineStr">
        <is>
          <t>Keystone</t>
        </is>
      </c>
      <c r="I423" t="inlineStr">
        <is>
          <t>05095669</t>
        </is>
      </c>
      <c r="J423" t="inlineStr">
        <is>
          <t>2010-09-02 16:27:00</t>
        </is>
      </c>
      <c r="K423" s="28" t="n"/>
      <c r="L423" s="29" t="n"/>
      <c r="M423" s="28" t="n"/>
      <c r="N423" s="28" t="n"/>
      <c r="O423" s="28" t="n"/>
      <c r="P423" s="28" t="n"/>
      <c r="Q423" s="28" t="n"/>
      <c r="R423" s="30" t="n"/>
      <c r="S423" s="28" t="n"/>
    </row>
    <row r="424">
      <c r="A424" t="inlineStr">
        <is>
          <t>R1423</t>
        </is>
      </c>
      <c r="B424" t="inlineStr">
        <is>
          <t>thompson, jesse</t>
        </is>
      </c>
      <c r="C424" t="inlineStr">
        <is>
          <t>15-Jun-2005</t>
        </is>
      </c>
      <c r="D424" t="inlineStr">
        <is>
          <t>m</t>
        </is>
      </c>
      <c r="F424" t="inlineStr">
        <is>
          <t>N/A</t>
        </is>
      </c>
      <c r="G424" t="inlineStr">
        <is>
          <t>Bluestone, OH 45502</t>
        </is>
      </c>
      <c r="H424" t="inlineStr">
        <is>
          <t>medicaid</t>
        </is>
      </c>
      <c r="I424" t="inlineStr">
        <is>
          <t>03001067</t>
        </is>
      </c>
      <c r="J424" t="inlineStr">
        <is>
          <t>04/10/2008 12:02 PM</t>
        </is>
      </c>
      <c r="K424" s="28" t="n"/>
      <c r="L424" s="29" t="n"/>
      <c r="M424" s="28" t="n"/>
      <c r="N424" s="28" t="n"/>
      <c r="O424" s="28" t="n"/>
      <c r="P424" s="28" t="n"/>
      <c r="Q424" s="28" t="n"/>
      <c r="R424" s="30" t="n"/>
      <c r="S424" s="28" t="n"/>
    </row>
    <row r="425">
      <c r="A425" t="inlineStr">
        <is>
          <t>R1424</t>
        </is>
      </c>
      <c r="B425" t="inlineStr">
        <is>
          <t>shaw, larry</t>
        </is>
      </c>
      <c r="C425" t="inlineStr">
        <is>
          <t>1948-09-24</t>
        </is>
      </c>
      <c r="D425" t="inlineStr">
        <is>
          <t>Male</t>
        </is>
      </c>
      <c r="E425" t="inlineStr">
        <is>
          <t>555-201-7862</t>
        </is>
      </c>
      <c r="F425" t="inlineStr">
        <is>
          <t>larry.shaw78@example.com</t>
        </is>
      </c>
      <c r="G425" t="inlineStr">
        <is>
          <t>Bluestone, OH 45502</t>
        </is>
      </c>
      <c r="H425" t="inlineStr">
        <is>
          <t>STATE MEDICAID</t>
        </is>
      </c>
      <c r="I425" t="inlineStr">
        <is>
          <t>04544699</t>
        </is>
      </c>
      <c r="J425" t="inlineStr">
        <is>
          <t>2022-04-23 09:05:00</t>
        </is>
      </c>
      <c r="K425" s="28" t="n"/>
      <c r="L425" s="29" t="n"/>
      <c r="M425" s="28" t="n"/>
      <c r="N425" s="28" t="n"/>
      <c r="O425" s="28" t="n"/>
      <c r="P425" s="28" t="n"/>
      <c r="Q425" s="28" t="n"/>
      <c r="R425" s="30" t="n"/>
      <c r="S425" s="28" t="n"/>
    </row>
    <row r="426">
      <c r="A426" t="inlineStr">
        <is>
          <t>R1425</t>
        </is>
      </c>
      <c r="B426" t="inlineStr">
        <is>
          <t xml:space="preserve">  Jordan ,  Judy </t>
        </is>
      </c>
      <c r="C426" t="inlineStr">
        <is>
          <t>01/26/2024</t>
        </is>
      </c>
      <c r="D426" t="inlineStr">
        <is>
          <t>F</t>
        </is>
      </c>
      <c r="E426" t="inlineStr">
        <is>
          <t>(555) 591-5977</t>
        </is>
      </c>
      <c r="G426" t="inlineStr">
        <is>
          <t>Riverbend, OH 45545</t>
        </is>
      </c>
      <c r="H426" t="inlineStr">
        <is>
          <t>State Medicaid</t>
        </is>
      </c>
      <c r="I426" t="inlineStr">
        <is>
          <t>5365885</t>
        </is>
      </c>
      <c r="J426" t="inlineStr">
        <is>
          <t>01/28/2024 06:40 PM</t>
        </is>
      </c>
      <c r="K426" s="28" t="n"/>
      <c r="L426" s="29" t="n"/>
      <c r="M426" s="28" t="n"/>
      <c r="N426" s="28" t="n"/>
      <c r="O426" s="28" t="n"/>
      <c r="P426" s="28" t="n"/>
      <c r="Q426" s="28" t="n"/>
      <c r="R426" s="30" t="n"/>
      <c r="S426" s="28" t="n"/>
    </row>
    <row r="427">
      <c r="A427" t="inlineStr">
        <is>
          <t>R1426</t>
        </is>
      </c>
      <c r="B427" t="inlineStr">
        <is>
          <t>Alexander Santos</t>
        </is>
      </c>
      <c r="C427" t="inlineStr">
        <is>
          <t>04/08/1979</t>
        </is>
      </c>
      <c r="D427" t="inlineStr">
        <is>
          <t>M</t>
        </is>
      </c>
      <c r="E427" t="inlineStr">
        <is>
          <t>(555) 792-1910</t>
        </is>
      </c>
      <c r="F427" t="inlineStr">
        <is>
          <t xml:space="preserve"> alexander.santos1@example.com </t>
        </is>
      </c>
      <c r="G427" t="inlineStr">
        <is>
          <t>Lakeview Heights, OH 45510</t>
        </is>
      </c>
      <c r="H427" t="inlineStr">
        <is>
          <t>EVERGREEN MUTUAL INS</t>
        </is>
      </c>
      <c r="I427" t="inlineStr">
        <is>
          <t>03319123</t>
        </is>
      </c>
      <c r="J427" t="inlineStr">
        <is>
          <t>08/02/2018 08:25 AM</t>
        </is>
      </c>
      <c r="K427" s="28" t="n"/>
      <c r="L427" s="29" t="n"/>
      <c r="M427" s="28" t="n"/>
      <c r="N427" s="28" t="n"/>
      <c r="O427" s="28" t="n"/>
      <c r="P427" s="28" t="n"/>
      <c r="Q427" s="28" t="n"/>
      <c r="R427" s="30" t="n"/>
      <c r="S427" s="28" t="n"/>
    </row>
    <row r="428">
      <c r="A428" t="inlineStr">
        <is>
          <t>R1427</t>
        </is>
      </c>
      <c r="B428" t="inlineStr">
        <is>
          <t>Robert Edwards</t>
        </is>
      </c>
      <c r="C428" t="inlineStr">
        <is>
          <t>10/7/1960</t>
        </is>
      </c>
      <c r="D428" t="inlineStr">
        <is>
          <t>Male</t>
        </is>
      </c>
      <c r="E428" t="inlineStr">
        <is>
          <t>555-374-8363</t>
        </is>
      </c>
      <c r="F428" t="inlineStr">
        <is>
          <t>none</t>
        </is>
      </c>
      <c r="G428" t="inlineStr">
        <is>
          <t>Bluestone, OH 45503</t>
        </is>
      </c>
      <c r="H428" t="inlineStr">
        <is>
          <t>Medicare</t>
        </is>
      </c>
      <c r="I428" t="inlineStr">
        <is>
          <t>04707379</t>
        </is>
      </c>
      <c r="J428" t="inlineStr">
        <is>
          <t>01/23/2021 10:01 AM</t>
        </is>
      </c>
      <c r="K428" s="28" t="n"/>
      <c r="L428" s="29" t="n"/>
      <c r="M428" s="28" t="n"/>
      <c r="N428" s="28" t="n"/>
      <c r="O428" s="28" t="n"/>
      <c r="P428" s="28" t="n"/>
      <c r="Q428" s="28" t="n"/>
      <c r="R428" s="30" t="n"/>
      <c r="S428" s="28" t="n"/>
    </row>
    <row r="429">
      <c r="A429" t="inlineStr">
        <is>
          <t>R1428</t>
        </is>
      </c>
      <c r="B429" t="inlineStr">
        <is>
          <t>Myers, Amanda</t>
        </is>
      </c>
      <c r="C429" t="inlineStr">
        <is>
          <t>05/21/1936</t>
        </is>
      </c>
      <c r="D429" t="inlineStr">
        <is>
          <t>Female</t>
        </is>
      </c>
      <c r="E429" t="inlineStr">
        <is>
          <t>(555) 514-8680</t>
        </is>
      </c>
      <c r="F429" t="inlineStr">
        <is>
          <t>AMANDA.MYERS68@EXAMPLE.COM</t>
        </is>
      </c>
      <c r="G429" t="inlineStr">
        <is>
          <t>ASHBY FALLS, OH 45610</t>
        </is>
      </c>
      <c r="H429" t="inlineStr">
        <is>
          <t>MEDICARE</t>
        </is>
      </c>
      <c r="I429" t="inlineStr">
        <is>
          <t>6388262</t>
        </is>
      </c>
      <c r="J429" t="inlineStr">
        <is>
          <t>05/28/2023 12:54 PM</t>
        </is>
      </c>
      <c r="K429" s="28" t="n"/>
      <c r="L429" s="29" t="n"/>
      <c r="M429" s="28" t="n"/>
      <c r="N429" s="28" t="n"/>
      <c r="O429" s="28" t="n"/>
      <c r="P429" s="28" t="n"/>
      <c r="Q429" s="28" t="n"/>
      <c r="R429" s="30" t="n"/>
      <c r="S429" s="28" t="n"/>
    </row>
    <row r="430">
      <c r="A430" t="inlineStr">
        <is>
          <t>R1429</t>
        </is>
      </c>
      <c r="B430" t="inlineStr">
        <is>
          <t>anderson, ethan</t>
        </is>
      </c>
      <c r="C430" t="inlineStr">
        <is>
          <t>8/31/2004</t>
        </is>
      </c>
      <c r="D430" t="inlineStr">
        <is>
          <t xml:space="preserve">M </t>
        </is>
      </c>
      <c r="E430" t="inlineStr">
        <is>
          <t>5559794394</t>
        </is>
      </c>
      <c r="F430" t="inlineStr">
        <is>
          <t>ethan.anderson43@example.com</t>
        </is>
      </c>
      <c r="G430" t="inlineStr">
        <is>
          <t>Riverbend OH 45545</t>
        </is>
      </c>
      <c r="H430" t="inlineStr">
        <is>
          <t>Keystone Health Partners</t>
        </is>
      </c>
      <c r="I430" t="inlineStr">
        <is>
          <t>06383522</t>
        </is>
      </c>
      <c r="J430" t="inlineStr">
        <is>
          <t>08/15/2014 01:25 PM</t>
        </is>
      </c>
      <c r="K430" s="28" t="n"/>
      <c r="L430" s="29" t="n"/>
      <c r="M430" s="28" t="n"/>
      <c r="N430" s="28" t="n"/>
      <c r="O430" s="28" t="n"/>
      <c r="P430" s="28" t="n"/>
      <c r="Q430" s="28" t="n"/>
      <c r="R430" s="30" t="n"/>
      <c r="S430" s="28" t="n"/>
    </row>
    <row r="431">
      <c r="A431" t="inlineStr">
        <is>
          <t>R1430</t>
        </is>
      </c>
      <c r="B431" t="inlineStr">
        <is>
          <t>OSEI, AHMED</t>
        </is>
      </c>
      <c r="C431" t="inlineStr">
        <is>
          <t>1973-04-15</t>
        </is>
      </c>
      <c r="D431" t="inlineStr">
        <is>
          <t>M</t>
        </is>
      </c>
      <c r="E431" t="inlineStr">
        <is>
          <t>5552642314</t>
        </is>
      </c>
      <c r="F431" t="inlineStr">
        <is>
          <t>ahmed.osei36@example.com</t>
        </is>
      </c>
      <c r="G431" t="inlineStr">
        <is>
          <t>Pine Hollow, OH 45640-1523</t>
        </is>
      </c>
      <c r="H431" t="inlineStr">
        <is>
          <t>KEYSTONE HEALTH PARTNERS</t>
        </is>
      </c>
      <c r="I431" t="inlineStr">
        <is>
          <t>01535390</t>
        </is>
      </c>
      <c r="J431" t="inlineStr">
        <is>
          <t>2024-05-17 12:01:00</t>
        </is>
      </c>
      <c r="K431" s="28" t="n"/>
      <c r="L431" s="29" t="n"/>
      <c r="M431" s="28" t="n"/>
      <c r="N431" s="28" t="n"/>
      <c r="O431" s="28" t="n"/>
      <c r="P431" s="28" t="n"/>
      <c r="Q431" s="28" t="n"/>
      <c r="R431" s="30" t="n"/>
      <c r="S431" s="28" t="n"/>
    </row>
    <row r="432">
      <c r="A432" t="inlineStr">
        <is>
          <t>R1431</t>
        </is>
      </c>
      <c r="B432" t="inlineStr">
        <is>
          <t>RAY, ABIGAIL</t>
        </is>
      </c>
      <c r="C432" t="inlineStr">
        <is>
          <t>09/14/1996</t>
        </is>
      </c>
      <c r="D432" t="inlineStr">
        <is>
          <t>F</t>
        </is>
      </c>
      <c r="E432" t="inlineStr">
        <is>
          <t>555-329-9705</t>
        </is>
      </c>
      <c r="F432" t="inlineStr">
        <is>
          <t>abigail.ray3@example.com</t>
        </is>
      </c>
      <c r="G432" t="inlineStr">
        <is>
          <t>Millbrook, OH 45530-8186</t>
        </is>
      </c>
      <c r="H432" t="inlineStr">
        <is>
          <t>STATE MEDICAID</t>
        </is>
      </c>
      <c r="I432" t="inlineStr">
        <is>
          <t>04041964</t>
        </is>
      </c>
      <c r="J432" t="inlineStr">
        <is>
          <t>01/08/2020 09:33 AM</t>
        </is>
      </c>
      <c r="K432" s="28" t="n"/>
      <c r="L432" s="29" t="n"/>
      <c r="M432" s="28" t="n"/>
      <c r="N432" s="28" t="n"/>
      <c r="O432" s="28" t="n"/>
      <c r="P432" s="28" t="n"/>
      <c r="Q432" s="28" t="n"/>
      <c r="R432" s="30" t="n"/>
      <c r="S432" s="28" t="n"/>
    </row>
    <row r="433">
      <c r="A433" t="inlineStr">
        <is>
          <t>R1432</t>
        </is>
      </c>
      <c r="B433" t="inlineStr">
        <is>
          <t>Kennedy, Larry</t>
        </is>
      </c>
      <c r="C433" t="inlineStr">
        <is>
          <t>03/24/1995</t>
        </is>
      </c>
      <c r="D433" t="inlineStr">
        <is>
          <t>M</t>
        </is>
      </c>
      <c r="E433" t="inlineStr">
        <is>
          <t>(555) 645-4182</t>
        </is>
      </c>
      <c r="G433" t="inlineStr">
        <is>
          <t>Bluestone, OH 45501</t>
        </is>
      </c>
      <c r="H433" t="inlineStr">
        <is>
          <t>Summit Choice PPO</t>
        </is>
      </c>
      <c r="I433" t="inlineStr">
        <is>
          <t>05271904</t>
        </is>
      </c>
      <c r="J433" t="inlineStr">
        <is>
          <t>2024-03-24 16:11:00</t>
        </is>
      </c>
      <c r="K433" s="28" t="n"/>
      <c r="L433" s="29" t="n"/>
      <c r="M433" s="28" t="n"/>
      <c r="N433" s="28" t="n"/>
      <c r="O433" s="28" t="n"/>
      <c r="P433" s="28" t="n"/>
      <c r="Q433" s="28" t="n"/>
      <c r="R433" s="30" t="n"/>
      <c r="S433" s="28" t="n"/>
    </row>
    <row r="434">
      <c r="A434" t="inlineStr">
        <is>
          <t>R1433</t>
        </is>
      </c>
      <c r="B434" t="inlineStr">
        <is>
          <t>Kowalski, Jose</t>
        </is>
      </c>
      <c r="C434" t="inlineStr">
        <is>
          <t>12/23/1970</t>
        </is>
      </c>
      <c r="D434" t="inlineStr">
        <is>
          <t>M</t>
        </is>
      </c>
      <c r="F434" t="inlineStr">
        <is>
          <t xml:space="preserve"> jose.kowalski5@example.com </t>
        </is>
      </c>
      <c r="G434" t="inlineStr">
        <is>
          <t>Bluestone, OH 45502</t>
        </is>
      </c>
      <c r="H434" t="inlineStr">
        <is>
          <t>Keystone Health Ptnrs</t>
        </is>
      </c>
      <c r="I434" t="inlineStr">
        <is>
          <t>03910482</t>
        </is>
      </c>
      <c r="J434" t="inlineStr">
        <is>
          <t>01/05/2024 05:27 PM</t>
        </is>
      </c>
      <c r="K434" s="28" t="n"/>
      <c r="L434" s="29" t="n"/>
      <c r="M434" s="28" t="n"/>
      <c r="N434" s="28" t="n"/>
      <c r="O434" s="28" t="n"/>
      <c r="P434" s="28" t="n"/>
      <c r="Q434" s="28" t="n"/>
      <c r="R434" s="30" t="n"/>
      <c r="S434" s="28" t="n"/>
    </row>
    <row r="435">
      <c r="A435" t="inlineStr">
        <is>
          <t>R1434</t>
        </is>
      </c>
      <c r="B435" t="inlineStr">
        <is>
          <t xml:space="preserve">  Ford ,  Michelle </t>
        </is>
      </c>
      <c r="C435" t="inlineStr">
        <is>
          <t>06/22/2025</t>
        </is>
      </c>
      <c r="D435" t="inlineStr">
        <is>
          <t>Female</t>
        </is>
      </c>
      <c r="E435" t="inlineStr">
        <is>
          <t>(555) 655-6926</t>
        </is>
      </c>
      <c r="G435" t="inlineStr">
        <is>
          <t>Bluestone, OH 45501</t>
        </is>
      </c>
      <c r="H435" t="inlineStr">
        <is>
          <t>medicaid</t>
        </is>
      </c>
      <c r="I435" t="inlineStr">
        <is>
          <t>00852736</t>
        </is>
      </c>
      <c r="J435" t="inlineStr">
        <is>
          <t>2024-06-04 17:36:00</t>
        </is>
      </c>
      <c r="K435" s="28" t="n"/>
      <c r="L435" s="29" t="n"/>
      <c r="M435" s="28" t="n"/>
      <c r="N435" s="28" t="n"/>
      <c r="O435" s="28" t="n"/>
      <c r="P435" s="28" t="n"/>
      <c r="Q435" s="28" t="n"/>
      <c r="R435" s="30" t="n"/>
      <c r="S435" s="28" t="n"/>
    </row>
    <row r="436">
      <c r="A436" t="inlineStr">
        <is>
          <t>R1435</t>
        </is>
      </c>
      <c r="B436" t="inlineStr">
        <is>
          <t>HAYES, ROSA</t>
        </is>
      </c>
      <c r="C436" t="inlineStr">
        <is>
          <t>17-May-1949</t>
        </is>
      </c>
      <c r="D436" t="inlineStr">
        <is>
          <t>f</t>
        </is>
      </c>
      <c r="E436" t="inlineStr">
        <is>
          <t>(555) 684-4482</t>
        </is>
      </c>
      <c r="G436" t="inlineStr">
        <is>
          <t>Bluestone, OH 45501</t>
        </is>
      </c>
      <c r="H436" t="inlineStr">
        <is>
          <t>Medicare Part A</t>
        </is>
      </c>
      <c r="I436" t="inlineStr">
        <is>
          <t>4749021</t>
        </is>
      </c>
      <c r="J436" t="inlineStr">
        <is>
          <t>2021-06-06 09:47:00</t>
        </is>
      </c>
      <c r="K436" s="28" t="n"/>
      <c r="L436" s="29" t="n"/>
      <c r="M436" s="28" t="n"/>
      <c r="N436" s="28" t="n"/>
      <c r="O436" s="28" t="n"/>
      <c r="P436" s="28" t="n"/>
      <c r="Q436" s="28" t="n"/>
      <c r="R436" s="30" t="n"/>
      <c r="S436" s="28" t="n"/>
    </row>
    <row r="437">
      <c r="A437" t="inlineStr">
        <is>
          <t>R1436</t>
        </is>
      </c>
      <c r="B437" t="inlineStr">
        <is>
          <t>Griffin, Aaron</t>
        </is>
      </c>
      <c r="C437" t="inlineStr">
        <is>
          <t>10/08/2006</t>
        </is>
      </c>
      <c r="D437" t="inlineStr">
        <is>
          <t>M</t>
        </is>
      </c>
      <c r="E437" t="inlineStr">
        <is>
          <t>555.354.3611</t>
        </is>
      </c>
      <c r="F437" t="inlineStr">
        <is>
          <t>AARON.GRIFFIN9@EXAMPLE.COM</t>
        </is>
      </c>
      <c r="G437" t="inlineStr">
        <is>
          <t>Millbrook, OH 45530</t>
        </is>
      </c>
      <c r="H437" t="inlineStr">
        <is>
          <t>Evergreen Mutual Insurance</t>
        </is>
      </c>
      <c r="I437" t="inlineStr">
        <is>
          <t>05891705</t>
        </is>
      </c>
      <c r="J437" t="inlineStr">
        <is>
          <t>2025-02-24 17:15:00</t>
        </is>
      </c>
      <c r="K437" s="28" t="n"/>
      <c r="L437" s="29" t="n"/>
      <c r="M437" s="28" t="n"/>
      <c r="N437" s="28" t="n"/>
      <c r="O437" s="28" t="n"/>
      <c r="P437" s="28" t="n"/>
      <c r="Q437" s="28" t="n"/>
      <c r="R437" s="30" t="n"/>
      <c r="S437" s="28" t="n"/>
    </row>
    <row r="438">
      <c r="A438" t="inlineStr">
        <is>
          <t>R1437</t>
        </is>
      </c>
      <c r="B438" t="inlineStr">
        <is>
          <t>Gomez, Kenneth</t>
        </is>
      </c>
      <c r="C438" t="inlineStr">
        <is>
          <t>01/16/1993</t>
        </is>
      </c>
      <c r="D438" t="inlineStr">
        <is>
          <t>M</t>
        </is>
      </c>
      <c r="E438" t="inlineStr">
        <is>
          <t>5559125524</t>
        </is>
      </c>
      <c r="G438" t="inlineStr">
        <is>
          <t>Bluestone, OH 45502</t>
        </is>
      </c>
      <c r="H438" t="inlineStr">
        <is>
          <t>STATE MEDICAID</t>
        </is>
      </c>
      <c r="I438" t="inlineStr">
        <is>
          <t>06125388</t>
        </is>
      </c>
      <c r="J438" t="inlineStr">
        <is>
          <t>2010-04-17 18:57:00</t>
        </is>
      </c>
      <c r="K438" s="28" t="n"/>
      <c r="L438" s="29" t="n"/>
      <c r="M438" s="28" t="n"/>
      <c r="N438" s="28" t="n"/>
      <c r="O438" s="28" t="n"/>
      <c r="P438" s="28" t="n"/>
      <c r="Q438" s="28" t="n"/>
      <c r="R438" s="30" t="n"/>
      <c r="S438" s="28" t="n"/>
    </row>
    <row r="439">
      <c r="A439" t="inlineStr">
        <is>
          <t>R1438</t>
        </is>
      </c>
      <c r="B439" t="inlineStr">
        <is>
          <t>Kennedy, Martha</t>
        </is>
      </c>
      <c r="C439" t="inlineStr">
        <is>
          <t>07/30/2013</t>
        </is>
      </c>
      <c r="D439" t="inlineStr">
        <is>
          <t>F</t>
        </is>
      </c>
      <c r="E439" t="inlineStr">
        <is>
          <t>(555) 728-9889</t>
        </is>
      </c>
      <c r="F439" t="inlineStr">
        <is>
          <t>none</t>
        </is>
      </c>
      <c r="G439" t="inlineStr">
        <is>
          <t>Lakeview Heights, OH 45510</t>
        </is>
      </c>
      <c r="H439" t="inlineStr">
        <is>
          <t>Keystone</t>
        </is>
      </c>
      <c r="I439" t="inlineStr">
        <is>
          <t>04277692</t>
        </is>
      </c>
      <c r="J439" t="inlineStr">
        <is>
          <t>2017-07-15 12:32:00</t>
        </is>
      </c>
      <c r="K439" s="28" t="n"/>
      <c r="L439" s="29" t="n"/>
      <c r="M439" s="28" t="n"/>
      <c r="N439" s="28" t="n"/>
      <c r="O439" s="28" t="n"/>
      <c r="P439" s="28" t="n"/>
      <c r="Q439" s="28" t="n"/>
      <c r="R439" s="30" t="n"/>
      <c r="S439" s="28" t="n"/>
    </row>
    <row r="440">
      <c r="A440" t="inlineStr">
        <is>
          <t>R1439</t>
        </is>
      </c>
      <c r="B440" t="inlineStr">
        <is>
          <t>ALEXANDER, GERALD</t>
        </is>
      </c>
      <c r="C440" t="inlineStr">
        <is>
          <t>10-Jul-1977</t>
        </is>
      </c>
      <c r="D440" t="inlineStr">
        <is>
          <t>M</t>
        </is>
      </c>
      <c r="E440" t="inlineStr">
        <is>
          <t>5555862883</t>
        </is>
      </c>
      <c r="F440" t="inlineStr">
        <is>
          <t>gerald.alexander41@example.com</t>
        </is>
      </c>
      <c r="G440" t="inlineStr">
        <is>
          <t>Bluestone, OH 45502-2223</t>
        </is>
      </c>
      <c r="H440" t="inlineStr">
        <is>
          <t>medicaid</t>
        </is>
      </c>
      <c r="I440" t="inlineStr">
        <is>
          <t>09626156</t>
        </is>
      </c>
      <c r="J440" t="inlineStr">
        <is>
          <t>2017-07-16 11:07:00</t>
        </is>
      </c>
      <c r="K440" s="28" t="n"/>
      <c r="L440" s="29" t="n"/>
      <c r="M440" s="28" t="n"/>
      <c r="N440" s="28" t="n"/>
      <c r="O440" s="28" t="n"/>
      <c r="P440" s="28" t="n"/>
      <c r="Q440" s="28" t="n"/>
      <c r="R440" s="30" t="n"/>
      <c r="S440" s="28" t="n"/>
    </row>
    <row r="441">
      <c r="A441" t="inlineStr">
        <is>
          <t>R1440</t>
        </is>
      </c>
      <c r="B441" t="inlineStr">
        <is>
          <t>Campbell, Virginia</t>
        </is>
      </c>
      <c r="C441" t="inlineStr">
        <is>
          <t>08/06/1989</t>
        </is>
      </c>
      <c r="D441" t="inlineStr">
        <is>
          <t>Female</t>
        </is>
      </c>
      <c r="E441" t="inlineStr">
        <is>
          <t>(555) 455-0735</t>
        </is>
      </c>
      <c r="F441" t="inlineStr">
        <is>
          <t>virginia.campbell86@example.com</t>
        </is>
      </c>
      <c r="G441" t="inlineStr">
        <is>
          <t>Riverbend, OH 45545</t>
        </is>
      </c>
      <c r="H441" t="inlineStr">
        <is>
          <t>Summit Choice</t>
        </is>
      </c>
      <c r="I441" t="inlineStr">
        <is>
          <t>09849286</t>
        </is>
      </c>
      <c r="J441" t="inlineStr">
        <is>
          <t>2008-02-22 14:10:00</t>
        </is>
      </c>
      <c r="K441" s="28" t="n"/>
      <c r="L441" s="29" t="n"/>
      <c r="M441" s="28" t="n"/>
      <c r="N441" s="28" t="n"/>
      <c r="O441" s="28" t="n"/>
      <c r="P441" s="28" t="n"/>
      <c r="Q441" s="28" t="n"/>
      <c r="R441" s="30" t="n"/>
      <c r="S441" s="28" t="n"/>
    </row>
    <row r="442">
      <c r="A442" t="inlineStr">
        <is>
          <t>R1441</t>
        </is>
      </c>
      <c r="B442" t="inlineStr">
        <is>
          <t>THOMPSON, SARA</t>
        </is>
      </c>
      <c r="C442" t="inlineStr">
        <is>
          <t>2006-01-18</t>
        </is>
      </c>
      <c r="D442" t="inlineStr">
        <is>
          <t>F</t>
        </is>
      </c>
      <c r="E442" t="inlineStr">
        <is>
          <t>555-706-9963</t>
        </is>
      </c>
      <c r="F442" t="inlineStr">
        <is>
          <t xml:space="preserve"> sara.thompson24@example.com </t>
        </is>
      </c>
      <c r="G442" t="inlineStr">
        <is>
          <t>Millbrook, OH 45530-4130</t>
        </is>
      </c>
      <c r="H442" t="inlineStr">
        <is>
          <t>State Medicaid</t>
        </is>
      </c>
      <c r="I442" t="inlineStr">
        <is>
          <t>05700982</t>
        </is>
      </c>
      <c r="J442" t="inlineStr">
        <is>
          <t>2019-05-13 09:46:00</t>
        </is>
      </c>
      <c r="K442" s="28" t="n"/>
      <c r="L442" s="29" t="n"/>
      <c r="M442" s="28" t="n"/>
      <c r="N442" s="28" t="n"/>
      <c r="O442" s="28" t="n"/>
      <c r="P442" s="28" t="n"/>
      <c r="Q442" s="28" t="n"/>
      <c r="R442" s="30" t="n"/>
      <c r="S442" s="28" t="n"/>
    </row>
    <row r="443">
      <c r="A443" t="inlineStr">
        <is>
          <t>R1442</t>
        </is>
      </c>
      <c r="B443" t="inlineStr">
        <is>
          <t>Hunter, Russell</t>
        </is>
      </c>
      <c r="C443" t="inlineStr">
        <is>
          <t>9/26/1962</t>
        </is>
      </c>
      <c r="D443" t="inlineStr">
        <is>
          <t>M</t>
        </is>
      </c>
      <c r="E443" t="inlineStr">
        <is>
          <t>5555203195</t>
        </is>
      </c>
      <c r="F443" t="inlineStr">
        <is>
          <t>RUSSELL.HUNTER93@EXAMPLE.COM</t>
        </is>
      </c>
      <c r="G443" t="inlineStr">
        <is>
          <t>Bluestone, OH 45503-8380</t>
        </is>
      </c>
      <c r="H443" t="inlineStr">
        <is>
          <t>Evergreen Mutual Insurance</t>
        </is>
      </c>
      <c r="I443" t="inlineStr">
        <is>
          <t>06940531</t>
        </is>
      </c>
      <c r="J443" t="inlineStr">
        <is>
          <t>2012-07-04 18:57:00</t>
        </is>
      </c>
      <c r="K443" s="28" t="n"/>
      <c r="L443" s="29" t="n"/>
      <c r="M443" s="28" t="n"/>
      <c r="N443" s="28" t="n"/>
      <c r="O443" s="28" t="n"/>
      <c r="P443" s="28" t="n"/>
      <c r="Q443" s="28" t="n"/>
      <c r="R443" s="30" t="n"/>
      <c r="S443" s="28" t="n"/>
    </row>
    <row r="444">
      <c r="A444" t="inlineStr">
        <is>
          <t>R1443</t>
        </is>
      </c>
      <c r="B444" t="inlineStr">
        <is>
          <t>PHILLIPS, JAMES</t>
        </is>
      </c>
      <c r="C444" t="inlineStr">
        <is>
          <t>04/12/1977</t>
        </is>
      </c>
      <c r="D444" t="inlineStr">
        <is>
          <t>M</t>
        </is>
      </c>
      <c r="E444" t="inlineStr">
        <is>
          <t>555.241.9349</t>
        </is>
      </c>
      <c r="F444" t="inlineStr">
        <is>
          <t>james.phillips57@example.com</t>
        </is>
      </c>
      <c r="G444" t="inlineStr">
        <is>
          <t>FAIRHAVEN, OH 45620</t>
        </is>
      </c>
      <c r="H444" t="inlineStr">
        <is>
          <t>Evergreen Mutual</t>
        </is>
      </c>
      <c r="I444" t="inlineStr">
        <is>
          <t>05290610</t>
        </is>
      </c>
      <c r="J444" t="inlineStr">
        <is>
          <t>2024-03-12 09:32:00</t>
        </is>
      </c>
      <c r="K444" s="28" t="n"/>
      <c r="L444" s="29" t="n"/>
      <c r="M444" s="28" t="n"/>
      <c r="N444" s="28" t="n"/>
      <c r="O444" s="28" t="n"/>
      <c r="P444" s="28" t="n"/>
      <c r="Q444" s="28" t="n"/>
      <c r="R444" s="30" t="n"/>
      <c r="S444" s="28" t="n"/>
    </row>
    <row r="445">
      <c r="A445" t="inlineStr">
        <is>
          <t>R1444</t>
        </is>
      </c>
      <c r="B445" t="inlineStr">
        <is>
          <t>Castillo, Judith</t>
        </is>
      </c>
      <c r="C445" t="inlineStr">
        <is>
          <t>06.01.1980</t>
        </is>
      </c>
      <c r="D445" t="inlineStr">
        <is>
          <t>FEMALE</t>
        </is>
      </c>
      <c r="E445" t="inlineStr">
        <is>
          <t>555-953-7822</t>
        </is>
      </c>
      <c r="F445" t="inlineStr">
        <is>
          <t>judith.castillo59@example.com</t>
        </is>
      </c>
      <c r="G445" t="inlineStr">
        <is>
          <t>BLUESTONE, OH 45502</t>
        </is>
      </c>
      <c r="H445" t="inlineStr">
        <is>
          <t>STATE MEDICAID</t>
        </is>
      </c>
      <c r="I445" t="inlineStr">
        <is>
          <t>MRN-08336022</t>
        </is>
      </c>
      <c r="J445" t="inlineStr">
        <is>
          <t>01/17/2011 09:40 AM</t>
        </is>
      </c>
      <c r="K445" s="28" t="n"/>
      <c r="L445" s="29" t="n"/>
      <c r="M445" s="28" t="n"/>
      <c r="N445" s="28" t="n"/>
      <c r="O445" s="28" t="n"/>
      <c r="P445" s="28" t="n"/>
      <c r="Q445" s="28" t="n"/>
      <c r="R445" s="30" t="n"/>
      <c r="S445" s="28" t="n"/>
    </row>
    <row r="446">
      <c r="A446" t="inlineStr">
        <is>
          <t>R1445</t>
        </is>
      </c>
      <c r="B446" t="inlineStr">
        <is>
          <t>lopez, robert</t>
        </is>
      </c>
      <c r="C446" t="inlineStr">
        <is>
          <t>1937-05-14</t>
        </is>
      </c>
      <c r="D446" t="inlineStr">
        <is>
          <t>m</t>
        </is>
      </c>
      <c r="E446" t="inlineStr">
        <is>
          <t>5556759321</t>
        </is>
      </c>
      <c r="G446" t="inlineStr">
        <is>
          <t>Cedar Ridge, OH 45720-3747</t>
        </is>
      </c>
      <c r="H446" t="inlineStr">
        <is>
          <t>Medicare</t>
        </is>
      </c>
      <c r="I446" t="inlineStr">
        <is>
          <t>02913837</t>
        </is>
      </c>
      <c r="J446" t="inlineStr">
        <is>
          <t>05/21/2022 08:45 AM</t>
        </is>
      </c>
      <c r="K446" s="28" t="n"/>
      <c r="L446" s="29" t="n"/>
      <c r="M446" s="28" t="n"/>
      <c r="N446" s="28" t="n"/>
      <c r="O446" s="28" t="n"/>
      <c r="P446" s="28" t="n"/>
      <c r="Q446" s="28" t="n"/>
      <c r="R446" s="30" t="n"/>
      <c r="S446" s="28" t="n"/>
    </row>
    <row r="447">
      <c r="A447" t="inlineStr">
        <is>
          <t>R1446</t>
        </is>
      </c>
      <c r="B447" t="inlineStr">
        <is>
          <t>Lawrence Santos</t>
        </is>
      </c>
      <c r="C447" t="inlineStr">
        <is>
          <t>01/07/1997</t>
        </is>
      </c>
      <c r="D447" t="inlineStr">
        <is>
          <t>Male</t>
        </is>
      </c>
      <c r="E447" t="inlineStr">
        <is>
          <t>555-536-1712</t>
        </is>
      </c>
      <c r="G447" t="inlineStr">
        <is>
          <t>Cedar Ridge OH 45720</t>
        </is>
      </c>
      <c r="H447" t="inlineStr">
        <is>
          <t>STATE MEDICAID</t>
        </is>
      </c>
      <c r="I447" t="inlineStr">
        <is>
          <t>MRN-02619930</t>
        </is>
      </c>
      <c r="J447" t="inlineStr">
        <is>
          <t>2023-12-26 17:48:00</t>
        </is>
      </c>
      <c r="K447" s="28" t="n"/>
      <c r="L447" s="29" t="n"/>
      <c r="M447" s="28" t="n"/>
      <c r="N447" s="28" t="n"/>
      <c r="O447" s="28" t="n"/>
      <c r="P447" s="28" t="n"/>
      <c r="Q447" s="28" t="n"/>
      <c r="R447" s="30" t="n"/>
      <c r="S447" s="28" t="n"/>
    </row>
    <row r="448">
      <c r="A448" t="inlineStr">
        <is>
          <t>R1447</t>
        </is>
      </c>
      <c r="B448" t="inlineStr">
        <is>
          <t>boyd, kayla</t>
        </is>
      </c>
      <c r="C448" t="inlineStr">
        <is>
          <t>1998-11-18</t>
        </is>
      </c>
      <c r="D448" t="inlineStr">
        <is>
          <t>f</t>
        </is>
      </c>
      <c r="E448" t="inlineStr">
        <is>
          <t>555.583.8893</t>
        </is>
      </c>
      <c r="G448" t="inlineStr">
        <is>
          <t>Bluestone, OH 45503</t>
        </is>
      </c>
      <c r="H448" t="inlineStr">
        <is>
          <t>MEDICARE</t>
        </is>
      </c>
      <c r="I448" t="inlineStr">
        <is>
          <t>04461134</t>
        </is>
      </c>
      <c r="J448" t="inlineStr">
        <is>
          <t>2011-02-19 14:10:00</t>
        </is>
      </c>
      <c r="K448" s="28" t="n"/>
      <c r="L448" s="29" t="n"/>
      <c r="M448" s="28" t="n"/>
      <c r="N448" s="28" t="n"/>
      <c r="O448" s="28" t="n"/>
      <c r="P448" s="28" t="n"/>
      <c r="Q448" s="28" t="n"/>
      <c r="R448" s="30" t="n"/>
      <c r="S448" s="28" t="n"/>
    </row>
    <row r="449">
      <c r="A449" t="inlineStr">
        <is>
          <t>R1448</t>
        </is>
      </c>
      <c r="B449" t="inlineStr">
        <is>
          <t>FOSTER, ALICE</t>
        </is>
      </c>
      <c r="C449" t="inlineStr">
        <is>
          <t>04/15/1958</t>
        </is>
      </c>
      <c r="D449" t="inlineStr">
        <is>
          <t>FEMALE</t>
        </is>
      </c>
      <c r="E449" t="inlineStr">
        <is>
          <t>(555) 456-8723</t>
        </is>
      </c>
      <c r="F449" t="inlineStr">
        <is>
          <t>alice.foster19@example.com</t>
        </is>
      </c>
      <c r="G449" t="inlineStr">
        <is>
          <t>Bluestone, OH 45501</t>
        </is>
      </c>
      <c r="H449" t="inlineStr">
        <is>
          <t>Medicare</t>
        </is>
      </c>
      <c r="I449" t="inlineStr">
        <is>
          <t>01151324</t>
        </is>
      </c>
      <c r="J449" t="inlineStr">
        <is>
          <t>2018-04-09 18:12:00</t>
        </is>
      </c>
      <c r="K449" s="28" t="n"/>
      <c r="L449" s="29" t="n"/>
      <c r="M449" s="28" t="n"/>
      <c r="N449" s="28" t="n"/>
      <c r="O449" s="28" t="n"/>
      <c r="P449" s="28" t="n"/>
      <c r="Q449" s="28" t="n"/>
      <c r="R449" s="30" t="n"/>
      <c r="S449" s="28" t="n"/>
    </row>
    <row r="450">
      <c r="A450" t="inlineStr">
        <is>
          <t>R1449</t>
        </is>
      </c>
      <c r="B450" t="inlineStr">
        <is>
          <t>Hernandez, Mia</t>
        </is>
      </c>
      <c r="C450" t="inlineStr">
        <is>
          <t>03.18.1967</t>
        </is>
      </c>
      <c r="D450" t="inlineStr">
        <is>
          <t>F</t>
        </is>
      </c>
      <c r="E450" t="inlineStr">
        <is>
          <t>(555) 234-4081</t>
        </is>
      </c>
      <c r="F450" t="inlineStr">
        <is>
          <t>mia.hernandez63@example.com</t>
        </is>
      </c>
      <c r="G450" t="inlineStr">
        <is>
          <t>Bluestone OH 45502</t>
        </is>
      </c>
      <c r="H450" t="inlineStr">
        <is>
          <t>Evergreen Mutual Insurance</t>
        </is>
      </c>
      <c r="I450" t="inlineStr">
        <is>
          <t>MRN-09194491</t>
        </is>
      </c>
      <c r="J450" t="inlineStr">
        <is>
          <t>2024-05-19 15:51:00</t>
        </is>
      </c>
      <c r="K450" s="28" t="n"/>
      <c r="L450" s="29" t="n"/>
      <c r="M450" s="28" t="n"/>
      <c r="N450" s="28" t="n"/>
      <c r="O450" s="28" t="n"/>
      <c r="P450" s="28" t="n"/>
      <c r="Q450" s="28" t="n"/>
      <c r="R450" s="30" t="n"/>
      <c r="S450" s="28" t="n"/>
    </row>
    <row r="451">
      <c r="A451" t="inlineStr">
        <is>
          <t>R1450</t>
        </is>
      </c>
      <c r="B451" t="inlineStr">
        <is>
          <t xml:space="preserve">  Robinson ,  Joan </t>
        </is>
      </c>
      <c r="C451" t="inlineStr">
        <is>
          <t>04-Aug-1950</t>
        </is>
      </c>
      <c r="D451" t="inlineStr">
        <is>
          <t>Female</t>
        </is>
      </c>
      <c r="E451" t="inlineStr">
        <is>
          <t>(555) 745-9237</t>
        </is>
      </c>
      <c r="F451" t="inlineStr">
        <is>
          <t>joan.robinson60@example.com</t>
        </is>
      </c>
      <c r="G451" t="inlineStr">
        <is>
          <t>Bluestone, OH 45501</t>
        </is>
      </c>
      <c r="H451" t="inlineStr">
        <is>
          <t>Silverline Medicare Advantage</t>
        </is>
      </c>
      <c r="I451" t="inlineStr">
        <is>
          <t>09873175</t>
        </is>
      </c>
      <c r="J451" t="inlineStr">
        <is>
          <t>2023-08-25 12:03:00</t>
        </is>
      </c>
      <c r="K451" s="28" t="n"/>
      <c r="L451" s="29" t="n"/>
      <c r="M451" s="28" t="n"/>
      <c r="N451" s="28" t="n"/>
      <c r="O451" s="28" t="n"/>
      <c r="P451" s="28" t="n"/>
      <c r="Q451" s="28" t="n"/>
      <c r="R451" s="30" t="n"/>
      <c r="S451" s="28" t="n"/>
    </row>
    <row r="452">
      <c r="A452" t="inlineStr">
        <is>
          <t>R1451</t>
        </is>
      </c>
      <c r="B452" t="inlineStr">
        <is>
          <t>WARREN, SUSAN</t>
        </is>
      </c>
      <c r="C452" t="inlineStr">
        <is>
          <t>1964-08-23</t>
        </is>
      </c>
      <c r="D452" t="inlineStr">
        <is>
          <t>F</t>
        </is>
      </c>
      <c r="E452" t="inlineStr">
        <is>
          <t>5556688102</t>
        </is>
      </c>
      <c r="F452" t="inlineStr">
        <is>
          <t>susan.warren82@example.com</t>
        </is>
      </c>
      <c r="G452" t="inlineStr">
        <is>
          <t>OAK GLEN, OH 45730</t>
        </is>
      </c>
      <c r="H452" t="inlineStr">
        <is>
          <t>Summit Choice</t>
        </is>
      </c>
      <c r="I452" t="inlineStr">
        <is>
          <t>2136160</t>
        </is>
      </c>
      <c r="J452" t="inlineStr">
        <is>
          <t>04/26/2018 05:25 PM</t>
        </is>
      </c>
      <c r="K452" s="28" t="n"/>
      <c r="L452" s="29" t="n"/>
      <c r="M452" s="28" t="n"/>
      <c r="N452" s="28" t="n"/>
      <c r="O452" s="28" t="n"/>
      <c r="P452" s="28" t="n"/>
      <c r="Q452" s="28" t="n"/>
      <c r="R452" s="30" t="n"/>
      <c r="S452" s="28" t="n"/>
    </row>
    <row r="453">
      <c r="A453" t="inlineStr">
        <is>
          <t>R1452</t>
        </is>
      </c>
      <c r="B453" t="inlineStr">
        <is>
          <t>Jordan Jenkins</t>
        </is>
      </c>
      <c r="C453" t="inlineStr">
        <is>
          <t>11/30/1970</t>
        </is>
      </c>
      <c r="D453" t="inlineStr">
        <is>
          <t>MALE</t>
        </is>
      </c>
      <c r="E453" t="inlineStr">
        <is>
          <t>5556151984</t>
        </is>
      </c>
      <c r="G453" t="inlineStr">
        <is>
          <t>Riverbend, OH 45545-6431</t>
        </is>
      </c>
      <c r="H453" t="inlineStr">
        <is>
          <t>evergreen mutual insurance</t>
        </is>
      </c>
      <c r="I453" t="inlineStr">
        <is>
          <t>3939906</t>
        </is>
      </c>
      <c r="J453" t="inlineStr">
        <is>
          <t>2014-03-12 07:30:00</t>
        </is>
      </c>
      <c r="K453" s="28" t="n"/>
      <c r="L453" s="29" t="n"/>
      <c r="M453" s="28" t="n"/>
      <c r="N453" s="28" t="n"/>
      <c r="O453" s="28" t="n"/>
      <c r="P453" s="28" t="n"/>
      <c r="Q453" s="28" t="n"/>
      <c r="R453" s="30" t="n"/>
      <c r="S453" s="28" t="n"/>
    </row>
    <row r="454">
      <c r="A454" t="inlineStr">
        <is>
          <t>R1453</t>
        </is>
      </c>
      <c r="B454" t="inlineStr">
        <is>
          <t>Kimberly Ward</t>
        </is>
      </c>
      <c r="C454" t="inlineStr">
        <is>
          <t>10.11.1990</t>
        </is>
      </c>
      <c r="D454" t="inlineStr">
        <is>
          <t>f</t>
        </is>
      </c>
      <c r="E454" t="inlineStr">
        <is>
          <t>555.937.0011</t>
        </is>
      </c>
      <c r="F454" t="inlineStr">
        <is>
          <t>none</t>
        </is>
      </c>
      <c r="G454" t="inlineStr">
        <is>
          <t>Cedar Ridge, OH 45720</t>
        </is>
      </c>
      <c r="H454" t="inlineStr">
        <is>
          <t>EVERGREEN MUTUAL INS</t>
        </is>
      </c>
      <c r="I454" t="inlineStr">
        <is>
          <t>02547554</t>
        </is>
      </c>
      <c r="J454" t="inlineStr">
        <is>
          <t>12/04/2017 01:26 PM</t>
        </is>
      </c>
      <c r="K454" s="28" t="n"/>
      <c r="L454" s="29" t="n"/>
      <c r="M454" s="28" t="n"/>
      <c r="N454" s="28" t="n"/>
      <c r="O454" s="28" t="n"/>
      <c r="P454" s="28" t="n"/>
      <c r="Q454" s="28" t="n"/>
      <c r="R454" s="30" t="n"/>
      <c r="S454" s="28" t="n"/>
    </row>
    <row r="455">
      <c r="A455" t="inlineStr">
        <is>
          <t>R1454</t>
        </is>
      </c>
      <c r="B455" t="inlineStr">
        <is>
          <t xml:space="preserve">  Osei ,  Jose </t>
        </is>
      </c>
      <c r="C455" t="inlineStr">
        <is>
          <t>10-Oct-2001</t>
        </is>
      </c>
      <c r="D455" t="inlineStr">
        <is>
          <t>m</t>
        </is>
      </c>
      <c r="E455" t="inlineStr">
        <is>
          <t>5554160765</t>
        </is>
      </c>
      <c r="F455" t="inlineStr">
        <is>
          <t>jose.osei45@example.com</t>
        </is>
      </c>
      <c r="G455" t="inlineStr">
        <is>
          <t>Bluestone, OH 45502</t>
        </is>
      </c>
      <c r="H455" t="inlineStr">
        <is>
          <t>Keystone Health Partners</t>
        </is>
      </c>
      <c r="I455" t="inlineStr">
        <is>
          <t>MRN-04389763</t>
        </is>
      </c>
      <c r="J455" t="inlineStr">
        <is>
          <t>09/21/2013 04:48 PM</t>
        </is>
      </c>
      <c r="K455" s="28" t="n"/>
      <c r="L455" s="29" t="n"/>
      <c r="M455" s="28" t="n"/>
      <c r="N455" s="28" t="n"/>
      <c r="O455" s="28" t="n"/>
      <c r="P455" s="28" t="n"/>
      <c r="Q455" s="28" t="n"/>
      <c r="R455" s="30" t="n"/>
      <c r="S455" s="28" t="n"/>
    </row>
    <row r="456">
      <c r="A456" t="inlineStr">
        <is>
          <t>R1455</t>
        </is>
      </c>
      <c r="B456" t="inlineStr">
        <is>
          <t>Evelyn Vargas</t>
        </is>
      </c>
      <c r="C456" t="inlineStr">
        <is>
          <t>09/26/1979</t>
        </is>
      </c>
      <c r="D456" t="inlineStr">
        <is>
          <t>F</t>
        </is>
      </c>
      <c r="E456" t="inlineStr">
        <is>
          <t>(555) 705-3988</t>
        </is>
      </c>
      <c r="F456" t="inlineStr">
        <is>
          <t>N/A</t>
        </is>
      </c>
      <c r="G456" t="inlineStr">
        <is>
          <t>Riverbend, OH 45545-6729</t>
        </is>
      </c>
      <c r="H456" t="inlineStr">
        <is>
          <t>Keystone Health Ptnrs</t>
        </is>
      </c>
      <c r="I456" t="inlineStr">
        <is>
          <t>00750032</t>
        </is>
      </c>
      <c r="J456" t="inlineStr">
        <is>
          <t>2019-10-04 07:52:00</t>
        </is>
      </c>
      <c r="K456" s="28" t="n"/>
      <c r="L456" s="29" t="n"/>
      <c r="M456" s="28" t="n"/>
      <c r="N456" s="28" t="n"/>
      <c r="O456" s="28" t="n"/>
      <c r="P456" s="28" t="n"/>
      <c r="Q456" s="28" t="n"/>
      <c r="R456" s="30" t="n"/>
      <c r="S456" s="28" t="n"/>
    </row>
    <row r="457">
      <c r="A457" t="inlineStr">
        <is>
          <t>R1456</t>
        </is>
      </c>
      <c r="B457" t="inlineStr">
        <is>
          <t>shaw, aaliyah</t>
        </is>
      </c>
      <c r="C457" t="inlineStr">
        <is>
          <t>08/18/1988</t>
        </is>
      </c>
      <c r="D457" t="inlineStr">
        <is>
          <t>Female</t>
        </is>
      </c>
      <c r="E457" t="inlineStr">
        <is>
          <t>555-567-7071</t>
        </is>
      </c>
      <c r="F457" t="inlineStr">
        <is>
          <t xml:space="preserve"> aaliyah.shaw42@example.com </t>
        </is>
      </c>
      <c r="G457" t="inlineStr">
        <is>
          <t>Bluestone, OH 45501</t>
        </is>
      </c>
      <c r="H457" t="inlineStr">
        <is>
          <t>medicaid</t>
        </is>
      </c>
      <c r="I457" t="inlineStr">
        <is>
          <t>09857159</t>
        </is>
      </c>
      <c r="J457" t="inlineStr">
        <is>
          <t>2011-05-29 18:32:00</t>
        </is>
      </c>
      <c r="K457" s="28" t="n"/>
      <c r="L457" s="29" t="n"/>
      <c r="M457" s="28" t="n"/>
      <c r="N457" s="28" t="n"/>
      <c r="O457" s="28" t="n"/>
      <c r="P457" s="28" t="n"/>
      <c r="Q457" s="28" t="n"/>
      <c r="R457" s="30" t="n"/>
      <c r="S457" s="28" t="n"/>
    </row>
    <row r="458">
      <c r="A458" t="inlineStr">
        <is>
          <t>R1457</t>
        </is>
      </c>
      <c r="B458" t="inlineStr">
        <is>
          <t>Bell, Amina</t>
        </is>
      </c>
      <c r="C458" t="inlineStr">
        <is>
          <t>09/21/1941</t>
        </is>
      </c>
      <c r="D458" t="inlineStr">
        <is>
          <t>f</t>
        </is>
      </c>
      <c r="E458" t="inlineStr">
        <is>
          <t>(555) 395-3278</t>
        </is>
      </c>
      <c r="G458" t="inlineStr">
        <is>
          <t>BLUESTONE, OH 45503</t>
        </is>
      </c>
      <c r="H458" t="inlineStr">
        <is>
          <t>Medicare</t>
        </is>
      </c>
      <c r="I458" t="inlineStr">
        <is>
          <t>06955109</t>
        </is>
      </c>
      <c r="J458" t="inlineStr">
        <is>
          <t>2024-04-08 08:02:00</t>
        </is>
      </c>
      <c r="K458" s="28" t="n"/>
      <c r="L458" s="29" t="n"/>
      <c r="M458" s="28" t="n"/>
      <c r="N458" s="28" t="n"/>
      <c r="O458" s="28" t="n"/>
      <c r="P458" s="28" t="n"/>
      <c r="Q458" s="28" t="n"/>
      <c r="R458" s="30" t="n"/>
      <c r="S458" s="28" t="n"/>
    </row>
    <row r="459">
      <c r="A459" t="inlineStr">
        <is>
          <t>R1458</t>
        </is>
      </c>
      <c r="B459" t="inlineStr">
        <is>
          <t xml:space="preserve">  Roberts ,  Alexis </t>
        </is>
      </c>
      <c r="C459" t="inlineStr">
        <is>
          <t>02.25.1944</t>
        </is>
      </c>
      <c r="D459" t="inlineStr">
        <is>
          <t>F</t>
        </is>
      </c>
      <c r="E459" t="inlineStr">
        <is>
          <t>(555) 956-8099</t>
        </is>
      </c>
      <c r="G459" t="inlineStr">
        <is>
          <t>Bluestone, OH 45502</t>
        </is>
      </c>
      <c r="H459" t="inlineStr">
        <is>
          <t>MEDICARE</t>
        </is>
      </c>
      <c r="I459" t="inlineStr">
        <is>
          <t>03180796</t>
        </is>
      </c>
      <c r="J459" t="inlineStr">
        <is>
          <t>2017-03-21 18:30:00</t>
        </is>
      </c>
      <c r="K459" s="28" t="n"/>
      <c r="L459" s="29" t="n"/>
      <c r="M459" s="28" t="n"/>
      <c r="N459" s="28" t="n"/>
      <c r="O459" s="28" t="n"/>
      <c r="P459" s="28" t="n"/>
      <c r="Q459" s="28" t="n"/>
      <c r="R459" s="30" t="n"/>
      <c r="S459" s="28" t="n"/>
    </row>
    <row r="460">
      <c r="A460" t="inlineStr">
        <is>
          <t>R1459</t>
        </is>
      </c>
      <c r="B460" t="inlineStr">
        <is>
          <t>fisher, frances</t>
        </is>
      </c>
      <c r="C460" t="inlineStr">
        <is>
          <t>9/18/1989</t>
        </is>
      </c>
      <c r="D460" t="inlineStr">
        <is>
          <t>F</t>
        </is>
      </c>
      <c r="E460" t="inlineStr">
        <is>
          <t>(555) 863-6682</t>
        </is>
      </c>
      <c r="F460" t="inlineStr">
        <is>
          <t>frances.fisher37@example.com</t>
        </is>
      </c>
      <c r="G460" t="inlineStr">
        <is>
          <t>Ashby Falls, OH 45610-7670</t>
        </is>
      </c>
      <c r="H460" t="inlineStr">
        <is>
          <t>STATE MEDICAID</t>
        </is>
      </c>
      <c r="I460" t="inlineStr">
        <is>
          <t>06939344</t>
        </is>
      </c>
      <c r="J460" t="inlineStr">
        <is>
          <t>03/31/2012 09:39 AM</t>
        </is>
      </c>
      <c r="K460" s="28" t="n"/>
      <c r="L460" s="29" t="n"/>
      <c r="M460" s="28" t="n"/>
      <c r="N460" s="28" t="n"/>
      <c r="O460" s="28" t="n"/>
      <c r="P460" s="28" t="n"/>
      <c r="Q460" s="28" t="n"/>
      <c r="R460" s="30" t="n"/>
      <c r="S460" s="28" t="n"/>
    </row>
    <row r="461">
      <c r="A461" t="inlineStr">
        <is>
          <t>R1460</t>
        </is>
      </c>
      <c r="B461" t="inlineStr">
        <is>
          <t>BAILEY, HELEN</t>
        </is>
      </c>
      <c r="C461" t="inlineStr">
        <is>
          <t>2019-08-14</t>
        </is>
      </c>
      <c r="D461" t="inlineStr">
        <is>
          <t xml:space="preserve"> F</t>
        </is>
      </c>
      <c r="E461" t="inlineStr">
        <is>
          <t>(555) 411-7487</t>
        </is>
      </c>
      <c r="F461" t="inlineStr">
        <is>
          <t>none</t>
        </is>
      </c>
      <c r="G461" t="inlineStr">
        <is>
          <t>Bluestone, OH 45503</t>
        </is>
      </c>
      <c r="H461" t="inlineStr">
        <is>
          <t>medicaid</t>
        </is>
      </c>
      <c r="I461" t="inlineStr">
        <is>
          <t>MRN-03044407</t>
        </is>
      </c>
      <c r="J461" t="inlineStr">
        <is>
          <t>06/09/2020 07:17 AM</t>
        </is>
      </c>
      <c r="K461" s="28" t="n"/>
      <c r="L461" s="29" t="n"/>
      <c r="M461" s="28" t="n"/>
      <c r="N461" s="28" t="n"/>
      <c r="O461" s="28" t="n"/>
      <c r="P461" s="28" t="n"/>
      <c r="Q461" s="28" t="n"/>
      <c r="R461" s="30" t="n"/>
      <c r="S461" s="28" t="n"/>
    </row>
    <row r="462">
      <c r="A462" t="inlineStr">
        <is>
          <t>R1461</t>
        </is>
      </c>
      <c r="B462" t="inlineStr">
        <is>
          <t>Adams, Bobby</t>
        </is>
      </c>
      <c r="C462" t="inlineStr">
        <is>
          <t>04/01/1963</t>
        </is>
      </c>
      <c r="D462" t="inlineStr">
        <is>
          <t>m</t>
        </is>
      </c>
      <c r="E462" t="inlineStr">
        <is>
          <t>(555) 560-2543</t>
        </is>
      </c>
      <c r="F462" t="inlineStr">
        <is>
          <t>bobby.adams95@example.com</t>
        </is>
      </c>
      <c r="G462" t="inlineStr">
        <is>
          <t>Cedar Ridge, OH 45720</t>
        </is>
      </c>
      <c r="H462" t="inlineStr">
        <is>
          <t>State Medicaid</t>
        </is>
      </c>
      <c r="I462" t="inlineStr">
        <is>
          <t>01716642</t>
        </is>
      </c>
      <c r="J462" t="inlineStr">
        <is>
          <t>2009-10-22 14:31:00</t>
        </is>
      </c>
      <c r="K462" s="28" t="n"/>
      <c r="L462" s="29" t="n"/>
      <c r="M462" s="28" t="n"/>
      <c r="N462" s="28" t="n"/>
      <c r="O462" s="28" t="n"/>
      <c r="P462" s="28" t="n"/>
      <c r="Q462" s="28" t="n"/>
      <c r="R462" s="30" t="n"/>
      <c r="S462" s="28" t="n"/>
    </row>
    <row r="463">
      <c r="A463" t="inlineStr">
        <is>
          <t>R1462</t>
        </is>
      </c>
      <c r="B463" t="inlineStr">
        <is>
          <t>Natalie Fernandez</t>
        </is>
      </c>
      <c r="C463" t="inlineStr">
        <is>
          <t>22-Nov-1982</t>
        </is>
      </c>
      <c r="D463" t="inlineStr">
        <is>
          <t>f</t>
        </is>
      </c>
      <c r="E463" t="inlineStr">
        <is>
          <t>+1 555 292 5108</t>
        </is>
      </c>
      <c r="F463" t="inlineStr">
        <is>
          <t xml:space="preserve"> natalie.fernandez12@example.com </t>
        </is>
      </c>
      <c r="G463" t="inlineStr">
        <is>
          <t>Bluestone, OH 45502</t>
        </is>
      </c>
      <c r="H463" t="inlineStr">
        <is>
          <t>evergreen mutual insurance</t>
        </is>
      </c>
      <c r="I463" t="inlineStr">
        <is>
          <t>6499891</t>
        </is>
      </c>
      <c r="J463" t="inlineStr">
        <is>
          <t>2017-10-31 08:45:00</t>
        </is>
      </c>
      <c r="K463" s="28" t="n"/>
      <c r="L463" s="29" t="n"/>
      <c r="M463" s="28" t="n"/>
      <c r="N463" s="28" t="n"/>
      <c r="O463" s="28" t="n"/>
      <c r="P463" s="28" t="n"/>
      <c r="Q463" s="28" t="n"/>
      <c r="R463" s="30" t="n"/>
      <c r="S463" s="28" t="n"/>
    </row>
    <row r="464">
      <c r="A464" t="inlineStr">
        <is>
          <t>R1463</t>
        </is>
      </c>
      <c r="B464" t="inlineStr">
        <is>
          <t xml:space="preserve">  Kennedy ,  Mateo </t>
        </is>
      </c>
      <c r="C464" t="inlineStr">
        <is>
          <t>12/23/1963</t>
        </is>
      </c>
      <c r="D464" t="inlineStr">
        <is>
          <t>m</t>
        </is>
      </c>
      <c r="E464" t="inlineStr">
        <is>
          <t>555.401.6618</t>
        </is>
      </c>
      <c r="F464" t="inlineStr">
        <is>
          <t>mateo.kennedy63@example.com</t>
        </is>
      </c>
      <c r="G464" t="inlineStr">
        <is>
          <t>BLUESTONE, OH 45502</t>
        </is>
      </c>
      <c r="H464" t="inlineStr">
        <is>
          <t>Summit PPO</t>
        </is>
      </c>
      <c r="I464" t="inlineStr">
        <is>
          <t>09554295</t>
        </is>
      </c>
      <c r="J464" t="inlineStr">
        <is>
          <t>2019-11-07 16:02:00</t>
        </is>
      </c>
      <c r="K464" s="28" t="n"/>
      <c r="L464" s="29" t="n"/>
      <c r="M464" s="28" t="n"/>
      <c r="N464" s="28" t="n"/>
      <c r="O464" s="28" t="n"/>
      <c r="P464" s="28" t="n"/>
      <c r="Q464" s="28" t="n"/>
      <c r="R464" s="30" t="n"/>
      <c r="S464" s="28" t="n"/>
    </row>
    <row r="465">
      <c r="A465" t="inlineStr">
        <is>
          <t>R1464</t>
        </is>
      </c>
      <c r="B465" t="inlineStr">
        <is>
          <t xml:space="preserve">  Matthews ,  Cheryl </t>
        </is>
      </c>
      <c r="C465" t="inlineStr">
        <is>
          <t>04/19/1972</t>
        </is>
      </c>
      <c r="D465" t="inlineStr">
        <is>
          <t>Female</t>
        </is>
      </c>
      <c r="E465" t="inlineStr">
        <is>
          <t>555.643.8270</t>
        </is>
      </c>
      <c r="G465" t="inlineStr">
        <is>
          <t>Bluestone, OH 45503</t>
        </is>
      </c>
      <c r="H465" t="inlineStr">
        <is>
          <t>Keystone Health Ptnrs</t>
        </is>
      </c>
      <c r="I465" t="inlineStr">
        <is>
          <t>MRN-04505903</t>
        </is>
      </c>
      <c r="J465" t="inlineStr">
        <is>
          <t>2011-01-10 08:35:00</t>
        </is>
      </c>
      <c r="K465" s="28" t="n"/>
      <c r="L465" s="29" t="n"/>
      <c r="M465" s="28" t="n"/>
      <c r="N465" s="28" t="n"/>
      <c r="O465" s="28" t="n"/>
      <c r="P465" s="28" t="n"/>
      <c r="Q465" s="28" t="n"/>
      <c r="R465" s="30" t="n"/>
      <c r="S465" s="28" t="n"/>
    </row>
    <row r="466">
      <c r="A466" t="inlineStr">
        <is>
          <t>R1465</t>
        </is>
      </c>
      <c r="B466" t="inlineStr">
        <is>
          <t>graham, john</t>
        </is>
      </c>
      <c r="C466" t="inlineStr">
        <is>
          <t>02/03/1969</t>
        </is>
      </c>
      <c r="D466" t="inlineStr">
        <is>
          <t>MALE</t>
        </is>
      </c>
      <c r="E466" t="inlineStr">
        <is>
          <t>(555) 851-8407</t>
        </is>
      </c>
      <c r="F466" t="inlineStr">
        <is>
          <t xml:space="preserve"> john.graham83@example.com </t>
        </is>
      </c>
      <c r="G466" t="inlineStr">
        <is>
          <t>Bluestone, OH 45502</t>
        </is>
      </c>
      <c r="H466" t="inlineStr">
        <is>
          <t>Summit Choice</t>
        </is>
      </c>
      <c r="I466" t="inlineStr">
        <is>
          <t>1524371</t>
        </is>
      </c>
      <c r="J466" t="inlineStr">
        <is>
          <t>2012-08-17 13:13:00</t>
        </is>
      </c>
      <c r="K466" s="28" t="n"/>
      <c r="L466" s="29" t="n"/>
      <c r="M466" s="28" t="n"/>
      <c r="N466" s="28" t="n"/>
      <c r="O466" s="28" t="n"/>
      <c r="P466" s="28" t="n"/>
      <c r="Q466" s="28" t="n"/>
      <c r="R466" s="30" t="n"/>
      <c r="S466" s="28" t="n"/>
    </row>
    <row r="467">
      <c r="A467" t="inlineStr">
        <is>
          <t>R1466</t>
        </is>
      </c>
      <c r="B467" t="inlineStr">
        <is>
          <t>FERNANDEZ, MARK</t>
        </is>
      </c>
      <c r="C467" t="inlineStr">
        <is>
          <t>03/06/1951</t>
        </is>
      </c>
      <c r="D467" t="inlineStr">
        <is>
          <t>Male</t>
        </is>
      </c>
      <c r="E467" t="inlineStr">
        <is>
          <t>(555) 545-4292</t>
        </is>
      </c>
      <c r="F467" t="inlineStr">
        <is>
          <t>mark.fernandez22@example.com</t>
        </is>
      </c>
      <c r="G467" t="inlineStr">
        <is>
          <t>BLUESTONE, OH 45501</t>
        </is>
      </c>
      <c r="H467" t="inlineStr">
        <is>
          <t>MEDICARE</t>
        </is>
      </c>
      <c r="I467" t="inlineStr">
        <is>
          <t>04896097</t>
        </is>
      </c>
      <c r="J467" t="inlineStr">
        <is>
          <t>2016-06-06 16:21:00</t>
        </is>
      </c>
      <c r="K467" s="28" t="n"/>
      <c r="L467" s="29" t="n"/>
      <c r="M467" s="28" t="n"/>
      <c r="N467" s="28" t="n"/>
      <c r="O467" s="28" t="n"/>
      <c r="P467" s="28" t="n"/>
      <c r="Q467" s="28" t="n"/>
      <c r="R467" s="30" t="n"/>
      <c r="S467" s="28" t="n"/>
    </row>
    <row r="468">
      <c r="A468" t="inlineStr">
        <is>
          <t>R1467</t>
        </is>
      </c>
      <c r="B468" t="inlineStr">
        <is>
          <t>Hicks, Ruth</t>
        </is>
      </c>
      <c r="C468" t="inlineStr">
        <is>
          <t>12/03/1970</t>
        </is>
      </c>
      <c r="D468" t="inlineStr">
        <is>
          <t>Female</t>
        </is>
      </c>
      <c r="F468" t="inlineStr">
        <is>
          <t>ruth.hicks53@example.com</t>
        </is>
      </c>
      <c r="G468" t="inlineStr">
        <is>
          <t>Bluestone OH 45501</t>
        </is>
      </c>
      <c r="H468" t="inlineStr">
        <is>
          <t>MEDICARE</t>
        </is>
      </c>
      <c r="I468" t="inlineStr">
        <is>
          <t>02664675</t>
        </is>
      </c>
      <c r="J468" t="inlineStr">
        <is>
          <t>2021-05-29 10:10:00</t>
        </is>
      </c>
      <c r="K468" s="28" t="n"/>
      <c r="L468" s="29" t="n"/>
      <c r="M468" s="28" t="n"/>
      <c r="N468" s="28" t="n"/>
      <c r="O468" s="28" t="n"/>
      <c r="P468" s="28" t="n"/>
      <c r="Q468" s="28" t="n"/>
      <c r="R468" s="30" t="n"/>
      <c r="S468" s="28" t="n"/>
    </row>
    <row r="469">
      <c r="A469" t="inlineStr">
        <is>
          <t>R1468</t>
        </is>
      </c>
      <c r="B469" t="inlineStr">
        <is>
          <t>Pierce, Jerry</t>
        </is>
      </c>
      <c r="C469" t="inlineStr">
        <is>
          <t>03/25/1956</t>
        </is>
      </c>
      <c r="D469" t="inlineStr">
        <is>
          <t>Male</t>
        </is>
      </c>
      <c r="E469" t="inlineStr">
        <is>
          <t>555.455.1004</t>
        </is>
      </c>
      <c r="F469" t="inlineStr">
        <is>
          <t>jerry.pierce44@example.com</t>
        </is>
      </c>
      <c r="G469" t="inlineStr">
        <is>
          <t>Oak Glen, OH 45730</t>
        </is>
      </c>
      <c r="H469" t="inlineStr">
        <is>
          <t>MEDICARE</t>
        </is>
      </c>
      <c r="I469" t="inlineStr">
        <is>
          <t>01196536</t>
        </is>
      </c>
      <c r="J469" t="inlineStr">
        <is>
          <t>05/15/2015 01:52 PM</t>
        </is>
      </c>
      <c r="K469" s="28" t="n"/>
      <c r="L469" s="29" t="n"/>
      <c r="M469" s="28" t="n"/>
      <c r="N469" s="28" t="n"/>
      <c r="O469" s="28" t="n"/>
      <c r="P469" s="28" t="n"/>
      <c r="Q469" s="28" t="n"/>
      <c r="R469" s="30" t="n"/>
      <c r="S469" s="28" t="n"/>
    </row>
    <row r="470">
      <c r="A470" t="inlineStr">
        <is>
          <t>R1469</t>
        </is>
      </c>
      <c r="B470" t="inlineStr">
        <is>
          <t>FORD, JULIE</t>
        </is>
      </c>
      <c r="C470" t="inlineStr">
        <is>
          <t>03/20/1947</t>
        </is>
      </c>
      <c r="D470" t="inlineStr">
        <is>
          <t>Female</t>
        </is>
      </c>
      <c r="E470" t="inlineStr">
        <is>
          <t>(555) 876-3762</t>
        </is>
      </c>
      <c r="G470" t="inlineStr">
        <is>
          <t>Bluestone, OH 45503</t>
        </is>
      </c>
      <c r="H470" t="inlineStr">
        <is>
          <t>Silverline MA</t>
        </is>
      </c>
      <c r="I470" t="inlineStr">
        <is>
          <t>07775501</t>
        </is>
      </c>
      <c r="J470" t="inlineStr">
        <is>
          <t>12/04/2021 04:57 PM</t>
        </is>
      </c>
      <c r="K470" s="28" t="n"/>
      <c r="L470" s="29" t="n"/>
      <c r="M470" s="28" t="n"/>
      <c r="N470" s="28" t="n"/>
      <c r="O470" s="28" t="n"/>
      <c r="P470" s="28" t="n"/>
      <c r="Q470" s="28" t="n"/>
      <c r="R470" s="30" t="n"/>
      <c r="S470" s="28" t="n"/>
    </row>
    <row r="471">
      <c r="A471" t="inlineStr">
        <is>
          <t>R1470</t>
        </is>
      </c>
      <c r="B471" t="inlineStr">
        <is>
          <t xml:space="preserve">  Jackson ,  Justin </t>
        </is>
      </c>
      <c r="C471" t="inlineStr">
        <is>
          <t>02-Feb-1974</t>
        </is>
      </c>
      <c r="D471" t="inlineStr">
        <is>
          <t>Male</t>
        </is>
      </c>
      <c r="E471" t="inlineStr">
        <is>
          <t>555-905-7881</t>
        </is>
      </c>
      <c r="F471" t="inlineStr">
        <is>
          <t>justin.jackson31@example.com</t>
        </is>
      </c>
      <c r="G471" t="inlineStr">
        <is>
          <t>Cedar Ridge, OH 45720</t>
        </is>
      </c>
      <c r="H471" t="inlineStr">
        <is>
          <t>Self Pay</t>
        </is>
      </c>
      <c r="I471" t="inlineStr">
        <is>
          <t>794829</t>
        </is>
      </c>
      <c r="J471" t="inlineStr">
        <is>
          <t>2021-03-29 16:08:00</t>
        </is>
      </c>
      <c r="K471" s="28" t="n"/>
      <c r="L471" s="29" t="n"/>
      <c r="M471" s="28" t="n"/>
      <c r="N471" s="28" t="n"/>
      <c r="O471" s="28" t="n"/>
      <c r="P471" s="28" t="n"/>
      <c r="Q471" s="28" t="n"/>
      <c r="R471" s="30" t="n"/>
      <c r="S471" s="28" t="n"/>
    </row>
    <row r="472">
      <c r="A472" t="inlineStr">
        <is>
          <t>R1471</t>
        </is>
      </c>
      <c r="B472" t="inlineStr">
        <is>
          <t>Marshall, Mei</t>
        </is>
      </c>
      <c r="C472" t="inlineStr">
        <is>
          <t>08/11/1967</t>
        </is>
      </c>
      <c r="D472" t="inlineStr">
        <is>
          <t>Female</t>
        </is>
      </c>
      <c r="E472" t="inlineStr">
        <is>
          <t>(555) 640-9696</t>
        </is>
      </c>
      <c r="F472" t="inlineStr">
        <is>
          <t xml:space="preserve"> mei.marshall27@example.com </t>
        </is>
      </c>
      <c r="G472" t="inlineStr">
        <is>
          <t>FAIRHAVEN, OH 45620</t>
        </is>
      </c>
      <c r="H472" t="inlineStr">
        <is>
          <t>KEYSTONE HEALTH PARTNERS</t>
        </is>
      </c>
      <c r="I472" t="inlineStr">
        <is>
          <t>MRN-03478502</t>
        </is>
      </c>
      <c r="J472" t="inlineStr">
        <is>
          <t>02/29/2020 02:47 PM</t>
        </is>
      </c>
      <c r="K472" s="28" t="n"/>
      <c r="L472" s="29" t="n"/>
      <c r="M472" s="28" t="n"/>
      <c r="N472" s="28" t="n"/>
      <c r="O472" s="28" t="n"/>
      <c r="P472" s="28" t="n"/>
      <c r="Q472" s="28" t="n"/>
      <c r="R472" s="30" t="n"/>
      <c r="S472" s="28" t="n"/>
    </row>
    <row r="473">
      <c r="A473" t="inlineStr">
        <is>
          <t>R1472</t>
        </is>
      </c>
      <c r="B473" t="inlineStr">
        <is>
          <t>Coleman, John</t>
        </is>
      </c>
      <c r="C473" t="inlineStr">
        <is>
          <t>09/27/1958</t>
        </is>
      </c>
      <c r="D473" t="inlineStr">
        <is>
          <t>Male</t>
        </is>
      </c>
      <c r="E473" t="inlineStr">
        <is>
          <t>(555) 669-4644</t>
        </is>
      </c>
      <c r="F473" t="inlineStr">
        <is>
          <t xml:space="preserve"> john.coleman67@example.com </t>
        </is>
      </c>
      <c r="G473" t="inlineStr">
        <is>
          <t>RIVERBEND, OH 45545</t>
        </is>
      </c>
      <c r="H473" t="inlineStr">
        <is>
          <t>Medicare Part A</t>
        </is>
      </c>
      <c r="I473" t="inlineStr">
        <is>
          <t>02513631</t>
        </is>
      </c>
      <c r="J473" t="inlineStr">
        <is>
          <t>01/03/2016 09:07 AM</t>
        </is>
      </c>
      <c r="K473" s="28" t="n"/>
      <c r="L473" s="29" t="n"/>
      <c r="M473" s="28" t="n"/>
      <c r="N473" s="28" t="n"/>
      <c r="O473" s="28" t="n"/>
      <c r="P473" s="28" t="n"/>
      <c r="Q473" s="28" t="n"/>
      <c r="R473" s="30" t="n"/>
      <c r="S473" s="28" t="n"/>
    </row>
    <row r="474">
      <c r="A474" t="inlineStr">
        <is>
          <t>R1473</t>
        </is>
      </c>
      <c r="B474" t="inlineStr">
        <is>
          <t>Carol Cruz</t>
        </is>
      </c>
      <c r="C474" t="inlineStr">
        <is>
          <t>08.12.1948</t>
        </is>
      </c>
      <c r="D474" t="inlineStr">
        <is>
          <t>FEMALE</t>
        </is>
      </c>
      <c r="E474" t="inlineStr">
        <is>
          <t>(555) 326-5093</t>
        </is>
      </c>
      <c r="F474" t="inlineStr">
        <is>
          <t>carol.cruz19@example.com</t>
        </is>
      </c>
      <c r="G474" t="inlineStr">
        <is>
          <t>Bluestone OH 45503</t>
        </is>
      </c>
      <c r="H474" t="inlineStr">
        <is>
          <t>medicare</t>
        </is>
      </c>
      <c r="I474" t="inlineStr">
        <is>
          <t>MRN-05679128</t>
        </is>
      </c>
      <c r="J474" t="inlineStr">
        <is>
          <t>2014-05-05 12:23:00</t>
        </is>
      </c>
      <c r="K474" s="28" t="n"/>
      <c r="L474" s="29" t="n"/>
      <c r="M474" s="28" t="n"/>
      <c r="N474" s="28" t="n"/>
      <c r="O474" s="28" t="n"/>
      <c r="P474" s="28" t="n"/>
      <c r="Q474" s="28" t="n"/>
      <c r="R474" s="30" t="n"/>
      <c r="S474" s="28" t="n"/>
    </row>
    <row r="475">
      <c r="A475" t="inlineStr">
        <is>
          <t>R1474</t>
        </is>
      </c>
      <c r="B475" t="inlineStr">
        <is>
          <t>Justin Lewis</t>
        </is>
      </c>
      <c r="C475" t="inlineStr">
        <is>
          <t>04/29/1982</t>
        </is>
      </c>
      <c r="D475" t="inlineStr">
        <is>
          <t>M</t>
        </is>
      </c>
      <c r="E475" t="inlineStr">
        <is>
          <t>(555) 730-7629</t>
        </is>
      </c>
      <c r="G475" t="inlineStr">
        <is>
          <t>Riverbend, OH 45545</t>
        </is>
      </c>
      <c r="H475" t="inlineStr">
        <is>
          <t>EVERGREEN MUTUAL INS</t>
        </is>
      </c>
      <c r="I475" t="inlineStr">
        <is>
          <t>MRN-02226283</t>
        </is>
      </c>
      <c r="J475" t="inlineStr">
        <is>
          <t>2023-11-09 16:15:00</t>
        </is>
      </c>
      <c r="K475" s="28" t="n"/>
      <c r="L475" s="29" t="n"/>
      <c r="M475" s="28" t="n"/>
      <c r="N475" s="28" t="n"/>
      <c r="O475" s="28" t="n"/>
      <c r="P475" s="28" t="n"/>
      <c r="Q475" s="28" t="n"/>
      <c r="R475" s="30" t="n"/>
      <c r="S475" s="28" t="n"/>
    </row>
    <row r="476">
      <c r="A476" t="inlineStr">
        <is>
          <t>R1475</t>
        </is>
      </c>
      <c r="B476" t="inlineStr">
        <is>
          <t>Lopez, Timothy</t>
        </is>
      </c>
      <c r="C476" t="inlineStr">
        <is>
          <t>04/21/1952</t>
        </is>
      </c>
      <c r="D476" t="inlineStr">
        <is>
          <t>m</t>
        </is>
      </c>
      <c r="E476" t="inlineStr">
        <is>
          <t>555-531-9887</t>
        </is>
      </c>
      <c r="F476" t="inlineStr">
        <is>
          <t xml:space="preserve"> timothy.lopez78@example.com </t>
        </is>
      </c>
      <c r="G476" t="inlineStr">
        <is>
          <t>Bluestone OH 45502</t>
        </is>
      </c>
      <c r="H476" t="inlineStr">
        <is>
          <t xml:space="preserve">Medicare </t>
        </is>
      </c>
      <c r="I476" t="inlineStr">
        <is>
          <t>5802530</t>
        </is>
      </c>
      <c r="J476" t="inlineStr">
        <is>
          <t>2010-05-03 10:28:00</t>
        </is>
      </c>
      <c r="K476" s="28" t="n"/>
      <c r="L476" s="29" t="n"/>
      <c r="M476" s="28" t="n"/>
      <c r="N476" s="28" t="n"/>
      <c r="O476" s="28" t="n"/>
      <c r="P476" s="28" t="n"/>
      <c r="Q476" s="28" t="n"/>
      <c r="R476" s="30" t="n"/>
      <c r="S476" s="28" t="n"/>
    </row>
    <row r="477">
      <c r="A477" t="inlineStr">
        <is>
          <t>R1476</t>
        </is>
      </c>
      <c r="B477" t="inlineStr">
        <is>
          <t>Ruth Porter</t>
        </is>
      </c>
      <c r="C477" t="inlineStr">
        <is>
          <t>02-Nov-1983</t>
        </is>
      </c>
      <c r="D477" t="inlineStr">
        <is>
          <t>F</t>
        </is>
      </c>
      <c r="E477" t="inlineStr">
        <is>
          <t>555-982-2285</t>
        </is>
      </c>
      <c r="F477" t="inlineStr">
        <is>
          <t>ruth.porter85@example.com</t>
        </is>
      </c>
      <c r="G477" t="inlineStr">
        <is>
          <t>Bluestone, OH 45502</t>
        </is>
      </c>
      <c r="H477" t="inlineStr">
        <is>
          <t>EVERGREEN MUTUAL INS</t>
        </is>
      </c>
      <c r="I477" t="inlineStr">
        <is>
          <t>7427840</t>
        </is>
      </c>
      <c r="J477" t="inlineStr">
        <is>
          <t>10/12/2015 03:53 PM</t>
        </is>
      </c>
      <c r="K477" s="28" t="n"/>
      <c r="L477" s="29" t="n"/>
      <c r="M477" s="28" t="n"/>
      <c r="N477" s="28" t="n"/>
      <c r="O477" s="28" t="n"/>
      <c r="P477" s="28" t="n"/>
      <c r="Q477" s="28" t="n"/>
      <c r="R477" s="30" t="n"/>
      <c r="S477" s="28" t="n"/>
    </row>
    <row r="478">
      <c r="A478" t="inlineStr">
        <is>
          <t>R1477</t>
        </is>
      </c>
      <c r="B478" t="inlineStr">
        <is>
          <t xml:space="preserve">  Guzman ,  Frank </t>
        </is>
      </c>
      <c r="C478" t="inlineStr">
        <is>
          <t>08/30/1951</t>
        </is>
      </c>
      <c r="D478" t="inlineStr">
        <is>
          <t>M</t>
        </is>
      </c>
      <c r="E478" t="inlineStr">
        <is>
          <t>5559030352</t>
        </is>
      </c>
      <c r="F478" t="inlineStr">
        <is>
          <t>FRANK.GUZMAN42@EXAMPLE.COM</t>
        </is>
      </c>
      <c r="G478" t="inlineStr">
        <is>
          <t>Riverbend, OH 45545-4784</t>
        </is>
      </c>
      <c r="H478" t="inlineStr">
        <is>
          <t>Medicare Part A</t>
        </is>
      </c>
      <c r="I478" t="inlineStr">
        <is>
          <t>06602278</t>
        </is>
      </c>
      <c r="J478" t="inlineStr">
        <is>
          <t>01/24/2020 03:03 PM</t>
        </is>
      </c>
      <c r="K478" s="28" t="n"/>
      <c r="L478" s="29" t="n"/>
      <c r="M478" s="28" t="n"/>
      <c r="N478" s="28" t="n"/>
      <c r="O478" s="28" t="n"/>
      <c r="P478" s="28" t="n"/>
      <c r="Q478" s="28" t="n"/>
      <c r="R478" s="30" t="n"/>
      <c r="S478" s="28" t="n"/>
    </row>
    <row r="479">
      <c r="A479" t="inlineStr">
        <is>
          <t>R1478</t>
        </is>
      </c>
      <c r="B479" t="inlineStr">
        <is>
          <t>Wallace, Nicholas</t>
        </is>
      </c>
      <c r="C479" t="inlineStr">
        <is>
          <t>11/18/1981</t>
        </is>
      </c>
      <c r="D479" t="inlineStr">
        <is>
          <t>MALE</t>
        </is>
      </c>
      <c r="E479" t="inlineStr">
        <is>
          <t>+1 555 679 3247</t>
        </is>
      </c>
      <c r="F479" t="inlineStr">
        <is>
          <t>nicholas.wallace59@example.com</t>
        </is>
      </c>
      <c r="G479" t="inlineStr">
        <is>
          <t>Cedar Ridge, OH 45720-9764</t>
        </is>
      </c>
      <c r="H479" t="inlineStr">
        <is>
          <t>SELF PAY</t>
        </is>
      </c>
      <c r="I479" t="inlineStr">
        <is>
          <t>9313525</t>
        </is>
      </c>
      <c r="J479" t="inlineStr">
        <is>
          <t>04/17/2022 07:58 AM</t>
        </is>
      </c>
      <c r="K479" s="28" t="n"/>
      <c r="L479" s="29" t="n"/>
      <c r="M479" s="28" t="n"/>
      <c r="N479" s="28" t="n"/>
      <c r="O479" s="28" t="n"/>
      <c r="P479" s="28" t="n"/>
      <c r="Q479" s="28" t="n"/>
      <c r="R479" s="30" t="n"/>
      <c r="S479" s="28" t="n"/>
    </row>
    <row r="480">
      <c r="A480" t="inlineStr">
        <is>
          <t>R1479</t>
        </is>
      </c>
      <c r="B480" t="inlineStr">
        <is>
          <t xml:space="preserve">  Robinson ,  Christian </t>
        </is>
      </c>
      <c r="C480" t="inlineStr">
        <is>
          <t>09/18/1937</t>
        </is>
      </c>
      <c r="D480" t="inlineStr">
        <is>
          <t>Male</t>
        </is>
      </c>
      <c r="E480" t="inlineStr">
        <is>
          <t>5552381731</t>
        </is>
      </c>
      <c r="F480" t="inlineStr">
        <is>
          <t>christian.robinson53@example.com</t>
        </is>
      </c>
      <c r="G480" t="inlineStr">
        <is>
          <t>BLUESTONE, OH 45501</t>
        </is>
      </c>
      <c r="H480" t="inlineStr">
        <is>
          <t xml:space="preserve">Medicare </t>
        </is>
      </c>
      <c r="I480" t="inlineStr">
        <is>
          <t>2331317</t>
        </is>
      </c>
      <c r="J480" t="inlineStr">
        <is>
          <t>2019-04-02 15:25:00</t>
        </is>
      </c>
      <c r="K480" s="28" t="n"/>
      <c r="L480" s="29" t="n"/>
      <c r="M480" s="28" t="n"/>
      <c r="N480" s="28" t="n"/>
      <c r="O480" s="28" t="n"/>
      <c r="P480" s="28" t="n"/>
      <c r="Q480" s="28" t="n"/>
      <c r="R480" s="30" t="n"/>
      <c r="S480" s="28" t="n"/>
    </row>
    <row r="481">
      <c r="A481" t="inlineStr">
        <is>
          <t>R1480</t>
        </is>
      </c>
      <c r="B481" t="inlineStr">
        <is>
          <t>Fox, Hassan</t>
        </is>
      </c>
      <c r="C481" t="inlineStr">
        <is>
          <t>12-Oct-1946</t>
        </is>
      </c>
      <c r="D481" t="inlineStr">
        <is>
          <t>m</t>
        </is>
      </c>
      <c r="E481" t="inlineStr">
        <is>
          <t>555-365-9591</t>
        </is>
      </c>
      <c r="F481" t="inlineStr">
        <is>
          <t>hassan.fox43@example.com</t>
        </is>
      </c>
      <c r="G481" t="inlineStr">
        <is>
          <t>BLUESTONE, OH 45502</t>
        </is>
      </c>
      <c r="H481" t="inlineStr">
        <is>
          <t>Silverline MA</t>
        </is>
      </c>
      <c r="I481" t="inlineStr">
        <is>
          <t>8989869</t>
        </is>
      </c>
      <c r="J481" t="inlineStr">
        <is>
          <t>2014-03-14 09:14:00</t>
        </is>
      </c>
      <c r="K481" s="28" t="n"/>
      <c r="L481" s="29" t="n"/>
      <c r="M481" s="28" t="n"/>
      <c r="N481" s="28" t="n"/>
      <c r="O481" s="28" t="n"/>
      <c r="P481" s="28" t="n"/>
      <c r="Q481" s="28" t="n"/>
      <c r="R481" s="30" t="n"/>
      <c r="S481" s="28" t="n"/>
    </row>
    <row r="482">
      <c r="A482" t="inlineStr">
        <is>
          <t>R1481</t>
        </is>
      </c>
      <c r="B482" t="inlineStr">
        <is>
          <t>Collins, Christine</t>
        </is>
      </c>
      <c r="C482" t="inlineStr">
        <is>
          <t>12/12/1938</t>
        </is>
      </c>
      <c r="D482" t="inlineStr">
        <is>
          <t>Female</t>
        </is>
      </c>
      <c r="E482" t="inlineStr">
        <is>
          <t>(555) 769-9544</t>
        </is>
      </c>
      <c r="F482" t="inlineStr">
        <is>
          <t>christine.collins39@example.com</t>
        </is>
      </c>
      <c r="G482" t="inlineStr">
        <is>
          <t>Fairhaven, OH 45620</t>
        </is>
      </c>
      <c r="H482" t="inlineStr">
        <is>
          <t>Medicare Part A</t>
        </is>
      </c>
      <c r="I482" t="inlineStr">
        <is>
          <t>09683497</t>
        </is>
      </c>
      <c r="J482" t="inlineStr">
        <is>
          <t>03/17/2021 02:48 PM</t>
        </is>
      </c>
      <c r="K482" s="28" t="n"/>
      <c r="L482" s="29" t="n"/>
      <c r="M482" s="28" t="n"/>
      <c r="N482" s="28" t="n"/>
      <c r="O482" s="28" t="n"/>
      <c r="P482" s="28" t="n"/>
      <c r="Q482" s="28" t="n"/>
      <c r="R482" s="30" t="n"/>
      <c r="S482" s="28" t="n"/>
    </row>
    <row r="483">
      <c r="A483" t="inlineStr">
        <is>
          <t>R1482</t>
        </is>
      </c>
      <c r="B483" t="inlineStr">
        <is>
          <t xml:space="preserve">  Hayes ,  Nicholas </t>
        </is>
      </c>
      <c r="C483" t="inlineStr">
        <is>
          <t>04/08/1989</t>
        </is>
      </c>
      <c r="D483" t="inlineStr">
        <is>
          <t>MALE</t>
        </is>
      </c>
      <c r="E483" t="inlineStr">
        <is>
          <t>555.855.2858</t>
        </is>
      </c>
      <c r="F483" t="inlineStr">
        <is>
          <t>nicholas.hayes10@example.com</t>
        </is>
      </c>
      <c r="G483" t="inlineStr">
        <is>
          <t>Cedar Ridge, OH 45720</t>
        </is>
      </c>
      <c r="H483" t="inlineStr">
        <is>
          <t>KEYSTONE HEALTH PARTNERS</t>
        </is>
      </c>
      <c r="I483" t="inlineStr">
        <is>
          <t>1583225</t>
        </is>
      </c>
      <c r="J483" t="inlineStr">
        <is>
          <t>2012-02-17 18:35:00</t>
        </is>
      </c>
      <c r="K483" s="28" t="n"/>
      <c r="L483" s="29" t="n"/>
      <c r="M483" s="28" t="n"/>
      <c r="N483" s="28" t="n"/>
      <c r="O483" s="28" t="n"/>
      <c r="P483" s="28" t="n"/>
      <c r="Q483" s="28" t="n"/>
      <c r="R483" s="30" t="n"/>
      <c r="S483" s="28" t="n"/>
    </row>
    <row r="484">
      <c r="A484" t="inlineStr">
        <is>
          <t>R1483</t>
        </is>
      </c>
      <c r="B484" t="inlineStr">
        <is>
          <t>Kennedy, Christine</t>
        </is>
      </c>
      <c r="C484" t="inlineStr">
        <is>
          <t>04/05/1970</t>
        </is>
      </c>
      <c r="D484" t="inlineStr">
        <is>
          <t>f</t>
        </is>
      </c>
      <c r="E484" t="inlineStr">
        <is>
          <t>(555) 524-4030</t>
        </is>
      </c>
      <c r="F484" t="inlineStr">
        <is>
          <t xml:space="preserve"> christine.kennedy75@example.com </t>
        </is>
      </c>
      <c r="G484" t="inlineStr">
        <is>
          <t>Ashby Falls, OH 45610</t>
        </is>
      </c>
      <c r="H484" t="inlineStr">
        <is>
          <t>Self Pay</t>
        </is>
      </c>
      <c r="I484" t="inlineStr">
        <is>
          <t>00036927</t>
        </is>
      </c>
      <c r="J484" t="inlineStr">
        <is>
          <t>2015-05-26 11:14:00</t>
        </is>
      </c>
      <c r="K484" s="28" t="n"/>
      <c r="L484" s="29" t="n"/>
      <c r="M484" s="28" t="n"/>
      <c r="N484" s="28" t="n"/>
      <c r="O484" s="28" t="n"/>
      <c r="P484" s="28" t="n"/>
      <c r="Q484" s="28" t="n"/>
      <c r="R484" s="30" t="n"/>
      <c r="S484" s="28" t="n"/>
    </row>
    <row r="485">
      <c r="A485" t="inlineStr">
        <is>
          <t>R1484</t>
        </is>
      </c>
      <c r="B485" t="inlineStr">
        <is>
          <t>Nichols, Stephen</t>
        </is>
      </c>
      <c r="C485" t="inlineStr">
        <is>
          <t>1953-04-09</t>
        </is>
      </c>
      <c r="D485" t="inlineStr">
        <is>
          <t>m</t>
        </is>
      </c>
      <c r="E485" t="inlineStr">
        <is>
          <t>5556416282</t>
        </is>
      </c>
      <c r="F485" t="inlineStr">
        <is>
          <t>stephen.nichols80@example.com</t>
        </is>
      </c>
      <c r="G485" t="inlineStr">
        <is>
          <t>Bluestone OH 45503</t>
        </is>
      </c>
      <c r="H485" t="inlineStr">
        <is>
          <t xml:space="preserve">Medicare </t>
        </is>
      </c>
      <c r="I485" t="inlineStr">
        <is>
          <t>740008</t>
        </is>
      </c>
      <c r="J485" t="inlineStr">
        <is>
          <t>11/06/2021 12:51 PM</t>
        </is>
      </c>
      <c r="K485" s="28" t="n"/>
      <c r="L485" s="29" t="n"/>
      <c r="M485" s="28" t="n"/>
      <c r="N485" s="28" t="n"/>
      <c r="O485" s="28" t="n"/>
      <c r="P485" s="28" t="n"/>
      <c r="Q485" s="28" t="n"/>
      <c r="R485" s="30" t="n"/>
      <c r="S485" s="28" t="n"/>
    </row>
    <row r="486">
      <c r="A486" t="inlineStr">
        <is>
          <t>R1485</t>
        </is>
      </c>
      <c r="B486" t="inlineStr">
        <is>
          <t>Liam Dixon</t>
        </is>
      </c>
      <c r="C486" t="inlineStr">
        <is>
          <t>1961-04-30</t>
        </is>
      </c>
      <c r="D486" t="inlineStr">
        <is>
          <t>m</t>
        </is>
      </c>
      <c r="E486" t="inlineStr">
        <is>
          <t>555-975-9093</t>
        </is>
      </c>
      <c r="F486" t="inlineStr">
        <is>
          <t>N/A</t>
        </is>
      </c>
      <c r="G486" t="inlineStr">
        <is>
          <t>Ashby Falls, OH 45610</t>
        </is>
      </c>
      <c r="H486" t="inlineStr">
        <is>
          <t>State Medicaid</t>
        </is>
      </c>
      <c r="I486" t="inlineStr">
        <is>
          <t>00630773</t>
        </is>
      </c>
      <c r="J486" t="inlineStr">
        <is>
          <t>10/25/2023 06:02 PM</t>
        </is>
      </c>
      <c r="K486" s="28" t="n"/>
      <c r="L486" s="29" t="n"/>
      <c r="M486" s="28" t="n"/>
      <c r="N486" s="28" t="n"/>
      <c r="O486" s="28" t="n"/>
      <c r="P486" s="28" t="n"/>
      <c r="Q486" s="28" t="n"/>
      <c r="R486" s="30" t="n"/>
      <c r="S486" s="28" t="n"/>
    </row>
    <row r="487">
      <c r="A487" t="inlineStr">
        <is>
          <t>R1486</t>
        </is>
      </c>
      <c r="B487" t="inlineStr">
        <is>
          <t>Pierce, Nancy</t>
        </is>
      </c>
      <c r="C487" t="inlineStr">
        <is>
          <t>2007-10-08</t>
        </is>
      </c>
      <c r="D487" t="inlineStr">
        <is>
          <t>Female</t>
        </is>
      </c>
      <c r="E487" t="inlineStr">
        <is>
          <t>5555169142</t>
        </is>
      </c>
      <c r="F487" t="inlineStr">
        <is>
          <t>N/A</t>
        </is>
      </c>
      <c r="G487" t="inlineStr">
        <is>
          <t>Cedar Ridge, OH 45720-4213</t>
        </is>
      </c>
      <c r="H487" t="inlineStr">
        <is>
          <t>Keystone</t>
        </is>
      </c>
      <c r="I487" t="inlineStr">
        <is>
          <t>06992853</t>
        </is>
      </c>
      <c r="J487" t="inlineStr">
        <is>
          <t>2019-10-29 14:28:00</t>
        </is>
      </c>
      <c r="K487" s="28" t="n"/>
      <c r="L487" s="29" t="n"/>
      <c r="M487" s="28" t="n"/>
      <c r="N487" s="28" t="n"/>
      <c r="O487" s="28" t="n"/>
      <c r="P487" s="28" t="n"/>
      <c r="Q487" s="28" t="n"/>
      <c r="R487" s="30" t="n"/>
      <c r="S487" s="28" t="n"/>
    </row>
    <row r="488">
      <c r="A488" t="inlineStr">
        <is>
          <t>R1487</t>
        </is>
      </c>
      <c r="B488" t="inlineStr">
        <is>
          <t>Henry, Thomas</t>
        </is>
      </c>
      <c r="C488" t="inlineStr">
        <is>
          <t>07/28/1969</t>
        </is>
      </c>
      <c r="D488" t="inlineStr">
        <is>
          <t xml:space="preserve">M </t>
        </is>
      </c>
      <c r="E488" t="inlineStr">
        <is>
          <t>(555) 228-5630</t>
        </is>
      </c>
      <c r="G488" t="inlineStr">
        <is>
          <t>Pine Hollow, OH 45640</t>
        </is>
      </c>
      <c r="H488" t="inlineStr">
        <is>
          <t>KEYSTONE HEALTH PARTNERS</t>
        </is>
      </c>
      <c r="I488" t="inlineStr">
        <is>
          <t>09845344</t>
        </is>
      </c>
      <c r="J488" t="inlineStr">
        <is>
          <t>2018-06-15 08:42:00</t>
        </is>
      </c>
      <c r="K488" s="28" t="n"/>
      <c r="L488" s="29" t="n"/>
      <c r="M488" s="28" t="n"/>
      <c r="N488" s="28" t="n"/>
      <c r="O488" s="28" t="n"/>
      <c r="P488" s="28" t="n"/>
      <c r="Q488" s="28" t="n"/>
      <c r="R488" s="30" t="n"/>
      <c r="S488" s="28" t="n"/>
    </row>
    <row r="489">
      <c r="A489" t="inlineStr">
        <is>
          <t>R1488</t>
        </is>
      </c>
      <c r="B489" t="inlineStr">
        <is>
          <t>Flores, Nancy</t>
        </is>
      </c>
      <c r="C489" t="inlineStr">
        <is>
          <t>7/12/2006</t>
        </is>
      </c>
      <c r="D489" t="inlineStr">
        <is>
          <t>f</t>
        </is>
      </c>
      <c r="E489" t="inlineStr">
        <is>
          <t>555-537-3866</t>
        </is>
      </c>
      <c r="F489" t="inlineStr">
        <is>
          <t xml:space="preserve"> nancy.flores36@example.com </t>
        </is>
      </c>
      <c r="G489" t="inlineStr">
        <is>
          <t>Millbrook, OH 45530</t>
        </is>
      </c>
      <c r="H489" t="inlineStr">
        <is>
          <t>SUMMIT CHOICE PPO</t>
        </is>
      </c>
      <c r="I489" t="inlineStr">
        <is>
          <t>MRN-05344695</t>
        </is>
      </c>
      <c r="J489" t="inlineStr">
        <is>
          <t>2023-11-23 16:03:00</t>
        </is>
      </c>
      <c r="K489" s="28" t="n"/>
      <c r="L489" s="29" t="n"/>
      <c r="M489" s="28" t="n"/>
      <c r="N489" s="28" t="n"/>
      <c r="O489" s="28" t="n"/>
      <c r="P489" s="28" t="n"/>
      <c r="Q489" s="28" t="n"/>
      <c r="R489" s="30" t="n"/>
      <c r="S489" s="28" t="n"/>
    </row>
    <row r="490">
      <c r="A490" t="inlineStr">
        <is>
          <t>R1489</t>
        </is>
      </c>
      <c r="B490" t="inlineStr">
        <is>
          <t>WRIGHT, ALEXIS</t>
        </is>
      </c>
      <c r="C490" t="inlineStr">
        <is>
          <t>1992-03-30</t>
        </is>
      </c>
      <c r="D490" t="inlineStr">
        <is>
          <t xml:space="preserve"> F</t>
        </is>
      </c>
      <c r="E490" t="inlineStr">
        <is>
          <t>(555) 445-0654</t>
        </is>
      </c>
      <c r="F490" t="inlineStr">
        <is>
          <t>alexis.wright39@example.com</t>
        </is>
      </c>
      <c r="G490" t="inlineStr">
        <is>
          <t>Bluestone, OH 45501</t>
        </is>
      </c>
      <c r="H490" t="inlineStr">
        <is>
          <t>medicaid</t>
        </is>
      </c>
      <c r="I490" t="inlineStr">
        <is>
          <t>09440135</t>
        </is>
      </c>
      <c r="J490" t="inlineStr">
        <is>
          <t>08/18/2024 07:33 AM</t>
        </is>
      </c>
      <c r="K490" s="28" t="n"/>
      <c r="L490" s="29" t="n"/>
      <c r="M490" s="28" t="n"/>
      <c r="N490" s="28" t="n"/>
      <c r="O490" s="28" t="n"/>
      <c r="P490" s="28" t="n"/>
      <c r="Q490" s="28" t="n"/>
      <c r="R490" s="30" t="n"/>
      <c r="S490" s="28" t="n"/>
    </row>
    <row r="491">
      <c r="A491" t="inlineStr">
        <is>
          <t>R1490</t>
        </is>
      </c>
      <c r="B491" t="inlineStr">
        <is>
          <t>Hicks, Willie</t>
        </is>
      </c>
      <c r="C491" t="inlineStr">
        <is>
          <t>01.14.1980</t>
        </is>
      </c>
      <c r="D491" t="inlineStr">
        <is>
          <t>MALE</t>
        </is>
      </c>
      <c r="E491" t="inlineStr">
        <is>
          <t>5558968016</t>
        </is>
      </c>
      <c r="F491" t="inlineStr">
        <is>
          <t>WILLIE.HICKS72@EXAMPLE.COM</t>
        </is>
      </c>
      <c r="G491" t="inlineStr">
        <is>
          <t>Oak Glen, OH 45730</t>
        </is>
      </c>
      <c r="H491" t="inlineStr">
        <is>
          <t>SELF PAY</t>
        </is>
      </c>
      <c r="I491" t="inlineStr">
        <is>
          <t>906419</t>
        </is>
      </c>
      <c r="J491" t="inlineStr">
        <is>
          <t>2018-09-28 17:06:00</t>
        </is>
      </c>
      <c r="K491" s="28" t="n"/>
      <c r="L491" s="29" t="n"/>
      <c r="M491" s="28" t="n"/>
      <c r="N491" s="28" t="n"/>
      <c r="O491" s="28" t="n"/>
      <c r="P491" s="28" t="n"/>
      <c r="Q491" s="28" t="n"/>
      <c r="R491" s="30" t="n"/>
      <c r="S491" s="28" t="n"/>
    </row>
    <row r="492">
      <c r="A492" t="inlineStr">
        <is>
          <t>R1491</t>
        </is>
      </c>
      <c r="B492" t="inlineStr">
        <is>
          <t xml:space="preserve">  Santos ,  Aaron </t>
        </is>
      </c>
      <c r="C492" t="inlineStr">
        <is>
          <t>11/10/1988</t>
        </is>
      </c>
      <c r="D492" t="inlineStr">
        <is>
          <t>M</t>
        </is>
      </c>
      <c r="E492" t="inlineStr">
        <is>
          <t>555-268-9268</t>
        </is>
      </c>
      <c r="F492" t="inlineStr">
        <is>
          <t>none</t>
        </is>
      </c>
      <c r="G492" t="inlineStr">
        <is>
          <t>Bluestone OH 45501</t>
        </is>
      </c>
      <c r="H492" t="inlineStr">
        <is>
          <t>Uninsured</t>
        </is>
      </c>
      <c r="I492" t="inlineStr">
        <is>
          <t>06849564</t>
        </is>
      </c>
      <c r="J492" t="inlineStr">
        <is>
          <t>12/24/2021 03:40 PM</t>
        </is>
      </c>
      <c r="K492" s="28" t="n"/>
      <c r="L492" s="29" t="n"/>
      <c r="M492" s="28" t="n"/>
      <c r="N492" s="28" t="n"/>
      <c r="O492" s="28" t="n"/>
      <c r="P492" s="28" t="n"/>
      <c r="Q492" s="28" t="n"/>
      <c r="R492" s="30" t="n"/>
      <c r="S492" s="28" t="n"/>
    </row>
    <row r="493">
      <c r="A493" t="inlineStr">
        <is>
          <t>R1492</t>
        </is>
      </c>
      <c r="B493" t="inlineStr">
        <is>
          <t>Wayne Chen</t>
        </is>
      </c>
      <c r="C493" t="inlineStr">
        <is>
          <t>04/07/1973</t>
        </is>
      </c>
      <c r="D493" t="inlineStr">
        <is>
          <t>M</t>
        </is>
      </c>
      <c r="E493" t="inlineStr">
        <is>
          <t>+1 555 886 4405</t>
        </is>
      </c>
      <c r="G493" t="inlineStr">
        <is>
          <t>FAIRHAVEN, OH 45620</t>
        </is>
      </c>
      <c r="H493" t="inlineStr">
        <is>
          <t>KEYSTONE HEALTH PARTNERS</t>
        </is>
      </c>
      <c r="I493" t="inlineStr">
        <is>
          <t>6585899</t>
        </is>
      </c>
      <c r="J493" t="inlineStr">
        <is>
          <t>08/01/2019 11:54 AM</t>
        </is>
      </c>
      <c r="K493" s="28" t="n"/>
      <c r="L493" s="29" t="n"/>
      <c r="M493" s="28" t="n"/>
      <c r="N493" s="28" t="n"/>
      <c r="O493" s="28" t="n"/>
      <c r="P493" s="28" t="n"/>
      <c r="Q493" s="28" t="n"/>
      <c r="R493" s="30" t="n"/>
      <c r="S493" s="28" t="n"/>
    </row>
    <row r="494">
      <c r="A494" t="inlineStr">
        <is>
          <t>R1493</t>
        </is>
      </c>
      <c r="B494" t="inlineStr">
        <is>
          <t>Theresa Morris</t>
        </is>
      </c>
      <c r="C494" t="inlineStr">
        <is>
          <t>23-Dec-2015</t>
        </is>
      </c>
      <c r="D494" t="inlineStr">
        <is>
          <t xml:space="preserve"> F</t>
        </is>
      </c>
      <c r="E494" t="inlineStr">
        <is>
          <t>555-952-2236</t>
        </is>
      </c>
      <c r="G494" t="inlineStr">
        <is>
          <t>Bluestone, OH 45502</t>
        </is>
      </c>
      <c r="H494" t="inlineStr">
        <is>
          <t>Evergreen Mutual</t>
        </is>
      </c>
      <c r="I494" t="inlineStr">
        <is>
          <t>MRN-08909655</t>
        </is>
      </c>
      <c r="J494" t="inlineStr">
        <is>
          <t>2021-06-11 14:06:00</t>
        </is>
      </c>
      <c r="K494" s="28" t="n"/>
      <c r="L494" s="29" t="n"/>
      <c r="M494" s="28" t="n"/>
      <c r="N494" s="28" t="n"/>
      <c r="O494" s="28" t="n"/>
      <c r="P494" s="28" t="n"/>
      <c r="Q494" s="28" t="n"/>
      <c r="R494" s="30" t="n"/>
      <c r="S494" s="28" t="n"/>
    </row>
    <row r="495">
      <c r="A495" t="inlineStr">
        <is>
          <t>R1494</t>
        </is>
      </c>
      <c r="B495" t="inlineStr">
        <is>
          <t>Ortiz, Samuel</t>
        </is>
      </c>
      <c r="C495" t="inlineStr">
        <is>
          <t>6/5/1959</t>
        </is>
      </c>
      <c r="D495" t="inlineStr">
        <is>
          <t>Male</t>
        </is>
      </c>
      <c r="E495" t="inlineStr">
        <is>
          <t>5558105159</t>
        </is>
      </c>
      <c r="F495" t="inlineStr">
        <is>
          <t>samuel.ortiz96@example.com</t>
        </is>
      </c>
      <c r="G495" t="inlineStr">
        <is>
          <t>Bluestone, OH 45502</t>
        </is>
      </c>
      <c r="H495" t="inlineStr">
        <is>
          <t>Medicare</t>
        </is>
      </c>
      <c r="I495" t="inlineStr">
        <is>
          <t>MRN-00669497</t>
        </is>
      </c>
      <c r="J495" t="inlineStr">
        <is>
          <t>05/10/2022 10:52 AM</t>
        </is>
      </c>
      <c r="K495" s="28" t="n"/>
      <c r="L495" s="29" t="n"/>
      <c r="M495" s="28" t="n"/>
      <c r="N495" s="28" t="n"/>
      <c r="O495" s="28" t="n"/>
      <c r="P495" s="28" t="n"/>
      <c r="Q495" s="28" t="n"/>
      <c r="R495" s="30" t="n"/>
      <c r="S495" s="28" t="n"/>
    </row>
    <row r="496">
      <c r="A496" t="inlineStr">
        <is>
          <t>R1495</t>
        </is>
      </c>
      <c r="B496" t="inlineStr">
        <is>
          <t>Kowalski, Rosa</t>
        </is>
      </c>
      <c r="C496" t="inlineStr">
        <is>
          <t>6/14/1961</t>
        </is>
      </c>
      <c r="D496" t="inlineStr">
        <is>
          <t>FEMALE</t>
        </is>
      </c>
      <c r="E496" t="inlineStr">
        <is>
          <t>555.415.7883</t>
        </is>
      </c>
      <c r="F496" t="inlineStr">
        <is>
          <t>rosa.kowalski92@example.com</t>
        </is>
      </c>
      <c r="G496" t="inlineStr">
        <is>
          <t>Bluestone OH 45501</t>
        </is>
      </c>
      <c r="H496" t="inlineStr">
        <is>
          <t>Keystone Health Ptnrs</t>
        </is>
      </c>
      <c r="I496" t="inlineStr">
        <is>
          <t>8852022</t>
        </is>
      </c>
      <c r="J496" t="inlineStr">
        <is>
          <t>05/29/2013 05:57 PM</t>
        </is>
      </c>
      <c r="K496" s="28" t="n"/>
      <c r="L496" s="29" t="n"/>
      <c r="M496" s="28" t="n"/>
      <c r="N496" s="28" t="n"/>
      <c r="O496" s="28" t="n"/>
      <c r="P496" s="28" t="n"/>
      <c r="Q496" s="28" t="n"/>
      <c r="R496" s="30" t="n"/>
      <c r="S496" s="28" t="n"/>
    </row>
    <row r="497">
      <c r="A497" t="inlineStr">
        <is>
          <t>R1496</t>
        </is>
      </c>
      <c r="B497" t="inlineStr">
        <is>
          <t>Herrera, Rachel</t>
        </is>
      </c>
      <c r="C497" t="inlineStr">
        <is>
          <t>03.17.2004</t>
        </is>
      </c>
      <c r="D497" t="inlineStr">
        <is>
          <t xml:space="preserve"> F</t>
        </is>
      </c>
      <c r="E497" t="inlineStr">
        <is>
          <t>(555) 321-5074</t>
        </is>
      </c>
      <c r="F497" t="inlineStr">
        <is>
          <t>N/A</t>
        </is>
      </c>
      <c r="G497" t="inlineStr">
        <is>
          <t>Oak Glen, OH 45730</t>
        </is>
      </c>
      <c r="H497" t="inlineStr">
        <is>
          <t>EVERGREEN MUTUAL INS</t>
        </is>
      </c>
      <c r="I497" t="inlineStr">
        <is>
          <t>MRN-06151059</t>
        </is>
      </c>
      <c r="J497" t="inlineStr">
        <is>
          <t>07/06/2021 04:27 PM</t>
        </is>
      </c>
      <c r="K497" s="28" t="n"/>
      <c r="L497" s="29" t="n"/>
      <c r="M497" s="28" t="n"/>
      <c r="N497" s="28" t="n"/>
      <c r="O497" s="28" t="n"/>
      <c r="P497" s="28" t="n"/>
      <c r="Q497" s="28" t="n"/>
      <c r="R497" s="30" t="n"/>
      <c r="S497" s="28" t="n"/>
    </row>
    <row r="498">
      <c r="A498" t="inlineStr">
        <is>
          <t>R1497</t>
        </is>
      </c>
      <c r="B498" t="inlineStr">
        <is>
          <t>Adams, Ronald</t>
        </is>
      </c>
      <c r="C498" t="inlineStr">
        <is>
          <t>11.04.1957</t>
        </is>
      </c>
      <c r="D498" t="inlineStr">
        <is>
          <t>m</t>
        </is>
      </c>
      <c r="E498" t="inlineStr">
        <is>
          <t>5555433945</t>
        </is>
      </c>
      <c r="F498" t="inlineStr">
        <is>
          <t>ronald.adams64@example.com</t>
        </is>
      </c>
      <c r="G498" t="inlineStr">
        <is>
          <t>MILLBROOK, OH 45530</t>
        </is>
      </c>
      <c r="H498" t="inlineStr">
        <is>
          <t>Silverline MA</t>
        </is>
      </c>
      <c r="I498" t="inlineStr">
        <is>
          <t>8734597</t>
        </is>
      </c>
      <c r="J498" t="inlineStr">
        <is>
          <t>08/12/2015 07:26 AM</t>
        </is>
      </c>
      <c r="K498" s="28" t="n"/>
      <c r="L498" s="29" t="n"/>
      <c r="M498" s="28" t="n"/>
      <c r="N498" s="28" t="n"/>
      <c r="O498" s="28" t="n"/>
      <c r="P498" s="28" t="n"/>
      <c r="Q498" s="28" t="n"/>
      <c r="R498" s="30" t="n"/>
      <c r="S498" s="28" t="n"/>
    </row>
    <row r="499">
      <c r="A499" t="inlineStr">
        <is>
          <t>R1498</t>
        </is>
      </c>
      <c r="B499" t="inlineStr">
        <is>
          <t>Morris, Lisa</t>
        </is>
      </c>
      <c r="C499" t="inlineStr">
        <is>
          <t>1929-11-28</t>
        </is>
      </c>
      <c r="D499" t="inlineStr">
        <is>
          <t>F</t>
        </is>
      </c>
      <c r="E499" t="inlineStr">
        <is>
          <t>(555) 657-5074</t>
        </is>
      </c>
      <c r="F499" t="inlineStr">
        <is>
          <t>lisa.morris97@example.com</t>
        </is>
      </c>
      <c r="G499" t="inlineStr">
        <is>
          <t>Bluestone, OH 45501-5880</t>
        </is>
      </c>
      <c r="H499" t="inlineStr">
        <is>
          <t>Silverline Medicare Advantage</t>
        </is>
      </c>
      <c r="I499" t="inlineStr">
        <is>
          <t>527567</t>
        </is>
      </c>
      <c r="J499" t="inlineStr">
        <is>
          <t>10/16/2008 06:46 PM</t>
        </is>
      </c>
      <c r="K499" s="28" t="n"/>
      <c r="L499" s="29" t="n"/>
      <c r="M499" s="28" t="n"/>
      <c r="N499" s="28" t="n"/>
      <c r="O499" s="28" t="n"/>
      <c r="P499" s="28" t="n"/>
      <c r="Q499" s="28" t="n"/>
      <c r="R499" s="30" t="n"/>
      <c r="S499" s="28" t="n"/>
    </row>
    <row r="500">
      <c r="A500" t="inlineStr">
        <is>
          <t>R1499</t>
        </is>
      </c>
      <c r="B500" t="inlineStr">
        <is>
          <t>Pena, Joseph</t>
        </is>
      </c>
      <c r="C500" t="inlineStr">
        <is>
          <t>09/27/1928</t>
        </is>
      </c>
      <c r="D500" t="inlineStr">
        <is>
          <t>m</t>
        </is>
      </c>
      <c r="E500" t="inlineStr">
        <is>
          <t>555-855-5530</t>
        </is>
      </c>
      <c r="F500" t="inlineStr">
        <is>
          <t>joseph.pena57@example.com</t>
        </is>
      </c>
      <c r="G500" t="inlineStr">
        <is>
          <t>Bluestone, OH 45502</t>
        </is>
      </c>
      <c r="H500" t="inlineStr">
        <is>
          <t>Silverline Medicare Advantage</t>
        </is>
      </c>
      <c r="I500" t="inlineStr">
        <is>
          <t>06792129</t>
        </is>
      </c>
      <c r="J500" t="inlineStr">
        <is>
          <t>02/22/2019 07:44 AM</t>
        </is>
      </c>
      <c r="K500" s="28" t="n"/>
      <c r="L500" s="29" t="n"/>
      <c r="M500" s="28" t="n"/>
      <c r="N500" s="28" t="n"/>
      <c r="O500" s="28" t="n"/>
      <c r="P500" s="28" t="n"/>
      <c r="Q500" s="28" t="n"/>
      <c r="R500" s="30" t="n"/>
      <c r="S500" s="28" t="n"/>
    </row>
    <row r="501">
      <c r="A501" t="inlineStr">
        <is>
          <t>R1500</t>
        </is>
      </c>
      <c r="B501" t="inlineStr">
        <is>
          <t>Gonzalez, Frank</t>
        </is>
      </c>
      <c r="C501" t="inlineStr">
        <is>
          <t>07/15/2000</t>
        </is>
      </c>
      <c r="D501" t="inlineStr">
        <is>
          <t>M</t>
        </is>
      </c>
      <c r="E501" t="inlineStr">
        <is>
          <t>(555) 939-2526</t>
        </is>
      </c>
      <c r="F501" t="inlineStr">
        <is>
          <t>FRANK.GONZALEZ60@EXAMPLE.COM</t>
        </is>
      </c>
      <c r="G501" t="inlineStr">
        <is>
          <t>Bluestone, OH 45501</t>
        </is>
      </c>
      <c r="H501" t="inlineStr">
        <is>
          <t>Evergreen Mutual Insurance</t>
        </is>
      </c>
      <c r="I501" t="inlineStr">
        <is>
          <t>01312758</t>
        </is>
      </c>
      <c r="J501" t="inlineStr">
        <is>
          <t>11/16/2014 06:29 PM</t>
        </is>
      </c>
      <c r="K501" s="28" t="n"/>
      <c r="L501" s="29" t="n"/>
      <c r="M501" s="28" t="n"/>
      <c r="N501" s="28" t="n"/>
      <c r="O501" s="28" t="n"/>
      <c r="P501" s="28" t="n"/>
      <c r="Q501" s="28" t="n"/>
      <c r="R501" s="30" t="n"/>
      <c r="S501" s="28" t="n"/>
    </row>
    <row r="502">
      <c r="A502" t="inlineStr">
        <is>
          <t>R1501</t>
        </is>
      </c>
      <c r="B502" t="inlineStr">
        <is>
          <t>Sandra Cruz</t>
        </is>
      </c>
      <c r="C502" t="inlineStr">
        <is>
          <t>6/8/2009</t>
        </is>
      </c>
      <c r="D502" t="inlineStr">
        <is>
          <t>F</t>
        </is>
      </c>
      <c r="E502" t="inlineStr">
        <is>
          <t>(555) 303-4463</t>
        </is>
      </c>
      <c r="F502" t="inlineStr">
        <is>
          <t>SANDRA.CRUZ28@EXAMPLE.COM</t>
        </is>
      </c>
      <c r="G502" t="inlineStr">
        <is>
          <t>Bluestone OH 45503</t>
        </is>
      </c>
      <c r="H502" t="inlineStr">
        <is>
          <t>medicaid</t>
        </is>
      </c>
      <c r="I502" t="inlineStr">
        <is>
          <t>06391914</t>
        </is>
      </c>
      <c r="J502" t="inlineStr">
        <is>
          <t>2017-09-06 16:30:00</t>
        </is>
      </c>
      <c r="K502" s="28" t="n"/>
      <c r="L502" s="29" t="n"/>
      <c r="M502" s="28" t="n"/>
      <c r="N502" s="28" t="n"/>
      <c r="O502" s="28" t="n"/>
      <c r="P502" s="28" t="n"/>
      <c r="Q502" s="28" t="n"/>
      <c r="R502" s="30" t="n"/>
      <c r="S502" s="28" t="n"/>
    </row>
    <row r="503">
      <c r="A503" t="inlineStr">
        <is>
          <t>R1502</t>
        </is>
      </c>
      <c r="B503" t="inlineStr">
        <is>
          <t>Ray, Teresa</t>
        </is>
      </c>
      <c r="C503" t="inlineStr">
        <is>
          <t>08/12/2000</t>
        </is>
      </c>
      <c r="D503" t="inlineStr">
        <is>
          <t>FEMALE</t>
        </is>
      </c>
      <c r="E503" t="inlineStr">
        <is>
          <t>(555) 853-6046</t>
        </is>
      </c>
      <c r="F503" t="inlineStr">
        <is>
          <t>none</t>
        </is>
      </c>
      <c r="G503" t="inlineStr">
        <is>
          <t>Granite Springs OH 45750</t>
        </is>
      </c>
      <c r="H503" t="inlineStr">
        <is>
          <t>Uninsured</t>
        </is>
      </c>
      <c r="I503" t="inlineStr">
        <is>
          <t>04137535</t>
        </is>
      </c>
      <c r="J503" t="inlineStr">
        <is>
          <t>02/15/2022 01:24 PM</t>
        </is>
      </c>
      <c r="K503" s="28" t="n"/>
      <c r="L503" s="29" t="n"/>
      <c r="M503" s="28" t="n"/>
      <c r="N503" s="28" t="n"/>
      <c r="O503" s="28" t="n"/>
      <c r="P503" s="28" t="n"/>
      <c r="Q503" s="28" t="n"/>
      <c r="R503" s="30" t="n"/>
      <c r="S503" s="28" t="n"/>
    </row>
    <row r="504">
      <c r="A504" t="inlineStr">
        <is>
          <t>R1503</t>
        </is>
      </c>
      <c r="B504" t="inlineStr">
        <is>
          <t>Rivera, Justin</t>
        </is>
      </c>
      <c r="C504" t="inlineStr">
        <is>
          <t>6/4/1949</t>
        </is>
      </c>
      <c r="D504" t="inlineStr">
        <is>
          <t xml:space="preserve">M </t>
        </is>
      </c>
      <c r="F504" t="inlineStr">
        <is>
          <t>justin.rivera67@example.com</t>
        </is>
      </c>
      <c r="G504" t="inlineStr">
        <is>
          <t>Oak Glen, OH 45730</t>
        </is>
      </c>
      <c r="H504" t="inlineStr">
        <is>
          <t>Medicare Part A</t>
        </is>
      </c>
      <c r="I504" t="inlineStr">
        <is>
          <t>08454666</t>
        </is>
      </c>
      <c r="J504" t="inlineStr">
        <is>
          <t>2022-12-10 17:43:00</t>
        </is>
      </c>
      <c r="K504" s="28" t="n"/>
      <c r="L504" s="29" t="n"/>
      <c r="M504" s="28" t="n"/>
      <c r="N504" s="28" t="n"/>
      <c r="O504" s="28" t="n"/>
      <c r="P504" s="28" t="n"/>
      <c r="Q504" s="28" t="n"/>
      <c r="R504" s="30" t="n"/>
      <c r="S504" s="28" t="n"/>
    </row>
    <row r="505">
      <c r="A505" t="inlineStr">
        <is>
          <t>R1504</t>
        </is>
      </c>
      <c r="B505" t="inlineStr">
        <is>
          <t>FISHER, ZACHARY</t>
        </is>
      </c>
      <c r="C505" t="inlineStr">
        <is>
          <t>7/27/1998</t>
        </is>
      </c>
      <c r="D505" t="inlineStr">
        <is>
          <t>Male</t>
        </is>
      </c>
      <c r="E505" t="inlineStr">
        <is>
          <t>(555) 373-8283</t>
        </is>
      </c>
      <c r="F505" t="inlineStr">
        <is>
          <t>zachary.fisher1@example.com</t>
        </is>
      </c>
      <c r="G505" t="inlineStr">
        <is>
          <t>BLUESTONE, OH 45501</t>
        </is>
      </c>
      <c r="H505" t="inlineStr">
        <is>
          <t>Evergreen Mutual Insurance</t>
        </is>
      </c>
      <c r="I505" t="inlineStr">
        <is>
          <t>05795018</t>
        </is>
      </c>
      <c r="J505" t="inlineStr">
        <is>
          <t>2013-08-20 12:37:00</t>
        </is>
      </c>
      <c r="K505" s="28" t="n"/>
      <c r="L505" s="29" t="n"/>
      <c r="M505" s="28" t="n"/>
      <c r="N505" s="28" t="n"/>
      <c r="O505" s="28" t="n"/>
      <c r="P505" s="28" t="n"/>
      <c r="Q505" s="28" t="n"/>
      <c r="R505" s="30" t="n"/>
      <c r="S505" s="28" t="n"/>
    </row>
    <row r="506">
      <c r="A506" t="inlineStr">
        <is>
          <t>R1505</t>
        </is>
      </c>
      <c r="B506" t="inlineStr">
        <is>
          <t>MITCHELL, EMILY</t>
        </is>
      </c>
      <c r="C506" t="inlineStr">
        <is>
          <t>12/07/1967</t>
        </is>
      </c>
      <c r="D506" t="inlineStr">
        <is>
          <t>F</t>
        </is>
      </c>
      <c r="E506" t="inlineStr">
        <is>
          <t>(555) 626-9736</t>
        </is>
      </c>
      <c r="F506" t="inlineStr">
        <is>
          <t>emily.mitchell35@example.com</t>
        </is>
      </c>
      <c r="G506" t="inlineStr">
        <is>
          <t>Ashby Falls, OH 45610</t>
        </is>
      </c>
      <c r="H506" t="inlineStr">
        <is>
          <t>medicaid</t>
        </is>
      </c>
      <c r="I506" t="inlineStr">
        <is>
          <t>02672120</t>
        </is>
      </c>
      <c r="J506" t="inlineStr">
        <is>
          <t>2015-03-28 16:30:00</t>
        </is>
      </c>
      <c r="K506" s="28" t="n"/>
      <c r="L506" s="29" t="n"/>
      <c r="M506" s="28" t="n"/>
      <c r="N506" s="28" t="n"/>
      <c r="O506" s="28" t="n"/>
      <c r="P506" s="28" t="n"/>
      <c r="Q506" s="28" t="n"/>
      <c r="R506" s="30" t="n"/>
      <c r="S506" s="28" t="n"/>
    </row>
    <row r="507">
      <c r="A507" t="inlineStr">
        <is>
          <t>R1506</t>
        </is>
      </c>
      <c r="B507" t="inlineStr">
        <is>
          <t>McDonald, Jose</t>
        </is>
      </c>
      <c r="C507" t="inlineStr">
        <is>
          <t>09-Feb-2002</t>
        </is>
      </c>
      <c r="D507" t="inlineStr">
        <is>
          <t>M</t>
        </is>
      </c>
      <c r="E507" t="inlineStr">
        <is>
          <t>555-202-1813</t>
        </is>
      </c>
      <c r="F507" t="inlineStr">
        <is>
          <t>jose.mcdonald67@example.com</t>
        </is>
      </c>
      <c r="G507" t="inlineStr">
        <is>
          <t>Bluestone, OH 45503</t>
        </is>
      </c>
      <c r="H507" t="inlineStr">
        <is>
          <t>self-pay</t>
        </is>
      </c>
      <c r="I507" t="inlineStr">
        <is>
          <t>06640505</t>
        </is>
      </c>
      <c r="J507" t="inlineStr">
        <is>
          <t>2024-03-18 07:16:00</t>
        </is>
      </c>
      <c r="K507" s="28" t="n"/>
      <c r="L507" s="29" t="n"/>
      <c r="M507" s="28" t="n"/>
      <c r="N507" s="28" t="n"/>
      <c r="O507" s="28" t="n"/>
      <c r="P507" s="28" t="n"/>
      <c r="Q507" s="28" t="n"/>
      <c r="R507" s="30" t="n"/>
      <c r="S507" s="28" t="n"/>
    </row>
    <row r="508">
      <c r="A508" t="inlineStr">
        <is>
          <t>R1507</t>
        </is>
      </c>
      <c r="B508" t="inlineStr">
        <is>
          <t xml:space="preserve">  Novak ,  Diego </t>
        </is>
      </c>
      <c r="C508" t="inlineStr">
        <is>
          <t>26-Feb-2009</t>
        </is>
      </c>
      <c r="D508" t="inlineStr">
        <is>
          <t>M</t>
        </is>
      </c>
      <c r="E508" t="inlineStr">
        <is>
          <t>555-400-0532</t>
        </is>
      </c>
      <c r="G508" t="inlineStr">
        <is>
          <t>Lakeview Heights, OH 45510-9256</t>
        </is>
      </c>
      <c r="H508" t="inlineStr">
        <is>
          <t>Medicaid</t>
        </is>
      </c>
      <c r="I508" t="inlineStr">
        <is>
          <t>06196463</t>
        </is>
      </c>
      <c r="J508" t="inlineStr">
        <is>
          <t>04/04/2014 12:18 PM</t>
        </is>
      </c>
      <c r="K508" s="28" t="n"/>
      <c r="L508" s="29" t="n"/>
      <c r="M508" s="28" t="n"/>
      <c r="N508" s="28" t="n"/>
      <c r="O508" s="28" t="n"/>
      <c r="P508" s="28" t="n"/>
      <c r="Q508" s="28" t="n"/>
      <c r="R508" s="30" t="n"/>
      <c r="S508" s="28" t="n"/>
    </row>
    <row r="509">
      <c r="A509" t="inlineStr">
        <is>
          <t>R1508</t>
        </is>
      </c>
      <c r="B509" t="inlineStr">
        <is>
          <t>ROSE, DEBRA</t>
        </is>
      </c>
      <c r="C509" t="inlineStr">
        <is>
          <t>03/01/2014</t>
        </is>
      </c>
      <c r="D509" t="inlineStr">
        <is>
          <t xml:space="preserve"> F</t>
        </is>
      </c>
      <c r="E509" t="inlineStr">
        <is>
          <t>5555638083</t>
        </is>
      </c>
      <c r="G509" t="inlineStr">
        <is>
          <t>Cedar Ridge, OH 45720-9146</t>
        </is>
      </c>
      <c r="H509" t="inlineStr">
        <is>
          <t>STATE MEDICAID</t>
        </is>
      </c>
      <c r="I509" t="inlineStr">
        <is>
          <t>03422069</t>
        </is>
      </c>
      <c r="J509" t="inlineStr">
        <is>
          <t>2022-10-14 09:03:00</t>
        </is>
      </c>
      <c r="K509" s="28" t="n"/>
      <c r="L509" s="29" t="n"/>
      <c r="M509" s="28" t="n"/>
      <c r="N509" s="28" t="n"/>
      <c r="O509" s="28" t="n"/>
      <c r="P509" s="28" t="n"/>
      <c r="Q509" s="28" t="n"/>
      <c r="R509" s="30" t="n"/>
      <c r="S509" s="28" t="n"/>
    </row>
    <row r="510">
      <c r="A510" t="inlineStr">
        <is>
          <t>R1509</t>
        </is>
      </c>
      <c r="B510" t="inlineStr">
        <is>
          <t>GARZA, DONNA</t>
        </is>
      </c>
      <c r="C510" t="inlineStr">
        <is>
          <t>04/11/2020</t>
        </is>
      </c>
      <c r="D510" t="inlineStr">
        <is>
          <t xml:space="preserve"> F</t>
        </is>
      </c>
      <c r="E510" t="inlineStr">
        <is>
          <t>555-233-5856</t>
        </is>
      </c>
      <c r="F510" t="inlineStr">
        <is>
          <t>N/A</t>
        </is>
      </c>
      <c r="G510" t="inlineStr">
        <is>
          <t>Cedar Ridge, OH 45720</t>
        </is>
      </c>
      <c r="H510" t="inlineStr">
        <is>
          <t>SUMMIT CHOICE PPO</t>
        </is>
      </c>
      <c r="I510" t="inlineStr">
        <is>
          <t>07765833</t>
        </is>
      </c>
      <c r="J510" t="inlineStr">
        <is>
          <t>06/27/2023 04:44 PM</t>
        </is>
      </c>
      <c r="K510" s="28" t="n"/>
      <c r="L510" s="29" t="n"/>
      <c r="M510" s="28" t="n"/>
      <c r="N510" s="28" t="n"/>
      <c r="O510" s="28" t="n"/>
      <c r="P510" s="28" t="n"/>
      <c r="Q510" s="28" t="n"/>
      <c r="R510" s="30" t="n"/>
      <c r="S510" s="28" t="n"/>
    </row>
    <row r="511">
      <c r="A511" t="inlineStr">
        <is>
          <t>R1510</t>
        </is>
      </c>
      <c r="B511" t="inlineStr">
        <is>
          <t>Hicks, Patricia</t>
        </is>
      </c>
      <c r="C511" t="inlineStr">
        <is>
          <t>05/16/1954</t>
        </is>
      </c>
      <c r="D511" t="inlineStr">
        <is>
          <t>F</t>
        </is>
      </c>
      <c r="E511" t="inlineStr">
        <is>
          <t>(555) 405-9552</t>
        </is>
      </c>
      <c r="F511" t="inlineStr">
        <is>
          <t>PATRICIA.HICKS3@EXAMPLE.COM</t>
        </is>
      </c>
      <c r="G511" t="inlineStr">
        <is>
          <t>Bluestone, OH 45503</t>
        </is>
      </c>
      <c r="H511" t="inlineStr">
        <is>
          <t>Silverline Medicare Advantage</t>
        </is>
      </c>
      <c r="I511" t="inlineStr">
        <is>
          <t>01160280</t>
        </is>
      </c>
      <c r="J511" t="inlineStr">
        <is>
          <t>04/16/2016 01:40 PM</t>
        </is>
      </c>
      <c r="K511" s="28" t="n"/>
      <c r="L511" s="29" t="n"/>
      <c r="M511" s="28" t="n"/>
      <c r="N511" s="28" t="n"/>
      <c r="O511" s="28" t="n"/>
      <c r="P511" s="28" t="n"/>
      <c r="Q511" s="28" t="n"/>
      <c r="R511" s="30" t="n"/>
      <c r="S511" s="28" t="n"/>
    </row>
    <row r="512">
      <c r="A512" t="inlineStr">
        <is>
          <t>R1511</t>
        </is>
      </c>
      <c r="B512" t="inlineStr">
        <is>
          <t>washington, nicholas</t>
        </is>
      </c>
      <c r="C512" t="inlineStr">
        <is>
          <t>1963-06-13</t>
        </is>
      </c>
      <c r="D512" t="inlineStr">
        <is>
          <t>Male</t>
        </is>
      </c>
      <c r="E512" t="inlineStr">
        <is>
          <t>555-753-4042</t>
        </is>
      </c>
      <c r="F512" t="inlineStr">
        <is>
          <t>nicholas.washington41@example.com</t>
        </is>
      </c>
      <c r="G512" t="inlineStr">
        <is>
          <t>Lakeview Heights OH 45510</t>
        </is>
      </c>
      <c r="H512" t="inlineStr">
        <is>
          <t>Self-Pay</t>
        </is>
      </c>
      <c r="I512" t="inlineStr">
        <is>
          <t>00447450</t>
        </is>
      </c>
      <c r="J512" t="inlineStr">
        <is>
          <t>01/01/2015 07:15 AM</t>
        </is>
      </c>
      <c r="K512" s="28" t="n"/>
      <c r="L512" s="29" t="n"/>
      <c r="M512" s="28" t="n"/>
      <c r="N512" s="28" t="n"/>
      <c r="O512" s="28" t="n"/>
      <c r="P512" s="28" t="n"/>
      <c r="Q512" s="28" t="n"/>
      <c r="R512" s="30" t="n"/>
      <c r="S512" s="28" t="n"/>
    </row>
    <row r="513">
      <c r="A513" t="inlineStr">
        <is>
          <t>R1512</t>
        </is>
      </c>
      <c r="B513" t="inlineStr">
        <is>
          <t>Vargas, Mia</t>
        </is>
      </c>
      <c r="C513" t="inlineStr">
        <is>
          <t>01/18/1967</t>
        </is>
      </c>
      <c r="D513" t="inlineStr">
        <is>
          <t>FEMALE</t>
        </is>
      </c>
      <c r="E513" t="inlineStr">
        <is>
          <t>5556975543</t>
        </is>
      </c>
      <c r="F513" t="inlineStr">
        <is>
          <t>mia.vargas9@example.com</t>
        </is>
      </c>
      <c r="G513" t="inlineStr">
        <is>
          <t>Bluestone, OH 45502</t>
        </is>
      </c>
      <c r="H513" t="inlineStr">
        <is>
          <t>Self-Pay</t>
        </is>
      </c>
      <c r="I513" t="inlineStr">
        <is>
          <t>04460581</t>
        </is>
      </c>
      <c r="J513" t="inlineStr">
        <is>
          <t>2012-03-10 14:44:00</t>
        </is>
      </c>
      <c r="K513" s="28" t="n"/>
      <c r="L513" s="29" t="n"/>
      <c r="M513" s="28" t="n"/>
      <c r="N513" s="28" t="n"/>
      <c r="O513" s="28" t="n"/>
      <c r="P513" s="28" t="n"/>
      <c r="Q513" s="28" t="n"/>
      <c r="R513" s="30" t="n"/>
      <c r="S513" s="28" t="n"/>
    </row>
    <row r="514">
      <c r="A514" t="inlineStr">
        <is>
          <t>R1513</t>
        </is>
      </c>
      <c r="B514" t="inlineStr">
        <is>
          <t>miller, christine</t>
        </is>
      </c>
      <c r="C514" t="inlineStr">
        <is>
          <t>05/28/1968</t>
        </is>
      </c>
      <c r="D514" t="inlineStr">
        <is>
          <t>f</t>
        </is>
      </c>
      <c r="E514" t="inlineStr">
        <is>
          <t>555.935.7917</t>
        </is>
      </c>
      <c r="F514" t="inlineStr">
        <is>
          <t>christine.miller53@example.com</t>
        </is>
      </c>
      <c r="G514" t="inlineStr">
        <is>
          <t>Ashby Falls, OH 45610</t>
        </is>
      </c>
      <c r="H514" t="inlineStr">
        <is>
          <t>evergreen mutual insurance</t>
        </is>
      </c>
      <c r="I514" t="inlineStr">
        <is>
          <t>02692318</t>
        </is>
      </c>
      <c r="J514" t="inlineStr">
        <is>
          <t>02/09/2018 03:37 PM</t>
        </is>
      </c>
      <c r="K514" s="28" t="n"/>
      <c r="L514" s="29" t="n"/>
      <c r="M514" s="28" t="n"/>
      <c r="N514" s="28" t="n"/>
      <c r="O514" s="28" t="n"/>
      <c r="P514" s="28" t="n"/>
      <c r="Q514" s="28" t="n"/>
      <c r="R514" s="30" t="n"/>
      <c r="S514" s="28" t="n"/>
    </row>
    <row r="515">
      <c r="A515" t="inlineStr">
        <is>
          <t>R1514</t>
        </is>
      </c>
      <c r="B515" t="inlineStr">
        <is>
          <t>Noah Kowalski</t>
        </is>
      </c>
      <c r="C515" t="inlineStr">
        <is>
          <t>9/26/1967</t>
        </is>
      </c>
      <c r="D515" t="inlineStr">
        <is>
          <t>M</t>
        </is>
      </c>
      <c r="E515" t="inlineStr">
        <is>
          <t>555-510-0104</t>
        </is>
      </c>
      <c r="G515" t="inlineStr">
        <is>
          <t>Cedar Ridge, OH 45720</t>
        </is>
      </c>
      <c r="H515" t="inlineStr">
        <is>
          <t>Evergreen Mutual</t>
        </is>
      </c>
      <c r="I515" t="inlineStr">
        <is>
          <t>03353384</t>
        </is>
      </c>
      <c r="J515" t="inlineStr">
        <is>
          <t>2020-07-01 12:39:00</t>
        </is>
      </c>
      <c r="K515" s="28" t="n"/>
      <c r="L515" s="29" t="n"/>
      <c r="M515" s="28" t="n"/>
      <c r="N515" s="28" t="n"/>
      <c r="O515" s="28" t="n"/>
      <c r="P515" s="28" t="n"/>
      <c r="Q515" s="28" t="n"/>
      <c r="R515" s="30" t="n"/>
      <c r="S515" s="28" t="n"/>
    </row>
    <row r="516">
      <c r="A516" t="inlineStr">
        <is>
          <t>R1515</t>
        </is>
      </c>
      <c r="B516" t="inlineStr">
        <is>
          <t>ALVARADO, WAYNE</t>
        </is>
      </c>
      <c r="C516" t="inlineStr">
        <is>
          <t>11/09/1950</t>
        </is>
      </c>
      <c r="D516" t="inlineStr">
        <is>
          <t>M</t>
        </is>
      </c>
      <c r="E516" t="inlineStr">
        <is>
          <t>(555) 836-5983</t>
        </is>
      </c>
      <c r="F516" t="inlineStr">
        <is>
          <t>none</t>
        </is>
      </c>
      <c r="G516" t="inlineStr">
        <is>
          <t>Ashby Falls, OH 45610</t>
        </is>
      </c>
      <c r="H516" t="inlineStr">
        <is>
          <t>Medicare</t>
        </is>
      </c>
      <c r="I516" t="inlineStr">
        <is>
          <t>01860654</t>
        </is>
      </c>
      <c r="J516" t="inlineStr">
        <is>
          <t>03/24/2016 01:27 PM</t>
        </is>
      </c>
      <c r="K516" s="28" t="n"/>
      <c r="L516" s="29" t="n"/>
      <c r="M516" s="28" t="n"/>
      <c r="N516" s="28" t="n"/>
      <c r="O516" s="28" t="n"/>
      <c r="P516" s="28" t="n"/>
      <c r="Q516" s="28" t="n"/>
      <c r="R516" s="30" t="n"/>
      <c r="S516" s="28" t="n"/>
    </row>
    <row r="517">
      <c r="A517" t="inlineStr">
        <is>
          <t>R1516</t>
        </is>
      </c>
      <c r="B517" t="inlineStr">
        <is>
          <t>Pierce, Carl</t>
        </is>
      </c>
      <c r="C517" t="inlineStr">
        <is>
          <t>2014-03-01</t>
        </is>
      </c>
      <c r="D517" t="inlineStr">
        <is>
          <t>M</t>
        </is>
      </c>
      <c r="G517" t="inlineStr">
        <is>
          <t>Cedar Ridge, OH 45720</t>
        </is>
      </c>
      <c r="H517" t="inlineStr">
        <is>
          <t>Medicaid</t>
        </is>
      </c>
      <c r="I517" t="inlineStr">
        <is>
          <t>03727286</t>
        </is>
      </c>
      <c r="J517" t="inlineStr">
        <is>
          <t>2016-07-06 13:58:00</t>
        </is>
      </c>
      <c r="K517" s="28" t="n"/>
      <c r="L517" s="29" t="n"/>
      <c r="M517" s="28" t="n"/>
      <c r="N517" s="28" t="n"/>
      <c r="O517" s="28" t="n"/>
      <c r="P517" s="28" t="n"/>
      <c r="Q517" s="28" t="n"/>
      <c r="R517" s="30" t="n"/>
      <c r="S517" s="28" t="n"/>
    </row>
    <row r="518">
      <c r="A518" t="inlineStr">
        <is>
          <t>R1517</t>
        </is>
      </c>
      <c r="B518" t="inlineStr">
        <is>
          <t>Kim, Ethan</t>
        </is>
      </c>
      <c r="C518" t="inlineStr">
        <is>
          <t>1931-05-23</t>
        </is>
      </c>
      <c r="D518" t="inlineStr">
        <is>
          <t xml:space="preserve">M </t>
        </is>
      </c>
      <c r="E518" t="inlineStr">
        <is>
          <t>5559648131</t>
        </is>
      </c>
      <c r="F518" t="inlineStr">
        <is>
          <t>ethan.kim24@example.com</t>
        </is>
      </c>
      <c r="G518" t="inlineStr">
        <is>
          <t>Ashby Falls, OH 45610</t>
        </is>
      </c>
      <c r="H518" t="inlineStr">
        <is>
          <t xml:space="preserve">Medicare </t>
        </is>
      </c>
      <c r="I518" t="inlineStr">
        <is>
          <t>02110671</t>
        </is>
      </c>
      <c r="J518" t="inlineStr">
        <is>
          <t>2022-10-29 16:19:00</t>
        </is>
      </c>
      <c r="K518" s="28" t="n"/>
      <c r="L518" s="29" t="n"/>
      <c r="M518" s="28" t="n"/>
      <c r="N518" s="28" t="n"/>
      <c r="O518" s="28" t="n"/>
      <c r="P518" s="28" t="n"/>
      <c r="Q518" s="28" t="n"/>
      <c r="R518" s="30" t="n"/>
      <c r="S518" s="28" t="n"/>
    </row>
    <row r="519">
      <c r="A519" t="inlineStr">
        <is>
          <t>R1518</t>
        </is>
      </c>
      <c r="B519" t="inlineStr">
        <is>
          <t>Edward Castillo</t>
        </is>
      </c>
      <c r="C519" t="inlineStr">
        <is>
          <t>02/18/1961</t>
        </is>
      </c>
      <c r="D519" t="inlineStr">
        <is>
          <t>m</t>
        </is>
      </c>
      <c r="E519" t="inlineStr">
        <is>
          <t>555-861-5722</t>
        </is>
      </c>
      <c r="G519" t="inlineStr">
        <is>
          <t>Cedar Ridge, OH 45720-7432</t>
        </is>
      </c>
      <c r="H519" t="inlineStr">
        <is>
          <t>Summit Choice PPO</t>
        </is>
      </c>
      <c r="I519" t="inlineStr">
        <is>
          <t>MRN-01785519</t>
        </is>
      </c>
      <c r="J519" t="inlineStr">
        <is>
          <t>2021-10-13 15:50:00</t>
        </is>
      </c>
      <c r="K519" s="28" t="n"/>
      <c r="L519" s="29" t="n"/>
      <c r="M519" s="28" t="n"/>
      <c r="N519" s="28" t="n"/>
      <c r="O519" s="28" t="n"/>
      <c r="P519" s="28" t="n"/>
      <c r="Q519" s="28" t="n"/>
      <c r="R519" s="30" t="n"/>
      <c r="S519" s="28" t="n"/>
    </row>
    <row r="520">
      <c r="A520" t="inlineStr">
        <is>
          <t>R1519</t>
        </is>
      </c>
      <c r="B520" t="inlineStr">
        <is>
          <t>Marshall, Lauren</t>
        </is>
      </c>
      <c r="C520" t="inlineStr">
        <is>
          <t>2019-01-16</t>
        </is>
      </c>
      <c r="D520" t="inlineStr">
        <is>
          <t>F</t>
        </is>
      </c>
      <c r="E520" t="inlineStr">
        <is>
          <t>5557271108</t>
        </is>
      </c>
      <c r="F520" t="inlineStr">
        <is>
          <t>N/A</t>
        </is>
      </c>
      <c r="G520" t="inlineStr">
        <is>
          <t>Cedar Ridge, OH 45720</t>
        </is>
      </c>
      <c r="H520" t="inlineStr">
        <is>
          <t>SUMMIT CHOICE PPO</t>
        </is>
      </c>
      <c r="I520" t="inlineStr">
        <is>
          <t>09569065</t>
        </is>
      </c>
      <c r="J520" t="inlineStr">
        <is>
          <t>05/03/2019 02:43 PM</t>
        </is>
      </c>
      <c r="K520" s="28" t="n"/>
      <c r="L520" s="29" t="n"/>
      <c r="M520" s="28" t="n"/>
      <c r="N520" s="28" t="n"/>
      <c r="O520" s="28" t="n"/>
      <c r="P520" s="28" t="n"/>
      <c r="Q520" s="28" t="n"/>
      <c r="R520" s="30" t="n"/>
      <c r="S520" s="28" t="n"/>
    </row>
    <row r="521">
      <c r="A521" t="inlineStr">
        <is>
          <t>R1520</t>
        </is>
      </c>
      <c r="B521" t="inlineStr">
        <is>
          <t>Carter, Edward</t>
        </is>
      </c>
      <c r="C521" t="inlineStr">
        <is>
          <t>04/30/1983</t>
        </is>
      </c>
      <c r="D521" t="inlineStr">
        <is>
          <t>M</t>
        </is>
      </c>
      <c r="E521" t="inlineStr">
        <is>
          <t>5559545440</t>
        </is>
      </c>
      <c r="F521" t="inlineStr">
        <is>
          <t>edward.carter56@example.com</t>
        </is>
      </c>
      <c r="G521" t="inlineStr">
        <is>
          <t>Bluestone, OH 45503</t>
        </is>
      </c>
      <c r="H521" t="inlineStr">
        <is>
          <t>Keystone</t>
        </is>
      </c>
      <c r="I521" t="inlineStr">
        <is>
          <t>07928206</t>
        </is>
      </c>
      <c r="J521" t="inlineStr">
        <is>
          <t>11/11/2024 05:17 PM</t>
        </is>
      </c>
      <c r="K521" s="28" t="n"/>
      <c r="L521" s="29" t="n"/>
      <c r="M521" s="28" t="n"/>
      <c r="N521" s="28" t="n"/>
      <c r="O521" s="28" t="n"/>
      <c r="P521" s="28" t="n"/>
      <c r="Q521" s="28" t="n"/>
      <c r="R521" s="30" t="n"/>
      <c r="S521" s="28" t="n"/>
    </row>
    <row r="522">
      <c r="A522" t="inlineStr">
        <is>
          <t>R1521</t>
        </is>
      </c>
      <c r="B522" t="inlineStr">
        <is>
          <t>anderson, elizabeth</t>
        </is>
      </c>
      <c r="C522" t="inlineStr">
        <is>
          <t>1959-02-02</t>
        </is>
      </c>
      <c r="D522" t="inlineStr">
        <is>
          <t>FEMALE</t>
        </is>
      </c>
      <c r="E522" t="inlineStr">
        <is>
          <t>+1 555 317 9683</t>
        </is>
      </c>
      <c r="F522" t="inlineStr">
        <is>
          <t>elizabeth.anderson82@example.com</t>
        </is>
      </c>
      <c r="G522" t="inlineStr">
        <is>
          <t>GRANITE SPRINGS, OH 45750</t>
        </is>
      </c>
      <c r="H522" t="inlineStr">
        <is>
          <t>medicare</t>
        </is>
      </c>
      <c r="I522" t="inlineStr">
        <is>
          <t>09184498</t>
        </is>
      </c>
      <c r="J522" t="inlineStr">
        <is>
          <t>2022-05-05 07:13:00</t>
        </is>
      </c>
      <c r="K522" s="28" t="n"/>
      <c r="L522" s="29" t="n"/>
      <c r="M522" s="28" t="n"/>
      <c r="N522" s="28" t="n"/>
      <c r="O522" s="28" t="n"/>
      <c r="P522" s="28" t="n"/>
      <c r="Q522" s="28" t="n"/>
      <c r="R522" s="30" t="n"/>
      <c r="S522" s="28" t="n"/>
    </row>
    <row r="523">
      <c r="A523" t="inlineStr">
        <is>
          <t>R1522</t>
        </is>
      </c>
      <c r="B523" t="inlineStr">
        <is>
          <t>JACKSON, LAWRENCE</t>
        </is>
      </c>
      <c r="C523" t="inlineStr">
        <is>
          <t>5/28/1966</t>
        </is>
      </c>
      <c r="D523" t="inlineStr">
        <is>
          <t>m</t>
        </is>
      </c>
      <c r="E523" t="inlineStr">
        <is>
          <t>555.335.3421</t>
        </is>
      </c>
      <c r="F523" t="inlineStr">
        <is>
          <t>lawrence.jackson38@example.com</t>
        </is>
      </c>
      <c r="G523" t="inlineStr">
        <is>
          <t>Bluestone, OH 45502</t>
        </is>
      </c>
      <c r="H523" t="inlineStr">
        <is>
          <t>Keystone Health Ptnrs</t>
        </is>
      </c>
      <c r="I523" t="inlineStr">
        <is>
          <t>09775391</t>
        </is>
      </c>
      <c r="J523" t="inlineStr">
        <is>
          <t>10/07/2013 02:25 PM</t>
        </is>
      </c>
      <c r="K523" s="28" t="n"/>
      <c r="L523" s="29" t="n"/>
      <c r="M523" s="28" t="n"/>
      <c r="N523" s="28" t="n"/>
      <c r="O523" s="28" t="n"/>
      <c r="P523" s="28" t="n"/>
      <c r="Q523" s="28" t="n"/>
      <c r="R523" s="30" t="n"/>
      <c r="S523" s="28" t="n"/>
    </row>
    <row r="524">
      <c r="A524" t="inlineStr">
        <is>
          <t>R1523</t>
        </is>
      </c>
      <c r="B524" t="inlineStr">
        <is>
          <t xml:space="preserve">  Baker ,  Ava </t>
        </is>
      </c>
      <c r="C524" t="inlineStr">
        <is>
          <t>06/12/2025</t>
        </is>
      </c>
      <c r="D524" t="inlineStr">
        <is>
          <t>Female</t>
        </is>
      </c>
      <c r="G524" t="inlineStr">
        <is>
          <t>Pine Hollow, OH 45640</t>
        </is>
      </c>
      <c r="H524" t="inlineStr">
        <is>
          <t>self-pay</t>
        </is>
      </c>
      <c r="I524" t="inlineStr">
        <is>
          <t>09501885</t>
        </is>
      </c>
      <c r="J524" t="inlineStr">
        <is>
          <t>03/15/2024 03:24 PM</t>
        </is>
      </c>
      <c r="K524" s="28" t="n"/>
      <c r="L524" s="29" t="n"/>
      <c r="M524" s="28" t="n"/>
      <c r="N524" s="28" t="n"/>
      <c r="O524" s="28" t="n"/>
      <c r="P524" s="28" t="n"/>
      <c r="Q524" s="28" t="n"/>
      <c r="R524" s="30" t="n"/>
      <c r="S524" s="28" t="n"/>
    </row>
    <row r="525">
      <c r="A525" t="inlineStr">
        <is>
          <t>R1524</t>
        </is>
      </c>
      <c r="B525" t="inlineStr">
        <is>
          <t>herrera, john</t>
        </is>
      </c>
      <c r="C525" t="inlineStr">
        <is>
          <t>13-Mar-1953</t>
        </is>
      </c>
      <c r="D525" t="inlineStr">
        <is>
          <t>M</t>
        </is>
      </c>
      <c r="E525" t="inlineStr">
        <is>
          <t>(555) 767-3423</t>
        </is>
      </c>
      <c r="F525" t="inlineStr">
        <is>
          <t>N/A</t>
        </is>
      </c>
      <c r="G525" t="inlineStr">
        <is>
          <t>Bluestone, OH 45501</t>
        </is>
      </c>
      <c r="H525" t="inlineStr">
        <is>
          <t>SILVERLINE MEDICARE ADV.</t>
        </is>
      </c>
      <c r="I525" t="inlineStr">
        <is>
          <t>MRN-04542733</t>
        </is>
      </c>
      <c r="J525" t="inlineStr">
        <is>
          <t>2015-02-22 10:51:00</t>
        </is>
      </c>
      <c r="K525" s="28" t="n"/>
      <c r="L525" s="29" t="n"/>
      <c r="M525" s="28" t="n"/>
      <c r="N525" s="28" t="n"/>
      <c r="O525" s="28" t="n"/>
      <c r="P525" s="28" t="n"/>
      <c r="Q525" s="28" t="n"/>
      <c r="R525" s="30" t="n"/>
      <c r="S525" s="28" t="n"/>
    </row>
    <row r="526">
      <c r="A526" t="inlineStr">
        <is>
          <t>R1525</t>
        </is>
      </c>
      <c r="B526" t="inlineStr">
        <is>
          <t xml:space="preserve">  Okafor ,  Zachary </t>
        </is>
      </c>
      <c r="C526" t="inlineStr">
        <is>
          <t>03/19/1934</t>
        </is>
      </c>
      <c r="D526" t="inlineStr">
        <is>
          <t>MALE</t>
        </is>
      </c>
      <c r="E526" t="inlineStr">
        <is>
          <t>555-319-8373</t>
        </is>
      </c>
      <c r="F526" t="inlineStr">
        <is>
          <t xml:space="preserve"> zachary.okafor66@example.com </t>
        </is>
      </c>
      <c r="G526" t="inlineStr">
        <is>
          <t>MILLBROOK, OH 45530</t>
        </is>
      </c>
      <c r="H526" t="inlineStr">
        <is>
          <t xml:space="preserve">Medicare </t>
        </is>
      </c>
      <c r="I526" t="inlineStr">
        <is>
          <t>3345353</t>
        </is>
      </c>
      <c r="J526" t="inlineStr">
        <is>
          <t>2009-12-26 18:00:00</t>
        </is>
      </c>
      <c r="K526" s="28" t="n"/>
      <c r="L526" s="29" t="n"/>
      <c r="M526" s="28" t="n"/>
      <c r="N526" s="28" t="n"/>
      <c r="O526" s="28" t="n"/>
      <c r="P526" s="28" t="n"/>
      <c r="Q526" s="28" t="n"/>
      <c r="R526" s="30" t="n"/>
      <c r="S526" s="28" t="n"/>
    </row>
    <row r="527">
      <c r="A527" t="inlineStr">
        <is>
          <t>R1526</t>
        </is>
      </c>
      <c r="B527" t="inlineStr">
        <is>
          <t>GIBSON, EMMA</t>
        </is>
      </c>
      <c r="C527" t="inlineStr">
        <is>
          <t>2007-03-25</t>
        </is>
      </c>
      <c r="D527" t="inlineStr">
        <is>
          <t>F</t>
        </is>
      </c>
      <c r="E527" t="inlineStr">
        <is>
          <t>555.631.6213</t>
        </is>
      </c>
      <c r="F527" t="inlineStr">
        <is>
          <t>EMMA.GIBSON34@EXAMPLE.COM</t>
        </is>
      </c>
      <c r="G527" t="inlineStr">
        <is>
          <t>BLUESTONE, OH 45503</t>
        </is>
      </c>
      <c r="H527" t="inlineStr">
        <is>
          <t>KEYSTONE HEALTH PARTNERS</t>
        </is>
      </c>
      <c r="I527" t="inlineStr">
        <is>
          <t>MRN-09388872</t>
        </is>
      </c>
      <c r="J527" t="inlineStr">
        <is>
          <t>10/31/2019 08:58 AM</t>
        </is>
      </c>
      <c r="K527" s="28" t="n"/>
      <c r="L527" s="29" t="n"/>
      <c r="M527" s="28" t="n"/>
      <c r="N527" s="28" t="n"/>
      <c r="O527" s="28" t="n"/>
      <c r="P527" s="28" t="n"/>
      <c r="Q527" s="28" t="n"/>
      <c r="R527" s="30" t="n"/>
      <c r="S527" s="28" t="n"/>
    </row>
    <row r="528">
      <c r="A528" t="inlineStr">
        <is>
          <t>R1527</t>
        </is>
      </c>
      <c r="B528" t="inlineStr">
        <is>
          <t xml:space="preserve">  Bryant ,  Kimberly </t>
        </is>
      </c>
      <c r="C528" t="inlineStr">
        <is>
          <t>29-Jul-1946</t>
        </is>
      </c>
      <c r="D528" t="inlineStr">
        <is>
          <t xml:space="preserve"> F</t>
        </is>
      </c>
      <c r="E528" t="inlineStr">
        <is>
          <t>555-326-7636</t>
        </is>
      </c>
      <c r="F528" t="inlineStr">
        <is>
          <t>kimberly.bryant9@example.com</t>
        </is>
      </c>
      <c r="G528" t="inlineStr">
        <is>
          <t>Bluestone, OH 45501-5252</t>
        </is>
      </c>
      <c r="H528" t="inlineStr">
        <is>
          <t xml:space="preserve">Medicare </t>
        </is>
      </c>
      <c r="I528" t="inlineStr">
        <is>
          <t>05257926</t>
        </is>
      </c>
      <c r="J528" t="inlineStr">
        <is>
          <t>2014-05-02 13:27:00</t>
        </is>
      </c>
      <c r="K528" s="28" t="n"/>
      <c r="L528" s="29" t="n"/>
      <c r="M528" s="28" t="n"/>
      <c r="N528" s="28" t="n"/>
      <c r="O528" s="28" t="n"/>
      <c r="P528" s="28" t="n"/>
      <c r="Q528" s="28" t="n"/>
      <c r="R528" s="30" t="n"/>
      <c r="S528" s="28" t="n"/>
    </row>
    <row r="529">
      <c r="A529" t="inlineStr">
        <is>
          <t>R1528</t>
        </is>
      </c>
      <c r="B529" t="inlineStr">
        <is>
          <t>Baker, Robert</t>
        </is>
      </c>
      <c r="C529" t="inlineStr">
        <is>
          <t>10/04/1963</t>
        </is>
      </c>
      <c r="D529" t="inlineStr">
        <is>
          <t>Male</t>
        </is>
      </c>
      <c r="F529" t="inlineStr">
        <is>
          <t>robert.baker61@example.com</t>
        </is>
      </c>
      <c r="G529" t="inlineStr">
        <is>
          <t>Millbrook, OH 45530</t>
        </is>
      </c>
      <c r="H529" t="inlineStr">
        <is>
          <t>Summit Choice</t>
        </is>
      </c>
      <c r="I529" t="inlineStr">
        <is>
          <t>07406679</t>
        </is>
      </c>
      <c r="J529" t="inlineStr">
        <is>
          <t>09/20/2021 03:25 PM</t>
        </is>
      </c>
      <c r="K529" s="28" t="n"/>
      <c r="L529" s="29" t="n"/>
      <c r="M529" s="28" t="n"/>
      <c r="N529" s="28" t="n"/>
      <c r="O529" s="28" t="n"/>
      <c r="P529" s="28" t="n"/>
      <c r="Q529" s="28" t="n"/>
      <c r="R529" s="30" t="n"/>
      <c r="S529" s="28" t="n"/>
    </row>
    <row r="530">
      <c r="A530" t="inlineStr">
        <is>
          <t>R1529</t>
        </is>
      </c>
      <c r="B530" t="inlineStr">
        <is>
          <t>Lawrence, Amy</t>
        </is>
      </c>
      <c r="C530" t="inlineStr">
        <is>
          <t>07/07/1978</t>
        </is>
      </c>
      <c r="D530" t="inlineStr">
        <is>
          <t>Female</t>
        </is>
      </c>
      <c r="E530" t="inlineStr">
        <is>
          <t>(555) 728-8501</t>
        </is>
      </c>
      <c r="F530" t="inlineStr">
        <is>
          <t>amy.lawrence51@example.com</t>
        </is>
      </c>
      <c r="G530" t="inlineStr">
        <is>
          <t>Bluestone, OH 45501</t>
        </is>
      </c>
      <c r="H530" t="inlineStr">
        <is>
          <t>Keystone</t>
        </is>
      </c>
      <c r="I530" t="inlineStr">
        <is>
          <t>05067472</t>
        </is>
      </c>
      <c r="J530" t="inlineStr">
        <is>
          <t>04/29/2024 06:30 PM</t>
        </is>
      </c>
      <c r="K530" s="28" t="n"/>
      <c r="L530" s="29" t="n"/>
      <c r="M530" s="28" t="n"/>
      <c r="N530" s="28" t="n"/>
      <c r="O530" s="28" t="n"/>
      <c r="P530" s="28" t="n"/>
      <c r="Q530" s="28" t="n"/>
      <c r="R530" s="30" t="n"/>
      <c r="S530" s="28" t="n"/>
    </row>
    <row r="531">
      <c r="A531" t="inlineStr">
        <is>
          <t>R1530</t>
        </is>
      </c>
      <c r="B531" t="inlineStr">
        <is>
          <t>Sullivan, Andrew</t>
        </is>
      </c>
      <c r="C531" t="inlineStr">
        <is>
          <t>01-Apr-2008</t>
        </is>
      </c>
      <c r="D531" t="inlineStr">
        <is>
          <t>MALE</t>
        </is>
      </c>
      <c r="E531" t="inlineStr">
        <is>
          <t>555.705.7999</t>
        </is>
      </c>
      <c r="F531" t="inlineStr">
        <is>
          <t>andrew.sullivan2@example.com</t>
        </is>
      </c>
      <c r="G531" t="inlineStr">
        <is>
          <t>Bluestone, OH 45503</t>
        </is>
      </c>
      <c r="H531" t="inlineStr">
        <is>
          <t>medicaid</t>
        </is>
      </c>
      <c r="I531" t="inlineStr">
        <is>
          <t>08068022</t>
        </is>
      </c>
      <c r="J531" t="inlineStr">
        <is>
          <t>2011-07-27 12:33:00</t>
        </is>
      </c>
      <c r="K531" s="28" t="n"/>
      <c r="L531" s="29" t="n"/>
      <c r="M531" s="28" t="n"/>
      <c r="N531" s="28" t="n"/>
      <c r="O531" s="28" t="n"/>
      <c r="P531" s="28" t="n"/>
      <c r="Q531" s="28" t="n"/>
      <c r="R531" s="30" t="n"/>
      <c r="S531" s="28" t="n"/>
    </row>
    <row r="532">
      <c r="A532" t="inlineStr">
        <is>
          <t>R1531</t>
        </is>
      </c>
      <c r="B532" t="inlineStr">
        <is>
          <t>Ross, Daniel</t>
        </is>
      </c>
      <c r="C532" t="inlineStr">
        <is>
          <t>19-Mar-1974</t>
        </is>
      </c>
      <c r="D532" t="inlineStr">
        <is>
          <t>M</t>
        </is>
      </c>
      <c r="E532" t="inlineStr">
        <is>
          <t>(555) 956-9879</t>
        </is>
      </c>
      <c r="F532" t="inlineStr">
        <is>
          <t>daniel.ross91@example.com</t>
        </is>
      </c>
      <c r="G532" t="inlineStr">
        <is>
          <t>Millbrook, OH 45530</t>
        </is>
      </c>
      <c r="H532" t="inlineStr">
        <is>
          <t>Evergreen Mutual Insurance</t>
        </is>
      </c>
      <c r="I532" t="inlineStr">
        <is>
          <t>01912897</t>
        </is>
      </c>
      <c r="J532" t="inlineStr">
        <is>
          <t>2020-09-07 12:46:00</t>
        </is>
      </c>
      <c r="K532" s="28" t="n"/>
      <c r="L532" s="29" t="n"/>
      <c r="M532" s="28" t="n"/>
      <c r="N532" s="28" t="n"/>
      <c r="O532" s="28" t="n"/>
      <c r="P532" s="28" t="n"/>
      <c r="Q532" s="28" t="n"/>
      <c r="R532" s="30" t="n"/>
      <c r="S532" s="28" t="n"/>
    </row>
    <row r="533">
      <c r="A533" t="inlineStr">
        <is>
          <t>R1532</t>
        </is>
      </c>
      <c r="B533" t="inlineStr">
        <is>
          <t>Weaver, Judy</t>
        </is>
      </c>
      <c r="C533" t="inlineStr">
        <is>
          <t>07/11/1975</t>
        </is>
      </c>
      <c r="D533" t="inlineStr">
        <is>
          <t>Female</t>
        </is>
      </c>
      <c r="E533" t="inlineStr">
        <is>
          <t>(555) 901-1754</t>
        </is>
      </c>
      <c r="F533" t="inlineStr">
        <is>
          <t xml:space="preserve"> judy.weaver58@example.com </t>
        </is>
      </c>
      <c r="G533" t="inlineStr">
        <is>
          <t>Bluestone, OH 45501</t>
        </is>
      </c>
      <c r="H533" t="inlineStr">
        <is>
          <t>Summit PPO</t>
        </is>
      </c>
      <c r="I533" t="inlineStr">
        <is>
          <t>MRN-06683788</t>
        </is>
      </c>
      <c r="J533" t="inlineStr">
        <is>
          <t>2015-02-22 17:15:00</t>
        </is>
      </c>
      <c r="K533" s="28" t="n"/>
      <c r="L533" s="29" t="n"/>
      <c r="M533" s="28" t="n"/>
      <c r="N533" s="28" t="n"/>
      <c r="O533" s="28" t="n"/>
      <c r="P533" s="28" t="n"/>
      <c r="Q533" s="28" t="n"/>
      <c r="R533" s="30" t="n"/>
      <c r="S533" s="28" t="n"/>
    </row>
    <row r="534">
      <c r="A534" t="inlineStr">
        <is>
          <t>R1533</t>
        </is>
      </c>
      <c r="B534" t="inlineStr">
        <is>
          <t xml:space="preserve">  Stephens ,  Lucia </t>
        </is>
      </c>
      <c r="C534" t="inlineStr">
        <is>
          <t>1954-06-15</t>
        </is>
      </c>
      <c r="D534" t="inlineStr">
        <is>
          <t>Female</t>
        </is>
      </c>
      <c r="E534" t="inlineStr">
        <is>
          <t>(555) 302-6390</t>
        </is>
      </c>
      <c r="F534" t="inlineStr">
        <is>
          <t>lucia.stephens60@example.com</t>
        </is>
      </c>
      <c r="G534" t="inlineStr">
        <is>
          <t>Lakeview Heights OH 45510</t>
        </is>
      </c>
      <c r="H534" t="inlineStr">
        <is>
          <t>MEDICARE</t>
        </is>
      </c>
      <c r="I534" t="inlineStr">
        <is>
          <t>02496104</t>
        </is>
      </c>
      <c r="J534" t="inlineStr">
        <is>
          <t>09/24/2014 11:57 AM</t>
        </is>
      </c>
      <c r="K534" s="28" t="n"/>
      <c r="L534" s="29" t="n"/>
      <c r="M534" s="28" t="n"/>
      <c r="N534" s="28" t="n"/>
      <c r="O534" s="28" t="n"/>
      <c r="P534" s="28" t="n"/>
      <c r="Q534" s="28" t="n"/>
      <c r="R534" s="30" t="n"/>
      <c r="S534" s="28" t="n"/>
    </row>
    <row r="535">
      <c r="A535" t="inlineStr">
        <is>
          <t>R1534</t>
        </is>
      </c>
      <c r="B535" t="inlineStr">
        <is>
          <t>Rivera, Jesse</t>
        </is>
      </c>
      <c r="C535" t="inlineStr">
        <is>
          <t>06/16/1982</t>
        </is>
      </c>
      <c r="D535" t="inlineStr">
        <is>
          <t>Male</t>
        </is>
      </c>
      <c r="E535" t="inlineStr">
        <is>
          <t>(555) 465-8929</t>
        </is>
      </c>
      <c r="F535" t="inlineStr">
        <is>
          <t xml:space="preserve"> jesse.rivera95@example.com </t>
        </is>
      </c>
      <c r="G535" t="inlineStr">
        <is>
          <t>Millbrook, OH 45530-3493</t>
        </is>
      </c>
      <c r="H535" t="inlineStr">
        <is>
          <t>KEYSTONE HEALTH PARTNERS</t>
        </is>
      </c>
      <c r="I535" t="inlineStr">
        <is>
          <t>9460642</t>
        </is>
      </c>
      <c r="J535" t="inlineStr">
        <is>
          <t>10/11/2009 12:57 PM</t>
        </is>
      </c>
      <c r="K535" s="28" t="n"/>
      <c r="L535" s="29" t="n"/>
      <c r="M535" s="28" t="n"/>
      <c r="N535" s="28" t="n"/>
      <c r="O535" s="28" t="n"/>
      <c r="P535" s="28" t="n"/>
      <c r="Q535" s="28" t="n"/>
      <c r="R535" s="30" t="n"/>
      <c r="S535" s="28" t="n"/>
    </row>
    <row r="536">
      <c r="A536" t="inlineStr">
        <is>
          <t>R1535</t>
        </is>
      </c>
      <c r="B536" t="inlineStr">
        <is>
          <t>Berry, Terry</t>
        </is>
      </c>
      <c r="C536" t="inlineStr">
        <is>
          <t>1961-06-25</t>
        </is>
      </c>
      <c r="D536" t="inlineStr">
        <is>
          <t xml:space="preserve">M </t>
        </is>
      </c>
      <c r="E536" t="inlineStr">
        <is>
          <t>555.466.0664</t>
        </is>
      </c>
      <c r="F536" t="inlineStr">
        <is>
          <t>terry.berry55@example.com</t>
        </is>
      </c>
      <c r="G536" t="inlineStr">
        <is>
          <t>GRANITE SPRINGS, OH 45750</t>
        </is>
      </c>
      <c r="H536" t="inlineStr">
        <is>
          <t>evergreen mutual insurance</t>
        </is>
      </c>
      <c r="I536" t="inlineStr">
        <is>
          <t>04050955</t>
        </is>
      </c>
      <c r="J536" t="inlineStr">
        <is>
          <t>2024-02-03 18:05:00</t>
        </is>
      </c>
      <c r="K536" s="28" t="n"/>
      <c r="L536" s="29" t="n"/>
      <c r="M536" s="28" t="n"/>
      <c r="N536" s="28" t="n"/>
      <c r="O536" s="28" t="n"/>
      <c r="P536" s="28" t="n"/>
      <c r="Q536" s="28" t="n"/>
      <c r="R536" s="30" t="n"/>
      <c r="S536" s="28" t="n"/>
    </row>
    <row r="537">
      <c r="A537" t="inlineStr">
        <is>
          <t>R1536</t>
        </is>
      </c>
      <c r="B537" t="inlineStr">
        <is>
          <t xml:space="preserve">  Vargas ,  Brian </t>
        </is>
      </c>
      <c r="C537" t="inlineStr">
        <is>
          <t>07-Jan-1936</t>
        </is>
      </c>
      <c r="D537" t="inlineStr">
        <is>
          <t>M</t>
        </is>
      </c>
      <c r="E537" t="inlineStr">
        <is>
          <t>(555) 290-4227</t>
        </is>
      </c>
      <c r="F537" t="inlineStr">
        <is>
          <t>N/A</t>
        </is>
      </c>
      <c r="G537" t="inlineStr">
        <is>
          <t>Bluestone, OH 45501</t>
        </is>
      </c>
      <c r="H537" t="inlineStr">
        <is>
          <t>SILVERLINE MEDICARE ADV.</t>
        </is>
      </c>
      <c r="I537" t="inlineStr">
        <is>
          <t>MRN-03068729</t>
        </is>
      </c>
      <c r="J537" t="inlineStr">
        <is>
          <t>2020-04-09 14:53:00</t>
        </is>
      </c>
      <c r="K537" s="28" t="n"/>
      <c r="L537" s="29" t="n"/>
      <c r="M537" s="28" t="n"/>
      <c r="N537" s="28" t="n"/>
      <c r="O537" s="28" t="n"/>
      <c r="P537" s="28" t="n"/>
      <c r="Q537" s="28" t="n"/>
      <c r="R537" s="30" t="n"/>
      <c r="S537" s="28" t="n"/>
    </row>
    <row r="538">
      <c r="A538" t="inlineStr">
        <is>
          <t>R1537</t>
        </is>
      </c>
      <c r="B538" t="inlineStr">
        <is>
          <t>King, Bobby</t>
        </is>
      </c>
      <c r="C538" t="inlineStr">
        <is>
          <t>8/6/1971</t>
        </is>
      </c>
      <c r="D538" t="inlineStr">
        <is>
          <t>m</t>
        </is>
      </c>
      <c r="E538" t="inlineStr">
        <is>
          <t>(555) 942-6316</t>
        </is>
      </c>
      <c r="G538" t="inlineStr">
        <is>
          <t>Lakeview Heights, OH 45510</t>
        </is>
      </c>
      <c r="H538" t="inlineStr">
        <is>
          <t>SUMMIT CHOICE PPO</t>
        </is>
      </c>
      <c r="I538" t="inlineStr">
        <is>
          <t>04216541</t>
        </is>
      </c>
      <c r="J538" t="inlineStr">
        <is>
          <t>2015-09-30 11:58:00</t>
        </is>
      </c>
      <c r="K538" s="28" t="n"/>
      <c r="L538" s="29" t="n"/>
      <c r="M538" s="28" t="n"/>
      <c r="N538" s="28" t="n"/>
      <c r="O538" s="28" t="n"/>
      <c r="P538" s="28" t="n"/>
      <c r="Q538" s="28" t="n"/>
      <c r="R538" s="30" t="n"/>
      <c r="S538" s="28" t="n"/>
    </row>
    <row r="539">
      <c r="A539" t="inlineStr">
        <is>
          <t>R1538</t>
        </is>
      </c>
      <c r="B539" t="inlineStr">
        <is>
          <t>MUNOZ, LISA</t>
        </is>
      </c>
      <c r="C539" t="inlineStr">
        <is>
          <t>1951-09-07</t>
        </is>
      </c>
      <c r="D539" t="inlineStr">
        <is>
          <t xml:space="preserve"> F</t>
        </is>
      </c>
      <c r="E539" t="inlineStr">
        <is>
          <t>(555) 458-7232</t>
        </is>
      </c>
      <c r="F539" t="inlineStr">
        <is>
          <t xml:space="preserve"> lisa.munoz91@example.com </t>
        </is>
      </c>
      <c r="G539" t="inlineStr">
        <is>
          <t>Oak Glen, OH 45730</t>
        </is>
      </c>
      <c r="H539" t="inlineStr">
        <is>
          <t>Silverline MA</t>
        </is>
      </c>
      <c r="I539" t="inlineStr">
        <is>
          <t>MRN-02461983</t>
        </is>
      </c>
      <c r="J539" t="inlineStr">
        <is>
          <t>2020-03-31 13:46:00</t>
        </is>
      </c>
      <c r="K539" s="28" t="n"/>
      <c r="L539" s="29" t="n"/>
      <c r="M539" s="28" t="n"/>
      <c r="N539" s="28" t="n"/>
      <c r="O539" s="28" t="n"/>
      <c r="P539" s="28" t="n"/>
      <c r="Q539" s="28" t="n"/>
      <c r="R539" s="30" t="n"/>
      <c r="S539" s="28" t="n"/>
    </row>
    <row r="540">
      <c r="A540" t="inlineStr">
        <is>
          <t>R1539</t>
        </is>
      </c>
      <c r="B540" t="inlineStr">
        <is>
          <t>Wells, Ronald</t>
        </is>
      </c>
      <c r="C540" t="inlineStr">
        <is>
          <t>11/17/1974</t>
        </is>
      </c>
      <c r="D540" t="inlineStr">
        <is>
          <t>M</t>
        </is>
      </c>
      <c r="E540" t="inlineStr">
        <is>
          <t>5556834526</t>
        </is>
      </c>
      <c r="F540" t="inlineStr">
        <is>
          <t>ronald.wells93@example.com</t>
        </is>
      </c>
      <c r="G540" t="inlineStr">
        <is>
          <t>CEDAR RIDGE, OH 45720</t>
        </is>
      </c>
      <c r="H540" t="inlineStr">
        <is>
          <t>EVERGREEN MUTUAL INS</t>
        </is>
      </c>
      <c r="I540" t="inlineStr">
        <is>
          <t>05256476</t>
        </is>
      </c>
      <c r="J540" t="inlineStr">
        <is>
          <t>12/02/2015 12:38 PM</t>
        </is>
      </c>
      <c r="K540" s="28" t="n"/>
      <c r="L540" s="29" t="n"/>
      <c r="M540" s="28" t="n"/>
      <c r="N540" s="28" t="n"/>
      <c r="O540" s="28" t="n"/>
      <c r="P540" s="28" t="n"/>
      <c r="Q540" s="28" t="n"/>
      <c r="R540" s="30" t="n"/>
      <c r="S540" s="28" t="n"/>
    </row>
    <row r="541">
      <c r="A541" t="inlineStr">
        <is>
          <t>R1540</t>
        </is>
      </c>
      <c r="B541" t="inlineStr">
        <is>
          <t xml:space="preserve">  Vazquez ,  Raymond </t>
        </is>
      </c>
      <c r="C541" t="inlineStr">
        <is>
          <t>20-Dec-1978</t>
        </is>
      </c>
      <c r="D541" t="inlineStr">
        <is>
          <t>Male</t>
        </is>
      </c>
      <c r="E541" t="inlineStr">
        <is>
          <t>5559022296</t>
        </is>
      </c>
      <c r="F541" t="inlineStr">
        <is>
          <t>raymond.vazquez97@example.com</t>
        </is>
      </c>
      <c r="G541" t="inlineStr">
        <is>
          <t>Granite Springs, OH 45750</t>
        </is>
      </c>
      <c r="H541" t="inlineStr">
        <is>
          <t>KEYSTONE HEALTH PARTNERS</t>
        </is>
      </c>
      <c r="I541" t="inlineStr">
        <is>
          <t>MRN-02166473</t>
        </is>
      </c>
      <c r="J541" t="inlineStr">
        <is>
          <t>12/10/2013 05:32 PM</t>
        </is>
      </c>
      <c r="K541" s="28" t="n"/>
      <c r="L541" s="29" t="n"/>
      <c r="M541" s="28" t="n"/>
      <c r="N541" s="28" t="n"/>
      <c r="O541" s="28" t="n"/>
      <c r="P541" s="28" t="n"/>
      <c r="Q541" s="28" t="n"/>
      <c r="R541" s="30" t="n"/>
      <c r="S541" s="28" t="n"/>
    </row>
    <row r="542">
      <c r="A542" t="inlineStr">
        <is>
          <t>R1541</t>
        </is>
      </c>
      <c r="B542" t="inlineStr">
        <is>
          <t>carroll, lori</t>
        </is>
      </c>
      <c r="C542" t="inlineStr">
        <is>
          <t>30-Mar-1970</t>
        </is>
      </c>
      <c r="D542" t="inlineStr">
        <is>
          <t>f</t>
        </is>
      </c>
      <c r="E542" t="inlineStr">
        <is>
          <t>5552285285</t>
        </is>
      </c>
      <c r="F542" t="inlineStr">
        <is>
          <t xml:space="preserve"> lori.carroll2@example.com </t>
        </is>
      </c>
      <c r="G542" t="inlineStr">
        <is>
          <t>Fairhaven OH 45620</t>
        </is>
      </c>
      <c r="H542" t="inlineStr">
        <is>
          <t>evergreen mutual insurance</t>
        </is>
      </c>
      <c r="I542" t="inlineStr">
        <is>
          <t>MRN-01877775</t>
        </is>
      </c>
      <c r="J542" t="inlineStr">
        <is>
          <t>2016-11-26 12:24:00</t>
        </is>
      </c>
      <c r="K542" s="28" t="n"/>
      <c r="L542" s="29" t="n"/>
      <c r="M542" s="28" t="n"/>
      <c r="N542" s="28" t="n"/>
      <c r="O542" s="28" t="n"/>
      <c r="P542" s="28" t="n"/>
      <c r="Q542" s="28" t="n"/>
      <c r="R542" s="30" t="n"/>
      <c r="S542" s="28" t="n"/>
    </row>
    <row r="543">
      <c r="A543" t="inlineStr">
        <is>
          <t>R1542</t>
        </is>
      </c>
      <c r="B543" t="inlineStr">
        <is>
          <t>Freeman, Matthew</t>
        </is>
      </c>
      <c r="C543" t="inlineStr">
        <is>
          <t>11.06.1975</t>
        </is>
      </c>
      <c r="D543" t="inlineStr">
        <is>
          <t>MALE</t>
        </is>
      </c>
      <c r="E543" t="inlineStr">
        <is>
          <t>555-733-5390</t>
        </is>
      </c>
      <c r="G543" t="inlineStr">
        <is>
          <t>Ashby Falls, OH 45610</t>
        </is>
      </c>
      <c r="H543" t="inlineStr">
        <is>
          <t>Self Pay</t>
        </is>
      </c>
      <c r="I543" t="inlineStr">
        <is>
          <t>1143993</t>
        </is>
      </c>
      <c r="J543" t="inlineStr">
        <is>
          <t>2013-02-15 10:17:00</t>
        </is>
      </c>
      <c r="K543" s="28" t="n"/>
      <c r="L543" s="29" t="n"/>
      <c r="M543" s="28" t="n"/>
      <c r="N543" s="28" t="n"/>
      <c r="O543" s="28" t="n"/>
      <c r="P543" s="28" t="n"/>
      <c r="Q543" s="28" t="n"/>
      <c r="R543" s="30" t="n"/>
      <c r="S543" s="28" t="n"/>
    </row>
    <row r="544">
      <c r="A544" t="inlineStr">
        <is>
          <t>R1543</t>
        </is>
      </c>
      <c r="B544" t="inlineStr">
        <is>
          <t>Nguyen, Jesse</t>
        </is>
      </c>
      <c r="C544" t="inlineStr">
        <is>
          <t>08/14/1951</t>
        </is>
      </c>
      <c r="D544" t="inlineStr">
        <is>
          <t>M</t>
        </is>
      </c>
      <c r="E544" t="inlineStr">
        <is>
          <t>(555) 451-6002</t>
        </is>
      </c>
      <c r="F544" t="inlineStr">
        <is>
          <t>jesse.nguyen55@example.com</t>
        </is>
      </c>
      <c r="G544" t="inlineStr">
        <is>
          <t>Bluestone, OH 45503-9396</t>
        </is>
      </c>
      <c r="H544" t="inlineStr">
        <is>
          <t xml:space="preserve">Medicare </t>
        </is>
      </c>
      <c r="I544" t="inlineStr">
        <is>
          <t>01019994</t>
        </is>
      </c>
      <c r="J544" t="inlineStr">
        <is>
          <t>2019-10-08 16:38:00</t>
        </is>
      </c>
      <c r="K544" s="28" t="n"/>
      <c r="L544" s="29" t="n"/>
      <c r="M544" s="28" t="n"/>
      <c r="N544" s="28" t="n"/>
      <c r="O544" s="28" t="n"/>
      <c r="P544" s="28" t="n"/>
      <c r="Q544" s="28" t="n"/>
      <c r="R544" s="30" t="n"/>
      <c r="S544" s="28" t="n"/>
    </row>
    <row r="545">
      <c r="A545" t="inlineStr">
        <is>
          <t>R1544</t>
        </is>
      </c>
      <c r="B545" t="inlineStr">
        <is>
          <t>Terry Jenkins</t>
        </is>
      </c>
      <c r="C545" t="inlineStr">
        <is>
          <t>01/08/1976</t>
        </is>
      </c>
      <c r="D545" t="inlineStr">
        <is>
          <t>m</t>
        </is>
      </c>
      <c r="E545" t="inlineStr">
        <is>
          <t>(555) 309-4260</t>
        </is>
      </c>
      <c r="G545" t="inlineStr">
        <is>
          <t>LAKEVIEW HEIGHTS, OH 45510</t>
        </is>
      </c>
      <c r="H545" t="inlineStr">
        <is>
          <t>KEYSTONE HEALTH PARTNERS</t>
        </is>
      </c>
      <c r="I545" t="inlineStr">
        <is>
          <t>04776420</t>
        </is>
      </c>
      <c r="J545" t="inlineStr">
        <is>
          <t>07/10/2010 09:26 AM</t>
        </is>
      </c>
      <c r="K545" s="28" t="n"/>
      <c r="L545" s="29" t="n"/>
      <c r="M545" s="28" t="n"/>
      <c r="N545" s="28" t="n"/>
      <c r="O545" s="28" t="n"/>
      <c r="P545" s="28" t="n"/>
      <c r="Q545" s="28" t="n"/>
      <c r="R545" s="30" t="n"/>
      <c r="S545" s="28" t="n"/>
    </row>
    <row r="546">
      <c r="A546" t="inlineStr">
        <is>
          <t>R1545</t>
        </is>
      </c>
      <c r="B546" t="inlineStr">
        <is>
          <t>Matthews, Betty</t>
        </is>
      </c>
      <c r="C546" t="inlineStr">
        <is>
          <t>02/09/1947</t>
        </is>
      </c>
      <c r="D546" t="inlineStr">
        <is>
          <t>FEMALE</t>
        </is>
      </c>
      <c r="E546" t="inlineStr">
        <is>
          <t>5553151691</t>
        </is>
      </c>
      <c r="F546" t="inlineStr">
        <is>
          <t>N/A</t>
        </is>
      </c>
      <c r="G546" t="inlineStr">
        <is>
          <t>Bluestone, OH 45503</t>
        </is>
      </c>
      <c r="H546" t="inlineStr">
        <is>
          <t>medicare</t>
        </is>
      </c>
      <c r="I546" t="inlineStr">
        <is>
          <t>MRN-09580128</t>
        </is>
      </c>
      <c r="J546" t="inlineStr">
        <is>
          <t>2019-07-14 10:38:00</t>
        </is>
      </c>
      <c r="K546" s="28" t="n"/>
      <c r="L546" s="29" t="n"/>
      <c r="M546" s="28" t="n"/>
      <c r="N546" s="28" t="n"/>
      <c r="O546" s="28" t="n"/>
      <c r="P546" s="28" t="n"/>
      <c r="Q546" s="28" t="n"/>
      <c r="R546" s="30" t="n"/>
      <c r="S546" s="28" t="n"/>
    </row>
    <row r="547">
      <c r="A547" t="inlineStr">
        <is>
          <t>R1546</t>
        </is>
      </c>
      <c r="B547" t="inlineStr">
        <is>
          <t xml:space="preserve">  Turner ,  Isabella </t>
        </is>
      </c>
      <c r="C547" t="inlineStr">
        <is>
          <t>8/27/1941</t>
        </is>
      </c>
      <c r="D547" t="inlineStr">
        <is>
          <t xml:space="preserve"> F</t>
        </is>
      </c>
      <c r="E547" t="inlineStr">
        <is>
          <t>(555) 875-2073</t>
        </is>
      </c>
      <c r="F547" t="inlineStr">
        <is>
          <t xml:space="preserve"> isabella.turner66@example.com </t>
        </is>
      </c>
      <c r="G547" t="inlineStr">
        <is>
          <t>Millbrook, OH 45530</t>
        </is>
      </c>
      <c r="H547" t="inlineStr">
        <is>
          <t>medicaid</t>
        </is>
      </c>
      <c r="I547" t="inlineStr">
        <is>
          <t>05339433</t>
        </is>
      </c>
      <c r="J547" t="inlineStr">
        <is>
          <t>2023-01-19 07:35:00</t>
        </is>
      </c>
      <c r="K547" s="28" t="n"/>
      <c r="L547" s="29" t="n"/>
      <c r="M547" s="28" t="n"/>
      <c r="N547" s="28" t="n"/>
      <c r="O547" s="28" t="n"/>
      <c r="P547" s="28" t="n"/>
      <c r="Q547" s="28" t="n"/>
      <c r="R547" s="30" t="n"/>
      <c r="S547" s="28" t="n"/>
    </row>
    <row r="548">
      <c r="A548" t="inlineStr">
        <is>
          <t>R1547</t>
        </is>
      </c>
      <c r="B548" t="inlineStr">
        <is>
          <t>Robinson, Joan</t>
        </is>
      </c>
      <c r="C548" t="inlineStr">
        <is>
          <t>08/04/1950</t>
        </is>
      </c>
      <c r="D548" t="inlineStr">
        <is>
          <t xml:space="preserve"> F</t>
        </is>
      </c>
      <c r="E548" t="inlineStr">
        <is>
          <t>(555) 745-9237</t>
        </is>
      </c>
      <c r="F548" t="inlineStr">
        <is>
          <t xml:space="preserve"> joan.robinson60@example.com </t>
        </is>
      </c>
      <c r="G548" t="inlineStr">
        <is>
          <t>Bluestone, OH 45501</t>
        </is>
      </c>
      <c r="H548" t="inlineStr">
        <is>
          <t xml:space="preserve">Silverline Medicare Advantage </t>
        </is>
      </c>
      <c r="I548" t="inlineStr">
        <is>
          <t>09873175</t>
        </is>
      </c>
      <c r="J548" t="inlineStr">
        <is>
          <t>2023-08-25 17:03:00</t>
        </is>
      </c>
      <c r="K548" s="28" t="n"/>
      <c r="L548" s="29" t="n"/>
      <c r="M548" s="28" t="n"/>
      <c r="N548" s="28" t="n"/>
      <c r="O548" s="28" t="n"/>
      <c r="P548" s="28" t="n"/>
      <c r="Q548" s="28" t="n"/>
      <c r="R548" s="30" t="n"/>
      <c r="S548" s="28" t="n"/>
    </row>
    <row r="549">
      <c r="A549" t="inlineStr">
        <is>
          <t>R1548</t>
        </is>
      </c>
      <c r="B549" t="inlineStr">
        <is>
          <t>armstrong, gregory</t>
        </is>
      </c>
      <c r="C549" t="inlineStr">
        <is>
          <t>2004-04-16</t>
        </is>
      </c>
      <c r="D549" t="inlineStr">
        <is>
          <t xml:space="preserve">M </t>
        </is>
      </c>
      <c r="E549" t="inlineStr">
        <is>
          <t>+1 555 767 8188</t>
        </is>
      </c>
      <c r="F549" t="inlineStr">
        <is>
          <t>none</t>
        </is>
      </c>
      <c r="G549" t="inlineStr">
        <is>
          <t>Bluestone, OH 45502</t>
        </is>
      </c>
      <c r="H549" t="inlineStr">
        <is>
          <t>STATE MEDICAID</t>
        </is>
      </c>
      <c r="I549" t="inlineStr">
        <is>
          <t>07391849</t>
        </is>
      </c>
      <c r="J549" t="inlineStr">
        <is>
          <t>2024-03-15 13:22:00</t>
        </is>
      </c>
      <c r="K549" s="28" t="n"/>
      <c r="L549" s="29" t="n"/>
      <c r="M549" s="28" t="n"/>
      <c r="N549" s="28" t="n"/>
      <c r="O549" s="28" t="n"/>
      <c r="P549" s="28" t="n"/>
      <c r="Q549" s="28" t="n"/>
      <c r="R549" s="30" t="n"/>
      <c r="S549" s="28" t="n"/>
    </row>
    <row r="550">
      <c r="A550" t="inlineStr">
        <is>
          <t>R1549</t>
        </is>
      </c>
      <c r="B550" t="inlineStr">
        <is>
          <t>SILVA, KIMBERLY</t>
        </is>
      </c>
      <c r="C550" t="inlineStr">
        <is>
          <t>1932-05-29</t>
        </is>
      </c>
      <c r="D550" t="inlineStr">
        <is>
          <t>FEMALE</t>
        </is>
      </c>
      <c r="E550" t="inlineStr">
        <is>
          <t>555-914-4001</t>
        </is>
      </c>
      <c r="G550" t="inlineStr">
        <is>
          <t>CEDAR RIDGE, OH 45720</t>
        </is>
      </c>
      <c r="H550" t="inlineStr">
        <is>
          <t>Silverline MA</t>
        </is>
      </c>
      <c r="I550" t="inlineStr">
        <is>
          <t>7141057</t>
        </is>
      </c>
      <c r="J550" t="inlineStr">
        <is>
          <t>2019-01-11 15:47:00</t>
        </is>
      </c>
      <c r="K550" s="28" t="n"/>
      <c r="L550" s="29" t="n"/>
      <c r="M550" s="28" t="n"/>
      <c r="N550" s="28" t="n"/>
      <c r="O550" s="28" t="n"/>
      <c r="P550" s="28" t="n"/>
      <c r="Q550" s="28" t="n"/>
      <c r="R550" s="30" t="n"/>
      <c r="S550" s="28" t="n"/>
    </row>
    <row r="551">
      <c r="A551" t="inlineStr">
        <is>
          <t>R1550</t>
        </is>
      </c>
      <c r="B551" t="inlineStr">
        <is>
          <t>Grant, Maria</t>
        </is>
      </c>
      <c r="C551" t="inlineStr">
        <is>
          <t>18-Dec-1958</t>
        </is>
      </c>
      <c r="D551" t="inlineStr">
        <is>
          <t>Female</t>
        </is>
      </c>
      <c r="E551" t="inlineStr">
        <is>
          <t>5557220679</t>
        </is>
      </c>
      <c r="F551" t="inlineStr">
        <is>
          <t>none</t>
        </is>
      </c>
      <c r="G551" t="inlineStr">
        <is>
          <t>Riverbend, OH 45545</t>
        </is>
      </c>
      <c r="H551" t="inlineStr">
        <is>
          <t xml:space="preserve">Silverline Medicare Advantage </t>
        </is>
      </c>
      <c r="I551" t="inlineStr">
        <is>
          <t>07614529</t>
        </is>
      </c>
      <c r="J551" t="inlineStr">
        <is>
          <t>2023-11-28 11:09:00</t>
        </is>
      </c>
      <c r="K551" s="28" t="n"/>
      <c r="L551" s="29" t="n"/>
      <c r="M551" s="28" t="n"/>
      <c r="N551" s="28" t="n"/>
      <c r="O551" s="28" t="n"/>
      <c r="P551" s="28" t="n"/>
      <c r="Q551" s="28" t="n"/>
      <c r="R551" s="30" t="n"/>
      <c r="S551" s="28" t="n"/>
    </row>
    <row r="552">
      <c r="A552" t="inlineStr">
        <is>
          <t>R1551</t>
        </is>
      </c>
      <c r="B552" t="inlineStr">
        <is>
          <t>Davis, Janice</t>
        </is>
      </c>
      <c r="C552" t="inlineStr">
        <is>
          <t>04/30/1947</t>
        </is>
      </c>
      <c r="D552" t="inlineStr">
        <is>
          <t>FEMALE</t>
        </is>
      </c>
      <c r="E552" t="inlineStr">
        <is>
          <t>(555) 774-4269</t>
        </is>
      </c>
      <c r="F552" t="inlineStr">
        <is>
          <t>N/A</t>
        </is>
      </c>
      <c r="G552" t="inlineStr">
        <is>
          <t>Ashby Falls OH 45610</t>
        </is>
      </c>
      <c r="H552" t="inlineStr">
        <is>
          <t xml:space="preserve">Medicare </t>
        </is>
      </c>
      <c r="I552" t="inlineStr">
        <is>
          <t>05297642</t>
        </is>
      </c>
      <c r="J552" t="inlineStr">
        <is>
          <t>2023-08-28 09:52:00</t>
        </is>
      </c>
      <c r="K552" s="28" t="n"/>
      <c r="L552" s="29" t="n"/>
      <c r="M552" s="28" t="n"/>
      <c r="N552" s="28" t="n"/>
      <c r="O552" s="28" t="n"/>
      <c r="P552" s="28" t="n"/>
      <c r="Q552" s="28" t="n"/>
      <c r="R552" s="30" t="n"/>
      <c r="S552" s="28" t="n"/>
    </row>
    <row r="553">
      <c r="A553" t="inlineStr">
        <is>
          <t>R1552</t>
        </is>
      </c>
      <c r="B553" t="inlineStr">
        <is>
          <t>Wallace, Nicholas</t>
        </is>
      </c>
      <c r="C553" t="inlineStr">
        <is>
          <t>11/18/1981</t>
        </is>
      </c>
      <c r="D553" t="inlineStr">
        <is>
          <t>MALE</t>
        </is>
      </c>
      <c r="E553" t="inlineStr">
        <is>
          <t>+1 555 679 3247</t>
        </is>
      </c>
      <c r="F553" t="inlineStr">
        <is>
          <t>nicholas.wallace59@example.com</t>
        </is>
      </c>
      <c r="G553" t="inlineStr">
        <is>
          <t>Cedar Ridge, OH 45720-9764</t>
        </is>
      </c>
      <c r="H553" t="inlineStr">
        <is>
          <t>SELF PAY</t>
        </is>
      </c>
      <c r="I553" t="inlineStr">
        <is>
          <t>9313525</t>
        </is>
      </c>
      <c r="J553" t="inlineStr">
        <is>
          <t>04/17/2022 07:58 AM</t>
        </is>
      </c>
      <c r="K553" s="28" t="n"/>
      <c r="L553" s="29" t="n"/>
      <c r="M553" s="28" t="n"/>
      <c r="N553" s="28" t="n"/>
      <c r="O553" s="28" t="n"/>
      <c r="P553" s="28" t="n"/>
      <c r="Q553" s="28" t="n"/>
      <c r="R553" s="30" t="n"/>
      <c r="S553" s="28" t="n"/>
    </row>
    <row r="554">
      <c r="A554" t="inlineStr">
        <is>
          <t>R1553</t>
        </is>
      </c>
      <c r="B554" t="inlineStr">
        <is>
          <t>Walker, Patricia</t>
        </is>
      </c>
      <c r="C554" t="inlineStr">
        <is>
          <t>05/19/1952</t>
        </is>
      </c>
      <c r="D554" t="inlineStr">
        <is>
          <t>F</t>
        </is>
      </c>
      <c r="E554" t="inlineStr">
        <is>
          <t>(555) 254-7667</t>
        </is>
      </c>
      <c r="F554" t="inlineStr">
        <is>
          <t>PATRICIA.WALKER82@EXAMPLE.COM</t>
        </is>
      </c>
      <c r="G554" t="inlineStr">
        <is>
          <t>Bluestone, OH 45502</t>
        </is>
      </c>
      <c r="H554" t="inlineStr">
        <is>
          <t>Silverline MA</t>
        </is>
      </c>
      <c r="I554" t="inlineStr">
        <is>
          <t>1646678</t>
        </is>
      </c>
      <c r="J554" t="inlineStr">
        <is>
          <t>2012-07-31 17:48:00</t>
        </is>
      </c>
      <c r="K554" s="28" t="n"/>
      <c r="L554" s="29" t="n"/>
      <c r="M554" s="28" t="n"/>
      <c r="N554" s="28" t="n"/>
      <c r="O554" s="28" t="n"/>
      <c r="P554" s="28" t="n"/>
      <c r="Q554" s="28" t="n"/>
      <c r="R554" s="30" t="n"/>
      <c r="S554" s="28" t="n"/>
    </row>
    <row r="555">
      <c r="A555" t="inlineStr">
        <is>
          <t>R1554</t>
        </is>
      </c>
      <c r="B555" t="inlineStr">
        <is>
          <t xml:space="preserve">  Armstrong ,  Roy </t>
        </is>
      </c>
      <c r="C555" t="inlineStr">
        <is>
          <t>30-Sep-1997</t>
        </is>
      </c>
      <c r="D555" t="inlineStr">
        <is>
          <t>M</t>
        </is>
      </c>
      <c r="E555" t="inlineStr">
        <is>
          <t>555.713.0625</t>
        </is>
      </c>
      <c r="G555" t="inlineStr">
        <is>
          <t>Bluestone, OH 45503-9527</t>
        </is>
      </c>
      <c r="H555" t="inlineStr">
        <is>
          <t>self-pay</t>
        </is>
      </c>
      <c r="I555" t="inlineStr">
        <is>
          <t>08673376</t>
        </is>
      </c>
      <c r="J555" t="inlineStr">
        <is>
          <t>09/20/2018 03:25 PM</t>
        </is>
      </c>
      <c r="K555" s="28" t="n"/>
      <c r="L555" s="29" t="n"/>
      <c r="M555" s="28" t="n"/>
      <c r="N555" s="28" t="n"/>
      <c r="O555" s="28" t="n"/>
      <c r="P555" s="28" t="n"/>
      <c r="Q555" s="28" t="n"/>
      <c r="R555" s="30" t="n"/>
      <c r="S555" s="28" t="n"/>
    </row>
    <row r="556">
      <c r="A556" t="inlineStr">
        <is>
          <t>R1555</t>
        </is>
      </c>
      <c r="B556" t="inlineStr">
        <is>
          <t>Silva, Katherine</t>
        </is>
      </c>
      <c r="C556" t="inlineStr">
        <is>
          <t>2014-11-27</t>
        </is>
      </c>
      <c r="D556" t="inlineStr">
        <is>
          <t>F</t>
        </is>
      </c>
      <c r="E556" t="inlineStr">
        <is>
          <t>5552365290</t>
        </is>
      </c>
      <c r="G556" t="inlineStr">
        <is>
          <t>Bluestone, OH 45501-4089</t>
        </is>
      </c>
      <c r="H556" t="inlineStr">
        <is>
          <t>evergreen mutual insurance</t>
        </is>
      </c>
      <c r="I556" t="inlineStr">
        <is>
          <t>00479090</t>
        </is>
      </c>
      <c r="J556" t="inlineStr">
        <is>
          <t>2023-06-05 14:34:00</t>
        </is>
      </c>
      <c r="K556" s="28" t="n"/>
      <c r="L556" s="29" t="n"/>
      <c r="M556" s="28" t="n"/>
      <c r="N556" s="28" t="n"/>
      <c r="O556" s="28" t="n"/>
      <c r="P556" s="28" t="n"/>
      <c r="Q556" s="28" t="n"/>
      <c r="R556" s="30" t="n"/>
      <c r="S556" s="28" t="n"/>
    </row>
    <row r="557">
      <c r="A557" t="inlineStr">
        <is>
          <t>R1556</t>
        </is>
      </c>
      <c r="B557" t="inlineStr">
        <is>
          <t>Dixon, Lawrence</t>
        </is>
      </c>
      <c r="C557" t="inlineStr">
        <is>
          <t>02-Oct-1993</t>
        </is>
      </c>
      <c r="D557" t="inlineStr">
        <is>
          <t>Male</t>
        </is>
      </c>
      <c r="E557" t="inlineStr">
        <is>
          <t>555.391.8264</t>
        </is>
      </c>
      <c r="F557" t="inlineStr">
        <is>
          <t>lawrence.dixon73@example.com</t>
        </is>
      </c>
      <c r="G557" t="inlineStr">
        <is>
          <t>Granite Springs, OH 45750</t>
        </is>
      </c>
      <c r="H557" t="inlineStr">
        <is>
          <t>Keystone Health Ptnrs</t>
        </is>
      </c>
      <c r="I557" t="inlineStr">
        <is>
          <t>9408089</t>
        </is>
      </c>
      <c r="J557" t="inlineStr">
        <is>
          <t>2023-11-30 17:50:00</t>
        </is>
      </c>
      <c r="K557" s="28" t="n"/>
      <c r="L557" s="29" t="n"/>
      <c r="M557" s="28" t="n"/>
      <c r="N557" s="28" t="n"/>
      <c r="O557" s="28" t="n"/>
      <c r="P557" s="28" t="n"/>
      <c r="Q557" s="28" t="n"/>
      <c r="R557" s="30" t="n"/>
      <c r="S557" s="28" t="n"/>
    </row>
    <row r="558">
      <c r="A558" t="inlineStr">
        <is>
          <t>R1557</t>
        </is>
      </c>
      <c r="B558" t="inlineStr">
        <is>
          <t>BLACK, LISA</t>
        </is>
      </c>
      <c r="C558" t="inlineStr">
        <is>
          <t>08/12/2001</t>
        </is>
      </c>
      <c r="D558" t="inlineStr">
        <is>
          <t>f</t>
        </is>
      </c>
      <c r="E558" t="inlineStr">
        <is>
          <t>+1 555 658 3270</t>
        </is>
      </c>
      <c r="F558" t="inlineStr">
        <is>
          <t>none</t>
        </is>
      </c>
      <c r="G558" t="inlineStr">
        <is>
          <t>GRANITE SPRINGS, OH 45750</t>
        </is>
      </c>
      <c r="H558" t="inlineStr">
        <is>
          <t>State Medicaid</t>
        </is>
      </c>
      <c r="I558" t="inlineStr">
        <is>
          <t>00798669</t>
        </is>
      </c>
      <c r="J558" t="inlineStr">
        <is>
          <t>05/25/2010 03:41 PM</t>
        </is>
      </c>
      <c r="K558" s="28" t="n"/>
      <c r="L558" s="29" t="n"/>
      <c r="M558" s="28" t="n"/>
      <c r="N558" s="28" t="n"/>
      <c r="O558" s="28" t="n"/>
      <c r="P558" s="28" t="n"/>
      <c r="Q558" s="28" t="n"/>
      <c r="R558" s="30" t="n"/>
      <c r="S558" s="28" t="n"/>
    </row>
    <row r="559">
      <c r="A559" t="inlineStr">
        <is>
          <t>R1558</t>
        </is>
      </c>
      <c r="B559" t="inlineStr">
        <is>
          <t>Marshall, Helen</t>
        </is>
      </c>
      <c r="C559" t="inlineStr">
        <is>
          <t>12/22/1994</t>
        </is>
      </c>
      <c r="D559" t="inlineStr">
        <is>
          <t>f</t>
        </is>
      </c>
      <c r="E559" t="inlineStr">
        <is>
          <t>(555) 509-2345</t>
        </is>
      </c>
      <c r="F559" t="inlineStr">
        <is>
          <t xml:space="preserve"> helen.marshall56@example.com </t>
        </is>
      </c>
      <c r="G559" t="inlineStr">
        <is>
          <t>Bluestone, OH 45502</t>
        </is>
      </c>
      <c r="H559" t="inlineStr">
        <is>
          <t>STATE MEDICAID</t>
        </is>
      </c>
      <c r="I559" t="inlineStr">
        <is>
          <t>07360613</t>
        </is>
      </c>
      <c r="J559" t="inlineStr">
        <is>
          <t>06/04/2022 12:22 PM</t>
        </is>
      </c>
      <c r="K559" s="28" t="n"/>
      <c r="L559" s="29" t="n"/>
      <c r="M559" s="28" t="n"/>
      <c r="N559" s="28" t="n"/>
      <c r="O559" s="28" t="n"/>
      <c r="P559" s="28" t="n"/>
      <c r="Q559" s="28" t="n"/>
      <c r="R559" s="30" t="n"/>
      <c r="S559" s="28" t="n"/>
    </row>
    <row r="560">
      <c r="A560" t="inlineStr">
        <is>
          <t>R1559</t>
        </is>
      </c>
      <c r="B560" t="inlineStr">
        <is>
          <t>contreras, kayla</t>
        </is>
      </c>
      <c r="C560" t="inlineStr">
        <is>
          <t>10/07/1978</t>
        </is>
      </c>
      <c r="D560" t="inlineStr">
        <is>
          <t>F</t>
        </is>
      </c>
      <c r="E560" t="inlineStr">
        <is>
          <t>(555) 251-1340</t>
        </is>
      </c>
      <c r="F560" t="inlineStr">
        <is>
          <t>kayla.contreras6@example.com</t>
        </is>
      </c>
      <c r="G560" t="inlineStr">
        <is>
          <t>Lakeview Heights, OH 45510</t>
        </is>
      </c>
      <c r="H560" t="inlineStr">
        <is>
          <t>STATE MEDICAID</t>
        </is>
      </c>
      <c r="I560" t="inlineStr">
        <is>
          <t>MRN-05093012</t>
        </is>
      </c>
      <c r="J560" t="inlineStr">
        <is>
          <t>11/01/2024 07:26 AM</t>
        </is>
      </c>
      <c r="K560" s="28" t="n"/>
      <c r="L560" s="29" t="n"/>
      <c r="M560" s="28" t="n"/>
      <c r="N560" s="28" t="n"/>
      <c r="O560" s="28" t="n"/>
      <c r="P560" s="28" t="n"/>
      <c r="Q560" s="28" t="n"/>
      <c r="R560" s="30" t="n"/>
      <c r="S560" s="28" t="n"/>
    </row>
    <row r="561">
      <c r="A561" t="inlineStr">
        <is>
          <t>R1560</t>
        </is>
      </c>
      <c r="B561" t="inlineStr">
        <is>
          <t xml:space="preserve">  Ford ,  Michelle </t>
        </is>
      </c>
      <c r="C561" t="inlineStr">
        <is>
          <t>06/22/2025</t>
        </is>
      </c>
      <c r="D561" t="inlineStr">
        <is>
          <t>Female</t>
        </is>
      </c>
      <c r="E561" t="inlineStr">
        <is>
          <t>(555) 655-6926</t>
        </is>
      </c>
      <c r="G561" t="inlineStr">
        <is>
          <t>Bluestone, OH 45501</t>
        </is>
      </c>
      <c r="H561" t="inlineStr">
        <is>
          <t>medicaid</t>
        </is>
      </c>
      <c r="I561" t="inlineStr">
        <is>
          <t>00852736</t>
        </is>
      </c>
      <c r="J561" t="inlineStr">
        <is>
          <t>2024-06-04 17:36:00</t>
        </is>
      </c>
      <c r="K561" s="28" t="n"/>
      <c r="L561" s="29" t="n"/>
      <c r="M561" s="28" t="n"/>
      <c r="N561" s="28" t="n"/>
      <c r="O561" s="28" t="n"/>
      <c r="P561" s="28" t="n"/>
      <c r="Q561" s="28" t="n"/>
      <c r="R561" s="30" t="n"/>
      <c r="S561" s="28" t="n"/>
    </row>
    <row r="562">
      <c r="A562" t="inlineStr">
        <is>
          <t>R1561</t>
        </is>
      </c>
      <c r="B562" t="inlineStr">
        <is>
          <t>Shaw, Janet</t>
        </is>
      </c>
      <c r="C562" t="inlineStr">
        <is>
          <t>02/01/1976</t>
        </is>
      </c>
      <c r="D562" t="inlineStr">
        <is>
          <t>FEMALE</t>
        </is>
      </c>
      <c r="E562" t="inlineStr">
        <is>
          <t>555-914-2471</t>
        </is>
      </c>
      <c r="G562" t="inlineStr">
        <is>
          <t>Bluestone OH 45502</t>
        </is>
      </c>
      <c r="H562" t="inlineStr">
        <is>
          <t>medicaid</t>
        </is>
      </c>
      <c r="I562" t="inlineStr">
        <is>
          <t>06666991</t>
        </is>
      </c>
      <c r="J562" t="inlineStr">
        <is>
          <t>2022-06-15 17:18:00</t>
        </is>
      </c>
      <c r="K562" s="28" t="n"/>
      <c r="L562" s="29" t="n"/>
      <c r="M562" s="28" t="n"/>
      <c r="N562" s="28" t="n"/>
      <c r="O562" s="28" t="n"/>
      <c r="P562" s="28" t="n"/>
      <c r="Q562" s="28" t="n"/>
      <c r="R562" s="30" t="n"/>
      <c r="S562" s="28" t="n"/>
    </row>
    <row r="563">
      <c r="A563" t="inlineStr">
        <is>
          <t>R1562</t>
        </is>
      </c>
      <c r="B563" t="inlineStr">
        <is>
          <t>Wright, Jerry</t>
        </is>
      </c>
      <c r="C563" t="inlineStr">
        <is>
          <t>07.26.1948</t>
        </is>
      </c>
      <c r="D563" t="inlineStr">
        <is>
          <t>M</t>
        </is>
      </c>
      <c r="E563" t="inlineStr">
        <is>
          <t>555-385-7218</t>
        </is>
      </c>
      <c r="F563" t="inlineStr">
        <is>
          <t>jerry.wright2@example.com</t>
        </is>
      </c>
      <c r="G563" t="inlineStr">
        <is>
          <t>BLUESTONE, OH 45502</t>
        </is>
      </c>
      <c r="H563" t="inlineStr">
        <is>
          <t>MEDICARE</t>
        </is>
      </c>
      <c r="I563" t="inlineStr">
        <is>
          <t>02037200</t>
        </is>
      </c>
      <c r="J563" t="inlineStr">
        <is>
          <t>01/24/2018 08:14 AM</t>
        </is>
      </c>
      <c r="K563" s="28" t="n"/>
      <c r="L563" s="29" t="n"/>
      <c r="M563" s="28" t="n"/>
      <c r="N563" s="28" t="n"/>
      <c r="O563" s="28" t="n"/>
      <c r="P563" s="28" t="n"/>
      <c r="Q563" s="28" t="n"/>
      <c r="R563" s="30" t="n"/>
      <c r="S563" s="28" t="n"/>
    </row>
    <row r="564">
      <c r="A564" t="inlineStr">
        <is>
          <t>R1563</t>
        </is>
      </c>
      <c r="B564" t="inlineStr">
        <is>
          <t>Yilmaz, Benjamin</t>
        </is>
      </c>
      <c r="C564" t="inlineStr">
        <is>
          <t>09.23.1943</t>
        </is>
      </c>
      <c r="D564" t="inlineStr">
        <is>
          <t>M</t>
        </is>
      </c>
      <c r="E564" t="inlineStr">
        <is>
          <t>555.256.5962</t>
        </is>
      </c>
      <c r="F564" t="inlineStr">
        <is>
          <t>benjamin.yilmaz34@example.com</t>
        </is>
      </c>
      <c r="G564" t="inlineStr">
        <is>
          <t>Pine Hollow, OH 45640-2556</t>
        </is>
      </c>
      <c r="H564" t="inlineStr">
        <is>
          <t xml:space="preserve">Silverline Medicare Advantage </t>
        </is>
      </c>
      <c r="I564" t="inlineStr">
        <is>
          <t>3406318</t>
        </is>
      </c>
      <c r="J564" t="inlineStr">
        <is>
          <t>2022-04-08 07:55:00</t>
        </is>
      </c>
      <c r="K564" s="28" t="n"/>
      <c r="L564" s="29" t="n"/>
      <c r="M564" s="28" t="n"/>
      <c r="N564" s="28" t="n"/>
      <c r="O564" s="28" t="n"/>
      <c r="P564" s="28" t="n"/>
      <c r="Q564" s="28" t="n"/>
      <c r="R564" s="30" t="n"/>
      <c r="S564" s="28" t="n"/>
    </row>
    <row r="565">
      <c r="A565" t="inlineStr">
        <is>
          <t>R1564</t>
        </is>
      </c>
      <c r="B565" t="inlineStr">
        <is>
          <t>Price, Evelyn</t>
        </is>
      </c>
      <c r="C565" t="inlineStr">
        <is>
          <t>10.14.2020</t>
        </is>
      </c>
      <c r="D565" t="inlineStr">
        <is>
          <t>FEMALE</t>
        </is>
      </c>
      <c r="E565" t="inlineStr">
        <is>
          <t>555.827.2489</t>
        </is>
      </c>
      <c r="F565" t="inlineStr">
        <is>
          <t>none</t>
        </is>
      </c>
      <c r="G565" t="inlineStr">
        <is>
          <t>ASHBY FALLS, OH 45610</t>
        </is>
      </c>
      <c r="H565" t="inlineStr">
        <is>
          <t>State Medicaid</t>
        </is>
      </c>
      <c r="I565" t="inlineStr">
        <is>
          <t>8149461</t>
        </is>
      </c>
      <c r="J565" t="inlineStr">
        <is>
          <t>07/13/2023 10:07 AM</t>
        </is>
      </c>
      <c r="K565" s="28" t="n"/>
      <c r="L565" s="29" t="n"/>
      <c r="M565" s="28" t="n"/>
      <c r="N565" s="28" t="n"/>
      <c r="O565" s="28" t="n"/>
      <c r="P565" s="28" t="n"/>
      <c r="Q565" s="28" t="n"/>
      <c r="R565" s="30" t="n"/>
      <c r="S565" s="28" t="n"/>
    </row>
    <row r="566">
      <c r="A566" t="inlineStr">
        <is>
          <t>R1565</t>
        </is>
      </c>
      <c r="B566" t="inlineStr">
        <is>
          <t xml:space="preserve">  Perkins ,  Raymond </t>
        </is>
      </c>
      <c r="C566" t="inlineStr">
        <is>
          <t>04/24/1998</t>
        </is>
      </c>
      <c r="D566" t="inlineStr">
        <is>
          <t xml:space="preserve">M </t>
        </is>
      </c>
      <c r="E566" t="inlineStr">
        <is>
          <t>555-309-0149</t>
        </is>
      </c>
      <c r="F566" t="inlineStr">
        <is>
          <t xml:space="preserve"> raymond.perkins12@example.com </t>
        </is>
      </c>
      <c r="G566" t="inlineStr">
        <is>
          <t>Cedar Ridge, OH 45720</t>
        </is>
      </c>
      <c r="H566" t="inlineStr">
        <is>
          <t>Keystone</t>
        </is>
      </c>
      <c r="I566" t="inlineStr">
        <is>
          <t>07562134</t>
        </is>
      </c>
      <c r="J566" t="inlineStr">
        <is>
          <t>05/31/2018 03:20 PM</t>
        </is>
      </c>
      <c r="K566" s="28" t="n"/>
      <c r="L566" s="29" t="n"/>
      <c r="M566" s="28" t="n"/>
      <c r="N566" s="28" t="n"/>
      <c r="O566" s="28" t="n"/>
      <c r="P566" s="28" t="n"/>
      <c r="Q566" s="28" t="n"/>
      <c r="R566" s="30" t="n"/>
      <c r="S566" s="28" t="n"/>
    </row>
    <row r="567">
      <c r="A567" t="inlineStr">
        <is>
          <t>R1566</t>
        </is>
      </c>
      <c r="B567" t="inlineStr">
        <is>
          <t xml:space="preserve">  Palmer ,  Christina </t>
        </is>
      </c>
      <c r="C567" t="inlineStr">
        <is>
          <t>09/27/1991</t>
        </is>
      </c>
      <c r="D567" t="inlineStr">
        <is>
          <t xml:space="preserve"> F</t>
        </is>
      </c>
      <c r="E567" t="inlineStr">
        <is>
          <t>5556165459</t>
        </is>
      </c>
      <c r="F567" t="inlineStr">
        <is>
          <t>N/A</t>
        </is>
      </c>
      <c r="G567" t="inlineStr">
        <is>
          <t>Bluestone, OH 45501</t>
        </is>
      </c>
      <c r="H567" t="inlineStr">
        <is>
          <t>State Medicaid</t>
        </is>
      </c>
      <c r="I567" t="inlineStr">
        <is>
          <t>3880460</t>
        </is>
      </c>
      <c r="J567" t="inlineStr">
        <is>
          <t>2024-03-12 14:57:00</t>
        </is>
      </c>
      <c r="K567" s="28" t="n"/>
      <c r="L567" s="29" t="n"/>
      <c r="M567" s="28" t="n"/>
      <c r="N567" s="28" t="n"/>
      <c r="O567" s="28" t="n"/>
      <c r="P567" s="28" t="n"/>
      <c r="Q567" s="28" t="n"/>
      <c r="R567" s="30" t="n"/>
      <c r="S567" s="28" t="n"/>
    </row>
    <row r="568">
      <c r="A568" t="inlineStr">
        <is>
          <t>R1567</t>
        </is>
      </c>
      <c r="B568" t="inlineStr">
        <is>
          <t>Gardner, Megan</t>
        </is>
      </c>
      <c r="C568" t="inlineStr">
        <is>
          <t>09/04/2025</t>
        </is>
      </c>
      <c r="D568" t="inlineStr">
        <is>
          <t>F</t>
        </is>
      </c>
      <c r="E568" t="inlineStr">
        <is>
          <t>555-596-4664</t>
        </is>
      </c>
      <c r="G568" t="inlineStr">
        <is>
          <t>Lakeview Heights, OH 45510</t>
        </is>
      </c>
      <c r="H568" t="inlineStr">
        <is>
          <t>medicaid</t>
        </is>
      </c>
      <c r="I568" t="inlineStr">
        <is>
          <t>MRN-04864160</t>
        </is>
      </c>
      <c r="J568" t="inlineStr">
        <is>
          <t>06/15/2024 04:29 PM</t>
        </is>
      </c>
      <c r="K568" s="28" t="n"/>
      <c r="L568" s="29" t="n"/>
      <c r="M568" s="28" t="n"/>
      <c r="N568" s="28" t="n"/>
      <c r="O568" s="28" t="n"/>
      <c r="P568" s="28" t="n"/>
      <c r="Q568" s="28" t="n"/>
      <c r="R568" s="30" t="n"/>
      <c r="S568" s="28" t="n"/>
    </row>
    <row r="569">
      <c r="A569" t="inlineStr">
        <is>
          <t>R1568</t>
        </is>
      </c>
      <c r="B569" t="inlineStr">
        <is>
          <t>Lopez, Jeremy</t>
        </is>
      </c>
      <c r="C569" t="inlineStr">
        <is>
          <t>2014-01-21</t>
        </is>
      </c>
      <c r="D569" t="inlineStr">
        <is>
          <t>Male</t>
        </is>
      </c>
      <c r="E569" t="inlineStr">
        <is>
          <t>(555) 553-9254</t>
        </is>
      </c>
      <c r="G569" t="inlineStr">
        <is>
          <t>Cedar Ridge, OH 45720-2917</t>
        </is>
      </c>
      <c r="H569" t="inlineStr">
        <is>
          <t>Evergreen Mutual</t>
        </is>
      </c>
      <c r="I569" t="inlineStr">
        <is>
          <t>07843648</t>
        </is>
      </c>
      <c r="J569" t="inlineStr">
        <is>
          <t>2024-03-31 12:21:00</t>
        </is>
      </c>
      <c r="K569" s="28" t="n"/>
      <c r="L569" s="29" t="n"/>
      <c r="M569" s="28" t="n"/>
      <c r="N569" s="28" t="n"/>
      <c r="O569" s="28" t="n"/>
      <c r="P569" s="28" t="n"/>
      <c r="Q569" s="28" t="n"/>
      <c r="R569" s="30" t="n"/>
      <c r="S569" s="28" t="n"/>
    </row>
    <row r="570">
      <c r="A570" t="inlineStr">
        <is>
          <t>R1569</t>
        </is>
      </c>
      <c r="B570" t="inlineStr">
        <is>
          <t>WILSON, CYNTHIA</t>
        </is>
      </c>
      <c r="C570" t="inlineStr">
        <is>
          <t>1970-05-04</t>
        </is>
      </c>
      <c r="D570" t="inlineStr">
        <is>
          <t>FEMALE</t>
        </is>
      </c>
      <c r="E570" t="inlineStr">
        <is>
          <t>+1 555 711 7191</t>
        </is>
      </c>
      <c r="F570" t="inlineStr">
        <is>
          <t>cynthia.wilson77@example.com</t>
        </is>
      </c>
      <c r="G570" t="inlineStr">
        <is>
          <t>LAKEVIEW HEIGHTS, OH 45510</t>
        </is>
      </c>
      <c r="H570" t="inlineStr">
        <is>
          <t>STATE MEDICAID</t>
        </is>
      </c>
      <c r="I570" t="inlineStr">
        <is>
          <t>07070577</t>
        </is>
      </c>
      <c r="J570" t="inlineStr">
        <is>
          <t>11/13/2019 02:52 PM</t>
        </is>
      </c>
      <c r="K570" s="28" t="n"/>
      <c r="L570" s="29" t="n"/>
      <c r="M570" s="28" t="n"/>
      <c r="N570" s="28" t="n"/>
      <c r="O570" s="28" t="n"/>
      <c r="P570" s="28" t="n"/>
      <c r="Q570" s="28" t="n"/>
      <c r="R570" s="30" t="n"/>
      <c r="S570" s="28" t="n"/>
    </row>
    <row r="571">
      <c r="A571" t="inlineStr">
        <is>
          <t>R1570</t>
        </is>
      </c>
      <c r="B571" t="inlineStr">
        <is>
          <t>Ellis, Isabella</t>
        </is>
      </c>
      <c r="C571" t="inlineStr">
        <is>
          <t>01/11/1972</t>
        </is>
      </c>
      <c r="D571" t="inlineStr">
        <is>
          <t>Female</t>
        </is>
      </c>
      <c r="E571" t="inlineStr">
        <is>
          <t>555.662.2668</t>
        </is>
      </c>
      <c r="F571" t="inlineStr">
        <is>
          <t>isabella.ellis98@example.com</t>
        </is>
      </c>
      <c r="G571" t="inlineStr">
        <is>
          <t>Bluestone, OH 45502</t>
        </is>
      </c>
      <c r="H571" t="inlineStr">
        <is>
          <t>Summit Choice PPO</t>
        </is>
      </c>
      <c r="I571" t="inlineStr">
        <is>
          <t>09998104</t>
        </is>
      </c>
      <c r="J571" t="inlineStr">
        <is>
          <t>2013-08-01 08:18:00</t>
        </is>
      </c>
      <c r="K571" s="28" t="n"/>
      <c r="L571" s="29" t="n"/>
      <c r="M571" s="28" t="n"/>
      <c r="N571" s="28" t="n"/>
      <c r="O571" s="28" t="n"/>
      <c r="P571" s="28" t="n"/>
      <c r="Q571" s="28" t="n"/>
      <c r="R571" s="30" t="n"/>
      <c r="S571" s="28" t="n"/>
    </row>
    <row r="572">
      <c r="A572" t="inlineStr">
        <is>
          <t>R1571</t>
        </is>
      </c>
      <c r="B572" t="inlineStr">
        <is>
          <t>Ray, Ronald</t>
        </is>
      </c>
      <c r="C572" t="inlineStr">
        <is>
          <t>10/28/1949</t>
        </is>
      </c>
      <c r="D572" t="inlineStr">
        <is>
          <t>MALE</t>
        </is>
      </c>
      <c r="E572" t="inlineStr">
        <is>
          <t>(555) 290-2994</t>
        </is>
      </c>
      <c r="F572" t="inlineStr">
        <is>
          <t>ronald.ray68@example.com</t>
        </is>
      </c>
      <c r="G572" t="inlineStr">
        <is>
          <t>Ashby Falls, OH 45610</t>
        </is>
      </c>
      <c r="H572" t="inlineStr">
        <is>
          <t>Keystone Health Partners</t>
        </is>
      </c>
      <c r="I572" t="inlineStr">
        <is>
          <t>09999804</t>
        </is>
      </c>
      <c r="J572" t="inlineStr">
        <is>
          <t>2013-03-29 10:01:00</t>
        </is>
      </c>
      <c r="K572" s="28" t="n"/>
      <c r="L572" s="29" t="n"/>
      <c r="M572" s="28" t="n"/>
      <c r="N572" s="28" t="n"/>
      <c r="O572" s="28" t="n"/>
      <c r="P572" s="28" t="n"/>
      <c r="Q572" s="28" t="n"/>
      <c r="R572" s="30" t="n"/>
      <c r="S572" s="28" t="n"/>
    </row>
    <row r="573">
      <c r="A573" t="inlineStr">
        <is>
          <t>R1572</t>
        </is>
      </c>
      <c r="B573" t="inlineStr">
        <is>
          <t>LONG, SANDRA</t>
        </is>
      </c>
      <c r="C573" t="inlineStr">
        <is>
          <t>3/9/1939</t>
        </is>
      </c>
      <c r="D573" t="inlineStr">
        <is>
          <t>F</t>
        </is>
      </c>
      <c r="E573" t="inlineStr">
        <is>
          <t>(555) 393-0745</t>
        </is>
      </c>
      <c r="G573" t="inlineStr">
        <is>
          <t>Lakeview Heights, OH 45510</t>
        </is>
      </c>
      <c r="H573" t="inlineStr">
        <is>
          <t>SILVERLINE MEDICARE ADV.</t>
        </is>
      </c>
      <c r="I573" t="inlineStr">
        <is>
          <t>304849</t>
        </is>
      </c>
      <c r="J573" t="inlineStr">
        <is>
          <t>07/12/2019 06:11 PM</t>
        </is>
      </c>
      <c r="K573" s="28" t="n"/>
      <c r="L573" s="29" t="n"/>
      <c r="M573" s="28" t="n"/>
      <c r="N573" s="28" t="n"/>
      <c r="O573" s="28" t="n"/>
      <c r="P573" s="28" t="n"/>
      <c r="Q573" s="28" t="n"/>
      <c r="R573" s="30" t="n"/>
      <c r="S573" s="28" t="n"/>
    </row>
    <row r="574">
      <c r="A574" t="inlineStr">
        <is>
          <t>R1573</t>
        </is>
      </c>
      <c r="B574" t="inlineStr">
        <is>
          <t xml:space="preserve">  Cooper ,  Billy </t>
        </is>
      </c>
      <c r="C574" t="inlineStr">
        <is>
          <t>11.10.1941</t>
        </is>
      </c>
      <c r="D574" t="inlineStr">
        <is>
          <t>M</t>
        </is>
      </c>
      <c r="E574" t="inlineStr">
        <is>
          <t>(555) 835-6841</t>
        </is>
      </c>
      <c r="G574" t="inlineStr">
        <is>
          <t>Bluestone, OH 45502</t>
        </is>
      </c>
      <c r="H574" t="inlineStr">
        <is>
          <t>Medicare</t>
        </is>
      </c>
      <c r="I574" t="inlineStr">
        <is>
          <t>08069086</t>
        </is>
      </c>
      <c r="J574" t="inlineStr">
        <is>
          <t>06/23/2012 07:40 AM</t>
        </is>
      </c>
      <c r="K574" s="28" t="n"/>
      <c r="L574" s="29" t="n"/>
      <c r="M574" s="28" t="n"/>
      <c r="N574" s="28" t="n"/>
      <c r="O574" s="28" t="n"/>
      <c r="P574" s="28" t="n"/>
      <c r="Q574" s="28" t="n"/>
      <c r="R574" s="30" t="n"/>
      <c r="S574" s="28" t="n"/>
    </row>
    <row r="575">
      <c r="A575" t="inlineStr">
        <is>
          <t>R1574</t>
        </is>
      </c>
      <c r="B575" t="inlineStr">
        <is>
          <t>Armstrong, Gregory</t>
        </is>
      </c>
      <c r="C575" t="inlineStr">
        <is>
          <t>16-Apr-2004</t>
        </is>
      </c>
      <c r="D575" t="inlineStr">
        <is>
          <t>MALE</t>
        </is>
      </c>
      <c r="E575" t="inlineStr">
        <is>
          <t>5557678188</t>
        </is>
      </c>
      <c r="G575" t="inlineStr">
        <is>
          <t>Bluestone, OH 45502</t>
        </is>
      </c>
      <c r="H575" t="inlineStr">
        <is>
          <t>Medicaid</t>
        </is>
      </c>
      <c r="I575" t="inlineStr">
        <is>
          <t>07391849</t>
        </is>
      </c>
      <c r="J575" t="inlineStr">
        <is>
          <t>03/15/2024 05:20 PM</t>
        </is>
      </c>
      <c r="K575" s="28" t="n"/>
      <c r="L575" s="29" t="n"/>
      <c r="M575" s="28" t="n"/>
      <c r="N575" s="28" t="n"/>
      <c r="O575" s="28" t="n"/>
      <c r="P575" s="28" t="n"/>
      <c r="Q575" s="28" t="n"/>
      <c r="R575" s="30" t="n"/>
      <c r="S575" s="28" t="n"/>
    </row>
    <row r="576">
      <c r="A576" t="inlineStr">
        <is>
          <t>R1575</t>
        </is>
      </c>
      <c r="B576" t="inlineStr">
        <is>
          <t>Douglas Wells</t>
        </is>
      </c>
      <c r="C576" t="inlineStr">
        <is>
          <t>02/11/2004</t>
        </is>
      </c>
      <c r="D576" t="inlineStr">
        <is>
          <t xml:space="preserve">M </t>
        </is>
      </c>
      <c r="E576" t="inlineStr">
        <is>
          <t>555-799-7018</t>
        </is>
      </c>
      <c r="F576" t="inlineStr">
        <is>
          <t xml:space="preserve"> douglas.wells56@example.com </t>
        </is>
      </c>
      <c r="G576" t="inlineStr">
        <is>
          <t>MILLBROOK, OH 45530</t>
        </is>
      </c>
      <c r="H576" t="inlineStr">
        <is>
          <t>SUMMIT CHOICE PPO</t>
        </is>
      </c>
      <c r="I576" t="inlineStr">
        <is>
          <t>08408023</t>
        </is>
      </c>
      <c r="J576" t="inlineStr">
        <is>
          <t>2015-10-15 13:27:00</t>
        </is>
      </c>
      <c r="K576" s="28" t="n"/>
      <c r="L576" s="29" t="n"/>
      <c r="M576" s="28" t="n"/>
      <c r="N576" s="28" t="n"/>
      <c r="O576" s="28" t="n"/>
      <c r="P576" s="28" t="n"/>
      <c r="Q576" s="28" t="n"/>
      <c r="R576" s="30" t="n"/>
      <c r="S576" s="28" t="n"/>
    </row>
    <row r="577">
      <c r="A577" t="inlineStr">
        <is>
          <t>R1576</t>
        </is>
      </c>
      <c r="B577" t="inlineStr">
        <is>
          <t>Chen, Richard</t>
        </is>
      </c>
      <c r="C577" t="inlineStr">
        <is>
          <t>11/09/1961</t>
        </is>
      </c>
      <c r="D577" t="inlineStr">
        <is>
          <t>M</t>
        </is>
      </c>
      <c r="E577" t="inlineStr">
        <is>
          <t>(555) 357-7400</t>
        </is>
      </c>
      <c r="F577" t="inlineStr">
        <is>
          <t>N/A</t>
        </is>
      </c>
      <c r="G577" t="inlineStr">
        <is>
          <t>Pine Hollow OH 45640</t>
        </is>
      </c>
      <c r="H577" t="inlineStr">
        <is>
          <t>Evergreen Mutual Insurance</t>
        </is>
      </c>
      <c r="I577" t="inlineStr">
        <is>
          <t>03308583</t>
        </is>
      </c>
      <c r="J577" t="inlineStr">
        <is>
          <t>2023-12-26 18:36:00</t>
        </is>
      </c>
      <c r="K577" s="28" t="n"/>
      <c r="L577" s="29" t="n"/>
      <c r="M577" s="28" t="n"/>
      <c r="N577" s="28" t="n"/>
      <c r="O577" s="28" t="n"/>
      <c r="P577" s="28" t="n"/>
      <c r="Q577" s="28" t="n"/>
      <c r="R577" s="30" t="n"/>
      <c r="S577" s="28" t="n"/>
    </row>
    <row r="578">
      <c r="A578" t="inlineStr">
        <is>
          <t>R1577</t>
        </is>
      </c>
      <c r="B578" t="inlineStr">
        <is>
          <t>PHILLIPS, ISABELLA</t>
        </is>
      </c>
      <c r="C578" t="inlineStr">
        <is>
          <t>1951-03-19</t>
        </is>
      </c>
      <c r="D578" t="inlineStr">
        <is>
          <t>F</t>
        </is>
      </c>
      <c r="E578" t="inlineStr">
        <is>
          <t>5559140353</t>
        </is>
      </c>
      <c r="G578" t="inlineStr">
        <is>
          <t>Oak Glen, OH 45730</t>
        </is>
      </c>
      <c r="H578" t="inlineStr">
        <is>
          <t>Medicare Part A</t>
        </is>
      </c>
      <c r="I578" t="inlineStr">
        <is>
          <t>01586137</t>
        </is>
      </c>
      <c r="J578" t="inlineStr">
        <is>
          <t>2015-03-22 18:34:00</t>
        </is>
      </c>
      <c r="K578" s="28" t="n"/>
      <c r="L578" s="29" t="n"/>
      <c r="M578" s="28" t="n"/>
      <c r="N578" s="28" t="n"/>
      <c r="O578" s="28" t="n"/>
      <c r="P578" s="28" t="n"/>
      <c r="Q578" s="28" t="n"/>
      <c r="R578" s="30" t="n"/>
      <c r="S578" s="28" t="n"/>
    </row>
    <row r="579">
      <c r="A579" t="inlineStr">
        <is>
          <t>R1578</t>
        </is>
      </c>
      <c r="B579" t="inlineStr">
        <is>
          <t xml:space="preserve">  Gomez ,  Susan </t>
        </is>
      </c>
      <c r="C579" t="inlineStr">
        <is>
          <t>11/30/1974</t>
        </is>
      </c>
      <c r="D579" t="inlineStr">
        <is>
          <t>Female</t>
        </is>
      </c>
      <c r="E579" t="inlineStr">
        <is>
          <t>555.882.0311</t>
        </is>
      </c>
      <c r="F579" t="inlineStr">
        <is>
          <t>susan.gomez22@example.com</t>
        </is>
      </c>
      <c r="G579" t="inlineStr">
        <is>
          <t>Bluestone, OH 45503</t>
        </is>
      </c>
      <c r="H579" t="inlineStr">
        <is>
          <t>State Medicaid</t>
        </is>
      </c>
      <c r="I579" t="inlineStr">
        <is>
          <t>2598420</t>
        </is>
      </c>
      <c r="J579" t="inlineStr">
        <is>
          <t>2013-03-25 15:08:00</t>
        </is>
      </c>
      <c r="K579" s="28" t="n"/>
      <c r="L579" s="29" t="n"/>
      <c r="M579" s="28" t="n"/>
      <c r="N579" s="28" t="n"/>
      <c r="O579" s="28" t="n"/>
      <c r="P579" s="28" t="n"/>
      <c r="Q579" s="28" t="n"/>
      <c r="R579" s="30" t="n"/>
      <c r="S579" s="28" t="n"/>
    </row>
    <row r="580">
      <c r="A580" t="inlineStr">
        <is>
          <t>R1579</t>
        </is>
      </c>
      <c r="B580" t="inlineStr">
        <is>
          <t>Moore, Zachary</t>
        </is>
      </c>
      <c r="C580" t="inlineStr">
        <is>
          <t>7/7/2020</t>
        </is>
      </c>
      <c r="D580" t="inlineStr">
        <is>
          <t>MALE</t>
        </is>
      </c>
      <c r="G580" t="inlineStr">
        <is>
          <t>BLUESTONE, OH 45503</t>
        </is>
      </c>
      <c r="H580" t="inlineStr">
        <is>
          <t>Summit Choice</t>
        </is>
      </c>
      <c r="I580" t="inlineStr">
        <is>
          <t>MRN-05606995</t>
        </is>
      </c>
      <c r="J580" t="inlineStr">
        <is>
          <t>05/23/2024 04:55 PM</t>
        </is>
      </c>
      <c r="K580" s="28" t="n"/>
      <c r="L580" s="29" t="n"/>
      <c r="M580" s="28" t="n"/>
      <c r="N580" s="28" t="n"/>
      <c r="O580" s="28" t="n"/>
      <c r="P580" s="28" t="n"/>
      <c r="Q580" s="28" t="n"/>
      <c r="R580" s="30" t="n"/>
      <c r="S580" s="28" t="n"/>
    </row>
    <row r="581">
      <c r="A581" t="inlineStr">
        <is>
          <t>R1580</t>
        </is>
      </c>
      <c r="B581" t="inlineStr">
        <is>
          <t>Beverly Pena</t>
        </is>
      </c>
      <c r="C581" t="inlineStr">
        <is>
          <t>10/12/1998</t>
        </is>
      </c>
      <c r="D581" t="inlineStr">
        <is>
          <t>Female</t>
        </is>
      </c>
      <c r="E581" t="inlineStr">
        <is>
          <t>(555) 661-1943</t>
        </is>
      </c>
      <c r="G581" t="inlineStr">
        <is>
          <t>Bluestone, OH 45502</t>
        </is>
      </c>
      <c r="H581" t="inlineStr">
        <is>
          <t>Keystone Health Ptnrs</t>
        </is>
      </c>
      <c r="I581" t="inlineStr">
        <is>
          <t>MRN-09799860</t>
        </is>
      </c>
      <c r="J581" t="inlineStr">
        <is>
          <t>10/16/2011 07:41 AM</t>
        </is>
      </c>
      <c r="K581" s="28" t="n"/>
      <c r="L581" s="29" t="n"/>
      <c r="M581" s="28" t="n"/>
      <c r="N581" s="28" t="n"/>
      <c r="O581" s="28" t="n"/>
      <c r="P581" s="28" t="n"/>
      <c r="Q581" s="28" t="n"/>
      <c r="R581" s="30" t="n"/>
      <c r="S581" s="28" t="n"/>
    </row>
    <row r="582">
      <c r="A582" t="inlineStr">
        <is>
          <t>R1581</t>
        </is>
      </c>
      <c r="B582" t="inlineStr">
        <is>
          <t>ALEXANDER, GERALD</t>
        </is>
      </c>
      <c r="C582" t="inlineStr">
        <is>
          <t>10-Jul-1977</t>
        </is>
      </c>
      <c r="D582" t="inlineStr">
        <is>
          <t>M</t>
        </is>
      </c>
      <c r="E582" t="inlineStr">
        <is>
          <t>5555862883</t>
        </is>
      </c>
      <c r="F582" t="inlineStr">
        <is>
          <t>gerald.alexander41@example.com</t>
        </is>
      </c>
      <c r="G582" t="inlineStr">
        <is>
          <t>Bluestone, OH 45502-2223</t>
        </is>
      </c>
      <c r="H582" t="inlineStr">
        <is>
          <t>medicaid</t>
        </is>
      </c>
      <c r="I582" t="inlineStr">
        <is>
          <t>09626156</t>
        </is>
      </c>
      <c r="J582" t="inlineStr">
        <is>
          <t>2017-07-16 11:07:00</t>
        </is>
      </c>
      <c r="K582" s="28" t="n"/>
      <c r="L582" s="29" t="n"/>
      <c r="M582" s="28" t="n"/>
      <c r="N582" s="28" t="n"/>
      <c r="O582" s="28" t="n"/>
      <c r="P582" s="28" t="n"/>
      <c r="Q582" s="28" t="n"/>
      <c r="R582" s="30" t="n"/>
      <c r="S582" s="28" t="n"/>
    </row>
    <row r="583">
      <c r="A583" t="inlineStr">
        <is>
          <t>R1582</t>
        </is>
      </c>
      <c r="B583" t="inlineStr">
        <is>
          <t>Ellis, Amanda</t>
        </is>
      </c>
      <c r="C583" t="inlineStr">
        <is>
          <t>1955-03-19</t>
        </is>
      </c>
      <c r="D583" t="inlineStr">
        <is>
          <t xml:space="preserve"> F</t>
        </is>
      </c>
      <c r="E583" t="inlineStr">
        <is>
          <t>555-378-5406</t>
        </is>
      </c>
      <c r="F583" t="inlineStr">
        <is>
          <t>amanda.ellis99@example.com</t>
        </is>
      </c>
      <c r="G583" t="inlineStr">
        <is>
          <t>Ashby Falls OH 45610</t>
        </is>
      </c>
      <c r="H583" t="inlineStr">
        <is>
          <t>Medicare</t>
        </is>
      </c>
      <c r="I583" t="inlineStr">
        <is>
          <t>2636513</t>
        </is>
      </c>
      <c r="J583" t="inlineStr">
        <is>
          <t>10/25/2023 03:31 PM</t>
        </is>
      </c>
      <c r="K583" s="28" t="n"/>
      <c r="L583" s="29" t="n"/>
      <c r="M583" s="28" t="n"/>
      <c r="N583" s="28" t="n"/>
      <c r="O583" s="28" t="n"/>
      <c r="P583" s="28" t="n"/>
      <c r="Q583" s="28" t="n"/>
      <c r="R583" s="30" t="n"/>
      <c r="S583" s="28" t="n"/>
    </row>
    <row r="584">
      <c r="A584" t="inlineStr">
        <is>
          <t>R1583</t>
        </is>
      </c>
      <c r="B584" t="inlineStr">
        <is>
          <t>Davis, Aaliyah</t>
        </is>
      </c>
      <c r="C584" t="inlineStr">
        <is>
          <t>10/29/2011</t>
        </is>
      </c>
      <c r="D584" t="inlineStr">
        <is>
          <t xml:space="preserve"> F</t>
        </is>
      </c>
      <c r="E584" t="inlineStr">
        <is>
          <t>555.580.3778</t>
        </is>
      </c>
      <c r="F584" t="inlineStr">
        <is>
          <t>N/A</t>
        </is>
      </c>
      <c r="G584" t="inlineStr">
        <is>
          <t>Bluestone, OH 45502</t>
        </is>
      </c>
      <c r="H584" t="inlineStr">
        <is>
          <t>Medicaid</t>
        </is>
      </c>
      <c r="I584" t="inlineStr">
        <is>
          <t>6682673</t>
        </is>
      </c>
      <c r="J584" t="inlineStr">
        <is>
          <t>2013-04-18 17:10:00</t>
        </is>
      </c>
      <c r="K584" s="28" t="n"/>
      <c r="L584" s="29" t="n"/>
      <c r="M584" s="28" t="n"/>
      <c r="N584" s="28" t="n"/>
      <c r="O584" s="28" t="n"/>
      <c r="P584" s="28" t="n"/>
      <c r="Q584" s="28" t="n"/>
      <c r="R584" s="30" t="n"/>
      <c r="S584" s="28" t="n"/>
    </row>
    <row r="585">
      <c r="A585" t="inlineStr">
        <is>
          <t>R1584</t>
        </is>
      </c>
      <c r="B585" t="inlineStr">
        <is>
          <t xml:space="preserve">  Fisher ,  Jordan </t>
        </is>
      </c>
      <c r="C585" t="inlineStr">
        <is>
          <t>06/20/1995</t>
        </is>
      </c>
      <c r="D585" t="inlineStr">
        <is>
          <t>Male</t>
        </is>
      </c>
      <c r="E585" t="inlineStr">
        <is>
          <t>555.439.0726</t>
        </is>
      </c>
      <c r="F585" t="inlineStr">
        <is>
          <t>jordan.fisher9@example.com</t>
        </is>
      </c>
      <c r="G585" t="inlineStr">
        <is>
          <t>Millbrook OH 45530</t>
        </is>
      </c>
      <c r="H585" t="inlineStr">
        <is>
          <t>Summit Choice PPO</t>
        </is>
      </c>
      <c r="I585" t="inlineStr">
        <is>
          <t>00145898</t>
        </is>
      </c>
      <c r="J585" t="inlineStr">
        <is>
          <t>2010-09-20 08:35:00</t>
        </is>
      </c>
      <c r="K585" s="28" t="n"/>
      <c r="L585" s="29" t="n"/>
      <c r="M585" s="28" t="n"/>
      <c r="N585" s="28" t="n"/>
      <c r="O585" s="28" t="n"/>
      <c r="P585" s="28" t="n"/>
      <c r="Q585" s="28" t="n"/>
      <c r="R585" s="30" t="n"/>
      <c r="S585" s="28" t="n"/>
    </row>
    <row r="586">
      <c r="A586" t="inlineStr">
        <is>
          <t>R1585</t>
        </is>
      </c>
      <c r="B586" t="inlineStr">
        <is>
          <t>Camila Abbott</t>
        </is>
      </c>
      <c r="C586" t="inlineStr">
        <is>
          <t>09/20/1982</t>
        </is>
      </c>
      <c r="D586" t="inlineStr">
        <is>
          <t xml:space="preserve"> F</t>
        </is>
      </c>
      <c r="E586" t="inlineStr">
        <is>
          <t>555-703-6887</t>
        </is>
      </c>
      <c r="F586" t="inlineStr">
        <is>
          <t>N/A</t>
        </is>
      </c>
      <c r="G586" t="inlineStr">
        <is>
          <t>Bluestone, OH 45501</t>
        </is>
      </c>
      <c r="H586" t="inlineStr">
        <is>
          <t>Evergreen Mutual</t>
        </is>
      </c>
      <c r="I586" t="inlineStr">
        <is>
          <t>8142734</t>
        </is>
      </c>
      <c r="J586" t="inlineStr">
        <is>
          <t>2017-04-28 12:54:00</t>
        </is>
      </c>
      <c r="K586" s="28" t="n"/>
      <c r="L586" s="29" t="n"/>
      <c r="M586" s="28" t="n"/>
      <c r="N586" s="28" t="n"/>
      <c r="O586" s="28" t="n"/>
      <c r="P586" s="28" t="n"/>
      <c r="Q586" s="28" t="n"/>
      <c r="R586" s="30" t="n"/>
      <c r="S586" s="28" t="n"/>
    </row>
    <row r="587">
      <c r="A587" t="inlineStr">
        <is>
          <t>R1586</t>
        </is>
      </c>
      <c r="B587" t="inlineStr">
        <is>
          <t>Kowalski, Robert</t>
        </is>
      </c>
      <c r="C587" t="inlineStr">
        <is>
          <t>05/15/1981</t>
        </is>
      </c>
      <c r="D587" t="inlineStr">
        <is>
          <t xml:space="preserve">M </t>
        </is>
      </c>
      <c r="E587" t="inlineStr">
        <is>
          <t>555-359-4360</t>
        </is>
      </c>
      <c r="F587" t="inlineStr">
        <is>
          <t>robert.kowalski92@example.com</t>
        </is>
      </c>
      <c r="G587" t="inlineStr">
        <is>
          <t>Fairhaven, OH 45620-2269</t>
        </is>
      </c>
      <c r="H587" t="inlineStr">
        <is>
          <t>Evergreen Mutual</t>
        </is>
      </c>
      <c r="I587" t="inlineStr">
        <is>
          <t>08059670</t>
        </is>
      </c>
      <c r="J587" t="inlineStr">
        <is>
          <t>08/09/2021 08:30 AM</t>
        </is>
      </c>
      <c r="K587" s="28" t="n"/>
      <c r="L587" s="29" t="n"/>
      <c r="M587" s="28" t="n"/>
      <c r="N587" s="28" t="n"/>
      <c r="O587" s="28" t="n"/>
      <c r="P587" s="28" t="n"/>
      <c r="Q587" s="28" t="n"/>
      <c r="R587" s="30" t="n"/>
      <c r="S587" s="28" t="n"/>
    </row>
    <row r="588">
      <c r="A588" t="inlineStr">
        <is>
          <t>R1587</t>
        </is>
      </c>
      <c r="B588" t="inlineStr">
        <is>
          <t xml:space="preserve">  Myers ,  Amanda </t>
        </is>
      </c>
      <c r="C588" t="inlineStr">
        <is>
          <t>05/21/1936</t>
        </is>
      </c>
      <c r="D588" t="inlineStr">
        <is>
          <t>f</t>
        </is>
      </c>
      <c r="E588" t="inlineStr">
        <is>
          <t>555.514.8680</t>
        </is>
      </c>
      <c r="F588" t="inlineStr">
        <is>
          <t>amanda.myers68@example.com</t>
        </is>
      </c>
      <c r="G588" t="inlineStr">
        <is>
          <t>Ashby Falls, OH 45610</t>
        </is>
      </c>
      <c r="H588" t="inlineStr">
        <is>
          <t>medicare</t>
        </is>
      </c>
      <c r="I588" t="inlineStr">
        <is>
          <t>6388262</t>
        </is>
      </c>
      <c r="J588" t="inlineStr">
        <is>
          <t>2023-05-28 17:24:00</t>
        </is>
      </c>
      <c r="K588" s="28" t="n"/>
      <c r="L588" s="29" t="n"/>
      <c r="M588" s="28" t="n"/>
      <c r="N588" s="28" t="n"/>
      <c r="O588" s="28" t="n"/>
      <c r="P588" s="28" t="n"/>
      <c r="Q588" s="28" t="n"/>
      <c r="R588" s="30" t="n"/>
      <c r="S588" s="28" t="n"/>
    </row>
    <row r="589">
      <c r="A589" t="inlineStr">
        <is>
          <t>R1588</t>
        </is>
      </c>
      <c r="B589" t="inlineStr">
        <is>
          <t>Larry Santos</t>
        </is>
      </c>
      <c r="C589" t="inlineStr">
        <is>
          <t>15-Aug-1957</t>
        </is>
      </c>
      <c r="D589" t="inlineStr">
        <is>
          <t>Male</t>
        </is>
      </c>
      <c r="E589" t="inlineStr">
        <is>
          <t>(555) 312-7593</t>
        </is>
      </c>
      <c r="F589" t="inlineStr">
        <is>
          <t>larry.santos7@example.com</t>
        </is>
      </c>
      <c r="G589" t="inlineStr">
        <is>
          <t>Cedar Ridge, OH 45720-4371</t>
        </is>
      </c>
      <c r="H589" t="inlineStr">
        <is>
          <t>Medicare</t>
        </is>
      </c>
      <c r="I589" t="inlineStr">
        <is>
          <t>05355579</t>
        </is>
      </c>
      <c r="J589" t="inlineStr">
        <is>
          <t>07/23/2022 10:15 AM</t>
        </is>
      </c>
      <c r="K589" s="28" t="n"/>
      <c r="L589" s="29" t="n"/>
      <c r="M589" s="28" t="n"/>
      <c r="N589" s="28" t="n"/>
      <c r="O589" s="28" t="n"/>
      <c r="P589" s="28" t="n"/>
      <c r="Q589" s="28" t="n"/>
      <c r="R589" s="30" t="n"/>
      <c r="S589" s="28" t="n"/>
    </row>
    <row r="590">
      <c r="A590" t="inlineStr">
        <is>
          <t>R1589</t>
        </is>
      </c>
      <c r="B590" t="inlineStr">
        <is>
          <t>CAMPBELL, LORI</t>
        </is>
      </c>
      <c r="C590" t="inlineStr">
        <is>
          <t>6/24/2025</t>
        </is>
      </c>
      <c r="D590" t="inlineStr">
        <is>
          <t>Female</t>
        </is>
      </c>
      <c r="E590" t="inlineStr">
        <is>
          <t>(555) 712-0407</t>
        </is>
      </c>
      <c r="G590" t="inlineStr">
        <is>
          <t>CEDAR RIDGE, OH 45720</t>
        </is>
      </c>
      <c r="H590" t="inlineStr">
        <is>
          <t>State Medicaid</t>
        </is>
      </c>
      <c r="I590" t="inlineStr">
        <is>
          <t>07000354</t>
        </is>
      </c>
      <c r="J590" t="inlineStr">
        <is>
          <t>2024-06-22 18:25:00</t>
        </is>
      </c>
      <c r="K590" s="28" t="n"/>
      <c r="L590" s="29" t="n"/>
      <c r="M590" s="28" t="n"/>
      <c r="N590" s="28" t="n"/>
      <c r="O590" s="28" t="n"/>
      <c r="P590" s="28" t="n"/>
      <c r="Q590" s="28" t="n"/>
      <c r="R590" s="30" t="n"/>
      <c r="S590" s="28" t="n"/>
    </row>
    <row r="591">
      <c r="A591" t="inlineStr">
        <is>
          <t>R1590</t>
        </is>
      </c>
      <c r="B591" t="inlineStr">
        <is>
          <t>Ramos, Elizabeth</t>
        </is>
      </c>
      <c r="C591" t="inlineStr">
        <is>
          <t>07/19/1990</t>
        </is>
      </c>
      <c r="D591" t="inlineStr">
        <is>
          <t>Female</t>
        </is>
      </c>
      <c r="E591" t="inlineStr">
        <is>
          <t>(555) 644-2166</t>
        </is>
      </c>
      <c r="F591" t="inlineStr">
        <is>
          <t>elizabeth.ramos95@example.com</t>
        </is>
      </c>
      <c r="G591" t="inlineStr">
        <is>
          <t>Ashby Falls, OH 45610</t>
        </is>
      </c>
      <c r="H591" t="inlineStr">
        <is>
          <t>Summit Choice</t>
        </is>
      </c>
      <c r="I591" t="inlineStr">
        <is>
          <t>05055526</t>
        </is>
      </c>
      <c r="J591" t="inlineStr">
        <is>
          <t>2021-04-15 15:14:00</t>
        </is>
      </c>
      <c r="K591" s="28" t="n"/>
      <c r="L591" s="29" t="n"/>
      <c r="M591" s="28" t="n"/>
      <c r="N591" s="28" t="n"/>
      <c r="O591" s="28" t="n"/>
      <c r="P591" s="28" t="n"/>
      <c r="Q591" s="28" t="n"/>
      <c r="R591" s="30" t="n"/>
      <c r="S591" s="28" t="n"/>
    </row>
    <row r="592">
      <c r="A592" t="inlineStr">
        <is>
          <t>R1591</t>
        </is>
      </c>
      <c r="B592" t="inlineStr">
        <is>
          <t>FREEMAN, EDWARD</t>
        </is>
      </c>
      <c r="C592" t="inlineStr">
        <is>
          <t>05/02/2019</t>
        </is>
      </c>
      <c r="D592" t="inlineStr">
        <is>
          <t>M</t>
        </is>
      </c>
      <c r="E592" t="inlineStr">
        <is>
          <t>555-685-0754</t>
        </is>
      </c>
      <c r="G592" t="inlineStr">
        <is>
          <t>Bluestone, OH 45502</t>
        </is>
      </c>
      <c r="H592" t="inlineStr">
        <is>
          <t>State Medicaid</t>
        </is>
      </c>
      <c r="I592" t="inlineStr">
        <is>
          <t>MRN-00342348</t>
        </is>
      </c>
      <c r="J592" t="inlineStr">
        <is>
          <t>2022-05-27 08:12:00</t>
        </is>
      </c>
      <c r="K592" s="28" t="n"/>
      <c r="L592" s="29" t="n"/>
      <c r="M592" s="28" t="n"/>
      <c r="N592" s="28" t="n"/>
      <c r="O592" s="28" t="n"/>
      <c r="P592" s="28" t="n"/>
      <c r="Q592" s="28" t="n"/>
      <c r="R592" s="30" t="n"/>
      <c r="S592" s="28" t="n"/>
    </row>
    <row r="593">
      <c r="A593" t="inlineStr">
        <is>
          <t>R1592</t>
        </is>
      </c>
      <c r="B593" t="inlineStr">
        <is>
          <t>Dixon, Liam</t>
        </is>
      </c>
      <c r="C593" t="inlineStr">
        <is>
          <t>30-Apr-1961</t>
        </is>
      </c>
      <c r="D593" t="inlineStr">
        <is>
          <t>Male</t>
        </is>
      </c>
      <c r="E593" t="inlineStr">
        <is>
          <t>+1 555 975 9093</t>
        </is>
      </c>
      <c r="G593" t="inlineStr">
        <is>
          <t>Ashby Falls, OH 45610</t>
        </is>
      </c>
      <c r="H593" t="inlineStr">
        <is>
          <t>STATE MEDICAID</t>
        </is>
      </c>
      <c r="I593" t="inlineStr">
        <is>
          <t>630773</t>
        </is>
      </c>
      <c r="J593" t="inlineStr">
        <is>
          <t>2023-10-25 08:36:00</t>
        </is>
      </c>
      <c r="K593" s="28" t="n"/>
      <c r="L593" s="29" t="n"/>
      <c r="M593" s="28" t="n"/>
      <c r="N593" s="28" t="n"/>
      <c r="O593" s="28" t="n"/>
      <c r="P593" s="28" t="n"/>
      <c r="Q593" s="28" t="n"/>
      <c r="R593" s="30" t="n"/>
      <c r="S593" s="28" t="n"/>
    </row>
    <row r="594">
      <c r="A594" t="inlineStr">
        <is>
          <t>R1593</t>
        </is>
      </c>
      <c r="B594" t="inlineStr">
        <is>
          <t>Alvarez, Sandra</t>
        </is>
      </c>
      <c r="C594" t="inlineStr">
        <is>
          <t>14-Oct-1950</t>
        </is>
      </c>
      <c r="D594" t="inlineStr">
        <is>
          <t>FEMALE</t>
        </is>
      </c>
      <c r="E594" t="inlineStr">
        <is>
          <t>(555) 257-2307</t>
        </is>
      </c>
      <c r="F594" t="inlineStr">
        <is>
          <t>sandra.alvarez70@example.com</t>
        </is>
      </c>
      <c r="G594" t="inlineStr">
        <is>
          <t>Cedar Ridge OH 45720</t>
        </is>
      </c>
      <c r="H594" t="inlineStr">
        <is>
          <t>Silverline MA</t>
        </is>
      </c>
      <c r="I594" t="inlineStr">
        <is>
          <t>9378606</t>
        </is>
      </c>
      <c r="J594" t="inlineStr">
        <is>
          <t>2019-07-18 16:51:00</t>
        </is>
      </c>
      <c r="K594" s="28" t="n"/>
      <c r="L594" s="29" t="n"/>
      <c r="M594" s="28" t="n"/>
      <c r="N594" s="28" t="n"/>
      <c r="O594" s="28" t="n"/>
      <c r="P594" s="28" t="n"/>
      <c r="Q594" s="28" t="n"/>
      <c r="R594" s="30" t="n"/>
      <c r="S594" s="28" t="n"/>
    </row>
    <row r="595">
      <c r="A595" t="inlineStr">
        <is>
          <t>R1594</t>
        </is>
      </c>
      <c r="B595" t="inlineStr">
        <is>
          <t>Ramos, Denise</t>
        </is>
      </c>
      <c r="C595" t="inlineStr">
        <is>
          <t>01-Feb-1991</t>
        </is>
      </c>
      <c r="D595" t="inlineStr">
        <is>
          <t>f</t>
        </is>
      </c>
      <c r="E595" t="inlineStr">
        <is>
          <t>(555) 753-8264</t>
        </is>
      </c>
      <c r="F595" t="inlineStr">
        <is>
          <t>none</t>
        </is>
      </c>
      <c r="G595" t="inlineStr">
        <is>
          <t>Pine Hollow, OH 45640-7630</t>
        </is>
      </c>
      <c r="H595" t="inlineStr">
        <is>
          <t>medicaid</t>
        </is>
      </c>
      <c r="I595" t="inlineStr">
        <is>
          <t>03585244</t>
        </is>
      </c>
      <c r="J595" t="inlineStr">
        <is>
          <t>2022-12-07 15:11:00</t>
        </is>
      </c>
      <c r="K595" s="28" t="n"/>
      <c r="L595" s="29" t="n"/>
      <c r="M595" s="28" t="n"/>
      <c r="N595" s="28" t="n"/>
      <c r="O595" s="28" t="n"/>
      <c r="P595" s="28" t="n"/>
      <c r="Q595" s="28" t="n"/>
      <c r="R595" s="30" t="n"/>
      <c r="S595" s="28" t="n"/>
    </row>
    <row r="596">
      <c r="A596" t="inlineStr">
        <is>
          <t>R1595</t>
        </is>
      </c>
      <c r="B596" t="inlineStr">
        <is>
          <t xml:space="preserve">  Walker ,  Angela </t>
        </is>
      </c>
      <c r="C596" t="inlineStr">
        <is>
          <t>21-Nov-1979</t>
        </is>
      </c>
      <c r="D596" t="inlineStr">
        <is>
          <t>FEMALE</t>
        </is>
      </c>
      <c r="E596" t="inlineStr">
        <is>
          <t>555.777.3370</t>
        </is>
      </c>
      <c r="F596" t="inlineStr">
        <is>
          <t>angela.walker17@example.com</t>
        </is>
      </c>
      <c r="G596" t="inlineStr">
        <is>
          <t>Lakeview Heights, OH 45510</t>
        </is>
      </c>
      <c r="H596" t="inlineStr">
        <is>
          <t>STATE MEDICAID</t>
        </is>
      </c>
      <c r="I596" t="inlineStr">
        <is>
          <t>08702071</t>
        </is>
      </c>
      <c r="J596" t="inlineStr">
        <is>
          <t>2016-06-16 16:07:00</t>
        </is>
      </c>
      <c r="K596" s="28" t="n"/>
      <c r="L596" s="29" t="n"/>
      <c r="M596" s="28" t="n"/>
      <c r="N596" s="28" t="n"/>
      <c r="O596" s="28" t="n"/>
      <c r="P596" s="28" t="n"/>
      <c r="Q596" s="28" t="n"/>
      <c r="R596" s="30" t="n"/>
      <c r="S596" s="28" t="n"/>
    </row>
    <row r="597">
      <c r="A597" t="inlineStr">
        <is>
          <t>R1596</t>
        </is>
      </c>
      <c r="B597" t="inlineStr">
        <is>
          <t>kim, fatima</t>
        </is>
      </c>
      <c r="C597" t="inlineStr">
        <is>
          <t>1944-10-23</t>
        </is>
      </c>
      <c r="D597" t="inlineStr">
        <is>
          <t>F</t>
        </is>
      </c>
      <c r="E597" t="inlineStr">
        <is>
          <t>555-212-3840</t>
        </is>
      </c>
      <c r="G597" t="inlineStr">
        <is>
          <t>Bluestone, OH 45502</t>
        </is>
      </c>
      <c r="H597" t="inlineStr">
        <is>
          <t xml:space="preserve">Medicare </t>
        </is>
      </c>
      <c r="I597" t="inlineStr">
        <is>
          <t>09570458</t>
        </is>
      </c>
      <c r="J597" t="inlineStr">
        <is>
          <t>01/18/2020 05:13 PM</t>
        </is>
      </c>
      <c r="K597" s="28" t="n"/>
      <c r="L597" s="29" t="n"/>
      <c r="M597" s="28" t="n"/>
      <c r="N597" s="28" t="n"/>
      <c r="O597" s="28" t="n"/>
      <c r="P597" s="28" t="n"/>
      <c r="Q597" s="28" t="n"/>
      <c r="R597" s="30" t="n"/>
      <c r="S597" s="28" t="n"/>
    </row>
    <row r="598">
      <c r="A598" t="inlineStr">
        <is>
          <t>R1597</t>
        </is>
      </c>
      <c r="B598" t="inlineStr">
        <is>
          <t>Sophia Tucker</t>
        </is>
      </c>
      <c r="C598" t="inlineStr">
        <is>
          <t>09/08/1966</t>
        </is>
      </c>
      <c r="D598" t="inlineStr">
        <is>
          <t>F</t>
        </is>
      </c>
      <c r="E598" t="inlineStr">
        <is>
          <t>5553385503</t>
        </is>
      </c>
      <c r="F598" t="inlineStr">
        <is>
          <t>none</t>
        </is>
      </c>
      <c r="G598" t="inlineStr">
        <is>
          <t>BLUESTONE, OH 45502</t>
        </is>
      </c>
      <c r="H598" t="inlineStr">
        <is>
          <t>medicaid</t>
        </is>
      </c>
      <c r="I598" t="inlineStr">
        <is>
          <t>01276260</t>
        </is>
      </c>
      <c r="J598" t="inlineStr">
        <is>
          <t>12/21/2019 02:06 PM</t>
        </is>
      </c>
      <c r="K598" s="28" t="n"/>
      <c r="L598" s="29" t="n"/>
      <c r="M598" s="28" t="n"/>
      <c r="N598" s="28" t="n"/>
      <c r="O598" s="28" t="n"/>
      <c r="P598" s="28" t="n"/>
      <c r="Q598" s="28" t="n"/>
      <c r="R598" s="30" t="n"/>
      <c r="S598" s="28" t="n"/>
    </row>
    <row r="599">
      <c r="A599" t="inlineStr">
        <is>
          <t>R1598</t>
        </is>
      </c>
      <c r="B599" t="inlineStr">
        <is>
          <t>okafor, ashley</t>
        </is>
      </c>
      <c r="C599" t="inlineStr">
        <is>
          <t>1964-11-15</t>
        </is>
      </c>
      <c r="D599" t="inlineStr">
        <is>
          <t>F</t>
        </is>
      </c>
      <c r="E599" t="inlineStr">
        <is>
          <t>(555) 688-2115</t>
        </is>
      </c>
      <c r="F599" t="inlineStr">
        <is>
          <t>none</t>
        </is>
      </c>
      <c r="G599" t="inlineStr">
        <is>
          <t>Cedar Ridge, OH 45720</t>
        </is>
      </c>
      <c r="H599" t="inlineStr">
        <is>
          <t>medicaid</t>
        </is>
      </c>
      <c r="I599" t="inlineStr">
        <is>
          <t>08967898</t>
        </is>
      </c>
      <c r="J599" t="inlineStr">
        <is>
          <t>02/16/2011 04:31 PM</t>
        </is>
      </c>
      <c r="K599" s="28" t="n"/>
      <c r="L599" s="29" t="n"/>
      <c r="M599" s="28" t="n"/>
      <c r="N599" s="28" t="n"/>
      <c r="O599" s="28" t="n"/>
      <c r="P599" s="28" t="n"/>
      <c r="Q599" s="28" t="n"/>
      <c r="R599" s="30" t="n"/>
      <c r="S599" s="28" t="n"/>
    </row>
    <row r="600">
      <c r="A600" t="inlineStr">
        <is>
          <t>R1599</t>
        </is>
      </c>
      <c r="B600" t="inlineStr">
        <is>
          <t>RIVERA, JANICE</t>
        </is>
      </c>
      <c r="C600" t="inlineStr">
        <is>
          <t>03-Oct-1954</t>
        </is>
      </c>
      <c r="D600" t="inlineStr">
        <is>
          <t>F</t>
        </is>
      </c>
      <c r="E600" t="inlineStr">
        <is>
          <t>555-215-2910</t>
        </is>
      </c>
      <c r="F600" t="inlineStr">
        <is>
          <t>JANICE.RIVERA6@EXAMPLE.COM</t>
        </is>
      </c>
      <c r="G600" t="inlineStr">
        <is>
          <t>Bluestone OH 45502</t>
        </is>
      </c>
      <c r="H600" t="inlineStr">
        <is>
          <t>Medicare</t>
        </is>
      </c>
      <c r="I600" t="inlineStr">
        <is>
          <t>08967147</t>
        </is>
      </c>
      <c r="J600" t="inlineStr">
        <is>
          <t>10/31/2015 05:43 PM</t>
        </is>
      </c>
      <c r="K600" s="28" t="n"/>
      <c r="L600" s="29" t="n"/>
      <c r="M600" s="28" t="n"/>
      <c r="N600" s="28" t="n"/>
      <c r="O600" s="28" t="n"/>
      <c r="P600" s="28" t="n"/>
      <c r="Q600" s="28" t="n"/>
      <c r="R600" s="30" t="n"/>
      <c r="S600" s="28" t="n"/>
    </row>
    <row r="601">
      <c r="A601" t="inlineStr">
        <is>
          <t>R1600</t>
        </is>
      </c>
      <c r="B601" t="inlineStr">
        <is>
          <t xml:space="preserve">  Hawkins ,  Sara </t>
        </is>
      </c>
      <c r="C601" t="inlineStr">
        <is>
          <t>11.08.1957</t>
        </is>
      </c>
      <c r="D601" t="inlineStr">
        <is>
          <t>F</t>
        </is>
      </c>
      <c r="E601" t="inlineStr">
        <is>
          <t>(555) 955-2451</t>
        </is>
      </c>
      <c r="F601" t="inlineStr">
        <is>
          <t xml:space="preserve"> sara.hawkins92@example.com </t>
        </is>
      </c>
      <c r="G601" t="inlineStr">
        <is>
          <t>Bluestone, OH 45501</t>
        </is>
      </c>
      <c r="H601" t="inlineStr">
        <is>
          <t>Medicare</t>
        </is>
      </c>
      <c r="I601" t="inlineStr">
        <is>
          <t>08051325</t>
        </is>
      </c>
      <c r="J601" t="inlineStr">
        <is>
          <t>2010-10-27 16:06:00</t>
        </is>
      </c>
      <c r="K601" s="28" t="n"/>
      <c r="L601" s="29" t="n"/>
      <c r="M601" s="28" t="n"/>
      <c r="N601" s="28" t="n"/>
      <c r="O601" s="28" t="n"/>
      <c r="P601" s="28" t="n"/>
      <c r="Q601" s="28" t="n"/>
      <c r="R601" s="30" t="n"/>
      <c r="S601" s="28" t="n"/>
    </row>
    <row r="602">
      <c r="A602" t="inlineStr">
        <is>
          <t>R1601</t>
        </is>
      </c>
      <c r="B602" t="inlineStr">
        <is>
          <t xml:space="preserve">  O'Brien ,  Timothy </t>
        </is>
      </c>
      <c r="C602" t="inlineStr">
        <is>
          <t>4/15/2024</t>
        </is>
      </c>
      <c r="D602" t="inlineStr">
        <is>
          <t>M</t>
        </is>
      </c>
      <c r="E602" t="inlineStr">
        <is>
          <t>(555) 425-7629</t>
        </is>
      </c>
      <c r="G602" t="inlineStr">
        <is>
          <t>Cedar Ridge, OH 45720</t>
        </is>
      </c>
      <c r="H602" t="inlineStr">
        <is>
          <t>SUMMIT CHOICE PPO</t>
        </is>
      </c>
      <c r="I602" t="inlineStr">
        <is>
          <t>4446447</t>
        </is>
      </c>
      <c r="J602" t="inlineStr">
        <is>
          <t>2024-03-28 16:35:00</t>
        </is>
      </c>
      <c r="K602" s="28" t="n"/>
      <c r="L602" s="29" t="n"/>
      <c r="M602" s="28" t="n"/>
      <c r="N602" s="28" t="n"/>
      <c r="O602" s="28" t="n"/>
      <c r="P602" s="28" t="n"/>
      <c r="Q602" s="28" t="n"/>
      <c r="R602" s="30" t="n"/>
      <c r="S602" s="28" t="n"/>
    </row>
    <row r="603">
      <c r="A603" t="inlineStr">
        <is>
          <t>R1602</t>
        </is>
      </c>
      <c r="B603" t="inlineStr">
        <is>
          <t xml:space="preserve">  Ramos ,  Mark </t>
        </is>
      </c>
      <c r="C603" t="inlineStr">
        <is>
          <t>08/06/1963</t>
        </is>
      </c>
      <c r="D603" t="inlineStr">
        <is>
          <t>Male</t>
        </is>
      </c>
      <c r="E603" t="inlineStr">
        <is>
          <t>(555) 480-8570</t>
        </is>
      </c>
      <c r="G603" t="inlineStr">
        <is>
          <t>Bluestone, OH 45501</t>
        </is>
      </c>
      <c r="H603" t="inlineStr">
        <is>
          <t>medicaid</t>
        </is>
      </c>
      <c r="I603" t="inlineStr">
        <is>
          <t>05206313</t>
        </is>
      </c>
      <c r="J603" t="inlineStr">
        <is>
          <t>2017-09-02 07:21:00</t>
        </is>
      </c>
      <c r="K603" s="28" t="n"/>
      <c r="L603" s="29" t="n"/>
      <c r="M603" s="28" t="n"/>
      <c r="N603" s="28" t="n"/>
      <c r="O603" s="28" t="n"/>
      <c r="P603" s="28" t="n"/>
      <c r="Q603" s="28" t="n"/>
      <c r="R603" s="30" t="n"/>
      <c r="S603" s="28" t="n"/>
    </row>
    <row r="604">
      <c r="A604" t="inlineStr">
        <is>
          <t>R1603</t>
        </is>
      </c>
      <c r="B604" t="inlineStr">
        <is>
          <t>Reynolds, Isabella</t>
        </is>
      </c>
      <c r="C604" t="inlineStr">
        <is>
          <t>12/13/1947</t>
        </is>
      </c>
      <c r="D604" t="inlineStr">
        <is>
          <t>FEMALE</t>
        </is>
      </c>
      <c r="E604" t="inlineStr">
        <is>
          <t>(555) 575-8192</t>
        </is>
      </c>
      <c r="F604" t="inlineStr">
        <is>
          <t>ISABELLA.REYNOLDS40@EXAMPLE.COM</t>
        </is>
      </c>
      <c r="G604" t="inlineStr">
        <is>
          <t>Granite Springs, OH 45750-6869</t>
        </is>
      </c>
      <c r="H604" t="inlineStr">
        <is>
          <t>MEDICARE</t>
        </is>
      </c>
      <c r="I604" t="inlineStr">
        <is>
          <t>02373873</t>
        </is>
      </c>
      <c r="J604" t="inlineStr">
        <is>
          <t>2017-03-22 07:11:00</t>
        </is>
      </c>
      <c r="K604" s="28" t="n"/>
      <c r="L604" s="29" t="n"/>
      <c r="M604" s="28" t="n"/>
      <c r="N604" s="28" t="n"/>
      <c r="O604" s="28" t="n"/>
      <c r="P604" s="28" t="n"/>
      <c r="Q604" s="28" t="n"/>
      <c r="R604" s="30" t="n"/>
      <c r="S604" s="28" t="n"/>
    </row>
    <row r="605">
      <c r="A605" t="inlineStr">
        <is>
          <t>R1604</t>
        </is>
      </c>
      <c r="B605" t="inlineStr">
        <is>
          <t>PATTERSON, GABRIEL</t>
        </is>
      </c>
      <c r="C605" t="inlineStr">
        <is>
          <t>10/08/1936</t>
        </is>
      </c>
      <c r="D605" t="inlineStr">
        <is>
          <t>M</t>
        </is>
      </c>
      <c r="E605" t="inlineStr">
        <is>
          <t>(555) 257-2155</t>
        </is>
      </c>
      <c r="G605" t="inlineStr">
        <is>
          <t>Bluestone, OH 45502</t>
        </is>
      </c>
      <c r="H605" t="inlineStr">
        <is>
          <t>SILVERLINE MEDICARE ADV.</t>
        </is>
      </c>
      <c r="I605" t="inlineStr">
        <is>
          <t>05240044</t>
        </is>
      </c>
      <c r="J605" t="inlineStr">
        <is>
          <t>04/18/2008 01:50 PM</t>
        </is>
      </c>
      <c r="K605" s="28" t="n"/>
      <c r="L605" s="29" t="n"/>
      <c r="M605" s="28" t="n"/>
      <c r="N605" s="28" t="n"/>
      <c r="O605" s="28" t="n"/>
      <c r="P605" s="28" t="n"/>
      <c r="Q605" s="28" t="n"/>
      <c r="R605" s="30" t="n"/>
      <c r="S605" s="28" t="n"/>
    </row>
    <row r="606">
      <c r="A606" t="inlineStr">
        <is>
          <t>R1605</t>
        </is>
      </c>
      <c r="B606" t="inlineStr">
        <is>
          <t>Willie Torres</t>
        </is>
      </c>
      <c r="C606" t="inlineStr">
        <is>
          <t>02/14/1968</t>
        </is>
      </c>
      <c r="D606" t="inlineStr">
        <is>
          <t>MALE</t>
        </is>
      </c>
      <c r="E606" t="inlineStr">
        <is>
          <t>555-380-4824</t>
        </is>
      </c>
      <c r="G606" t="inlineStr">
        <is>
          <t>Bluestone, OH 45503</t>
        </is>
      </c>
      <c r="H606" t="inlineStr">
        <is>
          <t>State Medicaid</t>
        </is>
      </c>
      <c r="I606" t="inlineStr">
        <is>
          <t>01841683</t>
        </is>
      </c>
      <c r="J606" t="inlineStr">
        <is>
          <t>2021-11-21 16:29:00</t>
        </is>
      </c>
      <c r="K606" s="28" t="n"/>
      <c r="L606" s="29" t="n"/>
      <c r="M606" s="28" t="n"/>
      <c r="N606" s="28" t="n"/>
      <c r="O606" s="28" t="n"/>
      <c r="P606" s="28" t="n"/>
      <c r="Q606" s="28" t="n"/>
      <c r="R606" s="30" t="n"/>
      <c r="S606" s="28" t="n"/>
    </row>
    <row r="607">
      <c r="A607" t="inlineStr">
        <is>
          <t>R1606</t>
        </is>
      </c>
      <c r="B607" t="inlineStr">
        <is>
          <t>webb, diana</t>
        </is>
      </c>
      <c r="C607" t="inlineStr">
        <is>
          <t>08/01/1959</t>
        </is>
      </c>
      <c r="D607" t="inlineStr">
        <is>
          <t>FEMALE</t>
        </is>
      </c>
      <c r="E607" t="inlineStr">
        <is>
          <t>(555) 249-5294</t>
        </is>
      </c>
      <c r="F607" t="inlineStr">
        <is>
          <t>diana.webb36@example.com</t>
        </is>
      </c>
      <c r="G607" t="inlineStr">
        <is>
          <t>BLUESTONE, OH 45501</t>
        </is>
      </c>
      <c r="H607" t="inlineStr">
        <is>
          <t xml:space="preserve">Medicare </t>
        </is>
      </c>
      <c r="I607" t="inlineStr">
        <is>
          <t>8384268</t>
        </is>
      </c>
      <c r="J607" t="inlineStr">
        <is>
          <t>2022-12-15 13:49:00</t>
        </is>
      </c>
      <c r="K607" s="28" t="n"/>
      <c r="L607" s="29" t="n"/>
      <c r="M607" s="28" t="n"/>
      <c r="N607" s="28" t="n"/>
      <c r="O607" s="28" t="n"/>
      <c r="P607" s="28" t="n"/>
      <c r="Q607" s="28" t="n"/>
      <c r="R607" s="30" t="n"/>
      <c r="S607" s="28" t="n"/>
    </row>
    <row r="608">
      <c r="A608" t="inlineStr">
        <is>
          <t>R1607</t>
        </is>
      </c>
      <c r="B608" t="inlineStr">
        <is>
          <t>Ramirez, Mason</t>
        </is>
      </c>
      <c r="C608" t="inlineStr">
        <is>
          <t>11/30/2011</t>
        </is>
      </c>
      <c r="D608" t="inlineStr">
        <is>
          <t>M</t>
        </is>
      </c>
      <c r="E608" t="inlineStr">
        <is>
          <t>(555) 827-5705</t>
        </is>
      </c>
      <c r="F608" t="inlineStr">
        <is>
          <t>N/A</t>
        </is>
      </c>
      <c r="G608" t="inlineStr">
        <is>
          <t>Granite Springs, OH 45750</t>
        </is>
      </c>
      <c r="H608" t="inlineStr">
        <is>
          <t>KEYSTONE HEALTH PARTNERS</t>
        </is>
      </c>
      <c r="I608" t="inlineStr">
        <is>
          <t>07645935</t>
        </is>
      </c>
      <c r="J608" t="inlineStr">
        <is>
          <t>2013-04-21 12:10:00</t>
        </is>
      </c>
      <c r="K608" s="28" t="n"/>
      <c r="L608" s="29" t="n"/>
      <c r="M608" s="28" t="n"/>
      <c r="N608" s="28" t="n"/>
      <c r="O608" s="28" t="n"/>
      <c r="P608" s="28" t="n"/>
      <c r="Q608" s="28" t="n"/>
      <c r="R608" s="30" t="n"/>
      <c r="S608" s="28" t="n"/>
    </row>
    <row r="609">
      <c r="A609" t="inlineStr">
        <is>
          <t>R1608</t>
        </is>
      </c>
      <c r="B609" t="inlineStr">
        <is>
          <t xml:space="preserve">  Nguyen ,  Willie </t>
        </is>
      </c>
      <c r="C609" t="inlineStr">
        <is>
          <t>1963-08-22</t>
        </is>
      </c>
      <c r="D609" t="inlineStr">
        <is>
          <t>m</t>
        </is>
      </c>
      <c r="E609" t="inlineStr">
        <is>
          <t>555.821.2419</t>
        </is>
      </c>
      <c r="F609" t="inlineStr">
        <is>
          <t>N/A</t>
        </is>
      </c>
      <c r="G609" t="inlineStr">
        <is>
          <t>BLUESTONE, OH 45502</t>
        </is>
      </c>
      <c r="H609" t="inlineStr">
        <is>
          <t>STATE MEDICAID</t>
        </is>
      </c>
      <c r="I609" t="inlineStr">
        <is>
          <t>01589690</t>
        </is>
      </c>
      <c r="J609" t="inlineStr">
        <is>
          <t>2010-07-22 18:27:00</t>
        </is>
      </c>
      <c r="K609" s="28" t="n"/>
      <c r="L609" s="29" t="n"/>
      <c r="M609" s="28" t="n"/>
      <c r="N609" s="28" t="n"/>
      <c r="O609" s="28" t="n"/>
      <c r="P609" s="28" t="n"/>
      <c r="Q609" s="28" t="n"/>
      <c r="R609" s="30" t="n"/>
      <c r="S609" s="28" t="n"/>
    </row>
    <row r="610">
      <c r="A610" t="inlineStr">
        <is>
          <t>R1609</t>
        </is>
      </c>
      <c r="B610" t="inlineStr">
        <is>
          <t>Debra Long</t>
        </is>
      </c>
      <c r="C610" t="inlineStr">
        <is>
          <t>09/28/1935</t>
        </is>
      </c>
      <c r="D610" t="inlineStr">
        <is>
          <t xml:space="preserve"> F</t>
        </is>
      </c>
      <c r="E610" t="inlineStr">
        <is>
          <t>(555) 279-3996</t>
        </is>
      </c>
      <c r="F610" t="inlineStr">
        <is>
          <t>DEBRA.LONG43@EXAMPLE.COM</t>
        </is>
      </c>
      <c r="G610" t="inlineStr">
        <is>
          <t>Cedar Ridge, OH 45720</t>
        </is>
      </c>
      <c r="H610" t="inlineStr">
        <is>
          <t>MEDICARE</t>
        </is>
      </c>
      <c r="I610" t="inlineStr">
        <is>
          <t>00914485</t>
        </is>
      </c>
      <c r="J610" t="inlineStr">
        <is>
          <t>2022-03-24 09:09:00</t>
        </is>
      </c>
      <c r="K610" s="28" t="n"/>
      <c r="L610" s="29" t="n"/>
      <c r="M610" s="28" t="n"/>
      <c r="N610" s="28" t="n"/>
      <c r="O610" s="28" t="n"/>
      <c r="P610" s="28" t="n"/>
      <c r="Q610" s="28" t="n"/>
      <c r="R610" s="30" t="n"/>
      <c r="S610" s="28" t="n"/>
    </row>
    <row r="611">
      <c r="A611" t="inlineStr">
        <is>
          <t>R1610</t>
        </is>
      </c>
      <c r="B611" t="inlineStr">
        <is>
          <t>ADAMS, ROY</t>
        </is>
      </c>
      <c r="C611" t="inlineStr">
        <is>
          <t>1950-11-15</t>
        </is>
      </c>
      <c r="D611" t="inlineStr">
        <is>
          <t xml:space="preserve">M </t>
        </is>
      </c>
      <c r="F611" t="inlineStr">
        <is>
          <t>N/A</t>
        </is>
      </c>
      <c r="G611" t="inlineStr">
        <is>
          <t>Bluestone, OH 45502</t>
        </is>
      </c>
      <c r="H611" t="inlineStr">
        <is>
          <t>MEDICARE</t>
        </is>
      </c>
      <c r="I611" t="inlineStr">
        <is>
          <t>04875752</t>
        </is>
      </c>
      <c r="J611" t="inlineStr">
        <is>
          <t>09/24/2014 08:35 AM</t>
        </is>
      </c>
      <c r="K611" s="28" t="n"/>
      <c r="L611" s="29" t="n"/>
      <c r="M611" s="28" t="n"/>
      <c r="N611" s="28" t="n"/>
      <c r="O611" s="28" t="n"/>
      <c r="P611" s="28" t="n"/>
      <c r="Q611" s="28" t="n"/>
      <c r="R611" s="30" t="n"/>
      <c r="S611" s="28" t="n"/>
    </row>
    <row r="612">
      <c r="A612" t="inlineStr">
        <is>
          <t>R1611</t>
        </is>
      </c>
      <c r="B612" t="inlineStr">
        <is>
          <t>Harris, Linh</t>
        </is>
      </c>
      <c r="C612" t="inlineStr">
        <is>
          <t>11/24/2014</t>
        </is>
      </c>
      <c r="D612" t="inlineStr">
        <is>
          <t xml:space="preserve"> F</t>
        </is>
      </c>
      <c r="E612" t="inlineStr">
        <is>
          <t>(555) 260-5354</t>
        </is>
      </c>
      <c r="G612" t="inlineStr">
        <is>
          <t>Lakeview Heights, OH 45510</t>
        </is>
      </c>
      <c r="H612" t="inlineStr">
        <is>
          <t>STATE MEDICAID</t>
        </is>
      </c>
      <c r="I612" t="inlineStr">
        <is>
          <t>03268677</t>
        </is>
      </c>
      <c r="J612" t="inlineStr">
        <is>
          <t>08/27/2023 06:48 PM</t>
        </is>
      </c>
      <c r="K612" s="28" t="n"/>
      <c r="L612" s="29" t="n"/>
      <c r="M612" s="28" t="n"/>
      <c r="N612" s="28" t="n"/>
      <c r="O612" s="28" t="n"/>
      <c r="P612" s="28" t="n"/>
      <c r="Q612" s="28" t="n"/>
      <c r="R612" s="30" t="n"/>
      <c r="S612" s="28" t="n"/>
    </row>
    <row r="613">
      <c r="A613" t="inlineStr">
        <is>
          <t>R1612</t>
        </is>
      </c>
      <c r="B613" t="inlineStr">
        <is>
          <t>Cook, Linh</t>
        </is>
      </c>
      <c r="C613" t="inlineStr">
        <is>
          <t>06-Jun-1946</t>
        </is>
      </c>
      <c r="D613" t="inlineStr">
        <is>
          <t>F</t>
        </is>
      </c>
      <c r="E613" t="inlineStr">
        <is>
          <t>5556154643</t>
        </is>
      </c>
      <c r="F613" t="inlineStr">
        <is>
          <t>linh.cook96@example.com</t>
        </is>
      </c>
      <c r="G613" t="inlineStr">
        <is>
          <t>Fairhaven, OH 45620</t>
        </is>
      </c>
      <c r="H613" t="inlineStr">
        <is>
          <t xml:space="preserve">Medicare </t>
        </is>
      </c>
      <c r="I613" t="inlineStr">
        <is>
          <t>3818806</t>
        </is>
      </c>
      <c r="J613" t="inlineStr">
        <is>
          <t>2022-03-14 13:07:00</t>
        </is>
      </c>
      <c r="K613" s="28" t="n"/>
      <c r="L613" s="29" t="n"/>
      <c r="M613" s="28" t="n"/>
      <c r="N613" s="28" t="n"/>
      <c r="O613" s="28" t="n"/>
      <c r="P613" s="28" t="n"/>
      <c r="Q613" s="28" t="n"/>
      <c r="R613" s="30" t="n"/>
      <c r="S613" s="28" t="n"/>
    </row>
    <row r="614">
      <c r="A614" t="inlineStr">
        <is>
          <t>R1613</t>
        </is>
      </c>
      <c r="B614" t="inlineStr">
        <is>
          <t>Alexander, Julie</t>
        </is>
      </c>
      <c r="C614" t="inlineStr">
        <is>
          <t>10/14/1976</t>
        </is>
      </c>
      <c r="D614" t="inlineStr">
        <is>
          <t>FEMALE</t>
        </is>
      </c>
      <c r="E614" t="inlineStr">
        <is>
          <t>555.228.2484</t>
        </is>
      </c>
      <c r="F614" t="inlineStr">
        <is>
          <t>julie.alexander60@example.com</t>
        </is>
      </c>
      <c r="G614" t="inlineStr">
        <is>
          <t>Lakeview Heights OH 45510</t>
        </is>
      </c>
      <c r="H614" t="inlineStr">
        <is>
          <t>Keystone</t>
        </is>
      </c>
      <c r="I614" t="inlineStr">
        <is>
          <t>04260549</t>
        </is>
      </c>
      <c r="J614" t="inlineStr">
        <is>
          <t>2023-08-06 14:47:00</t>
        </is>
      </c>
      <c r="K614" s="28" t="n"/>
      <c r="L614" s="29" t="n"/>
      <c r="M614" s="28" t="n"/>
      <c r="N614" s="28" t="n"/>
      <c r="O614" s="28" t="n"/>
      <c r="P614" s="28" t="n"/>
      <c r="Q614" s="28" t="n"/>
      <c r="R614" s="30" t="n"/>
      <c r="S614" s="28" t="n"/>
    </row>
    <row r="615">
      <c r="A615" t="inlineStr">
        <is>
          <t>R1614</t>
        </is>
      </c>
      <c r="B615" t="inlineStr">
        <is>
          <t>MORGAN, BRUCE</t>
        </is>
      </c>
      <c r="C615" t="inlineStr">
        <is>
          <t>1945-09-29</t>
        </is>
      </c>
      <c r="D615" t="inlineStr">
        <is>
          <t>M</t>
        </is>
      </c>
      <c r="E615" t="inlineStr">
        <is>
          <t>555-339-1617</t>
        </is>
      </c>
      <c r="F615" t="inlineStr">
        <is>
          <t xml:space="preserve"> bruce.morgan9@example.com </t>
        </is>
      </c>
      <c r="G615" t="inlineStr">
        <is>
          <t>Bluestone OH 45501</t>
        </is>
      </c>
      <c r="H615" t="inlineStr">
        <is>
          <t xml:space="preserve">Silverline Medicare Advantage </t>
        </is>
      </c>
      <c r="I615" t="inlineStr">
        <is>
          <t>08554017</t>
        </is>
      </c>
      <c r="J615" t="inlineStr">
        <is>
          <t>2023-12-02 13:36:00</t>
        </is>
      </c>
      <c r="K615" s="28" t="n"/>
      <c r="L615" s="29" t="n"/>
      <c r="M615" s="28" t="n"/>
      <c r="N615" s="28" t="n"/>
      <c r="O615" s="28" t="n"/>
      <c r="P615" s="28" t="n"/>
      <c r="Q615" s="28" t="n"/>
      <c r="R615" s="30" t="n"/>
      <c r="S615" s="28" t="n"/>
    </row>
    <row r="616">
      <c r="A616" t="inlineStr">
        <is>
          <t>R1615</t>
        </is>
      </c>
      <c r="B616" t="inlineStr">
        <is>
          <t>GOMEZ, HELEN</t>
        </is>
      </c>
      <c r="C616" t="inlineStr">
        <is>
          <t>4/18/1984</t>
        </is>
      </c>
      <c r="D616" t="inlineStr">
        <is>
          <t>F</t>
        </is>
      </c>
      <c r="E616" t="inlineStr">
        <is>
          <t>(555) 656-7770</t>
        </is>
      </c>
      <c r="F616" t="inlineStr">
        <is>
          <t>helen.gomez14@example.com</t>
        </is>
      </c>
      <c r="G616" t="inlineStr">
        <is>
          <t>Bluestone, OH 45503</t>
        </is>
      </c>
      <c r="H616" t="inlineStr">
        <is>
          <t>Keystone Health Ptnrs</t>
        </is>
      </c>
      <c r="I616" t="inlineStr">
        <is>
          <t>6280335</t>
        </is>
      </c>
      <c r="J616" t="inlineStr">
        <is>
          <t>2009-07-25 15:23:00</t>
        </is>
      </c>
      <c r="K616" s="28" t="n"/>
      <c r="L616" s="29" t="n"/>
      <c r="M616" s="28" t="n"/>
      <c r="N616" s="28" t="n"/>
      <c r="O616" s="28" t="n"/>
      <c r="P616" s="28" t="n"/>
      <c r="Q616" s="28" t="n"/>
      <c r="R616" s="30" t="n"/>
      <c r="S616" s="28" t="n"/>
    </row>
    <row r="617">
      <c r="A617" t="inlineStr">
        <is>
          <t>R1616</t>
        </is>
      </c>
      <c r="B617" t="inlineStr">
        <is>
          <t>GIBSON, ABIGAIL</t>
        </is>
      </c>
      <c r="C617" t="inlineStr">
        <is>
          <t>10/31/1975</t>
        </is>
      </c>
      <c r="D617" t="inlineStr">
        <is>
          <t>f</t>
        </is>
      </c>
      <c r="E617" t="inlineStr">
        <is>
          <t>(555) 396-8973</t>
        </is>
      </c>
      <c r="F617" t="inlineStr">
        <is>
          <t>abigail.gibson39@example.com</t>
        </is>
      </c>
      <c r="G617" t="inlineStr">
        <is>
          <t>Bluestone, OH 45503-1896</t>
        </is>
      </c>
      <c r="H617" t="inlineStr">
        <is>
          <t>evergreen mutual insurance</t>
        </is>
      </c>
      <c r="I617" t="inlineStr">
        <is>
          <t>04165969</t>
        </is>
      </c>
      <c r="J617" t="inlineStr">
        <is>
          <t>07/07/2008 07:30 AM</t>
        </is>
      </c>
      <c r="K617" s="28" t="n"/>
      <c r="L617" s="29" t="n"/>
      <c r="M617" s="28" t="n"/>
      <c r="N617" s="28" t="n"/>
      <c r="O617" s="28" t="n"/>
      <c r="P617" s="28" t="n"/>
      <c r="Q617" s="28" t="n"/>
      <c r="R617" s="30" t="n"/>
      <c r="S617" s="28" t="n"/>
    </row>
    <row r="618">
      <c r="A618" t="inlineStr">
        <is>
          <t>R1617</t>
        </is>
      </c>
      <c r="B618" t="inlineStr">
        <is>
          <t>Chavez, Helen</t>
        </is>
      </c>
      <c r="C618" t="inlineStr">
        <is>
          <t>2020-12-23</t>
        </is>
      </c>
      <c r="D618" t="inlineStr">
        <is>
          <t xml:space="preserve"> F</t>
        </is>
      </c>
      <c r="E618" t="inlineStr">
        <is>
          <t>(555) 697-4114</t>
        </is>
      </c>
      <c r="G618" t="inlineStr">
        <is>
          <t>Riverbend, OH 45545</t>
        </is>
      </c>
      <c r="H618" t="inlineStr">
        <is>
          <t>State Medicaid</t>
        </is>
      </c>
      <c r="I618" t="inlineStr">
        <is>
          <t>07050556</t>
        </is>
      </c>
      <c r="J618" t="inlineStr">
        <is>
          <t>2024-10-03 17:42:00</t>
        </is>
      </c>
      <c r="K618" s="28" t="n"/>
      <c r="L618" s="29" t="n"/>
      <c r="M618" s="28" t="n"/>
      <c r="N618" s="28" t="n"/>
      <c r="O618" s="28" t="n"/>
      <c r="P618" s="28" t="n"/>
      <c r="Q618" s="28" t="n"/>
      <c r="R618" s="30" t="n"/>
      <c r="S618" s="28" t="n"/>
    </row>
    <row r="619">
      <c r="A619" t="inlineStr">
        <is>
          <t>R1618</t>
        </is>
      </c>
      <c r="B619" t="inlineStr">
        <is>
          <t>FORD, JULIE</t>
        </is>
      </c>
      <c r="C619" t="inlineStr">
        <is>
          <t>03/20/1947</t>
        </is>
      </c>
      <c r="D619" t="inlineStr">
        <is>
          <t>Female</t>
        </is>
      </c>
      <c r="E619" t="inlineStr">
        <is>
          <t>(555) 876-3762</t>
        </is>
      </c>
      <c r="G619" t="inlineStr">
        <is>
          <t>Bluestone, OH 45503</t>
        </is>
      </c>
      <c r="H619" t="inlineStr">
        <is>
          <t>Silverline MA</t>
        </is>
      </c>
      <c r="I619" t="inlineStr">
        <is>
          <t>07775501</t>
        </is>
      </c>
      <c r="J619" t="inlineStr">
        <is>
          <t>12/04/2021 04:57 PM</t>
        </is>
      </c>
      <c r="K619" s="28" t="n"/>
      <c r="L619" s="29" t="n"/>
      <c r="M619" s="28" t="n"/>
      <c r="N619" s="28" t="n"/>
      <c r="O619" s="28" t="n"/>
      <c r="P619" s="28" t="n"/>
      <c r="Q619" s="28" t="n"/>
      <c r="R619" s="30" t="n"/>
      <c r="S619" s="28" t="n"/>
    </row>
    <row r="620">
      <c r="A620" t="inlineStr">
        <is>
          <t>R1619</t>
        </is>
      </c>
      <c r="B620" t="inlineStr">
        <is>
          <t>James, Henry</t>
        </is>
      </c>
      <c r="C620" t="inlineStr">
        <is>
          <t>1979-06-06</t>
        </is>
      </c>
      <c r="D620" t="inlineStr">
        <is>
          <t xml:space="preserve">M </t>
        </is>
      </c>
      <c r="E620" t="inlineStr">
        <is>
          <t>5553738468</t>
        </is>
      </c>
      <c r="F620" t="inlineStr">
        <is>
          <t>henry.james71@example.com</t>
        </is>
      </c>
      <c r="G620" t="inlineStr">
        <is>
          <t>Cedar Ridge, OH 45720</t>
        </is>
      </c>
      <c r="H620" t="inlineStr">
        <is>
          <t>KEYSTONE HEALTH PARTNERS</t>
        </is>
      </c>
      <c r="I620" t="inlineStr">
        <is>
          <t>MRN-07425252</t>
        </is>
      </c>
      <c r="J620" t="inlineStr">
        <is>
          <t>2021-10-13 12:24:00</t>
        </is>
      </c>
      <c r="K620" s="28" t="n"/>
      <c r="L620" s="29" t="n"/>
      <c r="M620" s="28" t="n"/>
      <c r="N620" s="28" t="n"/>
      <c r="O620" s="28" t="n"/>
      <c r="P620" s="28" t="n"/>
      <c r="Q620" s="28" t="n"/>
      <c r="R620" s="30" t="n"/>
      <c r="S620" s="28" t="n"/>
    </row>
    <row r="621">
      <c r="A621" t="inlineStr">
        <is>
          <t>R1620</t>
        </is>
      </c>
      <c r="B621" t="inlineStr">
        <is>
          <t>Timothy Nguyen</t>
        </is>
      </c>
      <c r="C621" t="inlineStr">
        <is>
          <t>06/07/1988</t>
        </is>
      </c>
      <c r="D621" t="inlineStr">
        <is>
          <t xml:space="preserve">M </t>
        </is>
      </c>
      <c r="E621" t="inlineStr">
        <is>
          <t>5558630329</t>
        </is>
      </c>
      <c r="F621" t="inlineStr">
        <is>
          <t>timothy.nguyen2@example.com</t>
        </is>
      </c>
      <c r="G621" t="inlineStr">
        <is>
          <t>Ashby Falls, OH 45610</t>
        </is>
      </c>
      <c r="H621" t="inlineStr">
        <is>
          <t>Evergreen Mutual Insurance</t>
        </is>
      </c>
      <c r="I621" t="inlineStr">
        <is>
          <t>07422003</t>
        </is>
      </c>
      <c r="J621" t="inlineStr">
        <is>
          <t>2023-05-21 16:17:00</t>
        </is>
      </c>
      <c r="K621" s="28" t="n"/>
      <c r="L621" s="29" t="n"/>
      <c r="M621" s="28" t="n"/>
      <c r="N621" s="28" t="n"/>
      <c r="O621" s="28" t="n"/>
      <c r="P621" s="28" t="n"/>
      <c r="Q621" s="28" t="n"/>
      <c r="R621" s="30" t="n"/>
      <c r="S621" s="28" t="n"/>
    </row>
    <row r="622">
      <c r="A622" t="inlineStr">
        <is>
          <t>R1621</t>
        </is>
      </c>
      <c r="B622" t="inlineStr">
        <is>
          <t>johnston, ann</t>
        </is>
      </c>
      <c r="C622" t="inlineStr">
        <is>
          <t>04/23/2010</t>
        </is>
      </c>
      <c r="D622" t="inlineStr">
        <is>
          <t>F</t>
        </is>
      </c>
      <c r="E622" t="inlineStr">
        <is>
          <t>555.434.8645</t>
        </is>
      </c>
      <c r="F622" t="inlineStr">
        <is>
          <t>none</t>
        </is>
      </c>
      <c r="G622" t="inlineStr">
        <is>
          <t>Riverbend, OH 45545</t>
        </is>
      </c>
      <c r="H622" t="inlineStr">
        <is>
          <t>State Medicaid</t>
        </is>
      </c>
      <c r="I622" t="inlineStr">
        <is>
          <t>1885121</t>
        </is>
      </c>
      <c r="J622" t="inlineStr">
        <is>
          <t>04/11/2020 07:03 AM</t>
        </is>
      </c>
      <c r="K622" s="28" t="n"/>
      <c r="L622" s="29" t="n"/>
      <c r="M622" s="28" t="n"/>
      <c r="N622" s="28" t="n"/>
      <c r="O622" s="28" t="n"/>
      <c r="P622" s="28" t="n"/>
      <c r="Q622" s="28" t="n"/>
      <c r="R622" s="30" t="n"/>
      <c r="S622" s="28" t="n"/>
    </row>
    <row r="623">
      <c r="A623" t="inlineStr">
        <is>
          <t>R1622</t>
        </is>
      </c>
      <c r="B623" t="inlineStr">
        <is>
          <t>RODRIGUEZ, FRANK</t>
        </is>
      </c>
      <c r="C623" t="inlineStr">
        <is>
          <t>1977-04-09</t>
        </is>
      </c>
      <c r="D623" t="inlineStr">
        <is>
          <t>Male</t>
        </is>
      </c>
      <c r="F623" t="inlineStr">
        <is>
          <t>FRANK.RODRIGUEZ93@EXAMPLE.COM</t>
        </is>
      </c>
      <c r="G623" t="inlineStr">
        <is>
          <t>Bluestone, OH 45502</t>
        </is>
      </c>
      <c r="H623" t="inlineStr">
        <is>
          <t>Evergreen Mutual Insurance</t>
        </is>
      </c>
      <c r="I623" t="inlineStr">
        <is>
          <t>06358700</t>
        </is>
      </c>
      <c r="J623" t="inlineStr">
        <is>
          <t>01/26/2015 03:25 PM</t>
        </is>
      </c>
      <c r="K623" s="28" t="n"/>
      <c r="L623" s="29" t="n"/>
      <c r="M623" s="28" t="n"/>
      <c r="N623" s="28" t="n"/>
      <c r="O623" s="28" t="n"/>
      <c r="P623" s="28" t="n"/>
      <c r="Q623" s="28" t="n"/>
      <c r="R623" s="30" t="n"/>
      <c r="S623" s="28" t="n"/>
    </row>
    <row r="624">
      <c r="A624" t="inlineStr">
        <is>
          <t>R1623</t>
        </is>
      </c>
      <c r="B624" t="inlineStr">
        <is>
          <t>Fernandez, Christian</t>
        </is>
      </c>
      <c r="C624" t="inlineStr">
        <is>
          <t>12/28/1977</t>
        </is>
      </c>
      <c r="D624" t="inlineStr">
        <is>
          <t>M</t>
        </is>
      </c>
      <c r="E624" t="inlineStr">
        <is>
          <t>(555) 256-9382</t>
        </is>
      </c>
      <c r="G624" t="inlineStr">
        <is>
          <t>Ashby Falls, OH 45610</t>
        </is>
      </c>
      <c r="H624" t="inlineStr">
        <is>
          <t>Summit Choice PPO</t>
        </is>
      </c>
      <c r="I624" t="inlineStr">
        <is>
          <t>985976</t>
        </is>
      </c>
      <c r="J624" t="inlineStr">
        <is>
          <t>2023-05-31 16:13:00</t>
        </is>
      </c>
      <c r="K624" s="28" t="n"/>
      <c r="L624" s="29" t="n"/>
      <c r="M624" s="28" t="n"/>
      <c r="N624" s="28" t="n"/>
      <c r="O624" s="28" t="n"/>
      <c r="P624" s="28" t="n"/>
      <c r="Q624" s="28" t="n"/>
      <c r="R624" s="30" t="n"/>
      <c r="S624" s="28" t="n"/>
    </row>
    <row r="625">
      <c r="A625" t="inlineStr">
        <is>
          <t>R1624</t>
        </is>
      </c>
      <c r="B625" t="inlineStr">
        <is>
          <t>Joyce Schmidt</t>
        </is>
      </c>
      <c r="C625" t="inlineStr">
        <is>
          <t>1970-01-12</t>
        </is>
      </c>
      <c r="D625" t="inlineStr">
        <is>
          <t xml:space="preserve"> F</t>
        </is>
      </c>
      <c r="E625" t="inlineStr">
        <is>
          <t>(555) 757-3197</t>
        </is>
      </c>
      <c r="F625" t="inlineStr">
        <is>
          <t>joyce.schmidt40@example.com</t>
        </is>
      </c>
      <c r="G625" t="inlineStr">
        <is>
          <t>Bluestone, OH 45502-9891</t>
        </is>
      </c>
      <c r="H625" t="inlineStr">
        <is>
          <t>Keystone Health Ptnrs</t>
        </is>
      </c>
      <c r="I625" t="inlineStr">
        <is>
          <t>4422140</t>
        </is>
      </c>
      <c r="J625" t="inlineStr">
        <is>
          <t>2021-12-06 10:13:00</t>
        </is>
      </c>
      <c r="K625" s="28" t="n"/>
      <c r="L625" s="29" t="n"/>
      <c r="M625" s="28" t="n"/>
      <c r="N625" s="28" t="n"/>
      <c r="O625" s="28" t="n"/>
      <c r="P625" s="28" t="n"/>
      <c r="Q625" s="28" t="n"/>
      <c r="R625" s="30" t="n"/>
      <c r="S625" s="28" t="n"/>
    </row>
    <row r="626">
      <c r="A626" t="inlineStr">
        <is>
          <t>R1625</t>
        </is>
      </c>
      <c r="B626" t="inlineStr">
        <is>
          <t>Patterson, Shirley</t>
        </is>
      </c>
      <c r="C626" t="inlineStr">
        <is>
          <t>07/08/2014</t>
        </is>
      </c>
      <c r="D626" t="inlineStr">
        <is>
          <t>F</t>
        </is>
      </c>
      <c r="E626" t="inlineStr">
        <is>
          <t>555-823-3256</t>
        </is>
      </c>
      <c r="G626" t="inlineStr">
        <is>
          <t>Fairhaven OH 45620</t>
        </is>
      </c>
      <c r="H626" t="inlineStr">
        <is>
          <t>medicaid</t>
        </is>
      </c>
      <c r="I626" t="inlineStr">
        <is>
          <t>7843022</t>
        </is>
      </c>
      <c r="J626" t="inlineStr">
        <is>
          <t>02/28/2015 11:07 AM</t>
        </is>
      </c>
      <c r="K626" s="28" t="n"/>
      <c r="L626" s="29" t="n"/>
      <c r="M626" s="28" t="n"/>
      <c r="N626" s="28" t="n"/>
      <c r="O626" s="28" t="n"/>
      <c r="P626" s="28" t="n"/>
      <c r="Q626" s="28" t="n"/>
      <c r="R626" s="30" t="n"/>
      <c r="S626" s="28" t="n"/>
    </row>
    <row r="627">
      <c r="A627" t="inlineStr">
        <is>
          <t>R1626</t>
        </is>
      </c>
      <c r="B627" t="inlineStr">
        <is>
          <t>Andrews, Karen</t>
        </is>
      </c>
      <c r="C627" t="inlineStr">
        <is>
          <t>06/20/1959</t>
        </is>
      </c>
      <c r="D627" t="inlineStr">
        <is>
          <t>F</t>
        </is>
      </c>
      <c r="G627" t="inlineStr">
        <is>
          <t>Riverbend OH 45545</t>
        </is>
      </c>
      <c r="H627" t="inlineStr">
        <is>
          <t>Medicare Part A</t>
        </is>
      </c>
      <c r="I627" t="inlineStr">
        <is>
          <t>8869000</t>
        </is>
      </c>
      <c r="J627" t="inlineStr">
        <is>
          <t>03/04/2015 05:17 PM</t>
        </is>
      </c>
      <c r="K627" s="28" t="n"/>
      <c r="L627" s="29" t="n"/>
      <c r="M627" s="28" t="n"/>
      <c r="N627" s="28" t="n"/>
      <c r="O627" s="28" t="n"/>
      <c r="P627" s="28" t="n"/>
      <c r="Q627" s="28" t="n"/>
      <c r="R627" s="30" t="n"/>
      <c r="S627" s="28" t="n"/>
    </row>
    <row r="628">
      <c r="A628" t="inlineStr">
        <is>
          <t>R1627</t>
        </is>
      </c>
      <c r="B628" t="inlineStr">
        <is>
          <t>SANDOVAL, PRIYA</t>
        </is>
      </c>
      <c r="C628" t="inlineStr">
        <is>
          <t>7/27/1965</t>
        </is>
      </c>
      <c r="D628" t="inlineStr">
        <is>
          <t>Female</t>
        </is>
      </c>
      <c r="E628" t="inlineStr">
        <is>
          <t>555-481-8733</t>
        </is>
      </c>
      <c r="F628" t="inlineStr">
        <is>
          <t>N/A</t>
        </is>
      </c>
      <c r="G628" t="inlineStr">
        <is>
          <t>Bluestone OH 45503</t>
        </is>
      </c>
      <c r="H628" t="inlineStr">
        <is>
          <t>Summit Choice PPO</t>
        </is>
      </c>
      <c r="I628" t="inlineStr">
        <is>
          <t>7685936</t>
        </is>
      </c>
      <c r="J628" t="inlineStr">
        <is>
          <t>04/11/2015 10:00 AM</t>
        </is>
      </c>
      <c r="K628" s="28" t="n"/>
      <c r="L628" s="29" t="n"/>
      <c r="M628" s="28" t="n"/>
      <c r="N628" s="28" t="n"/>
      <c r="O628" s="28" t="n"/>
      <c r="P628" s="28" t="n"/>
      <c r="Q628" s="28" t="n"/>
      <c r="R628" s="30" t="n"/>
      <c r="S628" s="28" t="n"/>
    </row>
    <row r="629">
      <c r="A629" t="inlineStr">
        <is>
          <t>R1628</t>
        </is>
      </c>
      <c r="B629" t="inlineStr">
        <is>
          <t xml:space="preserve">  Aguilar ,  Paul </t>
        </is>
      </c>
      <c r="C629" t="inlineStr">
        <is>
          <t>8/14/1992</t>
        </is>
      </c>
      <c r="D629" t="inlineStr">
        <is>
          <t>Male</t>
        </is>
      </c>
      <c r="E629" t="inlineStr">
        <is>
          <t>(555) 933-9516</t>
        </is>
      </c>
      <c r="F629" t="inlineStr">
        <is>
          <t>paul.aguilar71@example.com</t>
        </is>
      </c>
      <c r="G629" t="inlineStr">
        <is>
          <t>Lakeview Heights, OH 45510</t>
        </is>
      </c>
      <c r="H629" t="inlineStr">
        <is>
          <t>EVERGREEN MUTUAL INS</t>
        </is>
      </c>
      <c r="I629" t="inlineStr">
        <is>
          <t>04904027</t>
        </is>
      </c>
      <c r="J629" t="inlineStr">
        <is>
          <t>06/11/2014 03:17 PM</t>
        </is>
      </c>
      <c r="K629" s="28" t="n"/>
      <c r="L629" s="29" t="n"/>
      <c r="M629" s="28" t="n"/>
      <c r="N629" s="28" t="n"/>
      <c r="O629" s="28" t="n"/>
      <c r="P629" s="28" t="n"/>
      <c r="Q629" s="28" t="n"/>
      <c r="R629" s="30" t="n"/>
      <c r="S629" s="28" t="n"/>
    </row>
    <row r="630">
      <c r="A630" t="inlineStr">
        <is>
          <t>R1629</t>
        </is>
      </c>
      <c r="B630" t="inlineStr">
        <is>
          <t>HUNTER, EDWARD</t>
        </is>
      </c>
      <c r="C630" t="inlineStr">
        <is>
          <t>2/24/2022</t>
        </is>
      </c>
      <c r="D630" t="inlineStr">
        <is>
          <t>M</t>
        </is>
      </c>
      <c r="E630" t="inlineStr">
        <is>
          <t>555.684.2598</t>
        </is>
      </c>
      <c r="G630" t="inlineStr">
        <is>
          <t>Riverbend, OH 45545</t>
        </is>
      </c>
      <c r="H630" t="inlineStr">
        <is>
          <t>STATE MEDICAID</t>
        </is>
      </c>
      <c r="I630" t="inlineStr">
        <is>
          <t>MRN-00440415</t>
        </is>
      </c>
      <c r="J630" t="inlineStr">
        <is>
          <t>2023-11-07 17:52:00</t>
        </is>
      </c>
      <c r="K630" s="28" t="n"/>
      <c r="L630" s="29" t="n"/>
      <c r="M630" s="28" t="n"/>
      <c r="N630" s="28" t="n"/>
      <c r="O630" s="28" t="n"/>
      <c r="P630" s="28" t="n"/>
      <c r="Q630" s="28" t="n"/>
      <c r="R630" s="30" t="n"/>
      <c r="S630" s="28" t="n"/>
    </row>
    <row r="631">
      <c r="A631" t="inlineStr">
        <is>
          <t>R1630</t>
        </is>
      </c>
      <c r="B631" t="inlineStr">
        <is>
          <t>SOTO, JANICE</t>
        </is>
      </c>
      <c r="C631" t="inlineStr">
        <is>
          <t>04/20/1953</t>
        </is>
      </c>
      <c r="D631" t="inlineStr">
        <is>
          <t>f</t>
        </is>
      </c>
      <c r="E631" t="inlineStr">
        <is>
          <t>(555) 657-9334</t>
        </is>
      </c>
      <c r="F631" t="inlineStr">
        <is>
          <t>janice.soto59@example.com</t>
        </is>
      </c>
      <c r="G631" t="inlineStr">
        <is>
          <t>OAK GLEN, OH 45730</t>
        </is>
      </c>
      <c r="H631" t="inlineStr">
        <is>
          <t>Medicare</t>
        </is>
      </c>
      <c r="I631" t="inlineStr">
        <is>
          <t>06718667</t>
        </is>
      </c>
      <c r="J631" t="inlineStr">
        <is>
          <t>2012-10-05 15:27:00</t>
        </is>
      </c>
      <c r="K631" s="28" t="n"/>
      <c r="L631" s="29" t="n"/>
      <c r="M631" s="28" t="n"/>
      <c r="N631" s="28" t="n"/>
      <c r="O631" s="28" t="n"/>
      <c r="P631" s="28" t="n"/>
      <c r="Q631" s="28" t="n"/>
      <c r="R631" s="30" t="n"/>
      <c r="S631" s="28" t="n"/>
    </row>
    <row r="632">
      <c r="A632" t="inlineStr">
        <is>
          <t>R1631</t>
        </is>
      </c>
      <c r="B632" t="inlineStr">
        <is>
          <t>HENDERSON, LOGAN</t>
        </is>
      </c>
      <c r="C632" t="inlineStr">
        <is>
          <t>12/17/1958</t>
        </is>
      </c>
      <c r="D632" t="inlineStr">
        <is>
          <t>Male</t>
        </is>
      </c>
      <c r="E632" t="inlineStr">
        <is>
          <t>(555) 898-2845</t>
        </is>
      </c>
      <c r="F632" t="inlineStr">
        <is>
          <t>logan.henderson79@example.com</t>
        </is>
      </c>
      <c r="G632" t="inlineStr">
        <is>
          <t>Bluestone, OH 45503</t>
        </is>
      </c>
      <c r="H632" t="inlineStr">
        <is>
          <t>MEDICARE</t>
        </is>
      </c>
      <c r="I632" t="inlineStr">
        <is>
          <t>09850021</t>
        </is>
      </c>
      <c r="J632" t="inlineStr">
        <is>
          <t>10/25/2023 03:45 PM</t>
        </is>
      </c>
      <c r="K632" s="28" t="n"/>
      <c r="L632" s="29" t="n"/>
      <c r="M632" s="28" t="n"/>
      <c r="N632" s="28" t="n"/>
      <c r="O632" s="28" t="n"/>
      <c r="P632" s="28" t="n"/>
      <c r="Q632" s="28" t="n"/>
      <c r="R632" s="30" t="n"/>
      <c r="S632" s="28" t="n"/>
    </row>
    <row r="633">
      <c r="A633" t="inlineStr">
        <is>
          <t>R1632</t>
        </is>
      </c>
      <c r="B633" t="inlineStr">
        <is>
          <t>GONZALEZ, DONALD</t>
        </is>
      </c>
      <c r="C633" t="inlineStr">
        <is>
          <t>03/16/1963</t>
        </is>
      </c>
      <c r="D633" t="inlineStr">
        <is>
          <t xml:space="preserve">M </t>
        </is>
      </c>
      <c r="E633" t="inlineStr">
        <is>
          <t>5559737793</t>
        </is>
      </c>
      <c r="F633" t="inlineStr">
        <is>
          <t>donald.gonzalez75@example.com</t>
        </is>
      </c>
      <c r="G633" t="inlineStr">
        <is>
          <t>LAKEVIEW HEIGHTS, OH 45510</t>
        </is>
      </c>
      <c r="H633" t="inlineStr">
        <is>
          <t>Keystone Health Partners</t>
        </is>
      </c>
      <c r="I633" t="inlineStr">
        <is>
          <t>02760940</t>
        </is>
      </c>
      <c r="J633" t="inlineStr">
        <is>
          <t>03/19/2024 05:50 PM</t>
        </is>
      </c>
      <c r="K633" s="28" t="n"/>
      <c r="L633" s="29" t="n"/>
      <c r="M633" s="28" t="n"/>
      <c r="N633" s="28" t="n"/>
      <c r="O633" s="28" t="n"/>
      <c r="P633" s="28" t="n"/>
      <c r="Q633" s="28" t="n"/>
      <c r="R633" s="30" t="n"/>
      <c r="S633" s="28" t="n"/>
    </row>
    <row r="634">
      <c r="A634" t="inlineStr">
        <is>
          <t>R1633</t>
        </is>
      </c>
      <c r="B634" t="inlineStr">
        <is>
          <t>Bradley, Christian</t>
        </is>
      </c>
      <c r="C634" t="inlineStr">
        <is>
          <t>08/01/2005</t>
        </is>
      </c>
      <c r="D634" t="inlineStr">
        <is>
          <t>M</t>
        </is>
      </c>
      <c r="E634" t="inlineStr">
        <is>
          <t>(555) 901-7787</t>
        </is>
      </c>
      <c r="G634" t="inlineStr">
        <is>
          <t>Lakeview Heights, OH 45510</t>
        </is>
      </c>
      <c r="H634" t="inlineStr">
        <is>
          <t>EVERGREEN MUTUAL INS</t>
        </is>
      </c>
      <c r="I634" t="inlineStr">
        <is>
          <t>05766438</t>
        </is>
      </c>
      <c r="J634" t="inlineStr">
        <is>
          <t>2009-10-12 17:47:00</t>
        </is>
      </c>
      <c r="K634" s="28" t="n"/>
      <c r="L634" s="29" t="n"/>
      <c r="M634" s="28" t="n"/>
      <c r="N634" s="28" t="n"/>
      <c r="O634" s="28" t="n"/>
      <c r="P634" s="28" t="n"/>
      <c r="Q634" s="28" t="n"/>
      <c r="R634" s="30" t="n"/>
      <c r="S634" s="28" t="n"/>
    </row>
    <row r="635">
      <c r="A635" t="inlineStr">
        <is>
          <t>R1634</t>
        </is>
      </c>
      <c r="B635" t="inlineStr">
        <is>
          <t>pena, lauren</t>
        </is>
      </c>
      <c r="C635" t="inlineStr">
        <is>
          <t>1948-09-10</t>
        </is>
      </c>
      <c r="D635" t="inlineStr">
        <is>
          <t xml:space="preserve"> F</t>
        </is>
      </c>
      <c r="F635" t="inlineStr">
        <is>
          <t>N/A</t>
        </is>
      </c>
      <c r="G635" t="inlineStr">
        <is>
          <t>Bluestone, OH 45502</t>
        </is>
      </c>
      <c r="H635" t="inlineStr">
        <is>
          <t>Medicare</t>
        </is>
      </c>
      <c r="I635" t="inlineStr">
        <is>
          <t>07874135</t>
        </is>
      </c>
      <c r="J635" t="inlineStr">
        <is>
          <t>2016-06-13 07:36:00</t>
        </is>
      </c>
      <c r="K635" s="28" t="n"/>
      <c r="L635" s="29" t="n"/>
      <c r="M635" s="28" t="n"/>
      <c r="N635" s="28" t="n"/>
      <c r="O635" s="28" t="n"/>
      <c r="P635" s="28" t="n"/>
      <c r="Q635" s="28" t="n"/>
      <c r="R635" s="30" t="n"/>
      <c r="S635" s="28" t="n"/>
    </row>
    <row r="636">
      <c r="A636" t="inlineStr">
        <is>
          <t>R1635</t>
        </is>
      </c>
      <c r="B636" t="inlineStr">
        <is>
          <t>Hicks, Liam</t>
        </is>
      </c>
      <c r="C636" t="inlineStr">
        <is>
          <t>1989-03-26</t>
        </is>
      </c>
      <c r="D636" t="inlineStr">
        <is>
          <t>M</t>
        </is>
      </c>
      <c r="E636" t="inlineStr">
        <is>
          <t>555-805-1442</t>
        </is>
      </c>
      <c r="F636" t="inlineStr">
        <is>
          <t xml:space="preserve"> liam.hicks44@example.com </t>
        </is>
      </c>
      <c r="G636" t="inlineStr">
        <is>
          <t>Bluestone, OH 45502-1178</t>
        </is>
      </c>
      <c r="H636" t="inlineStr">
        <is>
          <t>Summit Choice PPO</t>
        </is>
      </c>
      <c r="I636" t="inlineStr">
        <is>
          <t>05908693</t>
        </is>
      </c>
      <c r="J636" t="inlineStr">
        <is>
          <t>2008-07-13 17:47:00</t>
        </is>
      </c>
      <c r="K636" s="28" t="n"/>
      <c r="L636" s="29" t="n"/>
      <c r="M636" s="28" t="n"/>
      <c r="N636" s="28" t="n"/>
      <c r="O636" s="28" t="n"/>
      <c r="P636" s="28" t="n"/>
      <c r="Q636" s="28" t="n"/>
      <c r="R636" s="30" t="n"/>
      <c r="S636" s="28" t="n"/>
    </row>
    <row r="637">
      <c r="A637" t="inlineStr">
        <is>
          <t>R1636</t>
        </is>
      </c>
      <c r="B637" t="inlineStr">
        <is>
          <t>Davis, Heather</t>
        </is>
      </c>
      <c r="C637" t="inlineStr">
        <is>
          <t>12/11/1988</t>
        </is>
      </c>
      <c r="D637" t="inlineStr">
        <is>
          <t>Female</t>
        </is>
      </c>
      <c r="E637" t="inlineStr">
        <is>
          <t>555-433-2745</t>
        </is>
      </c>
      <c r="F637" t="inlineStr">
        <is>
          <t xml:space="preserve"> heather.davis77@example.com </t>
        </is>
      </c>
      <c r="G637" t="inlineStr">
        <is>
          <t>BLUESTONE, OH 45503</t>
        </is>
      </c>
      <c r="H637" t="inlineStr">
        <is>
          <t>MEDICARE</t>
        </is>
      </c>
      <c r="I637" t="inlineStr">
        <is>
          <t>MRN-07765318</t>
        </is>
      </c>
      <c r="J637" t="inlineStr">
        <is>
          <t>2023-03-22 17:31:00</t>
        </is>
      </c>
      <c r="K637" s="28" t="n"/>
      <c r="L637" s="29" t="n"/>
      <c r="M637" s="28" t="n"/>
      <c r="N637" s="28" t="n"/>
      <c r="O637" s="28" t="n"/>
      <c r="P637" s="28" t="n"/>
      <c r="Q637" s="28" t="n"/>
      <c r="R637" s="30" t="n"/>
      <c r="S637" s="28" t="n"/>
    </row>
    <row r="638">
      <c r="A638" t="inlineStr">
        <is>
          <t>R1637</t>
        </is>
      </c>
      <c r="B638" t="inlineStr">
        <is>
          <t>Pierce, Bradley</t>
        </is>
      </c>
      <c r="C638" t="inlineStr">
        <is>
          <t>8/28/1926</t>
        </is>
      </c>
      <c r="D638" t="inlineStr">
        <is>
          <t>MALE</t>
        </is>
      </c>
      <c r="E638" t="inlineStr">
        <is>
          <t>+1 555 763 0931</t>
        </is>
      </c>
      <c r="F638" t="inlineStr">
        <is>
          <t>bradley.pierce73@example.com</t>
        </is>
      </c>
      <c r="G638" t="inlineStr">
        <is>
          <t>Millbrook, OH 45530</t>
        </is>
      </c>
      <c r="H638" t="inlineStr">
        <is>
          <t>MEDICARE</t>
        </is>
      </c>
      <c r="I638" t="inlineStr">
        <is>
          <t>09027798</t>
        </is>
      </c>
      <c r="J638" t="inlineStr">
        <is>
          <t>2015-01-17 12:44:00</t>
        </is>
      </c>
      <c r="K638" s="28" t="n"/>
      <c r="L638" s="29" t="n"/>
      <c r="M638" s="28" t="n"/>
      <c r="N638" s="28" t="n"/>
      <c r="O638" s="28" t="n"/>
      <c r="P638" s="28" t="n"/>
      <c r="Q638" s="28" t="n"/>
      <c r="R638" s="30" t="n"/>
      <c r="S638" s="28" t="n"/>
    </row>
    <row r="639">
      <c r="A639" t="inlineStr">
        <is>
          <t>R1638</t>
        </is>
      </c>
      <c r="B639" t="inlineStr">
        <is>
          <t>Young, Jean</t>
        </is>
      </c>
      <c r="C639" t="inlineStr">
        <is>
          <t>1993-10-13</t>
        </is>
      </c>
      <c r="D639" t="inlineStr">
        <is>
          <t xml:space="preserve"> F</t>
        </is>
      </c>
      <c r="F639" t="inlineStr">
        <is>
          <t>none</t>
        </is>
      </c>
      <c r="G639" t="inlineStr">
        <is>
          <t>Bluestone, OH 45501</t>
        </is>
      </c>
      <c r="H639" t="inlineStr">
        <is>
          <t>KEYSTONE HEALTH PARTNERS</t>
        </is>
      </c>
      <c r="I639" t="inlineStr">
        <is>
          <t>MRN-00988302</t>
        </is>
      </c>
      <c r="J639" t="inlineStr">
        <is>
          <t>2008-11-21 16:10:00</t>
        </is>
      </c>
      <c r="K639" s="28" t="n"/>
      <c r="L639" s="29" t="n"/>
      <c r="M639" s="28" t="n"/>
      <c r="N639" s="28" t="n"/>
      <c r="O639" s="28" t="n"/>
      <c r="P639" s="28" t="n"/>
      <c r="Q639" s="28" t="n"/>
      <c r="R639" s="30" t="n"/>
      <c r="S639" s="28" t="n"/>
    </row>
    <row r="640">
      <c r="A640" t="inlineStr">
        <is>
          <t>R1639</t>
        </is>
      </c>
      <c r="B640" t="inlineStr">
        <is>
          <t>Carpenter, Ava</t>
        </is>
      </c>
      <c r="C640" t="inlineStr">
        <is>
          <t>03/31/1976</t>
        </is>
      </c>
      <c r="D640" t="inlineStr">
        <is>
          <t>f</t>
        </is>
      </c>
      <c r="E640" t="inlineStr">
        <is>
          <t>5552487816</t>
        </is>
      </c>
      <c r="F640" t="inlineStr">
        <is>
          <t>AVA.CARPENTER21@EXAMPLE.COM</t>
        </is>
      </c>
      <c r="G640" t="inlineStr">
        <is>
          <t>Bluestone, OH 45501</t>
        </is>
      </c>
      <c r="H640" t="inlineStr">
        <is>
          <t>EVERGREEN MUTUAL INS</t>
        </is>
      </c>
      <c r="I640" t="inlineStr">
        <is>
          <t>00621902</t>
        </is>
      </c>
      <c r="J640" t="inlineStr">
        <is>
          <t>06/09/2021 05:10 PM</t>
        </is>
      </c>
      <c r="K640" s="28" t="n"/>
      <c r="L640" s="29" t="n"/>
      <c r="M640" s="28" t="n"/>
      <c r="N640" s="28" t="n"/>
      <c r="O640" s="28" t="n"/>
      <c r="P640" s="28" t="n"/>
      <c r="Q640" s="28" t="n"/>
      <c r="R640" s="30" t="n"/>
      <c r="S640" s="28" t="n"/>
    </row>
    <row r="641">
      <c r="A641" t="inlineStr">
        <is>
          <t>R1640</t>
        </is>
      </c>
      <c r="B641" t="inlineStr">
        <is>
          <t>myers, mei</t>
        </is>
      </c>
      <c r="C641" t="inlineStr">
        <is>
          <t>11/17/1934</t>
        </is>
      </c>
      <c r="D641" t="inlineStr">
        <is>
          <t>F</t>
        </is>
      </c>
      <c r="E641" t="inlineStr">
        <is>
          <t>5555913655</t>
        </is>
      </c>
      <c r="G641" t="inlineStr">
        <is>
          <t>Lakeview Heights OH 45510</t>
        </is>
      </c>
      <c r="H641" t="inlineStr">
        <is>
          <t>STATE MEDICAID</t>
        </is>
      </c>
      <c r="I641" t="inlineStr">
        <is>
          <t>09177941</t>
        </is>
      </c>
      <c r="J641" t="inlineStr">
        <is>
          <t>01/19/2013 09:39 AM</t>
        </is>
      </c>
      <c r="K641" s="28" t="n"/>
      <c r="L641" s="29" t="n"/>
      <c r="M641" s="28" t="n"/>
      <c r="N641" s="28" t="n"/>
      <c r="O641" s="28" t="n"/>
      <c r="P641" s="28" t="n"/>
      <c r="Q641" s="28" t="n"/>
      <c r="R641" s="30" t="n"/>
      <c r="S641" s="28" t="n"/>
    </row>
    <row r="642">
      <c r="A642" t="inlineStr">
        <is>
          <t>R1641</t>
        </is>
      </c>
      <c r="B642" t="inlineStr">
        <is>
          <t>Chavez, Grace</t>
        </is>
      </c>
      <c r="C642" t="inlineStr">
        <is>
          <t>11.14.1963</t>
        </is>
      </c>
      <c r="D642" t="inlineStr">
        <is>
          <t>F</t>
        </is>
      </c>
      <c r="E642" t="inlineStr">
        <is>
          <t>(555) 682-5793</t>
        </is>
      </c>
      <c r="F642" t="inlineStr">
        <is>
          <t>grace.chavez22@example.com</t>
        </is>
      </c>
      <c r="G642" t="inlineStr">
        <is>
          <t>Bluestone OH 45502</t>
        </is>
      </c>
      <c r="H642" t="inlineStr">
        <is>
          <t>STATE MEDICAID</t>
        </is>
      </c>
      <c r="I642" t="inlineStr">
        <is>
          <t>2217215</t>
        </is>
      </c>
      <c r="J642" t="inlineStr">
        <is>
          <t>12/02/2019 03:32 PM</t>
        </is>
      </c>
      <c r="K642" s="28" t="n"/>
      <c r="L642" s="29" t="n"/>
      <c r="M642" s="28" t="n"/>
      <c r="N642" s="28" t="n"/>
      <c r="O642" s="28" t="n"/>
      <c r="P642" s="28" t="n"/>
      <c r="Q642" s="28" t="n"/>
      <c r="R642" s="30" t="n"/>
      <c r="S642" s="28" t="n"/>
    </row>
    <row r="643">
      <c r="A643" t="inlineStr">
        <is>
          <t>R1642</t>
        </is>
      </c>
      <c r="B643" t="inlineStr">
        <is>
          <t>Elliott, Janice</t>
        </is>
      </c>
      <c r="C643" t="inlineStr">
        <is>
          <t>10/16/1949</t>
        </is>
      </c>
      <c r="D643" t="inlineStr">
        <is>
          <t xml:space="preserve"> F</t>
        </is>
      </c>
      <c r="E643" t="inlineStr">
        <is>
          <t>555-406-1015</t>
        </is>
      </c>
      <c r="G643" t="inlineStr">
        <is>
          <t>Bluestone, OH 45503</t>
        </is>
      </c>
      <c r="H643" t="inlineStr">
        <is>
          <t>Silverline Medicare Advantage</t>
        </is>
      </c>
      <c r="I643" t="inlineStr">
        <is>
          <t>04779592</t>
        </is>
      </c>
      <c r="J643" t="inlineStr">
        <is>
          <t>10/19/2017 11:47 AM</t>
        </is>
      </c>
      <c r="K643" s="28" t="n"/>
      <c r="L643" s="29" t="n"/>
      <c r="M643" s="28" t="n"/>
      <c r="N643" s="28" t="n"/>
      <c r="O643" s="28" t="n"/>
      <c r="P643" s="28" t="n"/>
      <c r="Q643" s="28" t="n"/>
      <c r="R643" s="30" t="n"/>
      <c r="S643" s="28" t="n"/>
    </row>
    <row r="644">
      <c r="A644" t="inlineStr">
        <is>
          <t>R1643</t>
        </is>
      </c>
      <c r="B644" t="inlineStr">
        <is>
          <t>Richards, Robert</t>
        </is>
      </c>
      <c r="C644" t="inlineStr">
        <is>
          <t>11/03/1954</t>
        </is>
      </c>
      <c r="D644" t="inlineStr">
        <is>
          <t xml:space="preserve">M </t>
        </is>
      </c>
      <c r="E644" t="inlineStr">
        <is>
          <t>(555) 559-8984</t>
        </is>
      </c>
      <c r="F644" t="inlineStr">
        <is>
          <t>ROBERT.RICHARDS78@EXAMPLE.COM</t>
        </is>
      </c>
      <c r="G644" t="inlineStr">
        <is>
          <t>Riverbend, OH 45545</t>
        </is>
      </c>
      <c r="H644" t="inlineStr">
        <is>
          <t>Medicare Part A</t>
        </is>
      </c>
      <c r="I644" t="inlineStr">
        <is>
          <t>00049359</t>
        </is>
      </c>
      <c r="J644" t="inlineStr">
        <is>
          <t>01/31/2024 10:23 AM</t>
        </is>
      </c>
      <c r="K644" s="28" t="n"/>
      <c r="L644" s="29" t="n"/>
      <c r="M644" s="28" t="n"/>
      <c r="N644" s="28" t="n"/>
      <c r="O644" s="28" t="n"/>
      <c r="P644" s="28" t="n"/>
      <c r="Q644" s="28" t="n"/>
      <c r="R644" s="30" t="n"/>
      <c r="S644" s="28" t="n"/>
    </row>
    <row r="645">
      <c r="A645" t="inlineStr">
        <is>
          <t>R1644</t>
        </is>
      </c>
      <c r="B645" t="inlineStr">
        <is>
          <t>Perkins, Jack</t>
        </is>
      </c>
      <c r="C645" t="inlineStr">
        <is>
          <t>08/07/1993</t>
        </is>
      </c>
      <c r="D645" t="inlineStr">
        <is>
          <t>MALE</t>
        </is>
      </c>
      <c r="E645" t="inlineStr">
        <is>
          <t>555.263.3965</t>
        </is>
      </c>
      <c r="F645" t="inlineStr">
        <is>
          <t>jack.perkins53@example.com</t>
        </is>
      </c>
      <c r="G645" t="inlineStr">
        <is>
          <t>LAKEVIEW HEIGHTS, OH 45510</t>
        </is>
      </c>
      <c r="H645" t="inlineStr">
        <is>
          <t>KEYSTONE HEALTH PARTNERS</t>
        </is>
      </c>
      <c r="I645" t="inlineStr">
        <is>
          <t>00076448</t>
        </is>
      </c>
      <c r="J645" t="inlineStr">
        <is>
          <t>2019-06-20 13:23:00</t>
        </is>
      </c>
      <c r="K645" s="28" t="n"/>
      <c r="L645" s="29" t="n"/>
      <c r="M645" s="28" t="n"/>
      <c r="N645" s="28" t="n"/>
      <c r="O645" s="28" t="n"/>
      <c r="P645" s="28" t="n"/>
      <c r="Q645" s="28" t="n"/>
      <c r="R645" s="30" t="n"/>
      <c r="S645" s="28" t="n"/>
    </row>
    <row r="646">
      <c r="A646" t="inlineStr">
        <is>
          <t>R1645</t>
        </is>
      </c>
      <c r="B646" t="inlineStr">
        <is>
          <t>Ramirez, Wayne</t>
        </is>
      </c>
      <c r="C646" t="inlineStr">
        <is>
          <t>10/22/1943</t>
        </is>
      </c>
      <c r="D646" t="inlineStr">
        <is>
          <t>Male</t>
        </is>
      </c>
      <c r="E646" t="inlineStr">
        <is>
          <t>5552026823</t>
        </is>
      </c>
      <c r="F646" t="inlineStr">
        <is>
          <t>wayne.ramirez28@example.com</t>
        </is>
      </c>
      <c r="G646" t="inlineStr">
        <is>
          <t>RIVERBEND, OH 45545</t>
        </is>
      </c>
      <c r="H646" t="inlineStr">
        <is>
          <t>Medicare</t>
        </is>
      </c>
      <c r="I646" t="inlineStr">
        <is>
          <t>01678724</t>
        </is>
      </c>
      <c r="J646" t="inlineStr">
        <is>
          <t>2023-02-02 12:18:00</t>
        </is>
      </c>
      <c r="K646" s="28" t="n"/>
      <c r="L646" s="29" t="n"/>
      <c r="M646" s="28" t="n"/>
      <c r="N646" s="28" t="n"/>
      <c r="O646" s="28" t="n"/>
      <c r="P646" s="28" t="n"/>
      <c r="Q646" s="28" t="n"/>
      <c r="R646" s="30" t="n"/>
      <c r="S646" s="28" t="n"/>
    </row>
    <row r="647">
      <c r="A647" t="inlineStr">
        <is>
          <t>R1646</t>
        </is>
      </c>
      <c r="B647" t="inlineStr">
        <is>
          <t>Victoria Haddad</t>
        </is>
      </c>
      <c r="C647" t="inlineStr">
        <is>
          <t>09/19/1996</t>
        </is>
      </c>
      <c r="D647" t="inlineStr">
        <is>
          <t>F</t>
        </is>
      </c>
      <c r="E647" t="inlineStr">
        <is>
          <t>555-460-3595</t>
        </is>
      </c>
      <c r="F647" t="inlineStr">
        <is>
          <t xml:space="preserve"> victoria.haddad72@example.com </t>
        </is>
      </c>
      <c r="G647" t="inlineStr">
        <is>
          <t>Ashby Falls, OH 45610</t>
        </is>
      </c>
      <c r="H647" t="inlineStr">
        <is>
          <t>Keystone Health Partners</t>
        </is>
      </c>
      <c r="I647" t="inlineStr">
        <is>
          <t>MRN-05737819</t>
        </is>
      </c>
      <c r="J647" t="inlineStr">
        <is>
          <t>2022-07-04 07:37:00</t>
        </is>
      </c>
      <c r="K647" s="28" t="n"/>
      <c r="L647" s="29" t="n"/>
      <c r="M647" s="28" t="n"/>
      <c r="N647" s="28" t="n"/>
      <c r="O647" s="28" t="n"/>
      <c r="P647" s="28" t="n"/>
      <c r="Q647" s="28" t="n"/>
      <c r="R647" s="30" t="n"/>
      <c r="S647" s="28" t="n"/>
    </row>
    <row r="648">
      <c r="A648" t="inlineStr">
        <is>
          <t>R1647</t>
        </is>
      </c>
      <c r="B648" t="inlineStr">
        <is>
          <t>Hayes, Roger</t>
        </is>
      </c>
      <c r="C648" t="inlineStr">
        <is>
          <t>7/21/1999</t>
        </is>
      </c>
      <c r="D648" t="inlineStr">
        <is>
          <t>Male</t>
        </is>
      </c>
      <c r="E648" t="inlineStr">
        <is>
          <t>(555) 653-9148</t>
        </is>
      </c>
      <c r="F648" t="inlineStr">
        <is>
          <t>roger.hayes63@example.com</t>
        </is>
      </c>
      <c r="G648" t="inlineStr">
        <is>
          <t>Lakeview Heights, OH 45510</t>
        </is>
      </c>
      <c r="H648" t="inlineStr">
        <is>
          <t>Keystone Health Ptnrs</t>
        </is>
      </c>
      <c r="I648" t="inlineStr">
        <is>
          <t>06876509</t>
        </is>
      </c>
      <c r="J648" t="inlineStr">
        <is>
          <t>2016-08-14 13:04:00</t>
        </is>
      </c>
      <c r="K648" s="28" t="n"/>
      <c r="L648" s="29" t="n"/>
      <c r="M648" s="28" t="n"/>
      <c r="N648" s="28" t="n"/>
      <c r="O648" s="28" t="n"/>
      <c r="P648" s="28" t="n"/>
      <c r="Q648" s="28" t="n"/>
      <c r="R648" s="30" t="n"/>
      <c r="S648" s="28" t="n"/>
    </row>
    <row r="649">
      <c r="A649" t="inlineStr">
        <is>
          <t>R1648</t>
        </is>
      </c>
      <c r="B649" t="inlineStr">
        <is>
          <t>hudson, gabriel</t>
        </is>
      </c>
      <c r="C649" t="inlineStr">
        <is>
          <t>5/3/1933</t>
        </is>
      </c>
      <c r="D649" t="inlineStr">
        <is>
          <t xml:space="preserve">M </t>
        </is>
      </c>
      <c r="E649" t="inlineStr">
        <is>
          <t>555-329-5641</t>
        </is>
      </c>
      <c r="G649" t="inlineStr">
        <is>
          <t>Bluestone, OH 45503-5226</t>
        </is>
      </c>
      <c r="H649" t="inlineStr">
        <is>
          <t>Medicare Part A</t>
        </is>
      </c>
      <c r="I649" t="inlineStr">
        <is>
          <t>MRN-09999578</t>
        </is>
      </c>
      <c r="J649" t="inlineStr">
        <is>
          <t>2020-01-15 17:40:00</t>
        </is>
      </c>
      <c r="K649" s="28" t="n"/>
      <c r="L649" s="29" t="n"/>
      <c r="M649" s="28" t="n"/>
      <c r="N649" s="28" t="n"/>
      <c r="O649" s="28" t="n"/>
      <c r="P649" s="28" t="n"/>
      <c r="Q649" s="28" t="n"/>
      <c r="R649" s="30" t="n"/>
      <c r="S649" s="28" t="n"/>
    </row>
    <row r="650">
      <c r="A650" t="inlineStr">
        <is>
          <t>R1649</t>
        </is>
      </c>
      <c r="B650" t="inlineStr">
        <is>
          <t>Kimberly Ray</t>
        </is>
      </c>
      <c r="C650" t="inlineStr">
        <is>
          <t>1950-08-05</t>
        </is>
      </c>
      <c r="D650" t="inlineStr">
        <is>
          <t>F</t>
        </is>
      </c>
      <c r="E650" t="inlineStr">
        <is>
          <t>(555) 265-8569</t>
        </is>
      </c>
      <c r="F650" t="inlineStr">
        <is>
          <t>KIMBERLY.RAY4@EXAMPLE.COM</t>
        </is>
      </c>
      <c r="G650" t="inlineStr">
        <is>
          <t>Ashby Falls, OH 45610</t>
        </is>
      </c>
      <c r="H650" t="inlineStr">
        <is>
          <t>medicare</t>
        </is>
      </c>
      <c r="I650" t="inlineStr">
        <is>
          <t>08520187</t>
        </is>
      </c>
      <c r="J650" t="inlineStr">
        <is>
          <t>2013-08-07 18:26:00</t>
        </is>
      </c>
      <c r="K650" s="28" t="n"/>
      <c r="L650" s="29" t="n"/>
      <c r="M650" s="28" t="n"/>
      <c r="N650" s="28" t="n"/>
      <c r="O650" s="28" t="n"/>
      <c r="P650" s="28" t="n"/>
      <c r="Q650" s="28" t="n"/>
      <c r="R650" s="30" t="n"/>
      <c r="S650" s="28" t="n"/>
    </row>
    <row r="651">
      <c r="A651" t="inlineStr">
        <is>
          <t>R1650</t>
        </is>
      </c>
      <c r="B651" t="inlineStr">
        <is>
          <t>JONES, MARY</t>
        </is>
      </c>
      <c r="C651" t="inlineStr">
        <is>
          <t>2014-08-21</t>
        </is>
      </c>
      <c r="D651" t="inlineStr">
        <is>
          <t>F</t>
        </is>
      </c>
      <c r="E651" t="inlineStr">
        <is>
          <t>5554672515</t>
        </is>
      </c>
      <c r="F651" t="inlineStr">
        <is>
          <t>N/A</t>
        </is>
      </c>
      <c r="G651" t="inlineStr">
        <is>
          <t>BLUESTONE, OH 45502</t>
        </is>
      </c>
      <c r="H651" t="inlineStr">
        <is>
          <t>Summit Choice PPO</t>
        </is>
      </c>
      <c r="I651" t="inlineStr">
        <is>
          <t>04641650</t>
        </is>
      </c>
      <c r="J651" t="inlineStr">
        <is>
          <t>04/25/2016 11:44 AM</t>
        </is>
      </c>
      <c r="K651" s="28" t="n"/>
      <c r="L651" s="29" t="n"/>
      <c r="M651" s="28" t="n"/>
      <c r="N651" s="28" t="n"/>
      <c r="O651" s="28" t="n"/>
      <c r="P651" s="28" t="n"/>
      <c r="Q651" s="28" t="n"/>
      <c r="R651" s="30" t="n"/>
      <c r="S651" s="28"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22"/>
  <sheetViews>
    <sheetView tabSelected="0" workbookViewId="0">
      <pane ySplit="1" topLeftCell="A2" activePane="bottomLeft" state="frozen"/>
      <selection pane="bottomLeft" activeCell="A1" sqref="A1"/>
    </sheetView>
  </sheetViews>
  <sheetFormatPr baseColWidth="8" defaultRowHeight="15"/>
  <cols>
    <col width="32" customWidth="1" min="1" max="1"/>
    <col width="10" customWidth="1" min="2" max="2"/>
    <col width="30" customWidth="1" min="3" max="3"/>
    <col width="44" customWidth="1" min="4" max="4"/>
  </cols>
  <sheetData>
    <row r="1">
      <c r="A1" s="26" t="inlineStr">
        <is>
          <t>Variant</t>
        </is>
      </c>
      <c r="B1" s="26" t="inlineStr">
        <is>
          <t>PayerID</t>
        </is>
      </c>
      <c r="C1" s="26" t="inlineStr">
        <is>
          <t>StandardName</t>
        </is>
      </c>
      <c r="D1" s="26" t="inlineStr">
        <is>
          <t>Note</t>
        </is>
      </c>
    </row>
    <row r="2">
      <c r="A2" t="inlineStr">
        <is>
          <t>MEDICARE</t>
        </is>
      </c>
      <c r="B2" t="inlineStr">
        <is>
          <t>PY01</t>
        </is>
      </c>
      <c r="C2" t="inlineStr">
        <is>
          <t>Medicare</t>
        </is>
      </c>
    </row>
    <row r="3">
      <c r="A3" t="inlineStr">
        <is>
          <t>MEDICARE PART A</t>
        </is>
      </c>
      <c r="B3" t="inlineStr">
        <is>
          <t>PY01</t>
        </is>
      </c>
      <c r="C3" t="inlineStr">
        <is>
          <t>Medicare</t>
        </is>
      </c>
    </row>
    <row r="4">
      <c r="A4" t="inlineStr">
        <is>
          <t>SILVERLINE MA</t>
        </is>
      </c>
      <c r="B4" t="inlineStr">
        <is>
          <t>PY02</t>
        </is>
      </c>
      <c r="C4" t="inlineStr">
        <is>
          <t>Silverline Medicare Advantage</t>
        </is>
      </c>
    </row>
    <row r="5">
      <c r="A5" t="inlineStr">
        <is>
          <t>SILVERLINE MEDICARE ADV.</t>
        </is>
      </c>
      <c r="B5" t="inlineStr">
        <is>
          <t>PY02</t>
        </is>
      </c>
      <c r="C5" t="inlineStr">
        <is>
          <t>Silverline Medicare Advantage</t>
        </is>
      </c>
    </row>
    <row r="6">
      <c r="A6" t="inlineStr">
        <is>
          <t>SILVERLINE MEDICARE ADVANTAGE</t>
        </is>
      </c>
      <c r="B6" t="inlineStr">
        <is>
          <t>PY02</t>
        </is>
      </c>
      <c r="C6" t="inlineStr">
        <is>
          <t>Silverline Medicare Advantage</t>
        </is>
      </c>
    </row>
    <row r="7">
      <c r="A7" t="inlineStr">
        <is>
          <t>MEDICAID</t>
        </is>
      </c>
      <c r="B7" t="inlineStr">
        <is>
          <t>PY03</t>
        </is>
      </c>
      <c r="C7" t="inlineStr">
        <is>
          <t>State Medicaid</t>
        </is>
      </c>
    </row>
    <row r="8">
      <c r="A8" t="inlineStr">
        <is>
          <t>STATE MEDICAID</t>
        </is>
      </c>
      <c r="B8" t="inlineStr">
        <is>
          <t>PY03</t>
        </is>
      </c>
      <c r="C8" t="inlineStr">
        <is>
          <t>State Medicaid</t>
        </is>
      </c>
    </row>
    <row r="9">
      <c r="A9" t="inlineStr">
        <is>
          <t>KEYSTONE</t>
        </is>
      </c>
      <c r="B9" t="inlineStr">
        <is>
          <t>PY04</t>
        </is>
      </c>
      <c r="C9" t="inlineStr">
        <is>
          <t>Keystone Health Partners</t>
        </is>
      </c>
    </row>
    <row r="10">
      <c r="A10" t="inlineStr">
        <is>
          <t>KEYSTONE HEALTH PARTNERS</t>
        </is>
      </c>
      <c r="B10" t="inlineStr">
        <is>
          <t>PY04</t>
        </is>
      </c>
      <c r="C10" t="inlineStr">
        <is>
          <t>Keystone Health Partners</t>
        </is>
      </c>
    </row>
    <row r="11">
      <c r="A11" t="inlineStr">
        <is>
          <t>KEYSTONE HEALTH PTNRS</t>
        </is>
      </c>
      <c r="B11" t="inlineStr">
        <is>
          <t>PY04</t>
        </is>
      </c>
      <c r="C11" t="inlineStr">
        <is>
          <t>Keystone Health Partners</t>
        </is>
      </c>
    </row>
    <row r="12">
      <c r="A12" t="inlineStr">
        <is>
          <t>EVERGREEN MUTUAL</t>
        </is>
      </c>
      <c r="B12" t="inlineStr">
        <is>
          <t>PY05</t>
        </is>
      </c>
      <c r="C12" t="inlineStr">
        <is>
          <t>Evergreen Mutual Insurance</t>
        </is>
      </c>
    </row>
    <row r="13">
      <c r="A13" t="inlineStr">
        <is>
          <t>EVERGREEN MUTUAL INS</t>
        </is>
      </c>
      <c r="B13" t="inlineStr">
        <is>
          <t>PY05</t>
        </is>
      </c>
      <c r="C13" t="inlineStr">
        <is>
          <t>Evergreen Mutual Insurance</t>
        </is>
      </c>
    </row>
    <row r="14">
      <c r="A14" t="inlineStr">
        <is>
          <t>EVERGREEN MUTUAL INSURANCE</t>
        </is>
      </c>
      <c r="B14" t="inlineStr">
        <is>
          <t>PY05</t>
        </is>
      </c>
      <c r="C14" t="inlineStr">
        <is>
          <t>Evergreen Mutual Insurance</t>
        </is>
      </c>
    </row>
    <row r="15">
      <c r="A15" t="inlineStr">
        <is>
          <t>SUMMIT CHOICE</t>
        </is>
      </c>
      <c r="B15" t="inlineStr">
        <is>
          <t>PY06</t>
        </is>
      </c>
      <c r="C15" t="inlineStr">
        <is>
          <t>Summit Choice PPO</t>
        </is>
      </c>
    </row>
    <row r="16">
      <c r="A16" t="inlineStr">
        <is>
          <t>SUMMIT CHOICE PPO</t>
        </is>
      </c>
      <c r="B16" t="inlineStr">
        <is>
          <t>PY06</t>
        </is>
      </c>
      <c r="C16" t="inlineStr">
        <is>
          <t>Summit Choice PPO</t>
        </is>
      </c>
    </row>
    <row r="17">
      <c r="A17" t="inlineStr">
        <is>
          <t>SUMMIT PPO</t>
        </is>
      </c>
      <c r="B17" t="inlineStr">
        <is>
          <t>PY06</t>
        </is>
      </c>
      <c r="C17" t="inlineStr">
        <is>
          <t>Summit Choice PPO</t>
        </is>
      </c>
    </row>
    <row r="18">
      <c r="A18" t="inlineStr">
        <is>
          <t>SELF PAY</t>
        </is>
      </c>
      <c r="B18" t="inlineStr">
        <is>
          <t>PY07</t>
        </is>
      </c>
      <c r="C18" t="inlineStr">
        <is>
          <t>Self-Pay</t>
        </is>
      </c>
    </row>
    <row r="19">
      <c r="A19" t="inlineStr">
        <is>
          <t>SELF-PAY</t>
        </is>
      </c>
      <c r="B19" t="inlineStr">
        <is>
          <t>PY07</t>
        </is>
      </c>
      <c r="C19" t="inlineStr">
        <is>
          <t>Self-Pay</t>
        </is>
      </c>
    </row>
    <row r="20">
      <c r="A20" t="inlineStr">
        <is>
          <t>UNINSURED</t>
        </is>
      </c>
      <c r="B20" t="inlineStr">
        <is>
          <t>PY07</t>
        </is>
      </c>
      <c r="C20" t="inlineStr">
        <is>
          <t>Self-Pay</t>
        </is>
      </c>
      <c r="D20" t="inlineStr">
        <is>
          <t>Business rule: no coverage on file = Self-Pay</t>
        </is>
      </c>
    </row>
    <row r="22">
      <c r="A22" s="3" t="inlineStr">
        <is>
          <t>Variants are trimmed and in capitals. XLOOKUP and VLOOKUP ignore case, so one row per spelling is enough.</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50"/>
  <sheetViews>
    <sheetView tabSelected="0" workbookViewId="0">
      <pane ySplit="1" topLeftCell="A2" activePane="bottomLeft" state="frozen"/>
      <selection pane="bottomLeft" activeCell="A1" sqref="A1"/>
    </sheetView>
  </sheetViews>
  <sheetFormatPr baseColWidth="8" defaultRowHeight="15"/>
  <cols>
    <col width="32" customWidth="1" min="1" max="1"/>
    <col width="24" customWidth="1" min="2" max="2"/>
    <col width="12" customWidth="1" min="3" max="3"/>
    <col width="12" customWidth="1" min="4" max="4"/>
    <col width="15" customWidth="1" min="5" max="5"/>
  </cols>
  <sheetData>
    <row r="1">
      <c r="A1" s="25" t="inlineStr">
        <is>
          <t>Facility</t>
        </is>
      </c>
      <c r="B1" s="25" t="inlineStr">
        <is>
          <t>Unit</t>
        </is>
      </c>
      <c r="C1" s="25" t="inlineStr">
        <is>
          <t>CensusDate</t>
        </is>
      </c>
      <c r="D1" s="25" t="inlineStr">
        <is>
          <t>StaffedBeds</t>
        </is>
      </c>
      <c r="E1" s="25" t="inlineStr">
        <is>
          <t>MidnightCensus</t>
        </is>
      </c>
      <c r="G1" s="3" t="inlineStr">
        <is>
          <t>Bed-board export: Facility and Unit print only on the first row of each block.</t>
        </is>
      </c>
    </row>
    <row r="2">
      <c r="A2" t="inlineStr">
        <is>
          <t>Bluestone Memorial Hospital</t>
        </is>
      </c>
      <c r="B2" t="inlineStr">
        <is>
          <t>Cardiac Step-Down</t>
        </is>
      </c>
      <c r="C2" s="31" t="n">
        <v>46006</v>
      </c>
      <c r="D2" t="n">
        <v>24</v>
      </c>
      <c r="E2" t="n">
        <v>21</v>
      </c>
      <c r="G2" s="3" t="inlineStr">
        <is>
          <t>Practice task 4: fill the blanks in A2:B50 with Go To Special → Blanks.</t>
        </is>
      </c>
    </row>
    <row r="3">
      <c r="C3" s="31" t="n">
        <v>46007</v>
      </c>
      <c r="D3" t="n">
        <v>24</v>
      </c>
      <c r="E3" t="n">
        <v>21</v>
      </c>
    </row>
    <row r="4">
      <c r="C4" s="31" t="n">
        <v>46008</v>
      </c>
      <c r="D4" t="n">
        <v>24</v>
      </c>
      <c r="E4" t="n">
        <v>20</v>
      </c>
    </row>
    <row r="5">
      <c r="C5" s="31" t="n">
        <v>46009</v>
      </c>
      <c r="D5" t="n">
        <v>24</v>
      </c>
      <c r="E5" t="n">
        <v>20</v>
      </c>
    </row>
    <row r="6">
      <c r="C6" s="31" t="n">
        <v>46010</v>
      </c>
      <c r="D6" t="n">
        <v>24</v>
      </c>
      <c r="E6" t="n">
        <v>20</v>
      </c>
    </row>
    <row r="7">
      <c r="C7" s="31" t="n">
        <v>46011</v>
      </c>
      <c r="D7" t="n">
        <v>24</v>
      </c>
      <c r="E7" t="n">
        <v>19</v>
      </c>
    </row>
    <row r="8">
      <c r="C8" s="31" t="n">
        <v>46012</v>
      </c>
      <c r="D8" t="n">
        <v>24</v>
      </c>
      <c r="E8" t="n">
        <v>19</v>
      </c>
    </row>
    <row r="9">
      <c r="B9" t="inlineStr">
        <is>
          <t>Intensive Care Unit</t>
        </is>
      </c>
      <c r="C9" s="31" t="n">
        <v>46006</v>
      </c>
      <c r="D9" t="n">
        <v>20</v>
      </c>
      <c r="E9" t="n">
        <v>16</v>
      </c>
    </row>
    <row r="10">
      <c r="C10" s="31" t="n">
        <v>46007</v>
      </c>
      <c r="D10" t="n">
        <v>20</v>
      </c>
      <c r="E10" t="n">
        <v>17</v>
      </c>
    </row>
    <row r="11">
      <c r="C11" s="31" t="n">
        <v>46008</v>
      </c>
      <c r="D11" t="n">
        <v>20</v>
      </c>
      <c r="E11" t="n">
        <v>18</v>
      </c>
    </row>
    <row r="12">
      <c r="C12" s="31" t="n">
        <v>46009</v>
      </c>
      <c r="D12" t="n">
        <v>20</v>
      </c>
      <c r="E12" t="n">
        <v>18</v>
      </c>
    </row>
    <row r="13">
      <c r="C13" s="31" t="n">
        <v>46010</v>
      </c>
      <c r="D13" t="n">
        <v>20</v>
      </c>
      <c r="E13" t="n">
        <v>19</v>
      </c>
    </row>
    <row r="14">
      <c r="C14" s="31" t="n">
        <v>46011</v>
      </c>
      <c r="D14" t="n">
        <v>20</v>
      </c>
      <c r="E14" t="n">
        <v>20</v>
      </c>
    </row>
    <row r="15">
      <c r="C15" s="31" t="n">
        <v>46012</v>
      </c>
      <c r="D15" t="n">
        <v>20</v>
      </c>
      <c r="E15" t="n">
        <v>20</v>
      </c>
    </row>
    <row r="16">
      <c r="A16" t="inlineStr">
        <is>
          <t>Ashby Falls Community Hospital</t>
        </is>
      </c>
      <c r="B16" t="inlineStr">
        <is>
          <t>Intensive Care Unit</t>
        </is>
      </c>
      <c r="C16" s="31" t="n">
        <v>46006</v>
      </c>
      <c r="D16" t="n">
        <v>8</v>
      </c>
      <c r="E16" t="n">
        <v>7</v>
      </c>
    </row>
    <row r="17">
      <c r="C17" s="31" t="n">
        <v>46007</v>
      </c>
      <c r="D17" t="n">
        <v>8</v>
      </c>
      <c r="E17" t="n">
        <v>7</v>
      </c>
    </row>
    <row r="18">
      <c r="C18" s="31" t="n">
        <v>46008</v>
      </c>
      <c r="D18" t="n">
        <v>8</v>
      </c>
      <c r="E18" t="n">
        <v>7</v>
      </c>
    </row>
    <row r="19">
      <c r="C19" s="31" t="n">
        <v>46009</v>
      </c>
      <c r="D19" t="n">
        <v>8</v>
      </c>
      <c r="E19" t="n">
        <v>7</v>
      </c>
    </row>
    <row r="20">
      <c r="C20" s="31" t="n">
        <v>46010</v>
      </c>
      <c r="D20" t="n">
        <v>8</v>
      </c>
      <c r="E20" t="n">
        <v>7</v>
      </c>
    </row>
    <row r="21">
      <c r="C21" s="31" t="n">
        <v>46011</v>
      </c>
      <c r="D21" t="n">
        <v>8</v>
      </c>
      <c r="E21" t="n">
        <v>7</v>
      </c>
    </row>
    <row r="22">
      <c r="C22" s="31" t="n">
        <v>46012</v>
      </c>
      <c r="D22" t="n">
        <v>8</v>
      </c>
      <c r="E22" t="n">
        <v>7</v>
      </c>
    </row>
    <row r="23">
      <c r="B23" t="inlineStr">
        <is>
          <t>Medical-Surgical</t>
        </is>
      </c>
      <c r="C23" s="31" t="n">
        <v>46006</v>
      </c>
      <c r="D23" t="n">
        <v>28</v>
      </c>
      <c r="E23" t="n">
        <v>28</v>
      </c>
    </row>
    <row r="24">
      <c r="C24" s="31" t="n">
        <v>46007</v>
      </c>
      <c r="D24" t="n">
        <v>28</v>
      </c>
      <c r="E24" t="n">
        <v>28</v>
      </c>
    </row>
    <row r="25">
      <c r="C25" s="31" t="n">
        <v>46008</v>
      </c>
      <c r="D25" t="n">
        <v>28</v>
      </c>
      <c r="E25" t="n">
        <v>29</v>
      </c>
    </row>
    <row r="26">
      <c r="C26" s="31" t="n">
        <v>46009</v>
      </c>
      <c r="D26" t="n">
        <v>28</v>
      </c>
      <c r="E26" t="n">
        <v>27</v>
      </c>
    </row>
    <row r="27">
      <c r="C27" s="31" t="n">
        <v>46010</v>
      </c>
      <c r="D27" t="n">
        <v>28</v>
      </c>
      <c r="E27" t="n">
        <v>28</v>
      </c>
    </row>
    <row r="28">
      <c r="C28" s="31" t="n">
        <v>46011</v>
      </c>
      <c r="D28" t="n">
        <v>28</v>
      </c>
      <c r="E28" t="n">
        <v>26</v>
      </c>
    </row>
    <row r="29">
      <c r="C29" s="31" t="n">
        <v>46012</v>
      </c>
      <c r="D29" t="n">
        <v>28</v>
      </c>
      <c r="E29" t="n">
        <v>25</v>
      </c>
    </row>
    <row r="30">
      <c r="A30" t="inlineStr">
        <is>
          <t>Cedar Ridge Medical Center</t>
        </is>
      </c>
      <c r="B30" t="inlineStr">
        <is>
          <t>Cardiac Step-Down</t>
        </is>
      </c>
      <c r="C30" s="31" t="n">
        <v>46006</v>
      </c>
      <c r="D30" t="n">
        <v>16</v>
      </c>
      <c r="E30" t="n">
        <v>15</v>
      </c>
    </row>
    <row r="31">
      <c r="C31" s="31" t="n">
        <v>46007</v>
      </c>
      <c r="D31" t="n">
        <v>16</v>
      </c>
      <c r="E31" t="n">
        <v>15</v>
      </c>
    </row>
    <row r="32">
      <c r="C32" s="31" t="n">
        <v>46008</v>
      </c>
      <c r="D32" t="n">
        <v>16</v>
      </c>
      <c r="E32" t="n">
        <v>15</v>
      </c>
    </row>
    <row r="33">
      <c r="C33" s="31" t="n">
        <v>46009</v>
      </c>
      <c r="D33" t="n">
        <v>16</v>
      </c>
      <c r="E33" t="n">
        <v>15</v>
      </c>
    </row>
    <row r="34">
      <c r="C34" s="31" t="n">
        <v>46010</v>
      </c>
      <c r="D34" t="n">
        <v>16</v>
      </c>
      <c r="E34" t="n">
        <v>15</v>
      </c>
    </row>
    <row r="35">
      <c r="C35" s="31" t="n">
        <v>46011</v>
      </c>
      <c r="D35" t="n">
        <v>16</v>
      </c>
      <c r="E35" t="n">
        <v>14</v>
      </c>
    </row>
    <row r="36">
      <c r="C36" s="31" t="n">
        <v>46012</v>
      </c>
      <c r="D36" t="n">
        <v>16</v>
      </c>
      <c r="E36" t="n">
        <v>12</v>
      </c>
    </row>
    <row r="37">
      <c r="B37" t="inlineStr">
        <is>
          <t>Intensive Care Unit</t>
        </is>
      </c>
      <c r="C37" s="31" t="n">
        <v>46006</v>
      </c>
      <c r="D37" t="n">
        <v>12</v>
      </c>
      <c r="E37" t="n">
        <v>11</v>
      </c>
    </row>
    <row r="38">
      <c r="C38" s="31" t="n">
        <v>46007</v>
      </c>
      <c r="D38" t="n">
        <v>12</v>
      </c>
      <c r="E38" t="n">
        <v>10</v>
      </c>
    </row>
    <row r="39">
      <c r="C39" s="31" t="n">
        <v>46008</v>
      </c>
      <c r="D39" t="n">
        <v>12</v>
      </c>
      <c r="E39" t="n">
        <v>10</v>
      </c>
    </row>
    <row r="40">
      <c r="C40" s="31" t="n">
        <v>46009</v>
      </c>
      <c r="D40" t="n">
        <v>12</v>
      </c>
      <c r="E40" t="n">
        <v>10</v>
      </c>
    </row>
    <row r="41">
      <c r="C41" s="31" t="n">
        <v>46010</v>
      </c>
      <c r="D41" t="n">
        <v>12</v>
      </c>
      <c r="E41" t="n">
        <v>10</v>
      </c>
    </row>
    <row r="42">
      <c r="C42" s="31" t="n">
        <v>46011</v>
      </c>
      <c r="D42" t="n">
        <v>12</v>
      </c>
      <c r="E42" t="n">
        <v>10</v>
      </c>
    </row>
    <row r="43">
      <c r="C43" s="31" t="n">
        <v>46012</v>
      </c>
      <c r="D43" t="n">
        <v>12</v>
      </c>
      <c r="E43" t="n">
        <v>10</v>
      </c>
    </row>
    <row r="44">
      <c r="B44" t="inlineStr">
        <is>
          <t>Medical-Surgical</t>
        </is>
      </c>
      <c r="C44" s="31" t="n">
        <v>46006</v>
      </c>
      <c r="D44" t="n">
        <v>30</v>
      </c>
      <c r="E44" t="n">
        <v>27</v>
      </c>
    </row>
    <row r="45">
      <c r="C45" s="31" t="n">
        <v>46007</v>
      </c>
      <c r="D45" t="n">
        <v>30</v>
      </c>
      <c r="E45" t="n">
        <v>28</v>
      </c>
    </row>
    <row r="46">
      <c r="C46" s="31" t="n">
        <v>46008</v>
      </c>
      <c r="D46" t="n">
        <v>30</v>
      </c>
      <c r="E46" t="n">
        <v>29</v>
      </c>
    </row>
    <row r="47">
      <c r="C47" s="31" t="n">
        <v>46009</v>
      </c>
      <c r="D47" t="n">
        <v>30</v>
      </c>
      <c r="E47" t="n">
        <v>30</v>
      </c>
    </row>
    <row r="48">
      <c r="C48" s="31" t="n">
        <v>46010</v>
      </c>
      <c r="D48" t="n">
        <v>30</v>
      </c>
      <c r="E48" t="n">
        <v>30</v>
      </c>
    </row>
    <row r="49">
      <c r="C49" s="31" t="n">
        <v>46011</v>
      </c>
      <c r="D49" t="n">
        <v>30</v>
      </c>
      <c r="E49" t="n">
        <v>29</v>
      </c>
    </row>
    <row r="50">
      <c r="C50" s="31" t="n">
        <v>46012</v>
      </c>
      <c r="D50" t="n">
        <v>30</v>
      </c>
      <c r="E50" t="n">
        <v>29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7"/>
  <sheetViews>
    <sheetView tabSelected="0" workbookViewId="0">
      <pane ySplit="1" topLeftCell="A2" activePane="bottomLeft" state="frozen"/>
      <selection pane="bottomLeft" activeCell="A1" sqref="A1"/>
    </sheetView>
  </sheetViews>
  <sheetFormatPr baseColWidth="8" defaultRowHeight="15"/>
  <cols>
    <col width="58" customWidth="1" min="1" max="1"/>
  </cols>
  <sheetData>
    <row r="1">
      <c r="A1" s="25" t="inlineStr">
        <is>
          <t>MRN|TestCode|Result|Units|CollectedDateTime</t>
        </is>
      </c>
      <c r="H1" s="3" t="inlineStr">
        <is>
          <t>Lab interface feed: one result per line, fields separated by | (vertical bar).</t>
        </is>
      </c>
    </row>
    <row r="2">
      <c r="A2" t="inlineStr">
        <is>
          <t>07539656|NA|138|mmol/L|12/01/2025 14:58</t>
        </is>
      </c>
      <c r="H2" s="3" t="inlineStr">
        <is>
          <t>Practice task 9: split column A with Data → Text to Columns. Keep MRN as Text.</t>
        </is>
      </c>
    </row>
    <row r="3">
      <c r="A3" t="inlineStr">
        <is>
          <t>07539656|K|4.6|mmol/L|12/01/2025 14:58</t>
        </is>
      </c>
    </row>
    <row r="4">
      <c r="A4" t="inlineStr">
        <is>
          <t>07539656|GLU|149|mg/dL|12/01/2025 15:18</t>
        </is>
      </c>
    </row>
    <row r="5">
      <c r="A5" t="inlineStr">
        <is>
          <t>08012025|GLU|121|mg/dL|12/02/2025 02:02</t>
        </is>
      </c>
    </row>
    <row r="6">
      <c r="A6" t="inlineStr">
        <is>
          <t>08094078|K|5.3|mmol/L|12/02/2025 11:14</t>
        </is>
      </c>
    </row>
    <row r="7">
      <c r="A7" t="inlineStr">
        <is>
          <t>02838787|GLU|72|mg/dL|12/03/2025 01:37</t>
        </is>
      </c>
    </row>
    <row r="8">
      <c r="A8" t="inlineStr">
        <is>
          <t>00723214|K|4.2|mmol/L|12/03/2025 15:25</t>
        </is>
      </c>
    </row>
    <row r="9">
      <c r="A9" t="inlineStr">
        <is>
          <t>00723214|CREAT|1.05|mg/dL|12/03/2025 15:41</t>
        </is>
      </c>
    </row>
    <row r="10">
      <c r="A10" t="inlineStr">
        <is>
          <t>06224529|GLU|119|mg/dL|12/03/2025 15:54</t>
        </is>
      </c>
    </row>
    <row r="11">
      <c r="A11" t="inlineStr">
        <is>
          <t>06224529|CREAT|1.3|mg/dL|12/03/2025 15:54</t>
        </is>
      </c>
    </row>
    <row r="12">
      <c r="A12" t="inlineStr">
        <is>
          <t>00723214|NA|137|mmol/L|12/03/2025 16:05</t>
        </is>
      </c>
    </row>
    <row r="13">
      <c r="A13" t="inlineStr">
        <is>
          <t>06439191|CREAT|1.13|mg/dL|12/04/2025 08:31</t>
        </is>
      </c>
    </row>
    <row r="14">
      <c r="A14" t="inlineStr">
        <is>
          <t>06439191|GLU|112|mg/dL|12/04/2025 08:55</t>
        </is>
      </c>
    </row>
    <row r="15">
      <c r="A15" t="inlineStr">
        <is>
          <t>02838581|BUN|11|mg/dL|12/04/2025 15:53</t>
        </is>
      </c>
    </row>
    <row r="16">
      <c r="A16" t="inlineStr">
        <is>
          <t>03524038|CREAT|0.77|mg/dL|12/06/2025 10:45</t>
        </is>
      </c>
    </row>
    <row r="17">
      <c r="A17" t="inlineStr">
        <is>
          <t>03524038|GLU|68|mg/dL|12/06/2025 11:10</t>
        </is>
      </c>
    </row>
    <row r="18">
      <c r="A18" t="inlineStr">
        <is>
          <t>09890379|NA|139|mmol/L|12/06/2025 20:45</t>
        </is>
      </c>
    </row>
    <row r="19">
      <c r="A19" t="inlineStr">
        <is>
          <t>09890379|GLU|88|mg/dL|12/06/2025 20:48</t>
        </is>
      </c>
    </row>
    <row r="20">
      <c r="A20" t="inlineStr">
        <is>
          <t>09890379|K|4.3|mmol/L|12/06/2025 21:11</t>
        </is>
      </c>
    </row>
    <row r="21">
      <c r="A21" t="inlineStr">
        <is>
          <t>05063278|GLU|118|mg/dL|12/07/2025 05:19</t>
        </is>
      </c>
    </row>
    <row r="22">
      <c r="A22" t="inlineStr">
        <is>
          <t>05063278|CREAT|1.11|mg/dL|12/07/2025 05:29</t>
        </is>
      </c>
    </row>
    <row r="23">
      <c r="A23" t="inlineStr">
        <is>
          <t>01641893|CREAT|1.78|mg/dL|12/07/2025 13:39</t>
        </is>
      </c>
    </row>
    <row r="24">
      <c r="A24" t="inlineStr">
        <is>
          <t>01641893|GLU|164|mg/dL|12/07/2025 14:14</t>
        </is>
      </c>
    </row>
    <row r="25">
      <c r="A25" t="inlineStr">
        <is>
          <t>02744222|GLU|95|mg/dL|12/07/2025 15:15</t>
        </is>
      </c>
    </row>
    <row r="26">
      <c r="A26" t="inlineStr">
        <is>
          <t>08582059|CREAT|0.54|mg/dL|12/07/2025 16:16</t>
        </is>
      </c>
    </row>
    <row r="27">
      <c r="A27" t="inlineStr">
        <is>
          <t>07777758|CREAT|1.22|mg/dL|12/07/2025 18:14</t>
        </is>
      </c>
    </row>
    <row r="28">
      <c r="A28" t="inlineStr">
        <is>
          <t>07777758|GLU|137|mg/dL|12/07/2025 18:16</t>
        </is>
      </c>
    </row>
    <row r="29">
      <c r="A29" t="inlineStr">
        <is>
          <t>00798669|GLU|105|mg/dL|12/07/2025 20:34</t>
        </is>
      </c>
    </row>
    <row r="30">
      <c r="A30" t="inlineStr">
        <is>
          <t>00798669|CREAT|0.81|mg/dL|12/07/2025 21:01</t>
        </is>
      </c>
    </row>
    <row r="31">
      <c r="A31" t="inlineStr">
        <is>
          <t>00030828|CREAT|1.14|mg/dL|12/08/2025 04:22</t>
        </is>
      </c>
    </row>
    <row r="32">
      <c r="A32" t="inlineStr">
        <is>
          <t>00030828|GLU|138|mg/dL|12/08/2025 05:21</t>
        </is>
      </c>
    </row>
    <row r="33">
      <c r="A33" t="inlineStr">
        <is>
          <t>04215070|CREAT|1.09|mg/dL|12/08/2025 11:31</t>
        </is>
      </c>
    </row>
    <row r="34">
      <c r="A34" t="inlineStr">
        <is>
          <t>04215070|GLU|116|mg/dL|12/08/2025 11:45</t>
        </is>
      </c>
    </row>
    <row r="35">
      <c r="A35" t="inlineStr">
        <is>
          <t>01837246|CREAT|1.1|mg/dL|12/09/2025 01:27</t>
        </is>
      </c>
    </row>
    <row r="36">
      <c r="A36" t="inlineStr">
        <is>
          <t>04863871|GLU|120|mg/dL|12/09/2025 15:14</t>
        </is>
      </c>
    </row>
    <row r="37">
      <c r="A37" t="inlineStr">
        <is>
          <t>08895382|CREAT|0.93|mg/dL|12/10/2025 07:59</t>
        </is>
      </c>
    </row>
    <row r="38">
      <c r="A38" t="inlineStr">
        <is>
          <t>08895382|GLU|121|mg/dL|12/10/2025 08:12</t>
        </is>
      </c>
    </row>
    <row r="39">
      <c r="A39" t="inlineStr">
        <is>
          <t>08895382|NA|142|mmol/L|12/10/2025 08:35</t>
        </is>
      </c>
    </row>
    <row r="40">
      <c r="A40" t="inlineStr">
        <is>
          <t>08895382|K|3.7|mmol/L|12/10/2025 08:45</t>
        </is>
      </c>
    </row>
    <row r="41">
      <c r="A41" t="inlineStr">
        <is>
          <t>00227378|K|3.3|mmol/L|12/10/2025 09:59</t>
        </is>
      </c>
    </row>
    <row r="42">
      <c r="A42" t="inlineStr">
        <is>
          <t>00227378|GLU|153|mg/dL|12/10/2025 10:10</t>
        </is>
      </c>
    </row>
    <row r="43">
      <c r="A43" t="inlineStr">
        <is>
          <t>00227378|NA|142|mmol/L|12/10/2025 10:17</t>
        </is>
      </c>
    </row>
    <row r="44">
      <c r="A44" t="inlineStr">
        <is>
          <t>04285019|GLU|214|mg/dL|12/10/2025 11:16</t>
        </is>
      </c>
    </row>
    <row r="45">
      <c r="A45" t="inlineStr">
        <is>
          <t>04285019|K|3.9|mmol/L|12/10/2025 11:38</t>
        </is>
      </c>
    </row>
    <row r="46">
      <c r="A46" t="inlineStr">
        <is>
          <t>02272761|GLU|107|mg/dL|12/10/2025 21:41</t>
        </is>
      </c>
    </row>
    <row r="47">
      <c r="A47" t="inlineStr">
        <is>
          <t>08803440|CREAT|1|mg/dL|12/11/2025 09:43</t>
        </is>
      </c>
    </row>
    <row r="48">
      <c r="A48" t="inlineStr">
        <is>
          <t>00798669|CREAT|1.04|mg/dL|12/12/2025 10:41</t>
        </is>
      </c>
    </row>
    <row r="49">
      <c r="A49" t="inlineStr">
        <is>
          <t>08854918|CREAT|1.06|mg/dL|12/12/2025 12:18</t>
        </is>
      </c>
    </row>
    <row r="50">
      <c r="A50" t="inlineStr">
        <is>
          <t>08854918|K|4.1|mmol/L|12/12/2025 12:30</t>
        </is>
      </c>
    </row>
    <row r="51">
      <c r="A51" t="inlineStr">
        <is>
          <t>08854918|NA|140|mmol/L|12/12/2025 13:05</t>
        </is>
      </c>
    </row>
    <row r="52">
      <c r="A52" t="inlineStr">
        <is>
          <t>03501778|NA|138|mmol/L|12/12/2025 16:29</t>
        </is>
      </c>
    </row>
    <row r="53">
      <c r="A53" t="inlineStr">
        <is>
          <t>03501778|GLU|113|mg/dL|12/12/2025 17:20</t>
        </is>
      </c>
    </row>
    <row r="54">
      <c r="A54" t="inlineStr">
        <is>
          <t>03501778|K|4.5|mmol/L|12/12/2025 17:25</t>
        </is>
      </c>
    </row>
    <row r="55">
      <c r="A55" t="inlineStr">
        <is>
          <t>01117203|GLU|107|mg/dL|12/12/2025 21:50</t>
        </is>
      </c>
    </row>
    <row r="56">
      <c r="A56" t="inlineStr">
        <is>
          <t>03101451|GLU|200|mg/dL|12/13/2025 09:16</t>
        </is>
      </c>
    </row>
    <row r="57">
      <c r="A57" t="inlineStr">
        <is>
          <t>04335618|CREAT|1.12|mg/dL|12/14/2025 18:20</t>
        </is>
      </c>
    </row>
    <row r="58">
      <c r="A58" t="inlineStr">
        <is>
          <t>00883434|CREAT|0.68|mg/dL|12/15/2025 09:12</t>
        </is>
      </c>
    </row>
    <row r="59">
      <c r="A59" t="inlineStr">
        <is>
          <t>00883434|GLU|119|mg/dL|12/15/2025 09:29</t>
        </is>
      </c>
    </row>
    <row r="60">
      <c r="A60" t="inlineStr">
        <is>
          <t>06446298|CREAT|0.94|mg/dL|12/15/2025 11:23</t>
        </is>
      </c>
    </row>
    <row r="61">
      <c r="A61" t="inlineStr">
        <is>
          <t>06446298|GLU|86|mg/dL|12/15/2025 11:31</t>
        </is>
      </c>
    </row>
    <row r="62">
      <c r="A62" t="inlineStr">
        <is>
          <t>09058040|CREAT|2.09|mg/dL|12/15/2025 13:22</t>
        </is>
      </c>
    </row>
    <row r="63">
      <c r="A63" t="inlineStr">
        <is>
          <t>02985735|K|4.1|mmol/L|12/16/2025 02:49</t>
        </is>
      </c>
    </row>
    <row r="64">
      <c r="A64" t="inlineStr">
        <is>
          <t>02985735|GLU|147|mg/dL|12/16/2025 03:03</t>
        </is>
      </c>
    </row>
    <row r="65">
      <c r="A65" t="inlineStr">
        <is>
          <t>02985735|BUN|16|mg/dL|12/16/2025 04:01</t>
        </is>
      </c>
    </row>
    <row r="66">
      <c r="A66" t="inlineStr">
        <is>
          <t>07817535|CREAT|0.79|mg/dL|12/16/2025 21:48</t>
        </is>
      </c>
    </row>
    <row r="67">
      <c r="A67" t="inlineStr">
        <is>
          <t>07817535|GLU|112|mg/dL|12/16/2025 21:52</t>
        </is>
      </c>
    </row>
    <row r="68">
      <c r="A68" t="inlineStr">
        <is>
          <t>09359645|CREAT|1.13|mg/dL|12/16/2025 22:49</t>
        </is>
      </c>
    </row>
    <row r="69">
      <c r="A69" t="inlineStr">
        <is>
          <t>09359645|GLU|120|mg/dL|12/16/2025 23:13</t>
        </is>
      </c>
    </row>
    <row r="70">
      <c r="A70" t="inlineStr">
        <is>
          <t>00876828|GLU|108|mg/dL|12/17/2025 02:14</t>
        </is>
      </c>
    </row>
    <row r="71">
      <c r="A71" t="inlineStr">
        <is>
          <t>00665678|GLU|115|mg/dL|12/17/2025 19:18</t>
        </is>
      </c>
    </row>
    <row r="72">
      <c r="A72" t="inlineStr">
        <is>
          <t>00665678|CREAT|1.06|mg/dL|12/17/2025 20:01</t>
        </is>
      </c>
    </row>
    <row r="73">
      <c r="A73" t="inlineStr">
        <is>
          <t>00665678|BUN|16|mg/dL|12/17/2025 20:09</t>
        </is>
      </c>
    </row>
    <row r="74">
      <c r="A74" t="inlineStr">
        <is>
          <t>09252544|GLU|107|mg/dL|12/19/2025 11:19</t>
        </is>
      </c>
    </row>
    <row r="75">
      <c r="A75" t="inlineStr">
        <is>
          <t>01744606|CREAT|0.52|mg/dL|12/19/2025 20:32</t>
        </is>
      </c>
    </row>
    <row r="76">
      <c r="A76" t="inlineStr">
        <is>
          <t>04922671|GLU|95|mg/dL|12/19/2025 20:45</t>
        </is>
      </c>
    </row>
    <row r="77">
      <c r="A77" t="inlineStr">
        <is>
          <t>01744606|GLU|85|mg/dL|12/19/2025 21:04</t>
        </is>
      </c>
    </row>
    <row r="78">
      <c r="A78" t="inlineStr">
        <is>
          <t>01143677|GLU|95|mg/dL|12/20/2025 00:15</t>
        </is>
      </c>
    </row>
    <row r="79">
      <c r="A79" t="inlineStr">
        <is>
          <t>01143677|NA|138|mmol/L|12/20/2025 00:52</t>
        </is>
      </c>
    </row>
    <row r="80">
      <c r="A80" t="inlineStr">
        <is>
          <t>01143677|K|4.1|mmol/L|12/20/2025 00:59</t>
        </is>
      </c>
    </row>
    <row r="81">
      <c r="A81" t="inlineStr">
        <is>
          <t>01143677|CREAT|0.92|mg/dL|12/20/2025 01:15</t>
        </is>
      </c>
    </row>
    <row r="82">
      <c r="A82" t="inlineStr">
        <is>
          <t>00794829|CREAT|0.94|mg/dL|12/20/2025 14:44</t>
        </is>
      </c>
    </row>
    <row r="83">
      <c r="A83" t="inlineStr">
        <is>
          <t>00794829|NA|141|mmol/L|12/20/2025 15:35</t>
        </is>
      </c>
    </row>
    <row r="84">
      <c r="A84" t="inlineStr">
        <is>
          <t>00794829|K|4.9|mmol/L|12/20/2025 15:53</t>
        </is>
      </c>
    </row>
    <row r="85">
      <c r="A85" t="inlineStr">
        <is>
          <t>00906419|K|3.7|mmol/L|12/21/2025 14:57</t>
        </is>
      </c>
    </row>
    <row r="86">
      <c r="A86" t="inlineStr">
        <is>
          <t>00906419|NA|136|mmol/L|12/21/2025 15:04</t>
        </is>
      </c>
    </row>
    <row r="87">
      <c r="A87" t="inlineStr">
        <is>
          <t>00906419|CREAT|0.79|mg/dL|12/21/2025 15:05</t>
        </is>
      </c>
    </row>
    <row r="88">
      <c r="A88" t="inlineStr">
        <is>
          <t>00906419|GLU|96|mg/dL|12/21/2025 15:21</t>
        </is>
      </c>
    </row>
    <row r="89">
      <c r="A89" t="inlineStr">
        <is>
          <t>00346848|CREAT|0.9|mg/dL|12/22/2025 17:06</t>
        </is>
      </c>
    </row>
    <row r="90">
      <c r="A90" t="inlineStr">
        <is>
          <t>06688303|GLU|246|mg/dL|12/22/2025 17:08</t>
        </is>
      </c>
    </row>
    <row r="91">
      <c r="A91" t="inlineStr">
        <is>
          <t>06688303|K|4.2|mmol/L|12/22/2025 17:19</t>
        </is>
      </c>
    </row>
    <row r="92">
      <c r="A92" t="inlineStr">
        <is>
          <t>09702072|CREAT|0.49|mg/dL|12/22/2025 18:22</t>
        </is>
      </c>
    </row>
    <row r="93">
      <c r="A93" t="inlineStr">
        <is>
          <t>09702072|GLU|113|mg/dL|12/22/2025 18:38</t>
        </is>
      </c>
    </row>
    <row r="94">
      <c r="A94" t="inlineStr">
        <is>
          <t>06400563|CREAT|0.87|mg/dL|12/24/2025 01:39</t>
        </is>
      </c>
    </row>
    <row r="95">
      <c r="A95" t="inlineStr">
        <is>
          <t>07958044|CREAT|1.24|mg/dL|12/24/2025 17:55</t>
        </is>
      </c>
    </row>
    <row r="96">
      <c r="A96" t="inlineStr">
        <is>
          <t>07958044|GLU|112|mg/dL|12/24/2025 18:59</t>
        </is>
      </c>
    </row>
    <row r="97">
      <c r="A97" t="inlineStr">
        <is>
          <t>06630595|NA|140|mmol/L|12/24/2025 19:16</t>
        </is>
      </c>
    </row>
    <row r="98">
      <c r="A98" t="inlineStr">
        <is>
          <t>06630595|K|3.8|mmol/L|12/24/2025 19:29</t>
        </is>
      </c>
    </row>
    <row r="99">
      <c r="A99" t="inlineStr">
        <is>
          <t>06630595|CREAT|0.75|mg/dL|12/24/2025 19:32</t>
        </is>
      </c>
    </row>
    <row r="100">
      <c r="A100" t="inlineStr">
        <is>
          <t>04319243|CREAT|0.81|mg/dL|12/24/2025 23:41</t>
        </is>
      </c>
    </row>
    <row r="101">
      <c r="A101" t="inlineStr">
        <is>
          <t>04319243|GLU|122|mg/dL|12/25/2025 00:40</t>
        </is>
      </c>
    </row>
    <row r="102">
      <c r="A102" t="inlineStr">
        <is>
          <t>04695579|K|4.2|mmol/L|12/25/2025 05:18</t>
        </is>
      </c>
    </row>
    <row r="103">
      <c r="A103" t="inlineStr">
        <is>
          <t>04695579|CREAT|0.86|mg/dL|12/25/2025 05:30</t>
        </is>
      </c>
    </row>
    <row r="104">
      <c r="A104" t="inlineStr">
        <is>
          <t>04695579|NA|142|mmol/L|12/25/2025 05:43</t>
        </is>
      </c>
    </row>
    <row r="105">
      <c r="A105" t="inlineStr">
        <is>
          <t>04695579|GLU|103|mg/dL|12/25/2025 06:20</t>
        </is>
      </c>
    </row>
    <row r="106">
      <c r="A106" t="inlineStr">
        <is>
          <t>06265842|GLU|104|mg/dL|12/25/2025 20:53</t>
        </is>
      </c>
    </row>
    <row r="107">
      <c r="A107" t="inlineStr">
        <is>
          <t>02819760|BUN|23|mg/dL|12/26/2025 02:40</t>
        </is>
      </c>
    </row>
    <row r="108">
      <c r="A108" t="inlineStr">
        <is>
          <t>04120021|CREAT|1.04|mg/dL|12/27/2025 03:30</t>
        </is>
      </c>
    </row>
    <row r="109">
      <c r="A109" t="inlineStr">
        <is>
          <t>04120021|GLU|150|mg/dL|12/27/2025 04:08</t>
        </is>
      </c>
    </row>
    <row r="110">
      <c r="A110" t="inlineStr">
        <is>
          <t>03977200|GLU|90|mg/dL|12/27/2025 19:04</t>
        </is>
      </c>
    </row>
    <row r="111">
      <c r="A111" t="inlineStr">
        <is>
          <t>03977200|CREAT|1.02|mg/dL|12/27/2025 19:32</t>
        </is>
      </c>
    </row>
    <row r="112">
      <c r="A112" t="inlineStr">
        <is>
          <t>02744222|BUN|13|mg/dL|12/28/2025 13:06</t>
        </is>
      </c>
    </row>
    <row r="113">
      <c r="A113" t="inlineStr">
        <is>
          <t>02744222|CREAT|0.37|mg/dL|12/28/2025 13:30</t>
        </is>
      </c>
    </row>
    <row r="114">
      <c r="A114" t="inlineStr">
        <is>
          <t>06708870|GLU|87|mg/dL|12/29/2025 22:18</t>
        </is>
      </c>
    </row>
    <row r="115">
      <c r="A115" t="inlineStr">
        <is>
          <t>06708870|CREAT|0.62|mg/dL|12/29/2025 22:41</t>
        </is>
      </c>
    </row>
    <row r="116">
      <c r="A116" t="inlineStr">
        <is>
          <t>03705464|CREAT|0.74|mg/dL|12/30/2025 19:11</t>
        </is>
      </c>
    </row>
    <row r="117">
      <c r="A117" t="inlineStr">
        <is>
          <t>03705464|GLU|233|mg/dL|12/30/2025 19:35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tabSelected="0" workbookViewId="0">
      <pane ySplit="1" topLeftCell="A2" activePane="bottomLeft" state="frozen"/>
      <selection pane="bottomLeft" activeCell="A1" sqref="A1"/>
    </sheetView>
  </sheetViews>
  <sheetFormatPr baseColWidth="8" defaultRowHeight="15"/>
  <cols>
    <col width="7" customWidth="1" min="1" max="1"/>
    <col width="14" customWidth="1" min="2" max="2"/>
    <col width="62" customWidth="1" min="3" max="3"/>
    <col width="52" customWidth="1" min="4" max="4"/>
    <col width="14" customWidth="1" min="5" max="5"/>
    <col width="22" customWidth="1" min="6" max="6"/>
  </cols>
  <sheetData>
    <row r="1">
      <c r="A1" s="26" t="inlineStr">
        <is>
          <t>Step</t>
        </is>
      </c>
      <c r="B1" s="26" t="inlineStr">
        <is>
          <t>Column</t>
        </is>
      </c>
      <c r="C1" s="26" t="inlineStr">
        <is>
          <t>ProblemFound</t>
        </is>
      </c>
      <c r="D1" s="26" t="inlineStr">
        <is>
          <t>FixApplied</t>
        </is>
      </c>
      <c r="E1" s="26" t="inlineStr">
        <is>
          <t>RowsChanged</t>
        </is>
      </c>
      <c r="F1" s="26" t="inlineStr">
        <is>
          <t>Notes</t>
        </is>
      </c>
    </row>
    <row r="2">
      <c r="A2" s="32" t="n">
        <v>1</v>
      </c>
      <c r="B2" s="32" t="inlineStr">
        <is>
          <t>(all)</t>
        </is>
      </c>
      <c r="C2" s="7" t="inlineStr">
        <is>
          <t>Export must stay exactly as received, for audit and re-runs</t>
        </is>
      </c>
      <c r="D2" s="7" t="inlineStr">
        <is>
          <t>Raw copied to Clean. Every fix is a formula in a new yellow column</t>
        </is>
      </c>
      <c r="E2" s="32" t="n">
        <v>0</v>
      </c>
      <c r="F2" s="7" t="inlineStr">
        <is>
          <t>Never type over Raw</t>
        </is>
      </c>
    </row>
    <row r="3">
      <c r="A3" s="32" t="n">
        <v>2</v>
      </c>
      <c r="B3" s="32" t="inlineStr">
        <is>
          <t>Sex</t>
        </is>
      </c>
      <c r="C3" s="7" t="inlineStr">
        <is>
          <t>10 spellings of 2 values: F, f, ' F', Female, FEMALE, M, m, 'M ', Male, MALE</t>
        </is>
      </c>
      <c r="D3" s="33" t="n"/>
      <c r="E3" s="34" t="n"/>
      <c r="F3" s="7" t="inlineStr">
        <is>
          <t>Practice tasks 2 and 12</t>
        </is>
      </c>
    </row>
    <row r="4">
      <c r="A4" s="32" t="n">
        <v>3</v>
      </c>
      <c r="B4" s="32" t="inlineStr">
        <is>
          <t>PatientName</t>
        </is>
      </c>
      <c r="C4" s="7" t="inlineStr">
        <is>
          <t>Two layouts (Last, First and First Last), stray spaces, ALL CAPS and lowercase</t>
        </is>
      </c>
      <c r="D4" s="33" t="n"/>
      <c r="E4" s="34" t="n"/>
      <c r="F4" s="7" t="n"/>
    </row>
    <row r="5">
      <c r="A5" s="32" t="n">
        <v>4</v>
      </c>
      <c r="B5" s="32" t="inlineStr">
        <is>
          <t>Phone</t>
        </is>
      </c>
      <c r="C5" s="7" t="inlineStr">
        <is>
          <t>Six layouts, some with a +1 country code, and some blanks</t>
        </is>
      </c>
      <c r="D5" s="33" t="n"/>
      <c r="E5" s="34" t="n"/>
      <c r="F5" s="7" t="n"/>
    </row>
    <row r="6">
      <c r="A6" s="32" t="n">
        <v>5</v>
      </c>
      <c r="B6" s="32" t="inlineStr">
        <is>
          <t>MRN</t>
        </is>
      </c>
      <c r="C6" s="7" t="inlineStr">
        <is>
          <t>Leading zeros lost on some rows, and an MRN- prefix on others</t>
        </is>
      </c>
      <c r="D6" s="33" t="n"/>
      <c r="E6" s="34" t="n"/>
      <c r="F6" s="7" t="n"/>
    </row>
    <row r="7">
      <c r="A7" s="32" t="n">
        <v>6</v>
      </c>
      <c r="B7" s="32" t="inlineStr">
        <is>
          <t>DOB</t>
        </is>
      </c>
      <c r="C7" s="7" t="inlineStr">
        <is>
          <t>Dates stored as text in five layouts</t>
        </is>
      </c>
      <c r="D7" s="33" t="n"/>
      <c r="E7" s="34" t="n"/>
      <c r="F7" s="7" t="n"/>
    </row>
    <row r="8">
      <c r="A8" s="32" t="n">
        <v>7</v>
      </c>
      <c r="B8" s="32" t="inlineStr">
        <is>
          <t>Insurance</t>
        </is>
      </c>
      <c r="C8" s="7" t="inlineStr">
        <is>
          <t>Many spellings of 7 payers, some with trailing spaces</t>
        </is>
      </c>
      <c r="D8" s="33" t="n"/>
      <c r="E8" s="34" t="n"/>
      <c r="F8" s="7" t="n"/>
    </row>
    <row r="9">
      <c r="A9" s="32" t="n">
        <v>8</v>
      </c>
      <c r="B9" s="32" t="inlineStr">
        <is>
          <t>CityStateZip</t>
        </is>
      </c>
      <c r="C9" s="7" t="inlineStr">
        <is>
          <t>ZIP+4 mixed with 5-digit ZIPs</t>
        </is>
      </c>
      <c r="D9" s="33" t="n"/>
      <c r="E9" s="34" t="n"/>
      <c r="F9" s="7" t="n"/>
    </row>
    <row r="10">
      <c r="A10" s="32" t="n">
        <v>9</v>
      </c>
      <c r="B10" s="32" t="inlineStr">
        <is>
          <t>(rows)</t>
        </is>
      </c>
      <c r="C10" s="7" t="inlineStr">
        <is>
          <t>Exact copies and re-registrations of the same patient</t>
        </is>
      </c>
      <c r="D10" s="33" t="n"/>
      <c r="E10" s="34" t="n"/>
      <c r="F10" s="7" t="n"/>
    </row>
    <row r="12">
      <c r="A12" s="3" t="inlineStr">
        <is>
          <t>Fill in FixApplied and RowsChanged as you finish each practice task. Practice task 12 checks the RowsChanged cell for step 2.</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3.3 · Bonus: Build the master patient list for the EHR migration</t>
        </is>
      </c>
    </row>
    <row r="2" ht="64" customHeight="1">
      <c r="A2" s="14" t="inlineStr">
        <is>
          <t>Bluestone is moving to a new EHR, and the vendor needs a master patient load file with exactly one row per patient. The rule from Patient Access is: keep each patient's most recent registration (latest RegisteredOn). Fill the Clean sheet's last two yellow columns (RegisteredClean and Keep), using your MRNClean and PhoneClean columns from the practice tasks. RegisteredOn has two layouts: 2015-11-06 18:33:00 (24-hour clock) and 05/30/2022 05:42 PM (12-hour clock). If you want helper columns, put them on the Clean sheet in column V or further right, outside the Table.</t>
        </is>
      </c>
    </row>
    <row r="3" ht="49" customHeight="1">
      <c r="A3" s="15" t="inlineStr">
        <is>
          <t>For B1 and B2, fill the yellow RegisteredClean and Keep columns on the Clean sheet, and the gray cell here reads them. For B3–B5, type a formula or value in the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66" customHeight="1">
      <c r="A6" s="18" t="inlineStr">
        <is>
          <t>B1</t>
        </is>
      </c>
      <c r="B6" s="19" t="inlineStr">
        <is>
          <t>Fill the yellow RegisteredClean column (R) with real date-times. Make sure 05:42 PM becomes 17:42. The gray cell checks every row, then counts registrations made at 5:00 PM or later (the evening Patient Access shift).</t>
        </is>
      </c>
      <c r="C6" s="20" t="inlineStr">
        <is>
          <t>In both layouts the time starts at character 12, and TIMEVALUE understands both 18:33:00 and 05:42 PM. Build the date part with DATE, then add the time to it</t>
        </is>
      </c>
      <c r="D6" cm="1" s="23">
        <f t="array" ref="D6">IF(COUNTA(Clean!R2:R651)=0,"",IF(COUNT(Clean!R2:R651)&lt;ROWS(Clean!R2:R651),"Not all date-times yet",SUMPRODUCT(--(HOUR(Clean!R2:R651)&gt;=17))))</f>
        <v/>
      </c>
      <c r="E6" s="22">
        <f>IF(IFERROR(D6="",FALSE),"",IF(IFERROR(AND(ISNUMBER(D6),OR(ABS(D6-'Bonus Key'!$C$5)&lt;=0.0001)),FALSE),"✔ Correct","✘ Not yet"))</f>
        <v/>
      </c>
    </row>
    <row r="7" ht="66" customHeight="1">
      <c r="A7" s="18" t="inlineStr">
        <is>
          <t>B2</t>
        </is>
      </c>
      <c r="B7" s="19" t="inlineStr">
        <is>
          <t>Fill the yellow Keep column (S) with TRUE on exactly one row per patient (MRNClean): the row with that patient's latest RegisteredClean. If the latest time appears on two identical rows, keep only the first of them. Every other row is FALSE. The gray cell counts the TRUEs.</t>
        </is>
      </c>
      <c r="C7" s="20" t="inlineStr">
        <is>
          <t>MAXIFS (Lesson 2.5) finds the patient's latest time. A COUNTIFS over an expanding range ($Q$2:Q2) breaks ties</t>
        </is>
      </c>
      <c r="D7" cm="1" s="23">
        <f t="array" ref="D7">IF(COUNTA(Clean!S2:S651)=0,"",COUNTIF(Clean!S2:S651,TRUE))</f>
        <v/>
      </c>
      <c r="E7" s="22">
        <f>IF(IFERROR(D7="",FALSE),"",IF(IFERROR(AND(ISNUMBER(D7),OR(ABS(D7-'Bonus Key'!$C$6)&lt;=0.0001)),FALSE),"✔ Correct","✘ Not yet"))</f>
        <v/>
      </c>
    </row>
    <row r="8" ht="66" customHeight="1">
      <c r="A8" s="18" t="inlineStr">
        <is>
          <t>B3</t>
        </is>
      </c>
      <c r="B8" s="19" t="inlineStr">
        <is>
          <t>Which RegisteredOn did you keep for MRN 01276260? Enter it as a date and time.</t>
        </is>
      </c>
      <c r="C8" s="20" t="inlineStr">
        <is>
          <t>MAXIFS with two conditions: MRNClean is this MRN, and Keep is TRUE. Or filter Clean on those two columns and read RegisteredClean</t>
        </is>
      </c>
      <c r="D8" s="35" t="n"/>
      <c r="E8" s="22">
        <f>IF(IFERROR(D8="",FALSE),"",IF(IFERROR(AND(ISNUMBER(D8),ABS(D8-'Bonus Key'!$C$7)&lt;=0.0006944454444444445),FALSE),"✔ Correct","✘ Not yet"))</f>
        <v/>
      </c>
    </row>
    <row r="9" ht="66" customHeight="1">
      <c r="A9" s="18" t="inlineStr">
        <is>
          <t>B4</t>
        </is>
      </c>
      <c r="B9" s="19" t="inlineStr">
        <is>
          <t>Remove Duplicates always keeps the first row it meets. For how many patients is the row you kept NOT that patient's first row in the file? These are the patients that Remove Duplicates on MRNClean would have gotten wrong.</t>
        </is>
      </c>
      <c r="C9" s="20" t="inlineStr">
        <is>
          <t>A row is a patient's first occurrence when MATCH(its MRN, the MRN column, 0) returns its own position. Or add a helper column with =COUNTIF($Q$2:Q2,Q2)=1</t>
        </is>
      </c>
      <c r="D9" s="21" t="n"/>
      <c r="E9" s="22">
        <f>IF(IFERROR(D9="",FALSE),"",IF(IFERROR(AND(ISNUMBER(D9),OR(ABS(D9-'Bonus Key'!$C$8)&lt;=0.0001)),FALSE),"✔ Correct","✘ Not yet"))</f>
        <v/>
      </c>
    </row>
    <row r="10" ht="66" customHeight="1">
      <c r="A10" s="18" t="inlineStr">
        <is>
          <t>B5</t>
        </is>
      </c>
      <c r="B10" s="19" t="inlineStr">
        <is>
          <t>The rule "keep the latest row" decides which registration survives into the master list, and it can throw away good data. How many kept rows have an empty PhoneClean even though another registration for the same patient has a phone number?</t>
        </is>
      </c>
      <c r="C10" s="20" t="inlineStr">
        <is>
          <t>For each row, COUNTIFS(MRN column, this MRN, PhoneClean column, "?*") counts that patient's rows that have a phone</t>
        </is>
      </c>
      <c r="D10" s="21" t="n"/>
      <c r="E10" s="22">
        <f>IF(IFERROR(D10="",FALSE),"",IF(IFERROR(AND(ISNUMBER(D10),OR(ABS(D10-'Bonus Key'!$C$9)&lt;=0.0001)),FALSE),"✔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fitToPage="1"/>
  </sheetPr>
  <dimension ref="A1:F16"/>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6" t="inlineStr">
        <is>
          <t>🔑 Answer Key — Lesson 3.3</t>
        </is>
      </c>
    </row>
    <row r="2" ht="32" customHeight="1">
      <c r="A2" s="37" t="inlineStr">
        <is>
          <t>Spoiler alert: try every task before reading this sheet. Column C is the value the Check column compares against. Column D is a sample solution, and column E recalculates a formula for it live, proving the answer.</t>
        </is>
      </c>
    </row>
    <row r="4">
      <c r="A4" s="38" t="inlineStr">
        <is>
          <t>#</t>
        </is>
      </c>
      <c r="B4" s="38" t="inlineStr">
        <is>
          <t>Task</t>
        </is>
      </c>
      <c r="C4" s="38" t="inlineStr">
        <is>
          <t>Answer</t>
        </is>
      </c>
      <c r="D4" s="38" t="inlineStr">
        <is>
          <t>Sample solution</t>
        </is>
      </c>
      <c r="E4" s="38" t="inlineStr">
        <is>
          <t>Live result</t>
        </is>
      </c>
      <c r="F4" s="38" t="inlineStr">
        <is>
          <t>Explanation</t>
        </is>
      </c>
    </row>
    <row r="5" ht="141" customHeight="1">
      <c r="A5" s="18" t="inlineStr">
        <is>
          <t>1</t>
        </is>
      </c>
      <c r="B5" s="19" t="inlineStr">
        <is>
          <t>Profile first. On the Raw sheet, how many PatientName values contain extra spaces (leading, trailing, or doubled)? Compare each name's length with the length of its TRIMmed version.</t>
        </is>
      </c>
      <c r="C5" s="39" t="n">
        <v>69</v>
      </c>
      <c r="D5" s="40" t="inlineStr">
        <is>
          <t>=SUMPRODUCT(--(LEN(Raw!B2:B651)&lt;&gt;LEN(TRIM(Raw!B2:B651))))</t>
        </is>
      </c>
      <c r="E5" cm="1" s="19">
        <f t="array" ref="E5">SUMPRODUCT(--(LEN(Raw!B2:B651)&lt;&gt;LEN(TRIM(Raw!B2:B651))))</f>
        <v/>
      </c>
      <c r="F5" s="19" t="inlineStr">
        <is>
          <t>TRIM removes leading and trailing spaces and shrinks inner runs to one space, so any name it shortens had extra spaces. Comparing lengths tests all 650 rows at once: the comparison gives TRUE/FALSE for each row, the double minus turns those into 1/0, and SUMPRODUCT adds them. You can't see a trailing space by looking at a cell, so a count like this is how you find out a problem exists before you fix it. In Microsoft 365 or Excel 2021+, =SUM(--(LEN(…)&lt;&gt;LEN(TRIM(…)))) works too.</t>
        </is>
      </c>
    </row>
    <row r="6" ht="126" customHeight="1">
      <c r="A6" s="18" t="inlineStr">
        <is>
          <t>2</t>
        </is>
      </c>
      <c r="B6" s="19" t="inlineStr">
        <is>
          <t>On the Clean sheet, fill the yellow SexClean column (M) with a single capital letter, F or M. The raw Sex column has 10 spellings, including Female, MALE, lowercase f, and values with a stray space. The gray cell counts cells that are exactly F (case-sensitive).</t>
        </is>
      </c>
      <c r="C6" s="39" t="n">
        <v>335</v>
      </c>
      <c r="D6" s="40" t="inlineStr">
        <is>
          <t>=UPPER(LEFT(TRIM(D2),1))</t>
        </is>
      </c>
      <c r="E6" cm="1" s="19">
        <f t="array" ref="E6">SUMPRODUCT(--EXACT(UPPER(LEFT(TRIM(Raw!D2:D651),1)),"F"))</f>
        <v/>
      </c>
      <c r="F6" s="19" t="inlineStr">
        <is>
          <t>Every spelling starts with the right letter once the stray space is gone, so the fix is TRIM, then LEFT(…,1), then UPPER. The order matters: LEFT(" F",1) is a space. The check uses EXACT because COUNTIF ignores case and would count a lowercase f as F. This shortcut works only because each value is identified by its first letter. Medicare and Medicaid share a first letter, so Insurance needs a mapping table instead (task 8).</t>
        </is>
      </c>
    </row>
    <row r="7" ht="201" customHeight="1">
      <c r="A7" s="18" t="inlineStr">
        <is>
          <t>3</t>
        </is>
      </c>
      <c r="B7" s="19" t="inlineStr">
        <is>
          <t>Make a copy of the Raw sheet (right-click its tab → Move or Copy… → tick Create a copy). On the copy, run Data → Remove Duplicates on all the data (A1:J651) with every column ticked except RecordID (each row has its own RecordID, so leaving it ticked finds nothing). How many duplicate rows does Excel remove?</t>
        </is>
      </c>
      <c r="C7" s="39" t="n">
        <v>40</v>
      </c>
      <c r="D7" s="40" t="inlineStr">
        <is>
          <t>1. Right-click the Raw tab → Move or Copy… → tick Create a copy → OK. Work on Raw (2).
2. Click any cell in the data, then Data → Remove Duplicates.
3. Keep My data has headers ticked. Untick RecordID and leave the other nine columns ticked. Click OK.
4. Excel reports 40 duplicate values found and removed; 610 unique values remain.
Formula check without deleting anything (Microsoft 365 or Excel 2021+): =ROWS(Raw!B2:J651)-ROWS(UNIQUE(Raw!B2:J651))</t>
        </is>
      </c>
      <c r="E7" cm="1" s="19">
        <f t="array" ref="E7">ROWS(Raw!B2:J651)-ROWS(_xlfn.UNIQUE(Raw!B2:J651))</f>
        <v/>
      </c>
      <c r="F7" s="19" t="inlineStr">
        <is>
          <t>Remove Duplicates only removes rows that match in every ticked column, so it finds the 40 rows that were exported twice, character for character. That is not all of them, as task 7 will show when you count the real patients. Many more rows are re-registrations typed differently. For example, row 18 ("Amber White", (555) 556-3833) and row 410 ("WHITE, AMBER", 5555563833) are the same patient, but Remove Duplicates sees two different rows. Standardize first, then remove duplicates on the cleaned key column. UNIQUE on all nine columns counts the same thing without deleting anything. Both ignore case.</t>
        </is>
      </c>
    </row>
    <row r="8" ht="276" customHeight="1">
      <c r="A8" s="18" t="inlineStr">
        <is>
          <t>4</t>
        </is>
      </c>
      <c r="B8" s="19" t="inlineStr">
        <is>
          <t>Switch to CensusExport, a bed-board report that prints each Facility and Unit only on the first row of its block. Fill every blank cell in A2:B50 with the value above it: select that range, use Go To Special → Blanks, type = and press the Up arrow, then press Ctrl + Enter (Mac: ⌘ + Return). The gray cell stays blank until every gap is filled, then totals the week's midnight census for the Intensive Care Unit at Cedar Ridge Medical Center (ICU patient days).</t>
        </is>
      </c>
      <c r="C8" s="39" t="n">
        <v>71</v>
      </c>
      <c r="D8" s="40" t="inlineStr">
        <is>
          <t>1. Select A2:B50 on CensusExport (not the whole columns, and not the header row).
2. Home → Find &amp; Select → Go To Special… (or press F5, Mac: Control + G, then Special…). Choose Blanks → OK. Only the empty cells stay selected.
3. Without clicking anywhere, type = and press ↑. The active cell is the first blank, A3, so the formula reads =A2.
4. Press Ctrl + Enter (Mac: ⌘ + Return) to put that formula in every selected blank. Each copy points to the cell above itself.
5. Turn the formulas into values: select A2:B50, copy, then Paste Special → Values.
Check with =SUMIFS(CensusExport!E2:E50,CensusExport!A2:A50,"Cedar Ridge Medical Center",CensusExport!B2:B50,"Intensive Care Unit")</t>
        </is>
      </c>
      <c r="E8" s="18" t="inlineStr">
        <is>
          <t>—</t>
        </is>
      </c>
      <c r="F8" s="19" t="inlineStr">
        <is>
          <t>After Go To Special, Excel has selected only the 88 empty cells, and the formula you type goes into all of them at once. Because the reference is relative, each blank points to the cell directly above it, and that cell either holds the label or points further up. The unit name "Intensive Care Unit" appears at all three hospitals, so the SUMIFS needs both columns filled. With the blanks left in, it returns 0: no Cedar Ridge ICU row carries both labels, because the facility name was printed only once, on the facility's first unit. Paste the result as values before you sort, because a formula that points "one row up" points somewhere else after a sort.</t>
        </is>
      </c>
    </row>
    <row r="9" ht="231" customHeight="1">
      <c r="A9" s="18" t="inlineStr">
        <is>
          <t>5</t>
        </is>
      </c>
      <c r="B9" s="19" t="inlineStr">
        <is>
          <t>Back on Clean, use Flash Fill to fill the yellow ZIP5 column (O) with the 5-digit ZIP from CityStateZip. 101 rows carry a ZIP+4 such as 45501-8106, and those must become 45501. Type three examples yourself: rows 2 and 3, plus the first ZIP+4 row (row 11). Then select the first empty cell and press Ctrl + E (Mac: Data → Flash Fill). The gray cell counts the distinct ZIP codes in your column.</t>
        </is>
      </c>
      <c r="C9" s="39" t="n">
        <v>12</v>
      </c>
      <c r="D9" s="40" t="inlineStr">
        <is>
          <t>1. In O2 type 45501 (from Bluestone OH 45501), and in O3 type 45720 (from CEDAR RIDGE, OH 45720).
2. In the first ZIP+4 row, O11 (Bluestone, OH 45501-8106), type 45501.
3. Select O4, the first empty cell, and press Ctrl + E (or Data → Flash Fill).
4. Check the result: =SUMPRODUCT(--(LEN(Clean!O2:O651)&lt;&gt;5)) should return 0. If some rows are wrong, press Ctrl + Z (Mac: ⌘ + Z), type the correct ZIP on one of the wrong rows as an extra example, and run Flash Fill again.
Formula alternative (Microsoft 365 or Excel 2024): =LEFT(TEXTAFTER(G2," ",-1),5)</t>
        </is>
      </c>
      <c r="E9" cm="1" s="19">
        <f t="array" ref="E9">ROWS(_xlfn.UNIQUE(MID(Raw!G2:G651,FIND(" OH ",Raw!G2:G651)+4,5)))</f>
        <v/>
      </c>
      <c r="F9" s="19" t="inlineStr">
        <is>
          <t>Flash Fill looks for a rule that explains every example you typed. Two plain ZIPs fit several rules (the first number, the last number, the last five characters), and on 45501-8106 those give different answers. The ZIP+4 example leaves only "the first number". If the +4 survives, the distinct count jumps to 108. Flash Fill writes typed-in values, not formulas, so it won't update when next month's export arrives. The Lesson 2.2 bonus did the same job with TEXTAFTER. The formula is the repeatable choice, and Flash Fill is the fast one for a one-off.</t>
        </is>
      </c>
    </row>
    <row r="10" ht="156" customHeight="1">
      <c r="A10" s="18" t="inlineStr">
        <is>
          <t>6</t>
        </is>
      </c>
      <c r="B10" s="19" t="inlineStr">
        <is>
          <t>Fill the yellow PhoneClean column (N) with each phone as exactly 10 digits and nothing else, or an empty result when Phone is blank. Phones arrive as (555) 476-7432, 555-722-8468, 555.468.7891, 5553869767, and +1 555 597 3811. The gray cell counts rows that end up with exactly 10 digits.</t>
        </is>
      </c>
      <c r="C10" s="39" t="n">
        <v>620</v>
      </c>
      <c r="D10" s="40" t="inlineStr">
        <is>
          <t>=RIGHT(SUBSTITUTE(SUBSTITUTE(SUBSTITUTE(SUBSTITUTE(SUBSTITUTE(E2,"(",""),")",""),"-",""),".","")," ",""),10)</t>
        </is>
      </c>
      <c r="E10" cm="1" s="19">
        <f t="array" ref="E10">SUMPRODUCT((LEN(RIGHT(SUBSTITUTE(SUBSTITUTE(SUBSTITUTE(SUBSTITUTE(SUBSTITUTE(Raw!E2:E651,"(",""),")",""),"-",""),".","")," ",""),10))=10)*ISNUMBER(--RIGHT(SUBSTITUTE(SUBSTITUTE(SUBSTITUTE(SUBSTITUTE(SUBSTITUTE(Raw!E2:E651,"(",""),")",""),"-",""),".","")," ",""),10)))</f>
        <v/>
      </c>
      <c r="F10" s="19" t="inlineStr">
        <is>
          <t>Each SUBSTITUTE deletes one kind of character: parentheses, dashes, dots, and spaces. That leaves 5554767432 for most rows, but +15555973811 for the 40 numbers with a country code, so RIGHT(…,10) keeps the last ten digits, which is always the U.S. number. A blank phone needs no special handling, because SUBSTITUTE and RIGHT on an empty cell return an empty result. The 30 blanks are why the count is 620, not 650. Keep phones as text, because they are identifiers, not quantities. In Microsoft 365, =RIGHT(REGEXREPLACE(E2,"[^0-9]",""),10) removes every non-digit in one step.</t>
        </is>
      </c>
    </row>
    <row r="11" ht="126" customHeight="1">
      <c r="A11" s="18" t="inlineStr">
        <is>
          <t>7</t>
        </is>
      </c>
      <c r="B11" s="19" t="inlineStr">
        <is>
          <t>Fill the yellow MRNClean column (Q) with every MRN as 8-digit text: 05927600, not MRN-05927600, and 01955231, not 1955231. The gray cell first checks that every value is 8 characters long, then counts the distinct MRNs, which is the number of real patients in the file.</t>
        </is>
      </c>
      <c r="C11" s="39" t="n">
        <v>560</v>
      </c>
      <c r="D11" s="40" t="inlineStr">
        <is>
          <t>=TEXT(VALUE(SUBSTITUTE(I2,"MRN-","")),"00000000")</t>
        </is>
      </c>
      <c r="E11" cm="1" s="19">
        <f t="array" ref="E11">ROWS(_xlfn.UNIQUE(TEXT(VALUE(SUBSTITUTE(Raw!I2:I651,"MRN-","")),"00000000")))</f>
        <v/>
      </c>
      <c r="F11" s="19" t="inlineStr">
        <is>
          <t>Two problems hide in this column. 86 rows carry an MRN- prefix, which SUBSTITUTE removes. 141 rows lost their leading zeros somewhere upstream, because a system treated the MRN as a number. VALUE turns the remaining text into a number, and TEXT(…,"00000000") writes it back as text with exactly 8 digits, adding the zeros it needs. =RIGHT("0000000"&amp;SUBSTITUTE(I2,"MRN-",""),8) does the same without VALUE. The result: 650 rows but only 560 patients, so 90 rows are duplicates.</t>
        </is>
      </c>
    </row>
    <row r="12" ht="216" customHeight="1">
      <c r="A12" s="18" t="inlineStr">
        <is>
          <t>8</t>
        </is>
      </c>
      <c r="B12" s="19" t="inlineStr">
        <is>
          <t>Fill the yellow PayerID column (P) by looking up each Insurance value in the PayerMap table, so all 30 spellings become one of seven PayerIDs. Some values carry a trailing space. Return UNMAPPED for anything missing from the map. The gray cell shows a warning if any row is unmapped. Otherwise it counts PY02 (Silverline Medicare Advantage) rows.</t>
        </is>
      </c>
      <c r="C12" s="39" t="n">
        <v>68</v>
      </c>
      <c r="D12" s="40" t="inlineStr">
        <is>
          <t>=XLOOKUP(TRIM(H2),tblPayerMap[Variant],tblPayerMap[PayerID],"UNMAPPED")</t>
        </is>
      </c>
      <c r="E12" cm="1" s="19">
        <f t="array" ref="E12">SUMPRODUCT(--(_xlfn.XLOOKUP(TRIM(Raw!H2:H651),PayerMap!$A$2:$A$20,PayerMap!$B$2:$B$20,"UNMAPPED")="PY02"))</f>
        <v/>
      </c>
      <c r="F12" s="19" t="inlineStr">
        <is>
          <t>A mapping table turns a messy category into a standard code with one lookup, and it documents your decisions where everyone can see them, such as the rule that Uninsured means PY07 (Self-Pay). XLOOKUP ignores case, so the map needs only one row per spelling, not one per capitalization. It does not ignore spaces, so TRIM comes first. Without TRIM, the 12 rows typed "Silverline Medicare Advantage " with a trailing space come back UNMAPPED. The "UNMAPPED" result makes new spellings easy to find next month: filter for it, add the spelling as a new row of the map, and every formula picks it up. The Table references (tblPayerMap[Variant]) grow with the map. A fixed range such as PayerMap!$A$2:$A$20 works today but would miss a row added below it. Without XLOOKUP, use =IFNA(VLOOKUP(TRIM(H2),tblPayerMap,2,FALSE),"UNMAPPED").</t>
        </is>
      </c>
    </row>
    <row r="13" ht="216" customHeight="1">
      <c r="A13" s="18" t="inlineStr">
        <is>
          <t>9</t>
        </is>
      </c>
      <c r="B13" s="19" t="inlineStr">
        <is>
          <t>Switch to LabFeed: 116 STAT results from a lab interface, each crammed into one cell as MRN|TestCode|Result|Units|CollectedDateTime. Split A1:A117 into five columns with Data → Text to Columns (Delimited, Other: |). In step 3 of the wizard, set the MRN column's format to Text so its leading zeros survive. The gray cell checks the MRNs, then shows the average potassium (TestCode K) result in mmol/L.</t>
        </is>
      </c>
      <c r="C13" s="41" t="n">
        <v>4.18125</v>
      </c>
      <c r="D13" s="40" t="inlineStr">
        <is>
          <t>1. On LabFeed, select A1:A117 (header included).
2. Data → Text to Columns. Choose Delimited → Next.
3. Untick Tab, tick Other, and type a vertical bar | in the box. The preview splits into five columns. Click Next.
4. Click the MRN column in the preview and choose Text as its column data format. Optionally click the last column and choose Date: MDY. Click Finish.
Check with =AVERAGEIF(LabFeed!B2:B117,"K",LabFeed!C2:C117)</t>
        </is>
      </c>
      <c r="E13" cm="1" s="42">
        <f t="array" ref="E13">AVERAGE(IF(MID(LabFeed!A2:A117,FIND("|",LabFeed!A2:A117)+1,FIND("|",LabFeed!A2:A117,FIND("|",LabFeed!A2:A117)+1)-FIND("|",LabFeed!A2:A117)-1)="K",--MID(LabFeed!A2:A117,FIND("|",LabFeed!A2:A117,FIND("|",LabFeed!A2:A117)+1)+1,FIND("|",LabFeed!A2:A117,FIND("|",LabFeed!A2:A117,FIND("|",LabFeed!A2:A117)+1)+1)-FIND("|",LabFeed!A2:A117,FIND("|",LabFeed!A2:A117)+1)-1)))</f>
        <v/>
      </c>
      <c r="F13" s="19" t="inlineStr">
        <is>
          <t>Text to Columns splits each cell at every |, and step 3 decides what each piece becomes. Under General, Excel turns 07539656 (row 2) into the number 7539656. All 116 MRNs in this feed start with 0, so every one would break and stop matching the registration file. Choosing Text keeps the digits exactly as sent. The results (for example 138 and 4.6 in rows 2 and 3) should stay General so they become real numbers you can average. If you get it wrong, press Ctrl + Z (Mac: ⌘ + Z) to undo the split and run it again.</t>
        </is>
      </c>
    </row>
    <row r="14" ht="246" customHeight="1">
      <c r="A14" s="18" t="inlineStr">
        <is>
          <t>10</t>
        </is>
      </c>
      <c r="B14" s="19" t="inlineStr">
        <is>
          <t>Fill the yellow NameClean column (K) with every name as First Last in Proper Case, with single spaces. For example, "Haddad, Jonathan" becomes Jonathan Haddad, "  Alexander ,  Gary " becomes Gary Alexander, and "Amber White" stays Amber White. 92 rows are already First Last (no comma). The gray cell warns if any name still has extra spaces or is ALL CAPS or all lowercase. Otherwise it counts distinct names.</t>
        </is>
      </c>
      <c r="C14" s="39" t="n">
        <v>557</v>
      </c>
      <c r="D14" s="40" t="inlineStr">
        <is>
          <t>=PROPER(IF(ISNUMBER(FIND(",",B2)),TRIM(MID(B2,FIND(",",B2)+1,LEN(B2)))&amp;" "&amp;TRIM(LEFT(B2,FIND(",",B2)-1)),TRIM(B2)))</t>
        </is>
      </c>
      <c r="E14" s="18" t="inlineStr">
        <is>
          <t>—</t>
        </is>
      </c>
      <c r="F14" s="19" t="inlineStr">
        <is>
          <t>FIND(",",B2) returns a position when there is a comma and #VALUE! when there isn't, so ISNUMBER(FIND(…)) tells the two layouts apart. For Last, First rows, MID takes everything after the comma (the first name) and LEFT takes everything before it (the last name). TRIM each piece before joining, because the spaces sit around the comma. PROPER on the outside fixes the case of both layouts at once. Two checks on the result. First, the flip matters: =PROPER(TRIM(B2)) alone gives 578 distinct names, and deleting the comma without flipping still gives 569, because the same patient then appears as both "Amber White" (row 18) and "White Amber" (row 410). Second, the count is 557, not 560, because 3 names belong to two different patients (Justin Lewis, Lisa Morris, Mei Myers). That's why you deduplicate on MRN, never on name. PROPER also turns McDonald into Mcdonald, so fix known exceptions by hand and note them in the cleaning log.</t>
        </is>
      </c>
    </row>
    <row r="15" ht="246" customHeight="1">
      <c r="A15" s="18" t="inlineStr">
        <is>
          <t>11</t>
        </is>
      </c>
      <c r="B15" s="19" t="inlineStr">
        <is>
          <t>Fill the yellow DOBClean column (L) with real dates. DOB is text in five layouts: 2002-03-31, 03-Apr-1957, 08/06/1989, 3/22/1961, and 01.11.2003. The export is from a U.S. system, so the slash and dot layouts are month first. The gray cell checks that every row is a real date, then counts DOBs that fall on the 13th or later of their month (a quick test that month and day weren't swapped).</t>
        </is>
      </c>
      <c r="C15" s="39" t="n">
        <v>397</v>
      </c>
      <c r="D15" s="40" t="inlineStr">
        <is>
          <t>=IF(MID(C2,5,1)="-",DATE(LEFT(C2,4),MID(C2,6,2),RIGHT(C2,2)),IF(MID(C2,3,1)="-",DATE(RIGHT(C2,4),(SEARCH(MID(C2,4,3),"JanFebMarAprMayJunJulAugSepOctNovDec")+2)/3,LEFT(C2,2)),DATE(RIGHT(C2,4),LEFT(C2,FIND("/",SUBSTITUTE(C2,".","/"))-1),MID(C2,FIND("/",SUBSTITUTE(C2,".","/"))+1,LEN(C2)-FIND("/",SUBSTITUTE(C2,".","/"))-5))))</t>
        </is>
      </c>
      <c r="E15" cm="1" s="19">
        <f t="array" ref="E15">SUMPRODUCT(--(DAY(IF(MID(Raw!C2:C651,5,1)="-",DATE(LEFT(Raw!C2:C651,4),MID(Raw!C2:C651,6,2),RIGHT(Raw!C2:C651,2)),IF(MID(Raw!C2:C651,3,1)="-",DATE(RIGHT(Raw!C2:C651,4),(SEARCH(MID(Raw!C2:C651,4,3),"JanFebMarAprMayJunJulAugSepOctNovDec")+2)/3,LEFT(Raw!C2:C651,2)),DATE(RIGHT(Raw!C2:C651,4),LEFT(Raw!C2:C651,FIND("/",SUBSTITUTE(Raw!C2:C651,".","/"))-1),MID(Raw!C2:C651,FIND("/",SUBSTITUTE(Raw!C2:C651,".","/"))+1,LEN(Raw!C2:C651)-FIND("/",SUBSTITUTE(Raw!C2:C651,".","/"))-5)))))&gt;12))</f>
        <v/>
      </c>
      <c r="F15" s="19" t="inlineStr">
        <is>
          <t>This solution works on any computer: it reads the layout and builds DATE(year, month, day) from the pieces. ISO dates have a dash in position 5. In 03-Apr-1957 the dash is in position 3, and the month comes from where Apr sits in "JanFebMarAprMayJunJulAugSepOctNovDec" (position 10, and (10+2)/3 = 4). Everything else is month/day/year with a / or . after the month. If your Windows or Mac region is United States, the much shorter =DATEVALUE(SUBSTITUTE(C2,".","/")) gives identical results, because U.S. settings read the ISO and 03-Apr-1957 layouts and read slashes month first. In a day-first region it reads 08/06/1989 as 8 June and fails on 3/22/1961, and in a language whose month names differ from English it can fail on 03-Apr-1957 too. The day-13 test catches a swap: a month number is never above 12, so if the slash and dot rows had month and day swapped, none of them could show a day above 12 and the count would fall to 145 instead of 397.</t>
        </is>
      </c>
    </row>
    <row r="16" ht="126" customHeight="1">
      <c r="A16" s="18" t="inlineStr">
        <is>
          <t>12</t>
        </is>
      </c>
      <c r="B16" s="19" t="inlineStr">
        <is>
          <t>Document your work. On the CleaningLog sheet, put a formula in the yellow RowsChanged cell for step 2 (E3) that counts how many rows your SexClean column actually changed: rows where the raw Sex value is not exactly the same as SexClean (case-sensitive). The gray cell here reads your log entry.</t>
        </is>
      </c>
      <c r="C16" s="39" t="n">
        <v>424</v>
      </c>
      <c r="D16" s="40" t="inlineStr">
        <is>
          <t>=SUMPRODUCT(--NOT(EXACT(Clean!D2:D651,Clean!M2:M651)))</t>
        </is>
      </c>
      <c r="E16" cm="1" s="19">
        <f t="array" ref="E16">SUMPRODUCT(--NOT(EXACT(Raw!D2:D651,UPPER(LEFT(TRIM(Raw!D2:D651),1)))))</f>
        <v/>
      </c>
      <c r="F16" s="19" t="inlineStr">
        <is>
          <t>A cleaning log records what you changed and how much, so the next person (or you, next month) can repeat it and audit it. "Rows changed" is the most useful number in it: here 424 of 650 rows changed and 226 were already F or M. EXACT matters again, because with = the values "f" and "F" count as equal and those rows would look unchanged. A count that is suspiciously high or low is often the first sign that a cleaning formula is wrong.</t>
        </is>
      </c>
    </row>
  </sheetData>
  <mergeCells count="1">
    <mergeCell ref="A2:F2"/>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6" t="inlineStr">
        <is>
          <t>🔑 Bonus Key — Lesson 3.3</t>
        </is>
      </c>
    </row>
    <row r="2" ht="32" customHeight="1">
      <c r="A2" s="37" t="inlineStr">
        <is>
          <t>Spoiler alert: try every task before reading this sheet. Column C is the value the Check column compares against. Column D is a sample solution, and column E recalculates a formula for it live, proving the answer.</t>
        </is>
      </c>
    </row>
    <row r="4">
      <c r="A4" s="38" t="inlineStr">
        <is>
          <t>#</t>
        </is>
      </c>
      <c r="B4" s="38" t="inlineStr">
        <is>
          <t>Task</t>
        </is>
      </c>
      <c r="C4" s="38" t="inlineStr">
        <is>
          <t>Answer</t>
        </is>
      </c>
      <c r="D4" s="38" t="inlineStr">
        <is>
          <t>Sample solution</t>
        </is>
      </c>
      <c r="E4" s="38" t="inlineStr">
        <is>
          <t>Live result</t>
        </is>
      </c>
      <c r="F4" s="38" t="inlineStr">
        <is>
          <t>Explanation</t>
        </is>
      </c>
    </row>
    <row r="5" ht="141" customHeight="1">
      <c r="A5" s="18" t="inlineStr">
        <is>
          <t>B1</t>
        </is>
      </c>
      <c r="B5" s="19" t="inlineStr">
        <is>
          <t>Fill the yellow RegisteredClean column (R) with real date-times. Make sure 05:42 PM becomes 17:42. The gray cell checks every row, then counts registrations made at 5:00 PM or later (the evening Patient Access shift).</t>
        </is>
      </c>
      <c r="C5" s="39" t="n">
        <v>118</v>
      </c>
      <c r="D5" s="40" t="inlineStr">
        <is>
          <t>=IF(MID(J2,5,1)="-",DATE(LEFT(J2,4),MID(J2,6,2),MID(J2,9,2)),DATE(MID(J2,7,4),LEFT(J2,2),MID(J2,4,2)))+TIMEVALUE(MID(J2,12,8))</t>
        </is>
      </c>
      <c r="E5" cm="1" s="19">
        <f t="array" ref="E5">SUMPRODUCT(--(HOUR(IF(MID(Raw!J2:J651,5,1)="-",DATE(LEFT(Raw!J2:J651,4),MID(Raw!J2:J651,6,2),MID(Raw!J2:J651,9,2)),DATE(MID(Raw!J2:J651,7,4),LEFT(Raw!J2:J651,2),MID(Raw!J2:J651,4,2)))+TIMEVALUE(MID(Raw!J2:J651,12,8)))&gt;=17))</f>
        <v/>
      </c>
      <c r="F5" s="19" t="inlineStr">
        <is>
          <t>Both layouts put the time at character 12, so TIMEVALUE(MID(J2,12,8)) reads "18:33:00" and "05:42 PM" alike, and AM/PM is handled for you. The date part differs, so the IF builds it with DATE from the right pieces. In the ISO layout the day is MID(J2,9,2), not RIGHT(J2,2), because the time follows it. A date-time is just date + time (a whole number plus a fraction of a day). If PM were ignored, the evening count would drop to 76. With U.S. regional settings, =--J2 (or =VALUE(J2)) converts both layouts in one step.</t>
        </is>
      </c>
    </row>
    <row r="6" ht="156" customHeight="1">
      <c r="A6" s="18" t="inlineStr">
        <is>
          <t>B2</t>
        </is>
      </c>
      <c r="B6" s="19" t="inlineStr">
        <is>
          <t>Fill the yellow Keep column (S) with TRUE on exactly one row per patient (MRNClean): the row with that patient's latest RegisteredClean. If the latest time appears on two identical rows, keep only the first of them. Every other row is FALSE. The gray cell counts the TRUEs.</t>
        </is>
      </c>
      <c r="C6" s="39" t="n">
        <v>560</v>
      </c>
      <c r="D6" s="40" t="inlineStr">
        <is>
          <t>=AND(R2=MAXIFS($R$2:$R$651,$Q$2:$Q$651,Q2),COUNTIFS($Q$2:Q2,Q2,$R$2:R2,R2)=1)</t>
        </is>
      </c>
      <c r="E6" cm="1" s="19">
        <f t="array" ref="E6">ROWS(_xlfn.UNIQUE(TEXT(VALUE(SUBSTITUTE(Raw!I2:I651,"MRN-","")),"00000000")))</f>
        <v/>
      </c>
      <c r="F6" s="19" t="inlineStr">
        <is>
          <t>The first test, RegisteredClean = MAXIFS(all RegisteredClean, all MRNClean, this MRN), is TRUE on the patient's latest row. Exact copies share that time, so the second test counts how many rows so far (the expanding range $Q$2:Q2 grows as the formula goes down) have this MRN and this time. It equals 1 only on the first of them. The total must equal the 560 distinct MRNs from practice task 7, which is a good cross-check. Avoid comparing date-times with "&gt;"&amp;R2 inside COUNTIFS, because that turns the time into text with 15 digits and can miss by a rounding error.</t>
        </is>
      </c>
    </row>
    <row r="7" ht="96" customHeight="1">
      <c r="A7" s="18" t="inlineStr">
        <is>
          <t>B3</t>
        </is>
      </c>
      <c r="B7" s="19" t="inlineStr">
        <is>
          <t>Which RegisteredOn did you keep for MRN 01276260? Enter it as a date and time.</t>
        </is>
      </c>
      <c r="C7" s="43" t="n">
        <v>43820.5875</v>
      </c>
      <c r="D7" s="40" t="inlineStr">
        <is>
          <t>=MAXIFS(Clean!R2:R651,Clean!Q2:Q651,"01276260",Clean!S2:S651,TRUE)</t>
        </is>
      </c>
      <c r="E7" cm="1" s="44">
        <f t="array" ref="E7">MAX(IF(TEXT(VALUE(SUBSTITUTE(Raw!I2:I651,"MRN-","")),"00000000")="01276260",IF(MID(Raw!J2:J651,5,1)="-",DATE(LEFT(Raw!J2:J651,4),MID(Raw!J2:J651,6,2),MID(Raw!J2:J651,9,2)),DATE(MID(Raw!J2:J651,7,4),LEFT(Raw!J2:J651,2),MID(Raw!J2:J651,4,2)))+TIMEVALUE(MID(Raw!J2:J651,12,8))))</f>
        <v/>
      </c>
      <c r="F7" s="19" t="inlineStr">
        <is>
          <t>This patient has three rows. Two of them say 1276260 (the MRN lost its leading zero) with the time 08:22, and the third says 01276260 with 12/21/2019 02:06 PM. You only find all three after cleaning the MRN, and you only pick the right one if 02:06 PM became 14:06: read as 02:06 AM it would look older than 08:22.</t>
        </is>
      </c>
    </row>
    <row r="8" ht="141" customHeight="1">
      <c r="A8" s="18" t="inlineStr">
        <is>
          <t>B4</t>
        </is>
      </c>
      <c r="B8" s="19" t="inlineStr">
        <is>
          <t>Remove Duplicates always keeps the first row it meets. For how many patients is the row you kept NOT that patient's first row in the file? These are the patients that Remove Duplicates on MRNClean would have gotten wrong.</t>
        </is>
      </c>
      <c r="C8" s="39" t="n">
        <v>27</v>
      </c>
      <c r="D8" s="40" t="inlineStr">
        <is>
          <t>=SUMPRODUCT(Clean!S2:S651*(MATCH(Clean!Q2:Q651,Clean!Q2:Q651,0)&lt;&gt;ROW(Clean!Q2:Q651)-1))</t>
        </is>
      </c>
      <c r="E8" s="18" t="inlineStr">
        <is>
          <t>—</t>
        </is>
      </c>
      <c r="F8" s="19" t="inlineStr">
        <is>
          <t>MATCH(MRN, MRN column, 0) returns the position of the first row with that MRN. ROW(…)-1 is each row's own position in the column (row 2 is position 1). Where they differ, the row is a repeat. Multiplying by Keep counts kept rows that are repeats. For these 27 patients a newer registration sits further down the file. To make Remove Duplicates keep the newest row, sort by RegisteredClean (newest to oldest) first, then remove duplicates on MRNClean: the first row it meets is then the newest.</t>
        </is>
      </c>
    </row>
    <row r="9" ht="171" customHeight="1">
      <c r="A9" s="18" t="inlineStr">
        <is>
          <t>B5</t>
        </is>
      </c>
      <c r="B9" s="19" t="inlineStr">
        <is>
          <t>The rule "keep the latest row" decides which registration survives into the master list, and it can throw away good data. How many kept rows have an empty PhoneClean even though another registration for the same patient has a phone number?</t>
        </is>
      </c>
      <c r="C9" s="39" t="n">
        <v>2</v>
      </c>
      <c r="D9" s="40" t="inlineStr">
        <is>
          <t>=SUMPRODUCT(Clean!S2:S651*(Clean!N2:N651="")*(COUNTIFS(Clean!Q2:Q651,Clean!Q2:Q651,Clean!N2:N651,"?*")&gt;0))</t>
        </is>
      </c>
      <c r="E9" s="18" t="inlineStr">
        <is>
          <t>—</t>
        </is>
      </c>
      <c r="F9" s="19" t="inlineStr">
        <is>
          <t>When its criteria argument is a range instead of a single value, COUNTIFS returns one count per row: how many rows share this row's MRN and have a phone. The criteria "?*" means at least one character, which works because PhoneClean is text. Multiply by Keep and by an empty PhoneClean to find the 2 patients who would arrive in the new EHR with no phone, although an older registration has one. Real master patient index (MPI) loads prevent this with survivorship rules, which decide field by field which value survives. A common rule takes each field from the most recent row that has it filled in, instead of taking every field from the most recent row.</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3.3 — Cleaning Messy Data</dc:title>
  <dcterms:created xsi:type="dcterms:W3CDTF">2026-10-02T20:05:02Z</dcterms:created>
  <dcterms:modified xsi:type="dcterms:W3CDTF">2026-10-02T20:05:02Z</dcterms:modified>
</cp:coreProperties>
</file>
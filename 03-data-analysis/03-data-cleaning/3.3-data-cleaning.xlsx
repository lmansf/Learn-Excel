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5">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wrapText="1"/>
    </xf>
    <xf numFmtId="0" fontId="0" fillId="4" borderId="0" applyAlignment="1" pivotButton="0" quotePrefix="0" xfId="0">
      <alignmen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2" fontId="2" fillId="0" borderId="1" applyAlignment="1" pivotButton="0" quotePrefix="0" xfId="0">
      <alignment vertical="top" wrapText="1"/>
    </xf>
    <xf numFmtId="2" fontId="0" fillId="0" borderId="1" applyAlignment="1" pivotButton="0" quotePrefix="0" xfId="0">
      <alignment vertical="top" wrapText="1"/>
    </xf>
    <xf numFmtId="165" fontId="2"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8"/>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145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Practice</t>
        </is>
      </c>
      <c r="C29" s="7" t="inlineStr">
        <is>
          <t>12 practice tasks, each with a Check cell.</t>
        </is>
      </c>
    </row>
    <row r="30" ht="18" customHeight="1">
      <c r="B30" s="8" t="inlineStr">
        <is>
          <t>Raw</t>
        </is>
      </c>
      <c r="C30" s="7" t="inlineStr">
        <is>
          <t>Data: 650 rows</t>
        </is>
      </c>
    </row>
    <row r="31" ht="18" customHeight="1">
      <c r="B31" s="8" t="inlineStr">
        <is>
          <t>Clean</t>
        </is>
      </c>
      <c r="C31" s="7" t="inlineStr">
        <is>
          <t>Data: 650 rows, in the Excel Table 'tblClean'</t>
        </is>
      </c>
    </row>
    <row r="32" ht="18" customHeight="1">
      <c r="B32" s="8" t="inlineStr">
        <is>
          <t>PayerMap</t>
        </is>
      </c>
      <c r="C32" s="7" t="inlineStr">
        <is>
          <t>Data: 19 rows, in the Excel Table 'tblPayerMap'</t>
        </is>
      </c>
    </row>
    <row r="33" ht="18" customHeight="1">
      <c r="B33" s="8" t="inlineStr">
        <is>
          <t>CensusExport</t>
        </is>
      </c>
      <c r="C33" s="7" t="inlineStr">
        <is>
          <t>Data: 49 rows</t>
        </is>
      </c>
    </row>
    <row r="34" ht="18" customHeight="1">
      <c r="B34" s="8" t="inlineStr">
        <is>
          <t>LabFeed</t>
        </is>
      </c>
      <c r="C34" s="7" t="inlineStr">
        <is>
          <t>Data: 116 rows</t>
        </is>
      </c>
    </row>
    <row r="35" ht="18" customHeight="1">
      <c r="B35" s="8" t="inlineStr">
        <is>
          <t>CleaningLog</t>
        </is>
      </c>
      <c r="C35" s="7" t="inlineStr">
        <is>
          <t>Data: 9 rows, in the Excel Table 'tblLog'</t>
        </is>
      </c>
    </row>
    <row r="36" ht="18" customHeight="1">
      <c r="B36" s="8" t="inlineStr">
        <is>
          <t>Bonus</t>
        </is>
      </c>
      <c r="C36" s="7" t="inlineStr">
        <is>
          <t>The bonus challenge (5 parts).</t>
        </is>
      </c>
    </row>
    <row r="37" ht="48" customHeight="1">
      <c r="B37" s="8" t="inlineStr">
        <is>
          <t>About the data</t>
        </is>
      </c>
      <c r="C37"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8" ht="18" customHeight="1">
      <c r="B38" s="8" t="inlineStr">
        <is>
          <t>Disclaimer</t>
        </is>
      </c>
      <c r="C38"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and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96" customHeight="1">
      <c r="A10" s="18" t="inlineStr">
        <is>
          <t>5</t>
        </is>
      </c>
      <c r="B10"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 the TRIMmed Insurance value in tblPayerMap, and use XLOOKUP's if_not_found argument for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96" customHeight="1">
      <c r="A15" s="18" t="inlineStr">
        <is>
          <t>10</t>
        </is>
      </c>
      <c r="B15"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TRUE and FALSE, and SUMPRODUCT(--…) counts the TRUEs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33" t="n"/>
      <c r="E3" s="34" t="n"/>
      <c r="F3" s="7" t="inlineStr">
        <is>
          <t>Practice tasks 2 and 12</t>
        </is>
      </c>
    </row>
    <row r="4">
      <c r="A4" s="32" t="n">
        <v>3</v>
      </c>
      <c r="B4" s="32" t="inlineStr">
        <is>
          <t>PatientName</t>
        </is>
      </c>
      <c r="C4" s="7" t="inlineStr">
        <is>
          <t>Two layouts (Last, First and First Last), stray spaces, ALL CAPS and lowercase</t>
        </is>
      </c>
      <c r="D4" s="33" t="n"/>
      <c r="E4" s="34" t="n"/>
      <c r="F4" s="7" t="n"/>
    </row>
    <row r="5">
      <c r="A5" s="32" t="n">
        <v>4</v>
      </c>
      <c r="B5" s="32" t="inlineStr">
        <is>
          <t>Phone</t>
        </is>
      </c>
      <c r="C5" s="7" t="inlineStr">
        <is>
          <t>Six layouts, some with a +1 country code, and some blanks</t>
        </is>
      </c>
      <c r="D5" s="33" t="n"/>
      <c r="E5" s="34" t="n"/>
      <c r="F5" s="7" t="n"/>
    </row>
    <row r="6">
      <c r="A6" s="32" t="n">
        <v>5</v>
      </c>
      <c r="B6" s="32" t="inlineStr">
        <is>
          <t>MRN</t>
        </is>
      </c>
      <c r="C6" s="7" t="inlineStr">
        <is>
          <t>Leading zeros lost on some rows, and an MRN- prefix on others</t>
        </is>
      </c>
      <c r="D6" s="33" t="n"/>
      <c r="E6" s="34" t="n"/>
      <c r="F6" s="7" t="n"/>
    </row>
    <row r="7">
      <c r="A7" s="32" t="n">
        <v>6</v>
      </c>
      <c r="B7" s="32" t="inlineStr">
        <is>
          <t>DOB</t>
        </is>
      </c>
      <c r="C7" s="7" t="inlineStr">
        <is>
          <t>Dates stored as text in five layouts</t>
        </is>
      </c>
      <c r="D7" s="33" t="n"/>
      <c r="E7" s="34" t="n"/>
      <c r="F7" s="7" t="n"/>
    </row>
    <row r="8">
      <c r="A8" s="32" t="n">
        <v>7</v>
      </c>
      <c r="B8" s="32" t="inlineStr">
        <is>
          <t>Insurance</t>
        </is>
      </c>
      <c r="C8" s="7" t="inlineStr">
        <is>
          <t>Many spellings of 7 payers, some with trailing spaces</t>
        </is>
      </c>
      <c r="D8" s="33" t="n"/>
      <c r="E8" s="34" t="n"/>
      <c r="F8" s="7" t="n"/>
    </row>
    <row r="9">
      <c r="A9" s="32" t="n">
        <v>8</v>
      </c>
      <c r="B9" s="32" t="inlineStr">
        <is>
          <t>CityStateZip</t>
        </is>
      </c>
      <c r="C9" s="7" t="inlineStr">
        <is>
          <t>ZIP+4 mixed with 5-digit ZIPs</t>
        </is>
      </c>
      <c r="D9" s="33" t="n"/>
      <c r="E9" s="34" t="n"/>
      <c r="F9" s="7" t="n"/>
    </row>
    <row r="10">
      <c r="A10" s="32" t="n">
        <v>9</v>
      </c>
      <c r="B10" s="32" t="inlineStr">
        <is>
          <t>(rows)</t>
        </is>
      </c>
      <c r="C10" s="7" t="inlineStr">
        <is>
          <t>Exact copies and re-registrations of the same patient</t>
        </is>
      </c>
      <c r="D10" s="33" t="n"/>
      <c r="E10" s="34"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Fill the Clean sheet's last two yellow columns (RegisteredClean and Keep), using your MRNClean and PhoneClean columns from the practice tasks. RegisteredOn has two layouts: 2015-11-06 18:33:00 (24-hour clock) and 05/30/2022 05:42 PM (12-hour clock). If you want helper columns, put them on the Clean sheet in column V or further right, outside the Table.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 then add the time to it</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(Lesson 2.5)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66" customHeight="1">
      <c r="A8" s="18" t="inlineStr">
        <is>
          <t>B3</t>
        </is>
      </c>
      <c r="B8" s="19" t="inlineStr">
        <is>
          <t>Which RegisteredOn did you keep for MRN 01276260? Enter it as a date and time.</t>
        </is>
      </c>
      <c r="C8" s="20" t="inlineStr">
        <is>
          <t>MAXIFS with two conditions: MRNClean is this MRN, and Keep is TRUE. Or filter Clean on those two columns and read RegisteredClean</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66" customHeight="1">
      <c r="A10" s="18" t="inlineStr">
        <is>
          <t>B5</t>
        </is>
      </c>
      <c r="B10" s="19" t="inlineStr">
        <is>
          <t>The rule "keep the latest row" decides which registration survives into the master list, and it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3.3</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41"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19">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or Excel 2021+, =SUM(--(LEN(…)&lt;&gt;LEN(TRIM(…)))) works too.</t>
        </is>
      </c>
    </row>
    <row r="6" ht="126"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19">
        <f t="array" ref="E6">SUMPRODUCT(--EXACT(UPPER(LEFT(TRIM(Raw!D2:D651),1)),"F"))</f>
        <v/>
      </c>
      <c r="F6" s="19" t="inlineStr">
        <is>
          <t>Every spelling starts with the right letter once the stray space is gone, so the fix is TRIM, then LEFT(…,1), then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01" customHeight="1">
      <c r="A7" s="18" t="inlineStr">
        <is>
          <t>3</t>
        </is>
      </c>
      <c r="B7"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or Excel 2021+): =ROWS(Raw!B2:J651)-ROWS(UNIQUE(Raw!B2:J651))</t>
        </is>
      </c>
      <c r="E7" cm="1" s="19">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or Excel 2024): =LEFT(TEXTAFTER(G2," ",-1),5)</t>
        </is>
      </c>
      <c r="E9" cm="1" s="19">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The Lesson 2.2 bonus did the same job with TEXTAFTER. The formula is the repeatable choice, and Flash Fill is the fast one for a one-off.</t>
        </is>
      </c>
    </row>
    <row r="10" ht="156"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19">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needs no special handling, because SUBSTITUTE and RIGHT on an empty cell return an empty result. The 30 blanks are why the count is 620, not 650. Keep phones as text, because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19">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19">
        <f t="array" ref="E12">SUMPRODUCT(--(_xlfn.XLOOKUP(TRIM(Raw!H2:H651),PayerMap!$A$2:$A$20,PayerMap!$B$2:$B$20,"UNMAPPED")="PY02"))</f>
        <v/>
      </c>
      <c r="F12" s="19" t="inlineStr">
        <is>
          <t>A mapping table turns a messy category into a standard code with one lookup, and it documents your decisions where everyone can see them, such as the rule that Uninsured means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use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1"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2">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46" customHeight="1">
      <c r="A14" s="18" t="inlineStr">
        <is>
          <t>10</t>
        </is>
      </c>
      <c r="B14"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First, the flip matters: =PROPER(TRIM(B2)) alone gives 578 distinct names, and deleting the comma without flipping still gives 569, because the same patient then appears as both "Amber White" (row 18) and "White Amber" (row 410). Second, the count is 557, not 560, because 3 names belong to two different patients (Justin Lewis, Lisa Morris, Mei Myers). That's why you deduplicate on MRN, never on name. PROPER also turns McDonald into Mcdonald, so fix known exceptions by hand and note them in the cleaning log.</t>
        </is>
      </c>
    </row>
    <row r="15" ht="246"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19">
        <f t="array" ref="E15">SUMPRODUCT(--(DAY(IF(MID(Raw!C2:C651,5,1)="-",DATE(LEFT(Raw!C2:C651,4),MID(Raw!C2:C651,6,2),RIGHT(Raw!C2:C651,2)),IF(MID(Raw!C2:C651,3,1)="-",DATE(RIGHT(Raw!C2:C651,4),(SEARCH(MID(Raw!C2:C651,4,3),"JanFebMarAprMayJunJulAugSepOctNovDec")+2)/3,LEFT(Raw!C2:C651,2)),DATE(RIGHT(Raw!C2:C651,4),LEFT(Raw!C2:C651,FIND("/",SUBSTITUTE(Raw!C2:C651,".","/"))-1),MID(Raw!C2:C651,FIND("/",SUBSTITUTE(Raw!C2:C651,".","/"))+1,LEN(Raw!C2:C651)-FIND("/",SUBSTITUTE(Raw!C2:C651,".","/"))-5)))))&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U.S. settings read the ISO and 03-Apr-1957 layouts and read slashes month first. In a day-first region it reads 08/06/1989 as 8 June and fails on 3/22/1961, and in a language whose month names differ from English it can fail on 03-Apr-1957 too. The day-13 test catches a swap: a month number is never above 12, so if the slash and dot rows had month and day swapped, none of them could show a day above 12 and the count would fall to 145 instead of 397.</t>
        </is>
      </c>
    </row>
    <row r="16" ht="126"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19">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because with = the values "f" and "F" count as equal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3.3</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41"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19">
        <f t="array" ref="E5">SUMPRODUCT(--(HOUR(IF(MID(Raw!J2:J651,5,1)="-",DATE(LEFT(Raw!J2:J651,4),MID(Raw!J2:J651,6,2),MID(Raw!J2:J651,9,2)),DATE(MID(Raw!J2:J651,7,4),LEFT(Raw!J2:J651,2),MID(Raw!J2:J651,4,2)))+TIMEVALUE(MID(Raw!J2:J651,12,8)))&gt;=17))</f>
        <v/>
      </c>
      <c r="F5" s="19" t="inlineStr">
        <is>
          <t>Both layouts put the time at character 12, so TIMEVALUE(MID(J2,12,8)) reads "18:33:00" and "05:42 PM" alike, and AM/PM is handled for you. The date part differs, so the IF builds it with DATE from the right pieces. In the ISO layout the day is MID(J2,9,2), not RIGHT(J2,2), because the time follows it.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19">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because that turns the time into text with 15 digits and can miss by a rounding error.</t>
        </is>
      </c>
    </row>
    <row r="7" ht="96" customHeight="1">
      <c r="A7" s="18" t="inlineStr">
        <is>
          <t>B3</t>
        </is>
      </c>
      <c r="B7" s="19" t="inlineStr">
        <is>
          <t>Which RegisteredOn did you keep for MRN 01276260? Enter it as a date and time.</t>
        </is>
      </c>
      <c r="C7" s="43" t="n">
        <v>43820.5875</v>
      </c>
      <c r="D7" s="40" t="inlineStr">
        <is>
          <t>=MAXIFS(Clean!R2:R651,Clean!Q2:Q651,"01276260",Clean!S2:S651,TRUE)</t>
        </is>
      </c>
      <c r="E7" cm="1" s="44">
        <f t="array" ref="E7">MAX(IF(TEXT(VALUE(SUBSTITUTE(Raw!I2:I651,"MRN-","")),"00000000")="01276260",IF(MID(Raw!J2:J651,5,1)="-",DATE(LEFT(Raw!J2:J651,4),MID(Raw!J2:J651,6,2),MID(Raw!J2:J651,9,2)),DATE(MID(Raw!J2:J651,7,4),LEFT(Raw!J2:J651,2),MID(Raw!J2:J651,4,2)))+TIMEVALUE(MID(Raw!J2:J651,12,8))))</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71" customHeight="1">
      <c r="A9" s="18" t="inlineStr">
        <is>
          <t>B5</t>
        </is>
      </c>
      <c r="B9" s="19" t="inlineStr">
        <is>
          <t>The rule "keep the latest row" decides which registration survives into the master list, and it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The criteria "?*" means at least one character, which works because PhoneClean is text. Multiply by Keep and by an empty PhoneClean to find the 2 patients who would arrive in the new EHR with no phone, although an older registration has one. Real master patient index (MPI) loads prevent this with survivorship rules, which decide field by field which value survives. A common rule takes each field from the most recent row that has it filled in, instead of taking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2026-10-02T18:50:13Z</dcterms:created>
  <dcterms:modified xsi:type="dcterms:W3CDTF">2026-10-02T18:50:13Z</dcterms:modified>
</cp:coreProperties>
</file>
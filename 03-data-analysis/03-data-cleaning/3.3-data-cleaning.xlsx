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2" fillId="0" borderId="1" applyAlignment="1" pivotButton="0" quotePrefix="0" xfId="0">
      <alignment vertical="top" wrapText="1"/>
    </xf>
    <xf numFmtId="2" fontId="0" fillId="0" borderId="1" applyAlignment="1" pivotButton="0" quotePrefix="0" xfId="0">
      <alignment vertical="top"/>
    </xf>
    <xf numFmtId="165" fontId="2"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 Excel Table 'tblClean'</t>
        </is>
      </c>
    </row>
    <row r="31" ht="18" customHeight="1">
      <c r="B31" s="8" t="inlineStr">
        <is>
          <t>PayerMap</t>
        </is>
      </c>
      <c r="C31" s="7" t="inlineStr">
        <is>
          <t>Data: 19 rows —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the whole table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81" customHeight="1">
      <c r="A10" s="18" t="inlineStr">
        <is>
          <t>5</t>
        </is>
      </c>
      <c r="B10" s="19" t="inlineStr">
        <is>
          <t>Back on Clean, use Flash Fill to fill the yellow ZIP5 column (O) with the 5-digit ZIP from CityStateZip. 101 rows carry a ZIP+4 such as 45501-8106, and those must become 45501. Type the first two or three ZIPs yourself (include one ZIP+4 row), then press Ctrl + E.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XLOOKUP(TRIM(H2), PayerMap Variant column, PayerMap PayerID column,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81" customHeight="1">
      <c r="A15" s="18" t="inlineStr">
        <is>
          <t>10</t>
        </is>
      </c>
      <c r="B15"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it; SUMPRODUCT(--…) counts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7" t="inlineStr">
        <is>
          <t>SexClean: =UPPER(LEFT(TRIM(D2),1))</t>
        </is>
      </c>
      <c r="E3" s="33" t="n"/>
      <c r="F3" s="7" t="inlineStr">
        <is>
          <t>Practice task 12</t>
        </is>
      </c>
    </row>
    <row r="4">
      <c r="A4" s="32" t="n">
        <v>3</v>
      </c>
      <c r="B4" s="32" t="inlineStr">
        <is>
          <t>PatientName</t>
        </is>
      </c>
      <c r="C4" s="7" t="inlineStr">
        <is>
          <t>Two layouts (Last, First and First Last), stray spaces, ALL CAPS and lowercase</t>
        </is>
      </c>
      <c r="D4" s="34" t="n"/>
      <c r="E4" s="33" t="n"/>
      <c r="F4" s="7" t="n"/>
    </row>
    <row r="5">
      <c r="A5" s="32" t="n">
        <v>4</v>
      </c>
      <c r="B5" s="32" t="inlineStr">
        <is>
          <t>Phone</t>
        </is>
      </c>
      <c r="C5" s="7" t="inlineStr">
        <is>
          <t>Six layouts, some with a +1 country code, and some blanks</t>
        </is>
      </c>
      <c r="D5" s="34" t="n"/>
      <c r="E5" s="33" t="n"/>
      <c r="F5" s="7" t="n"/>
    </row>
    <row r="6">
      <c r="A6" s="32" t="n">
        <v>5</v>
      </c>
      <c r="B6" s="32" t="inlineStr">
        <is>
          <t>MRN</t>
        </is>
      </c>
      <c r="C6" s="7" t="inlineStr">
        <is>
          <t>Leading zeros lost on some rows; MRN- prefix on others</t>
        </is>
      </c>
      <c r="D6" s="34" t="n"/>
      <c r="E6" s="33" t="n"/>
      <c r="F6" s="7" t="n"/>
    </row>
    <row r="7">
      <c r="A7" s="32" t="n">
        <v>6</v>
      </c>
      <c r="B7" s="32" t="inlineStr">
        <is>
          <t>DOB</t>
        </is>
      </c>
      <c r="C7" s="7" t="inlineStr">
        <is>
          <t>Dates stored as text in five layouts</t>
        </is>
      </c>
      <c r="D7" s="34" t="n"/>
      <c r="E7" s="33" t="n"/>
      <c r="F7" s="7" t="n"/>
    </row>
    <row r="8">
      <c r="A8" s="32" t="n">
        <v>7</v>
      </c>
      <c r="B8" s="32" t="inlineStr">
        <is>
          <t>Insurance</t>
        </is>
      </c>
      <c r="C8" s="7" t="inlineStr">
        <is>
          <t>Many spellings of 7 payers, some with trailing spaces</t>
        </is>
      </c>
      <c r="D8" s="34" t="n"/>
      <c r="E8" s="33" t="n"/>
      <c r="F8" s="7" t="n"/>
    </row>
    <row r="9">
      <c r="A9" s="32" t="n">
        <v>8</v>
      </c>
      <c r="B9" s="32" t="inlineStr">
        <is>
          <t>CityStateZip</t>
        </is>
      </c>
      <c r="C9" s="7" t="inlineStr">
        <is>
          <t>ZIP+4 mixed with 5-digit ZIPs</t>
        </is>
      </c>
      <c r="D9" s="34" t="n"/>
      <c r="E9" s="33" t="n"/>
      <c r="F9" s="7" t="n"/>
    </row>
    <row r="10">
      <c r="A10" s="32" t="n">
        <v>9</v>
      </c>
      <c r="B10" s="32" t="inlineStr">
        <is>
          <t>(rows)</t>
        </is>
      </c>
      <c r="C10" s="7" t="inlineStr">
        <is>
          <t>Exact copies and re-registrations of the same patient</t>
        </is>
      </c>
      <c r="D10" s="34" t="n"/>
      <c r="E10" s="33"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Work on the Clean sheet's last two yellow columns (RegisteredClean and Keep), using your MRNClean and PhoneClean columns from the practice tasks, then answer on the Bonus sheet. RegisteredOn has two layouts: 2015-11-06 18:33:00 (24-hour clock) and 05/30/2022 05:42 PM (12-hour clock).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36" customHeight="1">
      <c r="A8" s="18" t="inlineStr">
        <is>
          <t>B3</t>
        </is>
      </c>
      <c r="B8" s="19" t="inlineStr">
        <is>
          <t>Which RegisteredOn did you keep for MRN 01276260? Enter it as a date and time.</t>
        </is>
      </c>
      <c r="C8" s="20" t="inlineStr">
        <is>
          <t>MAXIFS (or XLOOKUP) with two conditions: this MRN, and Keep = TRUE</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51" customHeight="1">
      <c r="A10" s="18" t="inlineStr">
        <is>
          <t>B5</t>
        </is>
      </c>
      <c r="B10" s="19" t="inlineStr">
        <is>
          <t>Survivorship check: "keep the latest row"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41">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11"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41">
        <f t="array" ref="E6">SUMPRODUCT(--EXACT(UPPER(LEFT(TRIM(Raw!D2:D651),1)),"F"))</f>
        <v/>
      </c>
      <c r="F6" s="19" t="inlineStr">
        <is>
          <t>Every spelling starts with the right letter once the stray space is gone, so the fix is TRIM → LEFT(…,1) →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16" customHeight="1">
      <c r="A7" s="18" t="inlineStr">
        <is>
          <t>3</t>
        </is>
      </c>
      <c r="B7" s="19" t="inlineStr">
        <is>
          <t>Make a copy of the Raw sheet (right-click its tab → Move or Copy → tick Create a copy). On the copy, run Data → Remove Duplicates on the whole table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41">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the first two or three ZIPs yourself (include one ZIP+4 row), then press Ctrl + E.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41">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In Lesson 2.2 you did the same job with TEXTAFTER. The formula is the repeatable choice, and Flash Fill is the fast one for a one-off.</t>
        </is>
      </c>
    </row>
    <row r="10" ht="141"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41">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stays empty, and the 30 blanks are why the count is 620, not 650. Keep phones as text: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41">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41">
        <f t="array" ref="E12">SUMPRODUCT(--(_xlfn.XLOOKUP(TRIM(Raw!H2:H651),PayerMap!$A$2:$A$20,PayerMap!$B$2:$B$20,"UNMAPPED")="PY02"))</f>
        <v/>
      </c>
      <c r="F12" s="19" t="inlineStr">
        <is>
          <t>A mapping table turns a messy category into a standard code with one lookup, and it documents your decisions where everyone can see them, such as Uninsured →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2"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3">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16" customHeight="1">
      <c r="A14" s="18" t="inlineStr">
        <is>
          <t>10</t>
        </is>
      </c>
      <c r="B14"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if you skip the flip, the count rises to 569, because the same patient appears as both "Amber White" (row 18) and "White Amber" (row 410). And the count is 557, not 560, because 3 names belong to two different patients (Justin Lewis, Lisa Morris, Mei Myers). That's why you dedupe on MRN, never on name. PROPER also turns McDonald into Mcdonald, so fix known exceptions by hand and note them in the cleaning log.</t>
        </is>
      </c>
    </row>
    <row r="15" ht="231"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41">
        <f t="array" ref="E15">SUMPRODUCT(--(DAY(DATEVALUE(SUBSTITUTE(Raw!C2:C651,".","/")))&gt;12))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DATEVALUE reads the ISO and 03-Apr-1957 layouts everywhere and reads slashes month first. In a day-first region it reads 08/06/1989 as 8 June and fails on 3/22/1961. The day-13 test catches a swap: a month number is never above 12, so if the slash and dot rows had month and day swapped, none of them could show a day above 12 and the count would fall to 145 instead of 397.</t>
        </is>
      </c>
    </row>
    <row r="16" ht="111"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41">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with =, "f" equals "F"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41">
        <f t="array" ref="E5">SUMPRODUCT(--(HOUR(--Raw!J2:J651)&gt;=17))</f>
        <v/>
      </c>
      <c r="F5" s="19" t="inlineStr">
        <is>
          <t>Both layouts put the time at character 12, so TIMEVALUE(MID(J2,12,8)) reads "18:33:00" and "05:42 PM" alike, and AM/PM is handled for you. The date part differs, so the IF builds it with DATE from the right pieces.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41">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that turns the time into text with 15 digits and can miss by a rounding error.</t>
        </is>
      </c>
    </row>
    <row r="7" ht="96" customHeight="1">
      <c r="A7" s="18" t="inlineStr">
        <is>
          <t>B3</t>
        </is>
      </c>
      <c r="B7" s="19" t="inlineStr">
        <is>
          <t>Which RegisteredOn did you keep for MRN 01276260? Enter it as a date and time.</t>
        </is>
      </c>
      <c r="C7" s="44" t="n">
        <v>43820.5875</v>
      </c>
      <c r="D7" s="40" t="inlineStr">
        <is>
          <t>=MAXIFS(Clean!R2:R651,Clean!Q2:Q651,"01276260",Clean!S2:S651,TRUE)</t>
        </is>
      </c>
      <c r="E7" cm="1" s="45">
        <f t="array" ref="E7">MAX(IF(TEXT(VALUE(SUBSTITUTE(Raw!I2:I651,"MRN-","")),"00000000")="01276260",--Raw!J2:J651))</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41" customHeight="1">
      <c r="A9" s="18" t="inlineStr">
        <is>
          <t>B5</t>
        </is>
      </c>
      <c r="B9" s="19" t="inlineStr">
        <is>
          <t>Survivorship check: "keep the latest row"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 means at least one character, which works because PhoneClean is text. Multiply by Keep and by an empty PhoneClean to find the 2 patients who would arrive in the new EHR with no phone, although an older registration has one. Real MPI loads use survivorship rules for this: take each field from the most recent row that has it filled in, not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2026-10-02T16:24:18Z</dcterms:created>
  <dcterms:modified xsi:type="dcterms:W3CDTF">2026-10-02T16:24:18Z</dcterms:modified>
</cp:coreProperties>
</file>
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3.6</t>
        </is>
      </c>
    </row>
    <row r="3">
      <c r="B3" s="2" t="inlineStr">
        <is>
          <t>What-If Analysis: Goal Seek, Scenarios, Data Tables &amp; Solver</t>
        </is>
      </c>
    </row>
    <row r="4">
      <c r="B4" s="3" t="inlineStr">
        <is>
          <t>Intermediate  ·  about 60 minutes  ·  Bluestone Health System (fictional)</t>
        </is>
      </c>
    </row>
    <row r="5"/>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P&amp;L,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48" customHeight="1">
      <c r="B20" s="8" t="inlineStr">
        <is>
          <t>Note</t>
        </is>
      </c>
      <c r="C20" s="7" t="inlineStr">
        <is>
          <t>Goal Seek and Scenario Manager's Show button change the Model's input cells. Put the base case back after each run so the other tasks stay correct. Solver only changes the Staffing sheet, which doesn't feed the Model.</t>
        </is>
      </c>
    </row>
    <row r="21" ht="33" customHeight="1">
      <c r="B21" s="8" t="inlineStr">
        <is>
          <t>Note</t>
        </is>
      </c>
      <c r="C21" s="7" t="inlineStr">
        <is>
          <t>Solver is a free add-in that ships with Excel. Turn it on once: File → Options → Add-ins → Manage: Excel Add-ins → Go → tick Solver Add-in (Mac: Tools → Excel Add-ins).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Sources</t>
        </is>
      </c>
      <c r="C30" s="7" t="inlineStr">
        <is>
          <t>Data: 21 rows —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After each Goal Seek run, click Cancel in the Goal Seek Status box so the Model keeps those inputs. The Staffing sheet doesn't feed the Model, so you can keep Solver's solutions there.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(Format it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51" customHeight="1">
      <c r="A9" s="18" t="inlineStr">
        <is>
          <t>4</t>
        </is>
      </c>
      <c r="B9" s="19" t="inlineStr">
        <is>
          <t>Use Goal Seek to find the break-even volume: set Operating income to 0 by changing Visits per day (Model!B8).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81"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Full-time paid hours per month (plan)</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0"/>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7"/>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3"/>
    <row r="4"/>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5"/>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2"/>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29"/>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and appealed claims carry an AllowedAmount of $0 and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and appealed claims carry an AllowedAmount of $0 and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and appealed claims carry an AllowedAmount of $0 and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and appealed claims carry an AllowedAmount of $0 and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and appealed claims carry an AllowedAmount of $0 and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APP (capacity rises from 208 to 226 visits per day). HR hires whole people, so every role needs a whole number of 1.0-FTE staff. Only 6 CNA positions are approved (Staffing!B12). Find the cheapest staffing plan, then test the full plan in the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Add an int constraint on the three variable cells</t>
        </is>
      </c>
      <c r="D6" s="29" t="n"/>
      <c r="E6" s="22">
        <f>IF(IFERROR(D6="",FALSE),"",IF(IFERROR(AND(ISNUMBER(D6),OR(ABS(D6-'Bonus Key'!$C$5)&lt;=0.51)),FALSE),"✔ Correct","✘ Not yet"))</f>
        <v/>
      </c>
    </row>
    <row r="7" ht="30" customHeight="1">
      <c r="A7" s="18" t="inlineStr">
        <is>
          <t>B2</t>
        </is>
      </c>
      <c r="B7" s="19" t="inlineStr">
        <is>
          <t>How many RNs does that plan hire?</t>
        </is>
      </c>
      <c r="C7" s="20" t="inlineStr">
        <is>
          <t>Look at B18</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66" customHeight="1">
      <c r="A9" s="18" t="inlineStr">
        <is>
          <t>B4</t>
        </is>
      </c>
      <c r="B9" s="19" t="inlineStr">
        <is>
          <t>Test the plan in the P&amp;L. On the Model, add two more scenarios that change B8, B10 and B21:B23: Today (200, 3, 5, 3, 8) and Growth 2026 (220, 4, and your RN, LPN, and CNA counts). What operating income does Growth 2026 produce? Round to the nearest dollar.</t>
        </is>
      </c>
      <c r="C9" s="20" t="inlineStr">
        <is>
          <t>Scenario Manager can switch five inputs at once, and switch them back</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Answer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(Format it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26"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Press **Ctrl + `** (Mac: **⌃ + `**) to show formulas, and read down rows 42–56.
2. B52 reads `=NetRevenue*0.04`. The 4% is typed in, although the fee has its own input cell, B36.
3. Change B52 to `=NetRevenue*BillingFeePct` (or `=B44*B36`), then press Ctrl + ` again to show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Use Goal Seek to find the break-even volume: set Operating income to 0 by changing Visits per day (Model!B8). How many visits per day does the clinic need? Round to 1 decimal place, then click Cancel to restore 200.</t>
        </is>
      </c>
      <c r="C8" s="80" t="n">
        <v>204.2</v>
      </c>
      <c r="D8" s="75" t="inlineStr">
        <is>
          <t>1. Choose **Data → What-If Analysis → Goal Seek**.
2. **Set cell:** `B59` · **To value:** `0` · **By changing cell:** `B8`.
3. Click **OK**. B8 shows 204.2 (the cell holds 204.2440…). Note it, then click **Cancel**.</t>
        </is>
      </c>
      <c r="E8" cm="1" s="81">
        <f t="array" ref="E8">ROUND(Model!B8-(Model!B44-Model!B56)/((Model!B43*(1-Model!B52/Model!B44)-Model!B34-Model!B35)*Model!B7),1)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9" s="82" t="n">
        <v>163.58</v>
      </c>
      <c r="D9" s="75" t="inlineStr">
        <is>
          <t>1. **Data → What-If Analysis → Goal Seek**.
2. **Set cell:** `B60` · **To value:** `0.05` · **By changing cell:** `C17`.
3. Click **OK**, read C17, and click **Cancel**.</t>
        </is>
      </c>
      <c r="E9" cm="1" s="83">
        <f t="array" ref="E9">Model!C17+((Model!B56-Model!B52)/(1-Model!B52/Model!B44-0.05)/Model!B42-Model!B43)/Model!B17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96"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 MINIFS needs Excel 2019 or later. In older versions, read the value off the table and type it.</t>
        </is>
      </c>
    </row>
    <row r="12" ht="18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The base case is 200 visits at $142 (−$8,619), so the cell at 200 visits and $140 should be about $3,032 lower, because the clinic's 1,579 commercial visits a month each pay $2 less, minus the 4% fee on those dollars. With swapped input cells that cell would show 140 visits a day at $200, a far bigger loss.</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8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6" s="84" t="n">
        <v>88342</v>
      </c>
      <c r="D16" s="75" t="inlineStr">
        <is>
          <t>1. Choose **Data → Solver**.
2. **Set Objective:** `$B$31` · **To:** Min · **By Changing Variable Cells:** `$B$18:$B$20`.
3. Click **Add** and enter `$B$25:$B$27` **&gt;=** `$D$25:$D$27`, then click **OK**.
4. Leave **Make Unconstrained Variables Non-Negative** ticked, choose **Simplex LP**, and click **Solve**.
5. Choose **Keep Solver Solution**, click **OK**, and type the value of B31, rounded to the dollar, in the answer cell.</t>
        </is>
      </c>
      <c r="E16" cm="1" s="85">
        <f t="array" ref="E16">Staffing!B8*Staffing!B10/Staffing!B13*(Staffing!B11*Staffing!D18+(1-Staffing!B11)*Staffing!D19)+Staffing!B8*(Staffing!B9-Staffing!B10)/Staffing!B13*Staffing!D20</f>
        <v/>
      </c>
      <c r="F16" s="19" t="inlineStr">
        <is>
          <t>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 Type the number rather than pointing at B31, because the bonus runs Solver on the same sheet again. The key's live result rebuilds this optimum with algebra from the Staffing sheet's own cells.</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Bonus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71"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indivisibility costs $5,186 a month.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41" customHeight="1">
      <c r="A8" s="18" t="inlineStr">
        <is>
          <t>B4</t>
        </is>
      </c>
      <c r="B8" s="19" t="inlineStr">
        <is>
          <t>Test the plan in the P&amp;L. On the Model, add two more scenarios that change B8, B10 and B21:B23: Today (200, 3, 5, 3, 8) and Growth 2026 (220, 4, and your RN, LPN, and CNA counts). What operating income does Growth 2026 produce? Round to the nearest dollar.</t>
        </is>
      </c>
      <c r="C8" s="84" t="n">
        <v>2624</v>
      </c>
      <c r="D8" s="75" t="inlineStr">
        <is>
          <t>1. On the Model, select B8, B10 and B21:B23 (Ctrl-click, or ⌘-click on a Mac).
2. **Scenario Manager → Add…** *Today*: 200, 3, 5, 3, 8.
3. **Add…** *Growth 2026*: 220, 4, 7, 4, 6.
4.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Using scenarios instead of overwriting inputs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2026-10-02T16:44:08Z</dcterms:created>
  <dcterms:modified xsi:type="dcterms:W3CDTF">2026-10-02T16:44:08Z</dcterms:modified>
</cp:coreProperties>
</file>
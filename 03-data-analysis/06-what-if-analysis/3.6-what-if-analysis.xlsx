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4">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i val="1"/>
      <color rgb="00595959"/>
      <sz val="9"/>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17" fillId="0" borderId="0" pivotButton="0" quotePrefix="0" xfId="0"/>
    <xf numFmtId="0" fontId="4" fillId="3" borderId="0" pivotButton="0" quotePrefix="0" xfId="0"/>
    <xf numFmtId="0" fontId="18" fillId="8" borderId="1" pivotButton="0" quotePrefix="0" xfId="0"/>
    <xf numFmtId="0" fontId="18" fillId="0" borderId="0" pivotButton="0" quotePrefix="0" xfId="0"/>
    <xf numFmtId="0" fontId="0" fillId="0" borderId="1" pivotButton="0" quotePrefix="0" xfId="0"/>
    <xf numFmtId="1" fontId="20" fillId="9" borderId="1" pivotButton="0" quotePrefix="0" xfId="0"/>
    <xf numFmtId="0" fontId="19" fillId="0" borderId="1" pivotButton="0" quotePrefix="0" xfId="0"/>
    <xf numFmtId="166" fontId="20"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20" fillId="9" borderId="1" pivotButton="0" quotePrefix="0" xfId="0"/>
    <xf numFmtId="4" fontId="20" fillId="9" borderId="1" pivotButton="0" quotePrefix="0" xfId="0"/>
    <xf numFmtId="0" fontId="21" fillId="0" borderId="0" pivotButton="0" quotePrefix="0" xfId="0"/>
    <xf numFmtId="165" fontId="0" fillId="0" borderId="0" pivotButton="0" quotePrefix="0" xfId="0"/>
    <xf numFmtId="0" fontId="18" fillId="0" borderId="0" applyAlignment="1" pivotButton="0" quotePrefix="0" xfId="0">
      <alignment horizontal="center"/>
    </xf>
    <xf numFmtId="168" fontId="1" fillId="8" borderId="1" applyAlignment="1" pivotButton="0" quotePrefix="0" xfId="0">
      <alignment horizontal="center"/>
    </xf>
    <xf numFmtId="3" fontId="20"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2" fillId="0" borderId="1" pivotButton="0" quotePrefix="0" xfId="0"/>
    <xf numFmtId="2" fontId="20" fillId="9" borderId="1" pivotButton="0" quotePrefix="0" xfId="0"/>
    <xf numFmtId="9" fontId="20" fillId="9" borderId="1" pivotButton="0" quotePrefix="0" xfId="0"/>
    <xf numFmtId="165" fontId="22" fillId="0" borderId="1" pivotButton="0" quotePrefix="0" xfId="0"/>
    <xf numFmtId="2" fontId="23" fillId="11" borderId="1" pivotButton="0" quotePrefix="0" xfId="0"/>
    <xf numFmtId="4" fontId="22"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3.6</t>
        </is>
      </c>
    </row>
    <row r="3">
      <c r="B3" s="2" t="inlineStr">
        <is>
          <t>What-If Analysis: Goal Seek, Scenarios, Data Tables &amp; Solver</t>
        </is>
      </c>
    </row>
    <row r="4">
      <c r="B4" s="3" t="inlineStr">
        <is>
          <t>Intermediate  ·  about 125 minutes  ·  Bluestone Health System (fictional)</t>
        </is>
      </c>
    </row>
    <row r="5"/>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48" customHeight="1">
      <c r="B14" s="8" t="inlineStr">
        <is>
          <t>2. Practice</t>
        </is>
      </c>
      <c r="C14" s="7" t="inlineStr">
        <is>
          <t>Go to the 'Practice' sheet. For tasks 1 and 2, complete the yellow output cells on the Model sheet, and the task's gray cell on Practice reads them. For tasks 3–13, do the work on the Model or Staffing sheet, then type the answer into the task's yellow cell on Practice.</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On the Model sheet, blue numbers are inputs and black cells are formulas. You complete two yellow output cells and build two Data Tables in the Sensitivity area (columns F–K). The Sources sheet shows where each data-derived input came from.</t>
        </is>
      </c>
    </row>
    <row r="19" ht="48" customHeight="1">
      <c r="B19" s="8" t="inlineStr">
        <is>
          <t>Note</t>
        </is>
      </c>
      <c r="C19" s="7" t="inlineStr">
        <is>
          <t>Goal Seek and Scenario Manager's Show button change the Model's input cells. Put the base case back after each run so the other tasks stay correct. Solver only changes the Staffing sheet, which doesn't feed the Model.</t>
        </is>
      </c>
    </row>
    <row r="20" ht="33" customHeight="1">
      <c r="B20" s="8" t="inlineStr">
        <is>
          <t>Note</t>
        </is>
      </c>
      <c r="C20" s="7" t="inlineStr">
        <is>
          <t>Solver is a free add-in that ships with Excel. Turn it on once: File → Options → Add-ins → Manage: Excel Add-ins → Go → tick Solver Add-in (Mac: Tools → Excel Add-ins).</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7"/>
    <row r="28">
      <c r="B28" s="4" t="inlineStr">
        <is>
          <t>Sheets in this workbook</t>
        </is>
      </c>
      <c r="C28" s="5" t="n"/>
    </row>
    <row r="29" ht="18" customHeight="1">
      <c r="B29" s="8" t="inlineStr">
        <is>
          <t>Practice</t>
        </is>
      </c>
      <c r="C29" s="7" t="inlineStr">
        <is>
          <t>13 practice tasks, each with a Check cell.</t>
        </is>
      </c>
    </row>
    <row r="30" ht="33" customHeight="1">
      <c r="B30" s="8" t="inlineStr">
        <is>
          <t>Model</t>
        </is>
      </c>
      <c r="C30" s="7" t="inlineStr">
        <is>
          <t>The clinic's monthly profit and loss (P&amp;L) model: inputs, calculations, outputs, and the Sensitivity area for your Data Tables (tasks 1–11 and bonus B4).</t>
        </is>
      </c>
    </row>
    <row r="31" ht="33" customHeight="1">
      <c r="B31" s="8" t="inlineStr">
        <is>
          <t>Staffing</t>
        </is>
      </c>
      <c r="C31" s="7" t="inlineStr">
        <is>
          <t>The Solver worksheet for the RN, LPN, and CNA staffing mix. The green cells are the decision variables (tasks 12–13 and bonus B1–B3).</t>
        </is>
      </c>
    </row>
    <row r="32" ht="18" customHeight="1">
      <c r="B32" s="8" t="inlineStr">
        <is>
          <t>Sources</t>
        </is>
      </c>
      <c r="C32" s="7" t="inlineStr">
        <is>
          <t>Data: 21 rows, in the Excel Table 'tblSources'</t>
        </is>
      </c>
    </row>
    <row r="33" ht="18" customHeight="1">
      <c r="B33" s="8" t="inlineStr">
        <is>
          <t>Bonus</t>
        </is>
      </c>
      <c r="C33" s="7" t="inlineStr">
        <is>
          <t>The bonus challenge (4 parts).</t>
        </is>
      </c>
    </row>
    <row r="34" ht="63" customHeight="1">
      <c r="B34" s="8" t="inlineStr">
        <is>
          <t>About the data</t>
        </is>
      </c>
      <c r="C34"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49" customHeight="1">
      <c r="A2" s="14" t="inlineStr">
        <is>
          <t>Every task uses the Model and Staffing sheets. Tasks 1 and 2 read your Model live, so their checks stay green only while the Model holds its base-case inputs (200 visits per day, Commercial $142, and so on). The same is true of any answer you type as a link to a Model cell, such as =Model!H11. After each Goal Seek run, click Cancel in the Goal Seek Status box so the Model keeps those inputs. The Staffing sheet doesn't feed the Model, so you can keep Solver's solutions there.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The cell is already formatted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66" customHeight="1">
      <c r="A9" s="18" t="inlineStr">
        <is>
          <t>4</t>
        </is>
      </c>
      <c r="B9" s="19" t="inlineStr">
        <is>
          <t>On the Model sheet, use Goal Seek to find the break-even volume: set Operating income (B59) to 0 by changing Visits per day (B8).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On the Model sheet, use Goal Seek to set Operating margin (B60) to 5% (type 0.05) by changing the Commercial $ per visit (C17). What commercial reimbursement per visit is needed? Round to the nearest dollar, then click Cancel to restore $142.</t>
        </is>
      </c>
      <c r="C10" s="20" t="inlineStr">
        <is>
          <t>The Set cell must contain a formula, so use the margin cell</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The visits run down a column, so use the Column input cell</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96"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 and type the number rather than a link to B31, because the bonus runs Solver on this sheet again.</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t>
        </is>
      </c>
    </row>
    <row r="4">
      <c r="A4" s="31" t="inlineStr">
        <is>
          <t>Named cells (Formulas → Name Manager): ClinicDays, VisitsPerDay, MedicaidShare, CommercialShare, CommercialRate, BillingFeePct, VisitsPerMonth, AvgReimbursement, NetRevenue, TotalExpenses, OperatingIncome, OperatingMargin.</t>
        </is>
      </c>
    </row>
    <row r="5">
      <c r="A5" s="32" t="inlineStr">
        <is>
          <t>INPUTS</t>
        </is>
      </c>
      <c r="B5" s="5" t="n"/>
      <c r="C5" s="5" t="n"/>
      <c r="D5" s="5" t="n"/>
      <c r="F5" s="32" t="inlineStr">
        <is>
          <t>SENSITIVITY AREA  (Data Tables)</t>
        </is>
      </c>
      <c r="G5" s="5" t="n"/>
      <c r="H5" s="5" t="n"/>
      <c r="I5" s="5" t="n"/>
      <c r="J5" s="5" t="n"/>
      <c r="K5" s="5" t="n"/>
    </row>
    <row r="6">
      <c r="A6" s="33" t="inlineStr">
        <is>
          <t>Volume &amp; capacity</t>
        </is>
      </c>
      <c r="B6" s="33" t="inlineStr">
        <is>
          <t>Value</t>
        </is>
      </c>
      <c r="C6" s="33" t="inlineStr">
        <is>
          <t>Unit</t>
        </is>
      </c>
      <c r="D6" s="33" t="inlineStr">
        <is>
          <t>Source / note</t>
        </is>
      </c>
      <c r="F6" s="34" t="inlineStr">
        <is>
          <t>One-variable Data Table · Column input cell: B8</t>
        </is>
      </c>
    </row>
    <row r="7">
      <c r="A7" s="35" t="inlineStr">
        <is>
          <t>Clinic days per month</t>
        </is>
      </c>
      <c r="B7" s="36" t="n">
        <v>21</v>
      </c>
      <c r="C7" s="37" t="inlineStr">
        <is>
          <t>days</t>
        </is>
      </c>
      <c r="D7" s="3" t="inlineStr">
        <is>
          <t>Weekdays the clinic is open, less holidays (plan)</t>
        </is>
      </c>
      <c r="F7" s="33" t="inlineStr">
        <is>
          <t>Visits per day</t>
        </is>
      </c>
      <c r="G7" s="33" t="inlineStr">
        <is>
          <t>Operating income</t>
        </is>
      </c>
      <c r="H7" s="33" t="inlineStr">
        <is>
          <t>Operating margin</t>
        </is>
      </c>
    </row>
    <row r="8">
      <c r="A8" s="35" t="inlineStr">
        <is>
          <t>Visits per day</t>
        </is>
      </c>
      <c r="B8" s="38" t="n">
        <v>200</v>
      </c>
      <c r="C8" s="37" t="inlineStr">
        <is>
          <t>visits</t>
        </is>
      </c>
      <c r="D8" s="3" t="inlineStr">
        <is>
          <t>FY2026 plan</t>
        </is>
      </c>
      <c r="F8" s="35" t="n"/>
      <c r="G8" s="39" t="n"/>
      <c r="H8" s="40" t="n"/>
      <c r="I8" s="3" t="inlineStr">
        <is>
          <t>← type =B59 and =B60 here (task 6)</t>
        </is>
      </c>
    </row>
    <row r="9">
      <c r="A9" s="35" t="inlineStr">
        <is>
          <t>Physician FTEs (MD/DO)</t>
        </is>
      </c>
      <c r="B9" s="38" t="n">
        <v>7</v>
      </c>
      <c r="C9" s="37" t="inlineStr">
        <is>
          <t>FTE</t>
        </is>
      </c>
      <c r="D9" s="3" t="inlineStr">
        <is>
          <t>Current staffing</t>
        </is>
      </c>
      <c r="F9" s="41" t="n">
        <v>180</v>
      </c>
      <c r="G9" s="42" t="n"/>
      <c r="H9" s="43" t="n"/>
    </row>
    <row r="10">
      <c r="A10" s="35" t="inlineStr">
        <is>
          <t>APP FTEs (NP/PA)</t>
        </is>
      </c>
      <c r="B10" s="38" t="n">
        <v>3</v>
      </c>
      <c r="C10" s="37" t="inlineStr">
        <is>
          <t>FTE</t>
        </is>
      </c>
      <c r="D10" s="3" t="inlineStr">
        <is>
          <t>Current staffing</t>
        </is>
      </c>
      <c r="F10" s="41" t="n">
        <v>185</v>
      </c>
      <c r="G10" s="42" t="n"/>
      <c r="H10" s="43" t="n"/>
    </row>
    <row r="11">
      <c r="A11" s="35" t="inlineStr">
        <is>
          <t>Visits per physician per day</t>
        </is>
      </c>
      <c r="B11" s="36" t="n">
        <v>22</v>
      </c>
      <c r="C11" s="37" t="inlineStr">
        <is>
          <t>visits</t>
        </is>
      </c>
      <c r="D11" s="3" t="inlineStr">
        <is>
          <t>Scheduling template</t>
        </is>
      </c>
      <c r="F11" s="41" t="n">
        <v>190</v>
      </c>
      <c r="G11" s="42" t="n"/>
      <c r="H11" s="43" t="n"/>
    </row>
    <row r="12">
      <c r="A12" s="35" t="inlineStr">
        <is>
          <t>Visits per APP per day</t>
        </is>
      </c>
      <c r="B12" s="36" t="n">
        <v>18</v>
      </c>
      <c r="C12" s="37" t="inlineStr">
        <is>
          <t>visits</t>
        </is>
      </c>
      <c r="D12" s="3" t="inlineStr">
        <is>
          <t>Scheduling template</t>
        </is>
      </c>
      <c r="F12" s="41" t="n">
        <v>195</v>
      </c>
      <c r="G12" s="42" t="n"/>
      <c r="H12" s="43" t="n"/>
    </row>
    <row r="13">
      <c r="A13" s="33" t="inlineStr">
        <is>
          <t>Payer mix &amp; reimbursement</t>
        </is>
      </c>
      <c r="B13" s="33" t="inlineStr">
        <is>
          <t>Share of visits</t>
        </is>
      </c>
      <c r="C13" s="33" t="inlineStr">
        <is>
          <t>$ per visit</t>
        </is>
      </c>
      <c r="D13" s="33" t="inlineStr">
        <is>
          <t>Source / note</t>
        </is>
      </c>
      <c r="F13" s="41" t="n">
        <v>200</v>
      </c>
      <c r="G13" s="42" t="n"/>
      <c r="H13" s="43" t="n"/>
    </row>
    <row r="14">
      <c r="A14" s="35" t="inlineStr">
        <is>
          <t>Medicare</t>
        </is>
      </c>
      <c r="B14" s="44" t="n">
        <v>0.251</v>
      </c>
      <c r="C14" s="45" t="n">
        <v>87</v>
      </c>
      <c r="D14" s="3" t="inlineStr">
        <is>
          <t>2025 D400 claims (Sources)</t>
        </is>
      </c>
      <c r="F14" s="41" t="n">
        <v>205</v>
      </c>
      <c r="G14" s="42" t="n"/>
      <c r="H14" s="43" t="n"/>
    </row>
    <row r="15">
      <c r="A15" s="35" t="inlineStr">
        <is>
          <t>Medicare Advantage</t>
        </is>
      </c>
      <c r="B15" s="44" t="n">
        <v>0.166</v>
      </c>
      <c r="C15" s="45" t="n">
        <v>88</v>
      </c>
      <c r="D15" s="3" t="inlineStr">
        <is>
          <t>2025 D400 claims (Sources)</t>
        </is>
      </c>
      <c r="F15" s="41" t="n">
        <v>210</v>
      </c>
      <c r="G15" s="42" t="n"/>
      <c r="H15" s="43" t="n"/>
    </row>
    <row r="16">
      <c r="A16" s="35" t="inlineStr">
        <is>
          <t>Medicaid</t>
        </is>
      </c>
      <c r="B16" s="44" t="n">
        <v>0.149</v>
      </c>
      <c r="C16" s="45" t="n">
        <v>66</v>
      </c>
      <c r="D16" s="3" t="inlineStr">
        <is>
          <t>2025 D400 claims (Sources)</t>
        </is>
      </c>
      <c r="F16" s="41" t="n">
        <v>215</v>
      </c>
      <c r="G16" s="42" t="n"/>
      <c r="H16" s="43" t="n"/>
    </row>
    <row r="17">
      <c r="A17" s="35" t="inlineStr">
        <is>
          <t>Commercial (incl. Workers' Comp)</t>
        </is>
      </c>
      <c r="B17" s="44" t="n">
        <v>0.376</v>
      </c>
      <c r="C17" s="45" t="n">
        <v>142</v>
      </c>
      <c r="D17" s="3" t="inlineStr">
        <is>
          <t>2025 D400 claims (Sources)</t>
        </is>
      </c>
      <c r="F17" s="41" t="n">
        <v>220</v>
      </c>
      <c r="G17" s="42" t="n"/>
      <c r="H17" s="43" t="n"/>
    </row>
    <row r="18">
      <c r="A18" s="35" t="inlineStr">
        <is>
          <t>Self-Pay</t>
        </is>
      </c>
      <c r="B18" s="44" t="n">
        <v>0.058</v>
      </c>
      <c r="C18" s="45" t="n">
        <v>120</v>
      </c>
      <c r="D18" s="3" t="inlineStr">
        <is>
          <t>2025 D400 claims (Sources)</t>
        </is>
      </c>
      <c r="F18" s="3" t="inlineStr">
        <is>
          <t>Select F8:H17 → Data → What-If Analysis → Data Table → Column input cell B8. The gray cells fill in.</t>
        </is>
      </c>
    </row>
    <row r="19">
      <c r="A19" s="46" t="inlineStr">
        <is>
          <t>Payer mix total (check)</t>
        </is>
      </c>
      <c r="B19" s="47">
        <f>SUM(B14:B18)</f>
        <v/>
      </c>
      <c r="C19" s="3">
        <f>IF(ROUND(B19,6)=1,"✔ totals 100%","✘ must total 100%")</f>
        <v/>
      </c>
    </row>
    <row r="20">
      <c r="A20" s="33" t="inlineStr">
        <is>
          <t>Staffing &amp; pay</t>
        </is>
      </c>
      <c r="B20" s="33" t="inlineStr">
        <is>
          <t>Value</t>
        </is>
      </c>
      <c r="C20" s="33" t="inlineStr">
        <is>
          <t>Unit</t>
        </is>
      </c>
      <c r="D20" s="33" t="inlineStr">
        <is>
          <t>Source / note</t>
        </is>
      </c>
      <c r="F20" s="34" t="inlineStr">
        <is>
          <t>Two-variable Data Table · Row input cell: C17 · Column input cell: B8</t>
        </is>
      </c>
    </row>
    <row r="21">
      <c r="A21" s="35" t="inlineStr">
        <is>
          <t>RN FTEs</t>
        </is>
      </c>
      <c r="B21" s="38" t="n">
        <v>5</v>
      </c>
      <c r="C21" s="37" t="inlineStr">
        <is>
          <t>FTE</t>
        </is>
      </c>
      <c r="D21" s="3" t="inlineStr">
        <is>
          <t>Current staffing</t>
        </is>
      </c>
      <c r="F21" s="34" t="inlineStr">
        <is>
          <t>↓ Visits per day</t>
        </is>
      </c>
      <c r="G21" s="48" t="inlineStr">
        <is>
          <t>Commercial $ per visit →</t>
        </is>
      </c>
    </row>
    <row r="22">
      <c r="A22" s="35" t="inlineStr">
        <is>
          <t>LPN FTEs</t>
        </is>
      </c>
      <c r="B22" s="38" t="n">
        <v>3</v>
      </c>
      <c r="C22" s="37" t="inlineStr">
        <is>
          <t>FTE</t>
        </is>
      </c>
      <c r="D22" s="3" t="inlineStr">
        <is>
          <t>Current staffing</t>
        </is>
      </c>
      <c r="F22" s="39" t="n"/>
      <c r="G22" s="49" t="n">
        <v>130</v>
      </c>
      <c r="H22" s="49" t="n">
        <v>140</v>
      </c>
      <c r="I22" s="49" t="n">
        <v>150</v>
      </c>
      <c r="J22" s="49" t="n">
        <v>160</v>
      </c>
      <c r="K22" s="49" t="n">
        <v>170</v>
      </c>
    </row>
    <row r="23">
      <c r="A23" s="35" t="inlineStr">
        <is>
          <t>CNA FTEs</t>
        </is>
      </c>
      <c r="B23" s="38" t="n">
        <v>8</v>
      </c>
      <c r="C23" s="37" t="inlineStr">
        <is>
          <t>FTE</t>
        </is>
      </c>
      <c r="D23" s="3" t="inlineStr">
        <is>
          <t>Current staffing</t>
        </is>
      </c>
      <c r="F23" s="41" t="n">
        <v>180</v>
      </c>
      <c r="G23" s="42" t="n"/>
      <c r="H23" s="42" t="n"/>
      <c r="I23" s="42" t="n"/>
      <c r="J23" s="42" t="n"/>
      <c r="K23" s="42" t="n"/>
    </row>
    <row r="24">
      <c r="A24" s="35" t="inlineStr">
        <is>
          <t>Front desk &amp; admin FTEs</t>
        </is>
      </c>
      <c r="B24" s="38" t="n">
        <v>8</v>
      </c>
      <c r="C24" s="37" t="inlineStr">
        <is>
          <t>FTE</t>
        </is>
      </c>
      <c r="D24" s="3" t="inlineStr">
        <is>
          <t>Current staffing</t>
        </is>
      </c>
      <c r="F24" s="41" t="n">
        <v>185</v>
      </c>
      <c r="G24" s="42" t="n"/>
      <c r="H24" s="42" t="n"/>
      <c r="I24" s="42" t="n"/>
      <c r="J24" s="42" t="n"/>
      <c r="K24" s="42" t="n"/>
    </row>
    <row r="25">
      <c r="A25" s="35" t="inlineStr">
        <is>
          <t>Paid hours per FTE per month</t>
        </is>
      </c>
      <c r="B25" s="36" t="n">
        <v>168</v>
      </c>
      <c r="C25" s="37" t="inlineStr">
        <is>
          <t>hours</t>
        </is>
      </c>
      <c r="D25" s="3" t="inlineStr">
        <is>
          <t>Full-time paid hours per month (plan)</t>
        </is>
      </c>
      <c r="F25" s="41" t="n">
        <v>190</v>
      </c>
      <c r="G25" s="42" t="n"/>
      <c r="H25" s="42" t="n"/>
      <c r="I25" s="42" t="n"/>
      <c r="J25" s="42" t="n"/>
      <c r="K25" s="42" t="n"/>
    </row>
    <row r="26">
      <c r="A26" s="35" t="inlineStr">
        <is>
          <t>Physician salary per FTE</t>
        </is>
      </c>
      <c r="B26" s="50" t="n">
        <v>22000</v>
      </c>
      <c r="C26" s="37" t="inlineStr">
        <is>
          <t>$/month</t>
        </is>
      </c>
      <c r="D26" s="3" t="inlineStr">
        <is>
          <t>FY2026 compensation plan</t>
        </is>
      </c>
      <c r="F26" s="41" t="n">
        <v>195</v>
      </c>
      <c r="G26" s="42" t="n"/>
      <c r="H26" s="42" t="n"/>
      <c r="I26" s="42" t="n"/>
      <c r="J26" s="42" t="n"/>
      <c r="K26" s="42" t="n"/>
    </row>
    <row r="27">
      <c r="A27" s="35" t="inlineStr">
        <is>
          <t>APP salary per FTE</t>
        </is>
      </c>
      <c r="B27" s="50" t="n">
        <v>10800</v>
      </c>
      <c r="C27" s="37" t="inlineStr">
        <is>
          <t>$/month</t>
        </is>
      </c>
      <c r="D27" s="3" t="inlineStr">
        <is>
          <t>FY2026 compensation plan</t>
        </is>
      </c>
      <c r="F27" s="41" t="n">
        <v>200</v>
      </c>
      <c r="G27" s="42" t="n"/>
      <c r="H27" s="42" t="n"/>
      <c r="I27" s="42" t="n"/>
      <c r="J27" s="42" t="n"/>
      <c r="K27" s="42" t="n"/>
    </row>
    <row r="28">
      <c r="A28" s="35" t="inlineStr">
        <is>
          <t>RN hourly rate</t>
        </is>
      </c>
      <c r="B28" s="45" t="n">
        <v>42.73</v>
      </c>
      <c r="C28" s="37" t="inlineStr">
        <is>
          <t>$/hour</t>
        </is>
      </c>
      <c r="D28" s="3" t="inlineStr">
        <is>
          <t>Median of active RNs (Sources)</t>
        </is>
      </c>
      <c r="F28" s="41" t="n">
        <v>205</v>
      </c>
      <c r="G28" s="42" t="n"/>
      <c r="H28" s="42" t="n"/>
      <c r="I28" s="42" t="n"/>
      <c r="J28" s="42" t="n"/>
      <c r="K28" s="42" t="n"/>
    </row>
    <row r="29">
      <c r="A29" s="35" t="inlineStr">
        <is>
          <t>LPN hourly rate</t>
        </is>
      </c>
      <c r="B29" s="45" t="n">
        <v>27.73</v>
      </c>
      <c r="C29" s="37" t="inlineStr">
        <is>
          <t>$/hour</t>
        </is>
      </c>
      <c r="D29" s="3" t="inlineStr">
        <is>
          <t>Median of active LPNs (Sources)</t>
        </is>
      </c>
      <c r="F29" s="41" t="n">
        <v>210</v>
      </c>
      <c r="G29" s="42" t="n"/>
      <c r="H29" s="42" t="n"/>
      <c r="I29" s="42" t="n"/>
      <c r="J29" s="42" t="n"/>
      <c r="K29" s="42" t="n"/>
    </row>
    <row r="30">
      <c r="A30" s="35" t="inlineStr">
        <is>
          <t>CNA hourly rate</t>
        </is>
      </c>
      <c r="B30" s="45" t="n">
        <v>19.74</v>
      </c>
      <c r="C30" s="37" t="inlineStr">
        <is>
          <t>$/hour</t>
        </is>
      </c>
      <c r="D30" s="3" t="inlineStr">
        <is>
          <t>Median of active CNAs (Sources)</t>
        </is>
      </c>
      <c r="F30" s="41" t="n">
        <v>215</v>
      </c>
      <c r="G30" s="42" t="n"/>
      <c r="H30" s="42" t="n"/>
      <c r="I30" s="42" t="n"/>
      <c r="J30" s="42" t="n"/>
      <c r="K30" s="42" t="n"/>
    </row>
    <row r="31">
      <c r="A31" s="35" t="inlineStr">
        <is>
          <t>Front desk hourly rate</t>
        </is>
      </c>
      <c r="B31" s="45" t="n">
        <v>18.86</v>
      </c>
      <c r="C31" s="37" t="inlineStr">
        <is>
          <t>$/hour</t>
        </is>
      </c>
      <c r="D31" s="3" t="inlineStr">
        <is>
          <t>Median of active unit secretaries (Sources)</t>
        </is>
      </c>
      <c r="F31" s="41" t="n">
        <v>220</v>
      </c>
      <c r="G31" s="42" t="n"/>
      <c r="H31" s="42" t="n"/>
      <c r="I31" s="42" t="n"/>
      <c r="J31" s="42" t="n"/>
      <c r="K31" s="42" t="n"/>
    </row>
    <row r="32">
      <c r="A32" s="35" t="inlineStr">
        <is>
          <t>Benefits load (% of wages)</t>
        </is>
      </c>
      <c r="B32" s="44" t="n">
        <v>0.267</v>
      </c>
      <c r="C32" s="37" t="n"/>
      <c r="D32" s="3" t="inlineStr">
        <is>
          <t>2025 D400 benefits ÷ wages (Sources)</t>
        </is>
      </c>
      <c r="F32" s="3" t="inlineStr">
        <is>
          <t>Type =B59 in the yellow corner F22, select F22:K31 → Data Table → Row input cell C17, Column input cell B8.</t>
        </is>
      </c>
    </row>
    <row r="33">
      <c r="A33" s="33" t="inlineStr">
        <is>
          <t>Other costs</t>
        </is>
      </c>
      <c r="B33" s="33" t="inlineStr">
        <is>
          <t>Value</t>
        </is>
      </c>
      <c r="C33" s="33" t="inlineStr">
        <is>
          <t>Unit</t>
        </is>
      </c>
      <c r="D33" s="33" t="inlineStr">
        <is>
          <t>Source / note</t>
        </is>
      </c>
    </row>
    <row r="34">
      <c r="A34" s="35" t="inlineStr">
        <is>
          <t>Medical supplies per visit</t>
        </is>
      </c>
      <c r="B34" s="45" t="n">
        <v>4.39</v>
      </c>
      <c r="C34" s="37" t="inlineStr">
        <is>
          <t>$/visit</t>
        </is>
      </c>
      <c r="D34" s="3" t="inlineStr">
        <is>
          <t>2025 D400 actuals (Sources)</t>
        </is>
      </c>
    </row>
    <row r="35">
      <c r="A35" s="35" t="inlineStr">
        <is>
          <t>Vaccines &amp; injectables per visit</t>
        </is>
      </c>
      <c r="B35" s="45" t="n">
        <v>1.27</v>
      </c>
      <c r="C35" s="37" t="inlineStr">
        <is>
          <t>$/visit</t>
        </is>
      </c>
      <c r="D35" s="3" t="inlineStr">
        <is>
          <t>2025 D400 actuals (Sources)</t>
        </is>
      </c>
    </row>
    <row r="36">
      <c r="A36" s="35" t="inlineStr">
        <is>
          <t>Billing &amp; collections fee</t>
        </is>
      </c>
      <c r="B36" s="44" t="n">
        <v>0.04</v>
      </c>
      <c r="C36" s="37" t="inlineStr">
        <is>
          <t>of revenue</t>
        </is>
      </c>
      <c r="D36" s="3" t="inlineStr">
        <is>
          <t>Revenue-cycle vendor contract</t>
        </is>
      </c>
    </row>
    <row r="37">
      <c r="A37" s="35" t="inlineStr">
        <is>
          <t>Facility &amp; equipment</t>
        </is>
      </c>
      <c r="B37" s="50" t="n">
        <v>11500</v>
      </c>
      <c r="C37" s="37" t="inlineStr">
        <is>
          <t>$/month</t>
        </is>
      </c>
      <c r="D37" s="3" t="inlineStr">
        <is>
          <t>Fixed. 2025 D400 actuals (Sources)</t>
        </is>
      </c>
    </row>
    <row r="38">
      <c r="A38" s="35" t="inlineStr">
        <is>
          <t>IT, EHR &amp; purchased services</t>
        </is>
      </c>
      <c r="B38" s="50" t="n">
        <v>24200</v>
      </c>
      <c r="C38" s="37" t="inlineStr">
        <is>
          <t>$/month</t>
        </is>
      </c>
      <c r="D38" s="3" t="inlineStr">
        <is>
          <t>Fixed. 2025 D400 actuals (Sources)</t>
        </is>
      </c>
    </row>
    <row r="39">
      <c r="A39" s="35" t="inlineStr">
        <is>
          <t>Other operating</t>
        </is>
      </c>
      <c r="B39" s="50" t="n">
        <v>14000</v>
      </c>
      <c r="C39" s="37" t="inlineStr">
        <is>
          <t>$/month</t>
        </is>
      </c>
      <c r="D39" s="3" t="inlineStr">
        <is>
          <t>Fixed. 2025 D400 actuals (Sources)</t>
        </is>
      </c>
    </row>
    <row r="40"/>
    <row r="41">
      <c r="A41" s="32" t="inlineStr">
        <is>
          <t>CALCULATIONS  (one formula per row · no typed-in numbers)</t>
        </is>
      </c>
      <c r="B41" s="5" t="n"/>
      <c r="C41" s="5" t="n"/>
      <c r="D41" s="5" t="n"/>
    </row>
    <row r="42">
      <c r="A42" s="35" t="inlineStr">
        <is>
          <t>Visits per month</t>
        </is>
      </c>
      <c r="B42" s="51">
        <f>VisitsPerDay*ClinicDays</f>
        <v/>
      </c>
      <c r="C42" s="37" t="inlineStr">
        <is>
          <t>visits</t>
        </is>
      </c>
    </row>
    <row r="43">
      <c r="A43" s="35" t="inlineStr">
        <is>
          <t>Average reimbursement per visit</t>
        </is>
      </c>
      <c r="B43" s="52">
        <f>SUMPRODUCT(B14:B18,C14:C18)</f>
        <v/>
      </c>
      <c r="C43" s="37" t="inlineStr">
        <is>
          <t>$/visit</t>
        </is>
      </c>
    </row>
    <row r="44">
      <c r="A44" s="35" t="inlineStr">
        <is>
          <t>Net patient revenue</t>
        </is>
      </c>
      <c r="B44" s="53">
        <f>VisitsPerMonth*AvgReimbursement</f>
        <v/>
      </c>
      <c r="C44" s="37" t="inlineStr">
        <is>
          <t>$/month</t>
        </is>
      </c>
    </row>
    <row r="45">
      <c r="A45" s="35" t="inlineStr">
        <is>
          <t>Physician &amp; APP wages</t>
        </is>
      </c>
      <c r="B45" s="53">
        <f>B9*B26+B10*B27</f>
        <v/>
      </c>
      <c r="C45" s="37" t="inlineStr">
        <is>
          <t>$/month</t>
        </is>
      </c>
    </row>
    <row r="46">
      <c r="A46" s="35" t="inlineStr">
        <is>
          <t>Clinical support wages (RN, LPN, CNA)</t>
        </is>
      </c>
      <c r="B46" s="53">
        <f>(B21*B28+B22*B29+B23*B30)*B25</f>
        <v/>
      </c>
      <c r="C46" s="37" t="inlineStr">
        <is>
          <t>$/month</t>
        </is>
      </c>
    </row>
    <row r="47">
      <c r="A47" s="35" t="inlineStr">
        <is>
          <t>Front desk &amp; admin wages</t>
        </is>
      </c>
      <c r="B47" s="53">
        <f>B24*B31*B25</f>
        <v/>
      </c>
      <c r="C47" s="37" t="inlineStr">
        <is>
          <t>$/month</t>
        </is>
      </c>
    </row>
    <row r="48">
      <c r="A48" s="54" t="inlineStr">
        <is>
          <t>Total wages</t>
        </is>
      </c>
      <c r="B48" s="55">
        <f>SUM(B45:B47)</f>
        <v/>
      </c>
      <c r="C48" s="37" t="inlineStr">
        <is>
          <t>$/month</t>
        </is>
      </c>
    </row>
    <row r="49">
      <c r="A49" s="35" t="inlineStr">
        <is>
          <t>Benefits</t>
        </is>
      </c>
      <c r="B49" s="53">
        <f>B48*B32</f>
        <v/>
      </c>
      <c r="C49" s="37" t="inlineStr">
        <is>
          <t>$/month</t>
        </is>
      </c>
    </row>
    <row r="50">
      <c r="A50" s="35" t="inlineStr">
        <is>
          <t>Medical supplies</t>
        </is>
      </c>
      <c r="B50" s="53">
        <f>VisitsPerMonth*B34</f>
        <v/>
      </c>
      <c r="C50" s="37" t="inlineStr">
        <is>
          <t>$/month</t>
        </is>
      </c>
    </row>
    <row r="51">
      <c r="A51" s="35" t="inlineStr">
        <is>
          <t>Vaccines &amp; injectables</t>
        </is>
      </c>
      <c r="B51" s="53">
        <f>VisitsPerMonth*B35</f>
        <v/>
      </c>
      <c r="C51" s="37" t="inlineStr">
        <is>
          <t>$/month</t>
        </is>
      </c>
    </row>
    <row r="52">
      <c r="A52" s="35" t="inlineStr">
        <is>
          <t>Billing &amp; collections fee</t>
        </is>
      </c>
      <c r="B52" s="53">
        <f>NetRevenue*0.04</f>
        <v/>
      </c>
      <c r="C52" s="37" t="inlineStr">
        <is>
          <t>$/month</t>
        </is>
      </c>
    </row>
    <row r="53">
      <c r="A53" s="35" t="inlineStr">
        <is>
          <t>Facility &amp; equipment</t>
        </is>
      </c>
      <c r="B53" s="53">
        <f>B37</f>
        <v/>
      </c>
      <c r="C53" s="37" t="inlineStr">
        <is>
          <t>$/month</t>
        </is>
      </c>
    </row>
    <row r="54">
      <c r="A54" s="35" t="inlineStr">
        <is>
          <t>IT, EHR &amp; purchased services</t>
        </is>
      </c>
      <c r="B54" s="53">
        <f>B38</f>
        <v/>
      </c>
      <c r="C54" s="37" t="inlineStr">
        <is>
          <t>$/month</t>
        </is>
      </c>
    </row>
    <row r="55">
      <c r="A55" s="35" t="inlineStr">
        <is>
          <t>Other operating</t>
        </is>
      </c>
      <c r="B55" s="53">
        <f>B39</f>
        <v/>
      </c>
      <c r="C55" s="37" t="inlineStr">
        <is>
          <t>$/month</t>
        </is>
      </c>
    </row>
    <row r="56">
      <c r="A56" s="54" t="inlineStr">
        <is>
          <t>Total operating expenses</t>
        </is>
      </c>
      <c r="B56" s="56">
        <f>SUM(B48:B55)</f>
        <v/>
      </c>
      <c r="C56" s="37" t="inlineStr">
        <is>
          <t>$/month</t>
        </is>
      </c>
    </row>
    <row r="57"/>
    <row r="58">
      <c r="A58" s="32" t="inlineStr">
        <is>
          <t>OUTPUTS</t>
        </is>
      </c>
      <c r="B58" s="5" t="n"/>
      <c r="C58" s="5" t="n"/>
      <c r="D58" s="5" t="n"/>
    </row>
    <row r="59">
      <c r="A59" s="54" t="inlineStr">
        <is>
          <t>Operating income</t>
        </is>
      </c>
      <c r="B59" s="39" t="n"/>
      <c r="C59" s="37" t="inlineStr">
        <is>
          <t>$/month</t>
        </is>
      </c>
      <c r="D59" s="3" t="inlineStr">
        <is>
          <t>← you complete this (task 1)</t>
        </is>
      </c>
    </row>
    <row r="60">
      <c r="A60" s="54" t="inlineStr">
        <is>
          <t>Operating margin</t>
        </is>
      </c>
      <c r="B60" s="40" t="n"/>
      <c r="C60" s="37" t="inlineStr">
        <is>
          <t>of revenue</t>
        </is>
      </c>
      <c r="D60" s="3" t="inlineStr">
        <is>
          <t>← you complete this (task 2)</t>
        </is>
      </c>
    </row>
    <row r="61">
      <c r="A61" s="35" t="inlineStr">
        <is>
          <t>Cost per visit</t>
        </is>
      </c>
      <c r="B61" s="52">
        <f>TotalExpenses/VisitsPerMonth</f>
        <v/>
      </c>
      <c r="C61" s="37" t="inlineStr">
        <is>
          <t>$/visit</t>
        </is>
      </c>
    </row>
    <row r="62">
      <c r="A62" s="35" t="inlineStr">
        <is>
          <t>Visit capacity per day</t>
        </is>
      </c>
      <c r="B62" s="35">
        <f>B9*B11+B10*B12</f>
        <v/>
      </c>
      <c r="C62" s="37" t="inlineStr">
        <is>
          <t>visits</t>
        </is>
      </c>
      <c r="D62" s="3" t="inlineStr">
        <is>
          <t>Providers × visits per provider per day</t>
        </is>
      </c>
    </row>
    <row r="63">
      <c r="A63" s="35" t="inlineStr">
        <is>
          <t>Capacity utilization</t>
        </is>
      </c>
      <c r="B63" s="57">
        <f>VisitsPerDay/B62</f>
        <v/>
      </c>
      <c r="C63" s="37"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22"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3"/>
    <row r="4"/>
    <row r="5">
      <c r="A5" s="32" t="inlineStr">
        <is>
          <t>INPUTS</t>
        </is>
      </c>
      <c r="B5" s="5" t="n"/>
      <c r="C5" s="5" t="n"/>
      <c r="D5" s="5" t="n"/>
      <c r="E5" s="5" t="n"/>
    </row>
    <row r="6">
      <c r="A6" s="35" t="inlineStr">
        <is>
          <t>Visits per day to staff for</t>
        </is>
      </c>
      <c r="B6" s="36" t="n">
        <v>200</v>
      </c>
      <c r="C6" s="37" t="inlineStr">
        <is>
          <t>visits</t>
        </is>
      </c>
      <c r="D6" s="58" t="inlineStr">
        <is>
          <t>Model base case. The bonus changes it.</t>
        </is>
      </c>
    </row>
    <row r="7">
      <c r="A7" s="35" t="inlineStr">
        <is>
          <t>Clinic days per month</t>
        </is>
      </c>
      <c r="B7" s="59">
        <f>Model!B7</f>
        <v/>
      </c>
      <c r="C7" s="37" t="inlineStr">
        <is>
          <t>days</t>
        </is>
      </c>
      <c r="D7" s="3" t="inlineStr">
        <is>
          <t>From the Model</t>
        </is>
      </c>
    </row>
    <row r="8">
      <c r="A8" s="35" t="inlineStr">
        <is>
          <t>Visits per month</t>
        </is>
      </c>
      <c r="B8" s="51">
        <f>B6*B7</f>
        <v/>
      </c>
      <c r="C8" s="37" t="inlineStr">
        <is>
          <t>visits</t>
        </is>
      </c>
    </row>
    <row r="9">
      <c r="A9" s="35" t="inlineStr">
        <is>
          <t>Support hours needed per visit (RN + LPN + CNA)</t>
        </is>
      </c>
      <c r="B9" s="60" t="n">
        <v>0.6</v>
      </c>
      <c r="C9" s="37" t="inlineStr">
        <is>
          <t>hours</t>
        </is>
      </c>
      <c r="D9" s="58" t="inlineStr">
        <is>
          <t>Rooming, vitals, injections, care coordination (time study)</t>
        </is>
      </c>
    </row>
    <row r="10">
      <c r="A10" s="35" t="inlineStr">
        <is>
          <t>Licensed hours needed per visit (RN + LPN only)</t>
        </is>
      </c>
      <c r="B10" s="60" t="n">
        <v>0.28</v>
      </c>
      <c r="C10" s="37" t="inlineStr">
        <is>
          <t>hours</t>
        </is>
      </c>
      <c r="D10" s="58" t="inlineStr">
        <is>
          <t>Triage calls, medications, patient teaching</t>
        </is>
      </c>
    </row>
    <row r="11">
      <c r="A11" s="35" t="inlineStr">
        <is>
          <t>Minimum RN share of licensed FTEs</t>
        </is>
      </c>
      <c r="B11" s="61" t="n">
        <v>0.6</v>
      </c>
      <c r="C11" s="37" t="n"/>
      <c r="D11" s="58" t="inlineStr">
        <is>
          <t>Clinic policy</t>
        </is>
      </c>
    </row>
    <row r="12">
      <c r="A12" s="35" t="inlineStr">
        <is>
          <t>CNA cap</t>
        </is>
      </c>
      <c r="B12" s="36" t="n">
        <v>6</v>
      </c>
      <c r="C12" s="37" t="inlineStr">
        <is>
          <t>FTEs</t>
        </is>
      </c>
      <c r="D12" s="58" t="inlineStr">
        <is>
          <t>Approved CNA positions (bonus only)</t>
        </is>
      </c>
    </row>
    <row r="13">
      <c r="A13" s="35" t="inlineStr">
        <is>
          <t>Paid hours per FTE per month</t>
        </is>
      </c>
      <c r="B13" s="59">
        <f>Model!B25</f>
        <v/>
      </c>
      <c r="C13" s="37" t="inlineStr">
        <is>
          <t>hours</t>
        </is>
      </c>
      <c r="D13" s="3" t="inlineStr">
        <is>
          <t>From the Model</t>
        </is>
      </c>
    </row>
    <row r="14">
      <c r="A14" s="35" t="inlineStr">
        <is>
          <t>Benefits load</t>
        </is>
      </c>
      <c r="B14" s="62">
        <f>Model!B32</f>
        <v/>
      </c>
      <c r="C14" s="37" t="n"/>
      <c r="D14" s="3" t="inlineStr">
        <is>
          <t>From the Model</t>
        </is>
      </c>
    </row>
    <row r="15"/>
    <row r="16">
      <c r="A16" s="32" t="inlineStr">
        <is>
          <t>DECISION VARIABLES  (Solver changes the green cells)</t>
        </is>
      </c>
      <c r="B16" s="5" t="n"/>
      <c r="C16" s="5" t="n"/>
      <c r="D16" s="5" t="n"/>
      <c r="E16" s="5" t="n"/>
    </row>
    <row r="17">
      <c r="A17" s="33" t="inlineStr">
        <is>
          <t>Role</t>
        </is>
      </c>
      <c r="B17" s="33" t="inlineStr">
        <is>
          <t>FTEs</t>
        </is>
      </c>
      <c r="C17" s="33" t="inlineStr">
        <is>
          <t>Hourly rate</t>
        </is>
      </c>
      <c r="D17" s="33" t="inlineStr">
        <is>
          <t>Cost per FTE per month</t>
        </is>
      </c>
      <c r="E17" s="33" t="inlineStr">
        <is>
          <t>Monthly cost</t>
        </is>
      </c>
    </row>
    <row r="18">
      <c r="A18" s="35" t="inlineStr">
        <is>
          <t>Registered Nurse (RN)</t>
        </is>
      </c>
      <c r="B18" s="63" t="n">
        <v>5</v>
      </c>
      <c r="C18" s="64">
        <f>Model!B28</f>
        <v/>
      </c>
      <c r="D18" s="52">
        <f>C18*$B$13*(1+$B$14)</f>
        <v/>
      </c>
      <c r="E18" s="53">
        <f>B18*D18</f>
        <v/>
      </c>
    </row>
    <row r="19">
      <c r="A19" s="35" t="inlineStr">
        <is>
          <t>Licensed Practical Nurse (LPN)</t>
        </is>
      </c>
      <c r="B19" s="63" t="n">
        <v>3</v>
      </c>
      <c r="C19" s="64">
        <f>Model!B29</f>
        <v/>
      </c>
      <c r="D19" s="52">
        <f>C19*$B$13*(1+$B$14)</f>
        <v/>
      </c>
      <c r="E19" s="53">
        <f>B19*D19</f>
        <v/>
      </c>
    </row>
    <row r="20">
      <c r="A20" s="35" t="inlineStr">
        <is>
          <t>Certified Nursing Assistant (CNA)</t>
        </is>
      </c>
      <c r="B20" s="63" t="n">
        <v>8</v>
      </c>
      <c r="C20" s="64">
        <f>Model!B30</f>
        <v/>
      </c>
      <c r="D20" s="52">
        <f>C20*$B$13*(1+$B$14)</f>
        <v/>
      </c>
      <c r="E20" s="53">
        <f>B20*D20</f>
        <v/>
      </c>
    </row>
    <row r="21">
      <c r="A21" s="65" t="inlineStr">
        <is>
          <t>Total</t>
        </is>
      </c>
      <c r="B21" s="66">
        <f>SUM(B18:B20)</f>
        <v/>
      </c>
      <c r="C21" s="65" t="n"/>
      <c r="D21" s="65" t="n"/>
      <c r="E21" s="56">
        <f>SUM(E18:E20)</f>
        <v/>
      </c>
    </row>
    <row r="22"/>
    <row r="23">
      <c r="A23" s="32" t="inlineStr">
        <is>
          <t>CONSTRAINTS  (each row: Provided  sign  Required)</t>
        </is>
      </c>
      <c r="B23" s="5" t="n"/>
      <c r="C23" s="5" t="n"/>
      <c r="D23" s="5" t="n"/>
      <c r="E23" s="5" t="n"/>
    </row>
    <row r="24">
      <c r="A24" s="33" t="inlineStr">
        <is>
          <t>Constraint</t>
        </is>
      </c>
      <c r="B24" s="33" t="inlineStr">
        <is>
          <t>Provided</t>
        </is>
      </c>
      <c r="C24" s="33" t="inlineStr">
        <is>
          <t>Sign</t>
        </is>
      </c>
      <c r="D24" s="33" t="inlineStr">
        <is>
          <t>Required</t>
        </is>
      </c>
      <c r="E24" s="33" t="inlineStr">
        <is>
          <t>Status</t>
        </is>
      </c>
    </row>
    <row r="25">
      <c r="A25" s="35" t="inlineStr">
        <is>
          <t>Total support hours</t>
        </is>
      </c>
      <c r="B25" s="67">
        <f>B21*B13</f>
        <v/>
      </c>
      <c r="C25" s="68" t="inlineStr">
        <is>
          <t>≥</t>
        </is>
      </c>
      <c r="D25" s="67">
        <f>B8*B9</f>
        <v/>
      </c>
      <c r="E25" s="35">
        <f>IF(B25&gt;=D25-0.001,"OK","Short")</f>
        <v/>
      </c>
    </row>
    <row r="26">
      <c r="A26" s="35" t="inlineStr">
        <is>
          <t>Licensed hours (RN + LPN)</t>
        </is>
      </c>
      <c r="B26" s="67">
        <f>(B18+B19)*B13</f>
        <v/>
      </c>
      <c r="C26" s="68" t="inlineStr">
        <is>
          <t>≥</t>
        </is>
      </c>
      <c r="D26" s="67">
        <f>B8*B10</f>
        <v/>
      </c>
      <c r="E26" s="35">
        <f>IF(B26&gt;=D26-0.001,"OK","Short")</f>
        <v/>
      </c>
    </row>
    <row r="27">
      <c r="A27" s="35" t="inlineStr">
        <is>
          <t>RN rule: RN FTEs − 60% × (RN + LPN FTEs)</t>
        </is>
      </c>
      <c r="B27" s="69">
        <f>B18-B11*(B18+B19)</f>
        <v/>
      </c>
      <c r="C27" s="68" t="inlineStr">
        <is>
          <t>≥</t>
        </is>
      </c>
      <c r="D27" s="69" t="n">
        <v>0</v>
      </c>
      <c r="E27" s="35">
        <f>IF(B27&gt;=D27-0.001,"OK","Short")</f>
        <v/>
      </c>
    </row>
    <row r="28">
      <c r="A28" s="35" t="inlineStr">
        <is>
          <t>CNA FTEs (bonus only)</t>
        </is>
      </c>
      <c r="B28" s="69">
        <f>B20</f>
        <v/>
      </c>
      <c r="C28" s="68" t="inlineStr">
        <is>
          <t>≤</t>
        </is>
      </c>
      <c r="D28" s="69">
        <f>B12</f>
        <v/>
      </c>
      <c r="E28" s="35">
        <f>IF(B28&lt;=D28+0.001,"OK","Over cap (bonus only)")</f>
        <v/>
      </c>
    </row>
    <row r="29"/>
    <row r="30">
      <c r="A30" s="32" t="inlineStr">
        <is>
          <t>OBJECTIVE</t>
        </is>
      </c>
      <c r="B30" s="5" t="n"/>
      <c r="C30" s="5" t="n"/>
      <c r="D30" s="5" t="n"/>
      <c r="E30" s="5" t="n"/>
    </row>
    <row r="31">
      <c r="A31" s="70" t="inlineStr">
        <is>
          <t>Monthly clinical support staff cost (minimize)</t>
        </is>
      </c>
      <c r="B31" s="56">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70" t="inlineStr">
        <is>
          <t>Input</t>
        </is>
      </c>
      <c r="B1" s="70" t="inlineStr">
        <is>
          <t>Model cell</t>
        </is>
      </c>
      <c r="C1" s="70" t="inlineStr">
        <is>
          <t>Value used</t>
        </is>
      </c>
      <c r="D1" s="70" t="inlineStr">
        <is>
          <t>How it was derived</t>
        </is>
      </c>
      <c r="E1" s="70"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and appealed claims carry an AllowedAmount of $0 and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and appealed claims carry an AllowedAmount of $0 and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and appealed claims carry an AllowedAmount of $0 and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and appealed claims carry an AllowedAmount of $0 and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and appealed claims carry an AllowedAmount of $0 and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advanced practice provider (APP: a nurse practitioner or physician assistant). Capacity rises from 208 to 226 visits per day. HR hires whole people, so every role needs a whole number of 1.0-FTE staff. Only 6 CNA positions are approved (Staffing!B12). Find the cheapest staffing plan, then test the full plan in the Model's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In Add Constraint, pick int from the middle list. Integer Optimality is on the All Methods tab of Options</t>
        </is>
      </c>
      <c r="D6" s="29" t="n"/>
      <c r="E6" s="22">
        <f>IF(IFERROR(D6="",FALSE),"",IF(IFERROR(AND(ISNUMBER(D6),OR(ABS(D6-'Bonus Key'!$C$5)&lt;=0.51)),FALSE),"✔ Correct","✘ Not yet"))</f>
        <v/>
      </c>
    </row>
    <row r="7" ht="36" customHeight="1">
      <c r="A7" s="18" t="inlineStr">
        <is>
          <t>B2</t>
        </is>
      </c>
      <c r="B7" s="19" t="inlineStr">
        <is>
          <t>How many RNs does that plan hire?</t>
        </is>
      </c>
      <c r="C7" s="20" t="inlineStr">
        <is>
          <t>Read Staffing!B18. The RN rule in row 27 should still say OK</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96" customHeight="1">
      <c r="A9" s="18" t="inlineStr">
        <is>
          <t>B4</t>
        </is>
      </c>
      <c r="B9" s="19" t="inlineStr">
        <is>
          <t>Test the plan in the P&amp;L. On the Model, first select the Base plan scenario and click Show, so the payer mix and billing fee are back at their base values. Then add two more scenarios that change B8, B10, and B21:B23 (visits per day, APP FTEs, and RN, LPN, and CNA FTEs, in that order): Today (200, 3, 5, 3, 8) and Growth 2026 (220, 4, and the RN, LPN, and CNA counts in Staffing!B18:B20). What operating income does Growth 2026 produce? Round to the nearest dollar.</t>
        </is>
      </c>
      <c r="C9" s="20" t="inlineStr">
        <is>
          <t>A scenario changes only its own cells. Every other input keeps the value it has when you click Show</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71" t="inlineStr">
        <is>
          <t>🔑 Answer Key — Lesson 3.6</t>
        </is>
      </c>
    </row>
    <row r="2" ht="32" customHeight="1">
      <c r="A2" s="72" t="inlineStr">
        <is>
          <t>Spoiler alert: try every task before reading this sheet. Column C is the value the Check column compares against. Column D is a sample solution, and column E recalculates a formula for it live, proving the answer.</t>
        </is>
      </c>
    </row>
    <row r="3"/>
    <row r="4">
      <c r="A4" s="73" t="inlineStr">
        <is>
          <t>#</t>
        </is>
      </c>
      <c r="B4" s="73" t="inlineStr">
        <is>
          <t>Task</t>
        </is>
      </c>
      <c r="C4" s="73" t="inlineStr">
        <is>
          <t>Answer</t>
        </is>
      </c>
      <c r="D4" s="73" t="inlineStr">
        <is>
          <t>Sample solution</t>
        </is>
      </c>
      <c r="E4" s="73" t="inlineStr">
        <is>
          <t>Live result</t>
        </is>
      </c>
      <c r="F4" s="73"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4" t="n">
        <v>-8618.719999999999</v>
      </c>
      <c r="D5" s="75" t="inlineStr">
        <is>
          <t>=B44-B56</t>
        </is>
      </c>
      <c r="E5" cm="1" s="76">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The cell is already formatted as a percentage.</t>
        </is>
      </c>
      <c r="C6" s="77" t="n">
        <v>-0.01924463992647546</v>
      </c>
      <c r="D6" s="75" t="inlineStr">
        <is>
          <t>=B59/B44</t>
        </is>
      </c>
      <c r="E6" cm="1" s="78">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41"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9" t="inlineStr">
        <is>
          <t>B52</t>
        </is>
      </c>
      <c r="D7" s="75" t="inlineStr">
        <is>
          <t>1. On the Model sheet, choose Formulas → Show Formulas (or press the Show Formulas shortcut from section 2), and read down rows 42–56.
2. B52 reads =NetRevenue*0.04. The 4% is typed in, although the fee has its own input cell, B36.
3. Change B52 to =NetRevenue*BillingFeePct (or =B44*B36), then turn Show Formulas off again to see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draws no arrows and tells you no formula refers to the active cell, because no formula reads that input.</t>
        </is>
      </c>
    </row>
    <row r="8" ht="126" customHeight="1">
      <c r="A8" s="18" t="inlineStr">
        <is>
          <t>4</t>
        </is>
      </c>
      <c r="B8" s="19" t="inlineStr">
        <is>
          <t>On the Model sheet, use Goal Seek to find the break-even volume: set Operating income (B59) to 0 by changing Visits per day (B8). How many visits per day does the clinic need? Round to 1 decimal place, then click Cancel to restore 200.</t>
        </is>
      </c>
      <c r="C8" s="80" t="n">
        <v>204.2</v>
      </c>
      <c r="D8" s="75" t="inlineStr">
        <is>
          <t>1. On the Model sheet, choose Data → What-If Analysis → Goal Seek.
2. Set cell: B59 · To value: 0 · By changing cell: B8.
3. Click OK. B8 shows 204.2 (the cell holds 204.2440…). Note it, then click Cancel.</t>
        </is>
      </c>
      <c r="E8" cm="1" s="81">
        <f t="array" ref="E8">ROUND(Model!B8-(Model!B44-Model!B56)/((Model!B43*(1-Model!B52/Model!B44)-Model!B34-Model!B35)*Model!B7),1)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On the Model sheet, use Goal Seek to set Operating margin (B60) to 5% (type 0.05) by changing the Commercial $ per visit (C17). What commercial reimbursement per visit is needed? Round to the nearest dollar, then click Cancel to restore $142.</t>
        </is>
      </c>
      <c r="C9" s="82" t="n">
        <v>163.58</v>
      </c>
      <c r="D9" s="75" t="inlineStr">
        <is>
          <t>1. On the Model sheet, choose Data → What-If Analysis → Goal Seek.
2. Set cell: B60 · To value: 0.05 · By changing cell: C17.
3. Click OK, read C17, and click Cancel.</t>
        </is>
      </c>
      <c r="E9" cm="1" s="83">
        <f t="array" ref="E9">Model!C17+((Model!B56-Model!B52)/(1-Model!B52/Model!B44-0.05)/Model!B42-Model!B43)/Model!B17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7" t="n">
        <v>-0.06799013420112369</v>
      </c>
      <c r="D10" s="75"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96" customHeight="1">
      <c r="A11" s="18" t="inlineStr">
        <is>
          <t>7</t>
        </is>
      </c>
      <c r="B11" s="19" t="inlineStr">
        <is>
          <t>Look down the Operating income column of your one-variable table. What is the lowest visits-per-day value in the table at which the clinic makes a profit (operating income above 0)?</t>
        </is>
      </c>
      <c r="C11" s="79" t="n">
        <v>205</v>
      </c>
      <c r="D11" s="75"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 MINIFS needs Excel 2019 or later. In older versions, read the value off the table and type it.</t>
        </is>
      </c>
    </row>
    <row r="12" ht="186"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4" t="n">
        <v>40342</v>
      </c>
      <c r="D12" s="75"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The base case is 200 visits at $142 (−$8,619), so the cell at 200 visits and $140 should be about $3,032 lower, because the clinic's 1,579 commercial visits a month each pay $2 less, minus the 4% fee on those dollars. With swapped input cells that cell would show 140 visits a day at $200, a far bigger loss.</t>
        </is>
      </c>
    </row>
    <row r="13" ht="126" customHeight="1">
      <c r="A13" s="18" t="inlineStr">
        <is>
          <t>9</t>
        </is>
      </c>
      <c r="B13" s="19" t="inlineStr">
        <is>
          <t>How many of the 45 combinations in your two-variable table (G23:K31) are profitable (operating income above 0)? Use a formula.</t>
        </is>
      </c>
      <c r="C13" s="79" t="n">
        <v>24</v>
      </c>
      <c r="D13" s="75" t="inlineStr">
        <is>
          <t>=COUNTIF(Model!G23:K31,"&gt;0")</t>
        </is>
      </c>
      <c r="E13" s="18" t="inlineStr">
        <is>
          <t>—</t>
        </is>
      </c>
      <c r="F13" s="19" t="inlineStr">
        <is>
          <t>Ordinary formulas can read a Data Table's results, so you can count them, chart them, or add conditional formatting. The profitable combinations sit in the bottom-right of the table, where volume and rate are both high. Reading down each column shows the trade-off the CFO cares about: at $130 per commercial visit the clinic first makes money at 215 visits a day, but at $170 it does at 185. A better contract lowers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4" t="n">
        <v>-41824</v>
      </c>
      <c r="D14" s="75" t="inlineStr">
        <is>
          <t>1. Select B8, then Ctrl + click (Mac: ⌘ +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7" t="n">
        <v>0.02611461384491819</v>
      </c>
      <c r="D15" s="75"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186"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 and type the number rather than a link to B31, because the bonus runs Solver on this sheet again.</t>
        </is>
      </c>
      <c r="C16" s="84" t="n">
        <v>88342</v>
      </c>
      <c r="D16" s="75" t="inlineStr">
        <is>
          <t>1. On the Staffing sheet, choose Data → Solver.
2. Set Objective: $B$31 · To: Min · By Changing Variable Cells: $B$18:$B$20.
3. Click Add and enter $B$25:$B$27 &gt;= $D$25:$D$27, then click OK.
4. Leave Make Unconstrained Variables Non-Negative ticked, choose Simplex LP, and click Solve.
5. Choose Keep Solver Solution, click OK, and type the value of B31, rounded to the dollar, in the answer cell.</t>
        </is>
      </c>
      <c r="E16" cm="1" s="85">
        <f t="array" ref="E16">Staffing!B8*Staffing!B10/Staffing!B13*(Staffing!B11*Staffing!D18+(1-Staffing!B11)*Staffing!D19)+Staffing!B8*(Staffing!B9-Staffing!B10)/Staffing!B13*Staffing!D20</f>
        <v/>
      </c>
      <c r="F16" s="19" t="inlineStr">
        <is>
          <t>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 The key's live result rebuilds this optimum with algebra from the Staffing sheet's own cells.</t>
        </is>
      </c>
    </row>
    <row r="17" ht="141"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2" t="n">
        <v>25.01</v>
      </c>
      <c r="D17" s="75" t="inlineStr">
        <is>
          <t>1. Data → Solver, same parameters as task 12, Solve.
2. In Solver Results, select Sensitivity under Reports, then click OK.
3. On the new Sensitivity Report 1 sheet, find the row for $B$25 under Constraints and read Shadow Price.</t>
        </is>
      </c>
      <c r="E17" cm="1" s="83">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(B26) has a shadow price of only $21.53, even though licensed nurses cost more. An extra licensed hour costs 0.6 RN hours plus 0.4 LPN hours, but licensed hours also count toward the total, so it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71" t="inlineStr">
        <is>
          <t>🔑 Bonus Key — Lesson 3.6</t>
        </is>
      </c>
    </row>
    <row r="2" ht="32" customHeight="1">
      <c r="A2" s="72" t="inlineStr">
        <is>
          <t>Spoiler alert: try every task before reading this sheet. Column C is the value the Check column compares against, and column D shows a sample solution (steps or code).</t>
        </is>
      </c>
    </row>
    <row r="3"/>
    <row r="4">
      <c r="A4" s="73" t="inlineStr">
        <is>
          <t>#</t>
        </is>
      </c>
      <c r="B4" s="73" t="inlineStr">
        <is>
          <t>Task</t>
        </is>
      </c>
      <c r="C4" s="73" t="inlineStr">
        <is>
          <t>Answer</t>
        </is>
      </c>
      <c r="D4" s="73" t="inlineStr">
        <is>
          <t>Sample solution</t>
        </is>
      </c>
      <c r="E4" s="73" t="inlineStr">
        <is>
          <t>Live result</t>
        </is>
      </c>
      <c r="F4" s="73" t="inlineStr">
        <is>
          <t>Explanation</t>
        </is>
      </c>
    </row>
    <row r="5" ht="156"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4" t="n">
        <v>112488</v>
      </c>
      <c r="D5" s="75"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hiring whole people costs $5,186 a month more.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9" t="n">
        <v>7</v>
      </c>
      <c r="D6" s="75"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9" t="n">
        <v>4</v>
      </c>
      <c r="D7" s="75"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71" customHeight="1">
      <c r="A8" s="18" t="inlineStr">
        <is>
          <t>B4</t>
        </is>
      </c>
      <c r="B8" s="19" t="inlineStr">
        <is>
          <t>Test the plan in the P&amp;L. On the Model, first select the Base plan scenario and click Show, so the payer mix and billing fee are back at their base values. Then add two more scenarios that change B8, B10, and B21:B23 (visits per day, APP FTEs, and RN, LPN, and CNA FTEs, in that order): Today (200, 3, 5, 3, 8) and Growth 2026 (220, 4, and the RN, LPN, and CNA counts in Staffing!B18:B20). What operating income does Growth 2026 produce? Round to the nearest dollar.</t>
        </is>
      </c>
      <c r="C8" s="84" t="n">
        <v>2624</v>
      </c>
      <c r="D8" s="75" t="inlineStr">
        <is>
          <t>1. On the Model, open Scenario Manager, select Base plan, and click Show. Close the dialog.
2. Select B8, B10, and B21:B23 (Ctrl + click, or ⌘ + click on a Mac).
3. Scenario Manager → Add… Today: 200, 3, 5, 3, 8.
4. Add… Growth 2026: 220, 4, 7, 4, 6.
5.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Growth 2026 changes only its five cells, so it inherits the payer mix and billing fee already on the Model. If Upside was the last scenario you showed, Growth 2026 would quietly use Upside's mix and fee, which is why you show Base plan first. Using scenarios instead of overwriting inputs also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2026-10-02T20:05:21Z</dcterms:created>
  <dcterms:modified xsi:type="dcterms:W3CDTF">2026-10-02T20:05:21Z</dcterms:modified>
</cp:coreProperties>
</file>
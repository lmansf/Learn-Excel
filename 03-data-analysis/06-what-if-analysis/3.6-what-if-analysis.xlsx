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3.6</t>
        </is>
      </c>
    </row>
    <row r="3">
      <c r="B3" s="2" t="inlineStr">
        <is>
          <t>What-If Analysis: Goal Seek, Scenarios, Data Tables &amp; Solver</t>
        </is>
      </c>
    </row>
    <row r="4">
      <c r="B4" s="3" t="inlineStr">
        <is>
          <t>Intermediate  ·  about 60 minutes  ·  Bluestone Health System (fictional)</t>
        </is>
      </c>
    </row>
    <row r="5"/>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profit and loss (P&amp;L) model,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48" customHeight="1">
      <c r="B20" s="8" t="inlineStr">
        <is>
          <t>Note</t>
        </is>
      </c>
      <c r="C20" s="7" t="inlineStr">
        <is>
          <t>Goal Seek and Scenario Manager's Show button change the Model's input cells. Put the base case back after each run so the other tasks stay correct. Solver only changes the Staffing sheet, which doesn't feed the Model.</t>
        </is>
      </c>
    </row>
    <row r="21" ht="33" customHeight="1">
      <c r="B21" s="8" t="inlineStr">
        <is>
          <t>Note</t>
        </is>
      </c>
      <c r="C21" s="7" t="inlineStr">
        <is>
          <t>Solver is a free add-in that ships with Excel. Turn it on once: File → Options → Add-ins → Manage: Excel Add-ins → Go → tick Solver Add-in (Mac: Tools → Excel Add-ins).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Sources</t>
        </is>
      </c>
      <c r="C30" s="7" t="inlineStr">
        <is>
          <t>Data: 21 rows —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64" customHeight="1">
      <c r="A2" s="14" t="inlineStr">
        <is>
          <t>Every task uses the Model and Staffing sheets. Tasks 1 and 2 read your Model live, so their checks stay green only while the Model holds its base-case inputs (200 visits per day, Commercial $142, and so on). The same is true of any answer you type as a link to a Model cell, such as =Model!H11. After each Goal Seek run, click Cancel in the Goal Seek Status box so the Model keeps those inputs. The Staffing sheet doesn't feed the Model, so you can keep Solver's solutions there.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The cell is already formatted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66" customHeight="1">
      <c r="A9" s="18" t="inlineStr">
        <is>
          <t>4</t>
        </is>
      </c>
      <c r="B9" s="19" t="inlineStr">
        <is>
          <t>On the Model sheet, use Goal Seek to find the break-even volume: set Operating income (B59) to 0 by changing Visits per day (B8).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96"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Full-time paid hours per month (plan)</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0"/>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7"/>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3"/>
    <row r="4"/>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5"/>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2"/>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29"/>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and appealed claims carry an AllowedAmount of $0 and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and appealed claims carry an AllowedAmount of $0 and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and appealed claims carry an AllowedAmount of $0 and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and appealed claims carry an AllowedAmount of $0 and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and appealed claims carry an AllowedAmount of $0 and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advanced practice provider (APP: a nurse practitioner or physician assistant). Capacity rises from 208 to 226 visits per day. HR hires whole people, so every role needs a whole number of 1.0-FTE staff. Only 6 CNA positions are approved (Staffing!B12). Find the cheapest staffing plan, then test the full plan in the Model's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In Add Constraint, pick int from the middle list. Integer Optimality is on the All Methods tab of Options</t>
        </is>
      </c>
      <c r="D6" s="29" t="n"/>
      <c r="E6" s="22">
        <f>IF(IFERROR(D6="",FALSE),"",IF(IFERROR(AND(ISNUMBER(D6),OR(ABS(D6-'Bonus Key'!$C$5)&lt;=0.51)),FALSE),"✔ Correct","✘ Not yet"))</f>
        <v/>
      </c>
    </row>
    <row r="7" ht="36" customHeight="1">
      <c r="A7" s="18" t="inlineStr">
        <is>
          <t>B2</t>
        </is>
      </c>
      <c r="B7" s="19" t="inlineStr">
        <is>
          <t>How many RNs does that plan hire?</t>
        </is>
      </c>
      <c r="C7" s="20" t="inlineStr">
        <is>
          <t>Read Staffing!B18. The RN rule in row 27 should still say OK</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96" customHeight="1">
      <c r="A9" s="18" t="inlineStr">
        <is>
          <t>B4</t>
        </is>
      </c>
      <c r="B9"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9" s="20" t="inlineStr">
        <is>
          <t>A scenario changes only its own cells. Every other input keeps the value it has when you click Show</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Answer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The cell is already formatted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56"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On the Model sheet, choose **Formulas → Show Formulas** (or press the Show Formulas shortcut from section 2), and read down rows 42–56.
2. B52 reads `=NetRevenue*0.04`. The 4% is typed in, although the fee has its own input cell, B36.
3. Change B52 to `=NetRevenue*BillingFeePct` (or `=B44*B36`), then turn **Show Formulas** off again to see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On the Model sheet, use Goal Seek to find the break-even volume: set Operating income (B59) to 0 by changing Visits per day (B8). How many visits per day does the clinic need? Round to 1 decimal place, then click Cancel to restore 200.</t>
        </is>
      </c>
      <c r="C8" s="80" t="n">
        <v>204.2</v>
      </c>
      <c r="D8" s="75" t="inlineStr">
        <is>
          <t>1. On the Model sheet, choose **Data → What-If Analysis → Goal Seek**.
2. **Set cell:** `B59` · **To value:** `0` · **By changing cell:** `B8`.
3. Click **OK**. B8 shows 204.2 (the cell holds 204.2440…). Note it, then click **Cancel**.</t>
        </is>
      </c>
      <c r="E8" cm="1" s="81">
        <f t="array" ref="E8">ROUND(Model!B8-(Model!B44-Model!B56)/((Model!B43*(1-Model!B52/Model!B44)-Model!B34-Model!B35)*Model!B7),1)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9" s="82" t="n">
        <v>163.58</v>
      </c>
      <c r="D9" s="75" t="inlineStr">
        <is>
          <t>1. On the Model sheet, choose **Data → What-If Analysis → Goal Seek**.
2. **Set cell:** `B60` · **To value:** `0.05` · **By changing cell:** `C17`.
3. Click **OK**, read C17, and click **Cancel**.</t>
        </is>
      </c>
      <c r="E9" cm="1" s="83">
        <f t="array" ref="E9">Model!C17+((Model!B56-Model!B52)/(1-Model!B52/Model!B44-0.05)/Model!B42-Model!B43)/Model!B17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96"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 MINIFS needs Excel 2019 or later. In older versions, read the value off the table and type it.</t>
        </is>
      </c>
    </row>
    <row r="12" ht="18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The base case is 200 visits at $142 (−$8,619), so the cell at 200 visits and $140 should be about $3,032 lower, because the clinic's 1,579 commercial visits a month each pay $2 less, minus the 4% fee on those dollars. With swapped input cells that cell would show 140 visits a day at $200, a far bigger loss.</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201"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6" s="84" t="n">
        <v>88342</v>
      </c>
      <c r="D16" s="75" t="inlineStr">
        <is>
          <t>1. On the Staffing sheet, choose **Data → Solver**.
2. **Set Objective:** `$B$31` · **To:** Min · **By Changing Variable Cells:** `$B$18:$B$20`.
3. Click **Add** and enter `$B$25:$B$27` **&gt;=** `$D$25:$D$27`, then click **OK**.
4. Leave **Make Unconstrained Variables Non-Negative** ticked, choose **Simplex LP**, and click **Solve**.
5. Choose **Keep Solver Solution**, click **OK**, and type the value of B31, rounded to the dollar, in the answer cell.</t>
        </is>
      </c>
      <c r="E16" cm="1" s="85">
        <f t="array" ref="E16">Staffing!B8*Staffing!B10/Staffing!B13*(Staffing!B11*Staffing!D18+(1-Staffing!B11)*Staffing!D19)+Staffing!B8*(Staffing!B9-Staffing!B10)/Staffing!B13*Staffing!D20</f>
        <v/>
      </c>
      <c r="F16" s="19" t="inlineStr">
        <is>
          <t>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 The key's live result rebuilds this optimum with algebra from the Staffing sheet's own cells.</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Bonus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71"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hiring whole people costs $5,186 a month more.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86" customHeight="1">
      <c r="A8" s="18" t="inlineStr">
        <is>
          <t>B4</t>
        </is>
      </c>
      <c r="B8"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8" s="84" t="n">
        <v>2624</v>
      </c>
      <c r="D8" s="75" t="inlineStr">
        <is>
          <t>1. On the Model, open **Scenario Manager**, select *Base plan*, and click **Show**. Close the dialog.
2. Select B8, B10, and B21:B23 (Ctrl-click, or ⌘-click on a Mac).
3. **Scenario Manager → Add…** *Today*: 200, 3, 5, 3, 8.
4. **Add…** *Growth 2026*: 220, 4, 7, 4, 6.
5.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Growth 2026 changes only its five cells, so it inherits the payer mix and billing fee already on the Model. If Upside was the last scenario you showed, Growth 2026 would quietly use Upside's mix and fee, which is why you show Base plan first. Using scenarios instead of overwriting inputs also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2026-10-02T17:21:58Z</dcterms:created>
  <dcterms:modified xsi:type="dcterms:W3CDTF">2026-10-02T17:21:58Z</dcterms:modified>
</cp:coreProperties>
</file>
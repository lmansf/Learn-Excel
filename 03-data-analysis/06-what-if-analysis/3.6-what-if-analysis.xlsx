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Model" sheetId="3" state="visible" r:id="rId3"/>
    <sheet name="Staffing" sheetId="4" state="visible" r:id="rId4"/>
    <sheet name="Sources" sheetId="5" state="visible" r:id="rId5"/>
    <sheet name="Bonus" sheetId="6" state="visible" r:id="rId6"/>
    <sheet name="Answer Key" sheetId="7" state="hidden" r:id="rId7"/>
    <sheet name="Bonus Key" sheetId="8" state="hidden" r:id="rId8"/>
  </sheets>
  <definedNames>
    <definedName name="ClinicDays">Model!$B$7</definedName>
    <definedName name="VisitsPerDay">Model!$B$8</definedName>
    <definedName name="MedicaidShare">Model!$B$16</definedName>
    <definedName name="CommercialShare">Model!$B$17</definedName>
    <definedName name="CommercialRate">Model!$C$17</definedName>
    <definedName name="BillingFeePct">Model!$B$36</definedName>
    <definedName name="VisitsPerMonth">Model!$B$42</definedName>
    <definedName name="AvgReimbursement">Model!$B$43</definedName>
    <definedName name="NetRevenue">Model!$B$44</definedName>
    <definedName name="TotalExpenses">Model!$B$56</definedName>
    <definedName name="OperatingIncome">Model!$B$59</definedName>
    <definedName name="OperatingMargin">Model!$B$60</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6">
    <numFmt numFmtId="164" formatCode="#,##0.00;[Red]-#,##0.00"/>
    <numFmt numFmtId="165" formatCode="0.0%"/>
    <numFmt numFmtId="166" formatCode="0.0"/>
    <numFmt numFmtId="167" formatCode="#,##0;[Red]-#,##0"/>
    <numFmt numFmtId="168" formatCode="$#,##0"/>
    <numFmt numFmtId="169" formatCode="#,##0.0"/>
  </numFmts>
  <fonts count="24">
    <font>
      <name val="Calibri"/>
      <family val="2"/>
      <color theme="1"/>
      <sz val="11"/>
      <scheme val="minor"/>
    </font>
    <font>
      <b val="1"/>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sz val="15"/>
    </font>
    <font>
      <i val="1"/>
      <color rgb="00595959"/>
      <sz val="9"/>
    </font>
    <font>
      <b val="1"/>
      <color rgb="001F4E79"/>
    </font>
    <font>
      <color rgb="00595959"/>
    </font>
    <font>
      <color rgb="000000FF"/>
    </font>
    <font>
      <i val="1"/>
    </font>
    <font>
      <color rgb="00008000"/>
    </font>
    <font>
      <b val="1"/>
      <color rgb="000000FF"/>
    </font>
  </fonts>
  <fills count="12">
    <fill>
      <patternFill/>
    </fill>
    <fill>
      <patternFill patternType="gray125"/>
    </fill>
    <fill>
      <patternFill patternType="solid">
        <fgColor rgb="007B2C2C"/>
      </patternFill>
    </fill>
    <fill>
      <patternFill patternType="solid">
        <fgColor rgb="001F4E79"/>
      </patternFill>
    </fill>
    <fill>
      <patternFill patternType="solid">
        <fgColor rgb="00EDEDED"/>
      </patternFill>
    </fill>
    <fill>
      <patternFill patternType="solid">
        <fgColor rgb="00FFF2CC"/>
      </patternFill>
    </fill>
    <fill>
      <patternFill patternType="solid">
        <fgColor rgb="00C6EFCE"/>
      </patternFill>
    </fill>
    <fill>
      <patternFill patternType="solid">
        <fgColor rgb="00FFC7CE"/>
      </patternFill>
    </fill>
    <fill>
      <patternFill patternType="solid">
        <fgColor rgb="00D9E1F2"/>
      </patternFill>
    </fill>
    <fill>
      <patternFill patternType="solid">
        <fgColor rgb="00DDEBF7"/>
      </patternFill>
    </fill>
    <fill>
      <patternFill patternType="solid">
        <fgColor rgb="00F2F2F2"/>
      </patternFill>
    </fill>
    <fill>
      <patternFill patternType="solid">
        <fgColor rgb="00E2EFDA"/>
      </patternFill>
    </fill>
  </fills>
  <borders count="4">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
      <top style="thin">
        <color rgb="00000000"/>
      </top>
      <bottom style="double">
        <color rgb="00000000"/>
      </bottom>
    </border>
  </borders>
  <cellStyleXfs count="1">
    <xf numFmtId="0" fontId="0" fillId="0" borderId="0"/>
  </cellStyleXfs>
  <cellXfs count="86">
    <xf numFmtId="0" fontId="0" fillId="0" borderId="0" pivotButton="0" quotePrefix="0" xfId="0"/>
    <xf numFmtId="0" fontId="12" fillId="0" borderId="0" pivotButton="0" quotePrefix="0" xfId="0"/>
    <xf numFmtId="0" fontId="13" fillId="0" borderId="0" pivotButton="0" quotePrefix="0" xfId="0"/>
    <xf numFmtId="0" fontId="3" fillId="0" borderId="0" pivotButton="0" quotePrefix="0" xfId="0"/>
    <xf numFmtId="0" fontId="14" fillId="3" borderId="0" pivotButton="0" quotePrefix="0" xfId="0"/>
    <xf numFmtId="0" fontId="0" fillId="3" borderId="0" pivotButton="0" quotePrefix="0" xfId="0"/>
    <xf numFmtId="0" fontId="15"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5" borderId="0" applyAlignment="1" pivotButton="0" quotePrefix="0" xfId="0">
      <alignment vertical="top" wrapText="1"/>
    </xf>
    <xf numFmtId="0" fontId="1" fillId="4"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11" fillId="0" borderId="0" pivotButton="0" quotePrefix="0" xfId="0"/>
    <xf numFmtId="0" fontId="4" fillId="3"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9" fillId="0" borderId="1" applyAlignment="1" pivotButton="0" quotePrefix="0" xfId="0">
      <alignment vertical="top" wrapText="1"/>
    </xf>
    <xf numFmtId="164" fontId="10" fillId="4" borderId="1" applyAlignment="1" pivotButton="0" quotePrefix="0" xfId="0">
      <alignment horizontal="right" vertical="top"/>
    </xf>
    <xf numFmtId="0" fontId="1" fillId="0" borderId="1" applyAlignment="1" pivotButton="0" quotePrefix="0" xfId="0">
      <alignment vertical="top"/>
    </xf>
    <xf numFmtId="165" fontId="10" fillId="4" borderId="1" applyAlignment="1" pivotButton="0" quotePrefix="0" xfId="0">
      <alignment horizontal="right" vertical="top"/>
    </xf>
    <xf numFmtId="0" fontId="0" fillId="5" borderId="2" applyAlignment="1" pivotButton="0" quotePrefix="0" xfId="0">
      <alignment horizontal="left" vertical="top"/>
    </xf>
    <xf numFmtId="166" fontId="0" fillId="5" borderId="2" applyAlignment="1" pivotButton="0" quotePrefix="0" xfId="0">
      <alignment horizontal="right" vertical="top"/>
    </xf>
    <xf numFmtId="4" fontId="0" fillId="5" borderId="2" applyAlignment="1" pivotButton="0" quotePrefix="0" xfId="0">
      <alignment horizontal="right" vertical="top"/>
    </xf>
    <xf numFmtId="165" fontId="0" fillId="5" borderId="2" applyAlignment="1" pivotButton="0" quotePrefix="0" xfId="0">
      <alignment horizontal="right" vertical="top"/>
    </xf>
    <xf numFmtId="0" fontId="0" fillId="5" borderId="2" applyAlignment="1" pivotButton="0" quotePrefix="0" xfId="0">
      <alignment horizontal="right" vertical="top"/>
    </xf>
    <xf numFmtId="3" fontId="0" fillId="5" borderId="2" applyAlignment="1" pivotButton="0" quotePrefix="0" xfId="0">
      <alignment horizontal="right" vertical="top"/>
    </xf>
    <xf numFmtId="0" fontId="16" fillId="0" borderId="0" pivotButton="0" quotePrefix="0" xfId="0"/>
    <xf numFmtId="0" fontId="17" fillId="0" borderId="0" pivotButton="0" quotePrefix="0" xfId="0"/>
    <xf numFmtId="0" fontId="4" fillId="3" borderId="0" pivotButton="0" quotePrefix="0" xfId="0"/>
    <xf numFmtId="0" fontId="18" fillId="8" borderId="1" pivotButton="0" quotePrefix="0" xfId="0"/>
    <xf numFmtId="0" fontId="18" fillId="0" borderId="0" pivotButton="0" quotePrefix="0" xfId="0"/>
    <xf numFmtId="0" fontId="0" fillId="0" borderId="1" pivotButton="0" quotePrefix="0" xfId="0"/>
    <xf numFmtId="1" fontId="20" fillId="9" borderId="1" pivotButton="0" quotePrefix="0" xfId="0"/>
    <xf numFmtId="0" fontId="19" fillId="0" borderId="1" pivotButton="0" quotePrefix="0" xfId="0"/>
    <xf numFmtId="166" fontId="20" fillId="9" borderId="1" pivotButton="0" quotePrefix="0" xfId="0"/>
    <xf numFmtId="167" fontId="0" fillId="5" borderId="2" pivotButton="0" quotePrefix="0" xfId="0"/>
    <xf numFmtId="165" fontId="0" fillId="5" borderId="2" pivotButton="0" quotePrefix="0" xfId="0"/>
    <xf numFmtId="0" fontId="1" fillId="8" borderId="1" applyAlignment="1" pivotButton="0" quotePrefix="0" xfId="0">
      <alignment horizontal="center"/>
    </xf>
    <xf numFmtId="167" fontId="0" fillId="10" borderId="1" pivotButton="0" quotePrefix="0" xfId="0"/>
    <xf numFmtId="165" fontId="0" fillId="10" borderId="1" pivotButton="0" quotePrefix="0" xfId="0"/>
    <xf numFmtId="165" fontId="20" fillId="9" borderId="1" pivotButton="0" quotePrefix="0" xfId="0"/>
    <xf numFmtId="4" fontId="20" fillId="9" borderId="1" pivotButton="0" quotePrefix="0" xfId="0"/>
    <xf numFmtId="0" fontId="21" fillId="0" borderId="0" pivotButton="0" quotePrefix="0" xfId="0"/>
    <xf numFmtId="165" fontId="0" fillId="0" borderId="0" pivotButton="0" quotePrefix="0" xfId="0"/>
    <xf numFmtId="0" fontId="18" fillId="0" borderId="0" applyAlignment="1" pivotButton="0" quotePrefix="0" xfId="0">
      <alignment horizontal="center"/>
    </xf>
    <xf numFmtId="168" fontId="1" fillId="8" borderId="1" applyAlignment="1" pivotButton="0" quotePrefix="0" xfId="0">
      <alignment horizontal="center"/>
    </xf>
    <xf numFmtId="3" fontId="20" fillId="9" borderId="1" pivotButton="0" quotePrefix="0" xfId="0"/>
    <xf numFmtId="3" fontId="0" fillId="0" borderId="1" pivotButton="0" quotePrefix="0" xfId="0"/>
    <xf numFmtId="4" fontId="0" fillId="0" borderId="1" pivotButton="0" quotePrefix="0" xfId="0"/>
    <xf numFmtId="167" fontId="0" fillId="0" borderId="1" pivotButton="0" quotePrefix="0" xfId="0"/>
    <xf numFmtId="0" fontId="1" fillId="0" borderId="1" pivotButton="0" quotePrefix="0" xfId="0"/>
    <xf numFmtId="167" fontId="1" fillId="0" borderId="1" pivotButton="0" quotePrefix="0" xfId="0"/>
    <xf numFmtId="167" fontId="1" fillId="0" borderId="3" pivotButton="0" quotePrefix="0" xfId="0"/>
    <xf numFmtId="165" fontId="0" fillId="0" borderId="1" pivotButton="0" quotePrefix="0" xfId="0"/>
    <xf numFmtId="0" fontId="3" fillId="0" borderId="0" applyAlignment="1" pivotButton="0" quotePrefix="0" xfId="0">
      <alignment horizontal="left"/>
    </xf>
    <xf numFmtId="1" fontId="22" fillId="0" borderId="1" pivotButton="0" quotePrefix="0" xfId="0"/>
    <xf numFmtId="2" fontId="20" fillId="9" borderId="1" pivotButton="0" quotePrefix="0" xfId="0"/>
    <xf numFmtId="9" fontId="20" fillId="9" borderId="1" pivotButton="0" quotePrefix="0" xfId="0"/>
    <xf numFmtId="165" fontId="22" fillId="0" borderId="1" pivotButton="0" quotePrefix="0" xfId="0"/>
    <xf numFmtId="2" fontId="23" fillId="11" borderId="1" pivotButton="0" quotePrefix="0" xfId="0"/>
    <xf numFmtId="4" fontId="22" fillId="0" borderId="1" pivotButton="0" quotePrefix="0" xfId="0"/>
    <xf numFmtId="0" fontId="1" fillId="0" borderId="3" pivotButton="0" quotePrefix="0" xfId="0"/>
    <xf numFmtId="2" fontId="1" fillId="0" borderId="3" pivotButton="0" quotePrefix="0" xfId="0"/>
    <xf numFmtId="169" fontId="0" fillId="0" borderId="1" pivotButton="0" quotePrefix="0" xfId="0"/>
    <xf numFmtId="0" fontId="0" fillId="0" borderId="1" applyAlignment="1" pivotButton="0" quotePrefix="0" xfId="0">
      <alignment horizontal="center"/>
    </xf>
    <xf numFmtId="2" fontId="0" fillId="0" borderId="1"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164" fontId="1" fillId="0" borderId="1" applyAlignment="1" pivotButton="0" quotePrefix="0" xfId="0">
      <alignment vertical="top" wrapText="1"/>
    </xf>
    <xf numFmtId="0" fontId="5" fillId="0" borderId="1" applyAlignment="1" pivotButton="0" quotePrefix="1" xfId="0">
      <alignment vertical="top" wrapText="1"/>
    </xf>
    <xf numFmtId="164" fontId="0" fillId="0" borderId="1" applyAlignment="1" pivotButton="0" quotePrefix="0" xfId="0">
      <alignment vertical="top" wrapText="1"/>
    </xf>
    <xf numFmtId="165" fontId="1" fillId="0" borderId="1" applyAlignment="1" pivotButton="0" quotePrefix="0" xfId="0">
      <alignment vertical="top" wrapText="1"/>
    </xf>
    <xf numFmtId="165" fontId="0" fillId="0" borderId="1" applyAlignment="1" pivotButton="0" quotePrefix="0" xfId="0">
      <alignment vertical="top" wrapText="1"/>
    </xf>
    <xf numFmtId="0" fontId="1" fillId="0" borderId="1" applyAlignment="1" pivotButton="0" quotePrefix="0" xfId="0">
      <alignment vertical="top" wrapText="1"/>
    </xf>
    <xf numFmtId="166" fontId="1" fillId="0" borderId="1" applyAlignment="1" pivotButton="0" quotePrefix="0" xfId="0">
      <alignment vertical="top" wrapText="1"/>
    </xf>
    <xf numFmtId="166" fontId="0" fillId="0" borderId="1" applyAlignment="1" pivotButton="0" quotePrefix="0" xfId="0">
      <alignment vertical="top" wrapText="1"/>
    </xf>
    <xf numFmtId="4" fontId="1" fillId="0" borderId="1" applyAlignment="1" pivotButton="0" quotePrefix="0" xfId="0">
      <alignment vertical="top" wrapText="1"/>
    </xf>
    <xf numFmtId="4" fontId="0" fillId="0" borderId="1" applyAlignment="1" pivotButton="0" quotePrefix="0" xfId="0">
      <alignment vertical="top" wrapText="1"/>
    </xf>
    <xf numFmtId="3" fontId="1" fillId="0" borderId="1" applyAlignment="1" pivotButton="0" quotePrefix="0" xfId="0">
      <alignment vertical="top" wrapText="1"/>
    </xf>
    <xf numFmtId="3"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 Id="rIdXlcMeta" Type="http://schemas.openxmlformats.org/officeDocument/2006/relationships/sheetMetadata" Target="metadata.xml"/></Relationships>
</file>

<file path=xl/tables/table1.xml><?xml version="1.0" encoding="utf-8"?>
<table xmlns="http://schemas.openxmlformats.org/spreadsheetml/2006/main" id="1" name="tblSources" displayName="tblSources" ref="A1:E22" headerRowCount="1">
  <autoFilter ref="A1:E22"/>
  <tableColumns count="5">
    <tableColumn id="1" name="Input"/>
    <tableColumn id="2" name="Model cell"/>
    <tableColumn id="3" name="Value used"/>
    <tableColumn id="4" name="How it was derived"/>
    <tableColumn id="5" name="Source dat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1F4E79"/>
    <outlinePr summaryBelow="1" summaryRight="1"/>
    <pageSetUpPr fitToPage="1"/>
  </sheetPr>
  <dimension ref="A1:C34"/>
  <sheetViews>
    <sheetView tabSelected="1" workbookViewId="0">
      <selection activeCell="A1" sqref="A1"/>
    </sheetView>
  </sheetViews>
  <sheetFormatPr baseColWidth="8" defaultRowHeight="15"/>
  <cols>
    <col width="3" customWidth="1" min="1" max="1"/>
    <col width="26" customWidth="1" min="2" max="2"/>
    <col width="95" customWidth="1" min="3" max="3"/>
  </cols>
  <sheetData>
    <row r="1"/>
    <row r="2">
      <c r="B2" s="1" t="inlineStr">
        <is>
          <t>Lesson 3.6</t>
        </is>
      </c>
    </row>
    <row r="3">
      <c r="B3" s="2" t="inlineStr">
        <is>
          <t>What-If Analysis: Goal Seek, Scenarios, Data Tables &amp; Solver</t>
        </is>
      </c>
    </row>
    <row r="4">
      <c r="B4" s="3" t="inlineStr">
        <is>
          <t>Intermediate  ·  about 125 minutes  ·  Bluestone Health System (fictional)</t>
        </is>
      </c>
    </row>
    <row r="5"/>
    <row r="6">
      <c r="B6" s="4" t="inlineStr">
        <is>
          <t>What you'll learn</t>
        </is>
      </c>
      <c r="C6" s="5" t="n"/>
    </row>
    <row r="7" ht="18" customHeight="1">
      <c r="B7" s="6" t="inlineStr">
        <is>
          <t>•</t>
        </is>
      </c>
      <c r="C7" s="7" t="inlineStr">
        <is>
          <t>Structure a model with separate inputs, calculations, and outputs</t>
        </is>
      </c>
    </row>
    <row r="8" ht="18" customHeight="1">
      <c r="B8" s="6" t="inlineStr">
        <is>
          <t>•</t>
        </is>
      </c>
      <c r="C8" s="7" t="inlineStr">
        <is>
          <t>Find break-even points with Goal Seek</t>
        </is>
      </c>
    </row>
    <row r="9" ht="18" customHeight="1">
      <c r="B9" s="6" t="inlineStr">
        <is>
          <t>•</t>
        </is>
      </c>
      <c r="C9" s="7" t="inlineStr">
        <is>
          <t>Compare cases with Scenario Manager and sensitivity Data Tables</t>
        </is>
      </c>
    </row>
    <row r="10" ht="18" customHeight="1">
      <c r="B10" s="6" t="inlineStr">
        <is>
          <t>•</t>
        </is>
      </c>
      <c r="C10" s="7" t="inlineStr">
        <is>
          <t>Optimize a staffing mix with Solver</t>
        </is>
      </c>
    </row>
    <row r="11"/>
    <row r="12">
      <c r="B12" s="4" t="inlineStr">
        <is>
          <t>How to use this workbook</t>
        </is>
      </c>
      <c r="C12" s="5" t="n"/>
    </row>
    <row r="13" ht="33" customHeight="1">
      <c r="B13" s="8" t="inlineStr">
        <is>
          <t>1. Read the guide</t>
        </is>
      </c>
      <c r="C13" s="7" t="inlineStr">
        <is>
          <t>The lesson guide (README) explains each skill with examples: https://github.com/lmansf/learn-excel/tree/main/03-data-analysis/06-what-if-analysis</t>
        </is>
      </c>
    </row>
    <row r="14" ht="18" customHeight="1">
      <c r="B14" s="8" t="inlineStr">
        <is>
          <t>2. Practice</t>
        </is>
      </c>
      <c r="C14" s="7" t="inlineStr">
        <is>
          <t>Go to the 'Practice' sheet. Type a formula or value into each yellow cell.</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48" customHeight="1">
      <c r="B18" s="8" t="inlineStr">
        <is>
          <t>Note</t>
        </is>
      </c>
      <c r="C18" s="7" t="inlineStr">
        <is>
          <t>Model is the clinic's monthly profit and loss (P&amp;L) model, laid out as INPUTS (blue numbers), CALCULATIONS (black formulas), and OUTPUTS. You complete two yellow output cells and build two Data Tables in the Sensitivity area (columns F–K).</t>
        </is>
      </c>
    </row>
    <row r="19" ht="33" customHeight="1">
      <c r="B19" s="8" t="inlineStr">
        <is>
          <t>Note</t>
        </is>
      </c>
      <c r="C19" s="7" t="inlineStr">
        <is>
          <t>Staffing is a Solver worksheet. The green cells are the decision variables that Solver changes. Sources lists where every data-derived input came from.</t>
        </is>
      </c>
    </row>
    <row r="20" ht="48" customHeight="1">
      <c r="B20" s="8" t="inlineStr">
        <is>
          <t>Note</t>
        </is>
      </c>
      <c r="C20" s="7" t="inlineStr">
        <is>
          <t>Goal Seek and Scenario Manager's Show button change the Model's input cells. Put the base case back after each run so the other tasks stay correct. Solver only changes the Staffing sheet, which doesn't feed the Model.</t>
        </is>
      </c>
    </row>
    <row r="21" ht="33" customHeight="1">
      <c r="B21" s="8" t="inlineStr">
        <is>
          <t>Note</t>
        </is>
      </c>
      <c r="C21" s="7" t="inlineStr">
        <is>
          <t>Solver is a free add-in that ships with Excel. Turn it on once: File → Options → Add-ins → Manage: Excel Add-ins → Go → tick Solver Add-in (Mac: Tools → Excel Add-ins).</t>
        </is>
      </c>
    </row>
    <row r="22"/>
    <row r="23">
      <c r="B23" s="4" t="inlineStr">
        <is>
          <t>Color legend</t>
        </is>
      </c>
      <c r="C23" s="5" t="n"/>
    </row>
    <row r="24" ht="18" customHeight="1">
      <c r="B24" s="9" t="inlineStr">
        <is>
          <t>Yellow cell</t>
        </is>
      </c>
      <c r="C24" s="7" t="inlineStr">
        <is>
          <t>Your answer goes here.</t>
        </is>
      </c>
    </row>
    <row r="25" ht="18" customHeight="1">
      <c r="B25" s="10" t="inlineStr">
        <is>
          <t>Gray cell</t>
        </is>
      </c>
      <c r="C25" s="7" t="inlineStr">
        <is>
          <t>Pre-filled summary formula. It reads the work you did on another sheet, so don't type over it.</t>
        </is>
      </c>
    </row>
    <row r="26" ht="18" customHeight="1">
      <c r="B26" s="11" t="inlineStr">
        <is>
          <t>✔ Correct</t>
        </is>
      </c>
      <c r="C26" s="7" t="inlineStr">
        <is>
          <t>Your answer matches the key.</t>
        </is>
      </c>
    </row>
    <row r="27" ht="18" customHeight="1">
      <c r="B27" s="12" t="inlineStr">
        <is>
          <t>✘ Not yet</t>
        </is>
      </c>
      <c r="C27" s="7" t="inlineStr">
        <is>
          <t>Not matching yet. Check the hint and try again.</t>
        </is>
      </c>
    </row>
    <row r="28"/>
    <row r="29">
      <c r="B29" s="4" t="inlineStr">
        <is>
          <t>Sheets in this workbook</t>
        </is>
      </c>
      <c r="C29" s="5" t="n"/>
    </row>
    <row r="30" ht="18" customHeight="1">
      <c r="B30" s="8" t="inlineStr">
        <is>
          <t>Practice</t>
        </is>
      </c>
      <c r="C30" s="7" t="inlineStr">
        <is>
          <t>13 practice tasks, each with a Check cell.</t>
        </is>
      </c>
    </row>
    <row r="31" ht="18" customHeight="1">
      <c r="B31" s="8" t="inlineStr">
        <is>
          <t>Sources</t>
        </is>
      </c>
      <c r="C31" s="7" t="inlineStr">
        <is>
          <t>Data: 21 rows, in the Excel Table 'tblSources'</t>
        </is>
      </c>
    </row>
    <row r="32" ht="18" customHeight="1">
      <c r="B32" s="8" t="inlineStr">
        <is>
          <t>Bonus</t>
        </is>
      </c>
      <c r="C32" s="7" t="inlineStr">
        <is>
          <t>The bonus challenge (4 parts).</t>
        </is>
      </c>
    </row>
    <row r="33" ht="63" customHeight="1">
      <c r="B33" s="8" t="inlineStr">
        <is>
          <t>About the data</t>
        </is>
      </c>
      <c r="C33" s="7" t="inlineStr">
        <is>
          <t>A monthly operating model for Bluestone's Primary Care Clinic (D400, Bluestone Outpatient Pavilion). Payer mix and reimbursement come from the clinic's 2,079 claims with 2025 service dates, wage rates from Bluestone HR records, and benefits, supply, and fixed costs from the clinic's 2025 budget actuals.</t>
        </is>
      </c>
    </row>
    <row r="34" ht="18" customHeight="1">
      <c r="B34" s="8" t="inlineStr">
        <is>
          <t>Disclaimer</t>
        </is>
      </c>
      <c r="C34"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3.6 · Practice</t>
        </is>
      </c>
    </row>
    <row r="2" ht="49" customHeight="1">
      <c r="A2" s="14" t="inlineStr">
        <is>
          <t>Every task uses the Model and Staffing sheets. Tasks 1 and 2 read your Model live, so their checks stay green only while the Model holds its base-case inputs (200 visits per day, Commercial $142, and so on). The same is true of any answer you type as a link to a Model cell, such as =Model!H11. After each Goal Seek run, click Cancel in the Goal Seek Status box so the Model keeps those inputs. The Staffing sheet doesn't feed the Model, so you can keep Solver's solutions there.</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On the Model sheet, complete the yellow Operating income cell (B59): net patient revenue minus total operating expenses. The gray cell here reads your formula. What is the clinic's base-case operating income per month?</t>
        </is>
      </c>
      <c r="C6" s="20" t="inlineStr">
        <is>
          <t>An output should only point at calculation cells</t>
        </is>
      </c>
      <c r="D6" cm="1" s="21">
        <f t="array" ref="D6">IF(Model!B59="","",Model!B59)</f>
        <v/>
      </c>
      <c r="E6" s="22">
        <f>IF(IFERROR(D6="",FALSE),"",IF(IFERROR(AND(ISNUMBER(D6),OR(ABS(D6-'Answer Key'!$C$5)&lt;=0.0051)),FALSE),"✔ Correct","✘ Not yet"))</f>
        <v/>
      </c>
    </row>
    <row r="7" ht="51" customHeight="1">
      <c r="A7" s="18" t="inlineStr">
        <is>
          <t>2</t>
        </is>
      </c>
      <c r="B7" s="19" t="inlineStr">
        <is>
          <t>Complete the yellow Operating margin cell (B60): operating income as a share of net patient revenue. What is the base-case operating margin? The cell is already formatted as a percentage.</t>
        </is>
      </c>
      <c r="C7" s="20" t="inlineStr">
        <is>
          <t>Margin = income ÷ revenue</t>
        </is>
      </c>
      <c r="D7" cm="1" s="23">
        <f t="array" ref="D7">IF(Model!B60="","",Model!B60)</f>
        <v/>
      </c>
      <c r="E7" s="22">
        <f>IF(IFERROR(D7="",FALSE),"",IF(IFERROR(AND(ISNUMBER(D7),OR(ABS(D7-'Answer Key'!$C$6)&lt;=0.00051,ABS(D7-'Answer Key'!$C$6*100)&lt;=0.051000000000000004)),FALSE),"✔ Correct","✘ Not yet"))</f>
        <v/>
      </c>
    </row>
    <row r="8" ht="66" customHeight="1">
      <c r="A8" s="18" t="inlineStr">
        <is>
          <t>3</t>
        </is>
      </c>
      <c r="B8" s="19" t="inlineStr">
        <is>
          <t>Audit the model. One formula in the CALCULATIONS section (rows 42–56) has a number typed into it instead of a reference to its input cell. Type that cell's address (for example B99). Then fix the formula so it points to the input. Task 10 depends on the fix.</t>
        </is>
      </c>
      <c r="C8" s="20" t="inlineStr">
        <is>
          <t>Show Formulas, or Trace Dependents on each input</t>
        </is>
      </c>
      <c r="D8" s="24" t="n"/>
      <c r="E8" s="22">
        <f>IF(IFERROR(D8="",FALSE),"",IF(IFERROR(OR(LOWER(TRIM(D8&amp;""))=LOWER(TRIM('Answer Key'!$C$7&amp;"")),LOWER(TRIM(D8&amp;""))="$b$52",LOWER(TRIM(D8&amp;""))="model!b52",LOWER(TRIM(D8&amp;""))="model!$b$52"),FALSE),"✔ Correct","✘ Not yet"))</f>
        <v/>
      </c>
    </row>
    <row r="9" ht="66" customHeight="1">
      <c r="A9" s="18" t="inlineStr">
        <is>
          <t>4</t>
        </is>
      </c>
      <c r="B9" s="19" t="inlineStr">
        <is>
          <t>On the Model sheet, use Goal Seek to find the break-even volume: set Operating income (B59) to 0 by changing Visits per day (B8). How many visits per day does the clinic need? Round to 1 decimal place, then click Cancel to restore 200.</t>
        </is>
      </c>
      <c r="C9" s="20" t="inlineStr">
        <is>
          <t>Data → What-If Analysis → Goal Seek</t>
        </is>
      </c>
      <c r="D9" s="25" t="n"/>
      <c r="E9" s="22">
        <f>IF(IFERROR(D9="",FALSE),"",IF(IFERROR(AND(ISNUMBER(D9),OR(ABS(D9-'Answer Key'!$C$8)&lt;=0.051)),FALSE),"✔ Correct","✘ Not yet"))</f>
        <v/>
      </c>
    </row>
    <row r="10" ht="66" customHeight="1">
      <c r="A10" s="18" t="inlineStr">
        <is>
          <t>5</t>
        </is>
      </c>
      <c r="B10" s="19" t="inlineStr">
        <is>
          <t>The CFO is renegotiating commercial contracts. On the Model sheet, use Goal Seek to set Operating margin (B60) to 5% (type 0.05) by changing the Commercial $ per visit (C17). What commercial reimbursement per visit is needed? Round to the nearest dollar, then click Cancel to restore $142.</t>
        </is>
      </c>
      <c r="C10" s="20" t="inlineStr">
        <is>
          <t>The Set cell must contain a formula, so use the margin cell</t>
        </is>
      </c>
      <c r="D10" s="26" t="n"/>
      <c r="E10" s="22">
        <f>IF(IFERROR(D10="",FALSE),"",IF(IFERROR(AND(ISNUMBER(D10),OR(ABS(D10-'Answer Key'!$C$9)&lt;=0.8)),FALSE),"✔ Correct","✘ Not yet"))</f>
        <v/>
      </c>
    </row>
    <row r="11" ht="66" customHeight="1">
      <c r="A11" s="18" t="inlineStr">
        <is>
          <t>6</t>
        </is>
      </c>
      <c r="B11" s="19" t="inlineStr">
        <is>
          <t>Build the one-variable Data Table in Model!F8:H17: put =B59 in G8 and =B60 in H8, select F8:H17, and use Column input cell B8. What operating margin does your table show at 190 visits per day? Enter it as a percentage to 1 decimal place.</t>
        </is>
      </c>
      <c r="C11" s="20" t="inlineStr">
        <is>
          <t>The visits run down a column, so use the Column input cell</t>
        </is>
      </c>
      <c r="D11" s="27" t="n"/>
      <c r="E11" s="22">
        <f>IF(IFERROR(D11="",FALSE),"",IF(IFERROR(AND(ISNUMBER(D11),OR(ABS(D11-'Answer Key'!$C$10)&lt;=0.00051,ABS(D11-'Answer Key'!$C$10*100)&lt;=0.051000000000000004)),FALSE),"✔ Correct","✘ Not yet"))</f>
        <v/>
      </c>
    </row>
    <row r="12" ht="51" customHeight="1">
      <c r="A12" s="18" t="inlineStr">
        <is>
          <t>7</t>
        </is>
      </c>
      <c r="B12" s="19" t="inlineStr">
        <is>
          <t>Look down the Operating income column of your one-variable table. What is the lowest visits-per-day value in the table at which the clinic makes a profit (operating income above 0)?</t>
        </is>
      </c>
      <c r="C12" s="20" t="inlineStr">
        <is>
          <t>Read the table, or let MINIFS find it</t>
        </is>
      </c>
      <c r="D12" s="28" t="n"/>
      <c r="E12" s="22">
        <f>IF(IFERROR(D12="",FALSE),"",IF(IFERROR(AND(ISNUMBER(D12),OR(ABS(D12-'Answer Key'!$C$11)&lt;=0.0001)),FALSE),"✔ Correct","✘ Not yet"))</f>
        <v/>
      </c>
    </row>
    <row r="13" ht="81" customHeight="1">
      <c r="A13" s="18" t="inlineStr">
        <is>
          <t>8</t>
        </is>
      </c>
      <c r="B13" s="19" t="inlineStr">
        <is>
          <t>Build the two-variable Data Table: put =B59 in the corner cell F22, select F22:K31, and use Row input cell C17 (commercial $ across row 22) and Column input cell B8 (visits per day down column F). What operating income does the table show at 210 visits per day and $160 per commercial visit? Round to the nearest dollar.</t>
        </is>
      </c>
      <c r="C13" s="20" t="inlineStr">
        <is>
          <t>Row input = the input whose values run across the top row</t>
        </is>
      </c>
      <c r="D13" s="29" t="n"/>
      <c r="E13" s="22">
        <f>IF(IFERROR(D13="",FALSE),"",IF(IFERROR(AND(ISNUMBER(D13),OR(ABS(D13-'Answer Key'!$C$12)&lt;=0.51)),FALSE),"✔ Correct","✘ Not yet"))</f>
        <v/>
      </c>
    </row>
    <row r="14" ht="36" customHeight="1">
      <c r="A14" s="18" t="inlineStr">
        <is>
          <t>9</t>
        </is>
      </c>
      <c r="B14" s="19" t="inlineStr">
        <is>
          <t>How many of the 45 combinations in your two-variable table (G23:K31) are profitable (operating income above 0)? Use a formula.</t>
        </is>
      </c>
      <c r="C14" s="20" t="inlineStr">
        <is>
          <t>COUNTIF with "&gt;0"</t>
        </is>
      </c>
      <c r="D14" s="28" t="n"/>
      <c r="E14" s="22">
        <f>IF(IFERROR(D14="",FALSE),"",IF(IFERROR(AND(ISNUMBER(D14),OR(ABS(D14-'Answer Key'!$C$13)&lt;=0.0001)),FALSE),"✔ Correct","✘ Not yet"))</f>
        <v/>
      </c>
    </row>
    <row r="15" ht="111" customHeight="1">
      <c r="A15" s="18" t="inlineStr">
        <is>
          <t>10</t>
        </is>
      </c>
      <c r="B15" s="19" t="inlineStr">
        <is>
          <t>Open Scenario Manager on the Model and add three scenarios that change B8, B16, B17 and B36. Base plan: visits per day 200, Medicaid share 14.9%, Commercial share 37.6%, billing fee 4.0%. Downside: visits per day 190, Medicaid share 17.9%, Commercial share 34.6%, billing fee 5.0%. Upside: visits per day 206, Medicaid share 12.9%, Commercial share 39.6%, billing fee 3.5%. Create a Scenario Summary with result cells B59 and B60. What is operating income in the Downside scenario? Round to the nearest dollar.</t>
        </is>
      </c>
      <c r="C15" s="20" t="inlineStr">
        <is>
          <t>Data → What-If Analysis → Scenario Manager</t>
        </is>
      </c>
      <c r="D15" s="29" t="n"/>
      <c r="E15" s="22">
        <f>IF(IFERROR(D15="",FALSE),"",IF(IFERROR(AND(ISNUMBER(D15),OR(ABS(D15-'Answer Key'!$C$14)&lt;=0.51)),FALSE),"✔ Correct","✘ Not yet"))</f>
        <v/>
      </c>
    </row>
    <row r="16" ht="36" customHeight="1">
      <c r="A16" s="18" t="inlineStr">
        <is>
          <t>11</t>
        </is>
      </c>
      <c r="B16" s="19" t="inlineStr">
        <is>
          <t>From the same Scenario Summary, what operating margin does the Upside scenario produce? Enter it as a percentage to 1 decimal place.</t>
        </is>
      </c>
      <c r="C16" s="20" t="inlineStr">
        <is>
          <t>Same summary, different column</t>
        </is>
      </c>
      <c r="D16" s="27" t="n"/>
      <c r="E16" s="22">
        <f>IF(IFERROR(D16="",FALSE),"",IF(IFERROR(AND(ISNUMBER(D16),OR(ABS(D16-'Answer Key'!$C$15)&lt;=0.00051,ABS(D16-'Answer Key'!$C$15*100)&lt;=0.051000000000000004)),FALSE),"✔ Correct","✘ Not yet"))</f>
        <v/>
      </c>
    </row>
    <row r="17" ht="96" customHeight="1">
      <c r="A17" s="18" t="inlineStr">
        <is>
          <t>12</t>
        </is>
      </c>
      <c r="B17" s="19" t="inlineStr">
        <is>
          <t>On the Staffing sheet, use Solver to minimize the monthly staff cost (B31) by changing the RN, LPN, and CNA FTEs (B18:B20), subject to the three constraints in rows 25–27 (leave out the CNA cap in row 28). Keep Make Unconstrained Variables Non-Negative ticked and choose Simplex LP. What is the minimum monthly cost? Round to the nearest dollar, and type the number rather than a link to B31, because the bonus runs Solver on this sheet again.</t>
        </is>
      </c>
      <c r="C17" s="20" t="inlineStr">
        <is>
          <t>Data → Solver (enable the Solver add-in first)</t>
        </is>
      </c>
      <c r="D17" s="29" t="n"/>
      <c r="E17" s="22">
        <f>IF(IFERROR(D17="",FALSE),"",IF(IFERROR(AND(ISNUMBER(D17),OR(ABS(D17-'Answer Key'!$C$16)&lt;=0.51)),FALSE),"✔ Correct","✘ Not yet"))</f>
        <v/>
      </c>
    </row>
    <row r="18" ht="66" customHeight="1">
      <c r="A18" s="18" t="inlineStr">
        <is>
          <t>13</t>
        </is>
      </c>
      <c r="B18" s="19" t="inlineStr">
        <is>
          <t>Run Solver again (same setup) and select Sensitivity under Reports before you click OK. On the Sensitivity Report sheet, what is the Shadow Price of the Total support hours constraint (Staffing!B25)? Enter it in dollars to 2 decimal places.</t>
        </is>
      </c>
      <c r="C18" s="20" t="inlineStr">
        <is>
          <t>Shadow price = cost change per one-unit increase in the constraint's right-hand side</t>
        </is>
      </c>
      <c r="D18" s="26" t="n"/>
      <c r="E18" s="22">
        <f>IF(IFERROR(D18="",FALSE),"",IF(IFERROR(AND(ISNUMBER(D18),OR(ABS(D18-'Answer Key'!$C$17)&lt;=0.011)),FALSE),"✔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2E75B6"/>
    <outlinePr summaryBelow="1" summaryRight="1"/>
    <pageSetUpPr fitToPage="1"/>
  </sheetPr>
  <dimension ref="A1:K63"/>
  <sheetViews>
    <sheetView tabSelected="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3" customWidth="1" min="3" max="3"/>
    <col width="44" customWidth="1" min="4" max="4"/>
    <col width="3" customWidth="1" min="5" max="5"/>
    <col width="16" customWidth="1" min="6" max="6"/>
    <col width="17" customWidth="1" min="7" max="7"/>
    <col width="17" customWidth="1" min="8" max="8"/>
    <col width="13" customWidth="1" min="9" max="9"/>
    <col width="13" customWidth="1" min="10" max="10"/>
    <col width="13" customWidth="1" min="11" max="11"/>
  </cols>
  <sheetData>
    <row r="1">
      <c r="A1" s="30" t="inlineStr">
        <is>
          <t>Primary Care Clinic (D400) · Monthly Operating Model</t>
        </is>
      </c>
    </row>
    <row r="2">
      <c r="A2" s="3" t="inlineStr">
        <is>
          <t>Bluestone Outpatient Pavilion · FY2026 plan · $ per month unless stated</t>
        </is>
      </c>
    </row>
    <row r="3">
      <c r="A3" s="3" t="inlineStr">
        <is>
          <t>Blue = input (change these) · Black = formula (don't type over) · Yellow = you complete it.</t>
        </is>
      </c>
    </row>
    <row r="4">
      <c r="A4" s="31" t="inlineStr">
        <is>
          <t>Named cells (Formulas → Name Manager): ClinicDays, VisitsPerDay, MedicaidShare, CommercialShare, CommercialRate, BillingFeePct, VisitsPerMonth, AvgReimbursement, NetRevenue, TotalExpenses, OperatingIncome, OperatingMargin.</t>
        </is>
      </c>
    </row>
    <row r="5">
      <c r="A5" s="32" t="inlineStr">
        <is>
          <t>INPUTS</t>
        </is>
      </c>
      <c r="B5" s="5" t="n"/>
      <c r="C5" s="5" t="n"/>
      <c r="D5" s="5" t="n"/>
      <c r="F5" s="32" t="inlineStr">
        <is>
          <t>SENSITIVITY AREA  (Data Tables)</t>
        </is>
      </c>
      <c r="G5" s="5" t="n"/>
      <c r="H5" s="5" t="n"/>
      <c r="I5" s="5" t="n"/>
      <c r="J5" s="5" t="n"/>
      <c r="K5" s="5" t="n"/>
    </row>
    <row r="6">
      <c r="A6" s="33" t="inlineStr">
        <is>
          <t>Volume &amp; capacity</t>
        </is>
      </c>
      <c r="B6" s="33" t="inlineStr">
        <is>
          <t>Value</t>
        </is>
      </c>
      <c r="C6" s="33" t="inlineStr">
        <is>
          <t>Unit</t>
        </is>
      </c>
      <c r="D6" s="33" t="inlineStr">
        <is>
          <t>Source / note</t>
        </is>
      </c>
      <c r="F6" s="34" t="inlineStr">
        <is>
          <t>One-variable Data Table · Column input cell: B8</t>
        </is>
      </c>
    </row>
    <row r="7">
      <c r="A7" s="35" t="inlineStr">
        <is>
          <t>Clinic days per month</t>
        </is>
      </c>
      <c r="B7" s="36" t="n">
        <v>21</v>
      </c>
      <c r="C7" s="37" t="inlineStr">
        <is>
          <t>days</t>
        </is>
      </c>
      <c r="D7" s="3" t="inlineStr">
        <is>
          <t>Weekdays the clinic is open, less holidays (plan)</t>
        </is>
      </c>
      <c r="F7" s="33" t="inlineStr">
        <is>
          <t>Visits per day</t>
        </is>
      </c>
      <c r="G7" s="33" t="inlineStr">
        <is>
          <t>Operating income</t>
        </is>
      </c>
      <c r="H7" s="33" t="inlineStr">
        <is>
          <t>Operating margin</t>
        </is>
      </c>
    </row>
    <row r="8">
      <c r="A8" s="35" t="inlineStr">
        <is>
          <t>Visits per day</t>
        </is>
      </c>
      <c r="B8" s="38" t="n">
        <v>200</v>
      </c>
      <c r="C8" s="37" t="inlineStr">
        <is>
          <t>visits</t>
        </is>
      </c>
      <c r="D8" s="3" t="inlineStr">
        <is>
          <t>FY2026 plan</t>
        </is>
      </c>
      <c r="F8" s="35" t="n"/>
      <c r="G8" s="39" t="n"/>
      <c r="H8" s="40" t="n"/>
      <c r="I8" s="3" t="inlineStr">
        <is>
          <t>← type =B59 and =B60 here (task 6)</t>
        </is>
      </c>
    </row>
    <row r="9">
      <c r="A9" s="35" t="inlineStr">
        <is>
          <t>Physician FTEs (MD/DO)</t>
        </is>
      </c>
      <c r="B9" s="38" t="n">
        <v>7</v>
      </c>
      <c r="C9" s="37" t="inlineStr">
        <is>
          <t>FTE</t>
        </is>
      </c>
      <c r="D9" s="3" t="inlineStr">
        <is>
          <t>Current staffing</t>
        </is>
      </c>
      <c r="F9" s="41" t="n">
        <v>180</v>
      </c>
      <c r="G9" s="42" t="n"/>
      <c r="H9" s="43" t="n"/>
    </row>
    <row r="10">
      <c r="A10" s="35" t="inlineStr">
        <is>
          <t>APP FTEs (NP/PA)</t>
        </is>
      </c>
      <c r="B10" s="38" t="n">
        <v>3</v>
      </c>
      <c r="C10" s="37" t="inlineStr">
        <is>
          <t>FTE</t>
        </is>
      </c>
      <c r="D10" s="3" t="inlineStr">
        <is>
          <t>Current staffing</t>
        </is>
      </c>
      <c r="F10" s="41" t="n">
        <v>185</v>
      </c>
      <c r="G10" s="42" t="n"/>
      <c r="H10" s="43" t="n"/>
    </row>
    <row r="11">
      <c r="A11" s="35" t="inlineStr">
        <is>
          <t>Visits per physician per day</t>
        </is>
      </c>
      <c r="B11" s="36" t="n">
        <v>22</v>
      </c>
      <c r="C11" s="37" t="inlineStr">
        <is>
          <t>visits</t>
        </is>
      </c>
      <c r="D11" s="3" t="inlineStr">
        <is>
          <t>Scheduling template</t>
        </is>
      </c>
      <c r="F11" s="41" t="n">
        <v>190</v>
      </c>
      <c r="G11" s="42" t="n"/>
      <c r="H11" s="43" t="n"/>
    </row>
    <row r="12">
      <c r="A12" s="35" t="inlineStr">
        <is>
          <t>Visits per APP per day</t>
        </is>
      </c>
      <c r="B12" s="36" t="n">
        <v>18</v>
      </c>
      <c r="C12" s="37" t="inlineStr">
        <is>
          <t>visits</t>
        </is>
      </c>
      <c r="D12" s="3" t="inlineStr">
        <is>
          <t>Scheduling template</t>
        </is>
      </c>
      <c r="F12" s="41" t="n">
        <v>195</v>
      </c>
      <c r="G12" s="42" t="n"/>
      <c r="H12" s="43" t="n"/>
    </row>
    <row r="13">
      <c r="A13" s="33" t="inlineStr">
        <is>
          <t>Payer mix &amp; reimbursement</t>
        </is>
      </c>
      <c r="B13" s="33" t="inlineStr">
        <is>
          <t>Share of visits</t>
        </is>
      </c>
      <c r="C13" s="33" t="inlineStr">
        <is>
          <t>$ per visit</t>
        </is>
      </c>
      <c r="D13" s="33" t="inlineStr">
        <is>
          <t>Source / note</t>
        </is>
      </c>
      <c r="F13" s="41" t="n">
        <v>200</v>
      </c>
      <c r="G13" s="42" t="n"/>
      <c r="H13" s="43" t="n"/>
    </row>
    <row r="14">
      <c r="A14" s="35" t="inlineStr">
        <is>
          <t>Medicare</t>
        </is>
      </c>
      <c r="B14" s="44" t="n">
        <v>0.251</v>
      </c>
      <c r="C14" s="45" t="n">
        <v>87</v>
      </c>
      <c r="D14" s="3" t="inlineStr">
        <is>
          <t>2025 D400 claims (Sources)</t>
        </is>
      </c>
      <c r="F14" s="41" t="n">
        <v>205</v>
      </c>
      <c r="G14" s="42" t="n"/>
      <c r="H14" s="43" t="n"/>
    </row>
    <row r="15">
      <c r="A15" s="35" t="inlineStr">
        <is>
          <t>Medicare Advantage</t>
        </is>
      </c>
      <c r="B15" s="44" t="n">
        <v>0.166</v>
      </c>
      <c r="C15" s="45" t="n">
        <v>88</v>
      </c>
      <c r="D15" s="3" t="inlineStr">
        <is>
          <t>2025 D400 claims (Sources)</t>
        </is>
      </c>
      <c r="F15" s="41" t="n">
        <v>210</v>
      </c>
      <c r="G15" s="42" t="n"/>
      <c r="H15" s="43" t="n"/>
    </row>
    <row r="16">
      <c r="A16" s="35" t="inlineStr">
        <is>
          <t>Medicaid</t>
        </is>
      </c>
      <c r="B16" s="44" t="n">
        <v>0.149</v>
      </c>
      <c r="C16" s="45" t="n">
        <v>66</v>
      </c>
      <c r="D16" s="3" t="inlineStr">
        <is>
          <t>2025 D400 claims (Sources)</t>
        </is>
      </c>
      <c r="F16" s="41" t="n">
        <v>215</v>
      </c>
      <c r="G16" s="42" t="n"/>
      <c r="H16" s="43" t="n"/>
    </row>
    <row r="17">
      <c r="A17" s="35" t="inlineStr">
        <is>
          <t>Commercial (incl. Workers' Comp)</t>
        </is>
      </c>
      <c r="B17" s="44" t="n">
        <v>0.376</v>
      </c>
      <c r="C17" s="45" t="n">
        <v>142</v>
      </c>
      <c r="D17" s="3" t="inlineStr">
        <is>
          <t>2025 D400 claims (Sources)</t>
        </is>
      </c>
      <c r="F17" s="41" t="n">
        <v>220</v>
      </c>
      <c r="G17" s="42" t="n"/>
      <c r="H17" s="43" t="n"/>
    </row>
    <row r="18">
      <c r="A18" s="35" t="inlineStr">
        <is>
          <t>Self-Pay</t>
        </is>
      </c>
      <c r="B18" s="44" t="n">
        <v>0.058</v>
      </c>
      <c r="C18" s="45" t="n">
        <v>120</v>
      </c>
      <c r="D18" s="3" t="inlineStr">
        <is>
          <t>2025 D400 claims (Sources)</t>
        </is>
      </c>
      <c r="F18" s="3" t="inlineStr">
        <is>
          <t>Select F8:H17 → Data → What-If Analysis → Data Table → Column input cell B8. The gray cells fill in.</t>
        </is>
      </c>
    </row>
    <row r="19">
      <c r="A19" s="46" t="inlineStr">
        <is>
          <t>Payer mix total (check)</t>
        </is>
      </c>
      <c r="B19" s="47">
        <f>SUM(B14:B18)</f>
        <v/>
      </c>
      <c r="C19" s="3">
        <f>IF(ROUND(B19,6)=1,"✔ totals 100%","✘ must total 100%")</f>
        <v/>
      </c>
    </row>
    <row r="20">
      <c r="A20" s="33" t="inlineStr">
        <is>
          <t>Staffing &amp; pay</t>
        </is>
      </c>
      <c r="B20" s="33" t="inlineStr">
        <is>
          <t>Value</t>
        </is>
      </c>
      <c r="C20" s="33" t="inlineStr">
        <is>
          <t>Unit</t>
        </is>
      </c>
      <c r="D20" s="33" t="inlineStr">
        <is>
          <t>Source / note</t>
        </is>
      </c>
      <c r="F20" s="34" t="inlineStr">
        <is>
          <t>Two-variable Data Table · Row input cell: C17 · Column input cell: B8</t>
        </is>
      </c>
    </row>
    <row r="21">
      <c r="A21" s="35" t="inlineStr">
        <is>
          <t>RN FTEs</t>
        </is>
      </c>
      <c r="B21" s="38" t="n">
        <v>5</v>
      </c>
      <c r="C21" s="37" t="inlineStr">
        <is>
          <t>FTE</t>
        </is>
      </c>
      <c r="D21" s="3" t="inlineStr">
        <is>
          <t>Current staffing</t>
        </is>
      </c>
      <c r="F21" s="34" t="inlineStr">
        <is>
          <t>↓ Visits per day</t>
        </is>
      </c>
      <c r="G21" s="48" t="inlineStr">
        <is>
          <t>Commercial $ per visit →</t>
        </is>
      </c>
    </row>
    <row r="22">
      <c r="A22" s="35" t="inlineStr">
        <is>
          <t>LPN FTEs</t>
        </is>
      </c>
      <c r="B22" s="38" t="n">
        <v>3</v>
      </c>
      <c r="C22" s="37" t="inlineStr">
        <is>
          <t>FTE</t>
        </is>
      </c>
      <c r="D22" s="3" t="inlineStr">
        <is>
          <t>Current staffing</t>
        </is>
      </c>
      <c r="F22" s="39" t="n"/>
      <c r="G22" s="49" t="n">
        <v>130</v>
      </c>
      <c r="H22" s="49" t="n">
        <v>140</v>
      </c>
      <c r="I22" s="49" t="n">
        <v>150</v>
      </c>
      <c r="J22" s="49" t="n">
        <v>160</v>
      </c>
      <c r="K22" s="49" t="n">
        <v>170</v>
      </c>
    </row>
    <row r="23">
      <c r="A23" s="35" t="inlineStr">
        <is>
          <t>CNA FTEs</t>
        </is>
      </c>
      <c r="B23" s="38" t="n">
        <v>8</v>
      </c>
      <c r="C23" s="37" t="inlineStr">
        <is>
          <t>FTE</t>
        </is>
      </c>
      <c r="D23" s="3" t="inlineStr">
        <is>
          <t>Current staffing</t>
        </is>
      </c>
      <c r="F23" s="41" t="n">
        <v>180</v>
      </c>
      <c r="G23" s="42" t="n"/>
      <c r="H23" s="42" t="n"/>
      <c r="I23" s="42" t="n"/>
      <c r="J23" s="42" t="n"/>
      <c r="K23" s="42" t="n"/>
    </row>
    <row r="24">
      <c r="A24" s="35" t="inlineStr">
        <is>
          <t>Front desk &amp; admin FTEs</t>
        </is>
      </c>
      <c r="B24" s="38" t="n">
        <v>8</v>
      </c>
      <c r="C24" s="37" t="inlineStr">
        <is>
          <t>FTE</t>
        </is>
      </c>
      <c r="D24" s="3" t="inlineStr">
        <is>
          <t>Current staffing</t>
        </is>
      </c>
      <c r="F24" s="41" t="n">
        <v>185</v>
      </c>
      <c r="G24" s="42" t="n"/>
      <c r="H24" s="42" t="n"/>
      <c r="I24" s="42" t="n"/>
      <c r="J24" s="42" t="n"/>
      <c r="K24" s="42" t="n"/>
    </row>
    <row r="25">
      <c r="A25" s="35" t="inlineStr">
        <is>
          <t>Paid hours per FTE per month</t>
        </is>
      </c>
      <c r="B25" s="36" t="n">
        <v>168</v>
      </c>
      <c r="C25" s="37" t="inlineStr">
        <is>
          <t>hours</t>
        </is>
      </c>
      <c r="D25" s="3" t="inlineStr">
        <is>
          <t>Full-time paid hours per month (plan)</t>
        </is>
      </c>
      <c r="F25" s="41" t="n">
        <v>190</v>
      </c>
      <c r="G25" s="42" t="n"/>
      <c r="H25" s="42" t="n"/>
      <c r="I25" s="42" t="n"/>
      <c r="J25" s="42" t="n"/>
      <c r="K25" s="42" t="n"/>
    </row>
    <row r="26">
      <c r="A26" s="35" t="inlineStr">
        <is>
          <t>Physician salary per FTE</t>
        </is>
      </c>
      <c r="B26" s="50" t="n">
        <v>22000</v>
      </c>
      <c r="C26" s="37" t="inlineStr">
        <is>
          <t>$/month</t>
        </is>
      </c>
      <c r="D26" s="3" t="inlineStr">
        <is>
          <t>FY2026 compensation plan</t>
        </is>
      </c>
      <c r="F26" s="41" t="n">
        <v>195</v>
      </c>
      <c r="G26" s="42" t="n"/>
      <c r="H26" s="42" t="n"/>
      <c r="I26" s="42" t="n"/>
      <c r="J26" s="42" t="n"/>
      <c r="K26" s="42" t="n"/>
    </row>
    <row r="27">
      <c r="A27" s="35" t="inlineStr">
        <is>
          <t>APP salary per FTE</t>
        </is>
      </c>
      <c r="B27" s="50" t="n">
        <v>10800</v>
      </c>
      <c r="C27" s="37" t="inlineStr">
        <is>
          <t>$/month</t>
        </is>
      </c>
      <c r="D27" s="3" t="inlineStr">
        <is>
          <t>FY2026 compensation plan</t>
        </is>
      </c>
      <c r="F27" s="41" t="n">
        <v>200</v>
      </c>
      <c r="G27" s="42" t="n"/>
      <c r="H27" s="42" t="n"/>
      <c r="I27" s="42" t="n"/>
      <c r="J27" s="42" t="n"/>
      <c r="K27" s="42" t="n"/>
    </row>
    <row r="28">
      <c r="A28" s="35" t="inlineStr">
        <is>
          <t>RN hourly rate</t>
        </is>
      </c>
      <c r="B28" s="45" t="n">
        <v>42.73</v>
      </c>
      <c r="C28" s="37" t="inlineStr">
        <is>
          <t>$/hour</t>
        </is>
      </c>
      <c r="D28" s="3" t="inlineStr">
        <is>
          <t>Median of active RNs (Sources)</t>
        </is>
      </c>
      <c r="F28" s="41" t="n">
        <v>205</v>
      </c>
      <c r="G28" s="42" t="n"/>
      <c r="H28" s="42" t="n"/>
      <c r="I28" s="42" t="n"/>
      <c r="J28" s="42" t="n"/>
      <c r="K28" s="42" t="n"/>
    </row>
    <row r="29">
      <c r="A29" s="35" t="inlineStr">
        <is>
          <t>LPN hourly rate</t>
        </is>
      </c>
      <c r="B29" s="45" t="n">
        <v>27.73</v>
      </c>
      <c r="C29" s="37" t="inlineStr">
        <is>
          <t>$/hour</t>
        </is>
      </c>
      <c r="D29" s="3" t="inlineStr">
        <is>
          <t>Median of active LPNs (Sources)</t>
        </is>
      </c>
      <c r="F29" s="41" t="n">
        <v>210</v>
      </c>
      <c r="G29" s="42" t="n"/>
      <c r="H29" s="42" t="n"/>
      <c r="I29" s="42" t="n"/>
      <c r="J29" s="42" t="n"/>
      <c r="K29" s="42" t="n"/>
    </row>
    <row r="30">
      <c r="A30" s="35" t="inlineStr">
        <is>
          <t>CNA hourly rate</t>
        </is>
      </c>
      <c r="B30" s="45" t="n">
        <v>19.74</v>
      </c>
      <c r="C30" s="37" t="inlineStr">
        <is>
          <t>$/hour</t>
        </is>
      </c>
      <c r="D30" s="3" t="inlineStr">
        <is>
          <t>Median of active CNAs (Sources)</t>
        </is>
      </c>
      <c r="F30" s="41" t="n">
        <v>215</v>
      </c>
      <c r="G30" s="42" t="n"/>
      <c r="H30" s="42" t="n"/>
      <c r="I30" s="42" t="n"/>
      <c r="J30" s="42" t="n"/>
      <c r="K30" s="42" t="n"/>
    </row>
    <row r="31">
      <c r="A31" s="35" t="inlineStr">
        <is>
          <t>Front desk hourly rate</t>
        </is>
      </c>
      <c r="B31" s="45" t="n">
        <v>18.86</v>
      </c>
      <c r="C31" s="37" t="inlineStr">
        <is>
          <t>$/hour</t>
        </is>
      </c>
      <c r="D31" s="3" t="inlineStr">
        <is>
          <t>Median of active unit secretaries (Sources)</t>
        </is>
      </c>
      <c r="F31" s="41" t="n">
        <v>220</v>
      </c>
      <c r="G31" s="42" t="n"/>
      <c r="H31" s="42" t="n"/>
      <c r="I31" s="42" t="n"/>
      <c r="J31" s="42" t="n"/>
      <c r="K31" s="42" t="n"/>
    </row>
    <row r="32">
      <c r="A32" s="35" t="inlineStr">
        <is>
          <t>Benefits load (% of wages)</t>
        </is>
      </c>
      <c r="B32" s="44" t="n">
        <v>0.267</v>
      </c>
      <c r="C32" s="37" t="n"/>
      <c r="D32" s="3" t="inlineStr">
        <is>
          <t>2025 D400 benefits ÷ wages (Sources)</t>
        </is>
      </c>
      <c r="F32" s="3" t="inlineStr">
        <is>
          <t>Type =B59 in the yellow corner F22, select F22:K31 → Data Table → Row input cell C17, Column input cell B8.</t>
        </is>
      </c>
    </row>
    <row r="33">
      <c r="A33" s="33" t="inlineStr">
        <is>
          <t>Other costs</t>
        </is>
      </c>
      <c r="B33" s="33" t="inlineStr">
        <is>
          <t>Value</t>
        </is>
      </c>
      <c r="C33" s="33" t="inlineStr">
        <is>
          <t>Unit</t>
        </is>
      </c>
      <c r="D33" s="33" t="inlineStr">
        <is>
          <t>Source / note</t>
        </is>
      </c>
    </row>
    <row r="34">
      <c r="A34" s="35" t="inlineStr">
        <is>
          <t>Medical supplies per visit</t>
        </is>
      </c>
      <c r="B34" s="45" t="n">
        <v>4.39</v>
      </c>
      <c r="C34" s="37" t="inlineStr">
        <is>
          <t>$/visit</t>
        </is>
      </c>
      <c r="D34" s="3" t="inlineStr">
        <is>
          <t>2025 D400 actuals (Sources)</t>
        </is>
      </c>
    </row>
    <row r="35">
      <c r="A35" s="35" t="inlineStr">
        <is>
          <t>Vaccines &amp; injectables per visit</t>
        </is>
      </c>
      <c r="B35" s="45" t="n">
        <v>1.27</v>
      </c>
      <c r="C35" s="37" t="inlineStr">
        <is>
          <t>$/visit</t>
        </is>
      </c>
      <c r="D35" s="3" t="inlineStr">
        <is>
          <t>2025 D400 actuals (Sources)</t>
        </is>
      </c>
    </row>
    <row r="36">
      <c r="A36" s="35" t="inlineStr">
        <is>
          <t>Billing &amp; collections fee</t>
        </is>
      </c>
      <c r="B36" s="44" t="n">
        <v>0.04</v>
      </c>
      <c r="C36" s="37" t="inlineStr">
        <is>
          <t>of revenue</t>
        </is>
      </c>
      <c r="D36" s="3" t="inlineStr">
        <is>
          <t>Revenue-cycle vendor contract</t>
        </is>
      </c>
    </row>
    <row r="37">
      <c r="A37" s="35" t="inlineStr">
        <is>
          <t>Facility &amp; equipment</t>
        </is>
      </c>
      <c r="B37" s="50" t="n">
        <v>11500</v>
      </c>
      <c r="C37" s="37" t="inlineStr">
        <is>
          <t>$/month</t>
        </is>
      </c>
      <c r="D37" s="3" t="inlineStr">
        <is>
          <t>Fixed. 2025 D400 actuals (Sources)</t>
        </is>
      </c>
    </row>
    <row r="38">
      <c r="A38" s="35" t="inlineStr">
        <is>
          <t>IT, EHR &amp; purchased services</t>
        </is>
      </c>
      <c r="B38" s="50" t="n">
        <v>24200</v>
      </c>
      <c r="C38" s="37" t="inlineStr">
        <is>
          <t>$/month</t>
        </is>
      </c>
      <c r="D38" s="3" t="inlineStr">
        <is>
          <t>Fixed. 2025 D400 actuals (Sources)</t>
        </is>
      </c>
    </row>
    <row r="39">
      <c r="A39" s="35" t="inlineStr">
        <is>
          <t>Other operating</t>
        </is>
      </c>
      <c r="B39" s="50" t="n">
        <v>14000</v>
      </c>
      <c r="C39" s="37" t="inlineStr">
        <is>
          <t>$/month</t>
        </is>
      </c>
      <c r="D39" s="3" t="inlineStr">
        <is>
          <t>Fixed. 2025 D400 actuals (Sources)</t>
        </is>
      </c>
    </row>
    <row r="40"/>
    <row r="41">
      <c r="A41" s="32" t="inlineStr">
        <is>
          <t>CALCULATIONS  (one formula per row · no typed-in numbers)</t>
        </is>
      </c>
      <c r="B41" s="5" t="n"/>
      <c r="C41" s="5" t="n"/>
      <c r="D41" s="5" t="n"/>
    </row>
    <row r="42">
      <c r="A42" s="35" t="inlineStr">
        <is>
          <t>Visits per month</t>
        </is>
      </c>
      <c r="B42" s="51">
        <f>VisitsPerDay*ClinicDays</f>
        <v/>
      </c>
      <c r="C42" s="37" t="inlineStr">
        <is>
          <t>visits</t>
        </is>
      </c>
    </row>
    <row r="43">
      <c r="A43" s="35" t="inlineStr">
        <is>
          <t>Average reimbursement per visit</t>
        </is>
      </c>
      <c r="B43" s="52">
        <f>SUMPRODUCT(B14:B18,C14:C18)</f>
        <v/>
      </c>
      <c r="C43" s="37" t="inlineStr">
        <is>
          <t>$/visit</t>
        </is>
      </c>
    </row>
    <row r="44">
      <c r="A44" s="35" t="inlineStr">
        <is>
          <t>Net patient revenue</t>
        </is>
      </c>
      <c r="B44" s="53">
        <f>VisitsPerMonth*AvgReimbursement</f>
        <v/>
      </c>
      <c r="C44" s="37" t="inlineStr">
        <is>
          <t>$/month</t>
        </is>
      </c>
    </row>
    <row r="45">
      <c r="A45" s="35" t="inlineStr">
        <is>
          <t>Physician &amp; APP wages</t>
        </is>
      </c>
      <c r="B45" s="53">
        <f>B9*B26+B10*B27</f>
        <v/>
      </c>
      <c r="C45" s="37" t="inlineStr">
        <is>
          <t>$/month</t>
        </is>
      </c>
    </row>
    <row r="46">
      <c r="A46" s="35" t="inlineStr">
        <is>
          <t>Clinical support wages (RN, LPN, CNA)</t>
        </is>
      </c>
      <c r="B46" s="53">
        <f>(B21*B28+B22*B29+B23*B30)*B25</f>
        <v/>
      </c>
      <c r="C46" s="37" t="inlineStr">
        <is>
          <t>$/month</t>
        </is>
      </c>
    </row>
    <row r="47">
      <c r="A47" s="35" t="inlineStr">
        <is>
          <t>Front desk &amp; admin wages</t>
        </is>
      </c>
      <c r="B47" s="53">
        <f>B24*B31*B25</f>
        <v/>
      </c>
      <c r="C47" s="37" t="inlineStr">
        <is>
          <t>$/month</t>
        </is>
      </c>
    </row>
    <row r="48">
      <c r="A48" s="54" t="inlineStr">
        <is>
          <t>Total wages</t>
        </is>
      </c>
      <c r="B48" s="55">
        <f>SUM(B45:B47)</f>
        <v/>
      </c>
      <c r="C48" s="37" t="inlineStr">
        <is>
          <t>$/month</t>
        </is>
      </c>
    </row>
    <row r="49">
      <c r="A49" s="35" t="inlineStr">
        <is>
          <t>Benefits</t>
        </is>
      </c>
      <c r="B49" s="53">
        <f>B48*B32</f>
        <v/>
      </c>
      <c r="C49" s="37" t="inlineStr">
        <is>
          <t>$/month</t>
        </is>
      </c>
    </row>
    <row r="50">
      <c r="A50" s="35" t="inlineStr">
        <is>
          <t>Medical supplies</t>
        </is>
      </c>
      <c r="B50" s="53">
        <f>VisitsPerMonth*B34</f>
        <v/>
      </c>
      <c r="C50" s="37" t="inlineStr">
        <is>
          <t>$/month</t>
        </is>
      </c>
    </row>
    <row r="51">
      <c r="A51" s="35" t="inlineStr">
        <is>
          <t>Vaccines &amp; injectables</t>
        </is>
      </c>
      <c r="B51" s="53">
        <f>VisitsPerMonth*B35</f>
        <v/>
      </c>
      <c r="C51" s="37" t="inlineStr">
        <is>
          <t>$/month</t>
        </is>
      </c>
    </row>
    <row r="52">
      <c r="A52" s="35" t="inlineStr">
        <is>
          <t>Billing &amp; collections fee</t>
        </is>
      </c>
      <c r="B52" s="53">
        <f>NetRevenue*0.04</f>
        <v/>
      </c>
      <c r="C52" s="37" t="inlineStr">
        <is>
          <t>$/month</t>
        </is>
      </c>
    </row>
    <row r="53">
      <c r="A53" s="35" t="inlineStr">
        <is>
          <t>Facility &amp; equipment</t>
        </is>
      </c>
      <c r="B53" s="53">
        <f>B37</f>
        <v/>
      </c>
      <c r="C53" s="37" t="inlineStr">
        <is>
          <t>$/month</t>
        </is>
      </c>
    </row>
    <row r="54">
      <c r="A54" s="35" t="inlineStr">
        <is>
          <t>IT, EHR &amp; purchased services</t>
        </is>
      </c>
      <c r="B54" s="53">
        <f>B38</f>
        <v/>
      </c>
      <c r="C54" s="37" t="inlineStr">
        <is>
          <t>$/month</t>
        </is>
      </c>
    </row>
    <row r="55">
      <c r="A55" s="35" t="inlineStr">
        <is>
          <t>Other operating</t>
        </is>
      </c>
      <c r="B55" s="53">
        <f>B39</f>
        <v/>
      </c>
      <c r="C55" s="37" t="inlineStr">
        <is>
          <t>$/month</t>
        </is>
      </c>
    </row>
    <row r="56">
      <c r="A56" s="54" t="inlineStr">
        <is>
          <t>Total operating expenses</t>
        </is>
      </c>
      <c r="B56" s="56">
        <f>SUM(B48:B55)</f>
        <v/>
      </c>
      <c r="C56" s="37" t="inlineStr">
        <is>
          <t>$/month</t>
        </is>
      </c>
    </row>
    <row r="57"/>
    <row r="58">
      <c r="A58" s="32" t="inlineStr">
        <is>
          <t>OUTPUTS</t>
        </is>
      </c>
      <c r="B58" s="5" t="n"/>
      <c r="C58" s="5" t="n"/>
      <c r="D58" s="5" t="n"/>
    </row>
    <row r="59">
      <c r="A59" s="54" t="inlineStr">
        <is>
          <t>Operating income</t>
        </is>
      </c>
      <c r="B59" s="39" t="n"/>
      <c r="C59" s="37" t="inlineStr">
        <is>
          <t>$/month</t>
        </is>
      </c>
      <c r="D59" s="3" t="inlineStr">
        <is>
          <t>← you complete this (task 1)</t>
        </is>
      </c>
    </row>
    <row r="60">
      <c r="A60" s="54" t="inlineStr">
        <is>
          <t>Operating margin</t>
        </is>
      </c>
      <c r="B60" s="40" t="n"/>
      <c r="C60" s="37" t="inlineStr">
        <is>
          <t>of revenue</t>
        </is>
      </c>
      <c r="D60" s="3" t="inlineStr">
        <is>
          <t>← you complete this (task 2)</t>
        </is>
      </c>
    </row>
    <row r="61">
      <c r="A61" s="35" t="inlineStr">
        <is>
          <t>Cost per visit</t>
        </is>
      </c>
      <c r="B61" s="52">
        <f>TotalExpenses/VisitsPerMonth</f>
        <v/>
      </c>
      <c r="C61" s="37" t="inlineStr">
        <is>
          <t>$/visit</t>
        </is>
      </c>
    </row>
    <row r="62">
      <c r="A62" s="35" t="inlineStr">
        <is>
          <t>Visit capacity per day</t>
        </is>
      </c>
      <c r="B62" s="35">
        <f>B9*B11+B10*B12</f>
        <v/>
      </c>
      <c r="C62" s="37" t="inlineStr">
        <is>
          <t>visits</t>
        </is>
      </c>
      <c r="D62" s="3" t="inlineStr">
        <is>
          <t>Providers × visits per provider per day</t>
        </is>
      </c>
    </row>
    <row r="63">
      <c r="A63" s="35" t="inlineStr">
        <is>
          <t>Capacity utilization</t>
        </is>
      </c>
      <c r="B63" s="57">
        <f>VisitsPerDay/B62</f>
        <v/>
      </c>
      <c r="C63" s="37" t="inlineStr">
        <is>
          <t>of capacity</t>
        </is>
      </c>
      <c r="D63" s="3" t="inlineStr">
        <is>
          <t>Above 100% means the plan needs more providers</t>
        </is>
      </c>
    </row>
  </sheetData>
  <mergeCells count="1">
    <mergeCell ref="G21:K21"/>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548235"/>
    <outlinePr summaryBelow="1" summaryRight="1"/>
    <pageSetUpPr fitToPage="1"/>
  </sheetPr>
  <dimension ref="A1:E31"/>
  <sheetViews>
    <sheetView tabSelected="0" workbookViewId="0">
      <selection activeCell="A1" sqref="A1"/>
    </sheetView>
  </sheetViews>
  <sheetFormatPr baseColWidth="8" defaultRowHeight="15"/>
  <cols>
    <col width="46" customWidth="1" min="1" max="1"/>
    <col width="14" customWidth="1" min="2" max="2"/>
    <col width="14" customWidth="1" min="3" max="3"/>
    <col width="22" customWidth="1" min="4" max="4"/>
    <col width="22" customWidth="1" min="5" max="5"/>
    <col width="50" customWidth="1" min="6" max="6"/>
  </cols>
  <sheetData>
    <row r="1">
      <c r="A1" s="30" t="inlineStr">
        <is>
          <t>Clinical Support Staffing Plan · Solver worksheet</t>
        </is>
      </c>
    </row>
    <row r="2">
      <c r="A2" s="3" t="inlineStr">
        <is>
          <t>Choose RN, LPN, and CNA FTEs that cover the clinic's workload at the lowest monthly cost. Blue = input · Green text = linked from the Model · Green cells = decision variables that Solver changes.</t>
        </is>
      </c>
    </row>
    <row r="3"/>
    <row r="4"/>
    <row r="5">
      <c r="A5" s="32" t="inlineStr">
        <is>
          <t>INPUTS</t>
        </is>
      </c>
      <c r="B5" s="5" t="n"/>
      <c r="C5" s="5" t="n"/>
      <c r="D5" s="5" t="n"/>
      <c r="E5" s="5" t="n"/>
    </row>
    <row r="6">
      <c r="A6" s="35" t="inlineStr">
        <is>
          <t>Visits per day to staff for</t>
        </is>
      </c>
      <c r="B6" s="36" t="n">
        <v>200</v>
      </c>
      <c r="C6" s="37" t="inlineStr">
        <is>
          <t>visits</t>
        </is>
      </c>
      <c r="D6" s="58" t="inlineStr">
        <is>
          <t>Model base case. The bonus changes it.</t>
        </is>
      </c>
    </row>
    <row r="7">
      <c r="A7" s="35" t="inlineStr">
        <is>
          <t>Clinic days per month</t>
        </is>
      </c>
      <c r="B7" s="59">
        <f>Model!B7</f>
        <v/>
      </c>
      <c r="C7" s="37" t="inlineStr">
        <is>
          <t>days</t>
        </is>
      </c>
      <c r="D7" s="3" t="inlineStr">
        <is>
          <t>From the Model</t>
        </is>
      </c>
    </row>
    <row r="8">
      <c r="A8" s="35" t="inlineStr">
        <is>
          <t>Visits per month</t>
        </is>
      </c>
      <c r="B8" s="51">
        <f>B6*B7</f>
        <v/>
      </c>
      <c r="C8" s="37" t="inlineStr">
        <is>
          <t>visits</t>
        </is>
      </c>
    </row>
    <row r="9">
      <c r="A9" s="35" t="inlineStr">
        <is>
          <t>Support hours needed per visit (RN + LPN + CNA)</t>
        </is>
      </c>
      <c r="B9" s="60" t="n">
        <v>0.6</v>
      </c>
      <c r="C9" s="37" t="inlineStr">
        <is>
          <t>hours</t>
        </is>
      </c>
      <c r="D9" s="58" t="inlineStr">
        <is>
          <t>Rooming, vitals, injections, care coordination (time study)</t>
        </is>
      </c>
    </row>
    <row r="10">
      <c r="A10" s="35" t="inlineStr">
        <is>
          <t>Licensed hours needed per visit (RN + LPN only)</t>
        </is>
      </c>
      <c r="B10" s="60" t="n">
        <v>0.28</v>
      </c>
      <c r="C10" s="37" t="inlineStr">
        <is>
          <t>hours</t>
        </is>
      </c>
      <c r="D10" s="58" t="inlineStr">
        <is>
          <t>Triage calls, medications, patient teaching</t>
        </is>
      </c>
    </row>
    <row r="11">
      <c r="A11" s="35" t="inlineStr">
        <is>
          <t>Minimum RN share of licensed FTEs</t>
        </is>
      </c>
      <c r="B11" s="61" t="n">
        <v>0.6</v>
      </c>
      <c r="C11" s="37" t="n"/>
      <c r="D11" s="58" t="inlineStr">
        <is>
          <t>Clinic policy</t>
        </is>
      </c>
    </row>
    <row r="12">
      <c r="A12" s="35" t="inlineStr">
        <is>
          <t>CNA cap</t>
        </is>
      </c>
      <c r="B12" s="36" t="n">
        <v>6</v>
      </c>
      <c r="C12" s="37" t="inlineStr">
        <is>
          <t>FTEs</t>
        </is>
      </c>
      <c r="D12" s="58" t="inlineStr">
        <is>
          <t>Approved CNA positions (bonus only)</t>
        </is>
      </c>
    </row>
    <row r="13">
      <c r="A13" s="35" t="inlineStr">
        <is>
          <t>Paid hours per FTE per month</t>
        </is>
      </c>
      <c r="B13" s="59">
        <f>Model!B25</f>
        <v/>
      </c>
      <c r="C13" s="37" t="inlineStr">
        <is>
          <t>hours</t>
        </is>
      </c>
      <c r="D13" s="3" t="inlineStr">
        <is>
          <t>From the Model</t>
        </is>
      </c>
    </row>
    <row r="14">
      <c r="A14" s="35" t="inlineStr">
        <is>
          <t>Benefits load</t>
        </is>
      </c>
      <c r="B14" s="62">
        <f>Model!B32</f>
        <v/>
      </c>
      <c r="C14" s="37" t="n"/>
      <c r="D14" s="3" t="inlineStr">
        <is>
          <t>From the Model</t>
        </is>
      </c>
    </row>
    <row r="15"/>
    <row r="16">
      <c r="A16" s="32" t="inlineStr">
        <is>
          <t>DECISION VARIABLES  (Solver changes the green cells)</t>
        </is>
      </c>
      <c r="B16" s="5" t="n"/>
      <c r="C16" s="5" t="n"/>
      <c r="D16" s="5" t="n"/>
      <c r="E16" s="5" t="n"/>
    </row>
    <row r="17">
      <c r="A17" s="33" t="inlineStr">
        <is>
          <t>Role</t>
        </is>
      </c>
      <c r="B17" s="33" t="inlineStr">
        <is>
          <t>FTEs</t>
        </is>
      </c>
      <c r="C17" s="33" t="inlineStr">
        <is>
          <t>Hourly rate</t>
        </is>
      </c>
      <c r="D17" s="33" t="inlineStr">
        <is>
          <t>Cost per FTE per month</t>
        </is>
      </c>
      <c r="E17" s="33" t="inlineStr">
        <is>
          <t>Monthly cost</t>
        </is>
      </c>
    </row>
    <row r="18">
      <c r="A18" s="35" t="inlineStr">
        <is>
          <t>Registered Nurse (RN)</t>
        </is>
      </c>
      <c r="B18" s="63" t="n">
        <v>5</v>
      </c>
      <c r="C18" s="64">
        <f>Model!B28</f>
        <v/>
      </c>
      <c r="D18" s="52">
        <f>C18*$B$13*(1+$B$14)</f>
        <v/>
      </c>
      <c r="E18" s="53">
        <f>B18*D18</f>
        <v/>
      </c>
    </row>
    <row r="19">
      <c r="A19" s="35" t="inlineStr">
        <is>
          <t>Licensed Practical Nurse (LPN)</t>
        </is>
      </c>
      <c r="B19" s="63" t="n">
        <v>3</v>
      </c>
      <c r="C19" s="64">
        <f>Model!B29</f>
        <v/>
      </c>
      <c r="D19" s="52">
        <f>C19*$B$13*(1+$B$14)</f>
        <v/>
      </c>
      <c r="E19" s="53">
        <f>B19*D19</f>
        <v/>
      </c>
    </row>
    <row r="20">
      <c r="A20" s="35" t="inlineStr">
        <is>
          <t>Certified Nursing Assistant (CNA)</t>
        </is>
      </c>
      <c r="B20" s="63" t="n">
        <v>8</v>
      </c>
      <c r="C20" s="64">
        <f>Model!B30</f>
        <v/>
      </c>
      <c r="D20" s="52">
        <f>C20*$B$13*(1+$B$14)</f>
        <v/>
      </c>
      <c r="E20" s="53">
        <f>B20*D20</f>
        <v/>
      </c>
    </row>
    <row r="21">
      <c r="A21" s="65" t="inlineStr">
        <is>
          <t>Total</t>
        </is>
      </c>
      <c r="B21" s="66">
        <f>SUM(B18:B20)</f>
        <v/>
      </c>
      <c r="C21" s="65" t="n"/>
      <c r="D21" s="65" t="n"/>
      <c r="E21" s="56">
        <f>SUM(E18:E20)</f>
        <v/>
      </c>
    </row>
    <row r="22"/>
    <row r="23">
      <c r="A23" s="32" t="inlineStr">
        <is>
          <t>CONSTRAINTS  (each row: Provided  sign  Required)</t>
        </is>
      </c>
      <c r="B23" s="5" t="n"/>
      <c r="C23" s="5" t="n"/>
      <c r="D23" s="5" t="n"/>
      <c r="E23" s="5" t="n"/>
    </row>
    <row r="24">
      <c r="A24" s="33" t="inlineStr">
        <is>
          <t>Constraint</t>
        </is>
      </c>
      <c r="B24" s="33" t="inlineStr">
        <is>
          <t>Provided</t>
        </is>
      </c>
      <c r="C24" s="33" t="inlineStr">
        <is>
          <t>Sign</t>
        </is>
      </c>
      <c r="D24" s="33" t="inlineStr">
        <is>
          <t>Required</t>
        </is>
      </c>
      <c r="E24" s="33" t="inlineStr">
        <is>
          <t>Status</t>
        </is>
      </c>
    </row>
    <row r="25">
      <c r="A25" s="35" t="inlineStr">
        <is>
          <t>Total support hours</t>
        </is>
      </c>
      <c r="B25" s="67">
        <f>B21*B13</f>
        <v/>
      </c>
      <c r="C25" s="68" t="inlineStr">
        <is>
          <t>≥</t>
        </is>
      </c>
      <c r="D25" s="67">
        <f>B8*B9</f>
        <v/>
      </c>
      <c r="E25" s="35">
        <f>IF(B25&gt;=D25-0.001,"OK","Short")</f>
        <v/>
      </c>
    </row>
    <row r="26">
      <c r="A26" s="35" t="inlineStr">
        <is>
          <t>Licensed hours (RN + LPN)</t>
        </is>
      </c>
      <c r="B26" s="67">
        <f>(B18+B19)*B13</f>
        <v/>
      </c>
      <c r="C26" s="68" t="inlineStr">
        <is>
          <t>≥</t>
        </is>
      </c>
      <c r="D26" s="67">
        <f>B8*B10</f>
        <v/>
      </c>
      <c r="E26" s="35">
        <f>IF(B26&gt;=D26-0.001,"OK","Short")</f>
        <v/>
      </c>
    </row>
    <row r="27">
      <c r="A27" s="35" t="inlineStr">
        <is>
          <t>RN rule: RN FTEs − 60% × (RN + LPN FTEs)</t>
        </is>
      </c>
      <c r="B27" s="69">
        <f>B18-B11*(B18+B19)</f>
        <v/>
      </c>
      <c r="C27" s="68" t="inlineStr">
        <is>
          <t>≥</t>
        </is>
      </c>
      <c r="D27" s="69" t="n">
        <v>0</v>
      </c>
      <c r="E27" s="35">
        <f>IF(B27&gt;=D27-0.001,"OK","Short")</f>
        <v/>
      </c>
    </row>
    <row r="28">
      <c r="A28" s="35" t="inlineStr">
        <is>
          <t>CNA FTEs (bonus only)</t>
        </is>
      </c>
      <c r="B28" s="69">
        <f>B20</f>
        <v/>
      </c>
      <c r="C28" s="68" t="inlineStr">
        <is>
          <t>≤</t>
        </is>
      </c>
      <c r="D28" s="69">
        <f>B12</f>
        <v/>
      </c>
      <c r="E28" s="35">
        <f>IF(B28&lt;=D28+0.001,"OK","Over cap (bonus only)")</f>
        <v/>
      </c>
    </row>
    <row r="29"/>
    <row r="30">
      <c r="A30" s="32" t="inlineStr">
        <is>
          <t>OBJECTIVE</t>
        </is>
      </c>
      <c r="B30" s="5" t="n"/>
      <c r="C30" s="5" t="n"/>
      <c r="D30" s="5" t="n"/>
      <c r="E30" s="5" t="n"/>
    </row>
    <row r="31">
      <c r="A31" s="70" t="inlineStr">
        <is>
          <t>Monthly clinical support staff cost (minimize)</t>
        </is>
      </c>
      <c r="B31" s="56">
        <f>E21</f>
        <v/>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E22"/>
  <sheetViews>
    <sheetView tabSelected="0" workbookViewId="0">
      <pane ySplit="1" topLeftCell="A2" activePane="bottomLeft" state="frozen"/>
      <selection pane="bottomLeft" activeCell="A1" sqref="A1"/>
    </sheetView>
  </sheetViews>
  <sheetFormatPr baseColWidth="8" defaultRowHeight="15"/>
  <cols>
    <col width="34" customWidth="1" min="1" max="1"/>
    <col width="11" customWidth="1" min="2" max="2"/>
    <col width="12" customWidth="1" min="3" max="3"/>
    <col width="92" customWidth="1" min="4" max="4"/>
    <col width="36" customWidth="1" min="5" max="5"/>
  </cols>
  <sheetData>
    <row r="1">
      <c r="A1" s="70" t="inlineStr">
        <is>
          <t>Input</t>
        </is>
      </c>
      <c r="B1" s="70" t="inlineStr">
        <is>
          <t>Model cell</t>
        </is>
      </c>
      <c r="C1" s="70" t="inlineStr">
        <is>
          <t>Value used</t>
        </is>
      </c>
      <c r="D1" s="70" t="inlineStr">
        <is>
          <t>How it was derived</t>
        </is>
      </c>
      <c r="E1" s="70" t="inlineStr">
        <is>
          <t>Source data</t>
        </is>
      </c>
    </row>
    <row r="2">
      <c r="A2" s="7" t="inlineStr">
        <is>
          <t>Medicare: share of visits</t>
        </is>
      </c>
      <c r="B2" s="7" t="inlineStr">
        <is>
          <t>B14</t>
        </is>
      </c>
      <c r="C2" s="7" t="inlineStr">
        <is>
          <t>25.1%</t>
        </is>
      </c>
      <c r="D2" s="7" t="inlineStr">
        <is>
          <t>523 of 2,079 D400 claims with 2025 service dates (25.16%); rounded to 0.1 point so the five shares total exactly 100%</t>
        </is>
      </c>
      <c r="E2" s="7" t="inlineStr">
        <is>
          <t>claims.csv + encounters.csv (DeptID D400)</t>
        </is>
      </c>
    </row>
    <row r="3">
      <c r="A3" s="7" t="inlineStr">
        <is>
          <t>Medicare Advantage: share of visits</t>
        </is>
      </c>
      <c r="B3" s="7" t="inlineStr">
        <is>
          <t>B15</t>
        </is>
      </c>
      <c r="C3" s="7" t="inlineStr">
        <is>
          <t>16.6%</t>
        </is>
      </c>
      <c r="D3" s="7" t="inlineStr">
        <is>
          <t>345 of 2,079 D400 claims with 2025 service dates (16.59%); rounded to 0.1 point so the five shares total exactly 100%</t>
        </is>
      </c>
      <c r="E3" s="7" t="inlineStr">
        <is>
          <t>claims.csv + encounters.csv (DeptID D400)</t>
        </is>
      </c>
    </row>
    <row r="4">
      <c r="A4" s="7" t="inlineStr">
        <is>
          <t>Medicaid: share of visits</t>
        </is>
      </c>
      <c r="B4" s="7" t="inlineStr">
        <is>
          <t>B16</t>
        </is>
      </c>
      <c r="C4" s="7" t="inlineStr">
        <is>
          <t>14.9%</t>
        </is>
      </c>
      <c r="D4" s="7" t="inlineStr">
        <is>
          <t>310 of 2,079 D400 claims with 2025 service dates (14.91%); rounded to 0.1 point so the five shares total exactly 100%</t>
        </is>
      </c>
      <c r="E4" s="7" t="inlineStr">
        <is>
          <t>claims.csv + encounters.csv (DeptID D400)</t>
        </is>
      </c>
    </row>
    <row r="5">
      <c r="A5" s="7" t="inlineStr">
        <is>
          <t>Commercial (incl. Workers' Comp): share of visits</t>
        </is>
      </c>
      <c r="B5" s="7" t="inlineStr">
        <is>
          <t>B17</t>
        </is>
      </c>
      <c r="C5" s="7" t="inlineStr">
        <is>
          <t>37.6%</t>
        </is>
      </c>
      <c r="D5" s="7" t="inlineStr">
        <is>
          <t>781 of 2,079 D400 claims with 2025 service dates (37.57%); rounded to 0.1 point so the five shares total exactly 100%</t>
        </is>
      </c>
      <c r="E5" s="7" t="inlineStr">
        <is>
          <t>claims.csv + encounters.csv (DeptID D400)</t>
        </is>
      </c>
    </row>
    <row r="6">
      <c r="A6" s="7" t="inlineStr">
        <is>
          <t>Self-Pay: share of visits</t>
        </is>
      </c>
      <c r="B6" s="7" t="inlineStr">
        <is>
          <t>B18</t>
        </is>
      </c>
      <c r="C6" s="7" t="inlineStr">
        <is>
          <t>5.8%</t>
        </is>
      </c>
      <c r="D6" s="7" t="inlineStr">
        <is>
          <t>120 of 2,079 D400 claims with 2025 service dates (5.77%); rounded to 0.1 point so the five shares total exactly 100%</t>
        </is>
      </c>
      <c r="E6" s="7" t="inlineStr">
        <is>
          <t>claims.csv + encounters.csv (DeptID D400)</t>
        </is>
      </c>
    </row>
    <row r="7">
      <c r="A7" s="7" t="inlineStr">
        <is>
          <t>Medicare: $ per visit</t>
        </is>
      </c>
      <c r="B7" s="7" t="inlineStr">
        <is>
          <t>C14</t>
        </is>
      </c>
      <c r="C7" s="7" t="inlineStr">
        <is>
          <t>$87</t>
        </is>
      </c>
      <c r="D7" s="7" t="inlineStr">
        <is>
          <t>Average AllowedAmount per 2025 D400 claim = $86.83 (denied and appealed claims carry an AllowedAmount of $0 and count as $0), rounded to the dollar</t>
        </is>
      </c>
      <c r="E7" s="7" t="inlineStr">
        <is>
          <t>claims.csv</t>
        </is>
      </c>
    </row>
    <row r="8">
      <c r="A8" s="7" t="inlineStr">
        <is>
          <t>Medicare Advantage: $ per visit</t>
        </is>
      </c>
      <c r="B8" s="7" t="inlineStr">
        <is>
          <t>C15</t>
        </is>
      </c>
      <c r="C8" s="7" t="inlineStr">
        <is>
          <t>$88</t>
        </is>
      </c>
      <c r="D8" s="7" t="inlineStr">
        <is>
          <t>Average AllowedAmount per 2025 D400 claim = $87.88 (denied and appealed claims carry an AllowedAmount of $0 and count as $0), rounded to the dollar</t>
        </is>
      </c>
      <c r="E8" s="7" t="inlineStr">
        <is>
          <t>claims.csv</t>
        </is>
      </c>
    </row>
    <row r="9">
      <c r="A9" s="7" t="inlineStr">
        <is>
          <t>Medicaid: $ per visit</t>
        </is>
      </c>
      <c r="B9" s="7" t="inlineStr">
        <is>
          <t>C16</t>
        </is>
      </c>
      <c r="C9" s="7" t="inlineStr">
        <is>
          <t>$66</t>
        </is>
      </c>
      <c r="D9" s="7" t="inlineStr">
        <is>
          <t>Average AllowedAmount per 2025 D400 claim = $66.09 (denied and appealed claims carry an AllowedAmount of $0 and count as $0), rounded to the dollar</t>
        </is>
      </c>
      <c r="E9" s="7" t="inlineStr">
        <is>
          <t>claims.csv</t>
        </is>
      </c>
    </row>
    <row r="10">
      <c r="A10" s="7" t="inlineStr">
        <is>
          <t>Commercial (incl. Workers' Comp): $ per visit</t>
        </is>
      </c>
      <c r="B10" s="7" t="inlineStr">
        <is>
          <t>C17</t>
        </is>
      </c>
      <c r="C10" s="7" t="inlineStr">
        <is>
          <t>$142</t>
        </is>
      </c>
      <c r="D10" s="7" t="inlineStr">
        <is>
          <t>Average AllowedAmount per 2025 D400 claim = $141.57 (denied and appealed claims carry an AllowedAmount of $0 and count as $0), rounded to the dollar</t>
        </is>
      </c>
      <c r="E10" s="7" t="inlineStr">
        <is>
          <t>claims.csv</t>
        </is>
      </c>
    </row>
    <row r="11">
      <c r="A11" s="7" t="inlineStr">
        <is>
          <t>Self-Pay: $ per visit</t>
        </is>
      </c>
      <c r="B11" s="7" t="inlineStr">
        <is>
          <t>C18</t>
        </is>
      </c>
      <c r="C11" s="7" t="inlineStr">
        <is>
          <t>$120</t>
        </is>
      </c>
      <c r="D11" s="7" t="inlineStr">
        <is>
          <t>Average AllowedAmount per 2025 D400 claim = $120.13 (denied and appealed claims carry an AllowedAmount of $0 and count as $0), rounded to the dollar</t>
        </is>
      </c>
      <c r="E11" s="7" t="inlineStr">
        <is>
          <t>claims.csv</t>
        </is>
      </c>
    </row>
    <row r="12">
      <c r="A12" s="7" t="inlineStr">
        <is>
          <t>RN hourly rate</t>
        </is>
      </c>
      <c r="B12" s="7" t="inlineStr">
        <is>
          <t>B28</t>
        </is>
      </c>
      <c r="C12" s="7" t="inlineStr">
        <is>
          <t>$42.73</t>
        </is>
      </c>
      <c r="D12" s="7" t="inlineStr">
        <is>
          <t>Median HourlyRate of the 331 active employees with JobTitle = Registered Nurse</t>
        </is>
      </c>
      <c r="E12" s="7" t="inlineStr">
        <is>
          <t>employees.csv</t>
        </is>
      </c>
    </row>
    <row r="13">
      <c r="A13" s="7" t="inlineStr">
        <is>
          <t>LPN hourly rate</t>
        </is>
      </c>
      <c r="B13" s="7" t="inlineStr">
        <is>
          <t>B29</t>
        </is>
      </c>
      <c r="C13" s="7" t="inlineStr">
        <is>
          <t>$27.73</t>
        </is>
      </c>
      <c r="D13" s="7" t="inlineStr">
        <is>
          <t>Median HourlyRate of the 21 active employees with JobTitle = Licensed Practical Nurse</t>
        </is>
      </c>
      <c r="E13" s="7" t="inlineStr">
        <is>
          <t>employees.csv</t>
        </is>
      </c>
    </row>
    <row r="14">
      <c r="A14" s="7" t="inlineStr">
        <is>
          <t>CNA hourly rate</t>
        </is>
      </c>
      <c r="B14" s="7" t="inlineStr">
        <is>
          <t>B30</t>
        </is>
      </c>
      <c r="C14" s="7" t="inlineStr">
        <is>
          <t>$19.74</t>
        </is>
      </c>
      <c r="D14" s="7" t="inlineStr">
        <is>
          <t>Median HourlyRate of the 90 active employees with JobTitle = Certified Nursing Assistant</t>
        </is>
      </c>
      <c r="E14" s="7" t="inlineStr">
        <is>
          <t>employees.csv</t>
        </is>
      </c>
    </row>
    <row r="15">
      <c r="A15" s="7" t="inlineStr">
        <is>
          <t>Front desk hourly rate</t>
        </is>
      </c>
      <c r="B15" s="7" t="inlineStr">
        <is>
          <t>B31</t>
        </is>
      </c>
      <c r="C15" s="7" t="inlineStr">
        <is>
          <t>$18.86</t>
        </is>
      </c>
      <c r="D15" s="7" t="inlineStr">
        <is>
          <t>Median HourlyRate of the 37 active employees with JobTitle = Unit Secretary</t>
        </is>
      </c>
      <c r="E15" s="7" t="inlineStr">
        <is>
          <t>employees.csv</t>
        </is>
      </c>
    </row>
    <row r="16">
      <c r="A16" s="7" t="inlineStr">
        <is>
          <t>Benefits load</t>
        </is>
      </c>
      <c r="B16" s="7" t="inlineStr">
        <is>
          <t>B32</t>
        </is>
      </c>
      <c r="C16" s="7" t="inlineStr">
        <is>
          <t>26.7%</t>
        </is>
      </c>
      <c r="D16" s="7" t="inlineStr">
        <is>
          <t>2025 D400 Employee Benefits ÷ Salaries &amp; Wages actuals = $924,124 ÷ $3,464,937 = 26.67%</t>
        </is>
      </c>
      <c r="E16" s="7" t="inlineStr">
        <is>
          <t>budget.csv</t>
        </is>
      </c>
    </row>
    <row r="17">
      <c r="A17" s="7" t="inlineStr">
        <is>
          <t>Medical supplies per visit</t>
        </is>
      </c>
      <c r="B17" s="7" t="inlineStr">
        <is>
          <t>B34</t>
        </is>
      </c>
      <c r="C17" s="7" t="inlineStr">
        <is>
          <t>$4.39</t>
        </is>
      </c>
      <c r="D17" s="7" t="inlineStr">
        <is>
          <t>2025 D400 Medical Supplies actual, monthly average $18,418 ÷ 4,200 planned visits per month</t>
        </is>
      </c>
      <c r="E17" s="7" t="inlineStr">
        <is>
          <t>budget.csv</t>
        </is>
      </c>
    </row>
    <row r="18">
      <c r="A18" s="7" t="inlineStr">
        <is>
          <t>Vaccines &amp; injectables per visit</t>
        </is>
      </c>
      <c r="B18" s="7" t="inlineStr">
        <is>
          <t>B35</t>
        </is>
      </c>
      <c r="C18" s="7" t="inlineStr">
        <is>
          <t>$1.27</t>
        </is>
      </c>
      <c r="D18" s="7" t="inlineStr">
        <is>
          <t>2025 D400 Pharmaceuticals actual, monthly average $5,329 ÷ 4,200 planned visits per month</t>
        </is>
      </c>
      <c r="E18" s="7" t="inlineStr">
        <is>
          <t>budget.csv</t>
        </is>
      </c>
    </row>
    <row r="19">
      <c r="A19" s="7" t="inlineStr">
        <is>
          <t>Facility &amp; equipment</t>
        </is>
      </c>
      <c r="B19" s="7" t="inlineStr">
        <is>
          <t>B37</t>
        </is>
      </c>
      <c r="C19" s="7" t="inlineStr">
        <is>
          <t>$11,500</t>
        </is>
      </c>
      <c r="D19" s="7" t="inlineStr">
        <is>
          <t>2025 D400 Equipment &amp; Maintenance actual, monthly average $11,461, rounded to the nearest $100</t>
        </is>
      </c>
      <c r="E19" s="7" t="inlineStr">
        <is>
          <t>budget.csv</t>
        </is>
      </c>
    </row>
    <row r="20">
      <c r="A20" s="7" t="inlineStr">
        <is>
          <t>IT, EHR &amp; purchased services</t>
        </is>
      </c>
      <c r="B20" s="7" t="inlineStr">
        <is>
          <t>B38</t>
        </is>
      </c>
      <c r="C20" s="7" t="inlineStr">
        <is>
          <t>$24,200</t>
        </is>
      </c>
      <c r="D20" s="7" t="inlineStr">
        <is>
          <t>2025 D400 Purchased Services actual, monthly average $24,218, rounded to the nearest $100</t>
        </is>
      </c>
      <c r="E20" s="7" t="inlineStr">
        <is>
          <t>budget.csv</t>
        </is>
      </c>
    </row>
    <row r="21">
      <c r="A21" s="7" t="inlineStr">
        <is>
          <t>Other operating</t>
        </is>
      </c>
      <c r="B21" s="7" t="inlineStr">
        <is>
          <t>B39</t>
        </is>
      </c>
      <c r="C21" s="7" t="inlineStr">
        <is>
          <t>$14,000</t>
        </is>
      </c>
      <c r="D21" s="7" t="inlineStr">
        <is>
          <t>2025 D400 Other Operating actual, monthly average $13,984, rounded to the nearest $100</t>
        </is>
      </c>
      <c r="E21" s="7" t="inlineStr">
        <is>
          <t>budget.csv</t>
        </is>
      </c>
    </row>
    <row r="22">
      <c r="A22" s="7" t="inlineStr">
        <is>
          <t>Everything else on the Model</t>
        </is>
      </c>
      <c r="B22" s="7" t="inlineStr">
        <is>
          <t>—</t>
        </is>
      </c>
      <c r="C22" s="7" t="inlineStr">
        <is>
          <t>—</t>
        </is>
      </c>
      <c r="D22" s="7" t="inlineStr">
        <is>
          <t>Planning assumptions for FY2026: clinic days, visits per day, provider and staff FTEs, provider salaries, visits per provider per day, paid hours per FTE, and the billing fee. Staffing hours per visit are on the Staffing sheet.</t>
        </is>
      </c>
      <c r="E22" s="7" t="inlineStr">
        <is>
          <t>Plan (not from data)</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BF9000"/>
    <outlinePr summaryBelow="1" summaryRight="1"/>
    <pageSetUpPr fitToPage="1"/>
  </sheetPr>
  <dimension ref="A1:E9"/>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3.6 · Bonus: Staff the 2026 growth plan</t>
        </is>
      </c>
    </row>
    <row r="2" ht="49" customHeight="1">
      <c r="A2" s="14" t="inlineStr">
        <is>
          <t>Bluestone wants the Primary Care Clinic to grow to 220 visits per day in 2026 by adding a fourth advanced practice provider (APP: a nurse practitioner or physician assistant). Capacity rises from 208 to 226 visits per day. HR hires whole people, so every role needs a whole number of 1.0-FTE staff. Only 6 CNA positions are approved (Staffing!B12). Find the cheapest staffing plan, then test the full plan in the Model's P&amp;L.</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"&amp;COUNTIF(E6:E9,"✔*")&amp;" of 4 auto-checked tasks correct"</f>
        <v/>
      </c>
    </row>
    <row r="5">
      <c r="A5" s="17" t="inlineStr">
        <is>
          <t>#</t>
        </is>
      </c>
      <c r="B5" s="17" t="inlineStr">
        <is>
          <t>Task</t>
        </is>
      </c>
      <c r="C5" s="17" t="inlineStr">
        <is>
          <t>Hint</t>
        </is>
      </c>
      <c r="D5" s="17" t="inlineStr">
        <is>
          <t>Your Answer</t>
        </is>
      </c>
      <c r="E5" s="17" t="inlineStr">
        <is>
          <t>Check</t>
        </is>
      </c>
    </row>
    <row r="6" ht="66" customHeight="1">
      <c r="A6" s="18" t="inlineStr">
        <is>
          <t>B1</t>
        </is>
      </c>
      <c r="B6" s="19" t="inlineStr">
        <is>
          <t>On the Staffing sheet, change B6 to 220. Re-run Solver with two more constraints: B18:B20 = int (integer) and B28 &lt;= D28 (the CNA cap). In Solver Options, set Integer Optimality (%) to 0. What is the minimum monthly staff cost? Round to the nearest dollar.</t>
        </is>
      </c>
      <c r="C6" s="20" t="inlineStr">
        <is>
          <t>In Add Constraint, pick int from the middle list. Integer Optimality is on the All Methods tab of Options</t>
        </is>
      </c>
      <c r="D6" s="29" t="n"/>
      <c r="E6" s="22">
        <f>IF(IFERROR(D6="",FALSE),"",IF(IFERROR(AND(ISNUMBER(D6),OR(ABS(D6-'Bonus Key'!$C$5)&lt;=0.51)),FALSE),"✔ Correct","✘ Not yet"))</f>
        <v/>
      </c>
    </row>
    <row r="7" ht="36" customHeight="1">
      <c r="A7" s="18" t="inlineStr">
        <is>
          <t>B2</t>
        </is>
      </c>
      <c r="B7" s="19" t="inlineStr">
        <is>
          <t>How many RNs does that plan hire?</t>
        </is>
      </c>
      <c r="C7" s="20" t="inlineStr">
        <is>
          <t>Read Staffing!B18. The RN rule in row 27 should still say OK</t>
        </is>
      </c>
      <c r="D7" s="28" t="n"/>
      <c r="E7" s="22">
        <f>IF(IFERROR(D7="",FALSE),"",IF(IFERROR(AND(ISNUMBER(D7),OR(ABS(D7-'Bonus Key'!$C$6)&lt;=0.0001)),FALSE),"✔ Correct","✘ Not yet"))</f>
        <v/>
      </c>
    </row>
    <row r="8" ht="36" customHeight="1">
      <c r="A8" s="18" t="inlineStr">
        <is>
          <t>B3</t>
        </is>
      </c>
      <c r="B8" s="19" t="inlineStr">
        <is>
          <t>How many LPNs does that plan hire?</t>
        </is>
      </c>
      <c r="C8" s="20" t="inlineStr">
        <is>
          <t>Is rounding the fractional answer up the same thing?</t>
        </is>
      </c>
      <c r="D8" s="28" t="n"/>
      <c r="E8" s="22">
        <f>IF(IFERROR(D8="",FALSE),"",IF(IFERROR(AND(ISNUMBER(D8),OR(ABS(D8-'Bonus Key'!$C$7)&lt;=0.0001)),FALSE),"✔ Correct","✘ Not yet"))</f>
        <v/>
      </c>
    </row>
    <row r="9" ht="96" customHeight="1">
      <c r="A9" s="18" t="inlineStr">
        <is>
          <t>B4</t>
        </is>
      </c>
      <c r="B9" s="19" t="inlineStr">
        <is>
          <t>Test the plan in the P&amp;L. On the Model, first select the Base plan scenario and click Show, so the payer mix and billing fee are back at their base values. Then add two more scenarios that change B8, B10, and B21:B23 (visits per day, APP FTEs, and RN, LPN, and CNA FTEs, in that order): Today (200, 3, 5, 3, 8) and Growth 2026 (220, 4, and the RN, LPN, and CNA counts in Staffing!B18:B20). What operating income does Growth 2026 produce? Round to the nearest dollar.</t>
        </is>
      </c>
      <c r="C9" s="20" t="inlineStr">
        <is>
          <t>A scenario changes only its own cells. Every other input keeps the value it has when you click Show</t>
        </is>
      </c>
      <c r="D9" s="29" t="n"/>
      <c r="E9" s="22">
        <f>IF(IFERROR(D9="",FALSE),"",IF(IFERROR(AND(ISNUMBER(D9),OR(ABS(D9-'Bonus Key'!$C$8)&lt;=0.51)),FALSE),"✔ Correct","✘ Not yet"))</f>
        <v/>
      </c>
    </row>
  </sheetData>
  <mergeCells count="3">
    <mergeCell ref="A2:E2"/>
    <mergeCell ref="A4:C4"/>
    <mergeCell ref="A3:E3"/>
  </mergeCells>
  <conditionalFormatting sqref="E6:E9">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71" t="inlineStr">
        <is>
          <t>🔑 Answer Key — Lesson 3.6</t>
        </is>
      </c>
    </row>
    <row r="2" ht="32" customHeight="1">
      <c r="A2" s="72" t="inlineStr">
        <is>
          <t>Spoiler alert: try every task before reading this sheet. Column C is the value the Check column compares against. Column D is a sample solution, and column E recalculates a formula for it live, proving the answer.</t>
        </is>
      </c>
    </row>
    <row r="3"/>
    <row r="4">
      <c r="A4" s="73" t="inlineStr">
        <is>
          <t>#</t>
        </is>
      </c>
      <c r="B4" s="73" t="inlineStr">
        <is>
          <t>Task</t>
        </is>
      </c>
      <c r="C4" s="73" t="inlineStr">
        <is>
          <t>Answer</t>
        </is>
      </c>
      <c r="D4" s="73" t="inlineStr">
        <is>
          <t>Sample solution</t>
        </is>
      </c>
      <c r="E4" s="73" t="inlineStr">
        <is>
          <t>Live result</t>
        </is>
      </c>
      <c r="F4" s="73" t="inlineStr">
        <is>
          <t>Explanation</t>
        </is>
      </c>
    </row>
    <row r="5" ht="111" customHeight="1">
      <c r="A5" s="18" t="inlineStr">
        <is>
          <t>1</t>
        </is>
      </c>
      <c r="B5" s="19" t="inlineStr">
        <is>
          <t>On the Model sheet, complete the yellow Operating income cell (B59): net patient revenue minus total operating expenses. The gray cell here reads your formula. What is the clinic's base-case operating income per month?</t>
        </is>
      </c>
      <c r="C5" s="74" t="n">
        <v>-8618.719999999999</v>
      </c>
      <c r="D5" s="75" t="inlineStr">
        <is>
          <t>=B44-B56</t>
        </is>
      </c>
      <c r="E5" cm="1" s="76">
        <f t="array" ref="E5">Model!B44-Model!B56</f>
        <v/>
      </c>
      <c r="F5" s="19" t="inlineStr">
        <is>
          <t>Operating income is revenue minus expenses, and both already exist as calculation rows (B44 and B56). Because those cells are named, =NetRevenue-TotalExpenses works too and reads better. The clinic loses about $8,619 a month in the base case. That's common for hospital-owned primary care, which is why the rest of the lesson asks what it would take to break even.</t>
        </is>
      </c>
    </row>
    <row r="6" ht="66" customHeight="1">
      <c r="A6" s="18" t="inlineStr">
        <is>
          <t>2</t>
        </is>
      </c>
      <c r="B6" s="19" t="inlineStr">
        <is>
          <t>Complete the yellow Operating margin cell (B60): operating income as a share of net patient revenue. What is the base-case operating margin? The cell is already formatted as a percentage.</t>
        </is>
      </c>
      <c r="C6" s="77" t="n">
        <v>-0.01924463992647546</v>
      </c>
      <c r="D6" s="75" t="inlineStr">
        <is>
          <t>=B59/B44</t>
        </is>
      </c>
      <c r="E6" cm="1" s="78">
        <f t="array" ref="E6">(Model!B44-Model!B56)/Model!B44</f>
        <v/>
      </c>
      <c r="F6" s="19" t="inlineStr">
        <is>
          <t>Margin divides operating income by revenue (=OperatingIncome/NetRevenue). A margin lets you compare a small clinic with a large hospital, which a dollar figure can't. Goal Seek will aim at this cell in task 5.</t>
        </is>
      </c>
    </row>
    <row r="7" ht="141" customHeight="1">
      <c r="A7" s="18" t="inlineStr">
        <is>
          <t>3</t>
        </is>
      </c>
      <c r="B7" s="19" t="inlineStr">
        <is>
          <t>Audit the model. One formula in the CALCULATIONS section (rows 42–56) has a number typed into it instead of a reference to its input cell. Type that cell's address (for example B99). Then fix the formula so it points to the input. Task 10 depends on the fix.</t>
        </is>
      </c>
      <c r="C7" s="79" t="inlineStr">
        <is>
          <t>B52</t>
        </is>
      </c>
      <c r="D7" s="75" t="inlineStr">
        <is>
          <t>1. On the Model sheet, choose Formulas → Show Formulas (or press the Show Formulas shortcut from section 2), and read down rows 42–56.
2. B52 reads =NetRevenue*0.04. The 4% is typed in, although the fee has its own input cell, B36.
3. Change B52 to =NetRevenue*BillingFeePct (or =B44*B36), then turn Show Formulas off again to see values.</t>
        </is>
      </c>
      <c r="E7" s="18" t="inlineStr">
        <is>
          <t>—</t>
        </is>
      </c>
      <c r="F7" s="19" t="inlineStr">
        <is>
          <t>Today both versions return the same number, so nothing looks wrong. The trouble starts when someone changes the fee input in B36: the model ignores it. Another way to catch this is Formulas → Trace Dependents on B36. Excel draws no arrows and tells you no formula refers to the active cell, because no formula reads that input.</t>
        </is>
      </c>
    </row>
    <row r="8" ht="126" customHeight="1">
      <c r="A8" s="18" t="inlineStr">
        <is>
          <t>4</t>
        </is>
      </c>
      <c r="B8" s="19" t="inlineStr">
        <is>
          <t>On the Model sheet, use Goal Seek to find the break-even volume: set Operating income (B59) to 0 by changing Visits per day (B8). How many visits per day does the clinic need? Round to 1 decimal place, then click Cancel to restore 200.</t>
        </is>
      </c>
      <c r="C8" s="80" t="n">
        <v>204.2</v>
      </c>
      <c r="D8" s="75" t="inlineStr">
        <is>
          <t>1. On the Model sheet, choose Data → What-If Analysis → Goal Seek.
2. Set cell: B59 · To value: 0 · By changing cell: B8.
3. Click OK. B8 shows 204.2 (the cell holds 204.2440…). Note it, then click Cancel.</t>
        </is>
      </c>
      <c r="E8" cm="1" s="81">
        <f t="array" ref="E8">ROUND(Model!B8-(Model!B44-Model!B56)/((Model!B43*(1-Model!B52/Model!B44)-Model!B34-Model!B35)*Model!B7),1)</f>
        <v/>
      </c>
      <c r="F8" s="19" t="inlineStr">
        <is>
          <t>Each extra visit per day adds one visit on each of the 21 clinic days. Each of those visits brings in $96.71 after the billing fee, supplies, and vaccines (its contribution margin). Fixed costs are $414,783 a month, so break-even = $414,783 ÷ ($96.71 × 21) ≈ 204.2. That is 98% of the clinic's 208-visit daily capacity, so volume alone is a fragile fix. The live result in the key does this algebra, and Goal Seek reaches the same answer by trial and error.</t>
        </is>
      </c>
    </row>
    <row r="9" ht="111" customHeight="1">
      <c r="A9" s="18" t="inlineStr">
        <is>
          <t>5</t>
        </is>
      </c>
      <c r="B9" s="19" t="inlineStr">
        <is>
          <t>The CFO is renegotiating commercial contracts. On the Model sheet, use Goal Seek to set Operating margin (B60) to 5% (type 0.05) by changing the Commercial $ per visit (C17). What commercial reimbursement per visit is needed? Round to the nearest dollar, then click Cancel to restore $142.</t>
        </is>
      </c>
      <c r="C9" s="82" t="n">
        <v>163.58</v>
      </c>
      <c r="D9" s="75" t="inlineStr">
        <is>
          <t>1. On the Model sheet, choose Data → What-If Analysis → Goal Seek.
2. Set cell: B60 · To value: 0.05 · By changing cell: C17.
3. Click OK, read C17, and click Cancel.</t>
        </is>
      </c>
      <c r="E9" cm="1" s="83">
        <f t="array" ref="E9">Model!C17+((Model!B56-Model!B52)/(1-Model!B52/Model!B44-0.05)/Model!B42-Model!B43)/Model!B17</f>
        <v/>
      </c>
      <c r="F9" s="19" t="inlineStr">
        <is>
          <t>Commercial plans would have to pay about $164 instead of $142, an increase of 15%. Only 37.6% of visits are commercial, so each extra commercial dollar moves the average reimbursement by just 37.6 cents. Margin is a ratio, so Goal Seek has to iterate here, and it stops when the margin is within its tolerance of 5%. That's why the check accepts a small range around the exact value.</t>
        </is>
      </c>
    </row>
    <row r="10" ht="81" customHeight="1">
      <c r="A10" s="18" t="inlineStr">
        <is>
          <t>6</t>
        </is>
      </c>
      <c r="B10" s="19" t="inlineStr">
        <is>
          <t>Build the one-variable Data Table in Model!F8:H17: put =B59 in G8 and =B60 in H8, select F8:H17, and use Column input cell B8. What operating margin does your table show at 190 visits per day? Enter it as a percentage to 1 decimal place.</t>
        </is>
      </c>
      <c r="C10" s="77" t="n">
        <v>-0.06799013420112369</v>
      </c>
      <c r="D10" s="75" t="inlineStr">
        <is>
          <t>=Model!H11</t>
        </is>
      </c>
      <c r="E10" s="18" t="inlineStr">
        <is>
          <t>—</t>
        </is>
      </c>
      <c r="F10" s="19" t="inlineStr">
        <is>
          <t>The visits per day values run down a column (F9:F17), so B8 is the column input cell and the row input box stays empty. For each value, Excel puts it in B8, recalculates the model, and writes the results of the formulas in row 8 into that row of the table. You can type the number or point at H11.</t>
        </is>
      </c>
    </row>
    <row r="11" ht="96" customHeight="1">
      <c r="A11" s="18" t="inlineStr">
        <is>
          <t>7</t>
        </is>
      </c>
      <c r="B11" s="19" t="inlineStr">
        <is>
          <t>Look down the Operating income column of your one-variable table. What is the lowest visits-per-day value in the table at which the clinic makes a profit (operating income above 0)?</t>
        </is>
      </c>
      <c r="C11" s="79" t="n">
        <v>205</v>
      </c>
      <c r="D11" s="75" t="inlineStr">
        <is>
          <t>=MINIFS(Model!F9:F17,Model!G9:G17,"&gt;0")</t>
        </is>
      </c>
      <c r="E11" s="18" t="inlineStr">
        <is>
          <t>—</t>
        </is>
      </c>
      <c r="F11" s="19" t="inlineStr">
        <is>
          <t>The table jumps in steps of 5, so it brackets the break-even point instead of finding it: 200 visits loses money and 205 makes money, which agrees with Goal Seek's 204.2. Use a Data Table to see the whole curve, and Goal Seek to pin down the exact crossing. MINIFS needs Excel 2019 or later. In older versions, read the value off the table and type it.</t>
        </is>
      </c>
    </row>
    <row r="12" ht="186" customHeight="1">
      <c r="A12" s="18" t="inlineStr">
        <is>
          <t>8</t>
        </is>
      </c>
      <c r="B12" s="19" t="inlineStr">
        <is>
          <t>Build the two-variable Data Table: put =B59 in the corner cell F22, select F22:K31, and use Row input cell C17 (commercial $ across row 22) and Column input cell B8 (visits per day down column F). What operating income does the table show at 210 visits per day and $160 per commercial visit? Round to the nearest dollar.</t>
        </is>
      </c>
      <c r="C12" s="84" t="n">
        <v>40342</v>
      </c>
      <c r="D12" s="75" t="inlineStr">
        <is>
          <t>=Model!J29</t>
        </is>
      </c>
      <c r="E12" s="18" t="inlineStr">
        <is>
          <t>—</t>
        </is>
      </c>
      <c r="F12" s="19" t="inlineStr">
        <is>
          <t>A two-variable table has exactly one formula, in its top-left corner. Excel substitutes each top-row value into the row input cell (C17) and each left-column value into the column input cell (B8), and fills every intersection. If you swap the two input cells, the table still fills without any warning, but with wrong numbers. So check one cell by hand. The base case is 200 visits at $142 (−$8,619), so the cell at 200 visits and $140 should be about $3,032 lower, because the clinic's 1,579 commercial visits a month each pay $2 less, minus the 4% fee on those dollars. With swapped input cells that cell would show 140 visits a day at $200, a far bigger loss.</t>
        </is>
      </c>
    </row>
    <row r="13" ht="126" customHeight="1">
      <c r="A13" s="18" t="inlineStr">
        <is>
          <t>9</t>
        </is>
      </c>
      <c r="B13" s="19" t="inlineStr">
        <is>
          <t>How many of the 45 combinations in your two-variable table (G23:K31) are profitable (operating income above 0)? Use a formula.</t>
        </is>
      </c>
      <c r="C13" s="79" t="n">
        <v>24</v>
      </c>
      <c r="D13" s="75" t="inlineStr">
        <is>
          <t>=COUNTIF(Model!G23:K31,"&gt;0")</t>
        </is>
      </c>
      <c r="E13" s="18" t="inlineStr">
        <is>
          <t>—</t>
        </is>
      </c>
      <c r="F13" s="19" t="inlineStr">
        <is>
          <t>Ordinary formulas can read a Data Table's results, so you can count them, chart them, or add conditional formatting. The profitable combinations sit in the bottom-right of the table, where volume and rate are both high. Reading down each column shows the trade-off the CFO cares about: at $130 per commercial visit the clinic first makes money at 215 visits a day, but at $170 it does at 185. A better contract lowers the volume the clinic needs to break even.</t>
        </is>
      </c>
    </row>
    <row r="14" ht="201" customHeight="1">
      <c r="A14" s="18" t="inlineStr">
        <is>
          <t>10</t>
        </is>
      </c>
      <c r="B14" s="19" t="inlineStr">
        <is>
          <t>Open Scenario Manager on the Model and add three scenarios that change B8, B16, B17 and B36. Base plan: visits per day 200, Medicaid share 14.9%, Commercial share 37.6%, billing fee 4.0%. Downside: visits per day 190, Medicaid share 17.9%, Commercial share 34.6%, billing fee 5.0%. Upside: visits per day 206, Medicaid share 12.9%, Commercial share 39.6%, billing fee 3.5%. Create a Scenario Summary with result cells B59 and B60. What is operating income in the Downside scenario? Round to the nearest dollar.</t>
        </is>
      </c>
      <c r="C14" s="84" t="n">
        <v>-41824</v>
      </c>
      <c r="D14" s="75" t="inlineStr">
        <is>
          <t>1. Select B8, then Ctrl-click (Mac: ⌘-click) B16:B17 and B36.
2. Data → What-If Analysis → Scenario Manager → Add…. Name it Base plan and click OK. The values box shows the current values, so click OK again.
3. Click Add… again for Downside and Upside. Type the values in the order B8, B16, B17, B36 (decimals like 0.179 for 17.9%).
4. Click Summary…, choose Scenario summary, set Result cells to B59,B60, and click OK. Read the Downside column on the new Scenario Summary sheet.</t>
        </is>
      </c>
      <c r="E14" s="18" t="inlineStr">
        <is>
          <t>—</t>
        </is>
      </c>
      <c r="F14" s="19" t="inlineStr">
        <is>
          <t>Fewer visits, a shift from commercial to Medicaid, and a higher vendor fee all hit income at once. If you skipped the fix in task 3, the model ignores the 5% fee and you'd see −$37,660 instead. That's exactly the kind of silent error a hard-coded number causes. The summary sheet is a snapshot. It doesn't update when the model changes, so create it again after any edit.</t>
        </is>
      </c>
    </row>
    <row r="15" ht="96" customHeight="1">
      <c r="A15" s="18" t="inlineStr">
        <is>
          <t>11</t>
        </is>
      </c>
      <c r="B15" s="19" t="inlineStr">
        <is>
          <t>From the same Scenario Summary, what operating margin does the Upside scenario produce? Enter it as a percentage to 1 decimal place.</t>
        </is>
      </c>
      <c r="C15" s="77" t="n">
        <v>0.02611461384491819</v>
      </c>
      <c r="D15" s="75" t="inlineStr">
        <is>
          <t>Read the Upside column of the OperatingMargin row on the Scenario Summary sheet.</t>
        </is>
      </c>
      <c r="E15" s="18" t="inlineStr">
        <is>
          <t>—</t>
        </is>
      </c>
      <c r="F15" s="19" t="inlineStr">
        <is>
          <t>The Upside case brings the clinic to roughly 2.6%. It takes three things at once: 6 more visits a day, 2 points of payer mix shifted from Medicaid to Commercial, and a cheaper vendor contract (3.5%). Because B59 and B60 are named, the summary labels those rows OperatingIncome and OperatingMargin instead of $B$59 and $B$60.</t>
        </is>
      </c>
    </row>
    <row r="16" ht="186" customHeight="1">
      <c r="A16" s="18" t="inlineStr">
        <is>
          <t>12</t>
        </is>
      </c>
      <c r="B16" s="19" t="inlineStr">
        <is>
          <t>On the Staffing sheet, use Solver to minimize the monthly staff cost (B31) by changing the RN, LPN, and CNA FTEs (B18:B20), subject to the three constraints in rows 25–27 (leave out the CNA cap in row 28). Keep Make Unconstrained Variables Non-Negative ticked and choose Simplex LP. What is the minimum monthly cost? Round to the nearest dollar, and type the number rather than a link to B31, because the bonus runs Solver on this sheet again.</t>
        </is>
      </c>
      <c r="C16" s="84" t="n">
        <v>88342</v>
      </c>
      <c r="D16" s="75" t="inlineStr">
        <is>
          <t>1. On the Staffing sheet, choose Data → Solver.
2. Set Objective: $B$31 · To: Min · By Changing Variable Cells: $B$18:$B$20.
3. Click Add and enter $B$25:$B$27 &gt;= $D$25:$D$27, then click OK.
4. Leave Make Unconstrained Variables Non-Negative ticked, choose Simplex LP, and click Solve.
5. Choose Keep Solver Solution, click OK, and type the value of B31, rounded to the dollar, in the answer cell.</t>
        </is>
      </c>
      <c r="E16" cm="1" s="85">
        <f t="array" ref="E16">Staffing!B8*Staffing!B10/Staffing!B13*(Staffing!B11*Staffing!D18+(1-Staffing!B11)*Staffing!D19)+Staffing!B8*(Staffing!B9-Staffing!B10)/Staffing!B13*Staffing!D20</f>
        <v/>
      </c>
      <c r="F16" s="19" t="inlineStr">
        <is>
          <t>Solver chooses 4.2 RN, 2.8 LPN and 8.0 CNA FTEs. This answer makes sense: CNAs are the cheapest staff, so they cover every hour that doesn't need a licensed nurse. The licensed hours are then split at exactly the 60% RN minimum, because LPNs cost less than RNs. Today's 5/3/8 staffing costs $96,798, so the plan saves about $8,457 a month. The key's live result rebuilds this optimum with algebra from the Staffing sheet's own cells.</t>
        </is>
      </c>
    </row>
    <row r="17" ht="141" customHeight="1">
      <c r="A17" s="18" t="inlineStr">
        <is>
          <t>13</t>
        </is>
      </c>
      <c r="B17" s="19" t="inlineStr">
        <is>
          <t>Run Solver again (same setup) and select Sensitivity under Reports before you click OK. On the Sensitivity Report sheet, what is the Shadow Price of the Total support hours constraint (Staffing!B25)? Enter it in dollars to 2 decimal places.</t>
        </is>
      </c>
      <c r="C17" s="82" t="n">
        <v>25.01</v>
      </c>
      <c r="D17" s="75" t="inlineStr">
        <is>
          <t>1. Data → Solver, same parameters as task 12, Solve.
2. In Solver Results, select Sensitivity under Reports, then click OK.
3. On the new Sensitivity Report 1 sheet, find the row for $B$25 under Constraints and read Shadow Price.</t>
        </is>
      </c>
      <c r="E17" cm="1" s="83">
        <f t="array" ref="E17">ROUND(Model!B30*(1+Model!B32),2)</f>
        <v/>
      </c>
      <c r="F17" s="19" t="inlineStr">
        <is>
          <t>Requiring one more support hour raises the minimum cost by $25.01. That's one CNA hour at $19.74 plus 26.7% benefits, because the cheapest way to cover an hour that doesn't need a licensed nurse is a CNA hour. The live result in the key repeats that arithmetic. The licensed-hours constraint (B26) has a shadow price of only $21.53, even though licensed nurses cost more. An extra licensed hour costs 0.6 RN hours plus 0.4 LPN hours, but licensed hours also count toward the total, so it replaces a CNA hour that's no longer needed.</t>
        </is>
      </c>
    </row>
  </sheetData>
  <mergeCells count="1">
    <mergeCell ref="A2:F2"/>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8"/>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71" t="inlineStr">
        <is>
          <t>🔑 Bonus Key — Lesson 3.6</t>
        </is>
      </c>
    </row>
    <row r="2" ht="32" customHeight="1">
      <c r="A2" s="72" t="inlineStr">
        <is>
          <t>Spoiler alert: try every task before reading this sheet. Column C is the value the Check column compares against, and column D shows a sample solution (steps or code).</t>
        </is>
      </c>
    </row>
    <row r="3"/>
    <row r="4">
      <c r="A4" s="73" t="inlineStr">
        <is>
          <t>#</t>
        </is>
      </c>
      <c r="B4" s="73" t="inlineStr">
        <is>
          <t>Task</t>
        </is>
      </c>
      <c r="C4" s="73" t="inlineStr">
        <is>
          <t>Answer</t>
        </is>
      </c>
      <c r="D4" s="73" t="inlineStr">
        <is>
          <t>Sample solution</t>
        </is>
      </c>
      <c r="E4" s="73" t="inlineStr">
        <is>
          <t>Live result</t>
        </is>
      </c>
      <c r="F4" s="73" t="inlineStr">
        <is>
          <t>Explanation</t>
        </is>
      </c>
    </row>
    <row r="5" ht="156" customHeight="1">
      <c r="A5" s="18" t="inlineStr">
        <is>
          <t>B1</t>
        </is>
      </c>
      <c r="B5" s="19" t="inlineStr">
        <is>
          <t>On the Staffing sheet, change B6 to 220. Re-run Solver with two more constraints: B18:B20 = int (integer) and B28 &lt;= D28 (the CNA cap). In Solver Options, set Integer Optimality (%) to 0. What is the minimum monthly staff cost? Round to the nearest dollar.</t>
        </is>
      </c>
      <c r="C5" s="84" t="n">
        <v>112488</v>
      </c>
      <c r="D5" s="75" t="inlineStr">
        <is>
          <t>1. Type 220 in Staffing!B6.
2. Data → Solver. Keep the objective, variable cells, and the three constraints from task 12.
3. Add $B$18:$B$20 int and Add $B$28 &lt;= $D$28.
4. Options → All Methods tab → Integer Optimality (%) = 0 → OK. Check that Ignore Integer Constraints is not ticked.
5. Solve, keep the solution, and read B31.</t>
        </is>
      </c>
      <c r="E5" s="18" t="inlineStr">
        <is>
          <t>—</t>
        </is>
      </c>
      <c r="F5" s="19" t="inlineStr">
        <is>
          <t>With fractions allowed, the cheapest plan costs $107,302 (6.3 RN, 4.2 LPN, 6.0 CNA). Requiring whole people raises that to $112,488, so hiring whole people costs $5,186 a month more. Solver handles integer constraints by branch and bound, solving many LPs with tighter and tighter bounds. Its default Integer Optimality of 1% lets it stop at any plan within 1% of the best possible, so set it to 0 when the exact answer matters.</t>
        </is>
      </c>
    </row>
    <row r="6" ht="36" customHeight="1">
      <c r="A6" s="18" t="inlineStr">
        <is>
          <t>B2</t>
        </is>
      </c>
      <c r="B6" s="19" t="inlineStr">
        <is>
          <t>How many RNs does that plan hire?</t>
        </is>
      </c>
      <c r="C6" s="79" t="n">
        <v>7</v>
      </c>
      <c r="D6" s="75" t="inlineStr">
        <is>
          <t>Read Staffing!B18 after Solver finishes.</t>
        </is>
      </c>
      <c r="E6" s="18" t="inlineStr">
        <is>
          <t>—</t>
        </is>
      </c>
      <c r="F6" s="19" t="inlineStr">
        <is>
          <t>7 RNs out of 11 licensed staff is 63.6%, which meets the 60% rule.</t>
        </is>
      </c>
    </row>
    <row r="7" ht="126" customHeight="1">
      <c r="A7" s="18" t="inlineStr">
        <is>
          <t>B3</t>
        </is>
      </c>
      <c r="B7" s="19" t="inlineStr">
        <is>
          <t>How many LPNs does that plan hire?</t>
        </is>
      </c>
      <c r="C7" s="79" t="n">
        <v>4</v>
      </c>
      <c r="D7" s="75" t="inlineStr">
        <is>
          <t>Read Staffing!B19 after Solver finishes.</t>
        </is>
      </c>
      <c r="E7" s="18" t="inlineStr">
        <is>
          <t>—</t>
        </is>
      </c>
      <c r="F7" s="19" t="inlineStr">
        <is>
          <t>The fractional plan needs 10.5 licensed FTEs, and 11 whole people already cover that. A tempting shortcut is to round each fractional value up, which gives 7 RN, 5 LPN and 6 CNA. That plan hires one licensed person too many and costs $5,902 a month more. It also breaks the RN rule, because 7 of 12 licensed staff is only 58.3%. Rounding each variable separately can't see how the constraints interact, but Solver's integer search can.</t>
        </is>
      </c>
    </row>
    <row r="8" ht="171" customHeight="1">
      <c r="A8" s="18" t="inlineStr">
        <is>
          <t>B4</t>
        </is>
      </c>
      <c r="B8" s="19" t="inlineStr">
        <is>
          <t>Test the plan in the P&amp;L. On the Model, first select the Base plan scenario and click Show, so the payer mix and billing fee are back at their base values. Then add two more scenarios that change B8, B10, and B21:B23 (visits per day, APP FTEs, and RN, LPN, and CNA FTEs, in that order): Today (200, 3, 5, 3, 8) and Growth 2026 (220, 4, and the RN, LPN, and CNA counts in Staffing!B18:B20). What operating income does Growth 2026 produce? Round to the nearest dollar.</t>
        </is>
      </c>
      <c r="C8" s="84" t="n">
        <v>2624</v>
      </c>
      <c r="D8" s="75" t="inlineStr">
        <is>
          <t>1. On the Model, open Scenario Manager, select Base plan, and click Show. Close the dialog.
2. Select B8, B10, and B21:B23 (Ctrl-click, or ⌘-click on a Mac).
3. Scenario Manager → Add… Today: 200, 3, 5, 3, 8.
4. Add… Growth 2026: 220, 4, 7, 4, 6.
5. Summary… with result cells B59,B60, or select Growth 2026, click Show, read B59, then Show Today to restore the base case.</t>
        </is>
      </c>
      <c r="E8" s="18" t="inlineStr">
        <is>
          <t>—</t>
        </is>
      </c>
      <c r="F8" s="19" t="inlineStr">
        <is>
          <t>The growth plan turns a −$8,619 monthly loss into $2,624 (0.5% margin). The new APP costs $10,800 plus benefits, and the larger staff costs $15,690 more a month than today's. The extra 420 visits a month each contribute $96.71, which covers both. Growth 2026 changes only its five cells, so it inherits the payer mix and billing fee already on the Model. If Upside was the last scenario you showed, Growth 2026 would quietly use Upside's mix and fee, which is why you show Base plan first. Using scenarios instead of overwriting inputs also means one click (Show Today) puts the base case back for every other task.</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3.6 — What-If Analysis: Goal Seek, Scenarios, Data Tables &amp; Solver</dc:title>
  <dcterms:created xsi:type="dcterms:W3CDTF">2026-10-02T18:50:32Z</dcterms:created>
  <dcterms:modified xsi:type="dcterms:W3CDTF">2026-10-02T18:50:32Z</dcterms:modified>
</cp:coreProperties>
</file>
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Inventory" sheetId="3" state="visible" r:id="rId3"/>
    <sheet name="Settings" sheetId="4" state="visible" r:id="rId4"/>
    <sheet name="Bonus" sheetId="5" state="visible" r:id="rId5"/>
    <sheet name="Vendors" sheetId="6" state="visible" r:id="rId6"/>
    <sheet name="Answer Key" sheetId="7" state="hidden" r:id="rId7"/>
    <sheet name="Bonus Key" sheetId="8" state="hidden" r:id="rId8"/>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numFmt numFmtId="165" formatCode="mm/dd/yyyy"/>
    <numFmt numFmtId="166" formatCode="0.0%"/>
  </numFmts>
  <fonts count="17">
    <font>
      <name val="Calibri"/>
      <family val="2"/>
      <color theme="1"/>
      <sz val="11"/>
      <scheme val="minor"/>
    </font>
    <font>
      <b val="1"/>
      <color rgb="00FFFFFF"/>
    </font>
    <font>
      <b val="1"/>
      <color rgb="00000000"/>
    </font>
    <font>
      <b val="1"/>
      <color rgb="007B2C2C"/>
      <sz val="16"/>
    </font>
    <font>
      <i val="1"/>
      <color rgb="00595959"/>
    </font>
    <font>
      <b val="1"/>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1F4E79"/>
      </patternFill>
    </fill>
    <fill>
      <patternFill patternType="solid">
        <fgColor rgb="00FFD966"/>
      </patternFill>
    </fill>
    <fill>
      <patternFill patternType="solid">
        <fgColor rgb="00FFF2CC"/>
      </patternFill>
    </fill>
    <fill>
      <patternFill patternType="solid">
        <fgColor rgb="007B2C2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2">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2" borderId="0" pivotButton="0" quotePrefix="0" xfId="0"/>
    <xf numFmtId="0" fontId="0" fillId="2"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5" fillId="4"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1"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11" fillId="6" borderId="1" applyAlignment="1" pivotButton="0" quotePrefix="0" xfId="0">
      <alignment horizontal="right" vertical="top"/>
    </xf>
    <xf numFmtId="0" fontId="5" fillId="0" borderId="1" applyAlignment="1" pivotButton="0" quotePrefix="0" xfId="0">
      <alignment vertical="top"/>
    </xf>
    <xf numFmtId="0" fontId="0" fillId="4" borderId="2" applyAlignment="1" pivotButton="0" quotePrefix="0" xfId="0">
      <alignment horizontal="right" vertical="top"/>
    </xf>
    <xf numFmtId="4" fontId="11" fillId="6" borderId="1" applyAlignment="1" pivotButton="0" quotePrefix="0" xfId="0">
      <alignment horizontal="right" vertical="top"/>
    </xf>
    <xf numFmtId="166" fontId="0" fillId="4" borderId="2" applyAlignment="1" pivotButton="0" quotePrefix="0" xfId="0">
      <alignment horizontal="right" vertical="top"/>
    </xf>
    <xf numFmtId="2" fontId="0" fillId="4" borderId="2" applyAlignment="1" pivotButton="0" quotePrefix="0" xfId="0">
      <alignment horizontal="right" vertical="top"/>
    </xf>
    <xf numFmtId="4" fontId="0" fillId="4" borderId="2" applyAlignment="1" pivotButton="0" quotePrefix="0" xfId="0">
      <alignment horizontal="right" vertical="top"/>
    </xf>
    <xf numFmtId="165" fontId="11" fillId="6" borderId="1" applyAlignment="1" pivotButton="0" quotePrefix="0" xfId="0">
      <alignment horizontal="right" vertical="top"/>
    </xf>
    <xf numFmtId="0" fontId="1" fillId="2" borderId="0" pivotButton="0" quotePrefix="0" xfId="0"/>
    <xf numFmtId="0" fontId="2" fillId="3" borderId="0" pivotButton="0" quotePrefix="0" xfId="0"/>
    <xf numFmtId="4" fontId="0" fillId="0" borderId="0" pivotButton="0" quotePrefix="0" xfId="0"/>
    <xf numFmtId="165" fontId="0" fillId="0" borderId="0" pivotButton="0" quotePrefix="0" xfId="0"/>
    <xf numFmtId="4" fontId="0" fillId="4" borderId="0" pivotButton="0" quotePrefix="0" xfId="0"/>
    <xf numFmtId="0" fontId="0" fillId="4" borderId="0" pivotButton="0" quotePrefix="0" xfId="0"/>
    <xf numFmtId="0" fontId="0" fillId="0" borderId="0" applyAlignment="1" pivotButton="0" quotePrefix="0" xfId="0">
      <alignment vertical="top"/>
    </xf>
    <xf numFmtId="165" fontId="0" fillId="0" borderId="0" applyAlignment="1" pivotButton="0" quotePrefix="0" xfId="0">
      <alignment vertical="top"/>
    </xf>
    <xf numFmtId="1" fontId="0" fillId="0" borderId="0" applyAlignment="1" pivotButton="0" quotePrefix="0" xfId="0">
      <alignment vertical="top"/>
    </xf>
    <xf numFmtId="0" fontId="0" fillId="4" borderId="2" applyAlignment="1" pivotButton="0" quotePrefix="0" xfId="0">
      <alignment horizontal="left" vertical="top"/>
    </xf>
    <xf numFmtId="0" fontId="3" fillId="0" borderId="0" pivotButton="0" quotePrefix="0" xfId="0"/>
    <xf numFmtId="0" fontId="4" fillId="0" borderId="0" applyAlignment="1" pivotButton="0" quotePrefix="0" xfId="0">
      <alignment vertical="top" wrapText="1"/>
    </xf>
    <xf numFmtId="0" fontId="1" fillId="5" borderId="1" pivotButton="0" quotePrefix="0" xfId="0"/>
    <xf numFmtId="0" fontId="5" fillId="0" borderId="1" applyAlignment="1" pivotButton="0" quotePrefix="0" xfId="0">
      <alignment vertical="top" wrapText="1"/>
    </xf>
    <xf numFmtId="0" fontId="6" fillId="0" borderId="1" applyAlignment="1" pivotButton="0" quotePrefix="1" xfId="0">
      <alignment vertical="top" wrapText="1"/>
    </xf>
    <xf numFmtId="4" fontId="5" fillId="0" borderId="1" applyAlignment="1" pivotButton="0" quotePrefix="0" xfId="0">
      <alignment vertical="top" wrapText="1"/>
    </xf>
    <xf numFmtId="4" fontId="0" fillId="0" borderId="1" applyAlignment="1" pivotButton="0" quotePrefix="0" xfId="0">
      <alignment vertical="top" wrapText="1"/>
    </xf>
    <xf numFmtId="166" fontId="5" fillId="0" borderId="1" applyAlignment="1" pivotButton="0" quotePrefix="0" xfId="0">
      <alignment vertical="top" wrapText="1"/>
    </xf>
    <xf numFmtId="166" fontId="0" fillId="0" borderId="1" applyAlignment="1" pivotButton="0" quotePrefix="0" xfId="0">
      <alignment vertical="top" wrapText="1"/>
    </xf>
    <xf numFmtId="2" fontId="5" fillId="0" borderId="1" applyAlignment="1" pivotButton="0" quotePrefix="0" xfId="0">
      <alignment vertical="top" wrapText="1"/>
    </xf>
    <xf numFmtId="2" fontId="0" fillId="0" borderId="1" applyAlignment="1" pivotButton="0" quotePrefix="0" xfId="0">
      <alignment vertical="top" wrapText="1"/>
    </xf>
    <xf numFmtId="165" fontId="5"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 Id="rIdXlcMeta"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33"/>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3.1</t>
        </is>
      </c>
    </row>
    <row r="3">
      <c r="B3" s="2" t="inlineStr">
        <is>
          <t>Excel Tables, Structured References &amp; Named Ranges</t>
        </is>
      </c>
    </row>
    <row r="4">
      <c r="B4" s="3" t="inlineStr">
        <is>
          <t>Intermediate  ·  about 105 minutes  ·  Bluestone Health System (fictional)</t>
        </is>
      </c>
    </row>
    <row r="6">
      <c r="B6" s="4" t="inlineStr">
        <is>
          <t>What you'll learn</t>
        </is>
      </c>
      <c r="C6" s="5" t="n"/>
    </row>
    <row r="7" ht="18" customHeight="1">
      <c r="B7" s="6" t="inlineStr">
        <is>
          <t>•</t>
        </is>
      </c>
      <c r="C7" s="7" t="inlineStr">
        <is>
          <t>Convert ranges to Excel Tables and name them</t>
        </is>
      </c>
    </row>
    <row r="8" ht="18" customHeight="1">
      <c r="B8" s="6" t="inlineStr">
        <is>
          <t>•</t>
        </is>
      </c>
      <c r="C8" s="7" t="inlineStr">
        <is>
          <t>Write structured references like tblInventory[UnitCost] and [@QtyOnHand]</t>
        </is>
      </c>
    </row>
    <row r="9" ht="18" customHeight="1">
      <c r="B9" s="6" t="inlineStr">
        <is>
          <t>•</t>
        </is>
      </c>
      <c r="C9" s="7" t="inlineStr">
        <is>
          <t>Use calculated columns, the Total Row, and slicers on Tables</t>
        </is>
      </c>
    </row>
    <row r="10" ht="18" customHeight="1">
      <c r="B10" s="6" t="inlineStr">
        <is>
          <t>•</t>
        </is>
      </c>
      <c r="C10" s="7" t="inlineStr">
        <is>
          <t>Create, manage, and use named ranges and named constants</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https://github.com/lmansf/learn-excel/tree/main/03-data-analysis/01-tables-named-ranges</t>
        </is>
      </c>
    </row>
    <row r="14" ht="48" customHeight="1">
      <c r="B14" s="8" t="inlineStr">
        <is>
          <t>2. Practice</t>
        </is>
      </c>
      <c r="C14" s="7" t="inlineStr">
        <is>
          <t>Go to the 'Practice' sheet. Type a formula or value into each yellow cell. For tasks 1, 3, 5, and 9, do the work on the Inventory or Settings sheet instead, and the task's gray cell on Practice reads it.</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The Inventory, Settings, and Vendors sheets are plain ranges on purpose. You turn them into Tables and named cells as part of the practice and the bonus.</t>
        </is>
      </c>
    </row>
    <row r="20">
      <c r="B20" s="4" t="inlineStr">
        <is>
          <t>Color legend</t>
        </is>
      </c>
      <c r="C20" s="5" t="n"/>
    </row>
    <row r="21" ht="18" customHeight="1">
      <c r="B21" s="9" t="inlineStr">
        <is>
          <t>Yellow cell</t>
        </is>
      </c>
      <c r="C21" s="7" t="inlineStr">
        <is>
          <t>Your answer goes here.</t>
        </is>
      </c>
    </row>
    <row r="22" ht="18" customHeight="1">
      <c r="B22" s="10" t="inlineStr">
        <is>
          <t>Gray cell</t>
        </is>
      </c>
      <c r="C22" s="7" t="inlineStr">
        <is>
          <t>Pre-filled summary formula. It reads the work you did on another sheet, so don't type over it.</t>
        </is>
      </c>
    </row>
    <row r="23" ht="18" customHeight="1">
      <c r="B23" s="11" t="inlineStr">
        <is>
          <t>✔ Correct</t>
        </is>
      </c>
      <c r="C23" s="7" t="inlineStr">
        <is>
          <t>Your answer matches the key.</t>
        </is>
      </c>
    </row>
    <row r="24" ht="18" customHeight="1">
      <c r="B24" s="12" t="inlineStr">
        <is>
          <t>✘ Not yet</t>
        </is>
      </c>
      <c r="C24" s="7" t="inlineStr">
        <is>
          <t>Not matching yet. Check the hint and try again.</t>
        </is>
      </c>
    </row>
    <row r="26">
      <c r="B26" s="4" t="inlineStr">
        <is>
          <t>Sheets in this workbook</t>
        </is>
      </c>
      <c r="C26" s="5" t="n"/>
    </row>
    <row r="27" ht="18" customHeight="1">
      <c r="B27" s="8" t="inlineStr">
        <is>
          <t>Practice</t>
        </is>
      </c>
      <c r="C27" s="7" t="inlineStr">
        <is>
          <t>12 practice tasks, each with a Check cell.</t>
        </is>
      </c>
    </row>
    <row r="28" ht="18" customHeight="1">
      <c r="B28" s="8" t="inlineStr">
        <is>
          <t>Inventory</t>
        </is>
      </c>
      <c r="C28" s="7" t="inlineStr">
        <is>
          <t>Data: 257 rows</t>
        </is>
      </c>
    </row>
    <row r="29" ht="18" customHeight="1">
      <c r="B29" s="8" t="inlineStr">
        <is>
          <t>Settings</t>
        </is>
      </c>
      <c r="C29" s="7" t="inlineStr">
        <is>
          <t>Data: 2 rows</t>
        </is>
      </c>
    </row>
    <row r="30" ht="18" customHeight="1">
      <c r="B30" s="8" t="inlineStr">
        <is>
          <t>Bonus</t>
        </is>
      </c>
      <c r="C30" s="7" t="inlineStr">
        <is>
          <t>The bonus challenge (4 parts).</t>
        </is>
      </c>
    </row>
    <row r="31" ht="18" customHeight="1">
      <c r="B31" s="8" t="inlineStr">
        <is>
          <t>Vendors</t>
        </is>
      </c>
      <c r="C31" s="7" t="inlineStr">
        <is>
          <t>Data: 7 rows</t>
        </is>
      </c>
    </row>
    <row r="32" ht="33" customHeight="1">
      <c r="B32" s="8" t="inlineStr">
        <is>
          <t>About the data</t>
        </is>
      </c>
      <c r="C32" s="7" t="inlineStr">
        <is>
          <t>Supply inventory snapshot for 15 storerooms across three Bluestone hospitals (257 stock rows, as of 12/31/2025), a Settings sheet with the report date and expiry window, and Purchasing's vendor list.</t>
        </is>
      </c>
    </row>
    <row r="33" ht="18" customHeight="1">
      <c r="B33" s="8" t="inlineStr">
        <is>
          <t>Disclaimer</t>
        </is>
      </c>
      <c r="C33"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3.1 · Practice</t>
        </is>
      </c>
    </row>
    <row r="2" ht="49" customHeight="1">
      <c r="A2" s="14" t="inlineStr">
        <is>
          <t>The tasks use the Inventory sheet: supply stock in 15 storerooms across three Bluestone hospitals, in the snapshot taken on 12/31/2025. Task 9 also uses the Settings sheet. Do the tasks in order, because later tasks use the Table, columns, Total Row, and names you create in earlier ones. After task 1, write formulas with structured references such as tblInventory[QtyOnHand] instead of cell ranges.</t>
        </is>
      </c>
    </row>
    <row r="3" ht="34" customHeight="1">
      <c r="A3" s="15" t="inlineStr">
        <is>
          <t>Type a formula or value in each yellow cell. For tasks 1, 3, 5, and 9, do the work on the Inventory or Settings sheet instead, and the gray cell here reads it. The Check column turns green when your answer matches. Stuck? Read the hint, then the lesson guide. Answers: right-click a sheet tab → Unhide… → 'Answer Key'.</t>
        </is>
      </c>
    </row>
    <row r="4">
      <c r="A4" s="16">
        <f>"Score: "&amp;COUNTIF(E6:E17,"✔*")&amp;" of 12 auto-checked tasks correct"</f>
        <v/>
      </c>
    </row>
    <row r="5">
      <c r="A5" s="17" t="inlineStr">
        <is>
          <t>#</t>
        </is>
      </c>
      <c r="B5" s="17" t="inlineStr">
        <is>
          <t>Task</t>
        </is>
      </c>
      <c r="C5" s="17" t="inlineStr">
        <is>
          <t>Hint</t>
        </is>
      </c>
      <c r="D5" s="17" t="inlineStr">
        <is>
          <t>Your Answer</t>
        </is>
      </c>
      <c r="E5" s="17" t="inlineStr">
        <is>
          <t>Check</t>
        </is>
      </c>
    </row>
    <row r="6" ht="81" customHeight="1">
      <c r="A6" s="18" t="inlineStr">
        <is>
          <t>1</t>
        </is>
      </c>
      <c r="B6" s="19" t="inlineStr">
        <is>
          <t>On the Inventory sheet, click any cell in the data and convert the range to an Excel Table with Ctrl + T (Mac: Control + T). Then rename the Table tblInventory in the Table Name box on the Table Design tab (Mac: Table tab). The gray cell finds a Table with that exact name and counts its data rows. It stays blank until the Table exists.</t>
        </is>
      </c>
      <c r="C6" s="20" t="inlineStr">
        <is>
          <t>Make sure 'My table has headers' is ticked</t>
        </is>
      </c>
      <c r="D6" cm="1" s="21">
        <f t="array" ref="D6">IFERROR(ROWS(INDIRECT("tblInventory")),"")</f>
        <v/>
      </c>
      <c r="E6" s="22">
        <f>IF(IFERROR(D6="",FALSE),"",IF(IFERROR(AND(ISNUMBER(D6),OR(ABS(D6-'Answer Key'!$C$5)&lt;=0.0001)),FALSE),"✔ Correct","✘ Not yet"))</f>
        <v/>
      </c>
    </row>
    <row r="7" ht="36" customHeight="1">
      <c r="A7" s="18" t="inlineStr">
        <is>
          <t>2</t>
        </is>
      </c>
      <c r="B7" s="19" t="inlineStr">
        <is>
          <t>How many stock rows are completely out of stock (QtyOnHand = 0)? Use a structured reference to the QtyOnHand column instead of a cell range.</t>
        </is>
      </c>
      <c r="C7" s="20" t="inlineStr">
        <is>
          <t>COUNTIF. Type tblInventory[ and pick the column from the list</t>
        </is>
      </c>
      <c r="D7" s="23" t="n"/>
      <c r="E7" s="22">
        <f>IF(IFERROR(D7="",FALSE),"",IF(IFERROR(AND(ISNUMBER(D7),OR(ABS(D7-'Answer Key'!$C$6)&lt;=0.0001)),FALSE),"✔ Correct","✘ Not yet"))</f>
        <v/>
      </c>
    </row>
    <row r="8" ht="66" customHeight="1">
      <c r="A8" s="18" t="inlineStr">
        <is>
          <t>3</t>
        </is>
      </c>
      <c r="B8" s="19" t="inlineStr">
        <is>
          <t>Fill the yellow ExtendedValue column (column R) with a calculated column: each row's QtyOnHand × UnitCost. Type the formula once in R2 and press Enter, and the Table fills every row. The gray cell totals the column: what's the value of all stock on hand across the system?</t>
        </is>
      </c>
      <c r="C8" s="20" t="inlineStr">
        <is>
          <t>Click the QtyOnHand cell in the same row while you type, and Excel writes [@QtyOnHand]</t>
        </is>
      </c>
      <c r="D8" cm="1" s="24">
        <f t="array" ref="D8">IF(COUNT(Inventory!$R$2:$R$258)=0,"",SUM(Inventory!$R$2:$R$258))</f>
        <v/>
      </c>
      <c r="E8" s="22">
        <f>IF(IFERROR(D8="",FALSE),"",IF(IFERROR(AND(ISNUMBER(D8),OR(ABS(D8-'Answer Key'!$C$7)&lt;=0.0051)),FALSE),"✔ Correct","✘ Not yet"))</f>
        <v/>
      </c>
    </row>
    <row r="9" ht="51" customHeight="1">
      <c r="A9" s="18" t="inlineStr">
        <is>
          <t>4</t>
        </is>
      </c>
      <c r="B9" s="19" t="inlineStr">
        <is>
          <t>What share of the system's total inventory value (ExtendedValue) is Orthopedic Implants stock? Divide the category's value by the total of all rows and enter it as a percentage, to 1 decimal place.</t>
        </is>
      </c>
      <c r="C9" s="20" t="inlineStr">
        <is>
          <t>SUMIFS(…)/SUM(…), both with structured references</t>
        </is>
      </c>
      <c r="D9" s="25" t="n"/>
      <c r="E9" s="22">
        <f>IF(IFERROR(D9="",FALSE),"",IF(IFERROR(AND(ISNUMBER(D9),OR(ABS(D9-'Answer Key'!$C$8)&lt;=0.00051,ABS(D9-'Answer Key'!$C$8*100)&lt;=0.051000000000000004)),FALSE),"✔ Correct","✘ Not yet"))</f>
        <v/>
      </c>
    </row>
    <row r="10" ht="51" customHeight="1">
      <c r="A10" s="18" t="inlineStr">
        <is>
          <t>5</t>
        </is>
      </c>
      <c r="B10" s="19" t="inlineStr">
        <is>
          <t>Fill the yellow NeedsReorder column (column S) with a calculated column that returns TRUE when QtyOnHand is at or below ReorderPoint, and FALSE otherwise. The gray cell counts the TRUE rows: how many stock rows need reordering?</t>
        </is>
      </c>
      <c r="C10" s="20" t="inlineStr">
        <is>
          <t>A comparison already returns TRUE or FALSE, so you don't need IF</t>
        </is>
      </c>
      <c r="D10" cm="1" s="21">
        <f t="array" ref="D10">IF(COUNTA(Inventory!$S$2:$S$258)=0,"",COUNTIF(Inventory!$S$2:$S$258,TRUE))</f>
        <v/>
      </c>
      <c r="E10" s="22">
        <f>IF(IFERROR(D10="",FALSE),"",IF(IFERROR(AND(ISNUMBER(D10),OR(ABS(D10-'Answer Key'!$C$9)&lt;=0.0001)),FALSE),"✔ Correct","✘ Not yet"))</f>
        <v/>
      </c>
    </row>
    <row r="11" ht="66" customHeight="1">
      <c r="A11" s="18" t="inlineStr">
        <is>
          <t>6</t>
        </is>
      </c>
      <c r="B11" s="19" t="inlineStr">
        <is>
          <t>Turn on the Table's Total Row and set the LeadTimeDays total to Average. Then, in the yellow cell, type = and click that Total Row cell, so Excel writes a [#Totals] reference. What's the average vendor lead time in days, to 2 decimal places?</t>
        </is>
      </c>
      <c r="C11" s="20" t="inlineStr">
        <is>
          <t>Table Design → Total Row (Windows: Ctrl + Shift + T; Mac: Table → Total Row), then use the drop-down arrow in the Total Row cell</t>
        </is>
      </c>
      <c r="D11" s="26" t="n"/>
      <c r="E11" s="22">
        <f>IF(IFERROR(D11="",FALSE),"",IF(IFERROR(AND(ISNUMBER(D11),OR(ABS(D11-'Answer Key'!$C$10)&lt;=0.0051)),FALSE),"✔ Correct","✘ Not yet"))</f>
        <v/>
      </c>
    </row>
    <row r="12" ht="51" customHeight="1">
      <c r="A12" s="18" t="inlineStr">
        <is>
          <t>7</t>
        </is>
      </c>
      <c r="B12" s="19" t="inlineStr">
        <is>
          <t>With the Total Row still on, what does =ROWS(tblInventory[#All]) return? Predict it first, then type the formula to check.</t>
        </is>
      </c>
      <c r="C12" s="20" t="inlineStr">
        <is>
          <t>#All is everything: which rows does it include that tblInventory[QtyOnHand] doesn't?</t>
        </is>
      </c>
      <c r="D12" s="23" t="n"/>
      <c r="E12" s="22">
        <f>IF(IFERROR(D12="",FALSE),"",IF(IFERROR(AND(ISNUMBER(D12),OR(ABS(D12-'Answer Key'!$C$11)&lt;=0.0001)),FALSE),"✔ Correct","✘ Not yet"))</f>
        <v/>
      </c>
    </row>
    <row r="13" ht="96" customHeight="1">
      <c r="A13" s="18" t="inlineStr">
        <is>
          <t>8</t>
        </is>
      </c>
      <c r="B13" s="19" t="inlineStr">
        <is>
          <t>Insert slicers for Facility and Category (Table Design → Insert Slicer; Mac: Table → Insert Slicer). Select Cedar Ridge Medical Center in the Facility slicer and Surgical in the Category slicer. Set the Total Row's ExtendedValue cell to Sum. What value does it show? Type the number, then clear both slicers, because while they filter the Table the Total Row (and task 6) only summarizes the visible rows.</t>
        </is>
      </c>
      <c r="C13" s="20" t="inlineStr">
        <is>
          <t>Slicers filter the Table, and SUBTOTAL ignores rows the filter hides</t>
        </is>
      </c>
      <c r="D13" s="27" t="n"/>
      <c r="E13" s="22">
        <f>IF(IFERROR(D13="",FALSE),"",IF(IFERROR(AND(ISNUMBER(D13),OR(ABS(D13-'Answer Key'!$C$12)&lt;=0.0051)),FALSE),"✔ Correct","✘ Not yet"))</f>
        <v/>
      </c>
    </row>
    <row r="14" ht="66" customHeight="1">
      <c r="A14" s="18" t="inlineStr">
        <is>
          <t>9</t>
        </is>
      </c>
      <c r="B14" s="19" t="inlineStr">
        <is>
          <t>On the Settings sheet, select A2:B3 and use Formulas → Create from Selection (tick only Left column) to name cell B2 ReportDate and cell B3 ExpiringWindowDays. The gray cell looks up both names and adds them: what date does it show?</t>
        </is>
      </c>
      <c r="C14" s="20" t="inlineStr">
        <is>
          <t>The labels in column A become the names of the cells beside them</t>
        </is>
      </c>
      <c r="D14" cm="1" s="28">
        <f t="array" ref="D14">IFERROR(INDIRECT("ReportDate")+INDIRECT("ExpiringWindowDays"),"")</f>
        <v/>
      </c>
      <c r="E14" s="22">
        <f>IF(IFERROR(D14="",FALSE),"",IF(IFERROR(AND(ISNUMBER(D14),INT(D14)=INT('Answer Key'!$C$13)),FALSE),"✔ Correct","✘ Not yet"))</f>
        <v/>
      </c>
    </row>
    <row r="15" ht="66" customHeight="1">
      <c r="A15" s="18" t="inlineStr">
        <is>
          <t>10</t>
        </is>
      </c>
      <c r="B15" s="19" t="inlineStr">
        <is>
          <t>How many stock rows expire inside the expiry window? Count rows whose ExpirationDate is later than ReportDate and no later than ReportDate + ExpiringWindowDays. Use the two names in a COUNTIFS (rows with no ExpirationDate don't count).</t>
        </is>
      </c>
      <c r="C15" s="20" t="inlineStr">
        <is>
          <t>Join an operator to a name the way you join it to a cell: "&gt;"&amp;ReportDate</t>
        </is>
      </c>
      <c r="D15" s="23" t="n"/>
      <c r="E15" s="22">
        <f>IF(IFERROR(D15="",FALSE),"",IF(IFERROR(AND(ISNUMBER(D15),OR(ABS(D15-'Answer Key'!$C$14)&lt;=0.0001)),FALSE),"✔ Correct","✘ Not yet"))</f>
        <v/>
      </c>
    </row>
    <row r="16" ht="51" customHeight="1">
      <c r="A16" s="18" t="inlineStr">
        <is>
          <t>11</t>
        </is>
      </c>
      <c r="B16" s="19" t="inlineStr">
        <is>
          <t>Expired stock must be pulled from the shelves and written off. What's the total ExtendedValue of rows whose ExpirationDate is before ReportDate? Enter it to the cent.</t>
        </is>
      </c>
      <c r="C16" s="20" t="inlineStr">
        <is>
          <t>SUMIFS with a "&lt;"&amp;ReportDate criterion</t>
        </is>
      </c>
      <c r="D16" s="27" t="n"/>
      <c r="E16" s="22">
        <f>IF(IFERROR(D16="",FALSE),"",IF(IFERROR(AND(ISNUMBER(D16),OR(ABS(D16-'Answer Key'!$C$15)&lt;=0.0051)),FALSE),"✔ Correct","✘ Not yet"))</f>
        <v/>
      </c>
    </row>
    <row r="17" ht="66" customHeight="1">
      <c r="A17" s="18" t="inlineStr">
        <is>
          <t>12</t>
        </is>
      </c>
      <c r="B17" s="19" t="inlineStr">
        <is>
          <t>Policy says every stock row must be cycle-counted at least every 30 days. Create a named constant CycleCountDays that refers to =30 with Formulas → Define Name. It doesn't live in any cell. How many rows are overdue, meaning ReportDate − LastCountDate is greater than CycleCountDays?</t>
        </is>
      </c>
      <c r="C17" s="20" t="inlineStr">
        <is>
          <t>Rearrange: overdue means LastCountDate &lt; ReportDate − CycleCountDays</t>
        </is>
      </c>
      <c r="D17" s="23" t="n"/>
      <c r="E17" s="22">
        <f>IF(IFERROR(D17="",FALSE),"",IF(IFERROR(AND(ISNUMBER(D17),OR(ABS(D17-'Answer Key'!$C$16)&lt;=0.0001)),FALSE),"✔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S258"/>
  <sheetViews>
    <sheetView tabSelected="0" workbookViewId="0">
      <pane ySplit="1" topLeftCell="A2" activePane="bottomLeft" state="frozen"/>
      <selection pane="bottomLeft" activeCell="A1" sqref="A1"/>
    </sheetView>
  </sheetViews>
  <sheetFormatPr baseColWidth="8" defaultRowHeight="15"/>
  <cols>
    <col width="9" customWidth="1" min="1" max="1"/>
    <col width="11" customWidth="1" min="2" max="2"/>
    <col width="40" customWidth="1" min="3" max="3"/>
    <col width="21" customWidth="1" min="4" max="4"/>
    <col width="27" customWidth="1" min="5" max="5"/>
    <col width="15" customWidth="1" min="6" max="6"/>
    <col width="10" customWidth="1" min="7" max="7"/>
    <col width="30" customWidth="1" min="8" max="8"/>
    <col width="26" customWidth="1" min="9" max="9"/>
    <col width="11" customWidth="1" min="10" max="10"/>
    <col width="10" customWidth="1" min="11" max="11"/>
    <col width="14" customWidth="1" min="12" max="12"/>
    <col width="12" customWidth="1" min="13" max="13"/>
    <col width="14" customWidth="1" min="14" max="14"/>
    <col width="14" customWidth="1" min="15" max="15"/>
    <col width="15" customWidth="1" min="16" max="16"/>
    <col width="11" customWidth="1" min="17" max="17"/>
    <col width="15" customWidth="1" min="18" max="18"/>
    <col width="15" customWidth="1" min="19" max="19"/>
  </cols>
  <sheetData>
    <row r="1">
      <c r="A1" s="29" t="inlineStr">
        <is>
          <t>StockID</t>
        </is>
      </c>
      <c r="B1" s="29" t="inlineStr">
        <is>
          <t>SKU</t>
        </is>
      </c>
      <c r="C1" s="29" t="inlineStr">
        <is>
          <t>ItemDescription</t>
        </is>
      </c>
      <c r="D1" s="29" t="inlineStr">
        <is>
          <t>Category</t>
        </is>
      </c>
      <c r="E1" s="29" t="inlineStr">
        <is>
          <t>Vendor</t>
        </is>
      </c>
      <c r="F1" s="29" t="inlineStr">
        <is>
          <t>UnitOfMeasure</t>
        </is>
      </c>
      <c r="G1" s="29" t="inlineStr">
        <is>
          <t>UnitCost</t>
        </is>
      </c>
      <c r="H1" s="29" t="inlineStr">
        <is>
          <t>Facility</t>
        </is>
      </c>
      <c r="I1" s="29" t="inlineStr">
        <is>
          <t>Location</t>
        </is>
      </c>
      <c r="J1" s="29" t="inlineStr">
        <is>
          <t>QtyOnHand</t>
        </is>
      </c>
      <c r="K1" s="29" t="inlineStr">
        <is>
          <t>ParLevel</t>
        </is>
      </c>
      <c r="L1" s="29" t="inlineStr">
        <is>
          <t>ReorderPoint</t>
        </is>
      </c>
      <c r="M1" s="29" t="inlineStr">
        <is>
          <t>ReorderQty</t>
        </is>
      </c>
      <c r="N1" s="29" t="inlineStr">
        <is>
          <t>LeadTimeDays</t>
        </is>
      </c>
      <c r="O1" s="29" t="inlineStr">
        <is>
          <t>LastCountDate</t>
        </is>
      </c>
      <c r="P1" s="29" t="inlineStr">
        <is>
          <t>ExpirationDate</t>
        </is>
      </c>
      <c r="Q1" s="29" t="inlineStr">
        <is>
          <t>LotNumber</t>
        </is>
      </c>
      <c r="R1" s="30" t="inlineStr">
        <is>
          <t>ExtendedValue</t>
        </is>
      </c>
      <c r="S1" s="30" t="inlineStr">
        <is>
          <t>NeedsReorder</t>
        </is>
      </c>
    </row>
    <row r="2">
      <c r="A2" t="inlineStr">
        <is>
          <t>STK4001</t>
        </is>
      </c>
      <c r="B2" t="inlineStr">
        <is>
          <t>SKU-10007</t>
        </is>
      </c>
      <c r="C2" t="inlineStr">
        <is>
          <t>Nitrile Exam Gloves Small (Box/100)</t>
        </is>
      </c>
      <c r="D2" t="inlineStr">
        <is>
          <t>PPE</t>
        </is>
      </c>
      <c r="E2" t="inlineStr">
        <is>
          <t>Harbor Health Products</t>
        </is>
      </c>
      <c r="F2" t="inlineStr">
        <is>
          <t>Box</t>
        </is>
      </c>
      <c r="G2" s="31" t="n">
        <v>8.220000000000001</v>
      </c>
      <c r="H2" t="inlineStr">
        <is>
          <t>Cedar Ridge Medical Center</t>
        </is>
      </c>
      <c r="I2" t="inlineStr">
        <is>
          <t>Emergency Department</t>
        </is>
      </c>
      <c r="J2" t="n">
        <v>527</v>
      </c>
      <c r="K2" t="n">
        <v>481</v>
      </c>
      <c r="L2" t="n">
        <v>140</v>
      </c>
      <c r="M2" t="n">
        <v>341</v>
      </c>
      <c r="N2" t="n">
        <v>2</v>
      </c>
      <c r="O2" s="32" t="n">
        <v>45999</v>
      </c>
      <c r="R2" s="33" t="n"/>
      <c r="S2" s="34" t="n"/>
    </row>
    <row r="3">
      <c r="A3" t="inlineStr">
        <is>
          <t>STK4002</t>
        </is>
      </c>
      <c r="B3" t="inlineStr">
        <is>
          <t>SKU-10014</t>
        </is>
      </c>
      <c r="C3" t="inlineStr">
        <is>
          <t>Nitrile Exam Gloves Medium (Box/100)</t>
        </is>
      </c>
      <c r="D3" t="inlineStr">
        <is>
          <t>PPE</t>
        </is>
      </c>
      <c r="E3" t="inlineStr">
        <is>
          <t>Northstar Medical Supply</t>
        </is>
      </c>
      <c r="F3" t="inlineStr">
        <is>
          <t>Box</t>
        </is>
      </c>
      <c r="G3" s="31" t="n">
        <v>7.8</v>
      </c>
      <c r="H3" t="inlineStr">
        <is>
          <t>Bluestone Memorial Hospital</t>
        </is>
      </c>
      <c r="I3" t="inlineStr">
        <is>
          <t>Medical-Surgical 4 West</t>
        </is>
      </c>
      <c r="J3" t="n">
        <v>403</v>
      </c>
      <c r="K3" t="n">
        <v>800</v>
      </c>
      <c r="L3" t="n">
        <v>313</v>
      </c>
      <c r="M3" t="n">
        <v>487</v>
      </c>
      <c r="N3" t="n">
        <v>5</v>
      </c>
      <c r="O3" s="32" t="n">
        <v>46014</v>
      </c>
      <c r="R3" s="33" t="n"/>
      <c r="S3" s="34" t="n"/>
    </row>
    <row r="4">
      <c r="A4" t="inlineStr">
        <is>
          <t>STK4003</t>
        </is>
      </c>
      <c r="B4" t="inlineStr">
        <is>
          <t>SKU-10014</t>
        </is>
      </c>
      <c r="C4" t="inlineStr">
        <is>
          <t>Nitrile Exam Gloves Medium (Box/100)</t>
        </is>
      </c>
      <c r="D4" t="inlineStr">
        <is>
          <t>PPE</t>
        </is>
      </c>
      <c r="E4" t="inlineStr">
        <is>
          <t>Northstar Medical Supply</t>
        </is>
      </c>
      <c r="F4" t="inlineStr">
        <is>
          <t>Box</t>
        </is>
      </c>
      <c r="G4" s="31" t="n">
        <v>7.8</v>
      </c>
      <c r="H4" t="inlineStr">
        <is>
          <t>Bluestone Memorial Hospital</t>
        </is>
      </c>
      <c r="I4" t="inlineStr">
        <is>
          <t>Perioperative Services</t>
        </is>
      </c>
      <c r="J4" t="n">
        <v>578</v>
      </c>
      <c r="K4" t="n">
        <v>800</v>
      </c>
      <c r="L4" t="n">
        <v>225</v>
      </c>
      <c r="M4" t="n">
        <v>575</v>
      </c>
      <c r="N4" t="n">
        <v>2</v>
      </c>
      <c r="O4" s="32" t="n">
        <v>45988</v>
      </c>
      <c r="R4" s="33" t="n"/>
      <c r="S4" s="34" t="n"/>
    </row>
    <row r="5">
      <c r="A5" t="inlineStr">
        <is>
          <t>STK4004</t>
        </is>
      </c>
      <c r="B5" t="inlineStr">
        <is>
          <t>SKU-10021</t>
        </is>
      </c>
      <c r="C5" t="inlineStr">
        <is>
          <t>Nitrile Exam Gloves Large (Box/100)</t>
        </is>
      </c>
      <c r="D5" t="inlineStr">
        <is>
          <t>PPE</t>
        </is>
      </c>
      <c r="E5" t="inlineStr">
        <is>
          <t>Northstar Medical Supply</t>
        </is>
      </c>
      <c r="F5" t="inlineStr">
        <is>
          <t>Box</t>
        </is>
      </c>
      <c r="G5" s="31" t="n">
        <v>9.279999999999999</v>
      </c>
      <c r="H5" t="inlineStr">
        <is>
          <t>Bluestone Memorial Hospital</t>
        </is>
      </c>
      <c r="I5" t="inlineStr">
        <is>
          <t>Pediatrics</t>
        </is>
      </c>
      <c r="J5" t="n">
        <v>550</v>
      </c>
      <c r="K5" t="n">
        <v>491</v>
      </c>
      <c r="L5" t="n">
        <v>179</v>
      </c>
      <c r="M5" t="n">
        <v>312</v>
      </c>
      <c r="N5" t="n">
        <v>3</v>
      </c>
      <c r="O5" s="32" t="n">
        <v>46008</v>
      </c>
      <c r="R5" s="33" t="n"/>
      <c r="S5" s="34" t="n"/>
    </row>
    <row r="6">
      <c r="A6" t="inlineStr">
        <is>
          <t>STK4005</t>
        </is>
      </c>
      <c r="B6" t="inlineStr">
        <is>
          <t>SKU-10021</t>
        </is>
      </c>
      <c r="C6" t="inlineStr">
        <is>
          <t>Nitrile Exam Gloves Large (Box/100)</t>
        </is>
      </c>
      <c r="D6" t="inlineStr">
        <is>
          <t>PPE</t>
        </is>
      </c>
      <c r="E6" t="inlineStr">
        <is>
          <t>Northstar Medical Supply</t>
        </is>
      </c>
      <c r="F6" t="inlineStr">
        <is>
          <t>Box</t>
        </is>
      </c>
      <c r="G6" s="31" t="n">
        <v>9.279999999999999</v>
      </c>
      <c r="H6" t="inlineStr">
        <is>
          <t>Bluestone Memorial Hospital</t>
        </is>
      </c>
      <c r="I6" t="inlineStr">
        <is>
          <t>Perioperative Services</t>
        </is>
      </c>
      <c r="J6" t="n">
        <v>495</v>
      </c>
      <c r="K6" t="n">
        <v>460</v>
      </c>
      <c r="L6" t="n">
        <v>155</v>
      </c>
      <c r="M6" t="n">
        <v>305</v>
      </c>
      <c r="N6" t="n">
        <v>2</v>
      </c>
      <c r="O6" s="32" t="n">
        <v>45989</v>
      </c>
      <c r="R6" s="33" t="n"/>
      <c r="S6" s="34" t="n"/>
    </row>
    <row r="7">
      <c r="A7" t="inlineStr">
        <is>
          <t>STK4006</t>
        </is>
      </c>
      <c r="B7" t="inlineStr">
        <is>
          <t>SKU-10021</t>
        </is>
      </c>
      <c r="C7" t="inlineStr">
        <is>
          <t>Nitrile Exam Gloves Large (Box/100)</t>
        </is>
      </c>
      <c r="D7" t="inlineStr">
        <is>
          <t>PPE</t>
        </is>
      </c>
      <c r="E7" t="inlineStr">
        <is>
          <t>Northstar Medical Supply</t>
        </is>
      </c>
      <c r="F7" t="inlineStr">
        <is>
          <t>Box</t>
        </is>
      </c>
      <c r="G7" s="31" t="n">
        <v>9.279999999999999</v>
      </c>
      <c r="H7" t="inlineStr">
        <is>
          <t>Ashby Falls Community Hospital</t>
        </is>
      </c>
      <c r="I7" t="inlineStr">
        <is>
          <t>Medical-Surgical</t>
        </is>
      </c>
      <c r="J7" t="n">
        <v>324</v>
      </c>
      <c r="K7" t="n">
        <v>497</v>
      </c>
      <c r="L7" t="n">
        <v>193</v>
      </c>
      <c r="M7" t="n">
        <v>304</v>
      </c>
      <c r="N7" t="n">
        <v>10</v>
      </c>
      <c r="O7" s="32" t="n">
        <v>46014</v>
      </c>
      <c r="R7" s="33" t="n"/>
      <c r="S7" s="34" t="n"/>
    </row>
    <row r="8">
      <c r="A8" t="inlineStr">
        <is>
          <t>STK4007</t>
        </is>
      </c>
      <c r="B8" t="inlineStr">
        <is>
          <t>SKU-10028</t>
        </is>
      </c>
      <c r="C8" t="inlineStr">
        <is>
          <t>Nitrile Exam Gloves X-Large (Box/100)</t>
        </is>
      </c>
      <c r="D8" t="inlineStr">
        <is>
          <t>PPE</t>
        </is>
      </c>
      <c r="E8" t="inlineStr">
        <is>
          <t>Northstar Medical Supply</t>
        </is>
      </c>
      <c r="F8" t="inlineStr">
        <is>
          <t>Box</t>
        </is>
      </c>
      <c r="G8" s="31" t="n">
        <v>7.29</v>
      </c>
      <c r="H8" t="inlineStr">
        <is>
          <t>Cedar Ridge Medical Center</t>
        </is>
      </c>
      <c r="I8" t="inlineStr">
        <is>
          <t>Emergency Department</t>
        </is>
      </c>
      <c r="J8" t="n">
        <v>703</v>
      </c>
      <c r="K8" t="n">
        <v>788</v>
      </c>
      <c r="L8" t="n">
        <v>290</v>
      </c>
      <c r="M8" t="n">
        <v>498</v>
      </c>
      <c r="N8" t="n">
        <v>7</v>
      </c>
      <c r="O8" s="32" t="n">
        <v>46013</v>
      </c>
      <c r="R8" s="33" t="n"/>
      <c r="S8" s="34" t="n"/>
    </row>
    <row r="9">
      <c r="A9" t="inlineStr">
        <is>
          <t>STK4008</t>
        </is>
      </c>
      <c r="B9" t="inlineStr">
        <is>
          <t>SKU-10035</t>
        </is>
      </c>
      <c r="C9" t="inlineStr">
        <is>
          <t>Isolation Gown, Level 2 Regular</t>
        </is>
      </c>
      <c r="D9" t="inlineStr">
        <is>
          <t>PPE</t>
        </is>
      </c>
      <c r="E9" t="inlineStr">
        <is>
          <t>CareLine Distributors</t>
        </is>
      </c>
      <c r="F9" t="inlineStr">
        <is>
          <t>Case</t>
        </is>
      </c>
      <c r="G9" s="31" t="n">
        <v>54.86</v>
      </c>
      <c r="H9" t="inlineStr">
        <is>
          <t>Bluestone Memorial Hospital</t>
        </is>
      </c>
      <c r="I9" t="inlineStr">
        <is>
          <t>Labor &amp; Delivery</t>
        </is>
      </c>
      <c r="J9" t="n">
        <v>0</v>
      </c>
      <c r="K9" t="n">
        <v>72</v>
      </c>
      <c r="L9" t="n">
        <v>18</v>
      </c>
      <c r="M9" t="n">
        <v>54</v>
      </c>
      <c r="N9" t="n">
        <v>3</v>
      </c>
      <c r="O9" s="32" t="n">
        <v>46020</v>
      </c>
      <c r="R9" s="33" t="n"/>
      <c r="S9" s="34" t="n"/>
    </row>
    <row r="10">
      <c r="A10" t="inlineStr">
        <is>
          <t>STK4009</t>
        </is>
      </c>
      <c r="B10" t="inlineStr">
        <is>
          <t>SKU-10035</t>
        </is>
      </c>
      <c r="C10" t="inlineStr">
        <is>
          <t>Isolation Gown, Level 2 Regular</t>
        </is>
      </c>
      <c r="D10" t="inlineStr">
        <is>
          <t>PPE</t>
        </is>
      </c>
      <c r="E10" t="inlineStr">
        <is>
          <t>CareLine Distributors</t>
        </is>
      </c>
      <c r="F10" t="inlineStr">
        <is>
          <t>Case</t>
        </is>
      </c>
      <c r="G10" s="31" t="n">
        <v>54.86</v>
      </c>
      <c r="H10" t="inlineStr">
        <is>
          <t>Ashby Falls Community Hospital</t>
        </is>
      </c>
      <c r="I10" t="inlineStr">
        <is>
          <t>Emergency Department</t>
        </is>
      </c>
      <c r="J10" t="n">
        <v>47</v>
      </c>
      <c r="K10" t="n">
        <v>174</v>
      </c>
      <c r="L10" t="n">
        <v>48</v>
      </c>
      <c r="M10" t="n">
        <v>126</v>
      </c>
      <c r="N10" t="n">
        <v>2</v>
      </c>
      <c r="O10" s="32" t="n">
        <v>45978</v>
      </c>
      <c r="R10" s="33" t="n"/>
      <c r="S10" s="34" t="n"/>
    </row>
    <row r="11">
      <c r="A11" t="inlineStr">
        <is>
          <t>STK4010</t>
        </is>
      </c>
      <c r="B11" t="inlineStr">
        <is>
          <t>SKU-10042</t>
        </is>
      </c>
      <c r="C11" t="inlineStr">
        <is>
          <t>Isolation Gown, Level 2 X-Large</t>
        </is>
      </c>
      <c r="D11" t="inlineStr">
        <is>
          <t>PPE</t>
        </is>
      </c>
      <c r="E11" t="inlineStr">
        <is>
          <t>CareLine Distributors</t>
        </is>
      </c>
      <c r="F11" t="inlineStr">
        <is>
          <t>Case</t>
        </is>
      </c>
      <c r="G11" s="31" t="n">
        <v>51.32</v>
      </c>
      <c r="H11" t="inlineStr">
        <is>
          <t>Bluestone Memorial Hospital</t>
        </is>
      </c>
      <c r="I11" t="inlineStr">
        <is>
          <t>Labor &amp; Delivery</t>
        </is>
      </c>
      <c r="J11" t="n">
        <v>65</v>
      </c>
      <c r="K11" t="n">
        <v>55</v>
      </c>
      <c r="L11" t="n">
        <v>19</v>
      </c>
      <c r="M11" t="n">
        <v>36</v>
      </c>
      <c r="N11" t="n">
        <v>7</v>
      </c>
      <c r="O11" s="32" t="n">
        <v>45980</v>
      </c>
      <c r="R11" s="33" t="n"/>
      <c r="S11" s="34" t="n"/>
    </row>
    <row r="12">
      <c r="A12" t="inlineStr">
        <is>
          <t>STK4011</t>
        </is>
      </c>
      <c r="B12" t="inlineStr">
        <is>
          <t>SKU-10042</t>
        </is>
      </c>
      <c r="C12" t="inlineStr">
        <is>
          <t>Isolation Gown, Level 2 X-Large</t>
        </is>
      </c>
      <c r="D12" t="inlineStr">
        <is>
          <t>PPE</t>
        </is>
      </c>
      <c r="E12" t="inlineStr">
        <is>
          <t>CareLine Distributors</t>
        </is>
      </c>
      <c r="F12" t="inlineStr">
        <is>
          <t>Case</t>
        </is>
      </c>
      <c r="G12" s="31" t="n">
        <v>51.32</v>
      </c>
      <c r="H12" t="inlineStr">
        <is>
          <t>Bluestone Memorial Hospital</t>
        </is>
      </c>
      <c r="I12" t="inlineStr">
        <is>
          <t>Perioperative Services</t>
        </is>
      </c>
      <c r="J12" t="n">
        <v>82</v>
      </c>
      <c r="K12" t="n">
        <v>77</v>
      </c>
      <c r="L12" t="n">
        <v>26</v>
      </c>
      <c r="M12" t="n">
        <v>51</v>
      </c>
      <c r="N12" t="n">
        <v>2</v>
      </c>
      <c r="O12" s="32" t="n">
        <v>45999</v>
      </c>
      <c r="R12" s="33" t="n"/>
      <c r="S12" s="34" t="n"/>
    </row>
    <row r="13">
      <c r="A13" t="inlineStr">
        <is>
          <t>STK4012</t>
        </is>
      </c>
      <c r="B13" t="inlineStr">
        <is>
          <t>SKU-10049</t>
        </is>
      </c>
      <c r="C13" t="inlineStr">
        <is>
          <t>N95 Respirator Small (Box/20)</t>
        </is>
      </c>
      <c r="D13" t="inlineStr">
        <is>
          <t>PPE</t>
        </is>
      </c>
      <c r="E13" t="inlineStr">
        <is>
          <t>Northstar Medical Supply</t>
        </is>
      </c>
      <c r="F13" t="inlineStr">
        <is>
          <t>Box</t>
        </is>
      </c>
      <c r="G13" s="31" t="n">
        <v>31.56</v>
      </c>
      <c r="H13" t="inlineStr">
        <is>
          <t>Bluestone Memorial Hospital</t>
        </is>
      </c>
      <c r="I13" t="inlineStr">
        <is>
          <t>Orthopedics &amp; Spine</t>
        </is>
      </c>
      <c r="J13" t="n">
        <v>263</v>
      </c>
      <c r="K13" t="n">
        <v>226</v>
      </c>
      <c r="L13" t="n">
        <v>86</v>
      </c>
      <c r="M13" t="n">
        <v>140</v>
      </c>
      <c r="N13" t="n">
        <v>3</v>
      </c>
      <c r="O13" s="32" t="n">
        <v>45986</v>
      </c>
      <c r="P13" s="32" t="n">
        <v>46367</v>
      </c>
      <c r="Q13" t="inlineStr">
        <is>
          <t>L567778</t>
        </is>
      </c>
      <c r="R13" s="33" t="n"/>
      <c r="S13" s="34" t="n"/>
    </row>
    <row r="14">
      <c r="A14" t="inlineStr">
        <is>
          <t>STK4013</t>
        </is>
      </c>
      <c r="B14" t="inlineStr">
        <is>
          <t>SKU-10049</t>
        </is>
      </c>
      <c r="C14" t="inlineStr">
        <is>
          <t>N95 Respirator Small (Box/20)</t>
        </is>
      </c>
      <c r="D14" t="inlineStr">
        <is>
          <t>PPE</t>
        </is>
      </c>
      <c r="E14" t="inlineStr">
        <is>
          <t>Northstar Medical Supply</t>
        </is>
      </c>
      <c r="F14" t="inlineStr">
        <is>
          <t>Box</t>
        </is>
      </c>
      <c r="G14" s="31" t="n">
        <v>31.56</v>
      </c>
      <c r="H14" t="inlineStr">
        <is>
          <t>Bluestone Memorial Hospital</t>
        </is>
      </c>
      <c r="I14" t="inlineStr">
        <is>
          <t>Oncology</t>
        </is>
      </c>
      <c r="J14" t="n">
        <v>126</v>
      </c>
      <c r="K14" t="n">
        <v>225</v>
      </c>
      <c r="L14" t="n">
        <v>88</v>
      </c>
      <c r="M14" t="n">
        <v>137</v>
      </c>
      <c r="N14" t="n">
        <v>10</v>
      </c>
      <c r="O14" s="32" t="n">
        <v>45995</v>
      </c>
      <c r="P14" s="32" t="n">
        <v>46181</v>
      </c>
      <c r="Q14" t="inlineStr">
        <is>
          <t>L705867</t>
        </is>
      </c>
      <c r="R14" s="33" t="n"/>
      <c r="S14" s="34" t="n"/>
    </row>
    <row r="15">
      <c r="A15" t="inlineStr">
        <is>
          <t>STK4014</t>
        </is>
      </c>
      <c r="B15" t="inlineStr">
        <is>
          <t>SKU-10049</t>
        </is>
      </c>
      <c r="C15" t="inlineStr">
        <is>
          <t>N95 Respirator Small (Box/20)</t>
        </is>
      </c>
      <c r="D15" t="inlineStr">
        <is>
          <t>PPE</t>
        </is>
      </c>
      <c r="E15" t="inlineStr">
        <is>
          <t>Northstar Medical Supply</t>
        </is>
      </c>
      <c r="F15" t="inlineStr">
        <is>
          <t>Box</t>
        </is>
      </c>
      <c r="G15" s="31" t="n">
        <v>31.56</v>
      </c>
      <c r="H15" t="inlineStr">
        <is>
          <t>Bluestone Memorial Hospital</t>
        </is>
      </c>
      <c r="I15" t="inlineStr">
        <is>
          <t>Laboratory</t>
        </is>
      </c>
      <c r="J15" t="n">
        <v>37</v>
      </c>
      <c r="K15" t="n">
        <v>150</v>
      </c>
      <c r="L15" t="n">
        <v>53</v>
      </c>
      <c r="M15" t="n">
        <v>97</v>
      </c>
      <c r="N15" t="n">
        <v>3</v>
      </c>
      <c r="O15" s="32" t="n">
        <v>45987</v>
      </c>
      <c r="P15" s="32" t="n">
        <v>46126</v>
      </c>
      <c r="Q15" t="inlineStr">
        <is>
          <t>L670999</t>
        </is>
      </c>
      <c r="R15" s="33" t="n"/>
      <c r="S15" s="34" t="n"/>
    </row>
    <row r="16">
      <c r="A16" t="inlineStr">
        <is>
          <t>STK4015</t>
        </is>
      </c>
      <c r="B16" t="inlineStr">
        <is>
          <t>SKU-10056</t>
        </is>
      </c>
      <c r="C16" t="inlineStr">
        <is>
          <t>N95 Respirator Regular (Box/20)</t>
        </is>
      </c>
      <c r="D16" t="inlineStr">
        <is>
          <t>PPE</t>
        </is>
      </c>
      <c r="E16" t="inlineStr">
        <is>
          <t>Northstar Medical Supply</t>
        </is>
      </c>
      <c r="F16" t="inlineStr">
        <is>
          <t>Box</t>
        </is>
      </c>
      <c r="G16" s="31" t="n">
        <v>30.79</v>
      </c>
      <c r="H16" t="inlineStr">
        <is>
          <t>Bluestone Memorial Hospital</t>
        </is>
      </c>
      <c r="I16" t="inlineStr">
        <is>
          <t>Medical-Surgical 5 East</t>
        </is>
      </c>
      <c r="J16" t="n">
        <v>121</v>
      </c>
      <c r="K16" t="n">
        <v>148</v>
      </c>
      <c r="L16" t="n">
        <v>39</v>
      </c>
      <c r="M16" t="n">
        <v>109</v>
      </c>
      <c r="N16" t="n">
        <v>3</v>
      </c>
      <c r="O16" s="32" t="n">
        <v>46014</v>
      </c>
      <c r="P16" s="32" t="n">
        <v>46324</v>
      </c>
      <c r="Q16" t="inlineStr">
        <is>
          <t>L274021</t>
        </is>
      </c>
      <c r="R16" s="33" t="n"/>
      <c r="S16" s="34" t="n"/>
    </row>
    <row r="17">
      <c r="A17" t="inlineStr">
        <is>
          <t>STK4016</t>
        </is>
      </c>
      <c r="B17" t="inlineStr">
        <is>
          <t>SKU-10056</t>
        </is>
      </c>
      <c r="C17" t="inlineStr">
        <is>
          <t>N95 Respirator Regular (Box/20)</t>
        </is>
      </c>
      <c r="D17" t="inlineStr">
        <is>
          <t>PPE</t>
        </is>
      </c>
      <c r="E17" t="inlineStr">
        <is>
          <t>Northstar Medical Supply</t>
        </is>
      </c>
      <c r="F17" t="inlineStr">
        <is>
          <t>Box</t>
        </is>
      </c>
      <c r="G17" s="31" t="n">
        <v>30.79</v>
      </c>
      <c r="H17" t="inlineStr">
        <is>
          <t>Bluestone Memorial Hospital</t>
        </is>
      </c>
      <c r="I17" t="inlineStr">
        <is>
          <t>Labor &amp; Delivery</t>
        </is>
      </c>
      <c r="J17" t="n">
        <v>36</v>
      </c>
      <c r="K17" t="n">
        <v>117</v>
      </c>
      <c r="L17" t="n">
        <v>32</v>
      </c>
      <c r="M17" t="n">
        <v>85</v>
      </c>
      <c r="N17" t="n">
        <v>10</v>
      </c>
      <c r="O17" s="32" t="n">
        <v>45983</v>
      </c>
      <c r="P17" s="32" t="n">
        <v>46487</v>
      </c>
      <c r="Q17" t="inlineStr">
        <is>
          <t>L412381</t>
        </is>
      </c>
      <c r="R17" s="33" t="n"/>
      <c r="S17" s="34" t="n"/>
    </row>
    <row r="18">
      <c r="A18" t="inlineStr">
        <is>
          <t>STK4017</t>
        </is>
      </c>
      <c r="B18" t="inlineStr">
        <is>
          <t>SKU-10056</t>
        </is>
      </c>
      <c r="C18" t="inlineStr">
        <is>
          <t>N95 Respirator Regular (Box/20)</t>
        </is>
      </c>
      <c r="D18" t="inlineStr">
        <is>
          <t>PPE</t>
        </is>
      </c>
      <c r="E18" t="inlineStr">
        <is>
          <t>Northstar Medical Supply</t>
        </is>
      </c>
      <c r="F18" t="inlineStr">
        <is>
          <t>Box</t>
        </is>
      </c>
      <c r="G18" s="31" t="n">
        <v>30.79</v>
      </c>
      <c r="H18" t="inlineStr">
        <is>
          <t>Bluestone Memorial Hospital</t>
        </is>
      </c>
      <c r="I18" t="inlineStr">
        <is>
          <t>Perioperative Services</t>
        </is>
      </c>
      <c r="J18" t="n">
        <v>71</v>
      </c>
      <c r="K18" t="n">
        <v>153</v>
      </c>
      <c r="L18" t="n">
        <v>60</v>
      </c>
      <c r="M18" t="n">
        <v>93</v>
      </c>
      <c r="N18" t="n">
        <v>3</v>
      </c>
      <c r="O18" s="32" t="n">
        <v>45989</v>
      </c>
      <c r="P18" s="32" t="n">
        <v>46118</v>
      </c>
      <c r="Q18" t="inlineStr">
        <is>
          <t>L805667</t>
        </is>
      </c>
      <c r="R18" s="33" t="n"/>
      <c r="S18" s="34" t="n"/>
    </row>
    <row r="19">
      <c r="A19" t="inlineStr">
        <is>
          <t>STK4018</t>
        </is>
      </c>
      <c r="B19" t="inlineStr">
        <is>
          <t>SKU-10063</t>
        </is>
      </c>
      <c r="C19" t="inlineStr">
        <is>
          <t>Procedure Mask, Ear Loop (Box/50)</t>
        </is>
      </c>
      <c r="D19" t="inlineStr">
        <is>
          <t>PPE</t>
        </is>
      </c>
      <c r="E19" t="inlineStr">
        <is>
          <t>CareLine Distributors</t>
        </is>
      </c>
      <c r="F19" t="inlineStr">
        <is>
          <t>Box</t>
        </is>
      </c>
      <c r="G19" s="31" t="n">
        <v>5.82</v>
      </c>
      <c r="H19" t="inlineStr">
        <is>
          <t>Bluestone Memorial Hospital</t>
        </is>
      </c>
      <c r="I19" t="inlineStr">
        <is>
          <t>Oncology</t>
        </is>
      </c>
      <c r="J19" t="n">
        <v>90</v>
      </c>
      <c r="K19" t="n">
        <v>426</v>
      </c>
      <c r="L19" t="n">
        <v>155</v>
      </c>
      <c r="M19" t="n">
        <v>271</v>
      </c>
      <c r="N19" t="n">
        <v>5</v>
      </c>
      <c r="O19" s="32" t="n">
        <v>46018</v>
      </c>
      <c r="R19" s="33" t="n"/>
      <c r="S19" s="34" t="n"/>
    </row>
    <row r="20">
      <c r="A20" t="inlineStr">
        <is>
          <t>STK4019</t>
        </is>
      </c>
      <c r="B20" t="inlineStr">
        <is>
          <t>SKU-10063</t>
        </is>
      </c>
      <c r="C20" t="inlineStr">
        <is>
          <t>Procedure Mask, Ear Loop (Box/50)</t>
        </is>
      </c>
      <c r="D20" t="inlineStr">
        <is>
          <t>PPE</t>
        </is>
      </c>
      <c r="E20" t="inlineStr">
        <is>
          <t>CareLine Distributors</t>
        </is>
      </c>
      <c r="F20" t="inlineStr">
        <is>
          <t>Box</t>
        </is>
      </c>
      <c r="G20" s="31" t="n">
        <v>5.82</v>
      </c>
      <c r="H20" t="inlineStr">
        <is>
          <t>Ashby Falls Community Hospital</t>
        </is>
      </c>
      <c r="I20" t="inlineStr">
        <is>
          <t>Emergency Department</t>
        </is>
      </c>
      <c r="J20" t="n">
        <v>158</v>
      </c>
      <c r="K20" t="n">
        <v>430</v>
      </c>
      <c r="L20" t="n">
        <v>110</v>
      </c>
      <c r="M20" t="n">
        <v>320</v>
      </c>
      <c r="N20" t="n">
        <v>7</v>
      </c>
      <c r="O20" s="32" t="n">
        <v>46016</v>
      </c>
      <c r="R20" s="33" t="n"/>
      <c r="S20" s="34" t="n"/>
    </row>
    <row r="21">
      <c r="A21" t="inlineStr">
        <is>
          <t>STK4020</t>
        </is>
      </c>
      <c r="B21" t="inlineStr">
        <is>
          <t>SKU-10063</t>
        </is>
      </c>
      <c r="C21" t="inlineStr">
        <is>
          <t>Procedure Mask, Ear Loop (Box/50)</t>
        </is>
      </c>
      <c r="D21" t="inlineStr">
        <is>
          <t>PPE</t>
        </is>
      </c>
      <c r="E21" t="inlineStr">
        <is>
          <t>CareLine Distributors</t>
        </is>
      </c>
      <c r="F21" t="inlineStr">
        <is>
          <t>Box</t>
        </is>
      </c>
      <c r="G21" s="31" t="n">
        <v>5.82</v>
      </c>
      <c r="H21" t="inlineStr">
        <is>
          <t>Cedar Ridge Medical Center</t>
        </is>
      </c>
      <c r="I21" t="inlineStr">
        <is>
          <t>Medical-Surgical</t>
        </is>
      </c>
      <c r="J21" t="n">
        <v>441</v>
      </c>
      <c r="K21" t="n">
        <v>800</v>
      </c>
      <c r="L21" t="n">
        <v>310</v>
      </c>
      <c r="M21" t="n">
        <v>490</v>
      </c>
      <c r="N21" t="n">
        <v>3</v>
      </c>
      <c r="O21" s="32" t="n">
        <v>45999</v>
      </c>
      <c r="R21" s="33" t="n"/>
      <c r="S21" s="34" t="n"/>
    </row>
    <row r="22">
      <c r="A22" t="inlineStr">
        <is>
          <t>STK4021</t>
        </is>
      </c>
      <c r="B22" t="inlineStr">
        <is>
          <t>SKU-10070</t>
        </is>
      </c>
      <c r="C22" t="inlineStr">
        <is>
          <t>Face Shield, Full Length (Box/24)</t>
        </is>
      </c>
      <c r="D22" t="inlineStr">
        <is>
          <t>PPE</t>
        </is>
      </c>
      <c r="E22" t="inlineStr">
        <is>
          <t>Harbor Health Products</t>
        </is>
      </c>
      <c r="F22" t="inlineStr">
        <is>
          <t>Box</t>
        </is>
      </c>
      <c r="G22" s="31" t="n">
        <v>19.06</v>
      </c>
      <c r="H22" t="inlineStr">
        <is>
          <t>Bluestone Memorial Hospital</t>
        </is>
      </c>
      <c r="I22" t="inlineStr">
        <is>
          <t>Medical-Surgical 5 East</t>
        </is>
      </c>
      <c r="J22" t="n">
        <v>182</v>
      </c>
      <c r="K22" t="n">
        <v>142</v>
      </c>
      <c r="L22" t="n">
        <v>49</v>
      </c>
      <c r="M22" t="n">
        <v>93</v>
      </c>
      <c r="N22" t="n">
        <v>3</v>
      </c>
      <c r="O22" s="32" t="n">
        <v>45984</v>
      </c>
      <c r="R22" s="33" t="n"/>
      <c r="S22" s="34" t="n"/>
    </row>
    <row r="23">
      <c r="A23" t="inlineStr">
        <is>
          <t>STK4022</t>
        </is>
      </c>
      <c r="B23" t="inlineStr">
        <is>
          <t>SKU-10070</t>
        </is>
      </c>
      <c r="C23" t="inlineStr">
        <is>
          <t>Face Shield, Full Length (Box/24)</t>
        </is>
      </c>
      <c r="D23" t="inlineStr">
        <is>
          <t>PPE</t>
        </is>
      </c>
      <c r="E23" t="inlineStr">
        <is>
          <t>Harbor Health Products</t>
        </is>
      </c>
      <c r="F23" t="inlineStr">
        <is>
          <t>Box</t>
        </is>
      </c>
      <c r="G23" s="31" t="n">
        <v>19.06</v>
      </c>
      <c r="H23" t="inlineStr">
        <is>
          <t>Bluestone Memorial Hospital</t>
        </is>
      </c>
      <c r="I23" t="inlineStr">
        <is>
          <t>Labor &amp; Delivery</t>
        </is>
      </c>
      <c r="J23" t="n">
        <v>337</v>
      </c>
      <c r="K23" t="n">
        <v>288</v>
      </c>
      <c r="L23" t="n">
        <v>110</v>
      </c>
      <c r="M23" t="n">
        <v>178</v>
      </c>
      <c r="N23" t="n">
        <v>5</v>
      </c>
      <c r="O23" s="32" t="n">
        <v>46004</v>
      </c>
      <c r="R23" s="33" t="n"/>
      <c r="S23" s="34" t="n"/>
    </row>
    <row r="24">
      <c r="A24" t="inlineStr">
        <is>
          <t>STK4023</t>
        </is>
      </c>
      <c r="B24" t="inlineStr">
        <is>
          <t>SKU-10070</t>
        </is>
      </c>
      <c r="C24" t="inlineStr">
        <is>
          <t>Face Shield, Full Length (Box/24)</t>
        </is>
      </c>
      <c r="D24" t="inlineStr">
        <is>
          <t>PPE</t>
        </is>
      </c>
      <c r="E24" t="inlineStr">
        <is>
          <t>Harbor Health Products</t>
        </is>
      </c>
      <c r="F24" t="inlineStr">
        <is>
          <t>Box</t>
        </is>
      </c>
      <c r="G24" s="31" t="n">
        <v>19.06</v>
      </c>
      <c r="H24" t="inlineStr">
        <is>
          <t>Bluestone Memorial Hospital</t>
        </is>
      </c>
      <c r="I24" t="inlineStr">
        <is>
          <t>Pediatrics</t>
        </is>
      </c>
      <c r="J24" t="n">
        <v>191</v>
      </c>
      <c r="K24" t="n">
        <v>322</v>
      </c>
      <c r="L24" t="n">
        <v>109</v>
      </c>
      <c r="M24" t="n">
        <v>213</v>
      </c>
      <c r="N24" t="n">
        <v>3</v>
      </c>
      <c r="O24" s="32" t="n">
        <v>45991</v>
      </c>
      <c r="R24" s="33" t="n"/>
      <c r="S24" s="34" t="n"/>
    </row>
    <row r="25">
      <c r="A25" t="inlineStr">
        <is>
          <t>STK4024</t>
        </is>
      </c>
      <c r="B25" t="inlineStr">
        <is>
          <t>SKU-10077</t>
        </is>
      </c>
      <c r="C25" t="inlineStr">
        <is>
          <t>Shoe Covers, Non-Skid (Case/300)</t>
        </is>
      </c>
      <c r="D25" t="inlineStr">
        <is>
          <t>PPE</t>
        </is>
      </c>
      <c r="E25" t="inlineStr">
        <is>
          <t>Keystone Lab Solutions</t>
        </is>
      </c>
      <c r="F25" t="inlineStr">
        <is>
          <t>Case</t>
        </is>
      </c>
      <c r="G25" s="31" t="n">
        <v>40.02</v>
      </c>
      <c r="H25" t="inlineStr">
        <is>
          <t>Bluestone Memorial Hospital</t>
        </is>
      </c>
      <c r="I25" t="inlineStr">
        <is>
          <t>Medical-Surgical 4 West</t>
        </is>
      </c>
      <c r="J25" t="n">
        <v>121</v>
      </c>
      <c r="K25" t="n">
        <v>115</v>
      </c>
      <c r="L25" t="n">
        <v>44</v>
      </c>
      <c r="M25" t="n">
        <v>71</v>
      </c>
      <c r="N25" t="n">
        <v>5</v>
      </c>
      <c r="O25" s="32" t="n">
        <v>45979</v>
      </c>
      <c r="R25" s="33" t="n"/>
      <c r="S25" s="34" t="n"/>
    </row>
    <row r="26">
      <c r="A26" t="inlineStr">
        <is>
          <t>STK4025</t>
        </is>
      </c>
      <c r="B26" t="inlineStr">
        <is>
          <t>SKU-10077</t>
        </is>
      </c>
      <c r="C26" t="inlineStr">
        <is>
          <t>Shoe Covers, Non-Skid (Case/300)</t>
        </is>
      </c>
      <c r="D26" t="inlineStr">
        <is>
          <t>PPE</t>
        </is>
      </c>
      <c r="E26" t="inlineStr">
        <is>
          <t>Keystone Lab Solutions</t>
        </is>
      </c>
      <c r="F26" t="inlineStr">
        <is>
          <t>Case</t>
        </is>
      </c>
      <c r="G26" s="31" t="n">
        <v>40.02</v>
      </c>
      <c r="H26" t="inlineStr">
        <is>
          <t>Bluestone Memorial Hospital</t>
        </is>
      </c>
      <c r="I26" t="inlineStr">
        <is>
          <t>Orthopedics &amp; Spine</t>
        </is>
      </c>
      <c r="J26" t="n">
        <v>46</v>
      </c>
      <c r="K26" t="n">
        <v>93</v>
      </c>
      <c r="L26" t="n">
        <v>32</v>
      </c>
      <c r="M26" t="n">
        <v>61</v>
      </c>
      <c r="N26" t="n">
        <v>3</v>
      </c>
      <c r="O26" s="32" t="n">
        <v>46007</v>
      </c>
      <c r="R26" s="33" t="n"/>
      <c r="S26" s="34" t="n"/>
    </row>
    <row r="27">
      <c r="A27" t="inlineStr">
        <is>
          <t>STK4026</t>
        </is>
      </c>
      <c r="B27" t="inlineStr">
        <is>
          <t>SKU-10077</t>
        </is>
      </c>
      <c r="C27" t="inlineStr">
        <is>
          <t>Shoe Covers, Non-Skid (Case/300)</t>
        </is>
      </c>
      <c r="D27" t="inlineStr">
        <is>
          <t>PPE</t>
        </is>
      </c>
      <c r="E27" t="inlineStr">
        <is>
          <t>Keystone Lab Solutions</t>
        </is>
      </c>
      <c r="F27" t="inlineStr">
        <is>
          <t>Case</t>
        </is>
      </c>
      <c r="G27" s="31" t="n">
        <v>40.02</v>
      </c>
      <c r="H27" t="inlineStr">
        <is>
          <t>Bluestone Memorial Hospital</t>
        </is>
      </c>
      <c r="I27" t="inlineStr">
        <is>
          <t>Perioperative Services</t>
        </is>
      </c>
      <c r="J27" t="n">
        <v>213</v>
      </c>
      <c r="K27" t="n">
        <v>164</v>
      </c>
      <c r="L27" t="n">
        <v>42</v>
      </c>
      <c r="M27" t="n">
        <v>122</v>
      </c>
      <c r="N27" t="n">
        <v>5</v>
      </c>
      <c r="O27" s="32" t="n">
        <v>46009</v>
      </c>
      <c r="R27" s="33" t="n"/>
      <c r="S27" s="34" t="n"/>
    </row>
    <row r="28">
      <c r="A28" t="inlineStr">
        <is>
          <t>STK4027</t>
        </is>
      </c>
      <c r="B28" t="inlineStr">
        <is>
          <t>SKU-10084</t>
        </is>
      </c>
      <c r="C28" t="inlineStr">
        <is>
          <t>IV Catheter 14G x 1.16 in</t>
        </is>
      </c>
      <c r="D28" t="inlineStr">
        <is>
          <t>IV Supplies</t>
        </is>
      </c>
      <c r="E28" t="inlineStr">
        <is>
          <t>Pinnacle Biomedical</t>
        </is>
      </c>
      <c r="F28" t="inlineStr">
        <is>
          <t>Box</t>
        </is>
      </c>
      <c r="G28" s="31" t="n">
        <v>60.04</v>
      </c>
      <c r="H28" t="inlineStr">
        <is>
          <t>Bluestone Memorial Hospital</t>
        </is>
      </c>
      <c r="I28" t="inlineStr">
        <is>
          <t>Medical-Surgical 4 West</t>
        </is>
      </c>
      <c r="J28" t="n">
        <v>44</v>
      </c>
      <c r="K28" t="n">
        <v>64</v>
      </c>
      <c r="L28" t="n">
        <v>22</v>
      </c>
      <c r="M28" t="n">
        <v>42</v>
      </c>
      <c r="N28" t="n">
        <v>14</v>
      </c>
      <c r="O28" s="32" t="n">
        <v>45977</v>
      </c>
      <c r="P28" s="32" t="n">
        <v>46233</v>
      </c>
      <c r="Q28" t="inlineStr">
        <is>
          <t>L227031</t>
        </is>
      </c>
      <c r="R28" s="33" t="n"/>
      <c r="S28" s="34" t="n"/>
    </row>
    <row r="29">
      <c r="A29" t="inlineStr">
        <is>
          <t>STK4028</t>
        </is>
      </c>
      <c r="B29" t="inlineStr">
        <is>
          <t>SKU-10091</t>
        </is>
      </c>
      <c r="C29" t="inlineStr">
        <is>
          <t>IV Catheter 16G x 1.16 in</t>
        </is>
      </c>
      <c r="D29" t="inlineStr">
        <is>
          <t>IV Supplies</t>
        </is>
      </c>
      <c r="E29" t="inlineStr">
        <is>
          <t>Pinnacle Biomedical</t>
        </is>
      </c>
      <c r="F29" t="inlineStr">
        <is>
          <t>Box</t>
        </is>
      </c>
      <c r="G29" s="31" t="n">
        <v>69.18000000000001</v>
      </c>
      <c r="H29" t="inlineStr">
        <is>
          <t>Bluestone Memorial Hospital</t>
        </is>
      </c>
      <c r="I29" t="inlineStr">
        <is>
          <t>Medical-Surgical 5 East</t>
        </is>
      </c>
      <c r="J29" t="n">
        <v>71</v>
      </c>
      <c r="K29" t="n">
        <v>108</v>
      </c>
      <c r="L29" t="n">
        <v>40</v>
      </c>
      <c r="M29" t="n">
        <v>68</v>
      </c>
      <c r="N29" t="n">
        <v>5</v>
      </c>
      <c r="O29" s="32" t="n">
        <v>46001</v>
      </c>
      <c r="P29" s="32" t="n">
        <v>46009</v>
      </c>
      <c r="Q29" t="inlineStr">
        <is>
          <t>L323955</t>
        </is>
      </c>
      <c r="R29" s="33" t="n"/>
      <c r="S29" s="34" t="n"/>
    </row>
    <row r="30">
      <c r="A30" t="inlineStr">
        <is>
          <t>STK4029</t>
        </is>
      </c>
      <c r="B30" t="inlineStr">
        <is>
          <t>SKU-10098</t>
        </is>
      </c>
      <c r="C30" t="inlineStr">
        <is>
          <t>IV Catheter 18G x 1.16 in</t>
        </is>
      </c>
      <c r="D30" t="inlineStr">
        <is>
          <t>IV Supplies</t>
        </is>
      </c>
      <c r="E30" t="inlineStr">
        <is>
          <t>Pinnacle Biomedical</t>
        </is>
      </c>
      <c r="F30" t="inlineStr">
        <is>
          <t>Box</t>
        </is>
      </c>
      <c r="G30" s="31" t="n">
        <v>73.33</v>
      </c>
      <c r="H30" t="inlineStr">
        <is>
          <t>Bluestone Memorial Hospital</t>
        </is>
      </c>
      <c r="I30" t="inlineStr">
        <is>
          <t>Oncology</t>
        </is>
      </c>
      <c r="J30" t="n">
        <v>50</v>
      </c>
      <c r="K30" t="n">
        <v>76</v>
      </c>
      <c r="L30" t="n">
        <v>29</v>
      </c>
      <c r="M30" t="n">
        <v>47</v>
      </c>
      <c r="N30" t="n">
        <v>3</v>
      </c>
      <c r="O30" s="32" t="n">
        <v>45986</v>
      </c>
      <c r="P30" s="32" t="n">
        <v>46382</v>
      </c>
      <c r="Q30" t="inlineStr">
        <is>
          <t>L551785</t>
        </is>
      </c>
      <c r="R30" s="33" t="n"/>
      <c r="S30" s="34" t="n"/>
    </row>
    <row r="31">
      <c r="A31" t="inlineStr">
        <is>
          <t>STK4030</t>
        </is>
      </c>
      <c r="B31" t="inlineStr">
        <is>
          <t>SKU-10098</t>
        </is>
      </c>
      <c r="C31" t="inlineStr">
        <is>
          <t>IV Catheter 18G x 1.16 in</t>
        </is>
      </c>
      <c r="D31" t="inlineStr">
        <is>
          <t>IV Supplies</t>
        </is>
      </c>
      <c r="E31" t="inlineStr">
        <is>
          <t>Pinnacle Biomedical</t>
        </is>
      </c>
      <c r="F31" t="inlineStr">
        <is>
          <t>Box</t>
        </is>
      </c>
      <c r="G31" s="31" t="n">
        <v>73.33</v>
      </c>
      <c r="H31" t="inlineStr">
        <is>
          <t>Bluestone Memorial Hospital</t>
        </is>
      </c>
      <c r="I31" t="inlineStr">
        <is>
          <t>Labor &amp; Delivery</t>
        </is>
      </c>
      <c r="J31" t="n">
        <v>118</v>
      </c>
      <c r="K31" t="n">
        <v>132</v>
      </c>
      <c r="L31" t="n">
        <v>46</v>
      </c>
      <c r="M31" t="n">
        <v>86</v>
      </c>
      <c r="N31" t="n">
        <v>7</v>
      </c>
      <c r="O31" s="32" t="n">
        <v>45992</v>
      </c>
      <c r="P31" s="32" t="n">
        <v>46392</v>
      </c>
      <c r="Q31" t="inlineStr">
        <is>
          <t>L490763</t>
        </is>
      </c>
      <c r="R31" s="33" t="n"/>
      <c r="S31" s="34" t="n"/>
    </row>
    <row r="32">
      <c r="A32" t="inlineStr">
        <is>
          <t>STK4031</t>
        </is>
      </c>
      <c r="B32" t="inlineStr">
        <is>
          <t>SKU-10105</t>
        </is>
      </c>
      <c r="C32" t="inlineStr">
        <is>
          <t>IV Catheter 20G x 1.16 in</t>
        </is>
      </c>
      <c r="D32" t="inlineStr">
        <is>
          <t>IV Supplies</t>
        </is>
      </c>
      <c r="E32" t="inlineStr">
        <is>
          <t>Pinnacle Biomedical</t>
        </is>
      </c>
      <c r="F32" t="inlineStr">
        <is>
          <t>Box</t>
        </is>
      </c>
      <c r="G32" s="31" t="n">
        <v>69.13</v>
      </c>
      <c r="H32" t="inlineStr">
        <is>
          <t>Ashby Falls Community Hospital</t>
        </is>
      </c>
      <c r="I32" t="inlineStr">
        <is>
          <t>Medical-Surgical</t>
        </is>
      </c>
      <c r="J32" t="n">
        <v>151</v>
      </c>
      <c r="K32" t="n">
        <v>148</v>
      </c>
      <c r="L32" t="n">
        <v>41</v>
      </c>
      <c r="M32" t="n">
        <v>107</v>
      </c>
      <c r="N32" t="n">
        <v>5</v>
      </c>
      <c r="O32" s="32" t="n">
        <v>46004</v>
      </c>
      <c r="P32" s="32" t="n">
        <v>46272</v>
      </c>
      <c r="Q32" t="inlineStr">
        <is>
          <t>L262859</t>
        </is>
      </c>
      <c r="R32" s="33" t="n"/>
      <c r="S32" s="34" t="n"/>
    </row>
    <row r="33">
      <c r="A33" t="inlineStr">
        <is>
          <t>STK4032</t>
        </is>
      </c>
      <c r="B33" t="inlineStr">
        <is>
          <t>SKU-10105</t>
        </is>
      </c>
      <c r="C33" t="inlineStr">
        <is>
          <t>IV Catheter 20G x 1.16 in</t>
        </is>
      </c>
      <c r="D33" t="inlineStr">
        <is>
          <t>IV Supplies</t>
        </is>
      </c>
      <c r="E33" t="inlineStr">
        <is>
          <t>Pinnacle Biomedical</t>
        </is>
      </c>
      <c r="F33" t="inlineStr">
        <is>
          <t>Box</t>
        </is>
      </c>
      <c r="G33" s="31" t="n">
        <v>69.13</v>
      </c>
      <c r="H33" t="inlineStr">
        <is>
          <t>Bluestone Memorial Hospital</t>
        </is>
      </c>
      <c r="I33" t="inlineStr">
        <is>
          <t>Laboratory</t>
        </is>
      </c>
      <c r="J33" t="n">
        <v>104</v>
      </c>
      <c r="K33" t="n">
        <v>190</v>
      </c>
      <c r="L33" t="n">
        <v>74</v>
      </c>
      <c r="M33" t="n">
        <v>116</v>
      </c>
      <c r="N33" t="n">
        <v>5</v>
      </c>
      <c r="O33" s="32" t="n">
        <v>45995</v>
      </c>
      <c r="P33" s="32" t="n">
        <v>46258</v>
      </c>
      <c r="Q33" t="inlineStr">
        <is>
          <t>L416786</t>
        </is>
      </c>
      <c r="R33" s="33" t="n"/>
      <c r="S33" s="34" t="n"/>
    </row>
    <row r="34">
      <c r="A34" t="inlineStr">
        <is>
          <t>STK4033</t>
        </is>
      </c>
      <c r="B34" t="inlineStr">
        <is>
          <t>SKU-10112</t>
        </is>
      </c>
      <c r="C34" t="inlineStr">
        <is>
          <t>IV Catheter 22G x 1.16 in</t>
        </is>
      </c>
      <c r="D34" t="inlineStr">
        <is>
          <t>IV Supplies</t>
        </is>
      </c>
      <c r="E34" t="inlineStr">
        <is>
          <t>Pinnacle Biomedical</t>
        </is>
      </c>
      <c r="F34" t="inlineStr">
        <is>
          <t>Box</t>
        </is>
      </c>
      <c r="G34" s="31" t="n">
        <v>68.17</v>
      </c>
      <c r="H34" t="inlineStr">
        <is>
          <t>Bluestone Memorial Hospital</t>
        </is>
      </c>
      <c r="I34" t="inlineStr">
        <is>
          <t>Oncology</t>
        </is>
      </c>
      <c r="J34" t="n">
        <v>7</v>
      </c>
      <c r="K34" t="n">
        <v>52</v>
      </c>
      <c r="L34" t="n">
        <v>19</v>
      </c>
      <c r="M34" t="n">
        <v>33</v>
      </c>
      <c r="N34" t="n">
        <v>7</v>
      </c>
      <c r="O34" s="32" t="n">
        <v>45994</v>
      </c>
      <c r="P34" s="32" t="n">
        <v>45957</v>
      </c>
      <c r="Q34" t="inlineStr">
        <is>
          <t>L236652</t>
        </is>
      </c>
      <c r="R34" s="33" t="n"/>
      <c r="S34" s="34" t="n"/>
    </row>
    <row r="35">
      <c r="A35" t="inlineStr">
        <is>
          <t>STK4034</t>
        </is>
      </c>
      <c r="B35" t="inlineStr">
        <is>
          <t>SKU-10112</t>
        </is>
      </c>
      <c r="C35" t="inlineStr">
        <is>
          <t>IV Catheter 22G x 1.16 in</t>
        </is>
      </c>
      <c r="D35" t="inlineStr">
        <is>
          <t>IV Supplies</t>
        </is>
      </c>
      <c r="E35" t="inlineStr">
        <is>
          <t>Pinnacle Biomedical</t>
        </is>
      </c>
      <c r="F35" t="inlineStr">
        <is>
          <t>Box</t>
        </is>
      </c>
      <c r="G35" s="31" t="n">
        <v>68.17</v>
      </c>
      <c r="H35" t="inlineStr">
        <is>
          <t>Cedar Ridge Medical Center</t>
        </is>
      </c>
      <c r="I35" t="inlineStr">
        <is>
          <t>Medical-Surgical</t>
        </is>
      </c>
      <c r="J35" t="n">
        <v>15</v>
      </c>
      <c r="K35" t="n">
        <v>132</v>
      </c>
      <c r="L35" t="n">
        <v>35</v>
      </c>
      <c r="M35" t="n">
        <v>97</v>
      </c>
      <c r="N35" t="n">
        <v>5</v>
      </c>
      <c r="O35" s="32" t="n">
        <v>45991</v>
      </c>
      <c r="P35" s="32" t="n">
        <v>46468</v>
      </c>
      <c r="Q35" t="inlineStr">
        <is>
          <t>L564515</t>
        </is>
      </c>
      <c r="R35" s="33" t="n"/>
      <c r="S35" s="34" t="n"/>
    </row>
    <row r="36">
      <c r="A36" t="inlineStr">
        <is>
          <t>STK4035</t>
        </is>
      </c>
      <c r="B36" t="inlineStr">
        <is>
          <t>SKU-10119</t>
        </is>
      </c>
      <c r="C36" t="inlineStr">
        <is>
          <t>IV Catheter 24G x 1.16 in</t>
        </is>
      </c>
      <c r="D36" t="inlineStr">
        <is>
          <t>IV Supplies</t>
        </is>
      </c>
      <c r="E36" t="inlineStr">
        <is>
          <t>Pinnacle Biomedical</t>
        </is>
      </c>
      <c r="F36" t="inlineStr">
        <is>
          <t>Box</t>
        </is>
      </c>
      <c r="G36" s="31" t="n">
        <v>63.47</v>
      </c>
      <c r="H36" t="inlineStr">
        <is>
          <t>Bluestone Memorial Hospital</t>
        </is>
      </c>
      <c r="I36" t="inlineStr">
        <is>
          <t>Orthopedics &amp; Spine</t>
        </is>
      </c>
      <c r="J36" t="n">
        <v>93</v>
      </c>
      <c r="K36" t="n">
        <v>69</v>
      </c>
      <c r="L36" t="n">
        <v>19</v>
      </c>
      <c r="M36" t="n">
        <v>50</v>
      </c>
      <c r="N36" t="n">
        <v>2</v>
      </c>
      <c r="O36" s="32" t="n">
        <v>45995</v>
      </c>
      <c r="P36" s="32" t="n">
        <v>46415</v>
      </c>
      <c r="Q36" t="inlineStr">
        <is>
          <t>L705292</t>
        </is>
      </c>
      <c r="R36" s="33" t="n"/>
      <c r="S36" s="34" t="n"/>
    </row>
    <row r="37">
      <c r="A37" t="inlineStr">
        <is>
          <t>STK4036</t>
        </is>
      </c>
      <c r="B37" t="inlineStr">
        <is>
          <t>SKU-10119</t>
        </is>
      </c>
      <c r="C37" t="inlineStr">
        <is>
          <t>IV Catheter 24G x 1.16 in</t>
        </is>
      </c>
      <c r="D37" t="inlineStr">
        <is>
          <t>IV Supplies</t>
        </is>
      </c>
      <c r="E37" t="inlineStr">
        <is>
          <t>Pinnacle Biomedical</t>
        </is>
      </c>
      <c r="F37" t="inlineStr">
        <is>
          <t>Box</t>
        </is>
      </c>
      <c r="G37" s="31" t="n">
        <v>63.47</v>
      </c>
      <c r="H37" t="inlineStr">
        <is>
          <t>Bluestone Memorial Hospital</t>
        </is>
      </c>
      <c r="I37" t="inlineStr">
        <is>
          <t>Pediatrics</t>
        </is>
      </c>
      <c r="J37" t="n">
        <v>33</v>
      </c>
      <c r="K37" t="n">
        <v>92</v>
      </c>
      <c r="L37" t="n">
        <v>28</v>
      </c>
      <c r="M37" t="n">
        <v>64</v>
      </c>
      <c r="N37" t="n">
        <v>3</v>
      </c>
      <c r="O37" s="32" t="n">
        <v>46015</v>
      </c>
      <c r="P37" s="32" t="n">
        <v>46464</v>
      </c>
      <c r="Q37" t="inlineStr">
        <is>
          <t>L791852</t>
        </is>
      </c>
      <c r="R37" s="33" t="n"/>
      <c r="S37" s="34" t="n"/>
    </row>
    <row r="38">
      <c r="A38" t="inlineStr">
        <is>
          <t>STK4037</t>
        </is>
      </c>
      <c r="B38" t="inlineStr">
        <is>
          <t>SKU-10119</t>
        </is>
      </c>
      <c r="C38" t="inlineStr">
        <is>
          <t>IV Catheter 24G x 1.16 in</t>
        </is>
      </c>
      <c r="D38" t="inlineStr">
        <is>
          <t>IV Supplies</t>
        </is>
      </c>
      <c r="E38" t="inlineStr">
        <is>
          <t>Pinnacle Biomedical</t>
        </is>
      </c>
      <c r="F38" t="inlineStr">
        <is>
          <t>Box</t>
        </is>
      </c>
      <c r="G38" s="31" t="n">
        <v>63.47</v>
      </c>
      <c r="H38" t="inlineStr">
        <is>
          <t>Ashby Falls Community Hospital</t>
        </is>
      </c>
      <c r="I38" t="inlineStr">
        <is>
          <t>Emergency Department</t>
        </is>
      </c>
      <c r="J38" t="n">
        <v>102</v>
      </c>
      <c r="K38" t="n">
        <v>355</v>
      </c>
      <c r="L38" t="n">
        <v>94</v>
      </c>
      <c r="M38" t="n">
        <v>261</v>
      </c>
      <c r="N38" t="n">
        <v>5</v>
      </c>
      <c r="O38" s="32" t="n">
        <v>45998</v>
      </c>
      <c r="P38" s="32" t="n">
        <v>46869</v>
      </c>
      <c r="Q38" t="inlineStr">
        <is>
          <t>L343745</t>
        </is>
      </c>
      <c r="R38" s="33" t="n"/>
      <c r="S38" s="34" t="n"/>
    </row>
    <row r="39">
      <c r="A39" t="inlineStr">
        <is>
          <t>STK4038</t>
        </is>
      </c>
      <c r="B39" t="inlineStr">
        <is>
          <t>SKU-10126</t>
        </is>
      </c>
      <c r="C39" t="inlineStr">
        <is>
          <t>Primary IV Tubing Set, 60 Drop</t>
        </is>
      </c>
      <c r="D39" t="inlineStr">
        <is>
          <t>IV Supplies</t>
        </is>
      </c>
      <c r="E39" t="inlineStr">
        <is>
          <t>Pinnacle Biomedical</t>
        </is>
      </c>
      <c r="F39" t="inlineStr">
        <is>
          <t>Case</t>
        </is>
      </c>
      <c r="G39" s="31" t="n">
        <v>104.04</v>
      </c>
      <c r="H39" t="inlineStr">
        <is>
          <t>Bluestone Memorial Hospital</t>
        </is>
      </c>
      <c r="I39" t="inlineStr">
        <is>
          <t>Pediatrics</t>
        </is>
      </c>
      <c r="J39" t="n">
        <v>50</v>
      </c>
      <c r="K39" t="n">
        <v>38</v>
      </c>
      <c r="L39" t="n">
        <v>12</v>
      </c>
      <c r="M39" t="n">
        <v>26</v>
      </c>
      <c r="N39" t="n">
        <v>3</v>
      </c>
      <c r="O39" s="32" t="n">
        <v>45993</v>
      </c>
      <c r="P39" s="32" t="n">
        <v>46986</v>
      </c>
      <c r="Q39" t="inlineStr">
        <is>
          <t>L290377</t>
        </is>
      </c>
      <c r="R39" s="33" t="n"/>
      <c r="S39" s="34" t="n"/>
    </row>
    <row r="40">
      <c r="A40" t="inlineStr">
        <is>
          <t>STK4039</t>
        </is>
      </c>
      <c r="B40" t="inlineStr">
        <is>
          <t>SKU-10133</t>
        </is>
      </c>
      <c r="C40" t="inlineStr">
        <is>
          <t>Primary IV Tubing Set, 15 Drop</t>
        </is>
      </c>
      <c r="D40" t="inlineStr">
        <is>
          <t>IV Supplies</t>
        </is>
      </c>
      <c r="E40" t="inlineStr">
        <is>
          <t>Pinnacle Biomedical</t>
        </is>
      </c>
      <c r="F40" t="inlineStr">
        <is>
          <t>Case</t>
        </is>
      </c>
      <c r="G40" s="31" t="n">
        <v>104.81</v>
      </c>
      <c r="H40" t="inlineStr">
        <is>
          <t>Bluestone Memorial Hospital</t>
        </is>
      </c>
      <c r="I40" t="inlineStr">
        <is>
          <t>Oncology</t>
        </is>
      </c>
      <c r="J40" t="n">
        <v>47</v>
      </c>
      <c r="K40" t="n">
        <v>88</v>
      </c>
      <c r="L40" t="n">
        <v>26</v>
      </c>
      <c r="M40" t="n">
        <v>62</v>
      </c>
      <c r="N40" t="n">
        <v>3</v>
      </c>
      <c r="O40" s="32" t="n">
        <v>45977</v>
      </c>
      <c r="P40" s="32" t="n">
        <v>46394</v>
      </c>
      <c r="Q40" t="inlineStr">
        <is>
          <t>L815156</t>
        </is>
      </c>
      <c r="R40" s="33" t="n"/>
      <c r="S40" s="34" t="n"/>
    </row>
    <row r="41">
      <c r="A41" t="inlineStr">
        <is>
          <t>STK4040</t>
        </is>
      </c>
      <c r="B41" t="inlineStr">
        <is>
          <t>SKU-10133</t>
        </is>
      </c>
      <c r="C41" t="inlineStr">
        <is>
          <t>Primary IV Tubing Set, 15 Drop</t>
        </is>
      </c>
      <c r="D41" t="inlineStr">
        <is>
          <t>IV Supplies</t>
        </is>
      </c>
      <c r="E41" t="inlineStr">
        <is>
          <t>Pinnacle Biomedical</t>
        </is>
      </c>
      <c r="F41" t="inlineStr">
        <is>
          <t>Case</t>
        </is>
      </c>
      <c r="G41" s="31" t="n">
        <v>104.81</v>
      </c>
      <c r="H41" t="inlineStr">
        <is>
          <t>Ashby Falls Community Hospital</t>
        </is>
      </c>
      <c r="I41" t="inlineStr">
        <is>
          <t>Medical-Surgical</t>
        </is>
      </c>
      <c r="J41" t="n">
        <v>102</v>
      </c>
      <c r="K41" t="n">
        <v>115</v>
      </c>
      <c r="L41" t="n">
        <v>40</v>
      </c>
      <c r="M41" t="n">
        <v>75</v>
      </c>
      <c r="N41" t="n">
        <v>2</v>
      </c>
      <c r="O41" s="32" t="n">
        <v>45998</v>
      </c>
      <c r="P41" s="32" t="n">
        <v>46592</v>
      </c>
      <c r="Q41" t="inlineStr">
        <is>
          <t>L747790</t>
        </is>
      </c>
      <c r="R41" s="33" t="n"/>
      <c r="S41" s="34" t="n"/>
    </row>
    <row r="42">
      <c r="A42" t="inlineStr">
        <is>
          <t>STK4041</t>
        </is>
      </c>
      <c r="B42" t="inlineStr">
        <is>
          <t>SKU-10140</t>
        </is>
      </c>
      <c r="C42" t="inlineStr">
        <is>
          <t>Primary IV Tubing Set, Pump Compatible</t>
        </is>
      </c>
      <c r="D42" t="inlineStr">
        <is>
          <t>IV Supplies</t>
        </is>
      </c>
      <c r="E42" t="inlineStr">
        <is>
          <t>Pinnacle Biomedical</t>
        </is>
      </c>
      <c r="F42" t="inlineStr">
        <is>
          <t>Case</t>
        </is>
      </c>
      <c r="G42" s="31" t="n">
        <v>95.16</v>
      </c>
      <c r="H42" t="inlineStr">
        <is>
          <t>Bluestone Memorial Hospital</t>
        </is>
      </c>
      <c r="I42" t="inlineStr">
        <is>
          <t>Intensive Care Unit</t>
        </is>
      </c>
      <c r="J42" t="n">
        <v>118</v>
      </c>
      <c r="K42" t="n">
        <v>121</v>
      </c>
      <c r="L42" t="n">
        <v>43</v>
      </c>
      <c r="M42" t="n">
        <v>78</v>
      </c>
      <c r="N42" t="n">
        <v>14</v>
      </c>
      <c r="O42" s="32" t="n">
        <v>46014</v>
      </c>
      <c r="P42" s="32" t="n">
        <v>46169</v>
      </c>
      <c r="Q42" t="inlineStr">
        <is>
          <t>L880339</t>
        </is>
      </c>
      <c r="R42" s="33" t="n"/>
      <c r="S42" s="34" t="n"/>
    </row>
    <row r="43">
      <c r="A43" t="inlineStr">
        <is>
          <t>STK4042</t>
        </is>
      </c>
      <c r="B43" t="inlineStr">
        <is>
          <t>SKU-10140</t>
        </is>
      </c>
      <c r="C43" t="inlineStr">
        <is>
          <t>Primary IV Tubing Set, Pump Compatible</t>
        </is>
      </c>
      <c r="D43" t="inlineStr">
        <is>
          <t>IV Supplies</t>
        </is>
      </c>
      <c r="E43" t="inlineStr">
        <is>
          <t>Pinnacle Biomedical</t>
        </is>
      </c>
      <c r="F43" t="inlineStr">
        <is>
          <t>Case</t>
        </is>
      </c>
      <c r="G43" s="31" t="n">
        <v>95.16</v>
      </c>
      <c r="H43" t="inlineStr">
        <is>
          <t>Cedar Ridge Medical Center</t>
        </is>
      </c>
      <c r="I43" t="inlineStr">
        <is>
          <t>Medical-Surgical</t>
        </is>
      </c>
      <c r="J43" t="n">
        <v>50</v>
      </c>
      <c r="K43" t="n">
        <v>102</v>
      </c>
      <c r="L43" t="n">
        <v>32</v>
      </c>
      <c r="M43" t="n">
        <v>70</v>
      </c>
      <c r="N43" t="n">
        <v>2</v>
      </c>
      <c r="O43" s="32" t="n">
        <v>45992</v>
      </c>
      <c r="P43" s="32" t="n">
        <v>46092</v>
      </c>
      <c r="Q43" t="inlineStr">
        <is>
          <t>L504964</t>
        </is>
      </c>
      <c r="R43" s="33" t="n"/>
      <c r="S43" s="34" t="n"/>
    </row>
    <row r="44">
      <c r="A44" t="inlineStr">
        <is>
          <t>STK4043</t>
        </is>
      </c>
      <c r="B44" t="inlineStr">
        <is>
          <t>SKU-10147</t>
        </is>
      </c>
      <c r="C44" t="inlineStr">
        <is>
          <t>Saline Flush Syringe 3 mL (Box/30)</t>
        </is>
      </c>
      <c r="D44" t="inlineStr">
        <is>
          <t>IV Supplies</t>
        </is>
      </c>
      <c r="E44" t="inlineStr">
        <is>
          <t>Northstar Medical Supply</t>
        </is>
      </c>
      <c r="F44" t="inlineStr">
        <is>
          <t>Box</t>
        </is>
      </c>
      <c r="G44" s="31" t="n">
        <v>8.76</v>
      </c>
      <c r="H44" t="inlineStr">
        <is>
          <t>Bluestone Memorial Hospital</t>
        </is>
      </c>
      <c r="I44" t="inlineStr">
        <is>
          <t>Medical-Surgical 4 West</t>
        </is>
      </c>
      <c r="J44" t="n">
        <v>0</v>
      </c>
      <c r="K44" t="n">
        <v>569</v>
      </c>
      <c r="L44" t="n">
        <v>150</v>
      </c>
      <c r="M44" t="n">
        <v>419</v>
      </c>
      <c r="N44" t="n">
        <v>7</v>
      </c>
      <c r="O44" s="32" t="n">
        <v>46019</v>
      </c>
      <c r="P44" s="32" t="n">
        <v>46840</v>
      </c>
      <c r="Q44" t="inlineStr">
        <is>
          <t>L146270</t>
        </is>
      </c>
      <c r="R44" s="33" t="n"/>
      <c r="S44" s="34" t="n"/>
    </row>
    <row r="45">
      <c r="A45" t="inlineStr">
        <is>
          <t>STK4044</t>
        </is>
      </c>
      <c r="B45" t="inlineStr">
        <is>
          <t>SKU-10147</t>
        </is>
      </c>
      <c r="C45" t="inlineStr">
        <is>
          <t>Saline Flush Syringe 3 mL (Box/30)</t>
        </is>
      </c>
      <c r="D45" t="inlineStr">
        <is>
          <t>IV Supplies</t>
        </is>
      </c>
      <c r="E45" t="inlineStr">
        <is>
          <t>Northstar Medical Supply</t>
        </is>
      </c>
      <c r="F45" t="inlineStr">
        <is>
          <t>Box</t>
        </is>
      </c>
      <c r="G45" s="31" t="n">
        <v>8.76</v>
      </c>
      <c r="H45" t="inlineStr">
        <is>
          <t>Bluestone Memorial Hospital</t>
        </is>
      </c>
      <c r="I45" t="inlineStr">
        <is>
          <t>Intensive Care Unit</t>
        </is>
      </c>
      <c r="J45" t="n">
        <v>430</v>
      </c>
      <c r="K45" t="n">
        <v>336</v>
      </c>
      <c r="L45" t="n">
        <v>109</v>
      </c>
      <c r="M45" t="n">
        <v>227</v>
      </c>
      <c r="N45" t="n">
        <v>5</v>
      </c>
      <c r="O45" s="32" t="n">
        <v>46000</v>
      </c>
      <c r="P45" s="32" t="n">
        <v>45969</v>
      </c>
      <c r="Q45" t="inlineStr">
        <is>
          <t>L221415</t>
        </is>
      </c>
      <c r="R45" s="33" t="n"/>
      <c r="S45" s="34" t="n"/>
    </row>
    <row r="46">
      <c r="A46" t="inlineStr">
        <is>
          <t>STK4045</t>
        </is>
      </c>
      <c r="B46" t="inlineStr">
        <is>
          <t>SKU-10147</t>
        </is>
      </c>
      <c r="C46" t="inlineStr">
        <is>
          <t>Saline Flush Syringe 3 mL (Box/30)</t>
        </is>
      </c>
      <c r="D46" t="inlineStr">
        <is>
          <t>IV Supplies</t>
        </is>
      </c>
      <c r="E46" t="inlineStr">
        <is>
          <t>Northstar Medical Supply</t>
        </is>
      </c>
      <c r="F46" t="inlineStr">
        <is>
          <t>Box</t>
        </is>
      </c>
      <c r="G46" s="31" t="n">
        <v>8.76</v>
      </c>
      <c r="H46" t="inlineStr">
        <is>
          <t>Bluestone Memorial Hospital</t>
        </is>
      </c>
      <c r="I46" t="inlineStr">
        <is>
          <t>Oncology</t>
        </is>
      </c>
      <c r="J46" t="n">
        <v>725</v>
      </c>
      <c r="K46" t="n">
        <v>789</v>
      </c>
      <c r="L46" t="n">
        <v>219</v>
      </c>
      <c r="M46" t="n">
        <v>570</v>
      </c>
      <c r="N46" t="n">
        <v>3</v>
      </c>
      <c r="O46" s="32" t="n">
        <v>46002</v>
      </c>
      <c r="P46" s="32" t="n">
        <v>46329</v>
      </c>
      <c r="Q46" t="inlineStr">
        <is>
          <t>L253721</t>
        </is>
      </c>
      <c r="R46" s="33" t="n"/>
      <c r="S46" s="34" t="n"/>
    </row>
    <row r="47">
      <c r="A47" t="inlineStr">
        <is>
          <t>STK4046</t>
        </is>
      </c>
      <c r="B47" t="inlineStr">
        <is>
          <t>SKU-10147</t>
        </is>
      </c>
      <c r="C47" t="inlineStr">
        <is>
          <t>Saline Flush Syringe 3 mL (Box/30)</t>
        </is>
      </c>
      <c r="D47" t="inlineStr">
        <is>
          <t>IV Supplies</t>
        </is>
      </c>
      <c r="E47" t="inlineStr">
        <is>
          <t>Northstar Medical Supply</t>
        </is>
      </c>
      <c r="F47" t="inlineStr">
        <is>
          <t>Box</t>
        </is>
      </c>
      <c r="G47" s="31" t="n">
        <v>8.76</v>
      </c>
      <c r="H47" t="inlineStr">
        <is>
          <t>Bluestone Memorial Hospital</t>
        </is>
      </c>
      <c r="I47" t="inlineStr">
        <is>
          <t>Labor &amp; Delivery</t>
        </is>
      </c>
      <c r="J47" t="n">
        <v>362</v>
      </c>
      <c r="K47" t="n">
        <v>800</v>
      </c>
      <c r="L47" t="n">
        <v>203</v>
      </c>
      <c r="M47" t="n">
        <v>597</v>
      </c>
      <c r="N47" t="n">
        <v>14</v>
      </c>
      <c r="O47" s="32" t="n">
        <v>45991</v>
      </c>
      <c r="P47" s="32" t="n">
        <v>46928</v>
      </c>
      <c r="Q47" t="inlineStr">
        <is>
          <t>L217895</t>
        </is>
      </c>
      <c r="R47" s="33" t="n"/>
      <c r="S47" s="34" t="n"/>
    </row>
    <row r="48">
      <c r="A48" t="inlineStr">
        <is>
          <t>STK4047</t>
        </is>
      </c>
      <c r="B48" t="inlineStr">
        <is>
          <t>SKU-10154</t>
        </is>
      </c>
      <c r="C48" t="inlineStr">
        <is>
          <t>Saline Flush Syringe 5 mL (Box/30)</t>
        </is>
      </c>
      <c r="D48" t="inlineStr">
        <is>
          <t>IV Supplies</t>
        </is>
      </c>
      <c r="E48" t="inlineStr">
        <is>
          <t>Keystone Lab Solutions</t>
        </is>
      </c>
      <c r="F48" t="inlineStr">
        <is>
          <t>Box</t>
        </is>
      </c>
      <c r="G48" s="31" t="n">
        <v>8.67</v>
      </c>
      <c r="H48" t="inlineStr">
        <is>
          <t>Bluestone Memorial Hospital</t>
        </is>
      </c>
      <c r="I48" t="inlineStr">
        <is>
          <t>Emergency Department</t>
        </is>
      </c>
      <c r="J48" t="n">
        <v>260</v>
      </c>
      <c r="K48" t="n">
        <v>247</v>
      </c>
      <c r="L48" t="n">
        <v>83</v>
      </c>
      <c r="M48" t="n">
        <v>164</v>
      </c>
      <c r="N48" t="n">
        <v>3</v>
      </c>
      <c r="O48" s="32" t="n">
        <v>46016</v>
      </c>
      <c r="P48" s="32" t="n">
        <v>46797</v>
      </c>
      <c r="Q48" t="inlineStr">
        <is>
          <t>L883793</t>
        </is>
      </c>
      <c r="R48" s="33" t="n"/>
      <c r="S48" s="34" t="n"/>
    </row>
    <row r="49">
      <c r="A49" t="inlineStr">
        <is>
          <t>STK4048</t>
        </is>
      </c>
      <c r="B49" t="inlineStr">
        <is>
          <t>SKU-10161</t>
        </is>
      </c>
      <c r="C49" t="inlineStr">
        <is>
          <t>Saline Flush Syringe 10 mL (Box/30)</t>
        </is>
      </c>
      <c r="D49" t="inlineStr">
        <is>
          <t>IV Supplies</t>
        </is>
      </c>
      <c r="E49" t="inlineStr">
        <is>
          <t>Northstar Medical Supply</t>
        </is>
      </c>
      <c r="F49" t="inlineStr">
        <is>
          <t>Box</t>
        </is>
      </c>
      <c r="G49" s="31" t="n">
        <v>8.220000000000001</v>
      </c>
      <c r="H49" t="inlineStr">
        <is>
          <t>Bluestone Memorial Hospital</t>
        </is>
      </c>
      <c r="I49" t="inlineStr">
        <is>
          <t>Cardiac Step-Down</t>
        </is>
      </c>
      <c r="J49" t="n">
        <v>192</v>
      </c>
      <c r="K49" t="n">
        <v>457</v>
      </c>
      <c r="L49" t="n">
        <v>151</v>
      </c>
      <c r="M49" t="n">
        <v>306</v>
      </c>
      <c r="N49" t="n">
        <v>2</v>
      </c>
      <c r="O49" s="32" t="n">
        <v>45987</v>
      </c>
      <c r="P49" s="32" t="n">
        <v>46396</v>
      </c>
      <c r="Q49" t="inlineStr">
        <is>
          <t>L655616</t>
        </is>
      </c>
      <c r="R49" s="33" t="n"/>
      <c r="S49" s="34" t="n"/>
    </row>
    <row r="50">
      <c r="A50" t="inlineStr">
        <is>
          <t>STK4049</t>
        </is>
      </c>
      <c r="B50" t="inlineStr">
        <is>
          <t>SKU-10161</t>
        </is>
      </c>
      <c r="C50" t="inlineStr">
        <is>
          <t>Saline Flush Syringe 10 mL (Box/30)</t>
        </is>
      </c>
      <c r="D50" t="inlineStr">
        <is>
          <t>IV Supplies</t>
        </is>
      </c>
      <c r="E50" t="inlineStr">
        <is>
          <t>Northstar Medical Supply</t>
        </is>
      </c>
      <c r="F50" t="inlineStr">
        <is>
          <t>Box</t>
        </is>
      </c>
      <c r="G50" s="31" t="n">
        <v>8.220000000000001</v>
      </c>
      <c r="H50" t="inlineStr">
        <is>
          <t>Bluestone Memorial Hospital</t>
        </is>
      </c>
      <c r="I50" t="inlineStr">
        <is>
          <t>Labor &amp; Delivery</t>
        </is>
      </c>
      <c r="J50" t="n">
        <v>412</v>
      </c>
      <c r="K50" t="n">
        <v>328</v>
      </c>
      <c r="L50" t="n">
        <v>102</v>
      </c>
      <c r="M50" t="n">
        <v>226</v>
      </c>
      <c r="N50" t="n">
        <v>5</v>
      </c>
      <c r="O50" s="32" t="n">
        <v>45992</v>
      </c>
      <c r="P50" s="32" t="n">
        <v>46935</v>
      </c>
      <c r="Q50" t="inlineStr">
        <is>
          <t>L901870</t>
        </is>
      </c>
      <c r="R50" s="33" t="n"/>
      <c r="S50" s="34" t="n"/>
    </row>
    <row r="51">
      <c r="A51" t="inlineStr">
        <is>
          <t>STK4050</t>
        </is>
      </c>
      <c r="B51" t="inlineStr">
        <is>
          <t>SKU-10161</t>
        </is>
      </c>
      <c r="C51" t="inlineStr">
        <is>
          <t>Saline Flush Syringe 10 mL (Box/30)</t>
        </is>
      </c>
      <c r="D51" t="inlineStr">
        <is>
          <t>IV Supplies</t>
        </is>
      </c>
      <c r="E51" t="inlineStr">
        <is>
          <t>Northstar Medical Supply</t>
        </is>
      </c>
      <c r="F51" t="inlineStr">
        <is>
          <t>Box</t>
        </is>
      </c>
      <c r="G51" s="31" t="n">
        <v>8.220000000000001</v>
      </c>
      <c r="H51" t="inlineStr">
        <is>
          <t>Ashby Falls Community Hospital</t>
        </is>
      </c>
      <c r="I51" t="inlineStr">
        <is>
          <t>Emergency Department</t>
        </is>
      </c>
      <c r="J51" t="n">
        <v>303</v>
      </c>
      <c r="K51" t="n">
        <v>377</v>
      </c>
      <c r="L51" t="n">
        <v>124</v>
      </c>
      <c r="M51" t="n">
        <v>253</v>
      </c>
      <c r="N51" t="n">
        <v>2</v>
      </c>
      <c r="O51" s="32" t="n">
        <v>46001</v>
      </c>
      <c r="P51" s="32" t="n">
        <v>46270</v>
      </c>
      <c r="Q51" t="inlineStr">
        <is>
          <t>L867580</t>
        </is>
      </c>
      <c r="R51" s="33" t="n"/>
      <c r="S51" s="34" t="n"/>
    </row>
    <row r="52">
      <c r="A52" t="inlineStr">
        <is>
          <t>STK4051</t>
        </is>
      </c>
      <c r="B52" t="inlineStr">
        <is>
          <t>SKU-10168</t>
        </is>
      </c>
      <c r="C52" t="inlineStr">
        <is>
          <t>IV Start Kit with Chlorhexidine</t>
        </is>
      </c>
      <c r="D52" t="inlineStr">
        <is>
          <t>IV Supplies</t>
        </is>
      </c>
      <c r="E52" t="inlineStr">
        <is>
          <t>Apex Surgical Co.</t>
        </is>
      </c>
      <c r="F52" t="inlineStr">
        <is>
          <t>Each</t>
        </is>
      </c>
      <c r="G52" s="31" t="n">
        <v>2.15</v>
      </c>
      <c r="H52" t="inlineStr">
        <is>
          <t>Bluestone Memorial Hospital</t>
        </is>
      </c>
      <c r="I52" t="inlineStr">
        <is>
          <t>Orthopedics &amp; Spine</t>
        </is>
      </c>
      <c r="J52" t="n">
        <v>921</v>
      </c>
      <c r="K52" t="n">
        <v>800</v>
      </c>
      <c r="L52" t="n">
        <v>255</v>
      </c>
      <c r="M52" t="n">
        <v>545</v>
      </c>
      <c r="N52" t="n">
        <v>3</v>
      </c>
      <c r="O52" s="32" t="n">
        <v>45998</v>
      </c>
      <c r="P52" s="32" t="n">
        <v>46737</v>
      </c>
      <c r="Q52" t="inlineStr">
        <is>
          <t>L950718</t>
        </is>
      </c>
      <c r="R52" s="33" t="n"/>
      <c r="S52" s="34" t="n"/>
    </row>
    <row r="53">
      <c r="A53" t="inlineStr">
        <is>
          <t>STK4052</t>
        </is>
      </c>
      <c r="B53" t="inlineStr">
        <is>
          <t>SKU-10168</t>
        </is>
      </c>
      <c r="C53" t="inlineStr">
        <is>
          <t>IV Start Kit with Chlorhexidine</t>
        </is>
      </c>
      <c r="D53" t="inlineStr">
        <is>
          <t>IV Supplies</t>
        </is>
      </c>
      <c r="E53" t="inlineStr">
        <is>
          <t>Apex Surgical Co.</t>
        </is>
      </c>
      <c r="F53" t="inlineStr">
        <is>
          <t>Each</t>
        </is>
      </c>
      <c r="G53" s="31" t="n">
        <v>2.15</v>
      </c>
      <c r="H53" t="inlineStr">
        <is>
          <t>Bluestone Memorial Hospital</t>
        </is>
      </c>
      <c r="I53" t="inlineStr">
        <is>
          <t>Pediatrics</t>
        </is>
      </c>
      <c r="J53" t="n">
        <v>1061</v>
      </c>
      <c r="K53" t="n">
        <v>800</v>
      </c>
      <c r="L53" t="n">
        <v>307</v>
      </c>
      <c r="M53" t="n">
        <v>493</v>
      </c>
      <c r="N53" t="n">
        <v>5</v>
      </c>
      <c r="O53" s="32" t="n">
        <v>45989</v>
      </c>
      <c r="P53" s="32" t="n">
        <v>46913</v>
      </c>
      <c r="Q53" t="inlineStr">
        <is>
          <t>L637549</t>
        </is>
      </c>
      <c r="R53" s="33" t="n"/>
      <c r="S53" s="34" t="n"/>
    </row>
    <row r="54">
      <c r="A54" t="inlineStr">
        <is>
          <t>STK4053</t>
        </is>
      </c>
      <c r="B54" t="inlineStr">
        <is>
          <t>SKU-10168</t>
        </is>
      </c>
      <c r="C54" t="inlineStr">
        <is>
          <t>IV Start Kit with Chlorhexidine</t>
        </is>
      </c>
      <c r="D54" t="inlineStr">
        <is>
          <t>IV Supplies</t>
        </is>
      </c>
      <c r="E54" t="inlineStr">
        <is>
          <t>Apex Surgical Co.</t>
        </is>
      </c>
      <c r="F54" t="inlineStr">
        <is>
          <t>Each</t>
        </is>
      </c>
      <c r="G54" s="31" t="n">
        <v>2.15</v>
      </c>
      <c r="H54" t="inlineStr">
        <is>
          <t>Ashby Falls Community Hospital</t>
        </is>
      </c>
      <c r="I54" t="inlineStr">
        <is>
          <t>Emergency Department</t>
        </is>
      </c>
      <c r="J54" t="n">
        <v>900</v>
      </c>
      <c r="K54" t="n">
        <v>800</v>
      </c>
      <c r="L54" t="n">
        <v>291</v>
      </c>
      <c r="M54" t="n">
        <v>509</v>
      </c>
      <c r="N54" t="n">
        <v>2</v>
      </c>
      <c r="O54" s="32" t="n">
        <v>46009</v>
      </c>
      <c r="P54" s="32" t="n">
        <v>46514</v>
      </c>
      <c r="Q54" t="inlineStr">
        <is>
          <t>L957908</t>
        </is>
      </c>
      <c r="R54" s="33" t="n"/>
      <c r="S54" s="34" t="n"/>
    </row>
    <row r="55">
      <c r="A55" t="inlineStr">
        <is>
          <t>STK4054</t>
        </is>
      </c>
      <c r="B55" t="inlineStr">
        <is>
          <t>SKU-10175</t>
        </is>
      </c>
      <c r="C55" t="inlineStr">
        <is>
          <t>IV Extension Set 7 in</t>
        </is>
      </c>
      <c r="D55" t="inlineStr">
        <is>
          <t>IV Supplies</t>
        </is>
      </c>
      <c r="E55" t="inlineStr">
        <is>
          <t>Pinnacle Biomedical</t>
        </is>
      </c>
      <c r="F55" t="inlineStr">
        <is>
          <t>Each</t>
        </is>
      </c>
      <c r="G55" s="31" t="n">
        <v>2.06</v>
      </c>
      <c r="H55" t="inlineStr">
        <is>
          <t>Bluestone Memorial Hospital</t>
        </is>
      </c>
      <c r="I55" t="inlineStr">
        <is>
          <t>Medical-Surgical 4 West</t>
        </is>
      </c>
      <c r="J55" t="n">
        <v>268</v>
      </c>
      <c r="K55" t="n">
        <v>800</v>
      </c>
      <c r="L55" t="n">
        <v>213</v>
      </c>
      <c r="M55" t="n">
        <v>587</v>
      </c>
      <c r="N55" t="n">
        <v>3</v>
      </c>
      <c r="O55" s="32" t="n">
        <v>46019</v>
      </c>
      <c r="P55" s="32" t="n">
        <v>45996</v>
      </c>
      <c r="Q55" t="inlineStr">
        <is>
          <t>L305460</t>
        </is>
      </c>
      <c r="R55" s="33" t="n"/>
      <c r="S55" s="34" t="n"/>
    </row>
    <row r="56">
      <c r="A56" t="inlineStr">
        <is>
          <t>STK4055</t>
        </is>
      </c>
      <c r="B56" t="inlineStr">
        <is>
          <t>SKU-10182</t>
        </is>
      </c>
      <c r="C56" t="inlineStr">
        <is>
          <t>IV Extension Set 30 in</t>
        </is>
      </c>
      <c r="D56" t="inlineStr">
        <is>
          <t>IV Supplies</t>
        </is>
      </c>
      <c r="E56" t="inlineStr">
        <is>
          <t>Pinnacle Biomedical</t>
        </is>
      </c>
      <c r="F56" t="inlineStr">
        <is>
          <t>Each</t>
        </is>
      </c>
      <c r="G56" s="31" t="n">
        <v>1.79</v>
      </c>
      <c r="H56" t="inlineStr">
        <is>
          <t>Bluestone Memorial Hospital</t>
        </is>
      </c>
      <c r="I56" t="inlineStr">
        <is>
          <t>Orthopedics &amp; Spine</t>
        </is>
      </c>
      <c r="J56" t="n">
        <v>616</v>
      </c>
      <c r="K56" t="n">
        <v>800</v>
      </c>
      <c r="L56" t="n">
        <v>227</v>
      </c>
      <c r="M56" t="n">
        <v>573</v>
      </c>
      <c r="N56" t="n">
        <v>5</v>
      </c>
      <c r="O56" s="32" t="n">
        <v>46006</v>
      </c>
      <c r="P56" s="32" t="n">
        <v>46308</v>
      </c>
      <c r="Q56" t="inlineStr">
        <is>
          <t>L676690</t>
        </is>
      </c>
      <c r="R56" s="33" t="n"/>
      <c r="S56" s="34" t="n"/>
    </row>
    <row r="57">
      <c r="A57" t="inlineStr">
        <is>
          <t>STK4056</t>
        </is>
      </c>
      <c r="B57" t="inlineStr">
        <is>
          <t>SKU-10182</t>
        </is>
      </c>
      <c r="C57" t="inlineStr">
        <is>
          <t>IV Extension Set 30 in</t>
        </is>
      </c>
      <c r="D57" t="inlineStr">
        <is>
          <t>IV Supplies</t>
        </is>
      </c>
      <c r="E57" t="inlineStr">
        <is>
          <t>Pinnacle Biomedical</t>
        </is>
      </c>
      <c r="F57" t="inlineStr">
        <is>
          <t>Each</t>
        </is>
      </c>
      <c r="G57" s="31" t="n">
        <v>1.79</v>
      </c>
      <c r="H57" t="inlineStr">
        <is>
          <t>Bluestone Memorial Hospital</t>
        </is>
      </c>
      <c r="I57" t="inlineStr">
        <is>
          <t>Pediatrics</t>
        </is>
      </c>
      <c r="J57" t="n">
        <v>544</v>
      </c>
      <c r="K57" t="n">
        <v>800</v>
      </c>
      <c r="L57" t="n">
        <v>278</v>
      </c>
      <c r="M57" t="n">
        <v>522</v>
      </c>
      <c r="N57" t="n">
        <v>7</v>
      </c>
      <c r="O57" s="32" t="n">
        <v>46019</v>
      </c>
      <c r="P57" s="32" t="n">
        <v>46772</v>
      </c>
      <c r="Q57" t="inlineStr">
        <is>
          <t>L889112</t>
        </is>
      </c>
      <c r="R57" s="33" t="n"/>
      <c r="S57" s="34" t="n"/>
    </row>
    <row r="58">
      <c r="A58" t="inlineStr">
        <is>
          <t>STK4057</t>
        </is>
      </c>
      <c r="B58" t="inlineStr">
        <is>
          <t>SKU-10182</t>
        </is>
      </c>
      <c r="C58" t="inlineStr">
        <is>
          <t>IV Extension Set 30 in</t>
        </is>
      </c>
      <c r="D58" t="inlineStr">
        <is>
          <t>IV Supplies</t>
        </is>
      </c>
      <c r="E58" t="inlineStr">
        <is>
          <t>Pinnacle Biomedical</t>
        </is>
      </c>
      <c r="F58" t="inlineStr">
        <is>
          <t>Each</t>
        </is>
      </c>
      <c r="G58" s="31" t="n">
        <v>1.79</v>
      </c>
      <c r="H58" t="inlineStr">
        <is>
          <t>Bluestone Memorial Hospital</t>
        </is>
      </c>
      <c r="I58" t="inlineStr">
        <is>
          <t>Laboratory</t>
        </is>
      </c>
      <c r="J58" t="n">
        <v>398</v>
      </c>
      <c r="K58" t="n">
        <v>800</v>
      </c>
      <c r="L58" t="n">
        <v>269</v>
      </c>
      <c r="M58" t="n">
        <v>531</v>
      </c>
      <c r="N58" t="n">
        <v>7</v>
      </c>
      <c r="O58" s="32" t="n">
        <v>45992</v>
      </c>
      <c r="P58" s="32" t="n">
        <v>46985</v>
      </c>
      <c r="Q58" t="inlineStr">
        <is>
          <t>L753895</t>
        </is>
      </c>
      <c r="R58" s="33" t="n"/>
      <c r="S58" s="34" t="n"/>
    </row>
    <row r="59">
      <c r="A59" t="inlineStr">
        <is>
          <t>STK4058</t>
        </is>
      </c>
      <c r="B59" t="inlineStr">
        <is>
          <t>SKU-10189</t>
        </is>
      </c>
      <c r="C59" t="inlineStr">
        <is>
          <t>Gauze Sponge 2x2 Sterile (Pack/2)</t>
        </is>
      </c>
      <c r="D59" t="inlineStr">
        <is>
          <t>Wound Care</t>
        </is>
      </c>
      <c r="E59" t="inlineStr">
        <is>
          <t>Northstar Medical Supply</t>
        </is>
      </c>
      <c r="F59" t="inlineStr">
        <is>
          <t>Pack</t>
        </is>
      </c>
      <c r="G59" s="31" t="n">
        <v>0.41</v>
      </c>
      <c r="H59" t="inlineStr">
        <is>
          <t>Ashby Falls Community Hospital</t>
        </is>
      </c>
      <c r="I59" t="inlineStr">
        <is>
          <t>Emergency Department</t>
        </is>
      </c>
      <c r="J59" t="n">
        <v>604</v>
      </c>
      <c r="K59" t="n">
        <v>800</v>
      </c>
      <c r="L59" t="n">
        <v>200</v>
      </c>
      <c r="M59" t="n">
        <v>600</v>
      </c>
      <c r="N59" t="n">
        <v>7</v>
      </c>
      <c r="O59" s="32" t="n">
        <v>45981</v>
      </c>
      <c r="P59" s="32" t="n">
        <v>45909</v>
      </c>
      <c r="Q59" t="inlineStr">
        <is>
          <t>L959544</t>
        </is>
      </c>
      <c r="R59" s="33" t="n"/>
      <c r="S59" s="34" t="n"/>
    </row>
    <row r="60">
      <c r="A60" t="inlineStr">
        <is>
          <t>STK4059</t>
        </is>
      </c>
      <c r="B60" t="inlineStr">
        <is>
          <t>SKU-10189</t>
        </is>
      </c>
      <c r="C60" t="inlineStr">
        <is>
          <t>Gauze Sponge 2x2 Sterile (Pack/2)</t>
        </is>
      </c>
      <c r="D60" t="inlineStr">
        <is>
          <t>Wound Care</t>
        </is>
      </c>
      <c r="E60" t="inlineStr">
        <is>
          <t>Northstar Medical Supply</t>
        </is>
      </c>
      <c r="F60" t="inlineStr">
        <is>
          <t>Pack</t>
        </is>
      </c>
      <c r="G60" s="31" t="n">
        <v>0.41</v>
      </c>
      <c r="H60" t="inlineStr">
        <is>
          <t>Ashby Falls Community Hospital</t>
        </is>
      </c>
      <c r="I60" t="inlineStr">
        <is>
          <t>Medical-Surgical</t>
        </is>
      </c>
      <c r="J60" t="n">
        <v>966</v>
      </c>
      <c r="K60" t="n">
        <v>800</v>
      </c>
      <c r="L60" t="n">
        <v>212</v>
      </c>
      <c r="M60" t="n">
        <v>588</v>
      </c>
      <c r="N60" t="n">
        <v>3</v>
      </c>
      <c r="O60" s="32" t="n">
        <v>45996</v>
      </c>
      <c r="P60" s="32" t="n">
        <v>46738</v>
      </c>
      <c r="Q60" t="inlineStr">
        <is>
          <t>L643166</t>
        </is>
      </c>
      <c r="R60" s="33" t="n"/>
      <c r="S60" s="34" t="n"/>
    </row>
    <row r="61">
      <c r="A61" t="inlineStr">
        <is>
          <t>STK4060</t>
        </is>
      </c>
      <c r="B61" t="inlineStr">
        <is>
          <t>SKU-10196</t>
        </is>
      </c>
      <c r="C61" t="inlineStr">
        <is>
          <t>Gauze Sponge 4x4 Sterile (Pack/2)</t>
        </is>
      </c>
      <c r="D61" t="inlineStr">
        <is>
          <t>Wound Care</t>
        </is>
      </c>
      <c r="E61" t="inlineStr">
        <is>
          <t>Northstar Medical Supply</t>
        </is>
      </c>
      <c r="F61" t="inlineStr">
        <is>
          <t>Pack</t>
        </is>
      </c>
      <c r="G61" s="31" t="n">
        <v>0.42</v>
      </c>
      <c r="H61" t="inlineStr">
        <is>
          <t>Bluestone Memorial Hospital</t>
        </is>
      </c>
      <c r="I61" t="inlineStr">
        <is>
          <t>Medical-Surgical 5 East</t>
        </is>
      </c>
      <c r="J61" t="n">
        <v>1051</v>
      </c>
      <c r="K61" t="n">
        <v>800</v>
      </c>
      <c r="L61" t="n">
        <v>294</v>
      </c>
      <c r="M61" t="n">
        <v>506</v>
      </c>
      <c r="N61" t="n">
        <v>3</v>
      </c>
      <c r="O61" s="32" t="n">
        <v>45977</v>
      </c>
      <c r="P61" s="32" t="n">
        <v>46701</v>
      </c>
      <c r="Q61" t="inlineStr">
        <is>
          <t>L883540</t>
        </is>
      </c>
      <c r="R61" s="33" t="n"/>
      <c r="S61" s="34" t="n"/>
    </row>
    <row r="62">
      <c r="A62" t="inlineStr">
        <is>
          <t>STK4061</t>
        </is>
      </c>
      <c r="B62" t="inlineStr">
        <is>
          <t>SKU-10196</t>
        </is>
      </c>
      <c r="C62" t="inlineStr">
        <is>
          <t>Gauze Sponge 4x4 Sterile (Pack/2)</t>
        </is>
      </c>
      <c r="D62" t="inlineStr">
        <is>
          <t>Wound Care</t>
        </is>
      </c>
      <c r="E62" t="inlineStr">
        <is>
          <t>Northstar Medical Supply</t>
        </is>
      </c>
      <c r="F62" t="inlineStr">
        <is>
          <t>Pack</t>
        </is>
      </c>
      <c r="G62" s="31" t="n">
        <v>0.42</v>
      </c>
      <c r="H62" t="inlineStr">
        <is>
          <t>Bluestone Memorial Hospital</t>
        </is>
      </c>
      <c r="I62" t="inlineStr">
        <is>
          <t>Labor &amp; Delivery</t>
        </is>
      </c>
      <c r="J62" t="n">
        <v>380</v>
      </c>
      <c r="K62" t="n">
        <v>800</v>
      </c>
      <c r="L62" t="n">
        <v>253</v>
      </c>
      <c r="M62" t="n">
        <v>547</v>
      </c>
      <c r="N62" t="n">
        <v>10</v>
      </c>
      <c r="O62" s="32" t="n">
        <v>45981</v>
      </c>
      <c r="P62" s="32" t="n">
        <v>47006</v>
      </c>
      <c r="Q62" t="inlineStr">
        <is>
          <t>L862513</t>
        </is>
      </c>
      <c r="R62" s="33" t="n"/>
      <c r="S62" s="34" t="n"/>
    </row>
    <row r="63">
      <c r="A63" t="inlineStr">
        <is>
          <t>STK4062</t>
        </is>
      </c>
      <c r="B63" t="inlineStr">
        <is>
          <t>SKU-10196</t>
        </is>
      </c>
      <c r="C63" t="inlineStr">
        <is>
          <t>Gauze Sponge 4x4 Sterile (Pack/2)</t>
        </is>
      </c>
      <c r="D63" t="inlineStr">
        <is>
          <t>Wound Care</t>
        </is>
      </c>
      <c r="E63" t="inlineStr">
        <is>
          <t>Northstar Medical Supply</t>
        </is>
      </c>
      <c r="F63" t="inlineStr">
        <is>
          <t>Pack</t>
        </is>
      </c>
      <c r="G63" s="31" t="n">
        <v>0.42</v>
      </c>
      <c r="H63" t="inlineStr">
        <is>
          <t>Ashby Falls Community Hospital</t>
        </is>
      </c>
      <c r="I63" t="inlineStr">
        <is>
          <t>Medical-Surgical</t>
        </is>
      </c>
      <c r="J63" t="n">
        <v>49</v>
      </c>
      <c r="K63" t="n">
        <v>800</v>
      </c>
      <c r="L63" t="n">
        <v>254</v>
      </c>
      <c r="M63" t="n">
        <v>546</v>
      </c>
      <c r="N63" t="n">
        <v>2</v>
      </c>
      <c r="O63" s="32" t="n">
        <v>46010</v>
      </c>
      <c r="P63" s="32" t="n">
        <v>46297</v>
      </c>
      <c r="Q63" t="inlineStr">
        <is>
          <t>L490041</t>
        </is>
      </c>
      <c r="R63" s="33" t="n"/>
      <c r="S63" s="34" t="n"/>
    </row>
    <row r="64">
      <c r="A64" t="inlineStr">
        <is>
          <t>STK4063</t>
        </is>
      </c>
      <c r="B64" t="inlineStr">
        <is>
          <t>SKU-10203</t>
        </is>
      </c>
      <c r="C64" t="inlineStr">
        <is>
          <t>Foam Dressing 3x3</t>
        </is>
      </c>
      <c r="D64" t="inlineStr">
        <is>
          <t>Wound Care</t>
        </is>
      </c>
      <c r="E64" t="inlineStr">
        <is>
          <t>Harbor Health Products</t>
        </is>
      </c>
      <c r="F64" t="inlineStr">
        <is>
          <t>Each</t>
        </is>
      </c>
      <c r="G64" s="31" t="n">
        <v>4.71</v>
      </c>
      <c r="H64" t="inlineStr">
        <is>
          <t>Bluestone Memorial Hospital</t>
        </is>
      </c>
      <c r="I64" t="inlineStr">
        <is>
          <t>Cardiac Step-Down</t>
        </is>
      </c>
      <c r="J64" t="n">
        <v>343</v>
      </c>
      <c r="K64" t="n">
        <v>800</v>
      </c>
      <c r="L64" t="n">
        <v>277</v>
      </c>
      <c r="M64" t="n">
        <v>523</v>
      </c>
      <c r="N64" t="n">
        <v>5</v>
      </c>
      <c r="O64" s="32" t="n">
        <v>45999</v>
      </c>
      <c r="P64" s="32" t="n">
        <v>46104</v>
      </c>
      <c r="Q64" t="inlineStr">
        <is>
          <t>L623581</t>
        </is>
      </c>
      <c r="R64" s="33" t="n"/>
      <c r="S64" s="34" t="n"/>
    </row>
    <row r="65">
      <c r="A65" t="inlineStr">
        <is>
          <t>STK4064</t>
        </is>
      </c>
      <c r="B65" t="inlineStr">
        <is>
          <t>SKU-10203</t>
        </is>
      </c>
      <c r="C65" t="inlineStr">
        <is>
          <t>Foam Dressing 3x3</t>
        </is>
      </c>
      <c r="D65" t="inlineStr">
        <is>
          <t>Wound Care</t>
        </is>
      </c>
      <c r="E65" t="inlineStr">
        <is>
          <t>Harbor Health Products</t>
        </is>
      </c>
      <c r="F65" t="inlineStr">
        <is>
          <t>Each</t>
        </is>
      </c>
      <c r="G65" s="31" t="n">
        <v>4.71</v>
      </c>
      <c r="H65" t="inlineStr">
        <is>
          <t>Bluestone Memorial Hospital</t>
        </is>
      </c>
      <c r="I65" t="inlineStr">
        <is>
          <t>Pediatrics</t>
        </is>
      </c>
      <c r="J65" t="n">
        <v>358</v>
      </c>
      <c r="K65" t="n">
        <v>406</v>
      </c>
      <c r="L65" t="n">
        <v>129</v>
      </c>
      <c r="M65" t="n">
        <v>277</v>
      </c>
      <c r="N65" t="n">
        <v>3</v>
      </c>
      <c r="O65" s="32" t="n">
        <v>46002</v>
      </c>
      <c r="P65" s="32" t="n">
        <v>46159</v>
      </c>
      <c r="Q65" t="inlineStr">
        <is>
          <t>L497960</t>
        </is>
      </c>
      <c r="R65" s="33" t="n"/>
      <c r="S65" s="34" t="n"/>
    </row>
    <row r="66">
      <c r="A66" t="inlineStr">
        <is>
          <t>STK4065</t>
        </is>
      </c>
      <c r="B66" t="inlineStr">
        <is>
          <t>SKU-10203</t>
        </is>
      </c>
      <c r="C66" t="inlineStr">
        <is>
          <t>Foam Dressing 3x3</t>
        </is>
      </c>
      <c r="D66" t="inlineStr">
        <is>
          <t>Wound Care</t>
        </is>
      </c>
      <c r="E66" t="inlineStr">
        <is>
          <t>Harbor Health Products</t>
        </is>
      </c>
      <c r="F66" t="inlineStr">
        <is>
          <t>Each</t>
        </is>
      </c>
      <c r="G66" s="31" t="n">
        <v>4.71</v>
      </c>
      <c r="H66" t="inlineStr">
        <is>
          <t>Bluestone Memorial Hospital</t>
        </is>
      </c>
      <c r="I66" t="inlineStr">
        <is>
          <t>Laboratory</t>
        </is>
      </c>
      <c r="J66" t="n">
        <v>235</v>
      </c>
      <c r="K66" t="n">
        <v>410</v>
      </c>
      <c r="L66" t="n">
        <v>133</v>
      </c>
      <c r="M66" t="n">
        <v>277</v>
      </c>
      <c r="N66" t="n">
        <v>2</v>
      </c>
      <c r="O66" s="32" t="n">
        <v>45998</v>
      </c>
      <c r="P66" s="32" t="n">
        <v>47000</v>
      </c>
      <c r="Q66" t="inlineStr">
        <is>
          <t>L735242</t>
        </is>
      </c>
      <c r="R66" s="33" t="n"/>
      <c r="S66" s="34" t="n"/>
    </row>
    <row r="67">
      <c r="A67" t="inlineStr">
        <is>
          <t>STK4066</t>
        </is>
      </c>
      <c r="B67" t="inlineStr">
        <is>
          <t>SKU-10210</t>
        </is>
      </c>
      <c r="C67" t="inlineStr">
        <is>
          <t>Foam Dressing 4x4</t>
        </is>
      </c>
      <c r="D67" t="inlineStr">
        <is>
          <t>Wound Care</t>
        </is>
      </c>
      <c r="E67" t="inlineStr">
        <is>
          <t>Harbor Health Products</t>
        </is>
      </c>
      <c r="F67" t="inlineStr">
        <is>
          <t>Each</t>
        </is>
      </c>
      <c r="G67" s="31" t="n">
        <v>5.12</v>
      </c>
      <c r="H67" t="inlineStr">
        <is>
          <t>Bluestone Memorial Hospital</t>
        </is>
      </c>
      <c r="I67" t="inlineStr">
        <is>
          <t>Medical-Surgical 5 East</t>
        </is>
      </c>
      <c r="J67" t="n">
        <v>192</v>
      </c>
      <c r="K67" t="n">
        <v>800</v>
      </c>
      <c r="L67" t="n">
        <v>210</v>
      </c>
      <c r="M67" t="n">
        <v>590</v>
      </c>
      <c r="N67" t="n">
        <v>5</v>
      </c>
      <c r="O67" s="32" t="n">
        <v>45978</v>
      </c>
      <c r="P67" s="32" t="n">
        <v>46738</v>
      </c>
      <c r="Q67" t="inlineStr">
        <is>
          <t>L232324</t>
        </is>
      </c>
      <c r="R67" s="33" t="n"/>
      <c r="S67" s="34" t="n"/>
    </row>
    <row r="68">
      <c r="A68" t="inlineStr">
        <is>
          <t>STK4067</t>
        </is>
      </c>
      <c r="B68" t="inlineStr">
        <is>
          <t>SKU-10210</t>
        </is>
      </c>
      <c r="C68" t="inlineStr">
        <is>
          <t>Foam Dressing 4x4</t>
        </is>
      </c>
      <c r="D68" t="inlineStr">
        <is>
          <t>Wound Care</t>
        </is>
      </c>
      <c r="E68" t="inlineStr">
        <is>
          <t>Harbor Health Products</t>
        </is>
      </c>
      <c r="F68" t="inlineStr">
        <is>
          <t>Each</t>
        </is>
      </c>
      <c r="G68" s="31" t="n">
        <v>5.12</v>
      </c>
      <c r="H68" t="inlineStr">
        <is>
          <t>Bluestone Memorial Hospital</t>
        </is>
      </c>
      <c r="I68" t="inlineStr">
        <is>
          <t>Oncology</t>
        </is>
      </c>
      <c r="J68" t="n">
        <v>134</v>
      </c>
      <c r="K68" t="n">
        <v>800</v>
      </c>
      <c r="L68" t="n">
        <v>319</v>
      </c>
      <c r="M68" t="n">
        <v>481</v>
      </c>
      <c r="N68" t="n">
        <v>5</v>
      </c>
      <c r="O68" s="32" t="n">
        <v>46010</v>
      </c>
      <c r="P68" s="32" t="n">
        <v>46597</v>
      </c>
      <c r="Q68" t="inlineStr">
        <is>
          <t>L638150</t>
        </is>
      </c>
      <c r="R68" s="33" t="n"/>
      <c r="S68" s="34" t="n"/>
    </row>
    <row r="69">
      <c r="A69" t="inlineStr">
        <is>
          <t>STK4068</t>
        </is>
      </c>
      <c r="B69" t="inlineStr">
        <is>
          <t>SKU-10217</t>
        </is>
      </c>
      <c r="C69" t="inlineStr">
        <is>
          <t>Foam Dressing 6x6</t>
        </is>
      </c>
      <c r="D69" t="inlineStr">
        <is>
          <t>Wound Care</t>
        </is>
      </c>
      <c r="E69" t="inlineStr">
        <is>
          <t>Keystone Lab Solutions</t>
        </is>
      </c>
      <c r="F69" t="inlineStr">
        <is>
          <t>Each</t>
        </is>
      </c>
      <c r="G69" s="31" t="n">
        <v>4.8</v>
      </c>
      <c r="H69" t="inlineStr">
        <is>
          <t>Bluestone Memorial Hospital</t>
        </is>
      </c>
      <c r="I69" t="inlineStr">
        <is>
          <t>Cardiac Step-Down</t>
        </is>
      </c>
      <c r="J69" t="n">
        <v>380</v>
      </c>
      <c r="K69" t="n">
        <v>800</v>
      </c>
      <c r="L69" t="n">
        <v>313</v>
      </c>
      <c r="M69" t="n">
        <v>487</v>
      </c>
      <c r="N69" t="n">
        <v>10</v>
      </c>
      <c r="O69" s="32" t="n">
        <v>46004</v>
      </c>
      <c r="P69" s="32" t="n">
        <v>46783</v>
      </c>
      <c r="Q69" t="inlineStr">
        <is>
          <t>L101868</t>
        </is>
      </c>
      <c r="R69" s="33" t="n"/>
      <c r="S69" s="34" t="n"/>
    </row>
    <row r="70">
      <c r="A70" t="inlineStr">
        <is>
          <t>STK4069</t>
        </is>
      </c>
      <c r="B70" t="inlineStr">
        <is>
          <t>SKU-10217</t>
        </is>
      </c>
      <c r="C70" t="inlineStr">
        <is>
          <t>Foam Dressing 6x6</t>
        </is>
      </c>
      <c r="D70" t="inlineStr">
        <is>
          <t>Wound Care</t>
        </is>
      </c>
      <c r="E70" t="inlineStr">
        <is>
          <t>Keystone Lab Solutions</t>
        </is>
      </c>
      <c r="F70" t="inlineStr">
        <is>
          <t>Each</t>
        </is>
      </c>
      <c r="G70" s="31" t="n">
        <v>4.8</v>
      </c>
      <c r="H70" t="inlineStr">
        <is>
          <t>Bluestone Memorial Hospital</t>
        </is>
      </c>
      <c r="I70" t="inlineStr">
        <is>
          <t>Intensive Care Unit</t>
        </is>
      </c>
      <c r="J70" t="n">
        <v>451</v>
      </c>
      <c r="K70" t="n">
        <v>513</v>
      </c>
      <c r="L70" t="n">
        <v>146</v>
      </c>
      <c r="M70" t="n">
        <v>367</v>
      </c>
      <c r="N70" t="n">
        <v>10</v>
      </c>
      <c r="O70" s="32" t="n">
        <v>46022</v>
      </c>
      <c r="P70" s="32" t="n">
        <v>46648</v>
      </c>
      <c r="Q70" t="inlineStr">
        <is>
          <t>L951644</t>
        </is>
      </c>
      <c r="R70" s="33" t="n"/>
      <c r="S70" s="34" t="n"/>
    </row>
    <row r="71">
      <c r="A71" t="inlineStr">
        <is>
          <t>STK4070</t>
        </is>
      </c>
      <c r="B71" t="inlineStr">
        <is>
          <t>SKU-10217</t>
        </is>
      </c>
      <c r="C71" t="inlineStr">
        <is>
          <t>Foam Dressing 6x6</t>
        </is>
      </c>
      <c r="D71" t="inlineStr">
        <is>
          <t>Wound Care</t>
        </is>
      </c>
      <c r="E71" t="inlineStr">
        <is>
          <t>Keystone Lab Solutions</t>
        </is>
      </c>
      <c r="F71" t="inlineStr">
        <is>
          <t>Each</t>
        </is>
      </c>
      <c r="G71" s="31" t="n">
        <v>4.8</v>
      </c>
      <c r="H71" t="inlineStr">
        <is>
          <t>Bluestone Memorial Hospital</t>
        </is>
      </c>
      <c r="I71" t="inlineStr">
        <is>
          <t>Labor &amp; Delivery</t>
        </is>
      </c>
      <c r="J71" t="n">
        <v>171</v>
      </c>
      <c r="K71" t="n">
        <v>287</v>
      </c>
      <c r="L71" t="n">
        <v>92</v>
      </c>
      <c r="M71" t="n">
        <v>195</v>
      </c>
      <c r="N71" t="n">
        <v>2</v>
      </c>
      <c r="O71" s="32" t="n">
        <v>46000</v>
      </c>
      <c r="P71" s="32" t="n">
        <v>46817</v>
      </c>
      <c r="Q71" t="inlineStr">
        <is>
          <t>L842949</t>
        </is>
      </c>
      <c r="R71" s="33" t="n"/>
      <c r="S71" s="34" t="n"/>
    </row>
    <row r="72">
      <c r="A72" t="inlineStr">
        <is>
          <t>STK4071</t>
        </is>
      </c>
      <c r="B72" t="inlineStr">
        <is>
          <t>SKU-10217</t>
        </is>
      </c>
      <c r="C72" t="inlineStr">
        <is>
          <t>Foam Dressing 6x6</t>
        </is>
      </c>
      <c r="D72" t="inlineStr">
        <is>
          <t>Wound Care</t>
        </is>
      </c>
      <c r="E72" t="inlineStr">
        <is>
          <t>Keystone Lab Solutions</t>
        </is>
      </c>
      <c r="F72" t="inlineStr">
        <is>
          <t>Each</t>
        </is>
      </c>
      <c r="G72" s="31" t="n">
        <v>4.8</v>
      </c>
      <c r="H72" t="inlineStr">
        <is>
          <t>Bluestone Memorial Hospital</t>
        </is>
      </c>
      <c r="I72" t="inlineStr">
        <is>
          <t>Pediatrics</t>
        </is>
      </c>
      <c r="J72" t="n">
        <v>23</v>
      </c>
      <c r="K72" t="n">
        <v>800</v>
      </c>
      <c r="L72" t="n">
        <v>304</v>
      </c>
      <c r="M72" t="n">
        <v>496</v>
      </c>
      <c r="N72" t="n">
        <v>7</v>
      </c>
      <c r="O72" s="32" t="n">
        <v>46015</v>
      </c>
      <c r="P72" s="32" t="n">
        <v>46191</v>
      </c>
      <c r="Q72" t="inlineStr">
        <is>
          <t>L241779</t>
        </is>
      </c>
      <c r="R72" s="33" t="n"/>
      <c r="S72" s="34" t="n"/>
    </row>
    <row r="73">
      <c r="A73" t="inlineStr">
        <is>
          <t>STK4072</t>
        </is>
      </c>
      <c r="B73" t="inlineStr">
        <is>
          <t>SKU-10224</t>
        </is>
      </c>
      <c r="C73" t="inlineStr">
        <is>
          <t>Transparent Film Dressing 2.4x2.8</t>
        </is>
      </c>
      <c r="D73" t="inlineStr">
        <is>
          <t>Wound Care</t>
        </is>
      </c>
      <c r="E73" t="inlineStr">
        <is>
          <t>Harbor Health Products</t>
        </is>
      </c>
      <c r="F73" t="inlineStr">
        <is>
          <t>Each</t>
        </is>
      </c>
      <c r="G73" s="31" t="n">
        <v>0.79</v>
      </c>
      <c r="H73" t="inlineStr">
        <is>
          <t>Bluestone Memorial Hospital</t>
        </is>
      </c>
      <c r="I73" t="inlineStr">
        <is>
          <t>Medical-Surgical 4 West</t>
        </is>
      </c>
      <c r="J73" t="n">
        <v>977</v>
      </c>
      <c r="K73" t="n">
        <v>800</v>
      </c>
      <c r="L73" t="n">
        <v>268</v>
      </c>
      <c r="M73" t="n">
        <v>532</v>
      </c>
      <c r="N73" t="n">
        <v>3</v>
      </c>
      <c r="O73" s="32" t="n">
        <v>45995</v>
      </c>
      <c r="P73" s="32" t="n">
        <v>46056</v>
      </c>
      <c r="Q73" t="inlineStr">
        <is>
          <t>L439364</t>
        </is>
      </c>
      <c r="R73" s="33" t="n"/>
      <c r="S73" s="34" t="n"/>
    </row>
    <row r="74">
      <c r="A74" t="inlineStr">
        <is>
          <t>STK4073</t>
        </is>
      </c>
      <c r="B74" t="inlineStr">
        <is>
          <t>SKU-10224</t>
        </is>
      </c>
      <c r="C74" t="inlineStr">
        <is>
          <t>Transparent Film Dressing 2.4x2.8</t>
        </is>
      </c>
      <c r="D74" t="inlineStr">
        <is>
          <t>Wound Care</t>
        </is>
      </c>
      <c r="E74" t="inlineStr">
        <is>
          <t>Harbor Health Products</t>
        </is>
      </c>
      <c r="F74" t="inlineStr">
        <is>
          <t>Each</t>
        </is>
      </c>
      <c r="G74" s="31" t="n">
        <v>0.79</v>
      </c>
      <c r="H74" t="inlineStr">
        <is>
          <t>Bluestone Memorial Hospital</t>
        </is>
      </c>
      <c r="I74" t="inlineStr">
        <is>
          <t>Pediatrics</t>
        </is>
      </c>
      <c r="J74" t="n">
        <v>1004</v>
      </c>
      <c r="K74" t="n">
        <v>800</v>
      </c>
      <c r="L74" t="n">
        <v>232</v>
      </c>
      <c r="M74" t="n">
        <v>568</v>
      </c>
      <c r="N74" t="n">
        <v>10</v>
      </c>
      <c r="O74" s="32" t="n">
        <v>45983</v>
      </c>
      <c r="P74" s="32" t="n">
        <v>46981</v>
      </c>
      <c r="Q74" t="inlineStr">
        <is>
          <t>L392397</t>
        </is>
      </c>
      <c r="R74" s="33" t="n"/>
      <c r="S74" s="34" t="n"/>
    </row>
    <row r="75">
      <c r="A75" t="inlineStr">
        <is>
          <t>STK4074</t>
        </is>
      </c>
      <c r="B75" t="inlineStr">
        <is>
          <t>SKU-10224</t>
        </is>
      </c>
      <c r="C75" t="inlineStr">
        <is>
          <t>Transparent Film Dressing 2.4x2.8</t>
        </is>
      </c>
      <c r="D75" t="inlineStr">
        <is>
          <t>Wound Care</t>
        </is>
      </c>
      <c r="E75" t="inlineStr">
        <is>
          <t>Harbor Health Products</t>
        </is>
      </c>
      <c r="F75" t="inlineStr">
        <is>
          <t>Each</t>
        </is>
      </c>
      <c r="G75" s="31" t="n">
        <v>0.79</v>
      </c>
      <c r="H75" t="inlineStr">
        <is>
          <t>Bluestone Memorial Hospital</t>
        </is>
      </c>
      <c r="I75" t="inlineStr">
        <is>
          <t>Perioperative Services</t>
        </is>
      </c>
      <c r="J75" t="n">
        <v>583</v>
      </c>
      <c r="K75" t="n">
        <v>800</v>
      </c>
      <c r="L75" t="n">
        <v>269</v>
      </c>
      <c r="M75" t="n">
        <v>531</v>
      </c>
      <c r="N75" t="n">
        <v>3</v>
      </c>
      <c r="O75" s="32" t="n">
        <v>45993</v>
      </c>
      <c r="P75" s="32" t="n">
        <v>46009</v>
      </c>
      <c r="Q75" t="inlineStr">
        <is>
          <t>L557125</t>
        </is>
      </c>
      <c r="R75" s="33" t="n"/>
      <c r="S75" s="34" t="n"/>
    </row>
    <row r="76">
      <c r="A76" t="inlineStr">
        <is>
          <t>STK4075</t>
        </is>
      </c>
      <c r="B76" t="inlineStr">
        <is>
          <t>SKU-10224</t>
        </is>
      </c>
      <c r="C76" t="inlineStr">
        <is>
          <t>Transparent Film Dressing 2.4x2.8</t>
        </is>
      </c>
      <c r="D76" t="inlineStr">
        <is>
          <t>Wound Care</t>
        </is>
      </c>
      <c r="E76" t="inlineStr">
        <is>
          <t>Harbor Health Products</t>
        </is>
      </c>
      <c r="F76" t="inlineStr">
        <is>
          <t>Each</t>
        </is>
      </c>
      <c r="G76" s="31" t="n">
        <v>0.79</v>
      </c>
      <c r="H76" t="inlineStr">
        <is>
          <t>Ashby Falls Community Hospital</t>
        </is>
      </c>
      <c r="I76" t="inlineStr">
        <is>
          <t>Medical-Surgical</t>
        </is>
      </c>
      <c r="J76" t="n">
        <v>987</v>
      </c>
      <c r="K76" t="n">
        <v>800</v>
      </c>
      <c r="L76" t="n">
        <v>282</v>
      </c>
      <c r="M76" t="n">
        <v>518</v>
      </c>
      <c r="N76" t="n">
        <v>2</v>
      </c>
      <c r="O76" s="32" t="n">
        <v>46017</v>
      </c>
      <c r="P76" s="32" t="n">
        <v>46977</v>
      </c>
      <c r="Q76" t="inlineStr">
        <is>
          <t>L772202</t>
        </is>
      </c>
      <c r="R76" s="33" t="n"/>
      <c r="S76" s="34" t="n"/>
    </row>
    <row r="77">
      <c r="A77" t="inlineStr">
        <is>
          <t>STK4076</t>
        </is>
      </c>
      <c r="B77" t="inlineStr">
        <is>
          <t>SKU-10231</t>
        </is>
      </c>
      <c r="C77" t="inlineStr">
        <is>
          <t>Transparent Film Dressing 4x4.75</t>
        </is>
      </c>
      <c r="D77" t="inlineStr">
        <is>
          <t>Wound Care</t>
        </is>
      </c>
      <c r="E77" t="inlineStr">
        <is>
          <t>Harbor Health Products</t>
        </is>
      </c>
      <c r="F77" t="inlineStr">
        <is>
          <t>Each</t>
        </is>
      </c>
      <c r="G77" s="31" t="n">
        <v>0.88</v>
      </c>
      <c r="H77" t="inlineStr">
        <is>
          <t>Bluestone Memorial Hospital</t>
        </is>
      </c>
      <c r="I77" t="inlineStr">
        <is>
          <t>Labor &amp; Delivery</t>
        </is>
      </c>
      <c r="J77" t="n">
        <v>437</v>
      </c>
      <c r="K77" t="n">
        <v>800</v>
      </c>
      <c r="L77" t="n">
        <v>279</v>
      </c>
      <c r="M77" t="n">
        <v>521</v>
      </c>
      <c r="N77" t="n">
        <v>10</v>
      </c>
      <c r="O77" s="32" t="n">
        <v>45977</v>
      </c>
      <c r="P77" s="32" t="n">
        <v>45970</v>
      </c>
      <c r="Q77" t="inlineStr">
        <is>
          <t>L948932</t>
        </is>
      </c>
      <c r="R77" s="33" t="n"/>
      <c r="S77" s="34" t="n"/>
    </row>
    <row r="78">
      <c r="A78" t="inlineStr">
        <is>
          <t>STK4077</t>
        </is>
      </c>
      <c r="B78" t="inlineStr">
        <is>
          <t>SKU-10231</t>
        </is>
      </c>
      <c r="C78" t="inlineStr">
        <is>
          <t>Transparent Film Dressing 4x4.75</t>
        </is>
      </c>
      <c r="D78" t="inlineStr">
        <is>
          <t>Wound Care</t>
        </is>
      </c>
      <c r="E78" t="inlineStr">
        <is>
          <t>Harbor Health Products</t>
        </is>
      </c>
      <c r="F78" t="inlineStr">
        <is>
          <t>Each</t>
        </is>
      </c>
      <c r="G78" s="31" t="n">
        <v>0.88</v>
      </c>
      <c r="H78" t="inlineStr">
        <is>
          <t>Bluestone Memorial Hospital</t>
        </is>
      </c>
      <c r="I78" t="inlineStr">
        <is>
          <t>Pediatrics</t>
        </is>
      </c>
      <c r="J78" t="n">
        <v>1028</v>
      </c>
      <c r="K78" t="n">
        <v>800</v>
      </c>
      <c r="L78" t="n">
        <v>251</v>
      </c>
      <c r="M78" t="n">
        <v>549</v>
      </c>
      <c r="N78" t="n">
        <v>7</v>
      </c>
      <c r="O78" s="32" t="n">
        <v>46014</v>
      </c>
      <c r="P78" s="32" t="n">
        <v>46385</v>
      </c>
      <c r="Q78" t="inlineStr">
        <is>
          <t>L123853</t>
        </is>
      </c>
      <c r="R78" s="33" t="n"/>
      <c r="S78" s="34" t="n"/>
    </row>
    <row r="79">
      <c r="A79" t="inlineStr">
        <is>
          <t>STK4078</t>
        </is>
      </c>
      <c r="B79" t="inlineStr">
        <is>
          <t>SKU-10231</t>
        </is>
      </c>
      <c r="C79" t="inlineStr">
        <is>
          <t>Transparent Film Dressing 4x4.75</t>
        </is>
      </c>
      <c r="D79" t="inlineStr">
        <is>
          <t>Wound Care</t>
        </is>
      </c>
      <c r="E79" t="inlineStr">
        <is>
          <t>Harbor Health Products</t>
        </is>
      </c>
      <c r="F79" t="inlineStr">
        <is>
          <t>Each</t>
        </is>
      </c>
      <c r="G79" s="31" t="n">
        <v>0.88</v>
      </c>
      <c r="H79" t="inlineStr">
        <is>
          <t>Ashby Falls Community Hospital</t>
        </is>
      </c>
      <c r="I79" t="inlineStr">
        <is>
          <t>Medical-Surgical</t>
        </is>
      </c>
      <c r="J79" t="n">
        <v>225</v>
      </c>
      <c r="K79" t="n">
        <v>800</v>
      </c>
      <c r="L79" t="n">
        <v>235</v>
      </c>
      <c r="M79" t="n">
        <v>565</v>
      </c>
      <c r="N79" t="n">
        <v>7</v>
      </c>
      <c r="O79" s="32" t="n">
        <v>46000</v>
      </c>
      <c r="P79" s="32" t="n">
        <v>46693</v>
      </c>
      <c r="Q79" t="inlineStr">
        <is>
          <t>L209670</t>
        </is>
      </c>
      <c r="R79" s="33" t="n"/>
      <c r="S79" s="34" t="n"/>
    </row>
    <row r="80">
      <c r="A80" t="inlineStr">
        <is>
          <t>STK4079</t>
        </is>
      </c>
      <c r="B80" t="inlineStr">
        <is>
          <t>SKU-10238</t>
        </is>
      </c>
      <c r="C80" t="inlineStr">
        <is>
          <t>Abdominal Pad 8x10 Sterile</t>
        </is>
      </c>
      <c r="D80" t="inlineStr">
        <is>
          <t>Wound Care</t>
        </is>
      </c>
      <c r="E80" t="inlineStr">
        <is>
          <t>Northstar Medical Supply</t>
        </is>
      </c>
      <c r="F80" t="inlineStr">
        <is>
          <t>Each</t>
        </is>
      </c>
      <c r="G80" s="31" t="n">
        <v>0.57</v>
      </c>
      <c r="H80" t="inlineStr">
        <is>
          <t>Cedar Ridge Medical Center</t>
        </is>
      </c>
      <c r="I80" t="inlineStr">
        <is>
          <t>Medical-Surgical</t>
        </is>
      </c>
      <c r="J80" t="n">
        <v>0</v>
      </c>
      <c r="K80" t="n">
        <v>800</v>
      </c>
      <c r="L80" t="n">
        <v>241</v>
      </c>
      <c r="M80" t="n">
        <v>559</v>
      </c>
      <c r="N80" t="n">
        <v>7</v>
      </c>
      <c r="O80" s="32" t="n">
        <v>45985</v>
      </c>
      <c r="P80" s="32" t="n">
        <v>46236</v>
      </c>
      <c r="Q80" t="inlineStr">
        <is>
          <t>L629557</t>
        </is>
      </c>
      <c r="R80" s="33" t="n"/>
      <c r="S80" s="34" t="n"/>
    </row>
    <row r="81">
      <c r="A81" t="inlineStr">
        <is>
          <t>STK4080</t>
        </is>
      </c>
      <c r="B81" t="inlineStr">
        <is>
          <t>SKU-10245</t>
        </is>
      </c>
      <c r="C81" t="inlineStr">
        <is>
          <t>Silver Alginate Dressing 2x2</t>
        </is>
      </c>
      <c r="D81" t="inlineStr">
        <is>
          <t>Wound Care</t>
        </is>
      </c>
      <c r="E81" t="inlineStr">
        <is>
          <t>Pinnacle Biomedical</t>
        </is>
      </c>
      <c r="F81" t="inlineStr">
        <is>
          <t>Each</t>
        </is>
      </c>
      <c r="G81" s="31" t="n">
        <v>12.46</v>
      </c>
      <c r="H81" t="inlineStr">
        <is>
          <t>Bluestone Memorial Hospital</t>
        </is>
      </c>
      <c r="I81" t="inlineStr">
        <is>
          <t>Oncology</t>
        </is>
      </c>
      <c r="J81" t="n">
        <v>299</v>
      </c>
      <c r="K81" t="n">
        <v>336</v>
      </c>
      <c r="L81" t="n">
        <v>98</v>
      </c>
      <c r="M81" t="n">
        <v>238</v>
      </c>
      <c r="N81" t="n">
        <v>3</v>
      </c>
      <c r="O81" s="32" t="n">
        <v>46010</v>
      </c>
      <c r="P81" s="32" t="n">
        <v>46934</v>
      </c>
      <c r="Q81" t="inlineStr">
        <is>
          <t>L411657</t>
        </is>
      </c>
      <c r="R81" s="33" t="n"/>
      <c r="S81" s="34" t="n"/>
    </row>
    <row r="82">
      <c r="A82" t="inlineStr">
        <is>
          <t>STK4081</t>
        </is>
      </c>
      <c r="B82" t="inlineStr">
        <is>
          <t>SKU-10245</t>
        </is>
      </c>
      <c r="C82" t="inlineStr">
        <is>
          <t>Silver Alginate Dressing 2x2</t>
        </is>
      </c>
      <c r="D82" t="inlineStr">
        <is>
          <t>Wound Care</t>
        </is>
      </c>
      <c r="E82" t="inlineStr">
        <is>
          <t>Pinnacle Biomedical</t>
        </is>
      </c>
      <c r="F82" t="inlineStr">
        <is>
          <t>Each</t>
        </is>
      </c>
      <c r="G82" s="31" t="n">
        <v>12.46</v>
      </c>
      <c r="H82" t="inlineStr">
        <is>
          <t>Bluestone Memorial Hospital</t>
        </is>
      </c>
      <c r="I82" t="inlineStr">
        <is>
          <t>Perioperative Services</t>
        </is>
      </c>
      <c r="J82" t="n">
        <v>725</v>
      </c>
      <c r="K82" t="n">
        <v>577</v>
      </c>
      <c r="L82" t="n">
        <v>156</v>
      </c>
      <c r="M82" t="n">
        <v>421</v>
      </c>
      <c r="N82" t="n">
        <v>2</v>
      </c>
      <c r="O82" s="32" t="n">
        <v>46021</v>
      </c>
      <c r="P82" s="32" t="n">
        <v>46552</v>
      </c>
      <c r="Q82" t="inlineStr">
        <is>
          <t>L780527</t>
        </is>
      </c>
      <c r="R82" s="33" t="n"/>
      <c r="S82" s="34" t="n"/>
    </row>
    <row r="83">
      <c r="A83" t="inlineStr">
        <is>
          <t>STK4082</t>
        </is>
      </c>
      <c r="B83" t="inlineStr">
        <is>
          <t>SKU-10252</t>
        </is>
      </c>
      <c r="C83" t="inlineStr">
        <is>
          <t>Silver Alginate Dressing 4x5</t>
        </is>
      </c>
      <c r="D83" t="inlineStr">
        <is>
          <t>Wound Care</t>
        </is>
      </c>
      <c r="E83" t="inlineStr">
        <is>
          <t>Pinnacle Biomedical</t>
        </is>
      </c>
      <c r="F83" t="inlineStr">
        <is>
          <t>Each</t>
        </is>
      </c>
      <c r="G83" s="31" t="n">
        <v>13.32</v>
      </c>
      <c r="H83" t="inlineStr">
        <is>
          <t>Bluestone Memorial Hospital</t>
        </is>
      </c>
      <c r="I83" t="inlineStr">
        <is>
          <t>Orthopedics &amp; Spine</t>
        </is>
      </c>
      <c r="J83" t="n">
        <v>242</v>
      </c>
      <c r="K83" t="n">
        <v>298</v>
      </c>
      <c r="L83" t="n">
        <v>86</v>
      </c>
      <c r="M83" t="n">
        <v>212</v>
      </c>
      <c r="N83" t="n">
        <v>7</v>
      </c>
      <c r="O83" s="32" t="n">
        <v>45978</v>
      </c>
      <c r="P83" s="32" t="n">
        <v>46500</v>
      </c>
      <c r="Q83" t="inlineStr">
        <is>
          <t>L955840</t>
        </is>
      </c>
      <c r="R83" s="33" t="n"/>
      <c r="S83" s="34" t="n"/>
    </row>
    <row r="84">
      <c r="A84" t="inlineStr">
        <is>
          <t>STK4083</t>
        </is>
      </c>
      <c r="B84" t="inlineStr">
        <is>
          <t>SKU-10252</t>
        </is>
      </c>
      <c r="C84" t="inlineStr">
        <is>
          <t>Silver Alginate Dressing 4x5</t>
        </is>
      </c>
      <c r="D84" t="inlineStr">
        <is>
          <t>Wound Care</t>
        </is>
      </c>
      <c r="E84" t="inlineStr">
        <is>
          <t>Pinnacle Biomedical</t>
        </is>
      </c>
      <c r="F84" t="inlineStr">
        <is>
          <t>Each</t>
        </is>
      </c>
      <c r="G84" s="31" t="n">
        <v>13.32</v>
      </c>
      <c r="H84" t="inlineStr">
        <is>
          <t>Bluestone Memorial Hospital</t>
        </is>
      </c>
      <c r="I84" t="inlineStr">
        <is>
          <t>Oncology</t>
        </is>
      </c>
      <c r="J84" t="n">
        <v>152</v>
      </c>
      <c r="K84" t="n">
        <v>218</v>
      </c>
      <c r="L84" t="n">
        <v>82</v>
      </c>
      <c r="M84" t="n">
        <v>136</v>
      </c>
      <c r="N84" t="n">
        <v>2</v>
      </c>
      <c r="O84" s="32" t="n">
        <v>46022</v>
      </c>
      <c r="P84" s="32" t="n">
        <v>46678</v>
      </c>
      <c r="Q84" t="inlineStr">
        <is>
          <t>L147835</t>
        </is>
      </c>
      <c r="R84" s="33" t="n"/>
      <c r="S84" s="34" t="n"/>
    </row>
    <row r="85">
      <c r="A85" t="inlineStr">
        <is>
          <t>STK4084</t>
        </is>
      </c>
      <c r="B85" t="inlineStr">
        <is>
          <t>SKU-10252</t>
        </is>
      </c>
      <c r="C85" t="inlineStr">
        <is>
          <t>Silver Alginate Dressing 4x5</t>
        </is>
      </c>
      <c r="D85" t="inlineStr">
        <is>
          <t>Wound Care</t>
        </is>
      </c>
      <c r="E85" t="inlineStr">
        <is>
          <t>Pinnacle Biomedical</t>
        </is>
      </c>
      <c r="F85" t="inlineStr">
        <is>
          <t>Each</t>
        </is>
      </c>
      <c r="G85" s="31" t="n">
        <v>13.32</v>
      </c>
      <c r="H85" t="inlineStr">
        <is>
          <t>Bluestone Memorial Hospital</t>
        </is>
      </c>
      <c r="I85" t="inlineStr">
        <is>
          <t>Pediatrics</t>
        </is>
      </c>
      <c r="J85" t="n">
        <v>99</v>
      </c>
      <c r="K85" t="n">
        <v>291</v>
      </c>
      <c r="L85" t="n">
        <v>92</v>
      </c>
      <c r="M85" t="n">
        <v>199</v>
      </c>
      <c r="N85" t="n">
        <v>3</v>
      </c>
      <c r="O85" s="32" t="n">
        <v>46005</v>
      </c>
      <c r="P85" s="32" t="n">
        <v>46854</v>
      </c>
      <c r="Q85" t="inlineStr">
        <is>
          <t>L691707</t>
        </is>
      </c>
      <c r="R85" s="33" t="n"/>
      <c r="S85" s="34" t="n"/>
    </row>
    <row r="86">
      <c r="A86" t="inlineStr">
        <is>
          <t>STK4085</t>
        </is>
      </c>
      <c r="B86" t="inlineStr">
        <is>
          <t>SKU-10259</t>
        </is>
      </c>
      <c r="C86" t="inlineStr">
        <is>
          <t>Elastic Bandage 2 in</t>
        </is>
      </c>
      <c r="D86" t="inlineStr">
        <is>
          <t>Wound Care</t>
        </is>
      </c>
      <c r="E86" t="inlineStr">
        <is>
          <t>CareLine Distributors</t>
        </is>
      </c>
      <c r="F86" t="inlineStr">
        <is>
          <t>Each</t>
        </is>
      </c>
      <c r="G86" s="31" t="n">
        <v>1.29</v>
      </c>
      <c r="H86" t="inlineStr">
        <is>
          <t>Bluestone Memorial Hospital</t>
        </is>
      </c>
      <c r="I86" t="inlineStr">
        <is>
          <t>Pediatrics</t>
        </is>
      </c>
      <c r="J86" t="n">
        <v>574</v>
      </c>
      <c r="K86" t="n">
        <v>800</v>
      </c>
      <c r="L86" t="n">
        <v>277</v>
      </c>
      <c r="M86" t="n">
        <v>523</v>
      </c>
      <c r="N86" t="n">
        <v>7</v>
      </c>
      <c r="O86" s="32" t="n">
        <v>46010</v>
      </c>
      <c r="R86" s="33" t="n"/>
      <c r="S86" s="34" t="n"/>
    </row>
    <row r="87">
      <c r="A87" t="inlineStr">
        <is>
          <t>STK4086</t>
        </is>
      </c>
      <c r="B87" t="inlineStr">
        <is>
          <t>SKU-10259</t>
        </is>
      </c>
      <c r="C87" t="inlineStr">
        <is>
          <t>Elastic Bandage 2 in</t>
        </is>
      </c>
      <c r="D87" t="inlineStr">
        <is>
          <t>Wound Care</t>
        </is>
      </c>
      <c r="E87" t="inlineStr">
        <is>
          <t>CareLine Distributors</t>
        </is>
      </c>
      <c r="F87" t="inlineStr">
        <is>
          <t>Each</t>
        </is>
      </c>
      <c r="G87" s="31" t="n">
        <v>1.29</v>
      </c>
      <c r="H87" t="inlineStr">
        <is>
          <t>Ashby Falls Community Hospital</t>
        </is>
      </c>
      <c r="I87" t="inlineStr">
        <is>
          <t>Emergency Department</t>
        </is>
      </c>
      <c r="J87" t="n">
        <v>878</v>
      </c>
      <c r="K87" t="n">
        <v>800</v>
      </c>
      <c r="L87" t="n">
        <v>275</v>
      </c>
      <c r="M87" t="n">
        <v>525</v>
      </c>
      <c r="N87" t="n">
        <v>2</v>
      </c>
      <c r="O87" s="32" t="n">
        <v>45989</v>
      </c>
      <c r="R87" s="33" t="n"/>
      <c r="S87" s="34" t="n"/>
    </row>
    <row r="88">
      <c r="A88" t="inlineStr">
        <is>
          <t>STK4087</t>
        </is>
      </c>
      <c r="B88" t="inlineStr">
        <is>
          <t>SKU-10259</t>
        </is>
      </c>
      <c r="C88" t="inlineStr">
        <is>
          <t>Elastic Bandage 2 in</t>
        </is>
      </c>
      <c r="D88" t="inlineStr">
        <is>
          <t>Wound Care</t>
        </is>
      </c>
      <c r="E88" t="inlineStr">
        <is>
          <t>CareLine Distributors</t>
        </is>
      </c>
      <c r="F88" t="inlineStr">
        <is>
          <t>Each</t>
        </is>
      </c>
      <c r="G88" s="31" t="n">
        <v>1.29</v>
      </c>
      <c r="H88" t="inlineStr">
        <is>
          <t>Cedar Ridge Medical Center</t>
        </is>
      </c>
      <c r="I88" t="inlineStr">
        <is>
          <t>Emergency Department</t>
        </is>
      </c>
      <c r="J88" t="n">
        <v>1076</v>
      </c>
      <c r="K88" t="n">
        <v>800</v>
      </c>
      <c r="L88" t="n">
        <v>248</v>
      </c>
      <c r="M88" t="n">
        <v>552</v>
      </c>
      <c r="N88" t="n">
        <v>14</v>
      </c>
      <c r="O88" s="32" t="n">
        <v>46010</v>
      </c>
      <c r="R88" s="33" t="n"/>
      <c r="S88" s="34" t="n"/>
    </row>
    <row r="89">
      <c r="A89" t="inlineStr">
        <is>
          <t>STK4088</t>
        </is>
      </c>
      <c r="B89" t="inlineStr">
        <is>
          <t>SKU-10266</t>
        </is>
      </c>
      <c r="C89" t="inlineStr">
        <is>
          <t>Elastic Bandage 4 in</t>
        </is>
      </c>
      <c r="D89" t="inlineStr">
        <is>
          <t>Wound Care</t>
        </is>
      </c>
      <c r="E89" t="inlineStr">
        <is>
          <t>Summit Orthopedic Systems</t>
        </is>
      </c>
      <c r="F89" t="inlineStr">
        <is>
          <t>Each</t>
        </is>
      </c>
      <c r="G89" s="31" t="n">
        <v>1.38</v>
      </c>
      <c r="H89" t="inlineStr">
        <is>
          <t>Bluestone Memorial Hospital</t>
        </is>
      </c>
      <c r="I89" t="inlineStr">
        <is>
          <t>Laboratory</t>
        </is>
      </c>
      <c r="J89" t="n">
        <v>788</v>
      </c>
      <c r="K89" t="n">
        <v>800</v>
      </c>
      <c r="L89" t="n">
        <v>305</v>
      </c>
      <c r="M89" t="n">
        <v>495</v>
      </c>
      <c r="N89" t="n">
        <v>3</v>
      </c>
      <c r="O89" s="32" t="n">
        <v>45989</v>
      </c>
      <c r="R89" s="33" t="n"/>
      <c r="S89" s="34" t="n"/>
    </row>
    <row r="90">
      <c r="A90" t="inlineStr">
        <is>
          <t>STK4089</t>
        </is>
      </c>
      <c r="B90" t="inlineStr">
        <is>
          <t>SKU-10273</t>
        </is>
      </c>
      <c r="C90" t="inlineStr">
        <is>
          <t>Elastic Bandage 6 in</t>
        </is>
      </c>
      <c r="D90" t="inlineStr">
        <is>
          <t>Wound Care</t>
        </is>
      </c>
      <c r="E90" t="inlineStr">
        <is>
          <t>CareLine Distributors</t>
        </is>
      </c>
      <c r="F90" t="inlineStr">
        <is>
          <t>Each</t>
        </is>
      </c>
      <c r="G90" s="31" t="n">
        <v>1.3</v>
      </c>
      <c r="H90" t="inlineStr">
        <is>
          <t>Bluestone Memorial Hospital</t>
        </is>
      </c>
      <c r="I90" t="inlineStr">
        <is>
          <t>Emergency Department</t>
        </is>
      </c>
      <c r="J90" t="n">
        <v>633</v>
      </c>
      <c r="K90" t="n">
        <v>800</v>
      </c>
      <c r="L90" t="n">
        <v>300</v>
      </c>
      <c r="M90" t="n">
        <v>500</v>
      </c>
      <c r="N90" t="n">
        <v>7</v>
      </c>
      <c r="O90" s="32" t="n">
        <v>46020</v>
      </c>
      <c r="R90" s="33" t="n"/>
      <c r="S90" s="34" t="n"/>
    </row>
    <row r="91">
      <c r="A91" t="inlineStr">
        <is>
          <t>STK4090</t>
        </is>
      </c>
      <c r="B91" t="inlineStr">
        <is>
          <t>SKU-10273</t>
        </is>
      </c>
      <c r="C91" t="inlineStr">
        <is>
          <t>Elastic Bandage 6 in</t>
        </is>
      </c>
      <c r="D91" t="inlineStr">
        <is>
          <t>Wound Care</t>
        </is>
      </c>
      <c r="E91" t="inlineStr">
        <is>
          <t>CareLine Distributors</t>
        </is>
      </c>
      <c r="F91" t="inlineStr">
        <is>
          <t>Each</t>
        </is>
      </c>
      <c r="G91" s="31" t="n">
        <v>1.3</v>
      </c>
      <c r="H91" t="inlineStr">
        <is>
          <t>Bluestone Memorial Hospital</t>
        </is>
      </c>
      <c r="I91" t="inlineStr">
        <is>
          <t>Medical-Surgical 5 East</t>
        </is>
      </c>
      <c r="J91" t="n">
        <v>129</v>
      </c>
      <c r="K91" t="n">
        <v>800</v>
      </c>
      <c r="L91" t="n">
        <v>277</v>
      </c>
      <c r="M91" t="n">
        <v>523</v>
      </c>
      <c r="N91" t="n">
        <v>7</v>
      </c>
      <c r="O91" s="32" t="n">
        <v>45997</v>
      </c>
      <c r="R91" s="33" t="n"/>
      <c r="S91" s="34" t="n"/>
    </row>
    <row r="92">
      <c r="A92" t="inlineStr">
        <is>
          <t>STK4091</t>
        </is>
      </c>
      <c r="B92" t="inlineStr">
        <is>
          <t>SKU-10273</t>
        </is>
      </c>
      <c r="C92" t="inlineStr">
        <is>
          <t>Elastic Bandage 6 in</t>
        </is>
      </c>
      <c r="D92" t="inlineStr">
        <is>
          <t>Wound Care</t>
        </is>
      </c>
      <c r="E92" t="inlineStr">
        <is>
          <t>CareLine Distributors</t>
        </is>
      </c>
      <c r="F92" t="inlineStr">
        <is>
          <t>Each</t>
        </is>
      </c>
      <c r="G92" s="31" t="n">
        <v>1.3</v>
      </c>
      <c r="H92" t="inlineStr">
        <is>
          <t>Bluestone Memorial Hospital</t>
        </is>
      </c>
      <c r="I92" t="inlineStr">
        <is>
          <t>Cardiac Step-Down</t>
        </is>
      </c>
      <c r="J92" t="n">
        <v>914</v>
      </c>
      <c r="K92" t="n">
        <v>800</v>
      </c>
      <c r="L92" t="n">
        <v>234</v>
      </c>
      <c r="M92" t="n">
        <v>566</v>
      </c>
      <c r="N92" t="n">
        <v>5</v>
      </c>
      <c r="O92" s="32" t="n">
        <v>46016</v>
      </c>
      <c r="R92" s="33" t="n"/>
      <c r="S92" s="34" t="n"/>
    </row>
    <row r="93">
      <c r="A93" t="inlineStr">
        <is>
          <t>STK4092</t>
        </is>
      </c>
      <c r="B93" t="inlineStr">
        <is>
          <t>SKU-10280</t>
        </is>
      </c>
      <c r="C93" t="inlineStr">
        <is>
          <t>Nasal Cannula, Adult</t>
        </is>
      </c>
      <c r="D93" t="inlineStr">
        <is>
          <t>Respiratory</t>
        </is>
      </c>
      <c r="E93" t="inlineStr">
        <is>
          <t>Northstar Medical Supply</t>
        </is>
      </c>
      <c r="F93" t="inlineStr">
        <is>
          <t>Each</t>
        </is>
      </c>
      <c r="G93" s="31" t="n">
        <v>0.96</v>
      </c>
      <c r="H93" t="inlineStr">
        <is>
          <t>Ashby Falls Community Hospital</t>
        </is>
      </c>
      <c r="I93" t="inlineStr">
        <is>
          <t>Emergency Department</t>
        </is>
      </c>
      <c r="J93" t="n">
        <v>961</v>
      </c>
      <c r="K93" t="n">
        <v>800</v>
      </c>
      <c r="L93" t="n">
        <v>289</v>
      </c>
      <c r="M93" t="n">
        <v>511</v>
      </c>
      <c r="N93" t="n">
        <v>5</v>
      </c>
      <c r="O93" s="32" t="n">
        <v>46010</v>
      </c>
      <c r="R93" s="33" t="n"/>
      <c r="S93" s="34" t="n"/>
    </row>
    <row r="94">
      <c r="A94" t="inlineStr">
        <is>
          <t>STK4093</t>
        </is>
      </c>
      <c r="B94" t="inlineStr">
        <is>
          <t>SKU-10287</t>
        </is>
      </c>
      <c r="C94" t="inlineStr">
        <is>
          <t>Nasal Cannula, Pediatric</t>
        </is>
      </c>
      <c r="D94" t="inlineStr">
        <is>
          <t>Respiratory</t>
        </is>
      </c>
      <c r="E94" t="inlineStr">
        <is>
          <t>Northstar Medical Supply</t>
        </is>
      </c>
      <c r="F94" t="inlineStr">
        <is>
          <t>Each</t>
        </is>
      </c>
      <c r="G94" s="31" t="n">
        <v>0.91</v>
      </c>
      <c r="H94" t="inlineStr">
        <is>
          <t>Bluestone Memorial Hospital</t>
        </is>
      </c>
      <c r="I94" t="inlineStr">
        <is>
          <t>Medical-Surgical 4 West</t>
        </is>
      </c>
      <c r="J94" t="n">
        <v>809</v>
      </c>
      <c r="K94" t="n">
        <v>800</v>
      </c>
      <c r="L94" t="n">
        <v>207</v>
      </c>
      <c r="M94" t="n">
        <v>593</v>
      </c>
      <c r="N94" t="n">
        <v>2</v>
      </c>
      <c r="O94" s="32" t="n">
        <v>45996</v>
      </c>
      <c r="R94" s="33" t="n"/>
      <c r="S94" s="34" t="n"/>
    </row>
    <row r="95">
      <c r="A95" t="inlineStr">
        <is>
          <t>STK4094</t>
        </is>
      </c>
      <c r="B95" t="inlineStr">
        <is>
          <t>SKU-10287</t>
        </is>
      </c>
      <c r="C95" t="inlineStr">
        <is>
          <t>Nasal Cannula, Pediatric</t>
        </is>
      </c>
      <c r="D95" t="inlineStr">
        <is>
          <t>Respiratory</t>
        </is>
      </c>
      <c r="E95" t="inlineStr">
        <is>
          <t>Northstar Medical Supply</t>
        </is>
      </c>
      <c r="F95" t="inlineStr">
        <is>
          <t>Each</t>
        </is>
      </c>
      <c r="G95" s="31" t="n">
        <v>0.91</v>
      </c>
      <c r="H95" t="inlineStr">
        <is>
          <t>Bluestone Memorial Hospital</t>
        </is>
      </c>
      <c r="I95" t="inlineStr">
        <is>
          <t>Medical-Surgical 5 East</t>
        </is>
      </c>
      <c r="J95" t="n">
        <v>135</v>
      </c>
      <c r="K95" t="n">
        <v>800</v>
      </c>
      <c r="L95" t="n">
        <v>238</v>
      </c>
      <c r="M95" t="n">
        <v>562</v>
      </c>
      <c r="N95" t="n">
        <v>3</v>
      </c>
      <c r="O95" s="32" t="n">
        <v>45992</v>
      </c>
      <c r="R95" s="33" t="n"/>
      <c r="S95" s="34" t="n"/>
    </row>
    <row r="96">
      <c r="A96" t="inlineStr">
        <is>
          <t>STK4095</t>
        </is>
      </c>
      <c r="B96" t="inlineStr">
        <is>
          <t>SKU-10294</t>
        </is>
      </c>
      <c r="C96" t="inlineStr">
        <is>
          <t>Nasal Cannula, Infant</t>
        </is>
      </c>
      <c r="D96" t="inlineStr">
        <is>
          <t>Respiratory</t>
        </is>
      </c>
      <c r="E96" t="inlineStr">
        <is>
          <t>Northstar Medical Supply</t>
        </is>
      </c>
      <c r="F96" t="inlineStr">
        <is>
          <t>Each</t>
        </is>
      </c>
      <c r="G96" s="31" t="n">
        <v>0.99</v>
      </c>
      <c r="H96" t="inlineStr">
        <is>
          <t>Bluestone Memorial Hospital</t>
        </is>
      </c>
      <c r="I96" t="inlineStr">
        <is>
          <t>Medical-Surgical 5 East</t>
        </is>
      </c>
      <c r="J96" t="n">
        <v>974</v>
      </c>
      <c r="K96" t="n">
        <v>800</v>
      </c>
      <c r="L96" t="n">
        <v>228</v>
      </c>
      <c r="M96" t="n">
        <v>572</v>
      </c>
      <c r="N96" t="n">
        <v>7</v>
      </c>
      <c r="O96" s="32" t="n">
        <v>45995</v>
      </c>
      <c r="R96" s="33" t="n"/>
      <c r="S96" s="34" t="n"/>
    </row>
    <row r="97">
      <c r="A97" t="inlineStr">
        <is>
          <t>STK4096</t>
        </is>
      </c>
      <c r="B97" t="inlineStr">
        <is>
          <t>SKU-10294</t>
        </is>
      </c>
      <c r="C97" t="inlineStr">
        <is>
          <t>Nasal Cannula, Infant</t>
        </is>
      </c>
      <c r="D97" t="inlineStr">
        <is>
          <t>Respiratory</t>
        </is>
      </c>
      <c r="E97" t="inlineStr">
        <is>
          <t>Northstar Medical Supply</t>
        </is>
      </c>
      <c r="F97" t="inlineStr">
        <is>
          <t>Each</t>
        </is>
      </c>
      <c r="G97" s="31" t="n">
        <v>0.99</v>
      </c>
      <c r="H97" t="inlineStr">
        <is>
          <t>Bluestone Memorial Hospital</t>
        </is>
      </c>
      <c r="I97" t="inlineStr">
        <is>
          <t>Pediatrics</t>
        </is>
      </c>
      <c r="J97" t="n">
        <v>603</v>
      </c>
      <c r="K97" t="n">
        <v>800</v>
      </c>
      <c r="L97" t="n">
        <v>287</v>
      </c>
      <c r="M97" t="n">
        <v>513</v>
      </c>
      <c r="N97" t="n">
        <v>2</v>
      </c>
      <c r="O97" s="32" t="n">
        <v>45985</v>
      </c>
      <c r="R97" s="33" t="n"/>
      <c r="S97" s="34" t="n"/>
    </row>
    <row r="98">
      <c r="A98" t="inlineStr">
        <is>
          <t>STK4097</t>
        </is>
      </c>
      <c r="B98" t="inlineStr">
        <is>
          <t>SKU-10294</t>
        </is>
      </c>
      <c r="C98" t="inlineStr">
        <is>
          <t>Nasal Cannula, Infant</t>
        </is>
      </c>
      <c r="D98" t="inlineStr">
        <is>
          <t>Respiratory</t>
        </is>
      </c>
      <c r="E98" t="inlineStr">
        <is>
          <t>Northstar Medical Supply</t>
        </is>
      </c>
      <c r="F98" t="inlineStr">
        <is>
          <t>Each</t>
        </is>
      </c>
      <c r="G98" s="31" t="n">
        <v>0.99</v>
      </c>
      <c r="H98" t="inlineStr">
        <is>
          <t>Ashby Falls Community Hospital</t>
        </is>
      </c>
      <c r="I98" t="inlineStr">
        <is>
          <t>Emergency Department</t>
        </is>
      </c>
      <c r="J98" t="n">
        <v>1016</v>
      </c>
      <c r="K98" t="n">
        <v>800</v>
      </c>
      <c r="L98" t="n">
        <v>271</v>
      </c>
      <c r="M98" t="n">
        <v>529</v>
      </c>
      <c r="N98" t="n">
        <v>2</v>
      </c>
      <c r="O98" s="32" t="n">
        <v>45986</v>
      </c>
      <c r="R98" s="33" t="n"/>
      <c r="S98" s="34" t="n"/>
    </row>
    <row r="99">
      <c r="A99" t="inlineStr">
        <is>
          <t>STK4098</t>
        </is>
      </c>
      <c r="B99" t="inlineStr">
        <is>
          <t>SKU-10301</t>
        </is>
      </c>
      <c r="C99" t="inlineStr">
        <is>
          <t>Non-Rebreather Mask, Adult</t>
        </is>
      </c>
      <c r="D99" t="inlineStr">
        <is>
          <t>Respiratory</t>
        </is>
      </c>
      <c r="E99" t="inlineStr">
        <is>
          <t>CareLine Distributors</t>
        </is>
      </c>
      <c r="F99" t="inlineStr">
        <is>
          <t>Each</t>
        </is>
      </c>
      <c r="G99" s="31" t="n">
        <v>2.29</v>
      </c>
      <c r="H99" t="inlineStr">
        <is>
          <t>Bluestone Memorial Hospital</t>
        </is>
      </c>
      <c r="I99" t="inlineStr">
        <is>
          <t>Medical-Surgical 4 West</t>
        </is>
      </c>
      <c r="J99" t="n">
        <v>947</v>
      </c>
      <c r="K99" t="n">
        <v>800</v>
      </c>
      <c r="L99" t="n">
        <v>238</v>
      </c>
      <c r="M99" t="n">
        <v>562</v>
      </c>
      <c r="N99" t="n">
        <v>5</v>
      </c>
      <c r="O99" s="32" t="n">
        <v>45999</v>
      </c>
      <c r="R99" s="33" t="n"/>
      <c r="S99" s="34" t="n"/>
    </row>
    <row r="100">
      <c r="A100" t="inlineStr">
        <is>
          <t>STK4099</t>
        </is>
      </c>
      <c r="B100" t="inlineStr">
        <is>
          <t>SKU-10308</t>
        </is>
      </c>
      <c r="C100" t="inlineStr">
        <is>
          <t>Non-Rebreather Mask, Pediatric</t>
        </is>
      </c>
      <c r="D100" t="inlineStr">
        <is>
          <t>Respiratory</t>
        </is>
      </c>
      <c r="E100" t="inlineStr">
        <is>
          <t>Northstar Medical Supply</t>
        </is>
      </c>
      <c r="F100" t="inlineStr">
        <is>
          <t>Each</t>
        </is>
      </c>
      <c r="G100" s="31" t="n">
        <v>2.16</v>
      </c>
      <c r="H100" t="inlineStr">
        <is>
          <t>Bluestone Memorial Hospital</t>
        </is>
      </c>
      <c r="I100" t="inlineStr">
        <is>
          <t>Emergency Department</t>
        </is>
      </c>
      <c r="J100" t="n">
        <v>477</v>
      </c>
      <c r="K100" t="n">
        <v>800</v>
      </c>
      <c r="L100" t="n">
        <v>204</v>
      </c>
      <c r="M100" t="n">
        <v>596</v>
      </c>
      <c r="N100" t="n">
        <v>5</v>
      </c>
      <c r="O100" s="32" t="n">
        <v>45988</v>
      </c>
      <c r="R100" s="33" t="n"/>
      <c r="S100" s="34" t="n"/>
    </row>
    <row r="101">
      <c r="A101" t="inlineStr">
        <is>
          <t>STK4100</t>
        </is>
      </c>
      <c r="B101" t="inlineStr">
        <is>
          <t>SKU-10308</t>
        </is>
      </c>
      <c r="C101" t="inlineStr">
        <is>
          <t>Non-Rebreather Mask, Pediatric</t>
        </is>
      </c>
      <c r="D101" t="inlineStr">
        <is>
          <t>Respiratory</t>
        </is>
      </c>
      <c r="E101" t="inlineStr">
        <is>
          <t>Northstar Medical Supply</t>
        </is>
      </c>
      <c r="F101" t="inlineStr">
        <is>
          <t>Each</t>
        </is>
      </c>
      <c r="G101" s="31" t="n">
        <v>2.16</v>
      </c>
      <c r="H101" t="inlineStr">
        <is>
          <t>Bluestone Memorial Hospital</t>
        </is>
      </c>
      <c r="I101" t="inlineStr">
        <is>
          <t>Medical-Surgical 4 West</t>
        </is>
      </c>
      <c r="J101" t="n">
        <v>586</v>
      </c>
      <c r="K101" t="n">
        <v>800</v>
      </c>
      <c r="L101" t="n">
        <v>249</v>
      </c>
      <c r="M101" t="n">
        <v>551</v>
      </c>
      <c r="N101" t="n">
        <v>14</v>
      </c>
      <c r="O101" s="32" t="n">
        <v>45989</v>
      </c>
      <c r="R101" s="33" t="n"/>
      <c r="S101" s="34" t="n"/>
    </row>
    <row r="102">
      <c r="A102" t="inlineStr">
        <is>
          <t>STK4101</t>
        </is>
      </c>
      <c r="B102" t="inlineStr">
        <is>
          <t>SKU-10308</t>
        </is>
      </c>
      <c r="C102" t="inlineStr">
        <is>
          <t>Non-Rebreather Mask, Pediatric</t>
        </is>
      </c>
      <c r="D102" t="inlineStr">
        <is>
          <t>Respiratory</t>
        </is>
      </c>
      <c r="E102" t="inlineStr">
        <is>
          <t>Northstar Medical Supply</t>
        </is>
      </c>
      <c r="F102" t="inlineStr">
        <is>
          <t>Each</t>
        </is>
      </c>
      <c r="G102" s="31" t="n">
        <v>2.16</v>
      </c>
      <c r="H102" t="inlineStr">
        <is>
          <t>Ashby Falls Community Hospital</t>
        </is>
      </c>
      <c r="I102" t="inlineStr">
        <is>
          <t>Emergency Department</t>
        </is>
      </c>
      <c r="J102" t="n">
        <v>607</v>
      </c>
      <c r="K102" t="n">
        <v>697</v>
      </c>
      <c r="L102" t="n">
        <v>201</v>
      </c>
      <c r="M102" t="n">
        <v>496</v>
      </c>
      <c r="N102" t="n">
        <v>3</v>
      </c>
      <c r="O102" s="32" t="n">
        <v>45997</v>
      </c>
      <c r="R102" s="33" t="n"/>
      <c r="S102" s="34" t="n"/>
    </row>
    <row r="103">
      <c r="A103" t="inlineStr">
        <is>
          <t>STK4102</t>
        </is>
      </c>
      <c r="B103" t="inlineStr">
        <is>
          <t>SKU-10315</t>
        </is>
      </c>
      <c r="C103" t="inlineStr">
        <is>
          <t>Nebulizer Kit with Mouthpiece</t>
        </is>
      </c>
      <c r="D103" t="inlineStr">
        <is>
          <t>Respiratory</t>
        </is>
      </c>
      <c r="E103" t="inlineStr">
        <is>
          <t>CareLine Distributors</t>
        </is>
      </c>
      <c r="F103" t="inlineStr">
        <is>
          <t>Each</t>
        </is>
      </c>
      <c r="G103" s="31" t="n">
        <v>3.11</v>
      </c>
      <c r="H103" t="inlineStr">
        <is>
          <t>Bluestone Memorial Hospital</t>
        </is>
      </c>
      <c r="I103" t="inlineStr">
        <is>
          <t>Emergency Department</t>
        </is>
      </c>
      <c r="J103" t="n">
        <v>401</v>
      </c>
      <c r="K103" t="n">
        <v>414</v>
      </c>
      <c r="L103" t="n">
        <v>128</v>
      </c>
      <c r="M103" t="n">
        <v>286</v>
      </c>
      <c r="N103" t="n">
        <v>3</v>
      </c>
      <c r="O103" s="32" t="n">
        <v>45998</v>
      </c>
      <c r="R103" s="33" t="n"/>
      <c r="S103" s="34" t="n"/>
    </row>
    <row r="104">
      <c r="A104" t="inlineStr">
        <is>
          <t>STK4103</t>
        </is>
      </c>
      <c r="B104" t="inlineStr">
        <is>
          <t>SKU-10315</t>
        </is>
      </c>
      <c r="C104" t="inlineStr">
        <is>
          <t>Nebulizer Kit with Mouthpiece</t>
        </is>
      </c>
      <c r="D104" t="inlineStr">
        <is>
          <t>Respiratory</t>
        </is>
      </c>
      <c r="E104" t="inlineStr">
        <is>
          <t>CareLine Distributors</t>
        </is>
      </c>
      <c r="F104" t="inlineStr">
        <is>
          <t>Each</t>
        </is>
      </c>
      <c r="G104" s="31" t="n">
        <v>3.11</v>
      </c>
      <c r="H104" t="inlineStr">
        <is>
          <t>Bluestone Memorial Hospital</t>
        </is>
      </c>
      <c r="I104" t="inlineStr">
        <is>
          <t>Medical-Surgical 4 West</t>
        </is>
      </c>
      <c r="J104" t="n">
        <v>1026</v>
      </c>
      <c r="K104" t="n">
        <v>800</v>
      </c>
      <c r="L104" t="n">
        <v>256</v>
      </c>
      <c r="M104" t="n">
        <v>544</v>
      </c>
      <c r="N104" t="n">
        <v>14</v>
      </c>
      <c r="O104" s="32" t="n">
        <v>46003</v>
      </c>
      <c r="R104" s="33" t="n"/>
      <c r="S104" s="34" t="n"/>
    </row>
    <row r="105">
      <c r="A105" t="inlineStr">
        <is>
          <t>STK4104</t>
        </is>
      </c>
      <c r="B105" t="inlineStr">
        <is>
          <t>SKU-10315</t>
        </is>
      </c>
      <c r="C105" t="inlineStr">
        <is>
          <t>Nebulizer Kit with Mouthpiece</t>
        </is>
      </c>
      <c r="D105" t="inlineStr">
        <is>
          <t>Respiratory</t>
        </is>
      </c>
      <c r="E105" t="inlineStr">
        <is>
          <t>CareLine Distributors</t>
        </is>
      </c>
      <c r="F105" t="inlineStr">
        <is>
          <t>Each</t>
        </is>
      </c>
      <c r="G105" s="31" t="n">
        <v>3.11</v>
      </c>
      <c r="H105" t="inlineStr">
        <is>
          <t>Bluestone Memorial Hospital</t>
        </is>
      </c>
      <c r="I105" t="inlineStr">
        <is>
          <t>Medical-Surgical 5 East</t>
        </is>
      </c>
      <c r="J105" t="n">
        <v>950</v>
      </c>
      <c r="K105" t="n">
        <v>716</v>
      </c>
      <c r="L105" t="n">
        <v>192</v>
      </c>
      <c r="M105" t="n">
        <v>524</v>
      </c>
      <c r="N105" t="n">
        <v>5</v>
      </c>
      <c r="O105" s="32" t="n">
        <v>45996</v>
      </c>
      <c r="R105" s="33" t="n"/>
      <c r="S105" s="34" t="n"/>
    </row>
    <row r="106">
      <c r="A106" t="inlineStr">
        <is>
          <t>STK4105</t>
        </is>
      </c>
      <c r="B106" t="inlineStr">
        <is>
          <t>SKU-10315</t>
        </is>
      </c>
      <c r="C106" t="inlineStr">
        <is>
          <t>Nebulizer Kit with Mouthpiece</t>
        </is>
      </c>
      <c r="D106" t="inlineStr">
        <is>
          <t>Respiratory</t>
        </is>
      </c>
      <c r="E106" t="inlineStr">
        <is>
          <t>CareLine Distributors</t>
        </is>
      </c>
      <c r="F106" t="inlineStr">
        <is>
          <t>Each</t>
        </is>
      </c>
      <c r="G106" s="31" t="n">
        <v>3.11</v>
      </c>
      <c r="H106" t="inlineStr">
        <is>
          <t>Bluestone Memorial Hospital</t>
        </is>
      </c>
      <c r="I106" t="inlineStr">
        <is>
          <t>Pediatrics</t>
        </is>
      </c>
      <c r="J106" t="n">
        <v>660</v>
      </c>
      <c r="K106" t="n">
        <v>685</v>
      </c>
      <c r="L106" t="n">
        <v>178</v>
      </c>
      <c r="M106" t="n">
        <v>507</v>
      </c>
      <c r="N106" t="n">
        <v>3</v>
      </c>
      <c r="O106" s="32" t="n">
        <v>46018</v>
      </c>
      <c r="R106" s="33" t="n"/>
      <c r="S106" s="34" t="n"/>
    </row>
    <row r="107">
      <c r="A107" t="inlineStr">
        <is>
          <t>STK4106</t>
        </is>
      </c>
      <c r="B107" t="inlineStr">
        <is>
          <t>SKU-10322</t>
        </is>
      </c>
      <c r="C107" t="inlineStr">
        <is>
          <t>Suction Canister 1200 mL</t>
        </is>
      </c>
      <c r="D107" t="inlineStr">
        <is>
          <t>Respiratory</t>
        </is>
      </c>
      <c r="E107" t="inlineStr">
        <is>
          <t>CareLine Distributors</t>
        </is>
      </c>
      <c r="F107" t="inlineStr">
        <is>
          <t>Each</t>
        </is>
      </c>
      <c r="G107" s="31" t="n">
        <v>3.28</v>
      </c>
      <c r="H107" t="inlineStr">
        <is>
          <t>Bluestone Memorial Hospital</t>
        </is>
      </c>
      <c r="I107" t="inlineStr">
        <is>
          <t>Intensive Care Unit</t>
        </is>
      </c>
      <c r="J107" t="n">
        <v>299</v>
      </c>
      <c r="K107" t="n">
        <v>800</v>
      </c>
      <c r="L107" t="n">
        <v>238</v>
      </c>
      <c r="M107" t="n">
        <v>562</v>
      </c>
      <c r="N107" t="n">
        <v>10</v>
      </c>
      <c r="O107" s="32" t="n">
        <v>45996</v>
      </c>
      <c r="R107" s="33" t="n"/>
      <c r="S107" s="34" t="n"/>
    </row>
    <row r="108">
      <c r="A108" t="inlineStr">
        <is>
          <t>STK4107</t>
        </is>
      </c>
      <c r="B108" t="inlineStr">
        <is>
          <t>SKU-10329</t>
        </is>
      </c>
      <c r="C108" t="inlineStr">
        <is>
          <t>Suction Canister 1500 mL</t>
        </is>
      </c>
      <c r="D108" t="inlineStr">
        <is>
          <t>Respiratory</t>
        </is>
      </c>
      <c r="E108" t="inlineStr">
        <is>
          <t>CareLine Distributors</t>
        </is>
      </c>
      <c r="F108" t="inlineStr">
        <is>
          <t>Each</t>
        </is>
      </c>
      <c r="G108" s="31" t="n">
        <v>3</v>
      </c>
      <c r="H108" t="inlineStr">
        <is>
          <t>Bluestone Memorial Hospital</t>
        </is>
      </c>
      <c r="I108" t="inlineStr">
        <is>
          <t>Emergency Department</t>
        </is>
      </c>
      <c r="J108" t="n">
        <v>991</v>
      </c>
      <c r="K108" t="n">
        <v>800</v>
      </c>
      <c r="L108" t="n">
        <v>290</v>
      </c>
      <c r="M108" t="n">
        <v>510</v>
      </c>
      <c r="N108" t="n">
        <v>5</v>
      </c>
      <c r="O108" s="32" t="n">
        <v>45998</v>
      </c>
      <c r="R108" s="33" t="n"/>
      <c r="S108" s="34" t="n"/>
    </row>
    <row r="109">
      <c r="A109" t="inlineStr">
        <is>
          <t>STK4108</t>
        </is>
      </c>
      <c r="B109" t="inlineStr">
        <is>
          <t>SKU-10329</t>
        </is>
      </c>
      <c r="C109" t="inlineStr">
        <is>
          <t>Suction Canister 1500 mL</t>
        </is>
      </c>
      <c r="D109" t="inlineStr">
        <is>
          <t>Respiratory</t>
        </is>
      </c>
      <c r="E109" t="inlineStr">
        <is>
          <t>CareLine Distributors</t>
        </is>
      </c>
      <c r="F109" t="inlineStr">
        <is>
          <t>Each</t>
        </is>
      </c>
      <c r="G109" s="31" t="n">
        <v>3</v>
      </c>
      <c r="H109" t="inlineStr">
        <is>
          <t>Bluestone Memorial Hospital</t>
        </is>
      </c>
      <c r="I109" t="inlineStr">
        <is>
          <t>Intensive Care Unit</t>
        </is>
      </c>
      <c r="J109" t="n">
        <v>491</v>
      </c>
      <c r="K109" t="n">
        <v>697</v>
      </c>
      <c r="L109" t="n">
        <v>272</v>
      </c>
      <c r="M109" t="n">
        <v>425</v>
      </c>
      <c r="N109" t="n">
        <v>5</v>
      </c>
      <c r="O109" s="32" t="n">
        <v>46005</v>
      </c>
      <c r="R109" s="33" t="n"/>
      <c r="S109" s="34" t="n"/>
    </row>
    <row r="110">
      <c r="A110" t="inlineStr">
        <is>
          <t>STK4109</t>
        </is>
      </c>
      <c r="B110" t="inlineStr">
        <is>
          <t>SKU-10329</t>
        </is>
      </c>
      <c r="C110" t="inlineStr">
        <is>
          <t>Suction Canister 1500 mL</t>
        </is>
      </c>
      <c r="D110" t="inlineStr">
        <is>
          <t>Respiratory</t>
        </is>
      </c>
      <c r="E110" t="inlineStr">
        <is>
          <t>CareLine Distributors</t>
        </is>
      </c>
      <c r="F110" t="inlineStr">
        <is>
          <t>Each</t>
        </is>
      </c>
      <c r="G110" s="31" t="n">
        <v>3</v>
      </c>
      <c r="H110" t="inlineStr">
        <is>
          <t>Bluestone Memorial Hospital</t>
        </is>
      </c>
      <c r="I110" t="inlineStr">
        <is>
          <t>Pediatrics</t>
        </is>
      </c>
      <c r="J110" t="n">
        <v>507</v>
      </c>
      <c r="K110" t="n">
        <v>504</v>
      </c>
      <c r="L110" t="n">
        <v>179</v>
      </c>
      <c r="M110" t="n">
        <v>325</v>
      </c>
      <c r="N110" t="n">
        <v>5</v>
      </c>
      <c r="O110" s="32" t="n">
        <v>45979</v>
      </c>
      <c r="R110" s="33" t="n"/>
      <c r="S110" s="34" t="n"/>
    </row>
    <row r="111">
      <c r="A111" t="inlineStr">
        <is>
          <t>STK4110</t>
        </is>
      </c>
      <c r="B111" t="inlineStr">
        <is>
          <t>SKU-10336</t>
        </is>
      </c>
      <c r="C111" t="inlineStr">
        <is>
          <t>Suction Canister 3000 mL</t>
        </is>
      </c>
      <c r="D111" t="inlineStr">
        <is>
          <t>Respiratory</t>
        </is>
      </c>
      <c r="E111" t="inlineStr">
        <is>
          <t>CareLine Distributors</t>
        </is>
      </c>
      <c r="F111" t="inlineStr">
        <is>
          <t>Each</t>
        </is>
      </c>
      <c r="G111" s="31" t="n">
        <v>3.06</v>
      </c>
      <c r="H111" t="inlineStr">
        <is>
          <t>Bluestone Memorial Hospital</t>
        </is>
      </c>
      <c r="I111" t="inlineStr">
        <is>
          <t>Emergency Department</t>
        </is>
      </c>
      <c r="J111" t="n">
        <v>472</v>
      </c>
      <c r="K111" t="n">
        <v>800</v>
      </c>
      <c r="L111" t="n">
        <v>209</v>
      </c>
      <c r="M111" t="n">
        <v>591</v>
      </c>
      <c r="N111" t="n">
        <v>3</v>
      </c>
      <c r="O111" s="32" t="n">
        <v>45988</v>
      </c>
      <c r="R111" s="33" t="n"/>
      <c r="S111" s="34" t="n"/>
    </row>
    <row r="112">
      <c r="A112" t="inlineStr">
        <is>
          <t>STK4111</t>
        </is>
      </c>
      <c r="B112" t="inlineStr">
        <is>
          <t>SKU-10336</t>
        </is>
      </c>
      <c r="C112" t="inlineStr">
        <is>
          <t>Suction Canister 3000 mL</t>
        </is>
      </c>
      <c r="D112" t="inlineStr">
        <is>
          <t>Respiratory</t>
        </is>
      </c>
      <c r="E112" t="inlineStr">
        <is>
          <t>CareLine Distributors</t>
        </is>
      </c>
      <c r="F112" t="inlineStr">
        <is>
          <t>Each</t>
        </is>
      </c>
      <c r="G112" s="31" t="n">
        <v>3.06</v>
      </c>
      <c r="H112" t="inlineStr">
        <is>
          <t>Bluestone Memorial Hospital</t>
        </is>
      </c>
      <c r="I112" t="inlineStr">
        <is>
          <t>Intensive Care Unit</t>
        </is>
      </c>
      <c r="J112" t="n">
        <v>1046</v>
      </c>
      <c r="K112" t="n">
        <v>800</v>
      </c>
      <c r="L112" t="n">
        <v>294</v>
      </c>
      <c r="M112" t="n">
        <v>506</v>
      </c>
      <c r="N112" t="n">
        <v>2</v>
      </c>
      <c r="O112" s="32" t="n">
        <v>45980</v>
      </c>
      <c r="R112" s="33" t="n"/>
      <c r="S112" s="34" t="n"/>
    </row>
    <row r="113">
      <c r="A113" t="inlineStr">
        <is>
          <t>STK4112</t>
        </is>
      </c>
      <c r="B113" t="inlineStr">
        <is>
          <t>SKU-10343</t>
        </is>
      </c>
      <c r="C113" t="inlineStr">
        <is>
          <t>Yankauer Suction Tip</t>
        </is>
      </c>
      <c r="D113" t="inlineStr">
        <is>
          <t>Respiratory</t>
        </is>
      </c>
      <c r="E113" t="inlineStr">
        <is>
          <t>CareLine Distributors</t>
        </is>
      </c>
      <c r="F113" t="inlineStr">
        <is>
          <t>Each</t>
        </is>
      </c>
      <c r="G113" s="31" t="n">
        <v>0.77</v>
      </c>
      <c r="H113" t="inlineStr">
        <is>
          <t>Bluestone Memorial Hospital</t>
        </is>
      </c>
      <c r="I113" t="inlineStr">
        <is>
          <t>Intensive Care Unit</t>
        </is>
      </c>
      <c r="J113" t="n">
        <v>752</v>
      </c>
      <c r="K113" t="n">
        <v>800</v>
      </c>
      <c r="L113" t="n">
        <v>265</v>
      </c>
      <c r="M113" t="n">
        <v>535</v>
      </c>
      <c r="N113" t="n">
        <v>3</v>
      </c>
      <c r="O113" s="32" t="n">
        <v>46014</v>
      </c>
      <c r="R113" s="33" t="n"/>
      <c r="S113" s="34" t="n"/>
    </row>
    <row r="114">
      <c r="A114" t="inlineStr">
        <is>
          <t>STK4113</t>
        </is>
      </c>
      <c r="B114" t="inlineStr">
        <is>
          <t>SKU-10343</t>
        </is>
      </c>
      <c r="C114" t="inlineStr">
        <is>
          <t>Yankauer Suction Tip</t>
        </is>
      </c>
      <c r="D114" t="inlineStr">
        <is>
          <t>Respiratory</t>
        </is>
      </c>
      <c r="E114" t="inlineStr">
        <is>
          <t>CareLine Distributors</t>
        </is>
      </c>
      <c r="F114" t="inlineStr">
        <is>
          <t>Each</t>
        </is>
      </c>
      <c r="G114" s="31" t="n">
        <v>0.77</v>
      </c>
      <c r="H114" t="inlineStr">
        <is>
          <t>Bluestone Memorial Hospital</t>
        </is>
      </c>
      <c r="I114" t="inlineStr">
        <is>
          <t>Pediatrics</t>
        </is>
      </c>
      <c r="J114" t="n">
        <v>140</v>
      </c>
      <c r="K114" t="n">
        <v>800</v>
      </c>
      <c r="L114" t="n">
        <v>315</v>
      </c>
      <c r="M114" t="n">
        <v>485</v>
      </c>
      <c r="N114" t="n">
        <v>10</v>
      </c>
      <c r="O114" s="32" t="n">
        <v>45979</v>
      </c>
      <c r="R114" s="33" t="n"/>
      <c r="S114" s="34" t="n"/>
    </row>
    <row r="115">
      <c r="A115" t="inlineStr">
        <is>
          <t>STK4114</t>
        </is>
      </c>
      <c r="B115" t="inlineStr">
        <is>
          <t>SKU-10343</t>
        </is>
      </c>
      <c r="C115" t="inlineStr">
        <is>
          <t>Yankauer Suction Tip</t>
        </is>
      </c>
      <c r="D115" t="inlineStr">
        <is>
          <t>Respiratory</t>
        </is>
      </c>
      <c r="E115" t="inlineStr">
        <is>
          <t>CareLine Distributors</t>
        </is>
      </c>
      <c r="F115" t="inlineStr">
        <is>
          <t>Each</t>
        </is>
      </c>
      <c r="G115" s="31" t="n">
        <v>0.77</v>
      </c>
      <c r="H115" t="inlineStr">
        <is>
          <t>Cedar Ridge Medical Center</t>
        </is>
      </c>
      <c r="I115" t="inlineStr">
        <is>
          <t>Emergency Department</t>
        </is>
      </c>
      <c r="J115" t="n">
        <v>478</v>
      </c>
      <c r="K115" t="n">
        <v>800</v>
      </c>
      <c r="L115" t="n">
        <v>274</v>
      </c>
      <c r="M115" t="n">
        <v>526</v>
      </c>
      <c r="N115" t="n">
        <v>2</v>
      </c>
      <c r="O115" s="32" t="n">
        <v>45991</v>
      </c>
      <c r="R115" s="33" t="n"/>
      <c r="S115" s="34" t="n"/>
    </row>
    <row r="116">
      <c r="A116" t="inlineStr">
        <is>
          <t>STK4115</t>
        </is>
      </c>
      <c r="B116" t="inlineStr">
        <is>
          <t>SKU-10350</t>
        </is>
      </c>
      <c r="C116" t="inlineStr">
        <is>
          <t>Endotracheal Tube 6.5 mm Cuffed</t>
        </is>
      </c>
      <c r="D116" t="inlineStr">
        <is>
          <t>Respiratory</t>
        </is>
      </c>
      <c r="E116" t="inlineStr">
        <is>
          <t>CareLine Distributors</t>
        </is>
      </c>
      <c r="F116" t="inlineStr">
        <is>
          <t>Each</t>
        </is>
      </c>
      <c r="G116" s="31" t="n">
        <v>7.47</v>
      </c>
      <c r="H116" t="inlineStr">
        <is>
          <t>Bluestone Memorial Hospital</t>
        </is>
      </c>
      <c r="I116" t="inlineStr">
        <is>
          <t>Medical-Surgical 4 West</t>
        </is>
      </c>
      <c r="J116" t="n">
        <v>0</v>
      </c>
      <c r="K116" t="n">
        <v>487</v>
      </c>
      <c r="L116" t="n">
        <v>123</v>
      </c>
      <c r="M116" t="n">
        <v>364</v>
      </c>
      <c r="N116" t="n">
        <v>2</v>
      </c>
      <c r="O116" s="32" t="n">
        <v>45999</v>
      </c>
      <c r="P116" s="32" t="n">
        <v>46529</v>
      </c>
      <c r="Q116" t="inlineStr">
        <is>
          <t>L618214</t>
        </is>
      </c>
      <c r="R116" s="33" t="n"/>
      <c r="S116" s="34" t="n"/>
    </row>
    <row r="117">
      <c r="A117" t="inlineStr">
        <is>
          <t>STK4116</t>
        </is>
      </c>
      <c r="B117" t="inlineStr">
        <is>
          <t>SKU-10350</t>
        </is>
      </c>
      <c r="C117" t="inlineStr">
        <is>
          <t>Endotracheal Tube 6.5 mm Cuffed</t>
        </is>
      </c>
      <c r="D117" t="inlineStr">
        <is>
          <t>Respiratory</t>
        </is>
      </c>
      <c r="E117" t="inlineStr">
        <is>
          <t>CareLine Distributors</t>
        </is>
      </c>
      <c r="F117" t="inlineStr">
        <is>
          <t>Each</t>
        </is>
      </c>
      <c r="G117" s="31" t="n">
        <v>7.47</v>
      </c>
      <c r="H117" t="inlineStr">
        <is>
          <t>Bluestone Memorial Hospital</t>
        </is>
      </c>
      <c r="I117" t="inlineStr">
        <is>
          <t>Intensive Care Unit</t>
        </is>
      </c>
      <c r="J117" t="n">
        <v>385</v>
      </c>
      <c r="K117" t="n">
        <v>358</v>
      </c>
      <c r="L117" t="n">
        <v>139</v>
      </c>
      <c r="M117" t="n">
        <v>219</v>
      </c>
      <c r="N117" t="n">
        <v>5</v>
      </c>
      <c r="O117" s="32" t="n">
        <v>46002</v>
      </c>
      <c r="P117" s="32" t="n">
        <v>46027</v>
      </c>
      <c r="Q117" t="inlineStr">
        <is>
          <t>L456539</t>
        </is>
      </c>
      <c r="R117" s="33" t="n"/>
      <c r="S117" s="34" t="n"/>
    </row>
    <row r="118">
      <c r="A118" t="inlineStr">
        <is>
          <t>STK4117</t>
        </is>
      </c>
      <c r="B118" t="inlineStr">
        <is>
          <t>SKU-10350</t>
        </is>
      </c>
      <c r="C118" t="inlineStr">
        <is>
          <t>Endotracheal Tube 6.5 mm Cuffed</t>
        </is>
      </c>
      <c r="D118" t="inlineStr">
        <is>
          <t>Respiratory</t>
        </is>
      </c>
      <c r="E118" t="inlineStr">
        <is>
          <t>CareLine Distributors</t>
        </is>
      </c>
      <c r="F118" t="inlineStr">
        <is>
          <t>Each</t>
        </is>
      </c>
      <c r="G118" s="31" t="n">
        <v>7.47</v>
      </c>
      <c r="H118" t="inlineStr">
        <is>
          <t>Bluestone Memorial Hospital</t>
        </is>
      </c>
      <c r="I118" t="inlineStr">
        <is>
          <t>Pediatrics</t>
        </is>
      </c>
      <c r="J118" t="n">
        <v>41</v>
      </c>
      <c r="K118" t="n">
        <v>326</v>
      </c>
      <c r="L118" t="n">
        <v>89</v>
      </c>
      <c r="M118" t="n">
        <v>237</v>
      </c>
      <c r="N118" t="n">
        <v>5</v>
      </c>
      <c r="O118" s="32" t="n">
        <v>46022</v>
      </c>
      <c r="P118" s="32" t="n">
        <v>46128</v>
      </c>
      <c r="Q118" t="inlineStr">
        <is>
          <t>L672777</t>
        </is>
      </c>
      <c r="R118" s="33" t="n"/>
      <c r="S118" s="34" t="n"/>
    </row>
    <row r="119">
      <c r="A119" t="inlineStr">
        <is>
          <t>STK4118</t>
        </is>
      </c>
      <c r="B119" t="inlineStr">
        <is>
          <t>SKU-10350</t>
        </is>
      </c>
      <c r="C119" t="inlineStr">
        <is>
          <t>Endotracheal Tube 6.5 mm Cuffed</t>
        </is>
      </c>
      <c r="D119" t="inlineStr">
        <is>
          <t>Respiratory</t>
        </is>
      </c>
      <c r="E119" t="inlineStr">
        <is>
          <t>CareLine Distributors</t>
        </is>
      </c>
      <c r="F119" t="inlineStr">
        <is>
          <t>Each</t>
        </is>
      </c>
      <c r="G119" s="31" t="n">
        <v>7.47</v>
      </c>
      <c r="H119" t="inlineStr">
        <is>
          <t>Ashby Falls Community Hospital</t>
        </is>
      </c>
      <c r="I119" t="inlineStr">
        <is>
          <t>Emergency Department</t>
        </is>
      </c>
      <c r="J119" t="n">
        <v>250</v>
      </c>
      <c r="K119" t="n">
        <v>319</v>
      </c>
      <c r="L119" t="n">
        <v>125</v>
      </c>
      <c r="M119" t="n">
        <v>194</v>
      </c>
      <c r="N119" t="n">
        <v>7</v>
      </c>
      <c r="O119" s="32" t="n">
        <v>46003</v>
      </c>
      <c r="P119" s="32" t="n">
        <v>46741</v>
      </c>
      <c r="Q119" t="inlineStr">
        <is>
          <t>L891879</t>
        </is>
      </c>
      <c r="R119" s="33" t="n"/>
      <c r="S119" s="34" t="n"/>
    </row>
    <row r="120">
      <c r="A120" t="inlineStr">
        <is>
          <t>STK4119</t>
        </is>
      </c>
      <c r="B120" t="inlineStr">
        <is>
          <t>SKU-10357</t>
        </is>
      </c>
      <c r="C120" t="inlineStr">
        <is>
          <t>Endotracheal Tube 7.0 mm Cuffed</t>
        </is>
      </c>
      <c r="D120" t="inlineStr">
        <is>
          <t>Respiratory</t>
        </is>
      </c>
      <c r="E120" t="inlineStr">
        <is>
          <t>Pinnacle Biomedical</t>
        </is>
      </c>
      <c r="F120" t="inlineStr">
        <is>
          <t>Each</t>
        </is>
      </c>
      <c r="G120" s="31" t="n">
        <v>6.87</v>
      </c>
      <c r="H120" t="inlineStr">
        <is>
          <t>Bluestone Memorial Hospital</t>
        </is>
      </c>
      <c r="I120" t="inlineStr">
        <is>
          <t>Intensive Care Unit</t>
        </is>
      </c>
      <c r="J120" t="n">
        <v>206</v>
      </c>
      <c r="K120" t="n">
        <v>401</v>
      </c>
      <c r="L120" t="n">
        <v>132</v>
      </c>
      <c r="M120" t="n">
        <v>269</v>
      </c>
      <c r="N120" t="n">
        <v>10</v>
      </c>
      <c r="O120" s="32" t="n">
        <v>45986</v>
      </c>
      <c r="P120" s="32" t="n">
        <v>46296</v>
      </c>
      <c r="Q120" t="inlineStr">
        <is>
          <t>L752128</t>
        </is>
      </c>
      <c r="R120" s="33" t="n"/>
      <c r="S120" s="34" t="n"/>
    </row>
    <row r="121">
      <c r="A121" t="inlineStr">
        <is>
          <t>STK4120</t>
        </is>
      </c>
      <c r="B121" t="inlineStr">
        <is>
          <t>SKU-10357</t>
        </is>
      </c>
      <c r="C121" t="inlineStr">
        <is>
          <t>Endotracheal Tube 7.0 mm Cuffed</t>
        </is>
      </c>
      <c r="D121" t="inlineStr">
        <is>
          <t>Respiratory</t>
        </is>
      </c>
      <c r="E121" t="inlineStr">
        <is>
          <t>Pinnacle Biomedical</t>
        </is>
      </c>
      <c r="F121" t="inlineStr">
        <is>
          <t>Each</t>
        </is>
      </c>
      <c r="G121" s="31" t="n">
        <v>6.87</v>
      </c>
      <c r="H121" t="inlineStr">
        <is>
          <t>Ashby Falls Community Hospital</t>
        </is>
      </c>
      <c r="I121" t="inlineStr">
        <is>
          <t>Emergency Department</t>
        </is>
      </c>
      <c r="J121" t="n">
        <v>41</v>
      </c>
      <c r="K121" t="n">
        <v>754</v>
      </c>
      <c r="L121" t="n">
        <v>244</v>
      </c>
      <c r="M121" t="n">
        <v>510</v>
      </c>
      <c r="N121" t="n">
        <v>2</v>
      </c>
      <c r="O121" s="32" t="n">
        <v>46022</v>
      </c>
      <c r="P121" s="32" t="n">
        <v>46021</v>
      </c>
      <c r="Q121" t="inlineStr">
        <is>
          <t>L776015</t>
        </is>
      </c>
      <c r="R121" s="33" t="n"/>
      <c r="S121" s="34" t="n"/>
    </row>
    <row r="122">
      <c r="A122" t="inlineStr">
        <is>
          <t>STK4121</t>
        </is>
      </c>
      <c r="B122" t="inlineStr">
        <is>
          <t>SKU-10364</t>
        </is>
      </c>
      <c r="C122" t="inlineStr">
        <is>
          <t>Endotracheal Tube 7.5 mm Cuffed</t>
        </is>
      </c>
      <c r="D122" t="inlineStr">
        <is>
          <t>Respiratory</t>
        </is>
      </c>
      <c r="E122" t="inlineStr">
        <is>
          <t>Pinnacle Biomedical</t>
        </is>
      </c>
      <c r="F122" t="inlineStr">
        <is>
          <t>Each</t>
        </is>
      </c>
      <c r="G122" s="31" t="n">
        <v>7.24</v>
      </c>
      <c r="H122" t="inlineStr">
        <is>
          <t>Bluestone Memorial Hospital</t>
        </is>
      </c>
      <c r="I122" t="inlineStr">
        <is>
          <t>Medical-Surgical 5 East</t>
        </is>
      </c>
      <c r="J122" t="n">
        <v>400</v>
      </c>
      <c r="K122" t="n">
        <v>333</v>
      </c>
      <c r="L122" t="n">
        <v>90</v>
      </c>
      <c r="M122" t="n">
        <v>243</v>
      </c>
      <c r="N122" t="n">
        <v>10</v>
      </c>
      <c r="O122" s="32" t="n">
        <v>46018</v>
      </c>
      <c r="P122" s="32" t="n">
        <v>45984</v>
      </c>
      <c r="Q122" t="inlineStr">
        <is>
          <t>L207562</t>
        </is>
      </c>
      <c r="R122" s="33" t="n"/>
      <c r="S122" s="34" t="n"/>
    </row>
    <row r="123">
      <c r="A123" t="inlineStr">
        <is>
          <t>STK4122</t>
        </is>
      </c>
      <c r="B123" t="inlineStr">
        <is>
          <t>SKU-10364</t>
        </is>
      </c>
      <c r="C123" t="inlineStr">
        <is>
          <t>Endotracheal Tube 7.5 mm Cuffed</t>
        </is>
      </c>
      <c r="D123" t="inlineStr">
        <is>
          <t>Respiratory</t>
        </is>
      </c>
      <c r="E123" t="inlineStr">
        <is>
          <t>Pinnacle Biomedical</t>
        </is>
      </c>
      <c r="F123" t="inlineStr">
        <is>
          <t>Each</t>
        </is>
      </c>
      <c r="G123" s="31" t="n">
        <v>7.24</v>
      </c>
      <c r="H123" t="inlineStr">
        <is>
          <t>Bluestone Memorial Hospital</t>
        </is>
      </c>
      <c r="I123" t="inlineStr">
        <is>
          <t>Intensive Care Unit</t>
        </is>
      </c>
      <c r="J123" t="n">
        <v>294</v>
      </c>
      <c r="K123" t="n">
        <v>387</v>
      </c>
      <c r="L123" t="n">
        <v>108</v>
      </c>
      <c r="M123" t="n">
        <v>279</v>
      </c>
      <c r="N123" t="n">
        <v>3</v>
      </c>
      <c r="O123" s="32" t="n">
        <v>45996</v>
      </c>
      <c r="P123" s="32" t="n">
        <v>46718</v>
      </c>
      <c r="Q123" t="inlineStr">
        <is>
          <t>L633099</t>
        </is>
      </c>
      <c r="R123" s="33" t="n"/>
      <c r="S123" s="34" t="n"/>
    </row>
    <row r="124">
      <c r="A124" t="inlineStr">
        <is>
          <t>STK4123</t>
        </is>
      </c>
      <c r="B124" t="inlineStr">
        <is>
          <t>SKU-10364</t>
        </is>
      </c>
      <c r="C124" t="inlineStr">
        <is>
          <t>Endotracheal Tube 7.5 mm Cuffed</t>
        </is>
      </c>
      <c r="D124" t="inlineStr">
        <is>
          <t>Respiratory</t>
        </is>
      </c>
      <c r="E124" t="inlineStr">
        <is>
          <t>Pinnacle Biomedical</t>
        </is>
      </c>
      <c r="F124" t="inlineStr">
        <is>
          <t>Each</t>
        </is>
      </c>
      <c r="G124" s="31" t="n">
        <v>7.24</v>
      </c>
      <c r="H124" t="inlineStr">
        <is>
          <t>Ashby Falls Community Hospital</t>
        </is>
      </c>
      <c r="I124" t="inlineStr">
        <is>
          <t>Emergency Department</t>
        </is>
      </c>
      <c r="J124" t="n">
        <v>228</v>
      </c>
      <c r="K124" t="n">
        <v>422</v>
      </c>
      <c r="L124" t="n">
        <v>155</v>
      </c>
      <c r="M124" t="n">
        <v>267</v>
      </c>
      <c r="N124" t="n">
        <v>7</v>
      </c>
      <c r="O124" s="32" t="n">
        <v>46021</v>
      </c>
      <c r="P124" s="32" t="n">
        <v>46102</v>
      </c>
      <c r="Q124" t="inlineStr">
        <is>
          <t>L348427</t>
        </is>
      </c>
      <c r="R124" s="33" t="n"/>
      <c r="S124" s="34" t="n"/>
    </row>
    <row r="125">
      <c r="A125" t="inlineStr">
        <is>
          <t>STK4124</t>
        </is>
      </c>
      <c r="B125" t="inlineStr">
        <is>
          <t>SKU-10371</t>
        </is>
      </c>
      <c r="C125" t="inlineStr">
        <is>
          <t>Endotracheal Tube 8.0 mm Cuffed</t>
        </is>
      </c>
      <c r="D125" t="inlineStr">
        <is>
          <t>Respiratory</t>
        </is>
      </c>
      <c r="E125" t="inlineStr">
        <is>
          <t>Pinnacle Biomedical</t>
        </is>
      </c>
      <c r="F125" t="inlineStr">
        <is>
          <t>Each</t>
        </is>
      </c>
      <c r="G125" s="31" t="n">
        <v>6.65</v>
      </c>
      <c r="H125" t="inlineStr">
        <is>
          <t>Bluestone Memorial Hospital</t>
        </is>
      </c>
      <c r="I125" t="inlineStr">
        <is>
          <t>Emergency Department</t>
        </is>
      </c>
      <c r="J125" t="n">
        <v>641</v>
      </c>
      <c r="K125" t="n">
        <v>791</v>
      </c>
      <c r="L125" t="n">
        <v>300</v>
      </c>
      <c r="M125" t="n">
        <v>491</v>
      </c>
      <c r="N125" t="n">
        <v>3</v>
      </c>
      <c r="O125" s="32" t="n">
        <v>46013</v>
      </c>
      <c r="P125" s="32" t="n">
        <v>46651</v>
      </c>
      <c r="Q125" t="inlineStr">
        <is>
          <t>L475434</t>
        </is>
      </c>
      <c r="R125" s="33" t="n"/>
      <c r="S125" s="34" t="n"/>
    </row>
    <row r="126">
      <c r="A126" t="inlineStr">
        <is>
          <t>STK4125</t>
        </is>
      </c>
      <c r="B126" t="inlineStr">
        <is>
          <t>SKU-10371</t>
        </is>
      </c>
      <c r="C126" t="inlineStr">
        <is>
          <t>Endotracheal Tube 8.0 mm Cuffed</t>
        </is>
      </c>
      <c r="D126" t="inlineStr">
        <is>
          <t>Respiratory</t>
        </is>
      </c>
      <c r="E126" t="inlineStr">
        <is>
          <t>Pinnacle Biomedical</t>
        </is>
      </c>
      <c r="F126" t="inlineStr">
        <is>
          <t>Each</t>
        </is>
      </c>
      <c r="G126" s="31" t="n">
        <v>6.65</v>
      </c>
      <c r="H126" t="inlineStr">
        <is>
          <t>Cedar Ridge Medical Center</t>
        </is>
      </c>
      <c r="I126" t="inlineStr">
        <is>
          <t>Emergency Department</t>
        </is>
      </c>
      <c r="J126" t="n">
        <v>392</v>
      </c>
      <c r="K126" t="n">
        <v>602</v>
      </c>
      <c r="L126" t="n">
        <v>182</v>
      </c>
      <c r="M126" t="n">
        <v>420</v>
      </c>
      <c r="N126" t="n">
        <v>5</v>
      </c>
      <c r="O126" s="32" t="n">
        <v>46016</v>
      </c>
      <c r="P126" s="32" t="n">
        <v>46705</v>
      </c>
      <c r="Q126" t="inlineStr">
        <is>
          <t>L857893</t>
        </is>
      </c>
      <c r="R126" s="33" t="n"/>
      <c r="S126" s="34" t="n"/>
    </row>
    <row r="127">
      <c r="A127" t="inlineStr">
        <is>
          <t>STK4126</t>
        </is>
      </c>
      <c r="B127" t="inlineStr">
        <is>
          <t>SKU-10378</t>
        </is>
      </c>
      <c r="C127" t="inlineStr">
        <is>
          <t>Blood Culture Bottle, Aerobic</t>
        </is>
      </c>
      <c r="D127" t="inlineStr">
        <is>
          <t>Lab Supplies</t>
        </is>
      </c>
      <c r="E127" t="inlineStr">
        <is>
          <t>Keystone Lab Solutions</t>
        </is>
      </c>
      <c r="F127" t="inlineStr">
        <is>
          <t>Each</t>
        </is>
      </c>
      <c r="G127" s="31" t="n">
        <v>8.390000000000001</v>
      </c>
      <c r="H127" t="inlineStr">
        <is>
          <t>Bluestone Memorial Hospital</t>
        </is>
      </c>
      <c r="I127" t="inlineStr">
        <is>
          <t>Emergency Department</t>
        </is>
      </c>
      <c r="J127" t="n">
        <v>343</v>
      </c>
      <c r="K127" t="n">
        <v>470</v>
      </c>
      <c r="L127" t="n">
        <v>177</v>
      </c>
      <c r="M127" t="n">
        <v>293</v>
      </c>
      <c r="N127" t="n">
        <v>2</v>
      </c>
      <c r="O127" s="32" t="n">
        <v>45986</v>
      </c>
      <c r="P127" s="32" t="n">
        <v>46315</v>
      </c>
      <c r="Q127" t="inlineStr">
        <is>
          <t>L683507</t>
        </is>
      </c>
      <c r="R127" s="33" t="n"/>
      <c r="S127" s="34" t="n"/>
    </row>
    <row r="128">
      <c r="A128" t="inlineStr">
        <is>
          <t>STK4127</t>
        </is>
      </c>
      <c r="B128" t="inlineStr">
        <is>
          <t>SKU-10378</t>
        </is>
      </c>
      <c r="C128" t="inlineStr">
        <is>
          <t>Blood Culture Bottle, Aerobic</t>
        </is>
      </c>
      <c r="D128" t="inlineStr">
        <is>
          <t>Lab Supplies</t>
        </is>
      </c>
      <c r="E128" t="inlineStr">
        <is>
          <t>Keystone Lab Solutions</t>
        </is>
      </c>
      <c r="F128" t="inlineStr">
        <is>
          <t>Each</t>
        </is>
      </c>
      <c r="G128" s="31" t="n">
        <v>8.390000000000001</v>
      </c>
      <c r="H128" t="inlineStr">
        <is>
          <t>Bluestone Memorial Hospital</t>
        </is>
      </c>
      <c r="I128" t="inlineStr">
        <is>
          <t>Intensive Care Unit</t>
        </is>
      </c>
      <c r="J128" t="n">
        <v>244</v>
      </c>
      <c r="K128" t="n">
        <v>281</v>
      </c>
      <c r="L128" t="n">
        <v>96</v>
      </c>
      <c r="M128" t="n">
        <v>185</v>
      </c>
      <c r="N128" t="n">
        <v>3</v>
      </c>
      <c r="O128" s="32" t="n">
        <v>46022</v>
      </c>
      <c r="P128" s="32" t="n">
        <v>46433</v>
      </c>
      <c r="Q128" t="inlineStr">
        <is>
          <t>L263639</t>
        </is>
      </c>
      <c r="R128" s="33" t="n"/>
      <c r="S128" s="34" t="n"/>
    </row>
    <row r="129">
      <c r="A129" t="inlineStr">
        <is>
          <t>STK4128</t>
        </is>
      </c>
      <c r="B129" t="inlineStr">
        <is>
          <t>SKU-10385</t>
        </is>
      </c>
      <c r="C129" t="inlineStr">
        <is>
          <t>Blood Culture Bottle, Anaerobic</t>
        </is>
      </c>
      <c r="D129" t="inlineStr">
        <is>
          <t>Lab Supplies</t>
        </is>
      </c>
      <c r="E129" t="inlineStr">
        <is>
          <t>Harbor Health Products</t>
        </is>
      </c>
      <c r="F129" t="inlineStr">
        <is>
          <t>Each</t>
        </is>
      </c>
      <c r="G129" s="31" t="n">
        <v>7.01</v>
      </c>
      <c r="H129" t="inlineStr">
        <is>
          <t>Bluestone Memorial Hospital</t>
        </is>
      </c>
      <c r="I129" t="inlineStr">
        <is>
          <t>Emergency Department</t>
        </is>
      </c>
      <c r="J129" t="n">
        <v>807</v>
      </c>
      <c r="K129" t="n">
        <v>635</v>
      </c>
      <c r="L129" t="n">
        <v>172</v>
      </c>
      <c r="M129" t="n">
        <v>463</v>
      </c>
      <c r="N129" t="n">
        <v>5</v>
      </c>
      <c r="O129" s="32" t="n">
        <v>45988</v>
      </c>
      <c r="P129" s="32" t="n">
        <v>46751</v>
      </c>
      <c r="Q129" t="inlineStr">
        <is>
          <t>L369929</t>
        </is>
      </c>
      <c r="R129" s="33" t="n"/>
      <c r="S129" s="34" t="n"/>
    </row>
    <row r="130">
      <c r="A130" t="inlineStr">
        <is>
          <t>STK4129</t>
        </is>
      </c>
      <c r="B130" t="inlineStr">
        <is>
          <t>SKU-10385</t>
        </is>
      </c>
      <c r="C130" t="inlineStr">
        <is>
          <t>Blood Culture Bottle, Anaerobic</t>
        </is>
      </c>
      <c r="D130" t="inlineStr">
        <is>
          <t>Lab Supplies</t>
        </is>
      </c>
      <c r="E130" t="inlineStr">
        <is>
          <t>Harbor Health Products</t>
        </is>
      </c>
      <c r="F130" t="inlineStr">
        <is>
          <t>Each</t>
        </is>
      </c>
      <c r="G130" s="31" t="n">
        <v>7.01</v>
      </c>
      <c r="H130" t="inlineStr">
        <is>
          <t>Bluestone Memorial Hospital</t>
        </is>
      </c>
      <c r="I130" t="inlineStr">
        <is>
          <t>Intensive Care Unit</t>
        </is>
      </c>
      <c r="J130" t="n">
        <v>567</v>
      </c>
      <c r="K130" t="n">
        <v>491</v>
      </c>
      <c r="L130" t="n">
        <v>157</v>
      </c>
      <c r="M130" t="n">
        <v>334</v>
      </c>
      <c r="N130" t="n">
        <v>10</v>
      </c>
      <c r="O130" s="32" t="n">
        <v>45980</v>
      </c>
      <c r="P130" s="32" t="n">
        <v>46670</v>
      </c>
      <c r="Q130" t="inlineStr">
        <is>
          <t>L287181</t>
        </is>
      </c>
      <c r="R130" s="33" t="n"/>
      <c r="S130" s="34" t="n"/>
    </row>
    <row r="131">
      <c r="A131" t="inlineStr">
        <is>
          <t>STK4130</t>
        </is>
      </c>
      <c r="B131" t="inlineStr">
        <is>
          <t>SKU-10385</t>
        </is>
      </c>
      <c r="C131" t="inlineStr">
        <is>
          <t>Blood Culture Bottle, Anaerobic</t>
        </is>
      </c>
      <c r="D131" t="inlineStr">
        <is>
          <t>Lab Supplies</t>
        </is>
      </c>
      <c r="E131" t="inlineStr">
        <is>
          <t>Harbor Health Products</t>
        </is>
      </c>
      <c r="F131" t="inlineStr">
        <is>
          <t>Each</t>
        </is>
      </c>
      <c r="G131" s="31" t="n">
        <v>7.01</v>
      </c>
      <c r="H131" t="inlineStr">
        <is>
          <t>Bluestone Memorial Hospital</t>
        </is>
      </c>
      <c r="I131" t="inlineStr">
        <is>
          <t>Laboratory</t>
        </is>
      </c>
      <c r="J131" t="n">
        <v>277</v>
      </c>
      <c r="K131" t="n">
        <v>786</v>
      </c>
      <c r="L131" t="n">
        <v>251</v>
      </c>
      <c r="M131" t="n">
        <v>535</v>
      </c>
      <c r="N131" t="n">
        <v>10</v>
      </c>
      <c r="O131" s="32" t="n">
        <v>46000</v>
      </c>
      <c r="P131" s="32" t="n">
        <v>46738</v>
      </c>
      <c r="Q131" t="inlineStr">
        <is>
          <t>L267601</t>
        </is>
      </c>
      <c r="R131" s="33" t="n"/>
      <c r="S131" s="34" t="n"/>
    </row>
    <row r="132">
      <c r="A132" t="inlineStr">
        <is>
          <t>STK4131</t>
        </is>
      </c>
      <c r="B132" t="inlineStr">
        <is>
          <t>SKU-10392</t>
        </is>
      </c>
      <c r="C132" t="inlineStr">
        <is>
          <t>Blood Culture Bottle, Pediatric</t>
        </is>
      </c>
      <c r="D132" t="inlineStr">
        <is>
          <t>Lab Supplies</t>
        </is>
      </c>
      <c r="E132" t="inlineStr">
        <is>
          <t>Northstar Medical Supply</t>
        </is>
      </c>
      <c r="F132" t="inlineStr">
        <is>
          <t>Each</t>
        </is>
      </c>
      <c r="G132" s="31" t="n">
        <v>7.78</v>
      </c>
      <c r="H132" t="inlineStr">
        <is>
          <t>Bluestone Memorial Hospital</t>
        </is>
      </c>
      <c r="I132" t="inlineStr">
        <is>
          <t>Intensive Care Unit</t>
        </is>
      </c>
      <c r="J132" t="n">
        <v>142</v>
      </c>
      <c r="K132" t="n">
        <v>490</v>
      </c>
      <c r="L132" t="n">
        <v>137</v>
      </c>
      <c r="M132" t="n">
        <v>353</v>
      </c>
      <c r="N132" t="n">
        <v>10</v>
      </c>
      <c r="O132" s="32" t="n">
        <v>45993</v>
      </c>
      <c r="P132" s="32" t="n">
        <v>46411</v>
      </c>
      <c r="Q132" t="inlineStr">
        <is>
          <t>L198662</t>
        </is>
      </c>
      <c r="R132" s="33" t="n"/>
      <c r="S132" s="34" t="n"/>
    </row>
    <row r="133">
      <c r="A133" t="inlineStr">
        <is>
          <t>STK4132</t>
        </is>
      </c>
      <c r="B133" t="inlineStr">
        <is>
          <t>SKU-10392</t>
        </is>
      </c>
      <c r="C133" t="inlineStr">
        <is>
          <t>Blood Culture Bottle, Pediatric</t>
        </is>
      </c>
      <c r="D133" t="inlineStr">
        <is>
          <t>Lab Supplies</t>
        </is>
      </c>
      <c r="E133" t="inlineStr">
        <is>
          <t>Northstar Medical Supply</t>
        </is>
      </c>
      <c r="F133" t="inlineStr">
        <is>
          <t>Each</t>
        </is>
      </c>
      <c r="G133" s="31" t="n">
        <v>7.78</v>
      </c>
      <c r="H133" t="inlineStr">
        <is>
          <t>Bluestone Memorial Hospital</t>
        </is>
      </c>
      <c r="I133" t="inlineStr">
        <is>
          <t>Laboratory</t>
        </is>
      </c>
      <c r="J133" t="n">
        <v>330</v>
      </c>
      <c r="K133" t="n">
        <v>798</v>
      </c>
      <c r="L133" t="n">
        <v>246</v>
      </c>
      <c r="M133" t="n">
        <v>552</v>
      </c>
      <c r="N133" t="n">
        <v>5</v>
      </c>
      <c r="O133" s="32" t="n">
        <v>45982</v>
      </c>
      <c r="P133" s="32" t="n">
        <v>46965</v>
      </c>
      <c r="Q133" t="inlineStr">
        <is>
          <t>L980734</t>
        </is>
      </c>
      <c r="R133" s="33" t="n"/>
      <c r="S133" s="34" t="n"/>
    </row>
    <row r="134">
      <c r="A134" t="inlineStr">
        <is>
          <t>STK4133</t>
        </is>
      </c>
      <c r="B134" t="inlineStr">
        <is>
          <t>SKU-10399</t>
        </is>
      </c>
      <c r="C134" t="inlineStr">
        <is>
          <t>Vacutainer Tube Lavender 4 mL (Box/100)</t>
        </is>
      </c>
      <c r="D134" t="inlineStr">
        <is>
          <t>Lab Supplies</t>
        </is>
      </c>
      <c r="E134" t="inlineStr">
        <is>
          <t>Keystone Lab Solutions</t>
        </is>
      </c>
      <c r="F134" t="inlineStr">
        <is>
          <t>Box</t>
        </is>
      </c>
      <c r="G134" s="31" t="n">
        <v>22.26</v>
      </c>
      <c r="H134" t="inlineStr">
        <is>
          <t>Bluestone Memorial Hospital</t>
        </is>
      </c>
      <c r="I134" t="inlineStr">
        <is>
          <t>Emergency Department</t>
        </is>
      </c>
      <c r="J134" t="n">
        <v>112</v>
      </c>
      <c r="K134" t="n">
        <v>288</v>
      </c>
      <c r="L134" t="n">
        <v>106</v>
      </c>
      <c r="M134" t="n">
        <v>182</v>
      </c>
      <c r="N134" t="n">
        <v>3</v>
      </c>
      <c r="O134" s="32" t="n">
        <v>46008</v>
      </c>
      <c r="P134" s="32" t="n">
        <v>46233</v>
      </c>
      <c r="Q134" t="inlineStr">
        <is>
          <t>L191680</t>
        </is>
      </c>
      <c r="R134" s="33" t="n"/>
      <c r="S134" s="34" t="n"/>
    </row>
    <row r="135">
      <c r="A135" t="inlineStr">
        <is>
          <t>STK4134</t>
        </is>
      </c>
      <c r="B135" t="inlineStr">
        <is>
          <t>SKU-10406</t>
        </is>
      </c>
      <c r="C135" t="inlineStr">
        <is>
          <t>Vacutainer Tube Light Blue 2.7 mL (Box/100)</t>
        </is>
      </c>
      <c r="D135" t="inlineStr">
        <is>
          <t>Lab Supplies</t>
        </is>
      </c>
      <c r="E135" t="inlineStr">
        <is>
          <t>Keystone Lab Solutions</t>
        </is>
      </c>
      <c r="F135" t="inlineStr">
        <is>
          <t>Box</t>
        </is>
      </c>
      <c r="G135" s="31" t="n">
        <v>27.57</v>
      </c>
      <c r="H135" t="inlineStr">
        <is>
          <t>Bluestone Memorial Hospital</t>
        </is>
      </c>
      <c r="I135" t="inlineStr">
        <is>
          <t>Emergency Department</t>
        </is>
      </c>
      <c r="J135" t="n">
        <v>20</v>
      </c>
      <c r="K135" t="n">
        <v>120</v>
      </c>
      <c r="L135" t="n">
        <v>44</v>
      </c>
      <c r="M135" t="n">
        <v>76</v>
      </c>
      <c r="N135" t="n">
        <v>7</v>
      </c>
      <c r="O135" s="32" t="n">
        <v>46003</v>
      </c>
      <c r="P135" s="32" t="n">
        <v>47004</v>
      </c>
      <c r="Q135" t="inlineStr">
        <is>
          <t>L128438</t>
        </is>
      </c>
      <c r="R135" s="33" t="n"/>
      <c r="S135" s="34" t="n"/>
    </row>
    <row r="136">
      <c r="A136" t="inlineStr">
        <is>
          <t>STK4135</t>
        </is>
      </c>
      <c r="B136" t="inlineStr">
        <is>
          <t>SKU-10406</t>
        </is>
      </c>
      <c r="C136" t="inlineStr">
        <is>
          <t>Vacutainer Tube Light Blue 2.7 mL (Box/100)</t>
        </is>
      </c>
      <c r="D136" t="inlineStr">
        <is>
          <t>Lab Supplies</t>
        </is>
      </c>
      <c r="E136" t="inlineStr">
        <is>
          <t>Keystone Lab Solutions</t>
        </is>
      </c>
      <c r="F136" t="inlineStr">
        <is>
          <t>Box</t>
        </is>
      </c>
      <c r="G136" s="31" t="n">
        <v>27.57</v>
      </c>
      <c r="H136" t="inlineStr">
        <is>
          <t>Bluestone Memorial Hospital</t>
        </is>
      </c>
      <c r="I136" t="inlineStr">
        <is>
          <t>Intensive Care Unit</t>
        </is>
      </c>
      <c r="J136" t="n">
        <v>79</v>
      </c>
      <c r="K136" t="n">
        <v>219</v>
      </c>
      <c r="L136" t="n">
        <v>60</v>
      </c>
      <c r="M136" t="n">
        <v>159</v>
      </c>
      <c r="N136" t="n">
        <v>10</v>
      </c>
      <c r="O136" s="32" t="n">
        <v>45995</v>
      </c>
      <c r="P136" s="32" t="n">
        <v>46604</v>
      </c>
      <c r="Q136" t="inlineStr">
        <is>
          <t>L223246</t>
        </is>
      </c>
      <c r="R136" s="33" t="n"/>
      <c r="S136" s="34" t="n"/>
    </row>
    <row r="137">
      <c r="A137" t="inlineStr">
        <is>
          <t>STK4136</t>
        </is>
      </c>
      <c r="B137" t="inlineStr">
        <is>
          <t>SKU-10406</t>
        </is>
      </c>
      <c r="C137" t="inlineStr">
        <is>
          <t>Vacutainer Tube Light Blue 2.7 mL (Box/100)</t>
        </is>
      </c>
      <c r="D137" t="inlineStr">
        <is>
          <t>Lab Supplies</t>
        </is>
      </c>
      <c r="E137" t="inlineStr">
        <is>
          <t>Keystone Lab Solutions</t>
        </is>
      </c>
      <c r="F137" t="inlineStr">
        <is>
          <t>Box</t>
        </is>
      </c>
      <c r="G137" s="31" t="n">
        <v>27.57</v>
      </c>
      <c r="H137" t="inlineStr">
        <is>
          <t>Bluestone Memorial Hospital</t>
        </is>
      </c>
      <c r="I137" t="inlineStr">
        <is>
          <t>Laboratory</t>
        </is>
      </c>
      <c r="J137" t="n">
        <v>366</v>
      </c>
      <c r="K137" t="n">
        <v>362</v>
      </c>
      <c r="L137" t="n">
        <v>106</v>
      </c>
      <c r="M137" t="n">
        <v>256</v>
      </c>
      <c r="N137" t="n">
        <v>3</v>
      </c>
      <c r="O137" s="32" t="n">
        <v>46022</v>
      </c>
      <c r="P137" s="32" t="n">
        <v>47017</v>
      </c>
      <c r="Q137" t="inlineStr">
        <is>
          <t>L275121</t>
        </is>
      </c>
      <c r="R137" s="33" t="n"/>
      <c r="S137" s="34" t="n"/>
    </row>
    <row r="138">
      <c r="A138" t="inlineStr">
        <is>
          <t>STK4137</t>
        </is>
      </c>
      <c r="B138" t="inlineStr">
        <is>
          <t>SKU-10413</t>
        </is>
      </c>
      <c r="C138" t="inlineStr">
        <is>
          <t>Vacutainer Tube Gold SST 5 mL (Box/100)</t>
        </is>
      </c>
      <c r="D138" t="inlineStr">
        <is>
          <t>Lab Supplies</t>
        </is>
      </c>
      <c r="E138" t="inlineStr">
        <is>
          <t>Keystone Lab Solutions</t>
        </is>
      </c>
      <c r="F138" t="inlineStr">
        <is>
          <t>Box</t>
        </is>
      </c>
      <c r="G138" s="31" t="n">
        <v>25.93</v>
      </c>
      <c r="H138" t="inlineStr">
        <is>
          <t>Bluestone Memorial Hospital</t>
        </is>
      </c>
      <c r="I138" t="inlineStr">
        <is>
          <t>Emergency Department</t>
        </is>
      </c>
      <c r="J138" t="n">
        <v>34</v>
      </c>
      <c r="K138" t="n">
        <v>395</v>
      </c>
      <c r="L138" t="n">
        <v>133</v>
      </c>
      <c r="M138" t="n">
        <v>262</v>
      </c>
      <c r="N138" t="n">
        <v>5</v>
      </c>
      <c r="O138" s="32" t="n">
        <v>46017</v>
      </c>
      <c r="P138" s="32" t="n">
        <v>46378</v>
      </c>
      <c r="Q138" t="inlineStr">
        <is>
          <t>L924519</t>
        </is>
      </c>
      <c r="R138" s="33" t="n"/>
      <c r="S138" s="34" t="n"/>
    </row>
    <row r="139">
      <c r="A139" t="inlineStr">
        <is>
          <t>STK4138</t>
        </is>
      </c>
      <c r="B139" t="inlineStr">
        <is>
          <t>SKU-10413</t>
        </is>
      </c>
      <c r="C139" t="inlineStr">
        <is>
          <t>Vacutainer Tube Gold SST 5 mL (Box/100)</t>
        </is>
      </c>
      <c r="D139" t="inlineStr">
        <is>
          <t>Lab Supplies</t>
        </is>
      </c>
      <c r="E139" t="inlineStr">
        <is>
          <t>Keystone Lab Solutions</t>
        </is>
      </c>
      <c r="F139" t="inlineStr">
        <is>
          <t>Box</t>
        </is>
      </c>
      <c r="G139" s="31" t="n">
        <v>25.93</v>
      </c>
      <c r="H139" t="inlineStr">
        <is>
          <t>Bluestone Memorial Hospital</t>
        </is>
      </c>
      <c r="I139" t="inlineStr">
        <is>
          <t>Intensive Care Unit</t>
        </is>
      </c>
      <c r="J139" t="n">
        <v>139</v>
      </c>
      <c r="K139" t="n">
        <v>110</v>
      </c>
      <c r="L139" t="n">
        <v>37</v>
      </c>
      <c r="M139" t="n">
        <v>73</v>
      </c>
      <c r="N139" t="n">
        <v>10</v>
      </c>
      <c r="O139" s="32" t="n">
        <v>46009</v>
      </c>
      <c r="P139" s="32" t="n">
        <v>47015</v>
      </c>
      <c r="Q139" t="inlineStr">
        <is>
          <t>L862034</t>
        </is>
      </c>
      <c r="R139" s="33" t="n"/>
      <c r="S139" s="34" t="n"/>
    </row>
    <row r="140">
      <c r="A140" t="inlineStr">
        <is>
          <t>STK4139</t>
        </is>
      </c>
      <c r="B140" t="inlineStr">
        <is>
          <t>SKU-10413</t>
        </is>
      </c>
      <c r="C140" t="inlineStr">
        <is>
          <t>Vacutainer Tube Gold SST 5 mL (Box/100)</t>
        </is>
      </c>
      <c r="D140" t="inlineStr">
        <is>
          <t>Lab Supplies</t>
        </is>
      </c>
      <c r="E140" t="inlineStr">
        <is>
          <t>Keystone Lab Solutions</t>
        </is>
      </c>
      <c r="F140" t="inlineStr">
        <is>
          <t>Box</t>
        </is>
      </c>
      <c r="G140" s="31" t="n">
        <v>25.93</v>
      </c>
      <c r="H140" t="inlineStr">
        <is>
          <t>Bluestone Memorial Hospital</t>
        </is>
      </c>
      <c r="I140" t="inlineStr">
        <is>
          <t>Laboratory</t>
        </is>
      </c>
      <c r="J140" t="n">
        <v>147</v>
      </c>
      <c r="K140" t="n">
        <v>231</v>
      </c>
      <c r="L140" t="n">
        <v>91</v>
      </c>
      <c r="M140" t="n">
        <v>140</v>
      </c>
      <c r="N140" t="n">
        <v>2</v>
      </c>
      <c r="O140" s="32" t="n">
        <v>46016</v>
      </c>
      <c r="P140" s="32" t="n">
        <v>46791</v>
      </c>
      <c r="Q140" t="inlineStr">
        <is>
          <t>L195017</t>
        </is>
      </c>
      <c r="R140" s="33" t="n"/>
      <c r="S140" s="34" t="n"/>
    </row>
    <row r="141">
      <c r="A141" t="inlineStr">
        <is>
          <t>STK4140</t>
        </is>
      </c>
      <c r="B141" t="inlineStr">
        <is>
          <t>SKU-10420</t>
        </is>
      </c>
      <c r="C141" t="inlineStr">
        <is>
          <t>Vacutainer Tube Green 4 mL (Box/100)</t>
        </is>
      </c>
      <c r="D141" t="inlineStr">
        <is>
          <t>Lab Supplies</t>
        </is>
      </c>
      <c r="E141" t="inlineStr">
        <is>
          <t>Keystone Lab Solutions</t>
        </is>
      </c>
      <c r="F141" t="inlineStr">
        <is>
          <t>Box</t>
        </is>
      </c>
      <c r="G141" s="31" t="n">
        <v>26.67</v>
      </c>
      <c r="H141" t="inlineStr">
        <is>
          <t>Bluestone Memorial Hospital</t>
        </is>
      </c>
      <c r="I141" t="inlineStr">
        <is>
          <t>Emergency Department</t>
        </is>
      </c>
      <c r="J141" t="n">
        <v>111</v>
      </c>
      <c r="K141" t="n">
        <v>143</v>
      </c>
      <c r="L141" t="n">
        <v>56</v>
      </c>
      <c r="M141" t="n">
        <v>87</v>
      </c>
      <c r="N141" t="n">
        <v>3</v>
      </c>
      <c r="O141" s="32" t="n">
        <v>45998</v>
      </c>
      <c r="P141" s="32" t="n">
        <v>46209</v>
      </c>
      <c r="Q141" t="inlineStr">
        <is>
          <t>L202327</t>
        </is>
      </c>
      <c r="R141" s="33" t="n"/>
      <c r="S141" s="34" t="n"/>
    </row>
    <row r="142">
      <c r="A142" t="inlineStr">
        <is>
          <t>STK4141</t>
        </is>
      </c>
      <c r="B142" t="inlineStr">
        <is>
          <t>SKU-10420</t>
        </is>
      </c>
      <c r="C142" t="inlineStr">
        <is>
          <t>Vacutainer Tube Green 4 mL (Box/100)</t>
        </is>
      </c>
      <c r="D142" t="inlineStr">
        <is>
          <t>Lab Supplies</t>
        </is>
      </c>
      <c r="E142" t="inlineStr">
        <is>
          <t>Keystone Lab Solutions</t>
        </is>
      </c>
      <c r="F142" t="inlineStr">
        <is>
          <t>Box</t>
        </is>
      </c>
      <c r="G142" s="31" t="n">
        <v>26.67</v>
      </c>
      <c r="H142" t="inlineStr">
        <is>
          <t>Bluestone Memorial Hospital</t>
        </is>
      </c>
      <c r="I142" t="inlineStr">
        <is>
          <t>Intensive Care Unit</t>
        </is>
      </c>
      <c r="J142" t="n">
        <v>51</v>
      </c>
      <c r="K142" t="n">
        <v>100</v>
      </c>
      <c r="L142" t="n">
        <v>38</v>
      </c>
      <c r="M142" t="n">
        <v>62</v>
      </c>
      <c r="N142" t="n">
        <v>2</v>
      </c>
      <c r="O142" s="32" t="n">
        <v>45991</v>
      </c>
      <c r="P142" s="32" t="n">
        <v>46359</v>
      </c>
      <c r="Q142" t="inlineStr">
        <is>
          <t>L172766</t>
        </is>
      </c>
      <c r="R142" s="33" t="n"/>
      <c r="S142" s="34" t="n"/>
    </row>
    <row r="143">
      <c r="A143" t="inlineStr">
        <is>
          <t>STK4142</t>
        </is>
      </c>
      <c r="B143" t="inlineStr">
        <is>
          <t>SKU-10420</t>
        </is>
      </c>
      <c r="C143" t="inlineStr">
        <is>
          <t>Vacutainer Tube Green 4 mL (Box/100)</t>
        </is>
      </c>
      <c r="D143" t="inlineStr">
        <is>
          <t>Lab Supplies</t>
        </is>
      </c>
      <c r="E143" t="inlineStr">
        <is>
          <t>Keystone Lab Solutions</t>
        </is>
      </c>
      <c r="F143" t="inlineStr">
        <is>
          <t>Box</t>
        </is>
      </c>
      <c r="G143" s="31" t="n">
        <v>26.67</v>
      </c>
      <c r="H143" t="inlineStr">
        <is>
          <t>Bluestone Memorial Hospital</t>
        </is>
      </c>
      <c r="I143" t="inlineStr">
        <is>
          <t>Laboratory</t>
        </is>
      </c>
      <c r="J143" t="n">
        <v>44</v>
      </c>
      <c r="K143" t="n">
        <v>105</v>
      </c>
      <c r="L143" t="n">
        <v>30</v>
      </c>
      <c r="M143" t="n">
        <v>75</v>
      </c>
      <c r="N143" t="n">
        <v>2</v>
      </c>
      <c r="O143" s="32" t="n">
        <v>45978</v>
      </c>
      <c r="P143" s="32" t="n">
        <v>46367</v>
      </c>
      <c r="Q143" t="inlineStr">
        <is>
          <t>L888933</t>
        </is>
      </c>
      <c r="R143" s="33" t="n"/>
      <c r="S143" s="34" t="n"/>
    </row>
    <row r="144">
      <c r="A144" t="inlineStr">
        <is>
          <t>STK4143</t>
        </is>
      </c>
      <c r="B144" t="inlineStr">
        <is>
          <t>SKU-10427</t>
        </is>
      </c>
      <c r="C144" t="inlineStr">
        <is>
          <t>Vacutainer Tube Gray 4 mL (Box/100)</t>
        </is>
      </c>
      <c r="D144" t="inlineStr">
        <is>
          <t>Lab Supplies</t>
        </is>
      </c>
      <c r="E144" t="inlineStr">
        <is>
          <t>Keystone Lab Solutions</t>
        </is>
      </c>
      <c r="F144" t="inlineStr">
        <is>
          <t>Box</t>
        </is>
      </c>
      <c r="G144" s="31" t="n">
        <v>23.86</v>
      </c>
      <c r="H144" t="inlineStr">
        <is>
          <t>Bluestone Memorial Hospital</t>
        </is>
      </c>
      <c r="I144" t="inlineStr">
        <is>
          <t>Intensive Care Unit</t>
        </is>
      </c>
      <c r="J144" t="n">
        <v>167</v>
      </c>
      <c r="K144" t="n">
        <v>210</v>
      </c>
      <c r="L144" t="n">
        <v>82</v>
      </c>
      <c r="M144" t="n">
        <v>128</v>
      </c>
      <c r="N144" t="n">
        <v>3</v>
      </c>
      <c r="O144" s="32" t="n">
        <v>45988</v>
      </c>
      <c r="P144" s="32" t="n">
        <v>46227</v>
      </c>
      <c r="Q144" t="inlineStr">
        <is>
          <t>L645022</t>
        </is>
      </c>
      <c r="R144" s="33" t="n"/>
      <c r="S144" s="34" t="n"/>
    </row>
    <row r="145">
      <c r="A145" t="inlineStr">
        <is>
          <t>STK4144</t>
        </is>
      </c>
      <c r="B145" t="inlineStr">
        <is>
          <t>SKU-10427</t>
        </is>
      </c>
      <c r="C145" t="inlineStr">
        <is>
          <t>Vacutainer Tube Gray 4 mL (Box/100)</t>
        </is>
      </c>
      <c r="D145" t="inlineStr">
        <is>
          <t>Lab Supplies</t>
        </is>
      </c>
      <c r="E145" t="inlineStr">
        <is>
          <t>Keystone Lab Solutions</t>
        </is>
      </c>
      <c r="F145" t="inlineStr">
        <is>
          <t>Box</t>
        </is>
      </c>
      <c r="G145" s="31" t="n">
        <v>23.86</v>
      </c>
      <c r="H145" t="inlineStr">
        <is>
          <t>Bluestone Memorial Hospital</t>
        </is>
      </c>
      <c r="I145" t="inlineStr">
        <is>
          <t>Laboratory</t>
        </is>
      </c>
      <c r="J145" t="n">
        <v>156</v>
      </c>
      <c r="K145" t="n">
        <v>259</v>
      </c>
      <c r="L145" t="n">
        <v>87</v>
      </c>
      <c r="M145" t="n">
        <v>172</v>
      </c>
      <c r="N145" t="n">
        <v>5</v>
      </c>
      <c r="O145" s="32" t="n">
        <v>45983</v>
      </c>
      <c r="P145" s="32" t="n">
        <v>46901</v>
      </c>
      <c r="Q145" t="inlineStr">
        <is>
          <t>L591818</t>
        </is>
      </c>
      <c r="R145" s="33" t="n"/>
      <c r="S145" s="34" t="n"/>
    </row>
    <row r="146">
      <c r="A146" t="inlineStr">
        <is>
          <t>STK4145</t>
        </is>
      </c>
      <c r="B146" t="inlineStr">
        <is>
          <t>SKU-10434</t>
        </is>
      </c>
      <c r="C146" t="inlineStr">
        <is>
          <t>Safety Lancet 21G (Box/200)</t>
        </is>
      </c>
      <c r="D146" t="inlineStr">
        <is>
          <t>Lab Supplies</t>
        </is>
      </c>
      <c r="E146" t="inlineStr">
        <is>
          <t>Keystone Lab Solutions</t>
        </is>
      </c>
      <c r="F146" t="inlineStr">
        <is>
          <t>Box</t>
        </is>
      </c>
      <c r="G146" s="31" t="n">
        <v>21.46</v>
      </c>
      <c r="H146" t="inlineStr">
        <is>
          <t>Bluestone Memorial Hospital</t>
        </is>
      </c>
      <c r="I146" t="inlineStr">
        <is>
          <t>Emergency Department</t>
        </is>
      </c>
      <c r="J146" t="n">
        <v>333</v>
      </c>
      <c r="K146" t="n">
        <v>255</v>
      </c>
      <c r="L146" t="n">
        <v>67</v>
      </c>
      <c r="M146" t="n">
        <v>188</v>
      </c>
      <c r="N146" t="n">
        <v>3</v>
      </c>
      <c r="O146" s="32" t="n">
        <v>46022</v>
      </c>
      <c r="P146" s="32" t="n">
        <v>46418</v>
      </c>
      <c r="Q146" t="inlineStr">
        <is>
          <t>L676170</t>
        </is>
      </c>
      <c r="R146" s="33" t="n"/>
      <c r="S146" s="34" t="n"/>
    </row>
    <row r="147">
      <c r="A147" t="inlineStr">
        <is>
          <t>STK4146</t>
        </is>
      </c>
      <c r="B147" t="inlineStr">
        <is>
          <t>SKU-10434</t>
        </is>
      </c>
      <c r="C147" t="inlineStr">
        <is>
          <t>Safety Lancet 21G (Box/200)</t>
        </is>
      </c>
      <c r="D147" t="inlineStr">
        <is>
          <t>Lab Supplies</t>
        </is>
      </c>
      <c r="E147" t="inlineStr">
        <is>
          <t>Keystone Lab Solutions</t>
        </is>
      </c>
      <c r="F147" t="inlineStr">
        <is>
          <t>Box</t>
        </is>
      </c>
      <c r="G147" s="31" t="n">
        <v>21.46</v>
      </c>
      <c r="H147" t="inlineStr">
        <is>
          <t>Bluestone Memorial Hospital</t>
        </is>
      </c>
      <c r="I147" t="inlineStr">
        <is>
          <t>Laboratory</t>
        </is>
      </c>
      <c r="J147" t="n">
        <v>351</v>
      </c>
      <c r="K147" t="n">
        <v>423</v>
      </c>
      <c r="L147" t="n">
        <v>116</v>
      </c>
      <c r="M147" t="n">
        <v>307</v>
      </c>
      <c r="N147" t="n">
        <v>3</v>
      </c>
      <c r="O147" s="32" t="n">
        <v>45984</v>
      </c>
      <c r="P147" s="32" t="n">
        <v>46735</v>
      </c>
      <c r="Q147" t="inlineStr">
        <is>
          <t>L813216</t>
        </is>
      </c>
      <c r="R147" s="33" t="n"/>
      <c r="S147" s="34" t="n"/>
    </row>
    <row r="148">
      <c r="A148" t="inlineStr">
        <is>
          <t>STK4147</t>
        </is>
      </c>
      <c r="B148" t="inlineStr">
        <is>
          <t>SKU-10441</t>
        </is>
      </c>
      <c r="C148" t="inlineStr">
        <is>
          <t>Safety Lancet 23G (Box/200)</t>
        </is>
      </c>
      <c r="D148" t="inlineStr">
        <is>
          <t>Lab Supplies</t>
        </is>
      </c>
      <c r="E148" t="inlineStr">
        <is>
          <t>Harbor Health Products</t>
        </is>
      </c>
      <c r="F148" t="inlineStr">
        <is>
          <t>Box</t>
        </is>
      </c>
      <c r="G148" s="31" t="n">
        <v>20.74</v>
      </c>
      <c r="H148" t="inlineStr">
        <is>
          <t>Bluestone Memorial Hospital</t>
        </is>
      </c>
      <c r="I148" t="inlineStr">
        <is>
          <t>Intensive Care Unit</t>
        </is>
      </c>
      <c r="J148" t="n">
        <v>263</v>
      </c>
      <c r="K148" t="n">
        <v>255</v>
      </c>
      <c r="L148" t="n">
        <v>68</v>
      </c>
      <c r="M148" t="n">
        <v>187</v>
      </c>
      <c r="N148" t="n">
        <v>2</v>
      </c>
      <c r="O148" s="32" t="n">
        <v>46001</v>
      </c>
      <c r="P148" s="32" t="n">
        <v>46558</v>
      </c>
      <c r="Q148" t="inlineStr">
        <is>
          <t>L979392</t>
        </is>
      </c>
      <c r="R148" s="33" t="n"/>
      <c r="S148" s="34" t="n"/>
    </row>
    <row r="149">
      <c r="A149" t="inlineStr">
        <is>
          <t>STK4148</t>
        </is>
      </c>
      <c r="B149" t="inlineStr">
        <is>
          <t>SKU-10448</t>
        </is>
      </c>
      <c r="C149" t="inlineStr">
        <is>
          <t>Specimen Container 4 oz Sterile</t>
        </is>
      </c>
      <c r="D149" t="inlineStr">
        <is>
          <t>Lab Supplies</t>
        </is>
      </c>
      <c r="E149" t="inlineStr">
        <is>
          <t>Keystone Lab Solutions</t>
        </is>
      </c>
      <c r="F149" t="inlineStr">
        <is>
          <t>Each</t>
        </is>
      </c>
      <c r="G149" s="31" t="n">
        <v>0.45</v>
      </c>
      <c r="H149" t="inlineStr">
        <is>
          <t>Bluestone Memorial Hospital</t>
        </is>
      </c>
      <c r="I149" t="inlineStr">
        <is>
          <t>Emergency Department</t>
        </is>
      </c>
      <c r="J149" t="n">
        <v>223</v>
      </c>
      <c r="K149" t="n">
        <v>800</v>
      </c>
      <c r="L149" t="n">
        <v>248</v>
      </c>
      <c r="M149" t="n">
        <v>552</v>
      </c>
      <c r="N149" t="n">
        <v>7</v>
      </c>
      <c r="O149" s="32" t="n">
        <v>46003</v>
      </c>
      <c r="R149" s="33" t="n"/>
      <c r="S149" s="34" t="n"/>
    </row>
    <row r="150">
      <c r="A150" t="inlineStr">
        <is>
          <t>STK4149</t>
        </is>
      </c>
      <c r="B150" t="inlineStr">
        <is>
          <t>SKU-10448</t>
        </is>
      </c>
      <c r="C150" t="inlineStr">
        <is>
          <t>Specimen Container 4 oz Sterile</t>
        </is>
      </c>
      <c r="D150" t="inlineStr">
        <is>
          <t>Lab Supplies</t>
        </is>
      </c>
      <c r="E150" t="inlineStr">
        <is>
          <t>Keystone Lab Solutions</t>
        </is>
      </c>
      <c r="F150" t="inlineStr">
        <is>
          <t>Each</t>
        </is>
      </c>
      <c r="G150" s="31" t="n">
        <v>0.45</v>
      </c>
      <c r="H150" t="inlineStr">
        <is>
          <t>Bluestone Memorial Hospital</t>
        </is>
      </c>
      <c r="I150" t="inlineStr">
        <is>
          <t>Intensive Care Unit</t>
        </is>
      </c>
      <c r="J150" t="n">
        <v>985</v>
      </c>
      <c r="K150" t="n">
        <v>800</v>
      </c>
      <c r="L150" t="n">
        <v>268</v>
      </c>
      <c r="M150" t="n">
        <v>532</v>
      </c>
      <c r="N150" t="n">
        <v>7</v>
      </c>
      <c r="O150" s="32" t="n">
        <v>46019</v>
      </c>
      <c r="R150" s="33" t="n"/>
      <c r="S150" s="34" t="n"/>
    </row>
    <row r="151">
      <c r="A151" t="inlineStr">
        <is>
          <t>STK4150</t>
        </is>
      </c>
      <c r="B151" t="inlineStr">
        <is>
          <t>SKU-10448</t>
        </is>
      </c>
      <c r="C151" t="inlineStr">
        <is>
          <t>Specimen Container 4 oz Sterile</t>
        </is>
      </c>
      <c r="D151" t="inlineStr">
        <is>
          <t>Lab Supplies</t>
        </is>
      </c>
      <c r="E151" t="inlineStr">
        <is>
          <t>Keystone Lab Solutions</t>
        </is>
      </c>
      <c r="F151" t="inlineStr">
        <is>
          <t>Each</t>
        </is>
      </c>
      <c r="G151" s="31" t="n">
        <v>0.45</v>
      </c>
      <c r="H151" t="inlineStr">
        <is>
          <t>Bluestone Memorial Hospital</t>
        </is>
      </c>
      <c r="I151" t="inlineStr">
        <is>
          <t>Laboratory</t>
        </is>
      </c>
      <c r="J151" t="n">
        <v>349</v>
      </c>
      <c r="K151" t="n">
        <v>800</v>
      </c>
      <c r="L151" t="n">
        <v>280</v>
      </c>
      <c r="M151" t="n">
        <v>520</v>
      </c>
      <c r="N151" t="n">
        <v>7</v>
      </c>
      <c r="O151" s="32" t="n">
        <v>46012</v>
      </c>
      <c r="R151" s="33" t="n"/>
      <c r="S151" s="34" t="n"/>
    </row>
    <row r="152">
      <c r="A152" t="inlineStr">
        <is>
          <t>STK4151</t>
        </is>
      </c>
      <c r="B152" t="inlineStr">
        <is>
          <t>SKU-10455</t>
        </is>
      </c>
      <c r="C152" t="inlineStr">
        <is>
          <t>Glucose Test Strips (Box/50)</t>
        </is>
      </c>
      <c r="D152" t="inlineStr">
        <is>
          <t>Lab Supplies</t>
        </is>
      </c>
      <c r="E152" t="inlineStr">
        <is>
          <t>Keystone Lab Solutions</t>
        </is>
      </c>
      <c r="F152" t="inlineStr">
        <is>
          <t>Box</t>
        </is>
      </c>
      <c r="G152" s="31" t="n">
        <v>19.15</v>
      </c>
      <c r="H152" t="inlineStr">
        <is>
          <t>Bluestone Memorial Hospital</t>
        </is>
      </c>
      <c r="I152" t="inlineStr">
        <is>
          <t>Laboratory</t>
        </is>
      </c>
      <c r="J152" t="n">
        <v>706</v>
      </c>
      <c r="K152" t="n">
        <v>524</v>
      </c>
      <c r="L152" t="n">
        <v>201</v>
      </c>
      <c r="M152" t="n">
        <v>323</v>
      </c>
      <c r="N152" t="n">
        <v>7</v>
      </c>
      <c r="O152" s="32" t="n">
        <v>45994</v>
      </c>
      <c r="P152" s="32" t="n">
        <v>46247</v>
      </c>
      <c r="Q152" t="inlineStr">
        <is>
          <t>L927136</t>
        </is>
      </c>
      <c r="R152" s="33" t="n"/>
      <c r="S152" s="34" t="n"/>
    </row>
    <row r="153">
      <c r="A153" t="inlineStr">
        <is>
          <t>STK4152</t>
        </is>
      </c>
      <c r="B153" t="inlineStr">
        <is>
          <t>SKU-10462</t>
        </is>
      </c>
      <c r="C153" t="inlineStr">
        <is>
          <t>Urinalysis Reagent Strips (Bottle/100)</t>
        </is>
      </c>
      <c r="D153" t="inlineStr">
        <is>
          <t>Lab Supplies</t>
        </is>
      </c>
      <c r="E153" t="inlineStr">
        <is>
          <t>Northstar Medical Supply</t>
        </is>
      </c>
      <c r="F153" t="inlineStr">
        <is>
          <t>Bottle</t>
        </is>
      </c>
      <c r="G153" s="31" t="n">
        <v>34.35</v>
      </c>
      <c r="H153" t="inlineStr">
        <is>
          <t>Bluestone Memorial Hospital</t>
        </is>
      </c>
      <c r="I153" t="inlineStr">
        <is>
          <t>Emergency Department</t>
        </is>
      </c>
      <c r="J153" t="n">
        <v>125</v>
      </c>
      <c r="K153" t="n">
        <v>264</v>
      </c>
      <c r="L153" t="n">
        <v>93</v>
      </c>
      <c r="M153" t="n">
        <v>171</v>
      </c>
      <c r="N153" t="n">
        <v>7</v>
      </c>
      <c r="O153" s="32" t="n">
        <v>46008</v>
      </c>
      <c r="P153" s="32" t="n">
        <v>46657</v>
      </c>
      <c r="Q153" t="inlineStr">
        <is>
          <t>L416823</t>
        </is>
      </c>
      <c r="R153" s="33" t="n"/>
      <c r="S153" s="34" t="n"/>
    </row>
    <row r="154">
      <c r="A154" t="inlineStr">
        <is>
          <t>STK4153</t>
        </is>
      </c>
      <c r="B154" t="inlineStr">
        <is>
          <t>SKU-10462</t>
        </is>
      </c>
      <c r="C154" t="inlineStr">
        <is>
          <t>Urinalysis Reagent Strips (Bottle/100)</t>
        </is>
      </c>
      <c r="D154" t="inlineStr">
        <is>
          <t>Lab Supplies</t>
        </is>
      </c>
      <c r="E154" t="inlineStr">
        <is>
          <t>Northstar Medical Supply</t>
        </is>
      </c>
      <c r="F154" t="inlineStr">
        <is>
          <t>Bottle</t>
        </is>
      </c>
      <c r="G154" s="31" t="n">
        <v>34.35</v>
      </c>
      <c r="H154" t="inlineStr">
        <is>
          <t>Bluestone Memorial Hospital</t>
        </is>
      </c>
      <c r="I154" t="inlineStr">
        <is>
          <t>Laboratory</t>
        </is>
      </c>
      <c r="J154" t="n">
        <v>94</v>
      </c>
      <c r="K154" t="n">
        <v>188</v>
      </c>
      <c r="L154" t="n">
        <v>58</v>
      </c>
      <c r="M154" t="n">
        <v>130</v>
      </c>
      <c r="N154" t="n">
        <v>10</v>
      </c>
      <c r="O154" s="32" t="n">
        <v>45983</v>
      </c>
      <c r="P154" s="32" t="n">
        <v>46435</v>
      </c>
      <c r="Q154" t="inlineStr">
        <is>
          <t>L602287</t>
        </is>
      </c>
      <c r="R154" s="33" t="n"/>
      <c r="S154" s="34" t="n"/>
    </row>
    <row r="155">
      <c r="A155" t="inlineStr">
        <is>
          <t>STK4154</t>
        </is>
      </c>
      <c r="B155" t="inlineStr">
        <is>
          <t>SKU-10469</t>
        </is>
      </c>
      <c r="C155" t="inlineStr">
        <is>
          <t>Absorbable Suture 2-0</t>
        </is>
      </c>
      <c r="D155" t="inlineStr">
        <is>
          <t>Surgical</t>
        </is>
      </c>
      <c r="E155" t="inlineStr">
        <is>
          <t>Apex Surgical Co.</t>
        </is>
      </c>
      <c r="F155" t="inlineStr">
        <is>
          <t>Box</t>
        </is>
      </c>
      <c r="G155" s="31" t="n">
        <v>121.99</v>
      </c>
      <c r="H155" t="inlineStr">
        <is>
          <t>Bluestone Memorial Hospital</t>
        </is>
      </c>
      <c r="I155" t="inlineStr">
        <is>
          <t>Emergency Department</t>
        </is>
      </c>
      <c r="J155" t="n">
        <v>45</v>
      </c>
      <c r="K155" t="n">
        <v>38</v>
      </c>
      <c r="L155" t="n">
        <v>13</v>
      </c>
      <c r="M155" t="n">
        <v>25</v>
      </c>
      <c r="N155" t="n">
        <v>10</v>
      </c>
      <c r="O155" s="32" t="n">
        <v>46007</v>
      </c>
      <c r="P155" s="32" t="n">
        <v>46288</v>
      </c>
      <c r="Q155" t="inlineStr">
        <is>
          <t>L289056</t>
        </is>
      </c>
      <c r="R155" s="33" t="n"/>
      <c r="S155" s="34" t="n"/>
    </row>
    <row r="156">
      <c r="A156" t="inlineStr">
        <is>
          <t>STK4155</t>
        </is>
      </c>
      <c r="B156" t="inlineStr">
        <is>
          <t>SKU-10476</t>
        </is>
      </c>
      <c r="C156" t="inlineStr">
        <is>
          <t>Absorbable Suture 3-0</t>
        </is>
      </c>
      <c r="D156" t="inlineStr">
        <is>
          <t>Surgical</t>
        </is>
      </c>
      <c r="E156" t="inlineStr">
        <is>
          <t>CareLine Distributors</t>
        </is>
      </c>
      <c r="F156" t="inlineStr">
        <is>
          <t>Box</t>
        </is>
      </c>
      <c r="G156" s="31" t="n">
        <v>100.58</v>
      </c>
      <c r="H156" t="inlineStr">
        <is>
          <t>Bluestone Memorial Hospital</t>
        </is>
      </c>
      <c r="I156" t="inlineStr">
        <is>
          <t>Emergency Department</t>
        </is>
      </c>
      <c r="J156" t="n">
        <v>95</v>
      </c>
      <c r="K156" t="n">
        <v>93</v>
      </c>
      <c r="L156" t="n">
        <v>35</v>
      </c>
      <c r="M156" t="n">
        <v>58</v>
      </c>
      <c r="N156" t="n">
        <v>2</v>
      </c>
      <c r="O156" s="32" t="n">
        <v>46017</v>
      </c>
      <c r="P156" s="32" t="n">
        <v>46400</v>
      </c>
      <c r="Q156" t="inlineStr">
        <is>
          <t>L548965</t>
        </is>
      </c>
      <c r="R156" s="33" t="n"/>
      <c r="S156" s="34" t="n"/>
    </row>
    <row r="157">
      <c r="A157" t="inlineStr">
        <is>
          <t>STK4156</t>
        </is>
      </c>
      <c r="B157" t="inlineStr">
        <is>
          <t>SKU-10476</t>
        </is>
      </c>
      <c r="C157" t="inlineStr">
        <is>
          <t>Absorbable Suture 3-0</t>
        </is>
      </c>
      <c r="D157" t="inlineStr">
        <is>
          <t>Surgical</t>
        </is>
      </c>
      <c r="E157" t="inlineStr">
        <is>
          <t>CareLine Distributors</t>
        </is>
      </c>
      <c r="F157" t="inlineStr">
        <is>
          <t>Box</t>
        </is>
      </c>
      <c r="G157" s="31" t="n">
        <v>100.58</v>
      </c>
      <c r="H157" t="inlineStr">
        <is>
          <t>Ashby Falls Community Hospital</t>
        </is>
      </c>
      <c r="I157" t="inlineStr">
        <is>
          <t>Emergency Department</t>
        </is>
      </c>
      <c r="J157" t="n">
        <v>66</v>
      </c>
      <c r="K157" t="n">
        <v>73</v>
      </c>
      <c r="L157" t="n">
        <v>19</v>
      </c>
      <c r="M157" t="n">
        <v>54</v>
      </c>
      <c r="N157" t="n">
        <v>2</v>
      </c>
      <c r="O157" s="32" t="n">
        <v>46006</v>
      </c>
      <c r="P157" s="32" t="n">
        <v>46049</v>
      </c>
      <c r="Q157" t="inlineStr">
        <is>
          <t>L308334</t>
        </is>
      </c>
      <c r="R157" s="33" t="n"/>
      <c r="S157" s="34" t="n"/>
    </row>
    <row r="158">
      <c r="A158" t="inlineStr">
        <is>
          <t>STK4157</t>
        </is>
      </c>
      <c r="B158" t="inlineStr">
        <is>
          <t>SKU-10483</t>
        </is>
      </c>
      <c r="C158" t="inlineStr">
        <is>
          <t>Absorbable Suture 4-0</t>
        </is>
      </c>
      <c r="D158" t="inlineStr">
        <is>
          <t>Surgical</t>
        </is>
      </c>
      <c r="E158" t="inlineStr">
        <is>
          <t>Apex Surgical Co.</t>
        </is>
      </c>
      <c r="F158" t="inlineStr">
        <is>
          <t>Box</t>
        </is>
      </c>
      <c r="G158" s="31" t="n">
        <v>116.75</v>
      </c>
      <c r="H158" t="inlineStr">
        <is>
          <t>Ashby Falls Community Hospital</t>
        </is>
      </c>
      <c r="I158" t="inlineStr">
        <is>
          <t>Emergency Department</t>
        </is>
      </c>
      <c r="J158" t="n">
        <v>0</v>
      </c>
      <c r="K158" t="n">
        <v>89</v>
      </c>
      <c r="L158" t="n">
        <v>24</v>
      </c>
      <c r="M158" t="n">
        <v>65</v>
      </c>
      <c r="N158" t="n">
        <v>10</v>
      </c>
      <c r="O158" s="32" t="n">
        <v>45984</v>
      </c>
      <c r="P158" s="32" t="n">
        <v>46231</v>
      </c>
      <c r="Q158" t="inlineStr">
        <is>
          <t>L190346</t>
        </is>
      </c>
      <c r="R158" s="33" t="n"/>
      <c r="S158" s="34" t="n"/>
    </row>
    <row r="159">
      <c r="A159" t="inlineStr">
        <is>
          <t>STK4158</t>
        </is>
      </c>
      <c r="B159" t="inlineStr">
        <is>
          <t>SKU-10490</t>
        </is>
      </c>
      <c r="C159" t="inlineStr">
        <is>
          <t>Nylon Suture 3-0</t>
        </is>
      </c>
      <c r="D159" t="inlineStr">
        <is>
          <t>Surgical</t>
        </is>
      </c>
      <c r="E159" t="inlineStr">
        <is>
          <t>Apex Surgical Co.</t>
        </is>
      </c>
      <c r="F159" t="inlineStr">
        <is>
          <t>Box</t>
        </is>
      </c>
      <c r="G159" s="31" t="n">
        <v>62.58</v>
      </c>
      <c r="H159" t="inlineStr">
        <is>
          <t>Bluestone Memorial Hospital</t>
        </is>
      </c>
      <c r="I159" t="inlineStr">
        <is>
          <t>Perioperative Services</t>
        </is>
      </c>
      <c r="J159" t="n">
        <v>55</v>
      </c>
      <c r="K159" t="n">
        <v>55</v>
      </c>
      <c r="L159" t="n">
        <v>16</v>
      </c>
      <c r="M159" t="n">
        <v>39</v>
      </c>
      <c r="N159" t="n">
        <v>2</v>
      </c>
      <c r="O159" s="32" t="n">
        <v>46003</v>
      </c>
      <c r="P159" s="32" t="n">
        <v>46371</v>
      </c>
      <c r="Q159" t="inlineStr">
        <is>
          <t>L922768</t>
        </is>
      </c>
      <c r="R159" s="33" t="n"/>
      <c r="S159" s="34" t="n"/>
    </row>
    <row r="160">
      <c r="A160" t="inlineStr">
        <is>
          <t>STK4159</t>
        </is>
      </c>
      <c r="B160" t="inlineStr">
        <is>
          <t>SKU-10490</t>
        </is>
      </c>
      <c r="C160" t="inlineStr">
        <is>
          <t>Nylon Suture 3-0</t>
        </is>
      </c>
      <c r="D160" t="inlineStr">
        <is>
          <t>Surgical</t>
        </is>
      </c>
      <c r="E160" t="inlineStr">
        <is>
          <t>Apex Surgical Co.</t>
        </is>
      </c>
      <c r="F160" t="inlineStr">
        <is>
          <t>Box</t>
        </is>
      </c>
      <c r="G160" s="31" t="n">
        <v>62.58</v>
      </c>
      <c r="H160" t="inlineStr">
        <is>
          <t>Ashby Falls Community Hospital</t>
        </is>
      </c>
      <c r="I160" t="inlineStr">
        <is>
          <t>Emergency Department</t>
        </is>
      </c>
      <c r="J160" t="n">
        <v>24</v>
      </c>
      <c r="K160" t="n">
        <v>82</v>
      </c>
      <c r="L160" t="n">
        <v>22</v>
      </c>
      <c r="M160" t="n">
        <v>60</v>
      </c>
      <c r="N160" t="n">
        <v>3</v>
      </c>
      <c r="O160" s="32" t="n">
        <v>46012</v>
      </c>
      <c r="P160" s="32" t="n">
        <v>46121</v>
      </c>
      <c r="Q160" t="inlineStr">
        <is>
          <t>L887965</t>
        </is>
      </c>
      <c r="R160" s="33" t="n"/>
      <c r="S160" s="34" t="n"/>
    </row>
    <row r="161">
      <c r="A161" t="inlineStr">
        <is>
          <t>STK4160</t>
        </is>
      </c>
      <c r="B161" t="inlineStr">
        <is>
          <t>SKU-10497</t>
        </is>
      </c>
      <c r="C161" t="inlineStr">
        <is>
          <t>Nylon Suture 4-0</t>
        </is>
      </c>
      <c r="D161" t="inlineStr">
        <is>
          <t>Surgical</t>
        </is>
      </c>
      <c r="E161" t="inlineStr">
        <is>
          <t>Apex Surgical Co.</t>
        </is>
      </c>
      <c r="F161" t="inlineStr">
        <is>
          <t>Box</t>
        </is>
      </c>
      <c r="G161" s="31" t="n">
        <v>65.09999999999999</v>
      </c>
      <c r="H161" t="inlineStr">
        <is>
          <t>Bluestone Memorial Hospital</t>
        </is>
      </c>
      <c r="I161" t="inlineStr">
        <is>
          <t>Emergency Department</t>
        </is>
      </c>
      <c r="J161" t="n">
        <v>56</v>
      </c>
      <c r="K161" t="n">
        <v>59</v>
      </c>
      <c r="L161" t="n">
        <v>15</v>
      </c>
      <c r="M161" t="n">
        <v>44</v>
      </c>
      <c r="N161" t="n">
        <v>5</v>
      </c>
      <c r="O161" s="32" t="n">
        <v>45979</v>
      </c>
      <c r="P161" s="32" t="n">
        <v>46891</v>
      </c>
      <c r="Q161" t="inlineStr">
        <is>
          <t>L263161</t>
        </is>
      </c>
      <c r="R161" s="33" t="n"/>
      <c r="S161" s="34" t="n"/>
    </row>
    <row r="162">
      <c r="A162" t="inlineStr">
        <is>
          <t>STK4161</t>
        </is>
      </c>
      <c r="B162" t="inlineStr">
        <is>
          <t>SKU-10497</t>
        </is>
      </c>
      <c r="C162" t="inlineStr">
        <is>
          <t>Nylon Suture 4-0</t>
        </is>
      </c>
      <c r="D162" t="inlineStr">
        <is>
          <t>Surgical</t>
        </is>
      </c>
      <c r="E162" t="inlineStr">
        <is>
          <t>Apex Surgical Co.</t>
        </is>
      </c>
      <c r="F162" t="inlineStr">
        <is>
          <t>Box</t>
        </is>
      </c>
      <c r="G162" s="31" t="n">
        <v>65.09999999999999</v>
      </c>
      <c r="H162" t="inlineStr">
        <is>
          <t>Ashby Falls Community Hospital</t>
        </is>
      </c>
      <c r="I162" t="inlineStr">
        <is>
          <t>Emergency Department</t>
        </is>
      </c>
      <c r="J162" t="n">
        <v>13</v>
      </c>
      <c r="K162" t="n">
        <v>127</v>
      </c>
      <c r="L162" t="n">
        <v>44</v>
      </c>
      <c r="M162" t="n">
        <v>83</v>
      </c>
      <c r="N162" t="n">
        <v>10</v>
      </c>
      <c r="O162" s="32" t="n">
        <v>45977</v>
      </c>
      <c r="P162" s="32" t="n">
        <v>46297</v>
      </c>
      <c r="Q162" t="inlineStr">
        <is>
          <t>L405637</t>
        </is>
      </c>
      <c r="R162" s="33" t="n"/>
      <c r="S162" s="34" t="n"/>
    </row>
    <row r="163">
      <c r="A163" t="inlineStr">
        <is>
          <t>STK4162</t>
        </is>
      </c>
      <c r="B163" t="inlineStr">
        <is>
          <t>SKU-10504</t>
        </is>
      </c>
      <c r="C163" t="inlineStr">
        <is>
          <t>Nylon Suture 5-0</t>
        </is>
      </c>
      <c r="D163" t="inlineStr">
        <is>
          <t>Surgical</t>
        </is>
      </c>
      <c r="E163" t="inlineStr">
        <is>
          <t>Pinnacle Biomedical</t>
        </is>
      </c>
      <c r="F163" t="inlineStr">
        <is>
          <t>Box</t>
        </is>
      </c>
      <c r="G163" s="31" t="n">
        <v>69.55</v>
      </c>
      <c r="H163" t="inlineStr">
        <is>
          <t>Bluestone Memorial Hospital</t>
        </is>
      </c>
      <c r="I163" t="inlineStr">
        <is>
          <t>Perioperative Services</t>
        </is>
      </c>
      <c r="J163" t="n">
        <v>0</v>
      </c>
      <c r="K163" t="n">
        <v>52</v>
      </c>
      <c r="L163" t="n">
        <v>14</v>
      </c>
      <c r="M163" t="n">
        <v>38</v>
      </c>
      <c r="N163" t="n">
        <v>2</v>
      </c>
      <c r="O163" s="32" t="n">
        <v>45978</v>
      </c>
      <c r="P163" s="32" t="n">
        <v>46865</v>
      </c>
      <c r="Q163" t="inlineStr">
        <is>
          <t>L988525</t>
        </is>
      </c>
      <c r="R163" s="33" t="n"/>
      <c r="S163" s="34" t="n"/>
    </row>
    <row r="164">
      <c r="A164" t="inlineStr">
        <is>
          <t>STK4163</t>
        </is>
      </c>
      <c r="B164" t="inlineStr">
        <is>
          <t>SKU-10504</t>
        </is>
      </c>
      <c r="C164" t="inlineStr">
        <is>
          <t>Nylon Suture 5-0</t>
        </is>
      </c>
      <c r="D164" t="inlineStr">
        <is>
          <t>Surgical</t>
        </is>
      </c>
      <c r="E164" t="inlineStr">
        <is>
          <t>Pinnacle Biomedical</t>
        </is>
      </c>
      <c r="F164" t="inlineStr">
        <is>
          <t>Box</t>
        </is>
      </c>
      <c r="G164" s="31" t="n">
        <v>69.55</v>
      </c>
      <c r="H164" t="inlineStr">
        <is>
          <t>Cedar Ridge Medical Center</t>
        </is>
      </c>
      <c r="I164" t="inlineStr">
        <is>
          <t>Emergency Department</t>
        </is>
      </c>
      <c r="J164" t="n">
        <v>87</v>
      </c>
      <c r="K164" t="n">
        <v>183</v>
      </c>
      <c r="L164" t="n">
        <v>71</v>
      </c>
      <c r="M164" t="n">
        <v>112</v>
      </c>
      <c r="N164" t="n">
        <v>10</v>
      </c>
      <c r="O164" s="32" t="n">
        <v>45994</v>
      </c>
      <c r="P164" s="32" t="n">
        <v>46244</v>
      </c>
      <c r="Q164" t="inlineStr">
        <is>
          <t>L755825</t>
        </is>
      </c>
      <c r="R164" s="33" t="n"/>
      <c r="S164" s="34" t="n"/>
    </row>
    <row r="165">
      <c r="A165" t="inlineStr">
        <is>
          <t>STK4164</t>
        </is>
      </c>
      <c r="B165" t="inlineStr">
        <is>
          <t>SKU-10511</t>
        </is>
      </c>
      <c r="C165" t="inlineStr">
        <is>
          <t>Surgical Blade #10 (Box/50)</t>
        </is>
      </c>
      <c r="D165" t="inlineStr">
        <is>
          <t>Surgical</t>
        </is>
      </c>
      <c r="E165" t="inlineStr">
        <is>
          <t>Apex Surgical Co.</t>
        </is>
      </c>
      <c r="F165" t="inlineStr">
        <is>
          <t>Box</t>
        </is>
      </c>
      <c r="G165" s="31" t="n">
        <v>23.51</v>
      </c>
      <c r="H165" t="inlineStr">
        <is>
          <t>Cedar Ridge Medical Center</t>
        </is>
      </c>
      <c r="I165" t="inlineStr">
        <is>
          <t>Emergency Department</t>
        </is>
      </c>
      <c r="J165" t="n">
        <v>737</v>
      </c>
      <c r="K165" t="n">
        <v>717</v>
      </c>
      <c r="L165" t="n">
        <v>240</v>
      </c>
      <c r="M165" t="n">
        <v>477</v>
      </c>
      <c r="N165" t="n">
        <v>10</v>
      </c>
      <c r="O165" s="32" t="n">
        <v>46003</v>
      </c>
      <c r="R165" s="33" t="n"/>
      <c r="S165" s="34" t="n"/>
    </row>
    <row r="166">
      <c r="A166" t="inlineStr">
        <is>
          <t>STK4165</t>
        </is>
      </c>
      <c r="B166" t="inlineStr">
        <is>
          <t>SKU-10518</t>
        </is>
      </c>
      <c r="C166" t="inlineStr">
        <is>
          <t>Surgical Blade #11 (Box/50)</t>
        </is>
      </c>
      <c r="D166" t="inlineStr">
        <is>
          <t>Surgical</t>
        </is>
      </c>
      <c r="E166" t="inlineStr">
        <is>
          <t>Apex Surgical Co.</t>
        </is>
      </c>
      <c r="F166" t="inlineStr">
        <is>
          <t>Box</t>
        </is>
      </c>
      <c r="G166" s="31" t="n">
        <v>27.03</v>
      </c>
      <c r="H166" t="inlineStr">
        <is>
          <t>Bluestone Memorial Hospital</t>
        </is>
      </c>
      <c r="I166" t="inlineStr">
        <is>
          <t>Emergency Department</t>
        </is>
      </c>
      <c r="J166" t="n">
        <v>192</v>
      </c>
      <c r="K166" t="n">
        <v>210</v>
      </c>
      <c r="L166" t="n">
        <v>71</v>
      </c>
      <c r="M166" t="n">
        <v>139</v>
      </c>
      <c r="N166" t="n">
        <v>3</v>
      </c>
      <c r="O166" s="32" t="n">
        <v>46001</v>
      </c>
      <c r="R166" s="33" t="n"/>
      <c r="S166" s="34" t="n"/>
    </row>
    <row r="167">
      <c r="A167" t="inlineStr">
        <is>
          <t>STK4166</t>
        </is>
      </c>
      <c r="B167" t="inlineStr">
        <is>
          <t>SKU-10518</t>
        </is>
      </c>
      <c r="C167" t="inlineStr">
        <is>
          <t>Surgical Blade #11 (Box/50)</t>
        </is>
      </c>
      <c r="D167" t="inlineStr">
        <is>
          <t>Surgical</t>
        </is>
      </c>
      <c r="E167" t="inlineStr">
        <is>
          <t>Apex Surgical Co.</t>
        </is>
      </c>
      <c r="F167" t="inlineStr">
        <is>
          <t>Box</t>
        </is>
      </c>
      <c r="G167" s="31" t="n">
        <v>27.03</v>
      </c>
      <c r="H167" t="inlineStr">
        <is>
          <t>Bluestone Memorial Hospital</t>
        </is>
      </c>
      <c r="I167" t="inlineStr">
        <is>
          <t>Perioperative Services</t>
        </is>
      </c>
      <c r="J167" t="n">
        <v>66</v>
      </c>
      <c r="K167" t="n">
        <v>187</v>
      </c>
      <c r="L167" t="n">
        <v>51</v>
      </c>
      <c r="M167" t="n">
        <v>136</v>
      </c>
      <c r="N167" t="n">
        <v>3</v>
      </c>
      <c r="O167" s="32" t="n">
        <v>46014</v>
      </c>
      <c r="R167" s="33" t="n"/>
      <c r="S167" s="34" t="n"/>
    </row>
    <row r="168">
      <c r="A168" t="inlineStr">
        <is>
          <t>STK4167</t>
        </is>
      </c>
      <c r="B168" t="inlineStr">
        <is>
          <t>SKU-10518</t>
        </is>
      </c>
      <c r="C168" t="inlineStr">
        <is>
          <t>Surgical Blade #11 (Box/50)</t>
        </is>
      </c>
      <c r="D168" t="inlineStr">
        <is>
          <t>Surgical</t>
        </is>
      </c>
      <c r="E168" t="inlineStr">
        <is>
          <t>Apex Surgical Co.</t>
        </is>
      </c>
      <c r="F168" t="inlineStr">
        <is>
          <t>Box</t>
        </is>
      </c>
      <c r="G168" s="31" t="n">
        <v>27.03</v>
      </c>
      <c r="H168" t="inlineStr">
        <is>
          <t>Cedar Ridge Medical Center</t>
        </is>
      </c>
      <c r="I168" t="inlineStr">
        <is>
          <t>Emergency Department</t>
        </is>
      </c>
      <c r="J168" t="n">
        <v>120</v>
      </c>
      <c r="K168" t="n">
        <v>197</v>
      </c>
      <c r="L168" t="n">
        <v>67</v>
      </c>
      <c r="M168" t="n">
        <v>130</v>
      </c>
      <c r="N168" t="n">
        <v>2</v>
      </c>
      <c r="O168" s="32" t="n">
        <v>46008</v>
      </c>
      <c r="R168" s="33" t="n"/>
      <c r="S168" s="34" t="n"/>
    </row>
    <row r="169">
      <c r="A169" t="inlineStr">
        <is>
          <t>STK4168</t>
        </is>
      </c>
      <c r="B169" t="inlineStr">
        <is>
          <t>SKU-10525</t>
        </is>
      </c>
      <c r="C169" t="inlineStr">
        <is>
          <t>Surgical Blade #15 (Box/50)</t>
        </is>
      </c>
      <c r="D169" t="inlineStr">
        <is>
          <t>Surgical</t>
        </is>
      </c>
      <c r="E169" t="inlineStr">
        <is>
          <t>Apex Surgical Co.</t>
        </is>
      </c>
      <c r="F169" t="inlineStr">
        <is>
          <t>Box</t>
        </is>
      </c>
      <c r="G169" s="31" t="n">
        <v>24.77</v>
      </c>
      <c r="H169" t="inlineStr">
        <is>
          <t>Bluestone Memorial Hospital</t>
        </is>
      </c>
      <c r="I169" t="inlineStr">
        <is>
          <t>Emergency Department</t>
        </is>
      </c>
      <c r="J169" t="n">
        <v>35</v>
      </c>
      <c r="K169" t="n">
        <v>143</v>
      </c>
      <c r="L169" t="n">
        <v>53</v>
      </c>
      <c r="M169" t="n">
        <v>90</v>
      </c>
      <c r="N169" t="n">
        <v>2</v>
      </c>
      <c r="O169" s="32" t="n">
        <v>45984</v>
      </c>
      <c r="R169" s="33" t="n"/>
      <c r="S169" s="34" t="n"/>
    </row>
    <row r="170">
      <c r="A170" t="inlineStr">
        <is>
          <t>STK4169</t>
        </is>
      </c>
      <c r="B170" t="inlineStr">
        <is>
          <t>SKU-10525</t>
        </is>
      </c>
      <c r="C170" t="inlineStr">
        <is>
          <t>Surgical Blade #15 (Box/50)</t>
        </is>
      </c>
      <c r="D170" t="inlineStr">
        <is>
          <t>Surgical</t>
        </is>
      </c>
      <c r="E170" t="inlineStr">
        <is>
          <t>Apex Surgical Co.</t>
        </is>
      </c>
      <c r="F170" t="inlineStr">
        <is>
          <t>Box</t>
        </is>
      </c>
      <c r="G170" s="31" t="n">
        <v>24.77</v>
      </c>
      <c r="H170" t="inlineStr">
        <is>
          <t>Ashby Falls Community Hospital</t>
        </is>
      </c>
      <c r="I170" t="inlineStr">
        <is>
          <t>Emergency Department</t>
        </is>
      </c>
      <c r="J170" t="n">
        <v>345</v>
      </c>
      <c r="K170" t="n">
        <v>307</v>
      </c>
      <c r="L170" t="n">
        <v>102</v>
      </c>
      <c r="M170" t="n">
        <v>205</v>
      </c>
      <c r="N170" t="n">
        <v>10</v>
      </c>
      <c r="O170" s="32" t="n">
        <v>45980</v>
      </c>
      <c r="R170" s="33" t="n"/>
      <c r="S170" s="34" t="n"/>
    </row>
    <row r="171">
      <c r="A171" t="inlineStr">
        <is>
          <t>STK4170</t>
        </is>
      </c>
      <c r="B171" t="inlineStr">
        <is>
          <t>SKU-10532</t>
        </is>
      </c>
      <c r="C171" t="inlineStr">
        <is>
          <t>Skin Stapler 35W</t>
        </is>
      </c>
      <c r="D171" t="inlineStr">
        <is>
          <t>Surgical</t>
        </is>
      </c>
      <c r="E171" t="inlineStr">
        <is>
          <t>Apex Surgical Co.</t>
        </is>
      </c>
      <c r="F171" t="inlineStr">
        <is>
          <t>Each</t>
        </is>
      </c>
      <c r="G171" s="31" t="n">
        <v>14.27</v>
      </c>
      <c r="H171" t="inlineStr">
        <is>
          <t>Bluestone Memorial Hospital</t>
        </is>
      </c>
      <c r="I171" t="inlineStr">
        <is>
          <t>Perioperative Services</t>
        </is>
      </c>
      <c r="J171" t="n">
        <v>129</v>
      </c>
      <c r="K171" t="n">
        <v>111</v>
      </c>
      <c r="L171" t="n">
        <v>43</v>
      </c>
      <c r="M171" t="n">
        <v>68</v>
      </c>
      <c r="N171" t="n">
        <v>3</v>
      </c>
      <c r="O171" s="32" t="n">
        <v>46020</v>
      </c>
      <c r="R171" s="33" t="n"/>
      <c r="S171" s="34" t="n"/>
    </row>
    <row r="172">
      <c r="A172" t="inlineStr">
        <is>
          <t>STK4171</t>
        </is>
      </c>
      <c r="B172" t="inlineStr">
        <is>
          <t>SKU-10532</t>
        </is>
      </c>
      <c r="C172" t="inlineStr">
        <is>
          <t>Skin Stapler 35W</t>
        </is>
      </c>
      <c r="D172" t="inlineStr">
        <is>
          <t>Surgical</t>
        </is>
      </c>
      <c r="E172" t="inlineStr">
        <is>
          <t>Apex Surgical Co.</t>
        </is>
      </c>
      <c r="F172" t="inlineStr">
        <is>
          <t>Each</t>
        </is>
      </c>
      <c r="G172" s="31" t="n">
        <v>14.27</v>
      </c>
      <c r="H172" t="inlineStr">
        <is>
          <t>Ashby Falls Community Hospital</t>
        </is>
      </c>
      <c r="I172" t="inlineStr">
        <is>
          <t>Emergency Department</t>
        </is>
      </c>
      <c r="J172" t="n">
        <v>355</v>
      </c>
      <c r="K172" t="n">
        <v>335</v>
      </c>
      <c r="L172" t="n">
        <v>93</v>
      </c>
      <c r="M172" t="n">
        <v>242</v>
      </c>
      <c r="N172" t="n">
        <v>5</v>
      </c>
      <c r="O172" s="32" t="n">
        <v>46005</v>
      </c>
      <c r="R172" s="33" t="n"/>
      <c r="S172" s="34" t="n"/>
    </row>
    <row r="173">
      <c r="A173" t="inlineStr">
        <is>
          <t>STK4172</t>
        </is>
      </c>
      <c r="B173" t="inlineStr">
        <is>
          <t>SKU-10539</t>
        </is>
      </c>
      <c r="C173" t="inlineStr">
        <is>
          <t>Laparoscopic Trocar 5 mm</t>
        </is>
      </c>
      <c r="D173" t="inlineStr">
        <is>
          <t>Surgical</t>
        </is>
      </c>
      <c r="E173" t="inlineStr">
        <is>
          <t>Apex Surgical Co.</t>
        </is>
      </c>
      <c r="F173" t="inlineStr">
        <is>
          <t>Each</t>
        </is>
      </c>
      <c r="G173" s="31" t="n">
        <v>91.65000000000001</v>
      </c>
      <c r="H173" t="inlineStr">
        <is>
          <t>Bluestone Memorial Hospital</t>
        </is>
      </c>
      <c r="I173" t="inlineStr">
        <is>
          <t>Emergency Department</t>
        </is>
      </c>
      <c r="J173" t="n">
        <v>80</v>
      </c>
      <c r="K173" t="n">
        <v>128</v>
      </c>
      <c r="L173" t="n">
        <v>40</v>
      </c>
      <c r="M173" t="n">
        <v>88</v>
      </c>
      <c r="N173" t="n">
        <v>3</v>
      </c>
      <c r="O173" s="32" t="n">
        <v>45977</v>
      </c>
      <c r="R173" s="33" t="n"/>
      <c r="S173" s="34" t="n"/>
    </row>
    <row r="174">
      <c r="A174" t="inlineStr">
        <is>
          <t>STK4173</t>
        </is>
      </c>
      <c r="B174" t="inlineStr">
        <is>
          <t>SKU-10539</t>
        </is>
      </c>
      <c r="C174" t="inlineStr">
        <is>
          <t>Laparoscopic Trocar 5 mm</t>
        </is>
      </c>
      <c r="D174" t="inlineStr">
        <is>
          <t>Surgical</t>
        </is>
      </c>
      <c r="E174" t="inlineStr">
        <is>
          <t>Apex Surgical Co.</t>
        </is>
      </c>
      <c r="F174" t="inlineStr">
        <is>
          <t>Each</t>
        </is>
      </c>
      <c r="G174" s="31" t="n">
        <v>91.65000000000001</v>
      </c>
      <c r="H174" t="inlineStr">
        <is>
          <t>Ashby Falls Community Hospital</t>
        </is>
      </c>
      <c r="I174" t="inlineStr">
        <is>
          <t>Emergency Department</t>
        </is>
      </c>
      <c r="J174" t="n">
        <v>129</v>
      </c>
      <c r="K174" t="n">
        <v>120</v>
      </c>
      <c r="L174" t="n">
        <v>47</v>
      </c>
      <c r="M174" t="n">
        <v>73</v>
      </c>
      <c r="N174" t="n">
        <v>10</v>
      </c>
      <c r="O174" s="32" t="n">
        <v>45996</v>
      </c>
      <c r="R174" s="33" t="n"/>
      <c r="S174" s="34" t="n"/>
    </row>
    <row r="175">
      <c r="A175" t="inlineStr">
        <is>
          <t>STK4174</t>
        </is>
      </c>
      <c r="B175" t="inlineStr">
        <is>
          <t>SKU-10539</t>
        </is>
      </c>
      <c r="C175" t="inlineStr">
        <is>
          <t>Laparoscopic Trocar 5 mm</t>
        </is>
      </c>
      <c r="D175" t="inlineStr">
        <is>
          <t>Surgical</t>
        </is>
      </c>
      <c r="E175" t="inlineStr">
        <is>
          <t>Apex Surgical Co.</t>
        </is>
      </c>
      <c r="F175" t="inlineStr">
        <is>
          <t>Each</t>
        </is>
      </c>
      <c r="G175" s="31" t="n">
        <v>91.65000000000001</v>
      </c>
      <c r="H175" t="inlineStr">
        <is>
          <t>Cedar Ridge Medical Center</t>
        </is>
      </c>
      <c r="I175" t="inlineStr">
        <is>
          <t>Emergency Department</t>
        </is>
      </c>
      <c r="J175" t="n">
        <v>79</v>
      </c>
      <c r="K175" t="n">
        <v>81</v>
      </c>
      <c r="L175" t="n">
        <v>24</v>
      </c>
      <c r="M175" t="n">
        <v>57</v>
      </c>
      <c r="N175" t="n">
        <v>7</v>
      </c>
      <c r="O175" s="32" t="n">
        <v>45983</v>
      </c>
      <c r="R175" s="33" t="n"/>
      <c r="S175" s="34" t="n"/>
    </row>
    <row r="176">
      <c r="A176" t="inlineStr">
        <is>
          <t>STK4175</t>
        </is>
      </c>
      <c r="B176" t="inlineStr">
        <is>
          <t>SKU-10546</t>
        </is>
      </c>
      <c r="C176" t="inlineStr">
        <is>
          <t>Laparoscopic Trocar 12 mm</t>
        </is>
      </c>
      <c r="D176" t="inlineStr">
        <is>
          <t>Surgical</t>
        </is>
      </c>
      <c r="E176" t="inlineStr">
        <is>
          <t>Apex Surgical Co.</t>
        </is>
      </c>
      <c r="F176" t="inlineStr">
        <is>
          <t>Each</t>
        </is>
      </c>
      <c r="G176" s="31" t="n">
        <v>96.70999999999999</v>
      </c>
      <c r="H176" t="inlineStr">
        <is>
          <t>Ashby Falls Community Hospital</t>
        </is>
      </c>
      <c r="I176" t="inlineStr">
        <is>
          <t>Emergency Department</t>
        </is>
      </c>
      <c r="J176" t="n">
        <v>45</v>
      </c>
      <c r="K176" t="n">
        <v>81</v>
      </c>
      <c r="L176" t="n">
        <v>26</v>
      </c>
      <c r="M176" t="n">
        <v>55</v>
      </c>
      <c r="N176" t="n">
        <v>14</v>
      </c>
      <c r="O176" s="32" t="n">
        <v>46011</v>
      </c>
      <c r="R176" s="33" t="n"/>
      <c r="S176" s="34" t="n"/>
    </row>
    <row r="177">
      <c r="A177" t="inlineStr">
        <is>
          <t>STK4176</t>
        </is>
      </c>
      <c r="B177" t="inlineStr">
        <is>
          <t>SKU-10546</t>
        </is>
      </c>
      <c r="C177" t="inlineStr">
        <is>
          <t>Laparoscopic Trocar 12 mm</t>
        </is>
      </c>
      <c r="D177" t="inlineStr">
        <is>
          <t>Surgical</t>
        </is>
      </c>
      <c r="E177" t="inlineStr">
        <is>
          <t>Apex Surgical Co.</t>
        </is>
      </c>
      <c r="F177" t="inlineStr">
        <is>
          <t>Each</t>
        </is>
      </c>
      <c r="G177" s="31" t="n">
        <v>96.70999999999999</v>
      </c>
      <c r="H177" t="inlineStr">
        <is>
          <t>Cedar Ridge Medical Center</t>
        </is>
      </c>
      <c r="I177" t="inlineStr">
        <is>
          <t>Emergency Department</t>
        </is>
      </c>
      <c r="J177" t="n">
        <v>118</v>
      </c>
      <c r="K177" t="n">
        <v>107</v>
      </c>
      <c r="L177" t="n">
        <v>32</v>
      </c>
      <c r="M177" t="n">
        <v>75</v>
      </c>
      <c r="N177" t="n">
        <v>10</v>
      </c>
      <c r="O177" s="32" t="n">
        <v>46013</v>
      </c>
      <c r="R177" s="33" t="n"/>
      <c r="S177" s="34" t="n"/>
    </row>
    <row r="178">
      <c r="A178" t="inlineStr">
        <is>
          <t>STK4177</t>
        </is>
      </c>
      <c r="B178" t="inlineStr">
        <is>
          <t>SKU-10553</t>
        </is>
      </c>
      <c r="C178" t="inlineStr">
        <is>
          <t>Universal Surgical Drape Pack</t>
        </is>
      </c>
      <c r="D178" t="inlineStr">
        <is>
          <t>Surgical</t>
        </is>
      </c>
      <c r="E178" t="inlineStr">
        <is>
          <t>Apex Surgical Co.</t>
        </is>
      </c>
      <c r="F178" t="inlineStr">
        <is>
          <t>Each</t>
        </is>
      </c>
      <c r="G178" s="31" t="n">
        <v>34.22</v>
      </c>
      <c r="H178" t="inlineStr">
        <is>
          <t>Bluestone Memorial Hospital</t>
        </is>
      </c>
      <c r="I178" t="inlineStr">
        <is>
          <t>Emergency Department</t>
        </is>
      </c>
      <c r="J178" t="n">
        <v>358</v>
      </c>
      <c r="K178" t="n">
        <v>511</v>
      </c>
      <c r="L178" t="n">
        <v>142</v>
      </c>
      <c r="M178" t="n">
        <v>369</v>
      </c>
      <c r="N178" t="n">
        <v>7</v>
      </c>
      <c r="O178" s="32" t="n">
        <v>46016</v>
      </c>
      <c r="R178" s="33" t="n"/>
      <c r="S178" s="34" t="n"/>
    </row>
    <row r="179">
      <c r="A179" t="inlineStr">
        <is>
          <t>STK4178</t>
        </is>
      </c>
      <c r="B179" t="inlineStr">
        <is>
          <t>SKU-10553</t>
        </is>
      </c>
      <c r="C179" t="inlineStr">
        <is>
          <t>Universal Surgical Drape Pack</t>
        </is>
      </c>
      <c r="D179" t="inlineStr">
        <is>
          <t>Surgical</t>
        </is>
      </c>
      <c r="E179" t="inlineStr">
        <is>
          <t>Apex Surgical Co.</t>
        </is>
      </c>
      <c r="F179" t="inlineStr">
        <is>
          <t>Each</t>
        </is>
      </c>
      <c r="G179" s="31" t="n">
        <v>34.22</v>
      </c>
      <c r="H179" t="inlineStr">
        <is>
          <t>Bluestone Memorial Hospital</t>
        </is>
      </c>
      <c r="I179" t="inlineStr">
        <is>
          <t>Perioperative Services</t>
        </is>
      </c>
      <c r="J179" t="n">
        <v>221</v>
      </c>
      <c r="K179" t="n">
        <v>194</v>
      </c>
      <c r="L179" t="n">
        <v>57</v>
      </c>
      <c r="M179" t="n">
        <v>137</v>
      </c>
      <c r="N179" t="n">
        <v>5</v>
      </c>
      <c r="O179" s="32" t="n">
        <v>46005</v>
      </c>
      <c r="R179" s="33" t="n"/>
      <c r="S179" s="34" t="n"/>
    </row>
    <row r="180">
      <c r="A180" t="inlineStr">
        <is>
          <t>STK4179</t>
        </is>
      </c>
      <c r="B180" t="inlineStr">
        <is>
          <t>SKU-10560</t>
        </is>
      </c>
      <c r="C180" t="inlineStr">
        <is>
          <t>Surgical Gown, Sterile Large</t>
        </is>
      </c>
      <c r="D180" t="inlineStr">
        <is>
          <t>Surgical</t>
        </is>
      </c>
      <c r="E180" t="inlineStr">
        <is>
          <t>Apex Surgical Co.</t>
        </is>
      </c>
      <c r="F180" t="inlineStr">
        <is>
          <t>Each</t>
        </is>
      </c>
      <c r="G180" s="31" t="n">
        <v>4.46</v>
      </c>
      <c r="H180" t="inlineStr">
        <is>
          <t>Bluestone Memorial Hospital</t>
        </is>
      </c>
      <c r="I180" t="inlineStr">
        <is>
          <t>Emergency Department</t>
        </is>
      </c>
      <c r="J180" t="n">
        <v>182</v>
      </c>
      <c r="K180" t="n">
        <v>787</v>
      </c>
      <c r="L180" t="n">
        <v>302</v>
      </c>
      <c r="M180" t="n">
        <v>485</v>
      </c>
      <c r="N180" t="n">
        <v>5</v>
      </c>
      <c r="O180" s="32" t="n">
        <v>45989</v>
      </c>
      <c r="R180" s="33" t="n"/>
      <c r="S180" s="34" t="n"/>
    </row>
    <row r="181">
      <c r="A181" t="inlineStr">
        <is>
          <t>STK4180</t>
        </is>
      </c>
      <c r="B181" t="inlineStr">
        <is>
          <t>SKU-10560</t>
        </is>
      </c>
      <c r="C181" t="inlineStr">
        <is>
          <t>Surgical Gown, Sterile Large</t>
        </is>
      </c>
      <c r="D181" t="inlineStr">
        <is>
          <t>Surgical</t>
        </is>
      </c>
      <c r="E181" t="inlineStr">
        <is>
          <t>Apex Surgical Co.</t>
        </is>
      </c>
      <c r="F181" t="inlineStr">
        <is>
          <t>Each</t>
        </is>
      </c>
      <c r="G181" s="31" t="n">
        <v>4.46</v>
      </c>
      <c r="H181" t="inlineStr">
        <is>
          <t>Bluestone Memorial Hospital</t>
        </is>
      </c>
      <c r="I181" t="inlineStr">
        <is>
          <t>Perioperative Services</t>
        </is>
      </c>
      <c r="J181" t="n">
        <v>299</v>
      </c>
      <c r="K181" t="n">
        <v>313</v>
      </c>
      <c r="L181" t="n">
        <v>120</v>
      </c>
      <c r="M181" t="n">
        <v>193</v>
      </c>
      <c r="N181" t="n">
        <v>2</v>
      </c>
      <c r="O181" s="32" t="n">
        <v>46004</v>
      </c>
      <c r="R181" s="33" t="n"/>
      <c r="S181" s="34" t="n"/>
    </row>
    <row r="182">
      <c r="A182" t="inlineStr">
        <is>
          <t>STK4181</t>
        </is>
      </c>
      <c r="B182" t="inlineStr">
        <is>
          <t>SKU-10560</t>
        </is>
      </c>
      <c r="C182" t="inlineStr">
        <is>
          <t>Surgical Gown, Sterile Large</t>
        </is>
      </c>
      <c r="D182" t="inlineStr">
        <is>
          <t>Surgical</t>
        </is>
      </c>
      <c r="E182" t="inlineStr">
        <is>
          <t>Apex Surgical Co.</t>
        </is>
      </c>
      <c r="F182" t="inlineStr">
        <is>
          <t>Each</t>
        </is>
      </c>
      <c r="G182" s="31" t="n">
        <v>4.46</v>
      </c>
      <c r="H182" t="inlineStr">
        <is>
          <t>Ashby Falls Community Hospital</t>
        </is>
      </c>
      <c r="I182" t="inlineStr">
        <is>
          <t>Emergency Department</t>
        </is>
      </c>
      <c r="J182" t="n">
        <v>734</v>
      </c>
      <c r="K182" t="n">
        <v>800</v>
      </c>
      <c r="L182" t="n">
        <v>213</v>
      </c>
      <c r="M182" t="n">
        <v>587</v>
      </c>
      <c r="N182" t="n">
        <v>3</v>
      </c>
      <c r="O182" s="32" t="n">
        <v>46008</v>
      </c>
      <c r="R182" s="33" t="n"/>
      <c r="S182" s="34" t="n"/>
    </row>
    <row r="183">
      <c r="A183" t="inlineStr">
        <is>
          <t>STK4182</t>
        </is>
      </c>
      <c r="B183" t="inlineStr">
        <is>
          <t>SKU-10560</t>
        </is>
      </c>
      <c r="C183" t="inlineStr">
        <is>
          <t>Surgical Gown, Sterile Large</t>
        </is>
      </c>
      <c r="D183" t="inlineStr">
        <is>
          <t>Surgical</t>
        </is>
      </c>
      <c r="E183" t="inlineStr">
        <is>
          <t>Apex Surgical Co.</t>
        </is>
      </c>
      <c r="F183" t="inlineStr">
        <is>
          <t>Each</t>
        </is>
      </c>
      <c r="G183" s="31" t="n">
        <v>4.46</v>
      </c>
      <c r="H183" t="inlineStr">
        <is>
          <t>Cedar Ridge Medical Center</t>
        </is>
      </c>
      <c r="I183" t="inlineStr">
        <is>
          <t>Emergency Department</t>
        </is>
      </c>
      <c r="J183" t="n">
        <v>561</v>
      </c>
      <c r="K183" t="n">
        <v>682</v>
      </c>
      <c r="L183" t="n">
        <v>205</v>
      </c>
      <c r="M183" t="n">
        <v>477</v>
      </c>
      <c r="N183" t="n">
        <v>5</v>
      </c>
      <c r="O183" s="32" t="n">
        <v>46017</v>
      </c>
      <c r="R183" s="33" t="n"/>
      <c r="S183" s="34" t="n"/>
    </row>
    <row r="184">
      <c r="A184" t="inlineStr">
        <is>
          <t>STK4183</t>
        </is>
      </c>
      <c r="B184" t="inlineStr">
        <is>
          <t>SKU-10567</t>
        </is>
      </c>
      <c r="C184" t="inlineStr">
        <is>
          <t>Surgical Gown, Sterile X-Large</t>
        </is>
      </c>
      <c r="D184" t="inlineStr">
        <is>
          <t>Surgical</t>
        </is>
      </c>
      <c r="E184" t="inlineStr">
        <is>
          <t>Northstar Medical Supply</t>
        </is>
      </c>
      <c r="F184" t="inlineStr">
        <is>
          <t>Each</t>
        </is>
      </c>
      <c r="G184" s="31" t="n">
        <v>5.35</v>
      </c>
      <c r="H184" t="inlineStr">
        <is>
          <t>Bluestone Memorial Hospital</t>
        </is>
      </c>
      <c r="I184" t="inlineStr">
        <is>
          <t>Perioperative Services</t>
        </is>
      </c>
      <c r="J184" t="n">
        <v>258</v>
      </c>
      <c r="K184" t="n">
        <v>404</v>
      </c>
      <c r="L184" t="n">
        <v>150</v>
      </c>
      <c r="M184" t="n">
        <v>254</v>
      </c>
      <c r="N184" t="n">
        <v>3</v>
      </c>
      <c r="O184" s="32" t="n">
        <v>46014</v>
      </c>
      <c r="R184" s="33" t="n"/>
      <c r="S184" s="34" t="n"/>
    </row>
    <row r="185">
      <c r="A185" t="inlineStr">
        <is>
          <t>STK4184</t>
        </is>
      </c>
      <c r="B185" t="inlineStr">
        <is>
          <t>SKU-10574</t>
        </is>
      </c>
      <c r="C185" t="inlineStr">
        <is>
          <t>Hip Femoral Stem, Size 10</t>
        </is>
      </c>
      <c r="D185" t="inlineStr">
        <is>
          <t>Orthopedic Implants</t>
        </is>
      </c>
      <c r="E185" t="inlineStr">
        <is>
          <t>Summit Orthopedic Systems</t>
        </is>
      </c>
      <c r="F185" t="inlineStr">
        <is>
          <t>Each</t>
        </is>
      </c>
      <c r="G185" s="31" t="n">
        <v>2621.52</v>
      </c>
      <c r="H185" t="inlineStr">
        <is>
          <t>Bluestone Memorial Hospital</t>
        </is>
      </c>
      <c r="I185" t="inlineStr">
        <is>
          <t>Perioperative Services</t>
        </is>
      </c>
      <c r="J185" t="n">
        <v>12</v>
      </c>
      <c r="K185" t="n">
        <v>9</v>
      </c>
      <c r="L185" t="n">
        <v>3</v>
      </c>
      <c r="M185" t="n">
        <v>6</v>
      </c>
      <c r="N185" t="n">
        <v>2</v>
      </c>
      <c r="O185" s="32" t="n">
        <v>45980</v>
      </c>
      <c r="R185" s="33" t="n"/>
      <c r="S185" s="34" t="n"/>
    </row>
    <row r="186">
      <c r="A186" t="inlineStr">
        <is>
          <t>STK4185</t>
        </is>
      </c>
      <c r="B186" t="inlineStr">
        <is>
          <t>SKU-10581</t>
        </is>
      </c>
      <c r="C186" t="inlineStr">
        <is>
          <t>Hip Femoral Stem, Size 11</t>
        </is>
      </c>
      <c r="D186" t="inlineStr">
        <is>
          <t>Orthopedic Implants</t>
        </is>
      </c>
      <c r="E186" t="inlineStr">
        <is>
          <t>Summit Orthopedic Systems</t>
        </is>
      </c>
      <c r="F186" t="inlineStr">
        <is>
          <t>Each</t>
        </is>
      </c>
      <c r="G186" s="31" t="n">
        <v>2868.04</v>
      </c>
      <c r="H186" t="inlineStr">
        <is>
          <t>Bluestone Memorial Hospital</t>
        </is>
      </c>
      <c r="I186" t="inlineStr">
        <is>
          <t>Perioperative Services</t>
        </is>
      </c>
      <c r="J186" t="n">
        <v>5</v>
      </c>
      <c r="K186" t="n">
        <v>4</v>
      </c>
      <c r="L186" t="n">
        <v>1</v>
      </c>
      <c r="M186" t="n">
        <v>3</v>
      </c>
      <c r="N186" t="n">
        <v>7</v>
      </c>
      <c r="O186" s="32" t="n">
        <v>46015</v>
      </c>
      <c r="R186" s="33" t="n"/>
      <c r="S186" s="34" t="n"/>
    </row>
    <row r="187">
      <c r="A187" t="inlineStr">
        <is>
          <t>STK4186</t>
        </is>
      </c>
      <c r="B187" t="inlineStr">
        <is>
          <t>SKU-10588</t>
        </is>
      </c>
      <c r="C187" t="inlineStr">
        <is>
          <t>Hip Femoral Stem, Size 12</t>
        </is>
      </c>
      <c r="D187" t="inlineStr">
        <is>
          <t>Orthopedic Implants</t>
        </is>
      </c>
      <c r="E187" t="inlineStr">
        <is>
          <t>Summit Orthopedic Systems</t>
        </is>
      </c>
      <c r="F187" t="inlineStr">
        <is>
          <t>Each</t>
        </is>
      </c>
      <c r="G187" s="31" t="n">
        <v>2674.84</v>
      </c>
      <c r="H187" t="inlineStr">
        <is>
          <t>Bluestone Memorial Hospital</t>
        </is>
      </c>
      <c r="I187" t="inlineStr">
        <is>
          <t>Perioperative Services</t>
        </is>
      </c>
      <c r="J187" t="n">
        <v>1</v>
      </c>
      <c r="K187" t="n">
        <v>3</v>
      </c>
      <c r="L187" t="n">
        <v>1</v>
      </c>
      <c r="M187" t="n">
        <v>2</v>
      </c>
      <c r="N187" t="n">
        <v>5</v>
      </c>
      <c r="O187" s="32" t="n">
        <v>45979</v>
      </c>
      <c r="R187" s="33" t="n"/>
      <c r="S187" s="34" t="n"/>
    </row>
    <row r="188">
      <c r="A188" t="inlineStr">
        <is>
          <t>STK4187</t>
        </is>
      </c>
      <c r="B188" t="inlineStr">
        <is>
          <t>SKU-10595</t>
        </is>
      </c>
      <c r="C188" t="inlineStr">
        <is>
          <t>Hip Femoral Stem, Size 13</t>
        </is>
      </c>
      <c r="D188" t="inlineStr">
        <is>
          <t>Orthopedic Implants</t>
        </is>
      </c>
      <c r="E188" t="inlineStr">
        <is>
          <t>Summit Orthopedic Systems</t>
        </is>
      </c>
      <c r="F188" t="inlineStr">
        <is>
          <t>Each</t>
        </is>
      </c>
      <c r="G188" s="31" t="n">
        <v>2533.67</v>
      </c>
      <c r="H188" t="inlineStr">
        <is>
          <t>Bluestone Memorial Hospital</t>
        </is>
      </c>
      <c r="I188" t="inlineStr">
        <is>
          <t>Perioperative Services</t>
        </is>
      </c>
      <c r="J188" t="n">
        <v>5</v>
      </c>
      <c r="K188" t="n">
        <v>17</v>
      </c>
      <c r="L188" t="n">
        <v>5</v>
      </c>
      <c r="M188" t="n">
        <v>12</v>
      </c>
      <c r="N188" t="n">
        <v>14</v>
      </c>
      <c r="O188" s="32" t="n">
        <v>45982</v>
      </c>
      <c r="R188" s="33" t="n"/>
      <c r="S188" s="34" t="n"/>
    </row>
    <row r="189">
      <c r="A189" t="inlineStr">
        <is>
          <t>STK4188</t>
        </is>
      </c>
      <c r="B189" t="inlineStr">
        <is>
          <t>SKU-10602</t>
        </is>
      </c>
      <c r="C189" t="inlineStr">
        <is>
          <t>Hip Femoral Stem, Size 14</t>
        </is>
      </c>
      <c r="D189" t="inlineStr">
        <is>
          <t>Orthopedic Implants</t>
        </is>
      </c>
      <c r="E189" t="inlineStr">
        <is>
          <t>Summit Orthopedic Systems</t>
        </is>
      </c>
      <c r="F189" t="inlineStr">
        <is>
          <t>Each</t>
        </is>
      </c>
      <c r="G189" s="31" t="n">
        <v>2792.4</v>
      </c>
      <c r="H189" t="inlineStr">
        <is>
          <t>Bluestone Memorial Hospital</t>
        </is>
      </c>
      <c r="I189" t="inlineStr">
        <is>
          <t>Perioperative Services</t>
        </is>
      </c>
      <c r="J189" t="n">
        <v>3</v>
      </c>
      <c r="K189" t="n">
        <v>5</v>
      </c>
      <c r="L189" t="n">
        <v>2</v>
      </c>
      <c r="M189" t="n">
        <v>3</v>
      </c>
      <c r="N189" t="n">
        <v>10</v>
      </c>
      <c r="O189" s="32" t="n">
        <v>46020</v>
      </c>
      <c r="R189" s="33" t="n"/>
      <c r="S189" s="34" t="n"/>
    </row>
    <row r="190">
      <c r="A190" t="inlineStr">
        <is>
          <t>STK4189</t>
        </is>
      </c>
      <c r="B190" t="inlineStr">
        <is>
          <t>SKU-10609</t>
        </is>
      </c>
      <c r="C190" t="inlineStr">
        <is>
          <t>Knee Tibial Tray, Size 3</t>
        </is>
      </c>
      <c r="D190" t="inlineStr">
        <is>
          <t>Orthopedic Implants</t>
        </is>
      </c>
      <c r="E190" t="inlineStr">
        <is>
          <t>Summit Orthopedic Systems</t>
        </is>
      </c>
      <c r="F190" t="inlineStr">
        <is>
          <t>Each</t>
        </is>
      </c>
      <c r="G190" s="31" t="n">
        <v>1814.37</v>
      </c>
      <c r="H190" t="inlineStr">
        <is>
          <t>Bluestone Memorial Hospital</t>
        </is>
      </c>
      <c r="I190" t="inlineStr">
        <is>
          <t>Perioperative Services</t>
        </is>
      </c>
      <c r="J190" t="n">
        <v>6</v>
      </c>
      <c r="K190" t="n">
        <v>6</v>
      </c>
      <c r="L190" t="n">
        <v>2</v>
      </c>
      <c r="M190" t="n">
        <v>4</v>
      </c>
      <c r="N190" t="n">
        <v>3</v>
      </c>
      <c r="O190" s="32" t="n">
        <v>46006</v>
      </c>
      <c r="R190" s="33" t="n"/>
      <c r="S190" s="34" t="n"/>
    </row>
    <row r="191">
      <c r="A191" t="inlineStr">
        <is>
          <t>STK4190</t>
        </is>
      </c>
      <c r="B191" t="inlineStr">
        <is>
          <t>SKU-10616</t>
        </is>
      </c>
      <c r="C191" t="inlineStr">
        <is>
          <t>Knee Tibial Tray, Size 4</t>
        </is>
      </c>
      <c r="D191" t="inlineStr">
        <is>
          <t>Orthopedic Implants</t>
        </is>
      </c>
      <c r="E191" t="inlineStr">
        <is>
          <t>Summit Orthopedic Systems</t>
        </is>
      </c>
      <c r="F191" t="inlineStr">
        <is>
          <t>Each</t>
        </is>
      </c>
      <c r="G191" s="31" t="n">
        <v>2087.13</v>
      </c>
      <c r="H191" t="inlineStr">
        <is>
          <t>Bluestone Memorial Hospital</t>
        </is>
      </c>
      <c r="I191" t="inlineStr">
        <is>
          <t>Perioperative Services</t>
        </is>
      </c>
      <c r="J191" t="n">
        <v>4</v>
      </c>
      <c r="K191" t="n">
        <v>4</v>
      </c>
      <c r="L191" t="n">
        <v>1</v>
      </c>
      <c r="M191" t="n">
        <v>3</v>
      </c>
      <c r="N191" t="n">
        <v>3</v>
      </c>
      <c r="O191" s="32" t="n">
        <v>46003</v>
      </c>
      <c r="R191" s="33" t="n"/>
      <c r="S191" s="34" t="n"/>
    </row>
    <row r="192">
      <c r="A192" t="inlineStr">
        <is>
          <t>STK4191</t>
        </is>
      </c>
      <c r="B192" t="inlineStr">
        <is>
          <t>SKU-10623</t>
        </is>
      </c>
      <c r="C192" t="inlineStr">
        <is>
          <t>Knee Tibial Tray, Size 5</t>
        </is>
      </c>
      <c r="D192" t="inlineStr">
        <is>
          <t>Orthopedic Implants</t>
        </is>
      </c>
      <c r="E192" t="inlineStr">
        <is>
          <t>Summit Orthopedic Systems</t>
        </is>
      </c>
      <c r="F192" t="inlineStr">
        <is>
          <t>Each</t>
        </is>
      </c>
      <c r="G192" s="31" t="n">
        <v>2024.44</v>
      </c>
      <c r="H192" t="inlineStr">
        <is>
          <t>Bluestone Memorial Hospital</t>
        </is>
      </c>
      <c r="I192" t="inlineStr">
        <is>
          <t>Perioperative Services</t>
        </is>
      </c>
      <c r="J192" t="n">
        <v>2</v>
      </c>
      <c r="K192" t="n">
        <v>12</v>
      </c>
      <c r="L192" t="n">
        <v>3</v>
      </c>
      <c r="M192" t="n">
        <v>9</v>
      </c>
      <c r="N192" t="n">
        <v>3</v>
      </c>
      <c r="O192" s="32" t="n">
        <v>45997</v>
      </c>
      <c r="R192" s="33" t="n"/>
      <c r="S192" s="34" t="n"/>
    </row>
    <row r="193">
      <c r="A193" t="inlineStr">
        <is>
          <t>STK4192</t>
        </is>
      </c>
      <c r="B193" t="inlineStr">
        <is>
          <t>SKU-10630</t>
        </is>
      </c>
      <c r="C193" t="inlineStr">
        <is>
          <t>Knee Tibial Tray, Size 6</t>
        </is>
      </c>
      <c r="D193" t="inlineStr">
        <is>
          <t>Orthopedic Implants</t>
        </is>
      </c>
      <c r="E193" t="inlineStr">
        <is>
          <t>Keystone Lab Solutions</t>
        </is>
      </c>
      <c r="F193" t="inlineStr">
        <is>
          <t>Each</t>
        </is>
      </c>
      <c r="G193" s="31" t="n">
        <v>1829.2</v>
      </c>
      <c r="H193" t="inlineStr">
        <is>
          <t>Bluestone Memorial Hospital</t>
        </is>
      </c>
      <c r="I193" t="inlineStr">
        <is>
          <t>Perioperative Services</t>
        </is>
      </c>
      <c r="J193" t="n">
        <v>5</v>
      </c>
      <c r="K193" t="n">
        <v>9</v>
      </c>
      <c r="L193" t="n">
        <v>3</v>
      </c>
      <c r="M193" t="n">
        <v>6</v>
      </c>
      <c r="N193" t="n">
        <v>5</v>
      </c>
      <c r="O193" s="32" t="n">
        <v>45987</v>
      </c>
      <c r="R193" s="33" t="n"/>
      <c r="S193" s="34" t="n"/>
    </row>
    <row r="194">
      <c r="A194" t="inlineStr">
        <is>
          <t>STK4193</t>
        </is>
      </c>
      <c r="B194" t="inlineStr">
        <is>
          <t>SKU-10637</t>
        </is>
      </c>
      <c r="C194" t="inlineStr">
        <is>
          <t>Cortical Screw 3.5 mm x 20 mm</t>
        </is>
      </c>
      <c r="D194" t="inlineStr">
        <is>
          <t>Orthopedic Implants</t>
        </is>
      </c>
      <c r="E194" t="inlineStr">
        <is>
          <t>Summit Orthopedic Systems</t>
        </is>
      </c>
      <c r="F194" t="inlineStr">
        <is>
          <t>Each</t>
        </is>
      </c>
      <c r="G194" s="31" t="n">
        <v>50.28</v>
      </c>
      <c r="H194" t="inlineStr">
        <is>
          <t>Bluestone Memorial Hospital</t>
        </is>
      </c>
      <c r="I194" t="inlineStr">
        <is>
          <t>Perioperative Services</t>
        </is>
      </c>
      <c r="J194" t="n">
        <v>205</v>
      </c>
      <c r="K194" t="n">
        <v>205</v>
      </c>
      <c r="L194" t="n">
        <v>72</v>
      </c>
      <c r="M194" t="n">
        <v>133</v>
      </c>
      <c r="N194" t="n">
        <v>3</v>
      </c>
      <c r="O194" s="32" t="n">
        <v>45977</v>
      </c>
      <c r="R194" s="33" t="n"/>
      <c r="S194" s="34" t="n"/>
    </row>
    <row r="195">
      <c r="A195" t="inlineStr">
        <is>
          <t>STK4194</t>
        </is>
      </c>
      <c r="B195" t="inlineStr">
        <is>
          <t>SKU-10644</t>
        </is>
      </c>
      <c r="C195" t="inlineStr">
        <is>
          <t>Cortical Screw 3.5 mm x 30 mm</t>
        </is>
      </c>
      <c r="D195" t="inlineStr">
        <is>
          <t>Orthopedic Implants</t>
        </is>
      </c>
      <c r="E195" t="inlineStr">
        <is>
          <t>Summit Orthopedic Systems</t>
        </is>
      </c>
      <c r="F195" t="inlineStr">
        <is>
          <t>Each</t>
        </is>
      </c>
      <c r="G195" s="31" t="n">
        <v>48.46</v>
      </c>
      <c r="H195" t="inlineStr">
        <is>
          <t>Bluestone Memorial Hospital</t>
        </is>
      </c>
      <c r="I195" t="inlineStr">
        <is>
          <t>Perioperative Services</t>
        </is>
      </c>
      <c r="J195" t="n">
        <v>25</v>
      </c>
      <c r="K195" t="n">
        <v>58</v>
      </c>
      <c r="L195" t="n">
        <v>21</v>
      </c>
      <c r="M195" t="n">
        <v>37</v>
      </c>
      <c r="N195" t="n">
        <v>5</v>
      </c>
      <c r="O195" s="32" t="n">
        <v>45979</v>
      </c>
      <c r="R195" s="33" t="n"/>
      <c r="S195" s="34" t="n"/>
    </row>
    <row r="196">
      <c r="A196" t="inlineStr">
        <is>
          <t>STK4195</t>
        </is>
      </c>
      <c r="B196" t="inlineStr">
        <is>
          <t>SKU-10651</t>
        </is>
      </c>
      <c r="C196" t="inlineStr">
        <is>
          <t>Cortical Screw 3.5 mm x 40 mm</t>
        </is>
      </c>
      <c r="D196" t="inlineStr">
        <is>
          <t>Orthopedic Implants</t>
        </is>
      </c>
      <c r="E196" t="inlineStr">
        <is>
          <t>Summit Orthopedic Systems</t>
        </is>
      </c>
      <c r="F196" t="inlineStr">
        <is>
          <t>Each</t>
        </is>
      </c>
      <c r="G196" s="31" t="n">
        <v>43.65</v>
      </c>
      <c r="H196" t="inlineStr">
        <is>
          <t>Bluestone Memorial Hospital</t>
        </is>
      </c>
      <c r="I196" t="inlineStr">
        <is>
          <t>Perioperative Services</t>
        </is>
      </c>
      <c r="J196" t="n">
        <v>146</v>
      </c>
      <c r="K196" t="n">
        <v>200</v>
      </c>
      <c r="L196" t="n">
        <v>66</v>
      </c>
      <c r="M196" t="n">
        <v>134</v>
      </c>
      <c r="N196" t="n">
        <v>14</v>
      </c>
      <c r="O196" s="32" t="n">
        <v>46005</v>
      </c>
      <c r="R196" s="33" t="n"/>
      <c r="S196" s="34" t="n"/>
    </row>
    <row r="197">
      <c r="A197" t="inlineStr">
        <is>
          <t>STK4196</t>
        </is>
      </c>
      <c r="B197" t="inlineStr">
        <is>
          <t>SKU-10658</t>
        </is>
      </c>
      <c r="C197" t="inlineStr">
        <is>
          <t>Locking Plate 6-Hole</t>
        </is>
      </c>
      <c r="D197" t="inlineStr">
        <is>
          <t>Orthopedic Implants</t>
        </is>
      </c>
      <c r="E197" t="inlineStr">
        <is>
          <t>Summit Orthopedic Systems</t>
        </is>
      </c>
      <c r="F197" t="inlineStr">
        <is>
          <t>Each</t>
        </is>
      </c>
      <c r="G197" s="31" t="n">
        <v>625.77</v>
      </c>
      <c r="H197" t="inlineStr">
        <is>
          <t>Bluestone Memorial Hospital</t>
        </is>
      </c>
      <c r="I197" t="inlineStr">
        <is>
          <t>Perioperative Services</t>
        </is>
      </c>
      <c r="J197" t="n">
        <v>22</v>
      </c>
      <c r="K197" t="n">
        <v>23</v>
      </c>
      <c r="L197" t="n">
        <v>9</v>
      </c>
      <c r="M197" t="n">
        <v>14</v>
      </c>
      <c r="N197" t="n">
        <v>2</v>
      </c>
      <c r="O197" s="32" t="n">
        <v>46021</v>
      </c>
      <c r="R197" s="33" t="n"/>
      <c r="S197" s="34" t="n"/>
    </row>
    <row r="198">
      <c r="A198" t="inlineStr">
        <is>
          <t>STK4197</t>
        </is>
      </c>
      <c r="B198" t="inlineStr">
        <is>
          <t>SKU-10665</t>
        </is>
      </c>
      <c r="C198" t="inlineStr">
        <is>
          <t>Locking Plate 8-Hole</t>
        </is>
      </c>
      <c r="D198" t="inlineStr">
        <is>
          <t>Orthopedic Implants</t>
        </is>
      </c>
      <c r="E198" t="inlineStr">
        <is>
          <t>Summit Orthopedic Systems</t>
        </is>
      </c>
      <c r="F198" t="inlineStr">
        <is>
          <t>Each</t>
        </is>
      </c>
      <c r="G198" s="31" t="n">
        <v>580.0700000000001</v>
      </c>
      <c r="H198" t="inlineStr">
        <is>
          <t>Bluestone Memorial Hospital</t>
        </is>
      </c>
      <c r="I198" t="inlineStr">
        <is>
          <t>Perioperative Services</t>
        </is>
      </c>
      <c r="J198" t="n">
        <v>12</v>
      </c>
      <c r="K198" t="n">
        <v>14</v>
      </c>
      <c r="L198" t="n">
        <v>5</v>
      </c>
      <c r="M198" t="n">
        <v>9</v>
      </c>
      <c r="N198" t="n">
        <v>5</v>
      </c>
      <c r="O198" s="32" t="n">
        <v>45983</v>
      </c>
      <c r="R198" s="33" t="n"/>
      <c r="S198" s="34" t="n"/>
    </row>
    <row r="199">
      <c r="A199" t="inlineStr">
        <is>
          <t>STK4198</t>
        </is>
      </c>
      <c r="B199" t="inlineStr">
        <is>
          <t>SKU-10672</t>
        </is>
      </c>
      <c r="C199" t="inlineStr">
        <is>
          <t>Locking Plate 10-Hole</t>
        </is>
      </c>
      <c r="D199" t="inlineStr">
        <is>
          <t>Orthopedic Implants</t>
        </is>
      </c>
      <c r="E199" t="inlineStr">
        <is>
          <t>Summit Orthopedic Systems</t>
        </is>
      </c>
      <c r="F199" t="inlineStr">
        <is>
          <t>Each</t>
        </is>
      </c>
      <c r="G199" s="31" t="n">
        <v>592.11</v>
      </c>
      <c r="H199" t="inlineStr">
        <is>
          <t>Bluestone Memorial Hospital</t>
        </is>
      </c>
      <c r="I199" t="inlineStr">
        <is>
          <t>Perioperative Services</t>
        </is>
      </c>
      <c r="J199" t="n">
        <v>2</v>
      </c>
      <c r="K199" t="n">
        <v>21</v>
      </c>
      <c r="L199" t="n">
        <v>6</v>
      </c>
      <c r="M199" t="n">
        <v>15</v>
      </c>
      <c r="N199" t="n">
        <v>7</v>
      </c>
      <c r="O199" s="32" t="n">
        <v>46004</v>
      </c>
      <c r="R199" s="33" t="n"/>
      <c r="S199" s="34" t="n"/>
    </row>
    <row r="200">
      <c r="A200" t="inlineStr">
        <is>
          <t>STK4199</t>
        </is>
      </c>
      <c r="B200" t="inlineStr">
        <is>
          <t>SKU-10679</t>
        </is>
      </c>
      <c r="C200" t="inlineStr">
        <is>
          <t>Drug-Eluting Stent 2.5 x 18 mm</t>
        </is>
      </c>
      <c r="D200" t="inlineStr">
        <is>
          <t>Cardiac</t>
        </is>
      </c>
      <c r="E200" t="inlineStr">
        <is>
          <t>Pinnacle Biomedical</t>
        </is>
      </c>
      <c r="F200" t="inlineStr">
        <is>
          <t>Each</t>
        </is>
      </c>
      <c r="G200" s="31" t="n">
        <v>1392.43</v>
      </c>
      <c r="H200" t="inlineStr">
        <is>
          <t>Bluestone Memorial Hospital</t>
        </is>
      </c>
      <c r="I200" t="inlineStr">
        <is>
          <t>Intensive Care Unit</t>
        </is>
      </c>
      <c r="J200" t="n">
        <v>18</v>
      </c>
      <c r="K200" t="n">
        <v>15</v>
      </c>
      <c r="L200" t="n">
        <v>6</v>
      </c>
      <c r="M200" t="n">
        <v>9</v>
      </c>
      <c r="N200" t="n">
        <v>5</v>
      </c>
      <c r="O200" s="32" t="n">
        <v>46014</v>
      </c>
      <c r="P200" s="32" t="n">
        <v>46393</v>
      </c>
      <c r="Q200" t="inlineStr">
        <is>
          <t>L597164</t>
        </is>
      </c>
      <c r="R200" s="33" t="n"/>
      <c r="S200" s="34" t="n"/>
    </row>
    <row r="201">
      <c r="A201" t="inlineStr">
        <is>
          <t>STK4200</t>
        </is>
      </c>
      <c r="B201" t="inlineStr">
        <is>
          <t>SKU-10686</t>
        </is>
      </c>
      <c r="C201" t="inlineStr">
        <is>
          <t>Drug-Eluting Stent 3.0 x 18 mm</t>
        </is>
      </c>
      <c r="D201" t="inlineStr">
        <is>
          <t>Cardiac</t>
        </is>
      </c>
      <c r="E201" t="inlineStr">
        <is>
          <t>Pinnacle Biomedical</t>
        </is>
      </c>
      <c r="F201" t="inlineStr">
        <is>
          <t>Each</t>
        </is>
      </c>
      <c r="G201" s="31" t="n">
        <v>1484.05</v>
      </c>
      <c r="H201" t="inlineStr">
        <is>
          <t>Bluestone Memorial Hospital</t>
        </is>
      </c>
      <c r="I201" t="inlineStr">
        <is>
          <t>Cardiac Step-Down</t>
        </is>
      </c>
      <c r="J201" t="n">
        <v>7</v>
      </c>
      <c r="K201" t="n">
        <v>9</v>
      </c>
      <c r="L201" t="n">
        <v>3</v>
      </c>
      <c r="M201" t="n">
        <v>6</v>
      </c>
      <c r="N201" t="n">
        <v>3</v>
      </c>
      <c r="O201" s="32" t="n">
        <v>45987</v>
      </c>
      <c r="P201" s="32" t="n">
        <v>46324</v>
      </c>
      <c r="Q201" t="inlineStr">
        <is>
          <t>L863579</t>
        </is>
      </c>
      <c r="R201" s="33" t="n"/>
      <c r="S201" s="34" t="n"/>
    </row>
    <row r="202">
      <c r="A202" t="inlineStr">
        <is>
          <t>STK4201</t>
        </is>
      </c>
      <c r="B202" t="inlineStr">
        <is>
          <t>SKU-10686</t>
        </is>
      </c>
      <c r="C202" t="inlineStr">
        <is>
          <t>Drug-Eluting Stent 3.0 x 18 mm</t>
        </is>
      </c>
      <c r="D202" t="inlineStr">
        <is>
          <t>Cardiac</t>
        </is>
      </c>
      <c r="E202" t="inlineStr">
        <is>
          <t>Pinnacle Biomedical</t>
        </is>
      </c>
      <c r="F202" t="inlineStr">
        <is>
          <t>Each</t>
        </is>
      </c>
      <c r="G202" s="31" t="n">
        <v>1484.05</v>
      </c>
      <c r="H202" t="inlineStr">
        <is>
          <t>Bluestone Memorial Hospital</t>
        </is>
      </c>
      <c r="I202" t="inlineStr">
        <is>
          <t>Intensive Care Unit</t>
        </is>
      </c>
      <c r="J202" t="n">
        <v>17</v>
      </c>
      <c r="K202" t="n">
        <v>13</v>
      </c>
      <c r="L202" t="n">
        <v>5</v>
      </c>
      <c r="M202" t="n">
        <v>8</v>
      </c>
      <c r="N202" t="n">
        <v>2</v>
      </c>
      <c r="O202" s="32" t="n">
        <v>46013</v>
      </c>
      <c r="P202" s="32" t="n">
        <v>46070</v>
      </c>
      <c r="Q202" t="inlineStr">
        <is>
          <t>L717064</t>
        </is>
      </c>
      <c r="R202" s="33" t="n"/>
      <c r="S202" s="34" t="n"/>
    </row>
    <row r="203">
      <c r="A203" t="inlineStr">
        <is>
          <t>STK4202</t>
        </is>
      </c>
      <c r="B203" t="inlineStr">
        <is>
          <t>SKU-10686</t>
        </is>
      </c>
      <c r="C203" t="inlineStr">
        <is>
          <t>Drug-Eluting Stent 3.0 x 18 mm</t>
        </is>
      </c>
      <c r="D203" t="inlineStr">
        <is>
          <t>Cardiac</t>
        </is>
      </c>
      <c r="E203" t="inlineStr">
        <is>
          <t>Pinnacle Biomedical</t>
        </is>
      </c>
      <c r="F203" t="inlineStr">
        <is>
          <t>Each</t>
        </is>
      </c>
      <c r="G203" s="31" t="n">
        <v>1484.05</v>
      </c>
      <c r="H203" t="inlineStr">
        <is>
          <t>Bluestone Memorial Hospital</t>
        </is>
      </c>
      <c r="I203" t="inlineStr">
        <is>
          <t>Perioperative Services</t>
        </is>
      </c>
      <c r="J203" t="n">
        <v>6</v>
      </c>
      <c r="K203" t="n">
        <v>11</v>
      </c>
      <c r="L203" t="n">
        <v>4</v>
      </c>
      <c r="M203" t="n">
        <v>7</v>
      </c>
      <c r="N203" t="n">
        <v>10</v>
      </c>
      <c r="O203" s="32" t="n">
        <v>46006</v>
      </c>
      <c r="P203" s="32" t="n">
        <v>46918</v>
      </c>
      <c r="Q203" t="inlineStr">
        <is>
          <t>L696204</t>
        </is>
      </c>
      <c r="R203" s="33" t="n"/>
      <c r="S203" s="34" t="n"/>
    </row>
    <row r="204">
      <c r="A204" t="inlineStr">
        <is>
          <t>STK4203</t>
        </is>
      </c>
      <c r="B204" t="inlineStr">
        <is>
          <t>SKU-10693</t>
        </is>
      </c>
      <c r="C204" t="inlineStr">
        <is>
          <t>Drug-Eluting Stent 3.5 x 23 mm</t>
        </is>
      </c>
      <c r="D204" t="inlineStr">
        <is>
          <t>Cardiac</t>
        </is>
      </c>
      <c r="E204" t="inlineStr">
        <is>
          <t>Pinnacle Biomedical</t>
        </is>
      </c>
      <c r="F204" t="inlineStr">
        <is>
          <t>Each</t>
        </is>
      </c>
      <c r="G204" s="31" t="n">
        <v>1458.48</v>
      </c>
      <c r="H204" t="inlineStr">
        <is>
          <t>Bluestone Memorial Hospital</t>
        </is>
      </c>
      <c r="I204" t="inlineStr">
        <is>
          <t>Emergency Department</t>
        </is>
      </c>
      <c r="J204" t="n">
        <v>4</v>
      </c>
      <c r="K204" t="n">
        <v>10</v>
      </c>
      <c r="L204" t="n">
        <v>3</v>
      </c>
      <c r="M204" t="n">
        <v>7</v>
      </c>
      <c r="N204" t="n">
        <v>3</v>
      </c>
      <c r="O204" s="32" t="n">
        <v>45995</v>
      </c>
      <c r="P204" s="32" t="n">
        <v>46732</v>
      </c>
      <c r="Q204" t="inlineStr">
        <is>
          <t>L673777</t>
        </is>
      </c>
      <c r="R204" s="33" t="n"/>
      <c r="S204" s="34" t="n"/>
    </row>
    <row r="205">
      <c r="A205" t="inlineStr">
        <is>
          <t>STK4204</t>
        </is>
      </c>
      <c r="B205" t="inlineStr">
        <is>
          <t>SKU-10693</t>
        </is>
      </c>
      <c r="C205" t="inlineStr">
        <is>
          <t>Drug-Eluting Stent 3.5 x 23 mm</t>
        </is>
      </c>
      <c r="D205" t="inlineStr">
        <is>
          <t>Cardiac</t>
        </is>
      </c>
      <c r="E205" t="inlineStr">
        <is>
          <t>Pinnacle Biomedical</t>
        </is>
      </c>
      <c r="F205" t="inlineStr">
        <is>
          <t>Each</t>
        </is>
      </c>
      <c r="G205" s="31" t="n">
        <v>1458.48</v>
      </c>
      <c r="H205" t="inlineStr">
        <is>
          <t>Bluestone Memorial Hospital</t>
        </is>
      </c>
      <c r="I205" t="inlineStr">
        <is>
          <t>Cardiac Step-Down</t>
        </is>
      </c>
      <c r="J205" t="n">
        <v>8</v>
      </c>
      <c r="K205" t="n">
        <v>6</v>
      </c>
      <c r="L205" t="n">
        <v>2</v>
      </c>
      <c r="M205" t="n">
        <v>4</v>
      </c>
      <c r="N205" t="n">
        <v>3</v>
      </c>
      <c r="O205" s="32" t="n">
        <v>46014</v>
      </c>
      <c r="P205" s="32" t="n">
        <v>46813</v>
      </c>
      <c r="Q205" t="inlineStr">
        <is>
          <t>L686202</t>
        </is>
      </c>
      <c r="R205" s="33" t="n"/>
      <c r="S205" s="34" t="n"/>
    </row>
    <row r="206">
      <c r="A206" t="inlineStr">
        <is>
          <t>STK4205</t>
        </is>
      </c>
      <c r="B206" t="inlineStr">
        <is>
          <t>SKU-10693</t>
        </is>
      </c>
      <c r="C206" t="inlineStr">
        <is>
          <t>Drug-Eluting Stent 3.5 x 23 mm</t>
        </is>
      </c>
      <c r="D206" t="inlineStr">
        <is>
          <t>Cardiac</t>
        </is>
      </c>
      <c r="E206" t="inlineStr">
        <is>
          <t>Pinnacle Biomedical</t>
        </is>
      </c>
      <c r="F206" t="inlineStr">
        <is>
          <t>Each</t>
        </is>
      </c>
      <c r="G206" s="31" t="n">
        <v>1458.48</v>
      </c>
      <c r="H206" t="inlineStr">
        <is>
          <t>Bluestone Memorial Hospital</t>
        </is>
      </c>
      <c r="I206" t="inlineStr">
        <is>
          <t>Intensive Care Unit</t>
        </is>
      </c>
      <c r="J206" t="n">
        <v>17</v>
      </c>
      <c r="K206" t="n">
        <v>18</v>
      </c>
      <c r="L206" t="n">
        <v>7</v>
      </c>
      <c r="M206" t="n">
        <v>11</v>
      </c>
      <c r="N206" t="n">
        <v>10</v>
      </c>
      <c r="O206" s="32" t="n">
        <v>45980</v>
      </c>
      <c r="P206" s="32" t="n">
        <v>46785</v>
      </c>
      <c r="Q206" t="inlineStr">
        <is>
          <t>L619521</t>
        </is>
      </c>
      <c r="R206" s="33" t="n"/>
      <c r="S206" s="34" t="n"/>
    </row>
    <row r="207">
      <c r="A207" t="inlineStr">
        <is>
          <t>STK4206</t>
        </is>
      </c>
      <c r="B207" t="inlineStr">
        <is>
          <t>SKU-10700</t>
        </is>
      </c>
      <c r="C207" t="inlineStr">
        <is>
          <t>Guide Wire 0.035 in x 150 cm</t>
        </is>
      </c>
      <c r="D207" t="inlineStr">
        <is>
          <t>Cardiac</t>
        </is>
      </c>
      <c r="E207" t="inlineStr">
        <is>
          <t>Pinnacle Biomedical</t>
        </is>
      </c>
      <c r="F207" t="inlineStr">
        <is>
          <t>Each</t>
        </is>
      </c>
      <c r="G207" s="31" t="n">
        <v>40.13</v>
      </c>
      <c r="H207" t="inlineStr">
        <is>
          <t>Bluestone Memorial Hospital</t>
        </is>
      </c>
      <c r="I207" t="inlineStr">
        <is>
          <t>Cardiac Step-Down</t>
        </is>
      </c>
      <c r="J207" t="n">
        <v>75</v>
      </c>
      <c r="K207" t="n">
        <v>228</v>
      </c>
      <c r="L207" t="n">
        <v>91</v>
      </c>
      <c r="M207" t="n">
        <v>137</v>
      </c>
      <c r="N207" t="n">
        <v>5</v>
      </c>
      <c r="O207" s="32" t="n">
        <v>45989</v>
      </c>
      <c r="P207" s="32" t="n">
        <v>46664</v>
      </c>
      <c r="Q207" t="inlineStr">
        <is>
          <t>L989259</t>
        </is>
      </c>
      <c r="R207" s="33" t="n"/>
      <c r="S207" s="34" t="n"/>
    </row>
    <row r="208">
      <c r="A208" t="inlineStr">
        <is>
          <t>STK4207</t>
        </is>
      </c>
      <c r="B208" t="inlineStr">
        <is>
          <t>SKU-10700</t>
        </is>
      </c>
      <c r="C208" t="inlineStr">
        <is>
          <t>Guide Wire 0.035 in x 150 cm</t>
        </is>
      </c>
      <c r="D208" t="inlineStr">
        <is>
          <t>Cardiac</t>
        </is>
      </c>
      <c r="E208" t="inlineStr">
        <is>
          <t>Pinnacle Biomedical</t>
        </is>
      </c>
      <c r="F208" t="inlineStr">
        <is>
          <t>Each</t>
        </is>
      </c>
      <c r="G208" s="31" t="n">
        <v>40.13</v>
      </c>
      <c r="H208" t="inlineStr">
        <is>
          <t>Bluestone Memorial Hospital</t>
        </is>
      </c>
      <c r="I208" t="inlineStr">
        <is>
          <t>Intensive Care Unit</t>
        </is>
      </c>
      <c r="J208" t="n">
        <v>161</v>
      </c>
      <c r="K208" t="n">
        <v>198</v>
      </c>
      <c r="L208" t="n">
        <v>70</v>
      </c>
      <c r="M208" t="n">
        <v>128</v>
      </c>
      <c r="N208" t="n">
        <v>2</v>
      </c>
      <c r="O208" s="32" t="n">
        <v>45987</v>
      </c>
      <c r="P208" s="32" t="n">
        <v>46458</v>
      </c>
      <c r="Q208" t="inlineStr">
        <is>
          <t>L953245</t>
        </is>
      </c>
      <c r="R208" s="33" t="n"/>
      <c r="S208" s="34" t="n"/>
    </row>
    <row r="209">
      <c r="A209" t="inlineStr">
        <is>
          <t>STK4208</t>
        </is>
      </c>
      <c r="B209" t="inlineStr">
        <is>
          <t>SKU-10707</t>
        </is>
      </c>
      <c r="C209" t="inlineStr">
        <is>
          <t>Guide Wire 0.035 in x 260 cm</t>
        </is>
      </c>
      <c r="D209" t="inlineStr">
        <is>
          <t>Cardiac</t>
        </is>
      </c>
      <c r="E209" t="inlineStr">
        <is>
          <t>Pinnacle Biomedical</t>
        </is>
      </c>
      <c r="F209" t="inlineStr">
        <is>
          <t>Each</t>
        </is>
      </c>
      <c r="G209" s="31" t="n">
        <v>37.34</v>
      </c>
      <c r="H209" t="inlineStr">
        <is>
          <t>Bluestone Memorial Hospital</t>
        </is>
      </c>
      <c r="I209" t="inlineStr">
        <is>
          <t>Emergency Department</t>
        </is>
      </c>
      <c r="J209" t="n">
        <v>0</v>
      </c>
      <c r="K209" t="n">
        <v>83</v>
      </c>
      <c r="L209" t="n">
        <v>25</v>
      </c>
      <c r="M209" t="n">
        <v>58</v>
      </c>
      <c r="N209" t="n">
        <v>2</v>
      </c>
      <c r="O209" s="32" t="n">
        <v>46002</v>
      </c>
      <c r="P209" s="32" t="n">
        <v>46255</v>
      </c>
      <c r="Q209" t="inlineStr">
        <is>
          <t>L724793</t>
        </is>
      </c>
      <c r="R209" s="33" t="n"/>
      <c r="S209" s="34" t="n"/>
    </row>
    <row r="210">
      <c r="A210" t="inlineStr">
        <is>
          <t>STK4209</t>
        </is>
      </c>
      <c r="B210" t="inlineStr">
        <is>
          <t>SKU-10707</t>
        </is>
      </c>
      <c r="C210" t="inlineStr">
        <is>
          <t>Guide Wire 0.035 in x 260 cm</t>
        </is>
      </c>
      <c r="D210" t="inlineStr">
        <is>
          <t>Cardiac</t>
        </is>
      </c>
      <c r="E210" t="inlineStr">
        <is>
          <t>Pinnacle Biomedical</t>
        </is>
      </c>
      <c r="F210" t="inlineStr">
        <is>
          <t>Each</t>
        </is>
      </c>
      <c r="G210" s="31" t="n">
        <v>37.34</v>
      </c>
      <c r="H210" t="inlineStr">
        <is>
          <t>Bluestone Memorial Hospital</t>
        </is>
      </c>
      <c r="I210" t="inlineStr">
        <is>
          <t>Perioperative Services</t>
        </is>
      </c>
      <c r="J210" t="n">
        <v>329</v>
      </c>
      <c r="K210" t="n">
        <v>319</v>
      </c>
      <c r="L210" t="n">
        <v>118</v>
      </c>
      <c r="M210" t="n">
        <v>201</v>
      </c>
      <c r="N210" t="n">
        <v>7</v>
      </c>
      <c r="O210" s="32" t="n">
        <v>46004</v>
      </c>
      <c r="P210" s="32" t="n">
        <v>46484</v>
      </c>
      <c r="Q210" t="inlineStr">
        <is>
          <t>L766796</t>
        </is>
      </c>
      <c r="R210" s="33" t="n"/>
      <c r="S210" s="34" t="n"/>
    </row>
    <row r="211">
      <c r="A211" t="inlineStr">
        <is>
          <t>STK4210</t>
        </is>
      </c>
      <c r="B211" t="inlineStr">
        <is>
          <t>SKU-10714</t>
        </is>
      </c>
      <c r="C211" t="inlineStr">
        <is>
          <t>ECG Electrodes (Pack/30)</t>
        </is>
      </c>
      <c r="D211" t="inlineStr">
        <is>
          <t>Cardiac</t>
        </is>
      </c>
      <c r="E211" t="inlineStr">
        <is>
          <t>Northstar Medical Supply</t>
        </is>
      </c>
      <c r="F211" t="inlineStr">
        <is>
          <t>Pack</t>
        </is>
      </c>
      <c r="G211" s="31" t="n">
        <v>5.58</v>
      </c>
      <c r="H211" t="inlineStr">
        <is>
          <t>Bluestone Memorial Hospital</t>
        </is>
      </c>
      <c r="I211" t="inlineStr">
        <is>
          <t>Cardiac Step-Down</t>
        </is>
      </c>
      <c r="J211" t="n">
        <v>877</v>
      </c>
      <c r="K211" t="n">
        <v>800</v>
      </c>
      <c r="L211" t="n">
        <v>295</v>
      </c>
      <c r="M211" t="n">
        <v>505</v>
      </c>
      <c r="N211" t="n">
        <v>10</v>
      </c>
      <c r="O211" s="32" t="n">
        <v>45977</v>
      </c>
      <c r="P211" s="32" t="n">
        <v>46308</v>
      </c>
      <c r="Q211" t="inlineStr">
        <is>
          <t>L273814</t>
        </is>
      </c>
      <c r="R211" s="33" t="n"/>
      <c r="S211" s="34" t="n"/>
    </row>
    <row r="212">
      <c r="A212" t="inlineStr">
        <is>
          <t>STK4211</t>
        </is>
      </c>
      <c r="B212" t="inlineStr">
        <is>
          <t>SKU-10714</t>
        </is>
      </c>
      <c r="C212" t="inlineStr">
        <is>
          <t>ECG Electrodes (Pack/30)</t>
        </is>
      </c>
      <c r="D212" t="inlineStr">
        <is>
          <t>Cardiac</t>
        </is>
      </c>
      <c r="E212" t="inlineStr">
        <is>
          <t>Northstar Medical Supply</t>
        </is>
      </c>
      <c r="F212" t="inlineStr">
        <is>
          <t>Pack</t>
        </is>
      </c>
      <c r="G212" s="31" t="n">
        <v>5.58</v>
      </c>
      <c r="H212" t="inlineStr">
        <is>
          <t>Bluestone Memorial Hospital</t>
        </is>
      </c>
      <c r="I212" t="inlineStr">
        <is>
          <t>Perioperative Services</t>
        </is>
      </c>
      <c r="J212" t="n">
        <v>358</v>
      </c>
      <c r="K212" t="n">
        <v>270</v>
      </c>
      <c r="L212" t="n">
        <v>96</v>
      </c>
      <c r="M212" t="n">
        <v>174</v>
      </c>
      <c r="N212" t="n">
        <v>2</v>
      </c>
      <c r="O212" s="32" t="n">
        <v>46015</v>
      </c>
      <c r="P212" s="32" t="n">
        <v>46834</v>
      </c>
      <c r="Q212" t="inlineStr">
        <is>
          <t>L866223</t>
        </is>
      </c>
      <c r="R212" s="33" t="n"/>
      <c r="S212" s="34" t="n"/>
    </row>
    <row r="213">
      <c r="A213" t="inlineStr">
        <is>
          <t>STK4212</t>
        </is>
      </c>
      <c r="B213" t="inlineStr">
        <is>
          <t>SKU-10721</t>
        </is>
      </c>
      <c r="C213" t="inlineStr">
        <is>
          <t>Defibrillator Pads, Adult</t>
        </is>
      </c>
      <c r="D213" t="inlineStr">
        <is>
          <t>Cardiac</t>
        </is>
      </c>
      <c r="E213" t="inlineStr">
        <is>
          <t>Pinnacle Biomedical</t>
        </is>
      </c>
      <c r="F213" t="inlineStr">
        <is>
          <t>Pair</t>
        </is>
      </c>
      <c r="G213" s="31" t="n">
        <v>40.29</v>
      </c>
      <c r="H213" t="inlineStr">
        <is>
          <t>Bluestone Memorial Hospital</t>
        </is>
      </c>
      <c r="I213" t="inlineStr">
        <is>
          <t>Perioperative Services</t>
        </is>
      </c>
      <c r="J213" t="n">
        <v>32</v>
      </c>
      <c r="K213" t="n">
        <v>168</v>
      </c>
      <c r="L213" t="n">
        <v>50</v>
      </c>
      <c r="M213" t="n">
        <v>118</v>
      </c>
      <c r="N213" t="n">
        <v>7</v>
      </c>
      <c r="O213" s="32" t="n">
        <v>46012</v>
      </c>
      <c r="P213" s="32" t="n">
        <v>46451</v>
      </c>
      <c r="Q213" t="inlineStr">
        <is>
          <t>L337962</t>
        </is>
      </c>
      <c r="R213" s="33" t="n"/>
      <c r="S213" s="34" t="n"/>
    </row>
    <row r="214">
      <c r="A214" t="inlineStr">
        <is>
          <t>STK4213</t>
        </is>
      </c>
      <c r="B214" t="inlineStr">
        <is>
          <t>SKU-10728</t>
        </is>
      </c>
      <c r="C214" t="inlineStr">
        <is>
          <t>Defibrillator Pads, Pediatric</t>
        </is>
      </c>
      <c r="D214" t="inlineStr">
        <is>
          <t>Cardiac</t>
        </is>
      </c>
      <c r="E214" t="inlineStr">
        <is>
          <t>Pinnacle Biomedical</t>
        </is>
      </c>
      <c r="F214" t="inlineStr">
        <is>
          <t>Pair</t>
        </is>
      </c>
      <c r="G214" s="31" t="n">
        <v>41.27</v>
      </c>
      <c r="H214" t="inlineStr">
        <is>
          <t>Bluestone Memorial Hospital</t>
        </is>
      </c>
      <c r="I214" t="inlineStr">
        <is>
          <t>Cardiac Step-Down</t>
        </is>
      </c>
      <c r="J214" t="n">
        <v>208</v>
      </c>
      <c r="K214" t="n">
        <v>212</v>
      </c>
      <c r="L214" t="n">
        <v>73</v>
      </c>
      <c r="M214" t="n">
        <v>139</v>
      </c>
      <c r="N214" t="n">
        <v>5</v>
      </c>
      <c r="O214" s="32" t="n">
        <v>45992</v>
      </c>
      <c r="P214" s="32" t="n">
        <v>46996</v>
      </c>
      <c r="Q214" t="inlineStr">
        <is>
          <t>L329003</t>
        </is>
      </c>
      <c r="R214" s="33" t="n"/>
      <c r="S214" s="34" t="n"/>
    </row>
    <row r="215">
      <c r="A215" t="inlineStr">
        <is>
          <t>STK4214</t>
        </is>
      </c>
      <c r="B215" t="inlineStr">
        <is>
          <t>SKU-10728</t>
        </is>
      </c>
      <c r="C215" t="inlineStr">
        <is>
          <t>Defibrillator Pads, Pediatric</t>
        </is>
      </c>
      <c r="D215" t="inlineStr">
        <is>
          <t>Cardiac</t>
        </is>
      </c>
      <c r="E215" t="inlineStr">
        <is>
          <t>Pinnacle Biomedical</t>
        </is>
      </c>
      <c r="F215" t="inlineStr">
        <is>
          <t>Pair</t>
        </is>
      </c>
      <c r="G215" s="31" t="n">
        <v>41.27</v>
      </c>
      <c r="H215" t="inlineStr">
        <is>
          <t>Bluestone Memorial Hospital</t>
        </is>
      </c>
      <c r="I215" t="inlineStr">
        <is>
          <t>Intensive Care Unit</t>
        </is>
      </c>
      <c r="J215" t="n">
        <v>95</v>
      </c>
      <c r="K215" t="n">
        <v>154</v>
      </c>
      <c r="L215" t="n">
        <v>55</v>
      </c>
      <c r="M215" t="n">
        <v>99</v>
      </c>
      <c r="N215" t="n">
        <v>10</v>
      </c>
      <c r="O215" s="32" t="n">
        <v>46009</v>
      </c>
      <c r="P215" s="32" t="n">
        <v>46853</v>
      </c>
      <c r="Q215" t="inlineStr">
        <is>
          <t>L738041</t>
        </is>
      </c>
      <c r="R215" s="33" t="n"/>
      <c r="S215" s="34" t="n"/>
    </row>
    <row r="216">
      <c r="A216" t="inlineStr">
        <is>
          <t>STK4215</t>
        </is>
      </c>
      <c r="B216" t="inlineStr">
        <is>
          <t>SKU-10728</t>
        </is>
      </c>
      <c r="C216" t="inlineStr">
        <is>
          <t>Defibrillator Pads, Pediatric</t>
        </is>
      </c>
      <c r="D216" t="inlineStr">
        <is>
          <t>Cardiac</t>
        </is>
      </c>
      <c r="E216" t="inlineStr">
        <is>
          <t>Pinnacle Biomedical</t>
        </is>
      </c>
      <c r="F216" t="inlineStr">
        <is>
          <t>Pair</t>
        </is>
      </c>
      <c r="G216" s="31" t="n">
        <v>41.27</v>
      </c>
      <c r="H216" t="inlineStr">
        <is>
          <t>Bluestone Memorial Hospital</t>
        </is>
      </c>
      <c r="I216" t="inlineStr">
        <is>
          <t>Perioperative Services</t>
        </is>
      </c>
      <c r="J216" t="n">
        <v>0</v>
      </c>
      <c r="K216" t="n">
        <v>195</v>
      </c>
      <c r="L216" t="n">
        <v>59</v>
      </c>
      <c r="M216" t="n">
        <v>136</v>
      </c>
      <c r="N216" t="n">
        <v>2</v>
      </c>
      <c r="O216" s="32" t="n">
        <v>45982</v>
      </c>
      <c r="P216" s="32" t="n">
        <v>46385</v>
      </c>
      <c r="Q216" t="inlineStr">
        <is>
          <t>L354334</t>
        </is>
      </c>
      <c r="R216" s="33" t="n"/>
      <c r="S216" s="34" t="n"/>
    </row>
    <row r="217">
      <c r="A217" t="inlineStr">
        <is>
          <t>STK4216</t>
        </is>
      </c>
      <c r="B217" t="inlineStr">
        <is>
          <t>SKU-10735</t>
        </is>
      </c>
      <c r="C217" t="inlineStr">
        <is>
          <t>Patient Gown, Standard</t>
        </is>
      </c>
      <c r="D217" t="inlineStr">
        <is>
          <t>Linens</t>
        </is>
      </c>
      <c r="E217" t="inlineStr">
        <is>
          <t>Harbor Health Products</t>
        </is>
      </c>
      <c r="F217" t="inlineStr">
        <is>
          <t>Dozen</t>
        </is>
      </c>
      <c r="G217" s="31" t="n">
        <v>39.37</v>
      </c>
      <c r="H217" t="inlineStr">
        <is>
          <t>Bluestone Memorial Hospital</t>
        </is>
      </c>
      <c r="I217" t="inlineStr">
        <is>
          <t>Medical-Surgical 4 West</t>
        </is>
      </c>
      <c r="J217" t="n">
        <v>171</v>
      </c>
      <c r="K217" t="n">
        <v>172</v>
      </c>
      <c r="L217" t="n">
        <v>56</v>
      </c>
      <c r="M217" t="n">
        <v>116</v>
      </c>
      <c r="N217" t="n">
        <v>5</v>
      </c>
      <c r="O217" s="32" t="n">
        <v>46015</v>
      </c>
      <c r="R217" s="33" t="n"/>
      <c r="S217" s="34" t="n"/>
    </row>
    <row r="218">
      <c r="A218" t="inlineStr">
        <is>
          <t>STK4217</t>
        </is>
      </c>
      <c r="B218" t="inlineStr">
        <is>
          <t>SKU-10735</t>
        </is>
      </c>
      <c r="C218" t="inlineStr">
        <is>
          <t>Patient Gown, Standard</t>
        </is>
      </c>
      <c r="D218" t="inlineStr">
        <is>
          <t>Linens</t>
        </is>
      </c>
      <c r="E218" t="inlineStr">
        <is>
          <t>Harbor Health Products</t>
        </is>
      </c>
      <c r="F218" t="inlineStr">
        <is>
          <t>Dozen</t>
        </is>
      </c>
      <c r="G218" s="31" t="n">
        <v>39.37</v>
      </c>
      <c r="H218" t="inlineStr">
        <is>
          <t>Bluestone Memorial Hospital</t>
        </is>
      </c>
      <c r="I218" t="inlineStr">
        <is>
          <t>Perioperative Services</t>
        </is>
      </c>
      <c r="J218" t="n">
        <v>18</v>
      </c>
      <c r="K218" t="n">
        <v>119</v>
      </c>
      <c r="L218" t="n">
        <v>36</v>
      </c>
      <c r="M218" t="n">
        <v>83</v>
      </c>
      <c r="N218" t="n">
        <v>5</v>
      </c>
      <c r="O218" s="32" t="n">
        <v>45990</v>
      </c>
      <c r="R218" s="33" t="n"/>
      <c r="S218" s="34" t="n"/>
    </row>
    <row r="219">
      <c r="A219" t="inlineStr">
        <is>
          <t>STK4218</t>
        </is>
      </c>
      <c r="B219" t="inlineStr">
        <is>
          <t>SKU-10742</t>
        </is>
      </c>
      <c r="C219" t="inlineStr">
        <is>
          <t>Patient Gown, Bariatric</t>
        </is>
      </c>
      <c r="D219" t="inlineStr">
        <is>
          <t>Linens</t>
        </is>
      </c>
      <c r="E219" t="inlineStr">
        <is>
          <t>Harbor Health Products</t>
        </is>
      </c>
      <c r="F219" t="inlineStr">
        <is>
          <t>Dozen</t>
        </is>
      </c>
      <c r="G219" s="31" t="n">
        <v>34.14</v>
      </c>
      <c r="H219" t="inlineStr">
        <is>
          <t>Bluestone Memorial Hospital</t>
        </is>
      </c>
      <c r="I219" t="inlineStr">
        <is>
          <t>Labor &amp; Delivery</t>
        </is>
      </c>
      <c r="J219" t="n">
        <v>329</v>
      </c>
      <c r="K219" t="n">
        <v>277</v>
      </c>
      <c r="L219" t="n">
        <v>92</v>
      </c>
      <c r="M219" t="n">
        <v>185</v>
      </c>
      <c r="N219" t="n">
        <v>5</v>
      </c>
      <c r="O219" s="32" t="n">
        <v>45986</v>
      </c>
      <c r="R219" s="33" t="n"/>
      <c r="S219" s="34" t="n"/>
    </row>
    <row r="220">
      <c r="A220" t="inlineStr">
        <is>
          <t>STK4219</t>
        </is>
      </c>
      <c r="B220" t="inlineStr">
        <is>
          <t>SKU-10742</t>
        </is>
      </c>
      <c r="C220" t="inlineStr">
        <is>
          <t>Patient Gown, Bariatric</t>
        </is>
      </c>
      <c r="D220" t="inlineStr">
        <is>
          <t>Linens</t>
        </is>
      </c>
      <c r="E220" t="inlineStr">
        <is>
          <t>Harbor Health Products</t>
        </is>
      </c>
      <c r="F220" t="inlineStr">
        <is>
          <t>Dozen</t>
        </is>
      </c>
      <c r="G220" s="31" t="n">
        <v>34.14</v>
      </c>
      <c r="H220" t="inlineStr">
        <is>
          <t>Bluestone Memorial Hospital</t>
        </is>
      </c>
      <c r="I220" t="inlineStr">
        <is>
          <t>Pediatrics</t>
        </is>
      </c>
      <c r="J220" t="n">
        <v>97</v>
      </c>
      <c r="K220" t="n">
        <v>98</v>
      </c>
      <c r="L220" t="n">
        <v>36</v>
      </c>
      <c r="M220" t="n">
        <v>62</v>
      </c>
      <c r="N220" t="n">
        <v>7</v>
      </c>
      <c r="O220" s="32" t="n">
        <v>45997</v>
      </c>
      <c r="R220" s="33" t="n"/>
      <c r="S220" s="34" t="n"/>
    </row>
    <row r="221">
      <c r="A221" t="inlineStr">
        <is>
          <t>STK4220</t>
        </is>
      </c>
      <c r="B221" t="inlineStr">
        <is>
          <t>SKU-10749</t>
        </is>
      </c>
      <c r="C221" t="inlineStr">
        <is>
          <t>Patient Gown, Pediatric</t>
        </is>
      </c>
      <c r="D221" t="inlineStr">
        <is>
          <t>Linens</t>
        </is>
      </c>
      <c r="E221" t="inlineStr">
        <is>
          <t>Harbor Health Products</t>
        </is>
      </c>
      <c r="F221" t="inlineStr">
        <is>
          <t>Dozen</t>
        </is>
      </c>
      <c r="G221" s="31" t="n">
        <v>35.76</v>
      </c>
      <c r="H221" t="inlineStr">
        <is>
          <t>Ashby Falls Community Hospital</t>
        </is>
      </c>
      <c r="I221" t="inlineStr">
        <is>
          <t>Medical-Surgical</t>
        </is>
      </c>
      <c r="J221" t="n">
        <v>165</v>
      </c>
      <c r="K221" t="n">
        <v>250</v>
      </c>
      <c r="L221" t="n">
        <v>77</v>
      </c>
      <c r="M221" t="n">
        <v>173</v>
      </c>
      <c r="N221" t="n">
        <v>10</v>
      </c>
      <c r="O221" s="32" t="n">
        <v>45998</v>
      </c>
      <c r="R221" s="33" t="n"/>
      <c r="S221" s="34" t="n"/>
    </row>
    <row r="222">
      <c r="A222" t="inlineStr">
        <is>
          <t>STK4221</t>
        </is>
      </c>
      <c r="B222" t="inlineStr">
        <is>
          <t>SKU-10756</t>
        </is>
      </c>
      <c r="C222" t="inlineStr">
        <is>
          <t>Bath Blanket</t>
        </is>
      </c>
      <c r="D222" t="inlineStr">
        <is>
          <t>Linens</t>
        </is>
      </c>
      <c r="E222" t="inlineStr">
        <is>
          <t>Harbor Health Products</t>
        </is>
      </c>
      <c r="F222" t="inlineStr">
        <is>
          <t>Dozen</t>
        </is>
      </c>
      <c r="G222" s="31" t="n">
        <v>47.3</v>
      </c>
      <c r="H222" t="inlineStr">
        <is>
          <t>Bluestone Memorial Hospital</t>
        </is>
      </c>
      <c r="I222" t="inlineStr">
        <is>
          <t>Labor &amp; Delivery</t>
        </is>
      </c>
      <c r="J222" t="n">
        <v>92</v>
      </c>
      <c r="K222" t="n">
        <v>69</v>
      </c>
      <c r="L222" t="n">
        <v>24</v>
      </c>
      <c r="M222" t="n">
        <v>45</v>
      </c>
      <c r="N222" t="n">
        <v>3</v>
      </c>
      <c r="O222" s="32" t="n">
        <v>45980</v>
      </c>
      <c r="R222" s="33" t="n"/>
      <c r="S222" s="34" t="n"/>
    </row>
    <row r="223">
      <c r="A223" t="inlineStr">
        <is>
          <t>STK4222</t>
        </is>
      </c>
      <c r="B223" t="inlineStr">
        <is>
          <t>SKU-10756</t>
        </is>
      </c>
      <c r="C223" t="inlineStr">
        <is>
          <t>Bath Blanket</t>
        </is>
      </c>
      <c r="D223" t="inlineStr">
        <is>
          <t>Linens</t>
        </is>
      </c>
      <c r="E223" t="inlineStr">
        <is>
          <t>Harbor Health Products</t>
        </is>
      </c>
      <c r="F223" t="inlineStr">
        <is>
          <t>Dozen</t>
        </is>
      </c>
      <c r="G223" s="31" t="n">
        <v>47.3</v>
      </c>
      <c r="H223" t="inlineStr">
        <is>
          <t>Ashby Falls Community Hospital</t>
        </is>
      </c>
      <c r="I223" t="inlineStr">
        <is>
          <t>Emergency Department</t>
        </is>
      </c>
      <c r="J223" t="n">
        <v>227</v>
      </c>
      <c r="K223" t="n">
        <v>288</v>
      </c>
      <c r="L223" t="n">
        <v>107</v>
      </c>
      <c r="M223" t="n">
        <v>181</v>
      </c>
      <c r="N223" t="n">
        <v>3</v>
      </c>
      <c r="O223" s="32" t="n">
        <v>46004</v>
      </c>
      <c r="R223" s="33" t="n"/>
      <c r="S223" s="34" t="n"/>
    </row>
    <row r="224">
      <c r="A224" t="inlineStr">
        <is>
          <t>STK4223</t>
        </is>
      </c>
      <c r="B224" t="inlineStr">
        <is>
          <t>SKU-10763</t>
        </is>
      </c>
      <c r="C224" t="inlineStr">
        <is>
          <t>Fitted Bed Sheet</t>
        </is>
      </c>
      <c r="D224" t="inlineStr">
        <is>
          <t>Linens</t>
        </is>
      </c>
      <c r="E224" t="inlineStr">
        <is>
          <t>Harbor Health Products</t>
        </is>
      </c>
      <c r="F224" t="inlineStr">
        <is>
          <t>Dozen</t>
        </is>
      </c>
      <c r="G224" s="31" t="n">
        <v>47.86</v>
      </c>
      <c r="H224" t="inlineStr">
        <is>
          <t>Bluestone Memorial Hospital</t>
        </is>
      </c>
      <c r="I224" t="inlineStr">
        <is>
          <t>Labor &amp; Delivery</t>
        </is>
      </c>
      <c r="J224" t="n">
        <v>24</v>
      </c>
      <c r="K224" t="n">
        <v>54</v>
      </c>
      <c r="L224" t="n">
        <v>18</v>
      </c>
      <c r="M224" t="n">
        <v>36</v>
      </c>
      <c r="N224" t="n">
        <v>10</v>
      </c>
      <c r="O224" s="32" t="n">
        <v>45999</v>
      </c>
      <c r="R224" s="33" t="n"/>
      <c r="S224" s="34" t="n"/>
    </row>
    <row r="225">
      <c r="A225" t="inlineStr">
        <is>
          <t>STK4224</t>
        </is>
      </c>
      <c r="B225" t="inlineStr">
        <is>
          <t>SKU-10763</t>
        </is>
      </c>
      <c r="C225" t="inlineStr">
        <is>
          <t>Fitted Bed Sheet</t>
        </is>
      </c>
      <c r="D225" t="inlineStr">
        <is>
          <t>Linens</t>
        </is>
      </c>
      <c r="E225" t="inlineStr">
        <is>
          <t>Harbor Health Products</t>
        </is>
      </c>
      <c r="F225" t="inlineStr">
        <is>
          <t>Dozen</t>
        </is>
      </c>
      <c r="G225" s="31" t="n">
        <v>47.86</v>
      </c>
      <c r="H225" t="inlineStr">
        <is>
          <t>Bluestone Memorial Hospital</t>
        </is>
      </c>
      <c r="I225" t="inlineStr">
        <is>
          <t>Laboratory</t>
        </is>
      </c>
      <c r="J225" t="n">
        <v>241</v>
      </c>
      <c r="K225" t="n">
        <v>187</v>
      </c>
      <c r="L225" t="n">
        <v>70</v>
      </c>
      <c r="M225" t="n">
        <v>117</v>
      </c>
      <c r="N225" t="n">
        <v>7</v>
      </c>
      <c r="O225" s="32" t="n">
        <v>45991</v>
      </c>
      <c r="R225" s="33" t="n"/>
      <c r="S225" s="34" t="n"/>
    </row>
    <row r="226">
      <c r="A226" t="inlineStr">
        <is>
          <t>STK4225</t>
        </is>
      </c>
      <c r="B226" t="inlineStr">
        <is>
          <t>SKU-10770</t>
        </is>
      </c>
      <c r="C226" t="inlineStr">
        <is>
          <t>Foley Catheter Tray 14 Fr</t>
        </is>
      </c>
      <c r="D226" t="inlineStr">
        <is>
          <t>Patient Care</t>
        </is>
      </c>
      <c r="E226" t="inlineStr">
        <is>
          <t>Northstar Medical Supply</t>
        </is>
      </c>
      <c r="F226" t="inlineStr">
        <is>
          <t>Each</t>
        </is>
      </c>
      <c r="G226" s="31" t="n">
        <v>10.41</v>
      </c>
      <c r="H226" t="inlineStr">
        <is>
          <t>Bluestone Memorial Hospital</t>
        </is>
      </c>
      <c r="I226" t="inlineStr">
        <is>
          <t>Cardiac Step-Down</t>
        </is>
      </c>
      <c r="J226" t="n">
        <v>204</v>
      </c>
      <c r="K226" t="n">
        <v>318</v>
      </c>
      <c r="L226" t="n">
        <v>112</v>
      </c>
      <c r="M226" t="n">
        <v>206</v>
      </c>
      <c r="N226" t="n">
        <v>7</v>
      </c>
      <c r="O226" s="32" t="n">
        <v>45999</v>
      </c>
      <c r="P226" s="32" t="n">
        <v>46298</v>
      </c>
      <c r="Q226" t="inlineStr">
        <is>
          <t>L963468</t>
        </is>
      </c>
      <c r="R226" s="33" t="n"/>
      <c r="S226" s="34" t="n"/>
    </row>
    <row r="227">
      <c r="A227" t="inlineStr">
        <is>
          <t>STK4226</t>
        </is>
      </c>
      <c r="B227" t="inlineStr">
        <is>
          <t>SKU-10770</t>
        </is>
      </c>
      <c r="C227" t="inlineStr">
        <is>
          <t>Foley Catheter Tray 14 Fr</t>
        </is>
      </c>
      <c r="D227" t="inlineStr">
        <is>
          <t>Patient Care</t>
        </is>
      </c>
      <c r="E227" t="inlineStr">
        <is>
          <t>Northstar Medical Supply</t>
        </is>
      </c>
      <c r="F227" t="inlineStr">
        <is>
          <t>Each</t>
        </is>
      </c>
      <c r="G227" s="31" t="n">
        <v>10.41</v>
      </c>
      <c r="H227" t="inlineStr">
        <is>
          <t>Bluestone Memorial Hospital</t>
        </is>
      </c>
      <c r="I227" t="inlineStr">
        <is>
          <t>Oncology</t>
        </is>
      </c>
      <c r="J227" t="n">
        <v>58</v>
      </c>
      <c r="K227" t="n">
        <v>163</v>
      </c>
      <c r="L227" t="n">
        <v>41</v>
      </c>
      <c r="M227" t="n">
        <v>122</v>
      </c>
      <c r="N227" t="n">
        <v>14</v>
      </c>
      <c r="O227" s="32" t="n">
        <v>46007</v>
      </c>
      <c r="P227" s="32" t="n">
        <v>46855</v>
      </c>
      <c r="Q227" t="inlineStr">
        <is>
          <t>L257408</t>
        </is>
      </c>
      <c r="R227" s="33" t="n"/>
      <c r="S227" s="34" t="n"/>
    </row>
    <row r="228">
      <c r="A228" t="inlineStr">
        <is>
          <t>STK4227</t>
        </is>
      </c>
      <c r="B228" t="inlineStr">
        <is>
          <t>SKU-10777</t>
        </is>
      </c>
      <c r="C228" t="inlineStr">
        <is>
          <t>Foley Catheter Tray 16 Fr</t>
        </is>
      </c>
      <c r="D228" t="inlineStr">
        <is>
          <t>Patient Care</t>
        </is>
      </c>
      <c r="E228" t="inlineStr">
        <is>
          <t>Northstar Medical Supply</t>
        </is>
      </c>
      <c r="F228" t="inlineStr">
        <is>
          <t>Each</t>
        </is>
      </c>
      <c r="G228" s="31" t="n">
        <v>11.86</v>
      </c>
      <c r="H228" t="inlineStr">
        <is>
          <t>Bluestone Memorial Hospital</t>
        </is>
      </c>
      <c r="I228" t="inlineStr">
        <is>
          <t>Emergency Department</t>
        </is>
      </c>
      <c r="J228" t="n">
        <v>257</v>
      </c>
      <c r="K228" t="n">
        <v>235</v>
      </c>
      <c r="L228" t="n">
        <v>63</v>
      </c>
      <c r="M228" t="n">
        <v>172</v>
      </c>
      <c r="N228" t="n">
        <v>2</v>
      </c>
      <c r="O228" s="32" t="n">
        <v>45992</v>
      </c>
      <c r="P228" s="32" t="n">
        <v>46966</v>
      </c>
      <c r="Q228" t="inlineStr">
        <is>
          <t>L603441</t>
        </is>
      </c>
      <c r="R228" s="33" t="n"/>
      <c r="S228" s="34" t="n"/>
    </row>
    <row r="229">
      <c r="A229" t="inlineStr">
        <is>
          <t>STK4228</t>
        </is>
      </c>
      <c r="B229" t="inlineStr">
        <is>
          <t>SKU-10777</t>
        </is>
      </c>
      <c r="C229" t="inlineStr">
        <is>
          <t>Foley Catheter Tray 16 Fr</t>
        </is>
      </c>
      <c r="D229" t="inlineStr">
        <is>
          <t>Patient Care</t>
        </is>
      </c>
      <c r="E229" t="inlineStr">
        <is>
          <t>Northstar Medical Supply</t>
        </is>
      </c>
      <c r="F229" t="inlineStr">
        <is>
          <t>Each</t>
        </is>
      </c>
      <c r="G229" s="31" t="n">
        <v>11.86</v>
      </c>
      <c r="H229" t="inlineStr">
        <is>
          <t>Bluestone Memorial Hospital</t>
        </is>
      </c>
      <c r="I229" t="inlineStr">
        <is>
          <t>Intensive Care Unit</t>
        </is>
      </c>
      <c r="J229" t="n">
        <v>143</v>
      </c>
      <c r="K229" t="n">
        <v>175</v>
      </c>
      <c r="L229" t="n">
        <v>64</v>
      </c>
      <c r="M229" t="n">
        <v>111</v>
      </c>
      <c r="N229" t="n">
        <v>2</v>
      </c>
      <c r="O229" s="32" t="n">
        <v>45982</v>
      </c>
      <c r="P229" s="32" t="n">
        <v>46607</v>
      </c>
      <c r="Q229" t="inlineStr">
        <is>
          <t>L771391</t>
        </is>
      </c>
      <c r="R229" s="33" t="n"/>
      <c r="S229" s="34" t="n"/>
    </row>
    <row r="230">
      <c r="A230" t="inlineStr">
        <is>
          <t>STK4229</t>
        </is>
      </c>
      <c r="B230" t="inlineStr">
        <is>
          <t>SKU-10777</t>
        </is>
      </c>
      <c r="C230" t="inlineStr">
        <is>
          <t>Foley Catheter Tray 16 Fr</t>
        </is>
      </c>
      <c r="D230" t="inlineStr">
        <is>
          <t>Patient Care</t>
        </is>
      </c>
      <c r="E230" t="inlineStr">
        <is>
          <t>Northstar Medical Supply</t>
        </is>
      </c>
      <c r="F230" t="inlineStr">
        <is>
          <t>Each</t>
        </is>
      </c>
      <c r="G230" s="31" t="n">
        <v>11.86</v>
      </c>
      <c r="H230" t="inlineStr">
        <is>
          <t>Bluestone Memorial Hospital</t>
        </is>
      </c>
      <c r="I230" t="inlineStr">
        <is>
          <t>Labor &amp; Delivery</t>
        </is>
      </c>
      <c r="J230" t="n">
        <v>208</v>
      </c>
      <c r="K230" t="n">
        <v>546</v>
      </c>
      <c r="L230" t="n">
        <v>174</v>
      </c>
      <c r="M230" t="n">
        <v>372</v>
      </c>
      <c r="N230" t="n">
        <v>2</v>
      </c>
      <c r="O230" s="32" t="n">
        <v>46011</v>
      </c>
      <c r="P230" s="32" t="n">
        <v>46379</v>
      </c>
      <c r="Q230" t="inlineStr">
        <is>
          <t>L622391</t>
        </is>
      </c>
      <c r="R230" s="33" t="n"/>
      <c r="S230" s="34" t="n"/>
    </row>
    <row r="231">
      <c r="A231" t="inlineStr">
        <is>
          <t>STK4230</t>
        </is>
      </c>
      <c r="B231" t="inlineStr">
        <is>
          <t>SKU-10784</t>
        </is>
      </c>
      <c r="C231" t="inlineStr">
        <is>
          <t>Foley Catheter Tray 18 Fr</t>
        </is>
      </c>
      <c r="D231" t="inlineStr">
        <is>
          <t>Patient Care</t>
        </is>
      </c>
      <c r="E231" t="inlineStr">
        <is>
          <t>Northstar Medical Supply</t>
        </is>
      </c>
      <c r="F231" t="inlineStr">
        <is>
          <t>Each</t>
        </is>
      </c>
      <c r="G231" s="31" t="n">
        <v>11.62</v>
      </c>
      <c r="H231" t="inlineStr">
        <is>
          <t>Bluestone Memorial Hospital</t>
        </is>
      </c>
      <c r="I231" t="inlineStr">
        <is>
          <t>Medical-Surgical 4 West</t>
        </is>
      </c>
      <c r="J231" t="n">
        <v>240</v>
      </c>
      <c r="K231" t="n">
        <v>255</v>
      </c>
      <c r="L231" t="n">
        <v>101</v>
      </c>
      <c r="M231" t="n">
        <v>154</v>
      </c>
      <c r="N231" t="n">
        <v>7</v>
      </c>
      <c r="O231" s="32" t="n">
        <v>46005</v>
      </c>
      <c r="P231" s="32" t="n">
        <v>46553</v>
      </c>
      <c r="Q231" t="inlineStr">
        <is>
          <t>L216747</t>
        </is>
      </c>
      <c r="R231" s="33" t="n"/>
      <c r="S231" s="34" t="n"/>
    </row>
    <row r="232">
      <c r="A232" t="inlineStr">
        <is>
          <t>STK4231</t>
        </is>
      </c>
      <c r="B232" t="inlineStr">
        <is>
          <t>SKU-10784</t>
        </is>
      </c>
      <c r="C232" t="inlineStr">
        <is>
          <t>Foley Catheter Tray 18 Fr</t>
        </is>
      </c>
      <c r="D232" t="inlineStr">
        <is>
          <t>Patient Care</t>
        </is>
      </c>
      <c r="E232" t="inlineStr">
        <is>
          <t>Northstar Medical Supply</t>
        </is>
      </c>
      <c r="F232" t="inlineStr">
        <is>
          <t>Each</t>
        </is>
      </c>
      <c r="G232" s="31" t="n">
        <v>11.62</v>
      </c>
      <c r="H232" t="inlineStr">
        <is>
          <t>Bluestone Memorial Hospital</t>
        </is>
      </c>
      <c r="I232" t="inlineStr">
        <is>
          <t>Orthopedics &amp; Spine</t>
        </is>
      </c>
      <c r="J232" t="n">
        <v>270</v>
      </c>
      <c r="K232" t="n">
        <v>211</v>
      </c>
      <c r="L232" t="n">
        <v>65</v>
      </c>
      <c r="M232" t="n">
        <v>146</v>
      </c>
      <c r="N232" t="n">
        <v>3</v>
      </c>
      <c r="O232" s="32" t="n">
        <v>46015</v>
      </c>
      <c r="P232" s="32" t="n">
        <v>45967</v>
      </c>
      <c r="Q232" t="inlineStr">
        <is>
          <t>L245650</t>
        </is>
      </c>
      <c r="R232" s="33" t="n"/>
      <c r="S232" s="34" t="n"/>
    </row>
    <row r="233">
      <c r="A233" t="inlineStr">
        <is>
          <t>STK4232</t>
        </is>
      </c>
      <c r="B233" t="inlineStr">
        <is>
          <t>SKU-10791</t>
        </is>
      </c>
      <c r="C233" t="inlineStr">
        <is>
          <t>Incontinence Brief, Medium (Pack/18)</t>
        </is>
      </c>
      <c r="D233" t="inlineStr">
        <is>
          <t>Patient Care</t>
        </is>
      </c>
      <c r="E233" t="inlineStr">
        <is>
          <t>CareLine Distributors</t>
        </is>
      </c>
      <c r="F233" t="inlineStr">
        <is>
          <t>Pack</t>
        </is>
      </c>
      <c r="G233" s="31" t="n">
        <v>11.72</v>
      </c>
      <c r="H233" t="inlineStr">
        <is>
          <t>Bluestone Memorial Hospital</t>
        </is>
      </c>
      <c r="I233" t="inlineStr">
        <is>
          <t>Emergency Department</t>
        </is>
      </c>
      <c r="J233" t="n">
        <v>463</v>
      </c>
      <c r="K233" t="n">
        <v>580</v>
      </c>
      <c r="L233" t="n">
        <v>197</v>
      </c>
      <c r="M233" t="n">
        <v>383</v>
      </c>
      <c r="N233" t="n">
        <v>3</v>
      </c>
      <c r="O233" s="32" t="n">
        <v>46003</v>
      </c>
      <c r="R233" s="33" t="n"/>
      <c r="S233" s="34" t="n"/>
    </row>
    <row r="234">
      <c r="A234" t="inlineStr">
        <is>
          <t>STK4233</t>
        </is>
      </c>
      <c r="B234" t="inlineStr">
        <is>
          <t>SKU-10791</t>
        </is>
      </c>
      <c r="C234" t="inlineStr">
        <is>
          <t>Incontinence Brief, Medium (Pack/18)</t>
        </is>
      </c>
      <c r="D234" t="inlineStr">
        <is>
          <t>Patient Care</t>
        </is>
      </c>
      <c r="E234" t="inlineStr">
        <is>
          <t>CareLine Distributors</t>
        </is>
      </c>
      <c r="F234" t="inlineStr">
        <is>
          <t>Pack</t>
        </is>
      </c>
      <c r="G234" s="31" t="n">
        <v>11.72</v>
      </c>
      <c r="H234" t="inlineStr">
        <is>
          <t>Bluestone Memorial Hospital</t>
        </is>
      </c>
      <c r="I234" t="inlineStr">
        <is>
          <t>Intensive Care Unit</t>
        </is>
      </c>
      <c r="J234" t="n">
        <v>419</v>
      </c>
      <c r="K234" t="n">
        <v>343</v>
      </c>
      <c r="L234" t="n">
        <v>90</v>
      </c>
      <c r="M234" t="n">
        <v>253</v>
      </c>
      <c r="N234" t="n">
        <v>2</v>
      </c>
      <c r="O234" s="32" t="n">
        <v>46010</v>
      </c>
      <c r="R234" s="33" t="n"/>
      <c r="S234" s="34" t="n"/>
    </row>
    <row r="235">
      <c r="A235" t="inlineStr">
        <is>
          <t>STK4234</t>
        </is>
      </c>
      <c r="B235" t="inlineStr">
        <is>
          <t>SKU-10791</t>
        </is>
      </c>
      <c r="C235" t="inlineStr">
        <is>
          <t>Incontinence Brief, Medium (Pack/18)</t>
        </is>
      </c>
      <c r="D235" t="inlineStr">
        <is>
          <t>Patient Care</t>
        </is>
      </c>
      <c r="E235" t="inlineStr">
        <is>
          <t>CareLine Distributors</t>
        </is>
      </c>
      <c r="F235" t="inlineStr">
        <is>
          <t>Pack</t>
        </is>
      </c>
      <c r="G235" s="31" t="n">
        <v>11.72</v>
      </c>
      <c r="H235" t="inlineStr">
        <is>
          <t>Ashby Falls Community Hospital</t>
        </is>
      </c>
      <c r="I235" t="inlineStr">
        <is>
          <t>Medical-Surgical</t>
        </is>
      </c>
      <c r="J235" t="n">
        <v>102</v>
      </c>
      <c r="K235" t="n">
        <v>206</v>
      </c>
      <c r="L235" t="n">
        <v>75</v>
      </c>
      <c r="M235" t="n">
        <v>131</v>
      </c>
      <c r="N235" t="n">
        <v>3</v>
      </c>
      <c r="O235" s="32" t="n">
        <v>46014</v>
      </c>
      <c r="R235" s="33" t="n"/>
      <c r="S235" s="34" t="n"/>
    </row>
    <row r="236">
      <c r="A236" t="inlineStr">
        <is>
          <t>STK4235</t>
        </is>
      </c>
      <c r="B236" t="inlineStr">
        <is>
          <t>SKU-10798</t>
        </is>
      </c>
      <c r="C236" t="inlineStr">
        <is>
          <t>Incontinence Brief, Large (Pack/18)</t>
        </is>
      </c>
      <c r="D236" t="inlineStr">
        <is>
          <t>Patient Care</t>
        </is>
      </c>
      <c r="E236" t="inlineStr">
        <is>
          <t>CareLine Distributors</t>
        </is>
      </c>
      <c r="F236" t="inlineStr">
        <is>
          <t>Pack</t>
        </is>
      </c>
      <c r="G236" s="31" t="n">
        <v>11.62</v>
      </c>
      <c r="H236" t="inlineStr">
        <is>
          <t>Bluestone Memorial Hospital</t>
        </is>
      </c>
      <c r="I236" t="inlineStr">
        <is>
          <t>Orthopedics &amp; Spine</t>
        </is>
      </c>
      <c r="J236" t="n">
        <v>217</v>
      </c>
      <c r="K236" t="n">
        <v>244</v>
      </c>
      <c r="L236" t="n">
        <v>93</v>
      </c>
      <c r="M236" t="n">
        <v>151</v>
      </c>
      <c r="N236" t="n">
        <v>10</v>
      </c>
      <c r="O236" s="32" t="n">
        <v>46005</v>
      </c>
      <c r="R236" s="33" t="n"/>
      <c r="S236" s="34" t="n"/>
    </row>
    <row r="237">
      <c r="A237" t="inlineStr">
        <is>
          <t>STK4236</t>
        </is>
      </c>
      <c r="B237" t="inlineStr">
        <is>
          <t>SKU-10798</t>
        </is>
      </c>
      <c r="C237" t="inlineStr">
        <is>
          <t>Incontinence Brief, Large (Pack/18)</t>
        </is>
      </c>
      <c r="D237" t="inlineStr">
        <is>
          <t>Patient Care</t>
        </is>
      </c>
      <c r="E237" t="inlineStr">
        <is>
          <t>CareLine Distributors</t>
        </is>
      </c>
      <c r="F237" t="inlineStr">
        <is>
          <t>Pack</t>
        </is>
      </c>
      <c r="G237" s="31" t="n">
        <v>11.62</v>
      </c>
      <c r="H237" t="inlineStr">
        <is>
          <t>Bluestone Memorial Hospital</t>
        </is>
      </c>
      <c r="I237" t="inlineStr">
        <is>
          <t>Labor &amp; Delivery</t>
        </is>
      </c>
      <c r="J237" t="n">
        <v>76</v>
      </c>
      <c r="K237" t="n">
        <v>258</v>
      </c>
      <c r="L237" t="n">
        <v>65</v>
      </c>
      <c r="M237" t="n">
        <v>193</v>
      </c>
      <c r="N237" t="n">
        <v>10</v>
      </c>
      <c r="O237" s="32" t="n">
        <v>46009</v>
      </c>
      <c r="R237" s="33" t="n"/>
      <c r="S237" s="34" t="n"/>
    </row>
    <row r="238">
      <c r="A238" t="inlineStr">
        <is>
          <t>STK4237</t>
        </is>
      </c>
      <c r="B238" t="inlineStr">
        <is>
          <t>SKU-10805</t>
        </is>
      </c>
      <c r="C238" t="inlineStr">
        <is>
          <t>Incontinence Brief, X-Large (Pack/18)</t>
        </is>
      </c>
      <c r="D238" t="inlineStr">
        <is>
          <t>Patient Care</t>
        </is>
      </c>
      <c r="E238" t="inlineStr">
        <is>
          <t>CareLine Distributors</t>
        </is>
      </c>
      <c r="F238" t="inlineStr">
        <is>
          <t>Pack</t>
        </is>
      </c>
      <c r="G238" s="31" t="n">
        <v>12.06</v>
      </c>
      <c r="H238" t="inlineStr">
        <is>
          <t>Bluestone Memorial Hospital</t>
        </is>
      </c>
      <c r="I238" t="inlineStr">
        <is>
          <t>Pediatrics</t>
        </is>
      </c>
      <c r="J238" t="n">
        <v>97</v>
      </c>
      <c r="K238" t="n">
        <v>300</v>
      </c>
      <c r="L238" t="n">
        <v>105</v>
      </c>
      <c r="M238" t="n">
        <v>195</v>
      </c>
      <c r="N238" t="n">
        <v>10</v>
      </c>
      <c r="O238" s="32" t="n">
        <v>46022</v>
      </c>
      <c r="R238" s="33" t="n"/>
      <c r="S238" s="34" t="n"/>
    </row>
    <row r="239">
      <c r="A239" t="inlineStr">
        <is>
          <t>STK4238</t>
        </is>
      </c>
      <c r="B239" t="inlineStr">
        <is>
          <t>SKU-10805</t>
        </is>
      </c>
      <c r="C239" t="inlineStr">
        <is>
          <t>Incontinence Brief, X-Large (Pack/18)</t>
        </is>
      </c>
      <c r="D239" t="inlineStr">
        <is>
          <t>Patient Care</t>
        </is>
      </c>
      <c r="E239" t="inlineStr">
        <is>
          <t>CareLine Distributors</t>
        </is>
      </c>
      <c r="F239" t="inlineStr">
        <is>
          <t>Pack</t>
        </is>
      </c>
      <c r="G239" s="31" t="n">
        <v>12.06</v>
      </c>
      <c r="H239" t="inlineStr">
        <is>
          <t>Bluestone Memorial Hospital</t>
        </is>
      </c>
      <c r="I239" t="inlineStr">
        <is>
          <t>Laboratory</t>
        </is>
      </c>
      <c r="J239" t="n">
        <v>198</v>
      </c>
      <c r="K239" t="n">
        <v>450</v>
      </c>
      <c r="L239" t="n">
        <v>123</v>
      </c>
      <c r="M239" t="n">
        <v>327</v>
      </c>
      <c r="N239" t="n">
        <v>7</v>
      </c>
      <c r="O239" s="32" t="n">
        <v>45987</v>
      </c>
      <c r="R239" s="33" t="n"/>
      <c r="S239" s="34" t="n"/>
    </row>
    <row r="240">
      <c r="A240" t="inlineStr">
        <is>
          <t>STK4239</t>
        </is>
      </c>
      <c r="B240" t="inlineStr">
        <is>
          <t>SKU-10812</t>
        </is>
      </c>
      <c r="C240" t="inlineStr">
        <is>
          <t>Thermometer Probe Covers (Box/200)</t>
        </is>
      </c>
      <c r="D240" t="inlineStr">
        <is>
          <t>Patient Care</t>
        </is>
      </c>
      <c r="E240" t="inlineStr">
        <is>
          <t>Northstar Medical Supply</t>
        </is>
      </c>
      <c r="F240" t="inlineStr">
        <is>
          <t>Box</t>
        </is>
      </c>
      <c r="G240" s="31" t="n">
        <v>9.17</v>
      </c>
      <c r="H240" t="inlineStr">
        <is>
          <t>Ashby Falls Community Hospital</t>
        </is>
      </c>
      <c r="I240" t="inlineStr">
        <is>
          <t>Emergency Department</t>
        </is>
      </c>
      <c r="J240" t="n">
        <v>12</v>
      </c>
      <c r="K240" t="n">
        <v>195</v>
      </c>
      <c r="L240" t="n">
        <v>64</v>
      </c>
      <c r="M240" t="n">
        <v>131</v>
      </c>
      <c r="N240" t="n">
        <v>10</v>
      </c>
      <c r="O240" s="32" t="n">
        <v>45998</v>
      </c>
      <c r="R240" s="33" t="n"/>
      <c r="S240" s="34" t="n"/>
    </row>
    <row r="241">
      <c r="A241" t="inlineStr">
        <is>
          <t>STK4240</t>
        </is>
      </c>
      <c r="B241" t="inlineStr">
        <is>
          <t>SKU-10812</t>
        </is>
      </c>
      <c r="C241" t="inlineStr">
        <is>
          <t>Thermometer Probe Covers (Box/200)</t>
        </is>
      </c>
      <c r="D241" t="inlineStr">
        <is>
          <t>Patient Care</t>
        </is>
      </c>
      <c r="E241" t="inlineStr">
        <is>
          <t>Northstar Medical Supply</t>
        </is>
      </c>
      <c r="F241" t="inlineStr">
        <is>
          <t>Box</t>
        </is>
      </c>
      <c r="G241" s="31" t="n">
        <v>9.17</v>
      </c>
      <c r="H241" t="inlineStr">
        <is>
          <t>Ashby Falls Community Hospital</t>
        </is>
      </c>
      <c r="I241" t="inlineStr">
        <is>
          <t>Medical-Surgical</t>
        </is>
      </c>
      <c r="J241" t="n">
        <v>318</v>
      </c>
      <c r="K241" t="n">
        <v>800</v>
      </c>
      <c r="L241" t="n">
        <v>207</v>
      </c>
      <c r="M241" t="n">
        <v>593</v>
      </c>
      <c r="N241" t="n">
        <v>2</v>
      </c>
      <c r="O241" s="32" t="n">
        <v>46017</v>
      </c>
      <c r="R241" s="33" t="n"/>
      <c r="S241" s="34" t="n"/>
    </row>
    <row r="242">
      <c r="A242" t="inlineStr">
        <is>
          <t>STK4241</t>
        </is>
      </c>
      <c r="B242" t="inlineStr">
        <is>
          <t>SKU-10819</t>
        </is>
      </c>
      <c r="C242" t="inlineStr">
        <is>
          <t>Disposable Washcloths (Pack/8)</t>
        </is>
      </c>
      <c r="D242" t="inlineStr">
        <is>
          <t>Patient Care</t>
        </is>
      </c>
      <c r="E242" t="inlineStr">
        <is>
          <t>CareLine Distributors</t>
        </is>
      </c>
      <c r="F242" t="inlineStr">
        <is>
          <t>Pack</t>
        </is>
      </c>
      <c r="G242" s="31" t="n">
        <v>1.99</v>
      </c>
      <c r="H242" t="inlineStr">
        <is>
          <t>Bluestone Memorial Hospital</t>
        </is>
      </c>
      <c r="I242" t="inlineStr">
        <is>
          <t>Cardiac Step-Down</t>
        </is>
      </c>
      <c r="J242" t="n">
        <v>345</v>
      </c>
      <c r="K242" t="n">
        <v>800</v>
      </c>
      <c r="L242" t="n">
        <v>237</v>
      </c>
      <c r="M242" t="n">
        <v>563</v>
      </c>
      <c r="N242" t="n">
        <v>7</v>
      </c>
      <c r="O242" s="32" t="n">
        <v>45987</v>
      </c>
      <c r="R242" s="33" t="n"/>
      <c r="S242" s="34" t="n"/>
    </row>
    <row r="243">
      <c r="A243" t="inlineStr">
        <is>
          <t>STK4242</t>
        </is>
      </c>
      <c r="B243" t="inlineStr">
        <is>
          <t>SKU-10819</t>
        </is>
      </c>
      <c r="C243" t="inlineStr">
        <is>
          <t>Disposable Washcloths (Pack/8)</t>
        </is>
      </c>
      <c r="D243" t="inlineStr">
        <is>
          <t>Patient Care</t>
        </is>
      </c>
      <c r="E243" t="inlineStr">
        <is>
          <t>CareLine Distributors</t>
        </is>
      </c>
      <c r="F243" t="inlineStr">
        <is>
          <t>Pack</t>
        </is>
      </c>
      <c r="G243" s="31" t="n">
        <v>1.99</v>
      </c>
      <c r="H243" t="inlineStr">
        <is>
          <t>Cedar Ridge Medical Center</t>
        </is>
      </c>
      <c r="I243" t="inlineStr">
        <is>
          <t>Emergency Department</t>
        </is>
      </c>
      <c r="J243" t="n">
        <v>303</v>
      </c>
      <c r="K243" t="n">
        <v>800</v>
      </c>
      <c r="L243" t="n">
        <v>297</v>
      </c>
      <c r="M243" t="n">
        <v>503</v>
      </c>
      <c r="N243" t="n">
        <v>3</v>
      </c>
      <c r="O243" s="32" t="n">
        <v>46015</v>
      </c>
      <c r="R243" s="33" t="n"/>
      <c r="S243" s="34" t="n"/>
    </row>
    <row r="244">
      <c r="A244" t="inlineStr">
        <is>
          <t>STK4243</t>
        </is>
      </c>
      <c r="B244" t="inlineStr">
        <is>
          <t>SKU-10826</t>
        </is>
      </c>
      <c r="C244" t="inlineStr">
        <is>
          <t>Sequential Compression Sleeve, Knee Length</t>
        </is>
      </c>
      <c r="D244" t="inlineStr">
        <is>
          <t>Patient Care</t>
        </is>
      </c>
      <c r="E244" t="inlineStr">
        <is>
          <t>Pinnacle Biomedical</t>
        </is>
      </c>
      <c r="F244" t="inlineStr">
        <is>
          <t>Pair</t>
        </is>
      </c>
      <c r="G244" s="31" t="n">
        <v>34.27</v>
      </c>
      <c r="H244" t="inlineStr">
        <is>
          <t>Bluestone Memorial Hospital</t>
        </is>
      </c>
      <c r="I244" t="inlineStr">
        <is>
          <t>Labor &amp; Delivery</t>
        </is>
      </c>
      <c r="J244" t="n">
        <v>102</v>
      </c>
      <c r="K244" t="n">
        <v>236</v>
      </c>
      <c r="L244" t="n">
        <v>90</v>
      </c>
      <c r="M244" t="n">
        <v>146</v>
      </c>
      <c r="N244" t="n">
        <v>3</v>
      </c>
      <c r="O244" s="32" t="n">
        <v>46017</v>
      </c>
      <c r="R244" s="33" t="n"/>
      <c r="S244" s="34" t="n"/>
    </row>
    <row r="245">
      <c r="A245" t="inlineStr">
        <is>
          <t>STK4244</t>
        </is>
      </c>
      <c r="B245" t="inlineStr">
        <is>
          <t>SKU-10833</t>
        </is>
      </c>
      <c r="C245" t="inlineStr">
        <is>
          <t>Sequential Compression Sleeve, Thigh Length</t>
        </is>
      </c>
      <c r="D245" t="inlineStr">
        <is>
          <t>Patient Care</t>
        </is>
      </c>
      <c r="E245" t="inlineStr">
        <is>
          <t>Pinnacle Biomedical</t>
        </is>
      </c>
      <c r="F245" t="inlineStr">
        <is>
          <t>Pair</t>
        </is>
      </c>
      <c r="G245" s="31" t="n">
        <v>30.74</v>
      </c>
      <c r="H245" t="inlineStr">
        <is>
          <t>Bluestone Memorial Hospital</t>
        </is>
      </c>
      <c r="I245" t="inlineStr">
        <is>
          <t>Intensive Care Unit</t>
        </is>
      </c>
      <c r="J245" t="n">
        <v>7</v>
      </c>
      <c r="K245" t="n">
        <v>167</v>
      </c>
      <c r="L245" t="n">
        <v>42</v>
      </c>
      <c r="M245" t="n">
        <v>125</v>
      </c>
      <c r="N245" t="n">
        <v>5</v>
      </c>
      <c r="O245" s="32" t="n">
        <v>46002</v>
      </c>
      <c r="R245" s="33" t="n"/>
      <c r="S245" s="34" t="n"/>
    </row>
    <row r="246">
      <c r="A246" t="inlineStr">
        <is>
          <t>STK4245</t>
        </is>
      </c>
      <c r="B246" t="inlineStr">
        <is>
          <t>SKU-10840</t>
        </is>
      </c>
      <c r="C246" t="inlineStr">
        <is>
          <t>Hand Sanitizer Foam 1000 mL</t>
        </is>
      </c>
      <c r="D246" t="inlineStr">
        <is>
          <t>Patient Care</t>
        </is>
      </c>
      <c r="E246" t="inlineStr">
        <is>
          <t>Harbor Health Products</t>
        </is>
      </c>
      <c r="F246" t="inlineStr">
        <is>
          <t>Each</t>
        </is>
      </c>
      <c r="G246" s="31" t="n">
        <v>9.56</v>
      </c>
      <c r="H246" t="inlineStr">
        <is>
          <t>Bluestone Memorial Hospital</t>
        </is>
      </c>
      <c r="I246" t="inlineStr">
        <is>
          <t>Medical-Surgical 4 West</t>
        </is>
      </c>
      <c r="J246" t="n">
        <v>303</v>
      </c>
      <c r="K246" t="n">
        <v>594</v>
      </c>
      <c r="L246" t="n">
        <v>221</v>
      </c>
      <c r="M246" t="n">
        <v>373</v>
      </c>
      <c r="N246" t="n">
        <v>14</v>
      </c>
      <c r="O246" s="32" t="n">
        <v>45999</v>
      </c>
      <c r="P246" s="32" t="n">
        <v>46362</v>
      </c>
      <c r="Q246" t="inlineStr">
        <is>
          <t>L312690</t>
        </is>
      </c>
      <c r="R246" s="33" t="n"/>
      <c r="S246" s="34" t="n"/>
    </row>
    <row r="247">
      <c r="A247" t="inlineStr">
        <is>
          <t>STK4246</t>
        </is>
      </c>
      <c r="B247" t="inlineStr">
        <is>
          <t>SKU-10840</t>
        </is>
      </c>
      <c r="C247" t="inlineStr">
        <is>
          <t>Hand Sanitizer Foam 1000 mL</t>
        </is>
      </c>
      <c r="D247" t="inlineStr">
        <is>
          <t>Patient Care</t>
        </is>
      </c>
      <c r="E247" t="inlineStr">
        <is>
          <t>Harbor Health Products</t>
        </is>
      </c>
      <c r="F247" t="inlineStr">
        <is>
          <t>Each</t>
        </is>
      </c>
      <c r="G247" s="31" t="n">
        <v>9.56</v>
      </c>
      <c r="H247" t="inlineStr">
        <is>
          <t>Bluestone Memorial Hospital</t>
        </is>
      </c>
      <c r="I247" t="inlineStr">
        <is>
          <t>Orthopedics &amp; Spine</t>
        </is>
      </c>
      <c r="J247" t="n">
        <v>361</v>
      </c>
      <c r="K247" t="n">
        <v>379</v>
      </c>
      <c r="L247" t="n">
        <v>129</v>
      </c>
      <c r="M247" t="n">
        <v>250</v>
      </c>
      <c r="N247" t="n">
        <v>10</v>
      </c>
      <c r="O247" s="32" t="n">
        <v>45991</v>
      </c>
      <c r="P247" s="32" t="n">
        <v>46727</v>
      </c>
      <c r="Q247" t="inlineStr">
        <is>
          <t>L551698</t>
        </is>
      </c>
      <c r="R247" s="33" t="n"/>
      <c r="S247" s="34" t="n"/>
    </row>
    <row r="248">
      <c r="A248" t="inlineStr">
        <is>
          <t>STK4247</t>
        </is>
      </c>
      <c r="B248" t="inlineStr">
        <is>
          <t>SKU-10847</t>
        </is>
      </c>
      <c r="C248" t="inlineStr">
        <is>
          <t>Oral Syringe 1 mL (Box/100)</t>
        </is>
      </c>
      <c r="D248" t="inlineStr">
        <is>
          <t>Pharmacy Supplies</t>
        </is>
      </c>
      <c r="E248" t="inlineStr">
        <is>
          <t>Northstar Medical Supply</t>
        </is>
      </c>
      <c r="F248" t="inlineStr">
        <is>
          <t>Box</t>
        </is>
      </c>
      <c r="G248" s="31" t="n">
        <v>14.25</v>
      </c>
      <c r="H248" t="inlineStr">
        <is>
          <t>Bluestone Memorial Hospital</t>
        </is>
      </c>
      <c r="I248" t="inlineStr">
        <is>
          <t>Cardiac Step-Down</t>
        </is>
      </c>
      <c r="J248" t="n">
        <v>400</v>
      </c>
      <c r="K248" t="n">
        <v>658</v>
      </c>
      <c r="L248" t="n">
        <v>220</v>
      </c>
      <c r="M248" t="n">
        <v>438</v>
      </c>
      <c r="N248" t="n">
        <v>7</v>
      </c>
      <c r="O248" s="32" t="n">
        <v>45998</v>
      </c>
      <c r="R248" s="33" t="n"/>
      <c r="S248" s="34" t="n"/>
    </row>
    <row r="249">
      <c r="A249" t="inlineStr">
        <is>
          <t>STK4248</t>
        </is>
      </c>
      <c r="B249" t="inlineStr">
        <is>
          <t>SKU-10847</t>
        </is>
      </c>
      <c r="C249" t="inlineStr">
        <is>
          <t>Oral Syringe 1 mL (Box/100)</t>
        </is>
      </c>
      <c r="D249" t="inlineStr">
        <is>
          <t>Pharmacy Supplies</t>
        </is>
      </c>
      <c r="E249" t="inlineStr">
        <is>
          <t>Northstar Medical Supply</t>
        </is>
      </c>
      <c r="F249" t="inlineStr">
        <is>
          <t>Box</t>
        </is>
      </c>
      <c r="G249" s="31" t="n">
        <v>14.25</v>
      </c>
      <c r="H249" t="inlineStr">
        <is>
          <t>Bluestone Memorial Hospital</t>
        </is>
      </c>
      <c r="I249" t="inlineStr">
        <is>
          <t>Labor &amp; Delivery</t>
        </is>
      </c>
      <c r="J249" t="n">
        <v>739</v>
      </c>
      <c r="K249" t="n">
        <v>606</v>
      </c>
      <c r="L249" t="n">
        <v>159</v>
      </c>
      <c r="M249" t="n">
        <v>447</v>
      </c>
      <c r="N249" t="n">
        <v>5</v>
      </c>
      <c r="O249" s="32" t="n">
        <v>45993</v>
      </c>
      <c r="R249" s="33" t="n"/>
      <c r="S249" s="34" t="n"/>
    </row>
    <row r="250">
      <c r="A250" t="inlineStr">
        <is>
          <t>STK4249</t>
        </is>
      </c>
      <c r="B250" t="inlineStr">
        <is>
          <t>SKU-10847</t>
        </is>
      </c>
      <c r="C250" t="inlineStr">
        <is>
          <t>Oral Syringe 1 mL (Box/100)</t>
        </is>
      </c>
      <c r="D250" t="inlineStr">
        <is>
          <t>Pharmacy Supplies</t>
        </is>
      </c>
      <c r="E250" t="inlineStr">
        <is>
          <t>Northstar Medical Supply</t>
        </is>
      </c>
      <c r="F250" t="inlineStr">
        <is>
          <t>Box</t>
        </is>
      </c>
      <c r="G250" s="31" t="n">
        <v>14.25</v>
      </c>
      <c r="H250" t="inlineStr">
        <is>
          <t>Ashby Falls Community Hospital</t>
        </is>
      </c>
      <c r="I250" t="inlineStr">
        <is>
          <t>Emergency Department</t>
        </is>
      </c>
      <c r="J250" t="n">
        <v>631</v>
      </c>
      <c r="K250" t="n">
        <v>800</v>
      </c>
      <c r="L250" t="n">
        <v>206</v>
      </c>
      <c r="M250" t="n">
        <v>594</v>
      </c>
      <c r="N250" t="n">
        <v>5</v>
      </c>
      <c r="O250" s="32" t="n">
        <v>45998</v>
      </c>
      <c r="R250" s="33" t="n"/>
      <c r="S250" s="34" t="n"/>
    </row>
    <row r="251">
      <c r="A251" t="inlineStr">
        <is>
          <t>STK4250</t>
        </is>
      </c>
      <c r="B251" t="inlineStr">
        <is>
          <t>SKU-10854</t>
        </is>
      </c>
      <c r="C251" t="inlineStr">
        <is>
          <t>Oral Syringe 5 mL (Box/100)</t>
        </is>
      </c>
      <c r="D251" t="inlineStr">
        <is>
          <t>Pharmacy Supplies</t>
        </is>
      </c>
      <c r="E251" t="inlineStr">
        <is>
          <t>Northstar Medical Supply</t>
        </is>
      </c>
      <c r="F251" t="inlineStr">
        <is>
          <t>Box</t>
        </is>
      </c>
      <c r="G251" s="31" t="n">
        <v>13.02</v>
      </c>
      <c r="H251" t="inlineStr">
        <is>
          <t>Ashby Falls Community Hospital</t>
        </is>
      </c>
      <c r="I251" t="inlineStr">
        <is>
          <t>Medical-Surgical</t>
        </is>
      </c>
      <c r="J251" t="n">
        <v>186</v>
      </c>
      <c r="K251" t="n">
        <v>279</v>
      </c>
      <c r="L251" t="n">
        <v>100</v>
      </c>
      <c r="M251" t="n">
        <v>179</v>
      </c>
      <c r="N251" t="n">
        <v>3</v>
      </c>
      <c r="O251" s="32" t="n">
        <v>46020</v>
      </c>
      <c r="R251" s="33" t="n"/>
      <c r="S251" s="34" t="n"/>
    </row>
    <row r="252">
      <c r="A252" t="inlineStr">
        <is>
          <t>STK4251</t>
        </is>
      </c>
      <c r="B252" t="inlineStr">
        <is>
          <t>SKU-10854</t>
        </is>
      </c>
      <c r="C252" t="inlineStr">
        <is>
          <t>Oral Syringe 5 mL (Box/100)</t>
        </is>
      </c>
      <c r="D252" t="inlineStr">
        <is>
          <t>Pharmacy Supplies</t>
        </is>
      </c>
      <c r="E252" t="inlineStr">
        <is>
          <t>Northstar Medical Supply</t>
        </is>
      </c>
      <c r="F252" t="inlineStr">
        <is>
          <t>Box</t>
        </is>
      </c>
      <c r="G252" s="31" t="n">
        <v>13.02</v>
      </c>
      <c r="H252" t="inlineStr">
        <is>
          <t>Bluestone Memorial Hospital</t>
        </is>
      </c>
      <c r="I252" t="inlineStr">
        <is>
          <t>Laboratory</t>
        </is>
      </c>
      <c r="J252" t="n">
        <v>167</v>
      </c>
      <c r="K252" t="n">
        <v>221</v>
      </c>
      <c r="L252" t="n">
        <v>74</v>
      </c>
      <c r="M252" t="n">
        <v>147</v>
      </c>
      <c r="N252" t="n">
        <v>5</v>
      </c>
      <c r="O252" s="32" t="n">
        <v>45993</v>
      </c>
      <c r="R252" s="33" t="n"/>
      <c r="S252" s="34" t="n"/>
    </row>
    <row r="253">
      <c r="A253" t="inlineStr">
        <is>
          <t>STK4252</t>
        </is>
      </c>
      <c r="B253" t="inlineStr">
        <is>
          <t>SKU-10861</t>
        </is>
      </c>
      <c r="C253" t="inlineStr">
        <is>
          <t>Oral Syringe 10 mL (Box/100)</t>
        </is>
      </c>
      <c r="D253" t="inlineStr">
        <is>
          <t>Pharmacy Supplies</t>
        </is>
      </c>
      <c r="E253" t="inlineStr">
        <is>
          <t>Northstar Medical Supply</t>
        </is>
      </c>
      <c r="F253" t="inlineStr">
        <is>
          <t>Box</t>
        </is>
      </c>
      <c r="G253" s="31" t="n">
        <v>13.43</v>
      </c>
      <c r="H253" t="inlineStr">
        <is>
          <t>Bluestone Memorial Hospital</t>
        </is>
      </c>
      <c r="I253" t="inlineStr">
        <is>
          <t>Labor &amp; Delivery</t>
        </is>
      </c>
      <c r="J253" t="n">
        <v>270</v>
      </c>
      <c r="K253" t="n">
        <v>335</v>
      </c>
      <c r="L253" t="n">
        <v>104</v>
      </c>
      <c r="M253" t="n">
        <v>231</v>
      </c>
      <c r="N253" t="n">
        <v>5</v>
      </c>
      <c r="O253" s="32" t="n">
        <v>46003</v>
      </c>
      <c r="R253" s="33" t="n"/>
      <c r="S253" s="34" t="n"/>
    </row>
    <row r="254">
      <c r="A254" t="inlineStr">
        <is>
          <t>STK4253</t>
        </is>
      </c>
      <c r="B254" t="inlineStr">
        <is>
          <t>SKU-10861</t>
        </is>
      </c>
      <c r="C254" t="inlineStr">
        <is>
          <t>Oral Syringe 10 mL (Box/100)</t>
        </is>
      </c>
      <c r="D254" t="inlineStr">
        <is>
          <t>Pharmacy Supplies</t>
        </is>
      </c>
      <c r="E254" t="inlineStr">
        <is>
          <t>Northstar Medical Supply</t>
        </is>
      </c>
      <c r="F254" t="inlineStr">
        <is>
          <t>Box</t>
        </is>
      </c>
      <c r="G254" s="31" t="n">
        <v>13.43</v>
      </c>
      <c r="H254" t="inlineStr">
        <is>
          <t>Ashby Falls Community Hospital</t>
        </is>
      </c>
      <c r="I254" t="inlineStr">
        <is>
          <t>Medical-Surgical</t>
        </is>
      </c>
      <c r="J254" t="n">
        <v>204</v>
      </c>
      <c r="K254" t="n">
        <v>630</v>
      </c>
      <c r="L254" t="n">
        <v>241</v>
      </c>
      <c r="M254" t="n">
        <v>389</v>
      </c>
      <c r="N254" t="n">
        <v>3</v>
      </c>
      <c r="O254" s="32" t="n">
        <v>46006</v>
      </c>
      <c r="R254" s="33" t="n"/>
      <c r="S254" s="34" t="n"/>
    </row>
    <row r="255">
      <c r="A255" t="inlineStr">
        <is>
          <t>STK4254</t>
        </is>
      </c>
      <c r="B255" t="inlineStr">
        <is>
          <t>SKU-10868</t>
        </is>
      </c>
      <c r="C255" t="inlineStr">
        <is>
          <t>Pill Crusher Pouches (Box/1000)</t>
        </is>
      </c>
      <c r="D255" t="inlineStr">
        <is>
          <t>Pharmacy Supplies</t>
        </is>
      </c>
      <c r="E255" t="inlineStr">
        <is>
          <t>CareLine Distributors</t>
        </is>
      </c>
      <c r="F255" t="inlineStr">
        <is>
          <t>Box</t>
        </is>
      </c>
      <c r="G255" s="31" t="n">
        <v>23.63</v>
      </c>
      <c r="H255" t="inlineStr">
        <is>
          <t>Bluestone Memorial Hospital</t>
        </is>
      </c>
      <c r="I255" t="inlineStr">
        <is>
          <t>Emergency Department</t>
        </is>
      </c>
      <c r="J255" t="n">
        <v>183</v>
      </c>
      <c r="K255" t="n">
        <v>216</v>
      </c>
      <c r="L255" t="n">
        <v>81</v>
      </c>
      <c r="M255" t="n">
        <v>135</v>
      </c>
      <c r="N255" t="n">
        <v>5</v>
      </c>
      <c r="O255" s="32" t="n">
        <v>46015</v>
      </c>
      <c r="R255" s="33" t="n"/>
      <c r="S255" s="34" t="n"/>
    </row>
    <row r="256">
      <c r="A256" t="inlineStr">
        <is>
          <t>STK4255</t>
        </is>
      </c>
      <c r="B256" t="inlineStr">
        <is>
          <t>SKU-10868</t>
        </is>
      </c>
      <c r="C256" t="inlineStr">
        <is>
          <t>Pill Crusher Pouches (Box/1000)</t>
        </is>
      </c>
      <c r="D256" t="inlineStr">
        <is>
          <t>Pharmacy Supplies</t>
        </is>
      </c>
      <c r="E256" t="inlineStr">
        <is>
          <t>CareLine Distributors</t>
        </is>
      </c>
      <c r="F256" t="inlineStr">
        <is>
          <t>Box</t>
        </is>
      </c>
      <c r="G256" s="31" t="n">
        <v>23.63</v>
      </c>
      <c r="H256" t="inlineStr">
        <is>
          <t>Bluestone Memorial Hospital</t>
        </is>
      </c>
      <c r="I256" t="inlineStr">
        <is>
          <t>Labor &amp; Delivery</t>
        </is>
      </c>
      <c r="J256" t="n">
        <v>111</v>
      </c>
      <c r="K256" t="n">
        <v>138</v>
      </c>
      <c r="L256" t="n">
        <v>54</v>
      </c>
      <c r="M256" t="n">
        <v>84</v>
      </c>
      <c r="N256" t="n">
        <v>3</v>
      </c>
      <c r="O256" s="32" t="n">
        <v>46008</v>
      </c>
      <c r="R256" s="33" t="n"/>
      <c r="S256" s="34" t="n"/>
    </row>
    <row r="257">
      <c r="A257" t="inlineStr">
        <is>
          <t>STK4256</t>
        </is>
      </c>
      <c r="B257" t="inlineStr">
        <is>
          <t>SKU-10875</t>
        </is>
      </c>
      <c r="C257" t="inlineStr">
        <is>
          <t>IV Bag Label Roll</t>
        </is>
      </c>
      <c r="D257" t="inlineStr">
        <is>
          <t>Pharmacy Supplies</t>
        </is>
      </c>
      <c r="E257" t="inlineStr">
        <is>
          <t>CareLine Distributors</t>
        </is>
      </c>
      <c r="F257" t="inlineStr">
        <is>
          <t>Roll</t>
        </is>
      </c>
      <c r="G257" s="31" t="n">
        <v>8.359999999999999</v>
      </c>
      <c r="H257" t="inlineStr">
        <is>
          <t>Bluestone Memorial Hospital</t>
        </is>
      </c>
      <c r="I257" t="inlineStr">
        <is>
          <t>Medical-Surgical 5 East</t>
        </is>
      </c>
      <c r="J257" t="n">
        <v>0</v>
      </c>
      <c r="K257" t="n">
        <v>447</v>
      </c>
      <c r="L257" t="n">
        <v>148</v>
      </c>
      <c r="M257" t="n">
        <v>299</v>
      </c>
      <c r="N257" t="n">
        <v>5</v>
      </c>
      <c r="O257" s="32" t="n">
        <v>46017</v>
      </c>
      <c r="R257" s="33" t="n"/>
      <c r="S257" s="34" t="n"/>
    </row>
    <row r="258">
      <c r="A258" t="inlineStr">
        <is>
          <t>STK4257</t>
        </is>
      </c>
      <c r="B258" t="inlineStr">
        <is>
          <t>SKU-10875</t>
        </is>
      </c>
      <c r="C258" t="inlineStr">
        <is>
          <t>IV Bag Label Roll</t>
        </is>
      </c>
      <c r="D258" t="inlineStr">
        <is>
          <t>Pharmacy Supplies</t>
        </is>
      </c>
      <c r="E258" t="inlineStr">
        <is>
          <t>CareLine Distributors</t>
        </is>
      </c>
      <c r="F258" t="inlineStr">
        <is>
          <t>Roll</t>
        </is>
      </c>
      <c r="G258" s="31" t="n">
        <v>8.359999999999999</v>
      </c>
      <c r="H258" t="inlineStr">
        <is>
          <t>Bluestone Memorial Hospital</t>
        </is>
      </c>
      <c r="I258" t="inlineStr">
        <is>
          <t>Pediatrics</t>
        </is>
      </c>
      <c r="J258" t="n">
        <v>752</v>
      </c>
      <c r="K258" t="n">
        <v>655</v>
      </c>
      <c r="L258" t="n">
        <v>228</v>
      </c>
      <c r="M258" t="n">
        <v>427</v>
      </c>
      <c r="N258" t="n">
        <v>5</v>
      </c>
      <c r="O258" s="32" t="n">
        <v>46020</v>
      </c>
      <c r="R258" s="33" t="n"/>
      <c r="S258" s="3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tabSelected="0" workbookViewId="0">
      <pane ySplit="1" topLeftCell="A2" activePane="bottomLeft" state="frozen"/>
      <selection pane="bottomLeft" activeCell="A1" sqref="A1"/>
    </sheetView>
  </sheetViews>
  <sheetFormatPr baseColWidth="8" defaultRowHeight="15"/>
  <cols>
    <col width="22" customWidth="1" min="1" max="1"/>
    <col width="13" customWidth="1" min="2" max="2"/>
    <col width="96" customWidth="1" min="3" max="3"/>
  </cols>
  <sheetData>
    <row r="1">
      <c r="A1" s="29" t="inlineStr">
        <is>
          <t>Setting</t>
        </is>
      </c>
      <c r="B1" s="29" t="inlineStr">
        <is>
          <t>Value</t>
        </is>
      </c>
      <c r="C1" s="29" t="inlineStr">
        <is>
          <t>Notes</t>
        </is>
      </c>
    </row>
    <row r="2">
      <c r="A2" s="35" t="inlineStr">
        <is>
          <t>ReportDate</t>
        </is>
      </c>
      <c r="B2" s="36" t="n">
        <v>46022</v>
      </c>
      <c r="C2" s="7" t="inlineStr">
        <is>
          <t>The 'as of' date of this inventory snapshot. Use it instead of TODAY() so answers never change.</t>
        </is>
      </c>
    </row>
    <row r="3">
      <c r="A3" s="35" t="inlineStr">
        <is>
          <t>ExpiringWindowDays</t>
        </is>
      </c>
      <c r="B3" s="37" t="n">
        <v>90</v>
      </c>
      <c r="C3" s="7" t="inlineStr">
        <is>
          <t>Perishable stock expiring within this many days after ReportDate gets flagged for use-first.</t>
        </is>
      </c>
    </row>
    <row r="5">
      <c r="A5" s="3" t="inlineStr">
        <is>
          <t>Task 9 names B2 and B3 after the labels in column A (Formulas → Create from Selection).</t>
        </is>
      </c>
    </row>
    <row r="6">
      <c r="A6" s="3" t="inlineStr">
        <is>
          <t>Task 12 and the bonus add named constants (CycleCountDays, DiscountMin, DiscountPct) with Formulas → Define Name.</t>
        </is>
      </c>
    </row>
    <row r="7">
      <c r="A7" s="3" t="inlineStr">
        <is>
          <t>Named constants live only in Name Manager, so you won't see them on this sheet.</t>
        </is>
      </c>
    </row>
  </sheetData>
  <pageMargins left="0.75" right="0.75" top="1" bottom="1" header="0.5" footer="0.5"/>
</worksheet>
</file>

<file path=xl/worksheets/sheet5.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3.1 · Bonus: This week's reorder report</t>
        </is>
      </c>
    </row>
    <row r="2" ht="49" customHeight="1">
      <c r="A2" s="14" t="inlineStr">
        <is>
          <t>Every Monday, Bluestone's purchasing team turns the inventory snapshot into purchase orders. Each stock row at or below its reorder point gets an order for its standard ReorderQty, and all the lines for one vendor go on a single purchase order. Build the report with Tables and names, so next week it updates itself when the new snapshot is pasted in. Finish practice tasks 1–12 first, because this uses tblInventory, NeedsReorder, and the names.</t>
        </is>
      </c>
    </row>
    <row r="3" ht="49" customHeight="1">
      <c r="A3" s="15" t="inlineStr">
        <is>
          <t>Type a formula or value in each yellow cell. For B1, fill the OrderCost column on the Inventory sheet instead, and the gray cell here reads it. B2 also builds the tblVendors Table on the Vendors sheet.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81" customHeight="1">
      <c r="A6" s="18" t="inlineStr">
        <is>
          <t>B1</t>
        </is>
      </c>
      <c r="B6" s="19" t="inlineStr">
        <is>
          <t>Add a new column to tblInventory by typing OrderCost in cell T1, just right of the NeedsReorder header. The Table expands to include it. Make it a calculated column that returns ReorderQty × UnitCost for rows where NeedsReorder is TRUE, and 0 for every other row. The gray cell totals the column: what's the total cost of this week's orders?</t>
        </is>
      </c>
      <c r="C6" s="20" t="inlineStr">
        <is>
          <t>IF's test can be the TRUE/FALSE value in [@NeedsReorder] itself, with no comparison needed</t>
        </is>
      </c>
      <c r="D6" cm="1" s="24">
        <f t="array" ref="D6">IF(COUNT(Inventory!$T$2:$T$258)=0,"",SUM(Inventory!$T$2:$T$258))</f>
        <v/>
      </c>
      <c r="E6" s="22">
        <f>IF(IFERROR(D6="",FALSE),"",IF(IFERROR(AND(ISNUMBER(D6),OR(ABS(D6-'Bonus Key'!$C$5)&lt;=0.0051)),FALSE),"✔ Correct","✘ Not yet"))</f>
        <v/>
      </c>
    </row>
    <row r="7" ht="66" customHeight="1">
      <c r="A7" s="18" t="inlineStr">
        <is>
          <t>B2</t>
        </is>
      </c>
      <c r="B7" s="19" t="inlineStr">
        <is>
          <t>On the Vendors sheet, convert the vendor list to a Table named tblVendors. Fill its yellow ReorderCost column with a calculated column that adds up tblInventory[OrderCost] for that row's vendor. Which vendor gets the largest purchase order? (Type the vendor's name, or return it with a formula.)</t>
        </is>
      </c>
      <c r="C7" s="20" t="inlineStr">
        <is>
          <t>In tblVendors, SUMIFS can add up another Table's column, with [@Vendor] as the criterion</t>
        </is>
      </c>
      <c r="D7" s="38" t="n"/>
      <c r="E7" s="22">
        <f>IF(IFERROR(D7="",FALSE),"",IF(IFERROR(OR(LOWER(TRIM(D7&amp;""))=LOWER(TRIM('Bonus Key'!$C$6&amp;""))),FALSE),"✔ Correct","✘ Not yet"))</f>
        <v/>
      </c>
    </row>
    <row r="8" ht="36" customHeight="1">
      <c r="A8" s="18" t="inlineStr">
        <is>
          <t>B3</t>
        </is>
      </c>
      <c r="B8" s="19" t="inlineStr">
        <is>
          <t>What's the value of that vendor's purchase order, to the cent?</t>
        </is>
      </c>
      <c r="C8" s="20" t="inlineStr">
        <is>
          <t>The largest value in tblVendors[ReorderCost]</t>
        </is>
      </c>
      <c r="D8" s="27" t="n"/>
      <c r="E8" s="22">
        <f>IF(IFERROR(D8="",FALSE),"",IF(IFERROR(AND(ISNUMBER(D8),OR(ABS(D8-'Bonus Key'!$C$7)&lt;=0.0051)),FALSE),"✔ Correct","✘ Not yet"))</f>
        <v/>
      </c>
    </row>
    <row r="9" ht="66" customHeight="1">
      <c r="A9" s="18" t="inlineStr">
        <is>
          <t>B4</t>
        </is>
      </c>
      <c r="B9" s="19" t="inlineStr">
        <is>
          <t>The group purchasing contract gives a 2% discount on any single vendor order of $20,000 or more. Define two named constants, DiscountMin (=20000) and DiscountPct (=0.02), then calculate the total discount on this week's orders, to the cent.</t>
        </is>
      </c>
      <c r="C9" s="20" t="inlineStr">
        <is>
          <t>SUMIFS can use the same column as the sum range and the criteria range</t>
        </is>
      </c>
      <c r="D9" s="27" t="n"/>
      <c r="E9" s="22">
        <f>IF(IFERROR(D9="",FALSE),"",IF(IFERROR(AND(ISNUMBER(D9),OR(ABS(D9-'Bonus Key'!$C$8)&lt;=0.0051)),FALSE),"✔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C10"/>
  <sheetViews>
    <sheetView tabSelected="0" workbookViewId="0">
      <pane ySplit="1" topLeftCell="A2" activePane="bottomLeft" state="frozen"/>
      <selection pane="bottomLeft" activeCell="A1" sqref="A1"/>
    </sheetView>
  </sheetViews>
  <sheetFormatPr baseColWidth="8" defaultRowHeight="15"/>
  <cols>
    <col width="30" customWidth="1" min="1" max="1"/>
    <col width="13" customWidth="1" min="2" max="2"/>
    <col width="15" customWidth="1" min="3" max="3"/>
  </cols>
  <sheetData>
    <row r="1">
      <c r="A1" s="29" t="inlineStr">
        <is>
          <t>Vendor</t>
        </is>
      </c>
      <c r="B1" s="29" t="inlineStr">
        <is>
          <t>AccountNo</t>
        </is>
      </c>
      <c r="C1" s="30" t="inlineStr">
        <is>
          <t>ReorderCost</t>
        </is>
      </c>
    </row>
    <row r="2">
      <c r="A2" t="inlineStr">
        <is>
          <t>Apex Surgical Co.</t>
        </is>
      </c>
      <c r="B2" t="inlineStr">
        <is>
          <t>BHS-V1001</t>
        </is>
      </c>
      <c r="C2" s="33" t="n"/>
    </row>
    <row r="3">
      <c r="A3" t="inlineStr">
        <is>
          <t>CareLine Distributors</t>
        </is>
      </c>
      <c r="B3" t="inlineStr">
        <is>
          <t>BHS-V1002</t>
        </is>
      </c>
      <c r="C3" s="33" t="n"/>
    </row>
    <row r="4">
      <c r="A4" t="inlineStr">
        <is>
          <t>Harbor Health Products</t>
        </is>
      </c>
      <c r="B4" t="inlineStr">
        <is>
          <t>BHS-V1003</t>
        </is>
      </c>
      <c r="C4" s="33" t="n"/>
    </row>
    <row r="5">
      <c r="A5" t="inlineStr">
        <is>
          <t>Keystone Lab Solutions</t>
        </is>
      </c>
      <c r="B5" t="inlineStr">
        <is>
          <t>BHS-V1004</t>
        </is>
      </c>
      <c r="C5" s="33" t="n"/>
    </row>
    <row r="6">
      <c r="A6" t="inlineStr">
        <is>
          <t>Northstar Medical Supply</t>
        </is>
      </c>
      <c r="B6" t="inlineStr">
        <is>
          <t>BHS-V1005</t>
        </is>
      </c>
      <c r="C6" s="33" t="n"/>
    </row>
    <row r="7">
      <c r="A7" t="inlineStr">
        <is>
          <t>Pinnacle Biomedical</t>
        </is>
      </c>
      <c r="B7" t="inlineStr">
        <is>
          <t>BHS-V1006</t>
        </is>
      </c>
      <c r="C7" s="33" t="n"/>
    </row>
    <row r="8">
      <c r="A8" t="inlineStr">
        <is>
          <t>Summit Orthopedic Systems</t>
        </is>
      </c>
      <c r="B8" t="inlineStr">
        <is>
          <t>BHS-V1007</t>
        </is>
      </c>
      <c r="C8" s="33" t="n"/>
    </row>
    <row r="10">
      <c r="A10" s="3" t="inlineStr">
        <is>
          <t>Bonus: convert this list to a Table named tblVendors, then fill ReorderCost with a calculated column.</t>
        </is>
      </c>
    </row>
  </sheetData>
  <pageMargins left="0.75" right="0.75" top="1" bottom="1" header="0.5" footer="0.5"/>
</worksheet>
</file>

<file path=xl/worksheets/sheet7.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9" t="inlineStr">
        <is>
          <t>🔑 Answer Key — Lesson 3.1</t>
        </is>
      </c>
    </row>
    <row r="2" ht="32" customHeight="1">
      <c r="A2" s="40" t="inlineStr">
        <is>
          <t>Spoiler alert: try every task before reading this sheet. Column C is the value the Check column compares against. Column D is a sample solution, and column E recalculates a formula for it live, proving the answer.</t>
        </is>
      </c>
    </row>
    <row r="4">
      <c r="A4" s="41" t="inlineStr">
        <is>
          <t>#</t>
        </is>
      </c>
      <c r="B4" s="41" t="inlineStr">
        <is>
          <t>Task</t>
        </is>
      </c>
      <c r="C4" s="41" t="inlineStr">
        <is>
          <t>Answer</t>
        </is>
      </c>
      <c r="D4" s="41" t="inlineStr">
        <is>
          <t>Sample solution</t>
        </is>
      </c>
      <c r="E4" s="41" t="inlineStr">
        <is>
          <t>Live result</t>
        </is>
      </c>
      <c r="F4" s="41" t="inlineStr">
        <is>
          <t>Explanation</t>
        </is>
      </c>
    </row>
    <row r="5" ht="156" customHeight="1">
      <c r="A5" s="18" t="inlineStr">
        <is>
          <t>1</t>
        </is>
      </c>
      <c r="B5" s="19" t="inlineStr">
        <is>
          <t>On the Inventory sheet, click any cell in the data and convert the range to an Excel Table with Ctrl + T (Mac: Control + T). Then rename the Table tblInventory in the Table Name box on the Table Design tab (Mac: Table tab). The gray cell finds a Table with that exact name and counts its data rows. It stays blank until the Table exists.</t>
        </is>
      </c>
      <c r="C5" s="42" t="n">
        <v>257</v>
      </c>
      <c r="D5" s="43" t="inlineStr">
        <is>
          <t>1. Click any cell inside the data, for example A2.
2. Press Ctrl + T (Mac: Control + T), or choose Insert → Table.
3. Check that the range shows $A$1:$S$258 and that My table has headers is ticked, then click OK.
4. On the Table Design tab (Mac: Table tab), click in the Table Name box at the far left, type tblInventory, and press Enter.</t>
        </is>
      </c>
      <c r="E5" cm="1" s="19">
        <f t="array" ref="E5">COUNTA(Inventory!$A$2:$A$258)</f>
        <v/>
      </c>
      <c r="F5" s="19" t="inlineStr">
        <is>
          <t>Ctrl + T selects the whole block of connected cells around the active cell, so you don't need to select the data first. Excel names new Tables Table1, Table2, and so on. Renaming the Table is what makes formulas readable: tblInventory[UnitCost] tells the next reader what the formula uses, while Table1[UnitCost] doesn't. The gray cell uses INDIRECT("tblInventory"), which looks the Table up by name and returns its data rows (headers and Total Row excluded).</t>
        </is>
      </c>
    </row>
    <row r="6" ht="96" customHeight="1">
      <c r="A6" s="18" t="inlineStr">
        <is>
          <t>2</t>
        </is>
      </c>
      <c r="B6" s="19" t="inlineStr">
        <is>
          <t>How many stock rows are completely out of stock (QtyOnHand = 0)? Use a structured reference to the QtyOnHand column instead of a cell range.</t>
        </is>
      </c>
      <c r="C6" s="42" t="n">
        <v>9</v>
      </c>
      <c r="D6" s="43" t="inlineStr">
        <is>
          <t>=COUNTIF(tblInventory[QtyOnHand],0)</t>
        </is>
      </c>
      <c r="E6" cm="1" s="19">
        <f t="array" ref="E6">COUNTIF(Inventory!$J$2:$J$258,0)</f>
        <v/>
      </c>
      <c r="F6" s="19" t="inlineStr">
        <is>
          <t>tblInventory[QtyOnHand] means "every data cell in the QtyOnHand column." It excludes the header and the Total Row, and it grows when rows are added. After you type tblInventory[, Excel lists the columns. Pick one with the arrow keys and press Tab. These rows are stockouts: a nurse who reaches for the item finds an empty bin.</t>
        </is>
      </c>
    </row>
    <row r="7" ht="96" customHeight="1">
      <c r="A7" s="18" t="inlineStr">
        <is>
          <t>3</t>
        </is>
      </c>
      <c r="B7" s="19" t="inlineStr">
        <is>
          <t>Fill the yellow ExtendedValue column (column R) with a calculated column: each row's QtyOnHand × UnitCost. Type the formula once in R2 and press Enter, and the Table fills every row. The gray cell totals the column: what's the value of all stock on hand across the system?</t>
        </is>
      </c>
      <c r="C7" s="44" t="n">
        <v>1011928.89</v>
      </c>
      <c r="D7" s="43" t="inlineStr">
        <is>
          <t>=[@QtyOnHand]*[@UnitCost]</t>
        </is>
      </c>
      <c r="E7" cm="1" s="45">
        <f t="array" ref="E7">SUMPRODUCT(Inventory!$J$2:$J$258,Inventory!$G$2:$G$258)</f>
        <v/>
      </c>
      <c r="F7" s="19" t="inlineStr">
        <is>
          <t>When you enter a formula in an empty Table column, Excel copies it to every row of that column. That's a calculated column. [@QtyOnHand] means "QtyOnHand in this row," so the formula reads the same on all 257 rows and says what it multiplies. The A1 version, =J2*G2, changes on every row and tells the next reader nothing about the columns it uses.</t>
        </is>
      </c>
    </row>
    <row r="8" ht="81" customHeight="1">
      <c r="A8" s="18" t="inlineStr">
        <is>
          <t>4</t>
        </is>
      </c>
      <c r="B8" s="19" t="inlineStr">
        <is>
          <t>What share of the system's total inventory value (ExtendedValue) is Orthopedic Implants stock? Divide the category's value by the total of all rows and enter it as a percentage, to 1 decimal place.</t>
        </is>
      </c>
      <c r="C8" s="46" t="n">
        <v>0.1400812363406286</v>
      </c>
      <c r="D8" s="43" t="inlineStr">
        <is>
          <t>=SUMIFS(tblInventory[ExtendedValue],tblInventory[Category],"Orthopedic Implants")/SUM(tblInventory[ExtendedValue])</t>
        </is>
      </c>
      <c r="E8" cm="1" s="47">
        <f t="array" ref="E8">SUMPRODUCT((Inventory!$D$2:$D$258="Orthopedic Implants")*Inventory!$J$2:$J$258*Inventory!$G$2:$G$258)/SUMPRODUCT(Inventory!$J$2:$J$258,Inventory!$G$2:$G$258)</f>
        <v/>
      </c>
      <c r="F8" s="19" t="inlineStr">
        <is>
          <t>Every argument in SUMIFS is a whole Table column, so the ranges are automatically the same size, which SUMIFS requires. Only 15 of the 257 rows are implants, yet they hold 14% of the value on the shelves. High-cost, low-volume items like these are the ones a supply chain team counts most carefully.</t>
        </is>
      </c>
    </row>
    <row r="9" ht="111" customHeight="1">
      <c r="A9" s="18" t="inlineStr">
        <is>
          <t>5</t>
        </is>
      </c>
      <c r="B9" s="19" t="inlineStr">
        <is>
          <t>Fill the yellow NeedsReorder column (column S) with a calculated column that returns TRUE when QtyOnHand is at or below ReorderPoint, and FALSE otherwise. The gray cell counts the TRUE rows: how many stock rows need reordering?</t>
        </is>
      </c>
      <c r="C9" s="42" t="n">
        <v>41</v>
      </c>
      <c r="D9" s="43" t="inlineStr">
        <is>
          <t>=[@QtyOnHand]&lt;=[@ReorderPoint]</t>
        </is>
      </c>
      <c r="E9" cm="1" s="19">
        <f t="array" ref="E9">SUMPRODUCT(--(Inventory!$J$2:$J$258&lt;=Inventory!$L$2:$L$258))</f>
        <v/>
      </c>
      <c r="F9" s="19" t="inlineStr">
        <is>
          <t>A comparison such as [@QtyOnHand]&lt;=[@ReorderPoint] evaluates to TRUE or FALSE by itself (Lesson 2.1). Storing the result as a column turns a row-by-row test into something you can filter, count with COUNTIF(tblInventory[NeedsReorder],TRUE), and reuse in other formulas, as the bonus does. Use "at or below" (&lt;=): an item sitting exactly at its reorder point is due.</t>
        </is>
      </c>
    </row>
    <row r="10" ht="111" customHeight="1">
      <c r="A10" s="18" t="inlineStr">
        <is>
          <t>6</t>
        </is>
      </c>
      <c r="B10" s="19" t="inlineStr">
        <is>
          <t>Turn on the Table's Total Row and set the LeadTimeDays total to Average. Then, in the yellow cell, type = and click that Total Row cell, so Excel writes a [#Totals] reference. What's the average vendor lead time in days, to 2 decimal places?</t>
        </is>
      </c>
      <c r="C10" s="48" t="n">
        <v>5.350194552529183</v>
      </c>
      <c r="D10" s="43" t="inlineStr">
        <is>
          <t>=tblInventory[[#Totals],[LeadTimeDays]]</t>
        </is>
      </c>
      <c r="E10" cm="1" s="49">
        <f t="array" ref="E10">AVERAGE(Inventory!$N$2:$N$258)</f>
        <v/>
      </c>
      <c r="F10" s="19" t="inlineStr">
        <is>
          <t>The Total Row's drop-down list writes =SUBTOTAL(101,[LeadTimeDays]). Function number 101 means AVERAGE of the visible rows only, ignoring rows hidden by a filter or hidden by hand (109 = SUM, 103 = COUNTA, 104 = MAX). tblInventory[[#Totals],[LeadTimeDays]] points at that total cell by name, so it still works if rows are added. If you turn the Total Row off, the reference returns #REF!.</t>
        </is>
      </c>
    </row>
    <row r="11" ht="81" customHeight="1">
      <c r="A11" s="18" t="inlineStr">
        <is>
          <t>7</t>
        </is>
      </c>
      <c r="B11" s="19" t="inlineStr">
        <is>
          <t>With the Total Row still on, what does =ROWS(tblInventory[#All]) return? Predict it first, then type the formula to check.</t>
        </is>
      </c>
      <c r="C11" s="42" t="n">
        <v>259</v>
      </c>
      <c r="D11" s="43" t="inlineStr">
        <is>
          <t>=ROWS(tblInventory[#All])</t>
        </is>
      </c>
      <c r="E11" s="18" t="inlineStr">
        <is>
          <t>—</t>
        </is>
      </c>
      <c r="F11" s="19" t="inlineStr">
        <is>
          <t>ROWS counts the rows a reference covers. [#All] covers the header row, the 257 data rows, and the Total Row: 1 + 257 + 1 = 259. tblInventory[#Data] (or just tblInventory) is the 257 data rows, [#Headers] is the header row alone, and [#Totals] is the Total Row alone.</t>
        </is>
      </c>
    </row>
    <row r="12" ht="201" customHeight="1">
      <c r="A12" s="18" t="inlineStr">
        <is>
          <t>8</t>
        </is>
      </c>
      <c r="B12" s="19" t="inlineStr">
        <is>
          <t>Insert slicers for Facility and Category (Table Design → Insert Slicer; Mac: Table → Insert Slicer). Select Cedar Ridge Medical Center in the Facility slicer and Surgical in the Category slicer. Set the Total Row's ExtendedValue cell to Sum. What value does it show? Type the number, then clear both slicers, because while they filter the Table the Total Row (and task 6) only summarizes the visible rows.</t>
        </is>
      </c>
      <c r="C12" s="44" t="n">
        <v>47775.51</v>
      </c>
      <c r="D12" s="43" t="inlineStr">
        <is>
          <t>1. Click inside the Table, then Table Design → Insert Slicer (Mac: Table → Insert Slicer). Tick Facility and Category and click OK.
2. In the Facility slicer click Cedar Ridge Medical Center. In the Category slicer click Surgical. The Table now shows 6 rows.
3. In the Total Row, click the ExtendedValue cell, open its drop-down list, and choose Sum.
4. Read the total and type it in the answer cell: 47,775.51.
5. Click the Clear Filter button (funnel with a red X) at the top right of each slicer.</t>
        </is>
      </c>
      <c r="E12" cm="1" s="45">
        <f t="array" ref="E12">SUMPRODUCT((Inventory!$H$2:$H$258="Cedar Ridge Medical Center")*(Inventory!$D$2:$D$258="Surgical")*Inventory!$J$2:$J$258*Inventory!$G$2:$G$258)</f>
        <v/>
      </c>
      <c r="F12" s="19" t="inlineStr">
        <is>
          <t>Slicers are buttons that apply the Table's AutoFilter for you. Choices in different slicers combine with AND, so only rows that match both stay visible. The Total Row uses SUBTOTAL(109,…), which adds only the visible rows. That's why it changes as you click. You can check the number without slicers using =SUMIFS(tblInventory[ExtendedValue],tblInventory[Facility],"Cedar Ridge Medical Center",tblInventory[Category],"Surgical").</t>
        </is>
      </c>
    </row>
    <row r="13" ht="141" customHeight="1">
      <c r="A13" s="18" t="inlineStr">
        <is>
          <t>9</t>
        </is>
      </c>
      <c r="B13" s="19" t="inlineStr">
        <is>
          <t>On the Settings sheet, select A2:B3 and use Formulas → Create from Selection (tick only Left column) to name cell B2 ReportDate and cell B3 ExpiringWindowDays. The gray cell looks up both names and adds them: what date does it show?</t>
        </is>
      </c>
      <c r="C13" s="50" t="n">
        <v>46112</v>
      </c>
      <c r="D13" s="43" t="inlineStr">
        <is>
          <t>1. Go to the Settings sheet and select A2:B3 (labels and values together).
2. Choose Formulas → Create from Selection (Windows shortcut: Ctrl + Shift + F3).
3. Tick Left column only, untick Top row, and click OK.
4. Check the result: click B2 and the Name Box shows ReportDate. Open Formulas → Name Manager to see both names and what they refer to.</t>
        </is>
      </c>
      <c r="E13" cm="1" s="51">
        <f t="array" ref="E13">Settings!$B$2+Settings!$B$3</f>
        <v/>
      </c>
      <c r="F13" s="19" t="inlineStr">
        <is>
          <t>Create from Selection turns each label in the left column into a name for the cell to its right: ReportDate → =Settings!$B$2 and ExpiringWindowDays → =Settings!$B$3. Names are absolute references, so they never shift when you copy a formula. 12/31/2025 + 90 days = 03/31/2026, because dates are day counts (Lesson 2.3). If the gray cell stays blank, check the spelling of each name in Name Manager.</t>
        </is>
      </c>
    </row>
    <row r="14" ht="96" customHeight="1">
      <c r="A14" s="18" t="inlineStr">
        <is>
          <t>10</t>
        </is>
      </c>
      <c r="B14" s="19" t="inlineStr">
        <is>
          <t>How many stock rows expire inside the expiry window? Count rows whose ExpirationDate is later than ReportDate and no later than ReportDate + ExpiringWindowDays. Use the two names in a COUNTIFS (rows with no ExpirationDate don't count).</t>
        </is>
      </c>
      <c r="C14" s="42" t="n">
        <v>7</v>
      </c>
      <c r="D14" s="43" t="inlineStr">
        <is>
          <t>=COUNTIFS(tblInventory[ExpirationDate],"&gt;"&amp;ReportDate,tblInventory[ExpirationDate],"&lt;="&amp;ReportDate+ExpiringWindowDays)</t>
        </is>
      </c>
      <c r="E14" cm="1" s="19">
        <f t="array" ref="E14">COUNTIFS(Inventory!$P$2:$P$258,"&gt;"&amp;Settings!$B$2,Inventory!$P$2:$P$258,"&lt;="&amp;Settings!$B$2+Settings!$B$3)</f>
        <v/>
      </c>
      <c r="F14" s="19" t="inlineStr">
        <is>
          <t>Criteria are text, so join the operator to the name with &amp;, exactly as you would with a cell reference (Lesson 2.5). Blank ExpirationDate cells never match a date criterion, so non-perishables drop out automatically. The formula reads like the policy, and when the next snapshot arrives you only change the date in Settings!B2.</t>
        </is>
      </c>
    </row>
    <row r="15" ht="96" customHeight="1">
      <c r="A15" s="18" t="inlineStr">
        <is>
          <t>11</t>
        </is>
      </c>
      <c r="B15" s="19" t="inlineStr">
        <is>
          <t>Expired stock must be pulled from the shelves and written off. What's the total ExtendedValue of rows whose ExpirationDate is before ReportDate? Enter it to the cent.</t>
        </is>
      </c>
      <c r="C15" s="44" t="n">
        <v>17115.69</v>
      </c>
      <c r="D15" s="43" t="inlineStr">
        <is>
          <t>=SUMIFS(tblInventory[ExtendedValue],tblInventory[ExpirationDate],"&lt;"&amp;ReportDate)</t>
        </is>
      </c>
      <c r="E15" cm="1" s="45">
        <f t="array" ref="E15">SUMPRODUCT((Inventory!$P$2:$P$258&lt;Settings!$B$2)*(Inventory!$P$2:$P$258&lt;&gt;"")*Inventory!$J$2:$J$258*Inventory!$G$2:$G$258)</f>
        <v/>
      </c>
      <c r="F15" s="19" t="inlineStr">
        <is>
          <t>In this snapshot, 10 rows are past their expiration date. That's a patient-safety issue as well as a cost: surveyors such as The Joint Commission look for expired supplies in clinical areas. The live formula in the key guards against blanks with &lt;&gt;"", but SUMIFS doesn't need that guard, because an empty cell never matches "&lt;"&amp;ReportDate.</t>
        </is>
      </c>
    </row>
    <row r="16" ht="96" customHeight="1">
      <c r="A16" s="18" t="inlineStr">
        <is>
          <t>12</t>
        </is>
      </c>
      <c r="B16" s="19" t="inlineStr">
        <is>
          <t>Policy says every stock row must be cycle-counted at least every 30 days. Create a named constant CycleCountDays that refers to =30 with Formulas → Define Name. It doesn't live in any cell. How many rows are overdue, meaning ReportDate − LastCountDate is greater than CycleCountDays?</t>
        </is>
      </c>
      <c r="C16" s="42" t="n">
        <v>78</v>
      </c>
      <c r="D16" s="43" t="inlineStr">
        <is>
          <t>=COUNTIF(tblInventory[LastCountDate],"&lt;"&amp;ReportDate-CycleCountDays)</t>
        </is>
      </c>
      <c r="E16" cm="1" s="19">
        <f t="array" ref="E16">COUNTIF(Inventory!$O$2:$O$258,"&lt;"&amp;Settings!$B$2-30)</f>
        <v/>
      </c>
      <c r="F16" s="19" t="inlineStr">
        <is>
          <t>In the New Name dialog, type CycleCountDays as the Name and =30 in Refers to. ReportDate − CycleCountDays is 12/01/2025, so any row last counted before that date is more than 30 days old. A named constant suits a policy value that shouldn't be typed over by accident. A named cell, like ReportDate, suits an input that people change often.</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9" t="inlineStr">
        <is>
          <t>🔑 Bonus Key — Lesson 3.1</t>
        </is>
      </c>
    </row>
    <row r="2" ht="32" customHeight="1">
      <c r="A2" s="40" t="inlineStr">
        <is>
          <t>Spoiler alert: try every task before reading this sheet. Column C is the value the Check column compares against. Column D is a sample solution, and column E recalculates a formula for it live, proving the answer.</t>
        </is>
      </c>
    </row>
    <row r="4">
      <c r="A4" s="41" t="inlineStr">
        <is>
          <t>#</t>
        </is>
      </c>
      <c r="B4" s="41" t="inlineStr">
        <is>
          <t>Task</t>
        </is>
      </c>
      <c r="C4" s="41" t="inlineStr">
        <is>
          <t>Answer</t>
        </is>
      </c>
      <c r="D4" s="41" t="inlineStr">
        <is>
          <t>Sample solution</t>
        </is>
      </c>
      <c r="E4" s="41" t="inlineStr">
        <is>
          <t>Live result</t>
        </is>
      </c>
      <c r="F4" s="41" t="inlineStr">
        <is>
          <t>Explanation</t>
        </is>
      </c>
    </row>
    <row r="5" ht="111" customHeight="1">
      <c r="A5" s="18" t="inlineStr">
        <is>
          <t>B1</t>
        </is>
      </c>
      <c r="B5" s="19" t="inlineStr">
        <is>
          <t>Add a new column to tblInventory by typing OrderCost in cell T1, just right of the NeedsReorder header. The Table expands to include it. Make it a calculated column that returns ReorderQty × UnitCost for rows where NeedsReorder is TRUE, and 0 for every other row. The gray cell totals the column: what's the total cost of this week's orders?</t>
        </is>
      </c>
      <c r="C5" s="44" t="n">
        <v>173950.91</v>
      </c>
      <c r="D5" s="43" t="inlineStr">
        <is>
          <t>=IF([@NeedsReorder],[@ReorderQty]*[@UnitCost],0)</t>
        </is>
      </c>
      <c r="E5" cm="1" s="45">
        <f t="array" ref="E5">SUMPRODUCT((Inventory!$J$2:$J$258&lt;=Inventory!$L$2:$L$258)*Inventory!$M$2:$M$258*Inventory!$G$2:$G$258)</f>
        <v/>
      </c>
      <c r="F5" s="19" t="inlineStr">
        <is>
          <t>Typing in the first empty column next to a Table adds a column to it (Excel's AutoExpansion). IF([@NeedsReorder],…) reuses the calculated column you built in task 5 instead of repeating the comparison. The 41 rows that need an order return their cost and the rest return 0, so the column total is the cost of the whole report.</t>
        </is>
      </c>
    </row>
    <row r="6" ht="171" customHeight="1">
      <c r="A6" s="18" t="inlineStr">
        <is>
          <t>B2</t>
        </is>
      </c>
      <c r="B6" s="19" t="inlineStr">
        <is>
          <t>On the Vendors sheet, convert the vendor list to a Table named tblVendors. Fill its yellow ReorderCost column with a calculated column that adds up tblInventory[OrderCost] for that row's vendor. Which vendor gets the largest purchase order? (Type the vendor's name, or return it with a formula.)</t>
        </is>
      </c>
      <c r="C6" s="42" t="inlineStr">
        <is>
          <t>Summit Orthopedic Systems</t>
        </is>
      </c>
      <c r="D6" s="43" t="inlineStr">
        <is>
          <t>=INDEX(tblVendors[Vendor],MATCH(MAX(tblVendors[ReorderCost]),tblVendors[ReorderCost],0))</t>
        </is>
      </c>
      <c r="E6" s="18" t="inlineStr">
        <is>
          <t>—</t>
        </is>
      </c>
      <c r="F6" s="19" t="inlineStr">
        <is>
          <t>The calculated column in tblVendors is =SUMIFS(tblInventory[OrderCost],tblInventory[Vendor],[@Vendor]). It mixes whole columns from another Table with [@Vendor] from this row, which is how Tables talk to each other. INDEX/MATCH (Lesson 2.6) then returns the vendor on the row with the largest total. =XLOOKUP(MAX(tblVendors[ReorderCost]),tblVendors[ReorderCost],tblVendors[Vendor]) also works in Microsoft 365 and Excel 2021 or later. All four reorder lines for Summit Orthopedic Systems are orthopedic implants, and three of them cost more than $2,000 per unit, so a handful of lines makes the largest order.</t>
        </is>
      </c>
    </row>
    <row r="7" ht="81" customHeight="1">
      <c r="A7" s="18" t="inlineStr">
        <is>
          <t>B3</t>
        </is>
      </c>
      <c r="B7" s="19" t="inlineStr">
        <is>
          <t>What's the value of that vendor's purchase order, to the cent?</t>
        </is>
      </c>
      <c r="C7" s="44" t="n">
        <v>62855.33</v>
      </c>
      <c r="D7" s="43" t="inlineStr">
        <is>
          <t>=MAX(tblVendors[ReorderCost])</t>
        </is>
      </c>
      <c r="E7" cm="1" s="45">
        <f t="array" ref="E7">SUMPRODUCT((Inventory!$E$2:$E$258="Summit Orthopedic Systems")*(Inventory!$J$2:$J$258&lt;=Inventory!$L$2:$L$258)*Inventory!$M$2:$M$258*Inventory!$G$2:$G$258)</f>
        <v/>
      </c>
      <c r="F7" s="19" t="inlineStr">
        <is>
          <t>MAX scans the ReorderCost column of tblVendors, so it returns the largest vendor total, the same row that INDEX/MATCH found in B2. That's 36% of the week's spend on a single purchase order. In practice, a buyer would confirm implant orders with the OR schedule before sending them.</t>
        </is>
      </c>
    </row>
    <row r="8" ht="111" customHeight="1">
      <c r="A8" s="18" t="inlineStr">
        <is>
          <t>B4</t>
        </is>
      </c>
      <c r="B8" s="19" t="inlineStr">
        <is>
          <t>The group purchasing contract gives a 2% discount on any single vendor order of $20,000 or more. Define two named constants, DiscountMin (=20000) and DiscountPct (=0.02), then calculate the total discount on this week's orders, to the cent.</t>
        </is>
      </c>
      <c r="C8" s="44" t="n">
        <v>2431.66</v>
      </c>
      <c r="D8" s="43" t="inlineStr">
        <is>
          <t>=SUMIFS(tblVendors[ReorderCost],tblVendors[ReorderCost],"&gt;="&amp;DiscountMin)*DiscountPct</t>
        </is>
      </c>
      <c r="E8" s="18" t="inlineStr">
        <is>
          <t>—</t>
        </is>
      </c>
      <c r="F8" s="19" t="inlineStr">
        <is>
          <t>The criteria range and the sum range are the same column, so SUMIFS adds only the vendor totals that pass the test against DiscountMin. Orders from 3 vendors reach $20,000. Together they total $121,583.18, and 2% of that is the discount. With the thresholds in named constants, Purchasing can test a new contract (say 3% at $15,000) by editing two names in Name Manager, and every formula that uses them updates.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3.1 — Excel Tables, Structured References &amp; Named Ranges</dc:title>
  <dcterms:created xsi:type="dcterms:W3CDTF">2026-10-02T20:04:57Z</dcterms:created>
  <dcterms:modified xsi:type="dcterms:W3CDTF">2026-10-02T20:04:57Z</dcterms:modified>
</cp:coreProperties>
</file>
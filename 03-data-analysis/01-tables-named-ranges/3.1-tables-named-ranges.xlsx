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Every task uses the Inventory sheet: supply stock in 15 storerooms across three Bluestone hospitals, counted on 12/31/2025.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(Ctrl + T; Mac: Control + T). Then rename the Table tblInventory in the Table Name box on the Table Design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typing;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81" customHeight="1">
      <c r="A13" s="18" t="inlineStr">
        <is>
          <t>8</t>
        </is>
      </c>
      <c r="B13"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36" customHeight="1">
      <c r="A16" s="18" t="inlineStr">
        <is>
          <t>11</t>
        </is>
      </c>
      <c r="B16" s="19" t="inlineStr">
        <is>
          <t>Expired stock must be pulled from the shelves and written off. What's the total ExtendedValue of rows whose ExpirationDate is before ReportDate?</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70"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from the labels in column A. Later tasks and the bonus add named constants (CycleCountDays, DiscountMin, DiscountPct) in Name Manager; they don't live in cells.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 can test a TRUE/FALSE column directly: IF([@NeedsReorder], …, 0)</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t>
        </is>
      </c>
      <c r="C8" s="20" t="inlineStr">
        <is>
          <t>The largest value in tblVendors[ReorderCost]</t>
        </is>
      </c>
      <c r="D8" s="27" t="n"/>
      <c r="E8" s="22">
        <f>IF(IFERROR(D8="",FALSE),"",IF(IFERROR(AND(ISNUMBER(D8),OR(ABS(D8-'Bonus Key'!$C$7)&lt;=0.0051)),FALSE),"✔ Correct","✘ Not yet"))</f>
        <v/>
      </c>
    </row>
    <row r="9" ht="51"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(Ctrl + T; Mac: Control + T). Then rename the Table tblInventory in the Table Name box on the Table Design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66"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41"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Orthopedic implants cost thousands of dollars each, so even a few reorder lines make the largest order.</t>
        </is>
      </c>
    </row>
    <row r="7" ht="51" customHeight="1">
      <c r="A7" s="18" t="inlineStr">
        <is>
          <t>B3</t>
        </is>
      </c>
      <c r="B7" s="19" t="inlineStr">
        <is>
          <t>What's the value of that vendor's purchase order?</t>
        </is>
      </c>
      <c r="C7" s="45" t="n">
        <v>62855.33</v>
      </c>
      <c r="D7" s="43" t="inlineStr">
        <is>
          <t>=MAX(tblVendors[ReorderCost])</t>
        </is>
      </c>
      <c r="E7" cm="1" s="46">
        <f t="array" ref="E7">SUMPRODUCT(('Inventory'!$E$2:$E$258="Summit Orthopedic Systems")*('Inventory'!$J$2:$J$258&lt;='Inventory'!$L$2:$L$258)*'Inventory'!$M$2:$M$258*'Inventory'!$G$2:$G$258)</f>
        <v/>
      </c>
      <c r="F7" s="19" t="inlineStr">
        <is>
          <t>That's 36% of the week's spend on a single purchase order. In practice, a buyer would confirm implant orders with the OR schedule before sending them.</t>
        </is>
      </c>
    </row>
    <row r="8" ht="8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t>
        </is>
      </c>
      <c r="C8" s="45" t="n">
        <v>2431.66</v>
      </c>
      <c r="D8" s="43" t="inlineStr">
        <is>
          <t>=SUMIFS(tblVendors[ReorderCost],tblVendors[ReorderCost],"&gt;="&amp;DiscountMin)*DiscountPct</t>
        </is>
      </c>
      <c r="E8" s="18" t="inlineStr">
        <is>
          <t>—</t>
        </is>
      </c>
      <c r="F8" s="19" t="inlineStr">
        <is>
          <t>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2026-10-02T14:58:30Z</dcterms:created>
  <dcterms:modified xsi:type="dcterms:W3CDTF">2026-10-02T14:58:30Z</dcterms:modified>
</cp:coreProperties>
</file>
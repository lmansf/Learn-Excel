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4" fontId="5" fillId="0" borderId="1" applyAlignment="1" pivotButton="0" quotePrefix="0" xfId="0">
      <alignment vertical="top" wrapText="1"/>
    </xf>
    <xf numFmtId="4" fontId="0" fillId="0" borderId="1" applyAlignment="1" pivotButton="0" quotePrefix="0" xfId="0">
      <alignment vertical="top" wrapText="1"/>
    </xf>
    <xf numFmtId="166" fontId="5" fillId="0" borderId="1" applyAlignment="1" pivotButton="0" quotePrefix="0" xfId="0">
      <alignment vertical="top" wrapText="1"/>
    </xf>
    <xf numFmtId="166" fontId="0" fillId="0" borderId="1" applyAlignment="1" pivotButton="0" quotePrefix="0" xfId="0">
      <alignment vertical="top" wrapText="1"/>
    </xf>
    <xf numFmtId="2" fontId="5" fillId="0" borderId="1" applyAlignment="1" pivotButton="0" quotePrefix="0" xfId="0">
      <alignment vertical="top" wrapText="1"/>
    </xf>
    <xf numFmtId="2" fontId="0" fillId="0" borderId="1" applyAlignment="1" pivotButton="0" quotePrefix="0" xfId="0">
      <alignment vertical="top" wrapText="1"/>
    </xf>
    <xf numFmtId="165" fontId="5"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105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12 practice tasks, each with a Check cell.</t>
        </is>
      </c>
    </row>
    <row r="28" ht="18" customHeight="1">
      <c r="B28" s="8" t="inlineStr">
        <is>
          <t>Inventory</t>
        </is>
      </c>
      <c r="C28" s="7" t="inlineStr">
        <is>
          <t>Data: 257 rows</t>
        </is>
      </c>
    </row>
    <row r="29" ht="18" customHeight="1">
      <c r="B29" s="8" t="inlineStr">
        <is>
          <t>Settings</t>
        </is>
      </c>
      <c r="C29" s="7" t="inlineStr">
        <is>
          <t>Data: 2 rows</t>
        </is>
      </c>
    </row>
    <row r="30" ht="18" customHeight="1">
      <c r="B30" s="8" t="inlineStr">
        <is>
          <t>Vendors</t>
        </is>
      </c>
      <c r="C30" s="7" t="inlineStr">
        <is>
          <t>Data: 7 rows</t>
        </is>
      </c>
    </row>
    <row r="31" ht="18" customHeight="1">
      <c r="B31" s="8" t="inlineStr">
        <is>
          <t>Bonus</t>
        </is>
      </c>
      <c r="C31" s="7" t="inlineStr">
        <is>
          <t>The bonus challenge (4 parts).</t>
        </is>
      </c>
    </row>
    <row r="32" ht="33" customHeight="1">
      <c r="B32" s="8" t="inlineStr">
        <is>
          <t>About the data</t>
        </is>
      </c>
      <c r="C32" s="7" t="inlineStr">
        <is>
          <t>Supply inventory snapshot for 15 storerooms across three Bluestone hospitals (257 stock rows, as of 12/31/2025), a Settings sheet with the report date and expiry window, and Purchasing's vendor list.</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Mac: Table → Total Row),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96" customHeight="1">
      <c r="A13" s="18" t="inlineStr">
        <is>
          <t>8</t>
        </is>
      </c>
      <c r="B13"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51" customHeight="1">
      <c r="A16" s="18" t="inlineStr">
        <is>
          <t>11</t>
        </is>
      </c>
      <c r="B16" s="19" t="inlineStr">
        <is>
          <t>Expired stock must be pulled from the shelves and written off. What's the total ExtendedValue of rows whose ExpirationDate is before ReportDate? Enter it to the cent.</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96"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after the labels in column A (Formulas → Create from Selection).</t>
        </is>
      </c>
    </row>
    <row r="6">
      <c r="A6" s="3" t="inlineStr">
        <is>
          <t>Task 12 and the bonus add named constants (CycleCountDays, DiscountMin, DiscountPct) with Formulas → Define Name.</t>
        </is>
      </c>
    </row>
    <row r="7">
      <c r="A7" s="3" t="inlineStr">
        <is>
          <t>Named constants live only in Name Manager, so you won't see them on this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IF's test can be the TRUE/FALSE value in [@NeedsReorder] itself, with no comparison needed</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 to the cent?</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9" t="inlineStr">
        <is>
          <t>🔑 Answer Key — Lesson 3.1</t>
        </is>
      </c>
    </row>
    <row r="2" ht="32" customHeight="1">
      <c r="A2" s="40" t="inlineStr">
        <is>
          <t>Spoiler alert: try every task before reading this sheet. Column C is the value the Check column compares against. Column D is a sample solution, and column E recalculates a formula for it live, proving the answer.</t>
        </is>
      </c>
    </row>
    <row r="4">
      <c r="A4" s="41" t="inlineStr">
        <is>
          <t>#</t>
        </is>
      </c>
      <c r="B4" s="41" t="inlineStr">
        <is>
          <t>Task</t>
        </is>
      </c>
      <c r="C4" s="41" t="inlineStr">
        <is>
          <t>Answer</t>
        </is>
      </c>
      <c r="D4" s="41" t="inlineStr">
        <is>
          <t>Sample solution</t>
        </is>
      </c>
      <c r="E4" s="41" t="inlineStr">
        <is>
          <t>Live result</t>
        </is>
      </c>
      <c r="F4" s="41" t="inlineStr">
        <is>
          <t>Explanation</t>
        </is>
      </c>
    </row>
    <row r="5" ht="156"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19">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19">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4" t="n">
        <v>1011928.89</v>
      </c>
      <c r="D7" s="43" t="inlineStr">
        <is>
          <t>=[@QtyOnHand]*[@UnitCost]</t>
        </is>
      </c>
      <c r="E7" cm="1" s="45">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6" t="n">
        <v>0.1400812363406286</v>
      </c>
      <c r="D8" s="43" t="inlineStr">
        <is>
          <t>=SUMIFS(tblInventory[ExtendedValue],tblInventory[Category],"Orthopedic Implants")/SUM(tblInventory[ExtendedValue])</t>
        </is>
      </c>
      <c r="E8" cm="1" s="47">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19">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8" t="n">
        <v>5.350194552529183</v>
      </c>
      <c r="D10" s="43" t="inlineStr">
        <is>
          <t>=tblInventory[[#Totals],[LeadTimeDays]]</t>
        </is>
      </c>
      <c r="E10" cm="1" s="49">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81"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ROWS counts the rows a reference covers. [#All] covers the header row, the 257 data rows, and the Total Row: 1 + 257 + 1 = 259. tblInventory[#Data] (or just tblInventory) is the 257 data rows, [#Headers] is the header row alone, and [#Totals] is the Total Row alone.</t>
        </is>
      </c>
    </row>
    <row r="12" ht="186" customHeight="1">
      <c r="A12" s="18" t="inlineStr">
        <is>
          <t>8</t>
        </is>
      </c>
      <c r="B12"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4"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5">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41"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0"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1">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19">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 Enter it to the cent.</t>
        </is>
      </c>
      <c r="C15" s="44" t="n">
        <v>17115.69</v>
      </c>
      <c r="D15" s="43" t="inlineStr">
        <is>
          <t>=SUMIFS(tblInventory[ExtendedValue],tblInventory[ExpirationDate],"&lt;"&amp;ReportDate)</t>
        </is>
      </c>
      <c r="E15" cm="1" s="45">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19">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9" t="inlineStr">
        <is>
          <t>🔑 Bonus Key — Lesson 3.1</t>
        </is>
      </c>
    </row>
    <row r="2" ht="32" customHeight="1">
      <c r="A2" s="40" t="inlineStr">
        <is>
          <t>Spoiler alert: try every task before reading this sheet. Column C is the value the Check column compares against. Column D is a sample solution, and column E recalculates a formula for it live, proving the answer.</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4" t="n">
        <v>173950.91</v>
      </c>
      <c r="D5" s="43" t="inlineStr">
        <is>
          <t>=IF([@NeedsReorder],[@ReorderQty]*[@UnitCost],0)</t>
        </is>
      </c>
      <c r="E5" cm="1" s="45">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81" customHeight="1">
      <c r="A7" s="18" t="inlineStr">
        <is>
          <t>B3</t>
        </is>
      </c>
      <c r="B7" s="19" t="inlineStr">
        <is>
          <t>What's the value of that vendor's purchase order, to the cent?</t>
        </is>
      </c>
      <c r="C7" s="44" t="n">
        <v>62855.33</v>
      </c>
      <c r="D7" s="43" t="inlineStr">
        <is>
          <t>=MAX(tblVendors[ReorderCost])</t>
        </is>
      </c>
      <c r="E7" cm="1" s="45">
        <f t="array" ref="E7">SUMPRODUCT((Inventory!$E$2:$E$258="Summit Orthopedic Systems")*(Inventory!$J$2:$J$258&lt;=Inventory!$L$2:$L$258)*Inventory!$M$2:$M$258*Inventory!$G$2:$G$258)</f>
        <v/>
      </c>
      <c r="F7" s="19" t="inlineStr">
        <is>
          <t>MAX scans the ReorderCost column of tblVendors, so it returns the largest vendor total, the same row that INDEX/MATCH found in B2. That's 36% of the week's spend on a single purchase order. In practice, a buyer would confirm implant orders with the OR schedule before sending them.</t>
        </is>
      </c>
    </row>
    <row r="8" ht="11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4" t="n">
        <v>2431.66</v>
      </c>
      <c r="D8" s="43" t="inlineStr">
        <is>
          <t>=SUMIFS(tblVendors[ReorderCost],tblVendors[ReorderCost],"&gt;="&amp;DiscountMin)*DiscountPct</t>
        </is>
      </c>
      <c r="E8" s="18" t="inlineStr">
        <is>
          <t>—</t>
        </is>
      </c>
      <c r="F8" s="19" t="inlineStr">
        <is>
          <t>The criteria range and the sum range are the same column, so SUMIFS adds only the vendor totals that pass the test against DiscountMin. 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2026-10-02T18:50:07Z</dcterms:created>
  <dcterms:modified xsi:type="dcterms:W3CDTF">2026-10-02T18:50:07Z</dcterms:modified>
</cp:coreProperties>
</file>
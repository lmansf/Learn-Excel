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Stays" sheetId="3" state="visible" r:id="rId3"/>
    <sheet name="Claims" sheetId="4" state="visible" r:id="rId4"/>
    <sheet name="ED" sheetId="5" state="visible" r:id="rId5"/>
    <sheet name="Shifts" sheetId="6" state="visible" r:id="rId6"/>
    <sheet name="Holidays" sheetId="7" state="visible" r:id="rId7"/>
    <sheet name="Settings" sheetId="8" state="visible" r:id="rId8"/>
    <sheet name="Bonus" sheetId="9" state="visible" r:id="rId9"/>
    <sheet name="Answer Key" sheetId="10" state="hidden" r:id="rId10"/>
    <sheet name="Bonus Key" sheetId="11" state="hidden" r:id="rId11"/>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8">
    <numFmt numFmtId="164" formatCode="yyyy-mm-dd"/>
    <numFmt numFmtId="165" formatCode="mm/dd/yyyy"/>
    <numFmt numFmtId="166" formatCode="yyyy-mm-dd h:mm:ss"/>
    <numFmt numFmtId="167" formatCode="mm/dd/yyyy hh:mm"/>
    <numFmt numFmtId="168" formatCode="hh:mm"/>
    <numFmt numFmtId="169" formatCode="0.00000"/>
    <numFmt numFmtId="170" formatCode="0.0"/>
    <numFmt numFmtId="171" formatCode="[h]:mm"/>
  </numFmts>
  <fonts count="17">
    <font>
      <name val="Calibri"/>
      <family val="2"/>
      <color theme="1"/>
      <sz val="11"/>
      <scheme val="minor"/>
    </font>
    <font>
      <b val="1"/>
    </font>
    <font>
      <b val="1"/>
      <color rgb="00000000"/>
    </font>
    <font>
      <b val="1"/>
      <color rgb="00FFFFFF"/>
    </font>
    <font>
      <b val="1"/>
      <color rgb="007B2C2C"/>
      <sz val="16"/>
    </font>
    <font>
      <i val="1"/>
      <color rgb="00595959"/>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s>
  <fills count="9">
    <fill>
      <patternFill/>
    </fill>
    <fill>
      <patternFill patternType="gray125"/>
    </fill>
    <fill>
      <patternFill patternType="solid">
        <fgColor rgb="00FFD966"/>
      </patternFill>
    </fill>
    <fill>
      <patternFill patternType="solid">
        <fgColor rgb="00FFF2CC"/>
      </patternFill>
    </fill>
    <fill>
      <patternFill patternType="solid">
        <fgColor rgb="001F4E79"/>
      </patternFill>
    </fill>
    <fill>
      <patternFill patternType="solid">
        <fgColor rgb="007B2C2C"/>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8">
    <xf numFmtId="0" fontId="0" fillId="0" borderId="0" pivotButton="0" quotePrefix="0" xfId="0"/>
    <xf numFmtId="0" fontId="13" fillId="0" borderId="0" pivotButton="0" quotePrefix="0" xfId="0"/>
    <xf numFmtId="0" fontId="14" fillId="0" borderId="0" pivotButton="0" quotePrefix="0" xfId="0"/>
    <xf numFmtId="0" fontId="5" fillId="0" borderId="0" pivotButton="0" quotePrefix="0" xfId="0"/>
    <xf numFmtId="0" fontId="15" fillId="4" borderId="0" pivotButton="0" quotePrefix="0" xfId="0"/>
    <xf numFmtId="0" fontId="0" fillId="4"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3" fillId="4"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169" fontId="0" fillId="3" borderId="2" applyAlignment="1" pivotButton="0" quotePrefix="0" xfId="0">
      <alignment horizontal="right" vertical="top"/>
    </xf>
    <xf numFmtId="0" fontId="1" fillId="0" borderId="1" applyAlignment="1" pivotButton="0" quotePrefix="0" xfId="0">
      <alignment vertical="top"/>
    </xf>
    <xf numFmtId="165" fontId="0" fillId="3" borderId="2" applyAlignment="1" pivotButton="0" quotePrefix="0" xfId="0">
      <alignment horizontal="right" vertical="top"/>
    </xf>
    <xf numFmtId="2" fontId="11" fillId="6" borderId="1" applyAlignment="1" pivotButton="0" quotePrefix="0" xfId="0">
      <alignment horizontal="right" vertical="top"/>
    </xf>
    <xf numFmtId="2" fontId="0" fillId="3" borderId="2" applyAlignment="1" pivotButton="0" quotePrefix="0" xfId="0">
      <alignment horizontal="right" vertical="top"/>
    </xf>
    <xf numFmtId="0" fontId="0" fillId="3" borderId="2" applyAlignment="1" pivotButton="0" quotePrefix="0" xfId="0">
      <alignment horizontal="right" vertical="top"/>
    </xf>
    <xf numFmtId="170" fontId="11" fillId="6" borderId="1" applyAlignment="1" pivotButton="0" quotePrefix="0" xfId="0">
      <alignment horizontal="right" vertical="top"/>
    </xf>
    <xf numFmtId="171" fontId="11" fillId="6" borderId="1" applyAlignment="1" pivotButton="0" quotePrefix="0" xfId="0">
      <alignment horizontal="right" vertical="top"/>
    </xf>
    <xf numFmtId="0" fontId="1" fillId="0" borderId="0" pivotButton="0" quotePrefix="0" xfId="0"/>
    <xf numFmtId="0" fontId="2" fillId="2" borderId="0" pivotButton="0" quotePrefix="0" xfId="0"/>
    <xf numFmtId="165" fontId="0" fillId="0" borderId="0" pivotButton="0" quotePrefix="0" xfId="0"/>
    <xf numFmtId="167" fontId="0" fillId="0" borderId="0" pivotButton="0" quotePrefix="0" xfId="0"/>
    <xf numFmtId="1" fontId="0" fillId="3" borderId="0" pivotButton="0" quotePrefix="0" xfId="0"/>
    <xf numFmtId="2" fontId="0" fillId="3" borderId="0" pivotButton="0" quotePrefix="0" xfId="0"/>
    <xf numFmtId="0" fontId="0" fillId="3" borderId="0" pivotButton="0" quotePrefix="0" xfId="0"/>
    <xf numFmtId="168" fontId="0" fillId="0" borderId="0" pivotButton="0" quotePrefix="0" xfId="0"/>
    <xf numFmtId="20" fontId="0" fillId="3" borderId="0" pivotButton="0" quotePrefix="0" xfId="0"/>
    <xf numFmtId="0" fontId="3" fillId="4" borderId="0" pivotButton="0" quotePrefix="0" xfId="0"/>
    <xf numFmtId="0" fontId="11" fillId="6" borderId="1" applyAlignment="1" pivotButton="0" quotePrefix="0" xfId="0">
      <alignment horizontal="right" vertical="top"/>
    </xf>
    <xf numFmtId="170" fontId="0" fillId="3" borderId="2" applyAlignment="1" pivotButton="0" quotePrefix="0" xfId="0">
      <alignment horizontal="right" vertical="top"/>
    </xf>
    <xf numFmtId="0" fontId="0" fillId="3" borderId="2" applyAlignment="1" pivotButton="0" quotePrefix="0" xfId="0">
      <alignment horizontal="left" vertical="top"/>
    </xf>
    <xf numFmtId="0" fontId="4" fillId="0" borderId="0" pivotButton="0" quotePrefix="0" xfId="0"/>
    <xf numFmtId="0" fontId="5" fillId="0" borderId="0" applyAlignment="1" pivotButton="0" quotePrefix="0" xfId="0">
      <alignment vertical="top" wrapText="1"/>
    </xf>
    <xf numFmtId="0" fontId="3" fillId="5" borderId="1" pivotButton="0" quotePrefix="0" xfId="0"/>
    <xf numFmtId="169" fontId="1" fillId="0" borderId="1" applyAlignment="1" pivotButton="0" quotePrefix="0" xfId="0">
      <alignment vertical="top" wrapText="1"/>
    </xf>
    <xf numFmtId="0" fontId="6" fillId="0" borderId="1" applyAlignment="1" pivotButton="0" quotePrefix="1" xfId="0">
      <alignment vertical="top" wrapText="1"/>
    </xf>
    <xf numFmtId="169" fontId="0" fillId="0" borderId="1" applyAlignment="1" pivotButton="0" quotePrefix="0" xfId="0">
      <alignment vertical="top"/>
    </xf>
    <xf numFmtId="165" fontId="1" fillId="0" borderId="1" applyAlignment="1" pivotButton="0" quotePrefix="0" xfId="0">
      <alignment vertical="top" wrapText="1"/>
    </xf>
    <xf numFmtId="165" fontId="0" fillId="0" borderId="1" applyAlignment="1" pivotButton="0" quotePrefix="0" xfId="0">
      <alignment vertical="top"/>
    </xf>
    <xf numFmtId="2" fontId="1" fillId="0" borderId="1" applyAlignment="1" pivotButton="0" quotePrefix="0" xfId="0">
      <alignment vertical="top" wrapText="1"/>
    </xf>
    <xf numFmtId="2" fontId="0" fillId="0" borderId="1" applyAlignment="1" pivotButton="0" quotePrefix="0" xfId="0">
      <alignment vertical="top"/>
    </xf>
    <xf numFmtId="0" fontId="1" fillId="0" borderId="1" applyAlignment="1" pivotButton="0" quotePrefix="0" xfId="0">
      <alignment vertical="top" wrapText="1"/>
    </xf>
    <xf numFmtId="0" fontId="0" fillId="0" borderId="1" applyAlignment="1" pivotButton="0" quotePrefix="0" xfId="0">
      <alignment vertical="top"/>
    </xf>
    <xf numFmtId="170" fontId="1" fillId="0" borderId="1" applyAlignment="1" pivotButton="0" quotePrefix="0" xfId="0">
      <alignment vertical="top" wrapText="1"/>
    </xf>
    <xf numFmtId="170" fontId="0" fillId="0" borderId="1" applyAlignment="1" pivotButton="0" quotePrefix="0" xfId="0">
      <alignment vertical="top"/>
    </xf>
    <xf numFmtId="171" fontId="1" fillId="0" borderId="1" applyAlignment="1" pivotButton="0" quotePrefix="0" xfId="0">
      <alignment vertical="top" wrapText="1"/>
    </xf>
    <xf numFmtId="171" fontId="0" fillId="0" borderId="1" applyAlignment="1" pivotButton="0" quotePrefix="0" xfId="0">
      <alignment vertical="top"/>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 Id="rIdXlcMeta" Type="http://schemas.openxmlformats.org/officeDocument/2006/relationships/sheetMetadata" Target="metadata.xml"/></Relationships>
</file>

<file path=xl/tables/table1.xml><?xml version="1.0" encoding="utf-8"?>
<table xmlns="http://schemas.openxmlformats.org/spreadsheetml/2006/main" id="1" name="tblStays" displayName="tblStays" ref="A1:M370" headerRowCount="1">
  <autoFilter ref="A1:M370"/>
  <tableColumns count="13">
    <tableColumn id="1" name="EncounterID"/>
    <tableColumn id="2" name="PatientID"/>
    <tableColumn id="3" name="Unit"/>
    <tableColumn id="4" name="AdmitSource"/>
    <tableColumn id="5" name="DOB"/>
    <tableColumn id="6" name="EDArrivalDateTime"/>
    <tableColumn id="7" name="AdmitDateTime"/>
    <tableColumn id="8" name="DischargeDateTime"/>
    <tableColumn id="9" name="AgeAtAdmit"/>
    <tableColumn id="10" name="LOSDays"/>
    <tableColumn id="11" name="Midnights"/>
    <tableColumn id="12" name="BenchMidnights"/>
    <tableColumn id="13" name="AdmitDay"/>
  </tableColumns>
  <tableStyleInfo name="TableStyleMedium2" showRowStripes="1"/>
</table>
</file>

<file path=xl/tables/table2.xml><?xml version="1.0" encoding="utf-8"?>
<table xmlns="http://schemas.openxmlformats.org/spreadsheetml/2006/main" id="2" name="tblClaims" displayName="tblClaims" ref="A1:H370" headerRowCount="1">
  <autoFilter ref="A1:H370"/>
  <tableColumns count="8">
    <tableColumn id="1" name="ClaimID"/>
    <tableColumn id="2" name="EncounterID"/>
    <tableColumn id="3" name="PayerName"/>
    <tableColumn id="4" name="ClaimStatus"/>
    <tableColumn id="5" name="ServiceDate"/>
    <tableColumn id="6" name="SubmitDate"/>
    <tableColumn id="7" name="PaidDate"/>
    <tableColumn id="8" name="DaysToPay"/>
  </tableColumns>
  <tableStyleInfo name="TableStyleMedium2" showRowStripes="1"/>
</table>
</file>

<file path=xl/tables/table3.xml><?xml version="1.0" encoding="utf-8"?>
<table xmlns="http://schemas.openxmlformats.org/spreadsheetml/2006/main" id="3" name="tblED" displayName="tblED" ref="A1:H227" headerRowCount="1">
  <autoFilter ref="A1:H227"/>
  <tableColumns count="8">
    <tableColumn id="1" name="EDVisitID"/>
    <tableColumn id="2" name="ESILevel"/>
    <tableColumn id="3" name="ArrivalDateTime"/>
    <tableColumn id="4" name="TriageDateTime"/>
    <tableColumn id="5" name="ProviderSeenDateTime"/>
    <tableColumn id="6" name="DepartureDateTime"/>
    <tableColumn id="7" name="EDDisposition"/>
    <tableColumn id="8" name="DoorToProviderMin"/>
  </tableColumns>
  <tableStyleInfo name="TableStyleMedium2" showRowStripes="1"/>
</table>
</file>

<file path=xl/tables/table4.xml><?xml version="1.0" encoding="utf-8"?>
<table xmlns="http://schemas.openxmlformats.org/spreadsheetml/2006/main" id="4" name="tblShifts" displayName="tblShifts" ref="A1:H186" headerRowCount="1">
  <autoFilter ref="A1:H186"/>
  <tableColumns count="8">
    <tableColumn id="1" name="ShiftID"/>
    <tableColumn id="2" name="EmployeeID"/>
    <tableColumn id="3" name="JobTitle"/>
    <tableColumn id="4" name="ShiftDate"/>
    <tableColumn id="5" name="ShiftType"/>
    <tableColumn id="6" name="ClockIn"/>
    <tableColumn id="7" name="ClockOut"/>
    <tableColumn id="8" name="PaidTime"/>
  </tableColumns>
  <tableStyleInfo name="TableStyleMedium2" showRowStripes="1"/>
</table>
</file>

<file path=xl/tables/table5.xml><?xml version="1.0" encoding="utf-8"?>
<table xmlns="http://schemas.openxmlformats.org/spreadsheetml/2006/main" id="5" name="tblHolidays" displayName="tblHolidays" ref="A1:C19" headerRowCount="1">
  <autoFilter ref="A1:C19"/>
  <tableColumns count="3">
    <tableColumn id="1" name="Date"/>
    <tableColumn id="2" name="Holiday"/>
    <tableColumn id="3" name="Day"/>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table" Target="/xl/tables/table4.xml" Id="rId1" /></Relationships>
</file>

<file path=xl/worksheets/_rels/sheet7.xml.rels><Relationships xmlns="http://schemas.openxmlformats.org/package/2006/relationships"><Relationship Type="http://schemas.openxmlformats.org/officeDocument/2006/relationships/table" Target="/xl/tables/table5.xml" Id="rId1" /></Relationships>
</file>

<file path=xl/worksheets/sheet1.xml><?xml version="1.0" encoding="utf-8"?>
<worksheet xmlns="http://schemas.openxmlformats.org/spreadsheetml/2006/main">
  <sheetPr>
    <tabColor rgb="001F4E79"/>
    <outlinePr summaryBelow="1" summaryRight="1"/>
    <pageSetUpPr fitToPage="1"/>
  </sheetPr>
  <dimension ref="B2:C35"/>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2.3</t>
        </is>
      </c>
    </row>
    <row r="3">
      <c r="B3" s="2" t="inlineStr">
        <is>
          <t>Dates &amp; Times</t>
        </is>
      </c>
    </row>
    <row r="4">
      <c r="B4" s="3" t="inlineStr">
        <is>
          <t>Beginner → Intermediate  ·  about 55 minutes  ·  Bluestone Health System (fictional)</t>
        </is>
      </c>
    </row>
    <row r="6">
      <c r="B6" s="4" t="inlineStr">
        <is>
          <t>What you'll learn</t>
        </is>
      </c>
      <c r="C6" s="5" t="n"/>
    </row>
    <row r="7" ht="18" customHeight="1">
      <c r="B7" s="6" t="inlineStr">
        <is>
          <t>•</t>
        </is>
      </c>
      <c r="C7" s="7" t="inlineStr">
        <is>
          <t>Understand date serial numbers and times as fractions of a day</t>
        </is>
      </c>
    </row>
    <row r="8" ht="18" customHeight="1">
      <c r="B8" s="6" t="inlineStr">
        <is>
          <t>•</t>
        </is>
      </c>
      <c r="C8" s="7" t="inlineStr">
        <is>
          <t>Build and take apart dates with DATE, YEAR, MONTH, DAY, WEEKDAY, EOMONTH, and EDATE</t>
        </is>
      </c>
    </row>
    <row r="9" ht="18" customHeight="1">
      <c r="B9" s="6" t="inlineStr">
        <is>
          <t>•</t>
        </is>
      </c>
      <c r="C9" s="7" t="inlineStr">
        <is>
          <t>Calculate ages, lengths of stay, and turnaround times (DATEDIF, YEARFRAC, NETWORKDAYS, WORKDAY)</t>
        </is>
      </c>
    </row>
    <row r="10" ht="18" customHeight="1">
      <c r="B10" s="6" t="inlineStr">
        <is>
          <t>•</t>
        </is>
      </c>
      <c r="C10" s="7" t="inlineStr">
        <is>
          <t>Do time math for ED waits and overnight shifts (MOD, [h]:mm)</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https://github.com/lmansf/learn-excel/tree/main/02-formulas-functions/03-date-time-functions</t>
        </is>
      </c>
    </row>
    <row r="14" ht="18" customHeight="1">
      <c r="B14" s="8" t="inlineStr">
        <is>
          <t>2. Practice</t>
        </is>
      </c>
      <c r="C14" s="7" t="inlineStr">
        <is>
          <t>Go to the 'Practice' sheet. Type a formula or value into each yellow cell.</t>
        </is>
      </c>
    </row>
    <row r="15" ht="33" customHeight="1">
      <c r="B15" s="8" t="inlineStr">
        <is>
          <t>3. Check yourself</t>
        </is>
      </c>
      <c r="C15" s="7" t="inlineStr">
        <is>
          <t>The Check column shows ✔ Correct (green) or ✘ Not yet (red). Tasks marked 'See key' are checked by comparing with the answer key.</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Settings!B2 holds the report date (12/31/2025). Use it wherever a task says "as of" or "today". TODAY() would give a different answer every day you open the file.</t>
        </is>
      </c>
    </row>
    <row r="19" ht="33" customHeight="1">
      <c r="B19" s="8" t="inlineStr">
        <is>
          <t>Note</t>
        </is>
      </c>
      <c r="C19" s="7" t="inlineStr">
        <is>
          <t>The two-midnight rule in the bonus is simplified for teaching date math. It is not billing or clinical guidance.</t>
        </is>
      </c>
    </row>
    <row r="21">
      <c r="B21" s="4" t="inlineStr">
        <is>
          <t>Color legend</t>
        </is>
      </c>
      <c r="C21" s="5" t="n"/>
    </row>
    <row r="22" ht="18" customHeight="1">
      <c r="B22" s="9" t="inlineStr">
        <is>
          <t>Yellow cell</t>
        </is>
      </c>
      <c r="C22" s="7" t="inlineStr">
        <is>
          <t>Your answer goes here.</t>
        </is>
      </c>
    </row>
    <row r="23" ht="18" customHeight="1">
      <c r="B23" s="10" t="inlineStr">
        <is>
          <t>Gray cell</t>
        </is>
      </c>
      <c r="C23" s="7" t="inlineStr">
        <is>
          <t>Pre-filled summary formula — it reads the work you did on another sheet.</t>
        </is>
      </c>
    </row>
    <row r="24" ht="18" customHeight="1">
      <c r="B24" s="11" t="inlineStr">
        <is>
          <t>✔ Correct</t>
        </is>
      </c>
      <c r="C24" s="7" t="inlineStr">
        <is>
          <t>Your answer matches the key.</t>
        </is>
      </c>
    </row>
    <row r="25" ht="18" customHeight="1">
      <c r="B25" s="12" t="inlineStr">
        <is>
          <t>✘ Not yet</t>
        </is>
      </c>
      <c r="C25" s="7" t="inlineStr">
        <is>
          <t>Not matching yet — check the hint and try again.</t>
        </is>
      </c>
    </row>
    <row r="27">
      <c r="B27" s="4" t="inlineStr">
        <is>
          <t>Sheets in this workbook</t>
        </is>
      </c>
      <c r="C27" s="5" t="n"/>
    </row>
    <row r="28" ht="18" customHeight="1">
      <c r="B28" s="8" t="inlineStr">
        <is>
          <t>Stays</t>
        </is>
      </c>
      <c r="C28" s="7" t="inlineStr">
        <is>
          <t>Data: 369 rows — Excel Table 'tblStays'</t>
        </is>
      </c>
    </row>
    <row r="29" ht="18" customHeight="1">
      <c r="B29" s="8" t="inlineStr">
        <is>
          <t>Claims</t>
        </is>
      </c>
      <c r="C29" s="7" t="inlineStr">
        <is>
          <t>Data: 369 rows — Excel Table 'tblClaims'</t>
        </is>
      </c>
    </row>
    <row r="30" ht="18" customHeight="1">
      <c r="B30" s="8" t="inlineStr">
        <is>
          <t>ED</t>
        </is>
      </c>
      <c r="C30" s="7" t="inlineStr">
        <is>
          <t>Data: 226 rows — Excel Table 'tblED'</t>
        </is>
      </c>
    </row>
    <row r="31" ht="18" customHeight="1">
      <c r="B31" s="8" t="inlineStr">
        <is>
          <t>Shifts</t>
        </is>
      </c>
      <c r="C31" s="7" t="inlineStr">
        <is>
          <t>Data: 185 rows — Excel Table 'tblShifts'</t>
        </is>
      </c>
    </row>
    <row r="32" ht="18" customHeight="1">
      <c r="B32" s="8" t="inlineStr">
        <is>
          <t>Holidays</t>
        </is>
      </c>
      <c r="C32" s="7" t="inlineStr">
        <is>
          <t>Data: 18 rows — Excel Table 'tblHolidays'</t>
        </is>
      </c>
    </row>
    <row r="33" ht="18" customHeight="1">
      <c r="B33" s="8" t="inlineStr">
        <is>
          <t>Settings</t>
        </is>
      </c>
      <c r="C33" s="7" t="inlineStr">
        <is>
          <t>Data: 1 rows</t>
        </is>
      </c>
    </row>
    <row r="34" ht="78" customHeight="1">
      <c r="B34" s="8" t="inlineStr">
        <is>
          <t>About the data</t>
        </is>
      </c>
      <c r="C34" s="7" t="inlineStr">
        <is>
          <t>All 369 inpatient stays admitted at Ashby Falls Community Hospital in 2025 (with each patient's date of birth and, for ED admissions, the ED arrival time), the insurance claim for each stay, and the hospital's 226 emergency department visits in Q4 2025. The workbook also has one pay week (December 14–20, 2025) of worked shifts on Medical-Surgical 4 West at Bluestone Memorial Hospital and the business office's 2025–2026 holiday calendar.</t>
        </is>
      </c>
    </row>
    <row r="35" ht="18" customHeight="1">
      <c r="B35" s="8" t="inlineStr">
        <is>
          <t>Disclaimer</t>
        </is>
      </c>
      <c r="C35"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2.3 · Practice</t>
        </is>
      </c>
    </row>
    <row r="2" ht="79" customHeight="1">
      <c r="A2" s="14" t="inlineStr">
        <is>
          <t>Tasks 1–7 use the Stays sheet, 8–11 the Claims sheet, 12 the ED sheet, and 13 the Shifts sheet. Settings!B2 holds the report date (12/31/2025) and the Holidays sheet lists the business office's holidays. When a formula on this sheet points at a data sheet, include the sheet name, as in Stays!G2:G370, or click the cells on that sheet and Excel adds the name for you. (Selecting a whole Table column may write tblStays[AdmitDateTime] instead, which works the same.) Several tasks ask you to fill a yellow column on a data sheet: type the formula in the first data row and the Table fills the rest (if it doesn't, double-click the fill handle). The gray cell on this sheet then summarizes your column.</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66" customHeight="1">
      <c r="A6" s="18" t="inlineStr">
        <is>
          <t>1</t>
        </is>
      </c>
      <c r="B6" s="19" t="inlineStr">
        <is>
          <t>Stays!G2 shows the first admission of 2025: 01/01/2025 21:09. What number does Excel actually store in that cell? Enter a formula that refers to the cell. The answer cell is already formatted to show 5 decimal places, so you'll see the stored number instead of a date.</t>
        </is>
      </c>
      <c r="C6" s="20" t="inlineStr">
        <is>
          <t>A date-time is one number: whole days since 1900, plus a fraction of a day</t>
        </is>
      </c>
      <c r="D6" s="21" t="n"/>
      <c r="E6" s="22">
        <f>IF(IFERROR(D6="",FALSE),"",IF(IFERROR(AND(ISNUMBER(D6),OR(ABS(D6-'Answer Key'!$C$5)&lt;=0.0001)),FALSE),"✔ Correct","✘ Not yet"))</f>
        <v/>
      </c>
    </row>
    <row r="7" ht="51" customHeight="1">
      <c r="A7" s="18" t="inlineStr">
        <is>
          <t>2</t>
        </is>
      </c>
      <c r="B7" s="19" t="inlineStr">
        <is>
          <t>The patient in Stays row 15 (encounter ENC110973) was 64 at admission. On what date does the patient turn 65, the usual age of Medicare eligibility? Use the DOB in that row.</t>
        </is>
      </c>
      <c r="C7" s="20" t="inlineStr">
        <is>
          <t>EDATE moves a date by whole months. How many months are in 65 years?</t>
        </is>
      </c>
      <c r="D7" s="23" t="n"/>
      <c r="E7" s="22">
        <f>IF(IFERROR(D7="",FALSE),"",IF(IFERROR(AND(ISNUMBER(D7),INT(D7)=INT('Answer Key'!$C$6)),FALSE),"✔ Correct","✘ Not yet"))</f>
        <v/>
      </c>
    </row>
    <row r="8" ht="51" customHeight="1">
      <c r="A8" s="18" t="inlineStr">
        <is>
          <t>3</t>
        </is>
      </c>
      <c r="B8" s="19" t="inlineStr">
        <is>
          <t>Fill the yellow AgeAtAdmit column on the Stays sheet with each patient's age in completed years on the admit date. Start in I2. The gray cell averages your column. What was the average age at admission?</t>
        </is>
      </c>
      <c r="C8" s="20" t="inlineStr">
        <is>
          <t>DATEDIF(start_date, end_date, "Y") counts completed years. Type it in full, because Excel won't suggest it</t>
        </is>
      </c>
      <c r="D8" cm="1" s="24">
        <f t="array" ref="D8">IF(COUNT('Stays'!$I$2:$I$370)=0,"",AVERAGE('Stays'!$I$2:$I$370))</f>
        <v/>
      </c>
      <c r="E8" s="22">
        <f>IF(IFERROR(D8="",FALSE),"",IF(IFERROR(AND(ISNUMBER(D8),OR(ABS(D8-'Answer Key'!$C$7)&lt;=0.0001)),FALSE),"✔ Correct","✘ Not yet"))</f>
        <v/>
      </c>
    </row>
    <row r="9" ht="51" customHeight="1">
      <c r="A9" s="18" t="inlineStr">
        <is>
          <t>4</t>
        </is>
      </c>
      <c r="B9" s="19" t="inlineStr">
        <is>
          <t>The youngest patient (Stays row 42, encounter ENC112029) was an infant. Calculate the exact age in years at admission with YEARFRAC, using basis 1 (actual/actual). Round to 2 decimal places.</t>
        </is>
      </c>
      <c r="C9" s="20" t="inlineStr">
        <is>
          <t>YEARFRAC(start_date, end_date, basis). Don't skip the third argument</t>
        </is>
      </c>
      <c r="D9" s="25" t="n"/>
      <c r="E9" s="22">
        <f>IF(IFERROR(D9="",FALSE),"",IF(IFERROR(AND(ISNUMBER(D9),OR(ABS(D9-'Answer Key'!$C$8)&lt;=0.0051)),FALSE),"✔ Correct","✘ Not yet"))</f>
        <v/>
      </c>
    </row>
    <row r="10" ht="36" customHeight="1">
      <c r="A10" s="18" t="inlineStr">
        <is>
          <t>5</t>
        </is>
      </c>
      <c r="B10" s="19" t="inlineStr">
        <is>
          <t>How many stays were admitted on a weekend (Saturday or Sunday)? Use the AdmitDateTime column.</t>
        </is>
      </c>
      <c r="C10" s="20" t="inlineStr">
        <is>
          <t>WEEKDAY with return_type 2 numbers Monday as 1 and Sunday as 7</t>
        </is>
      </c>
      <c r="D10" s="26" t="n"/>
      <c r="E10" s="22">
        <f>IF(IFERROR(D10="",FALSE),"",IF(IFERROR(AND(ISNUMBER(D10),OR(ABS(D10-'Answer Key'!$C$9)&lt;=0.0001)),FALSE),"✔ Correct","✘ Not yet"))</f>
        <v/>
      </c>
    </row>
    <row r="11" ht="36" customHeight="1">
      <c r="A11" s="18" t="inlineStr">
        <is>
          <t>6</t>
        </is>
      </c>
      <c r="B11" s="19" t="inlineStr">
        <is>
          <t>How many stays were admitted in April 2025? Compare AdmitDateTime with dates you build with DATE.</t>
        </is>
      </c>
      <c r="C11" s="20" t="inlineStr">
        <is>
          <t>On or after April 1, and before May 1</t>
        </is>
      </c>
      <c r="D11" s="26" t="n"/>
      <c r="E11" s="22">
        <f>IF(IFERROR(D11="",FALSE),"",IF(IFERROR(AND(ISNUMBER(D11),OR(ABS(D11-'Answer Key'!$C$10)&lt;=0.0001)),FALSE),"✔ Correct","✘ Not yet"))</f>
        <v/>
      </c>
    </row>
    <row r="12" ht="51" customHeight="1">
      <c r="A12" s="18" t="inlineStr">
        <is>
          <t>7</t>
        </is>
      </c>
      <c r="B12" s="19" t="inlineStr">
        <is>
          <t>Fill the yellow LOSDays column with each stay's length of stay in days, including the fraction of a day (DischargeDateTime minus AdmitDateTime). Start in J2. The gray cell averages your column. What was the average length of stay?</t>
        </is>
      </c>
      <c r="C12" s="20" t="inlineStr">
        <is>
          <t>Later date-time minus earlier date-time gives days</t>
        </is>
      </c>
      <c r="D12" cm="1" s="24">
        <f t="array" ref="D12">IF(COUNT('Stays'!$J$2:$J$370)=0,"",AVERAGE('Stays'!$J$2:$J$370))</f>
        <v/>
      </c>
      <c r="E12" s="22">
        <f>IF(IFERROR(D12="",FALSE),"",IF(IFERROR(AND(ISNUMBER(D12),OR(ABS(D12-'Answer Key'!$C$11)&lt;=0.0051)),FALSE),"✔ Correct","✘ Not yet"))</f>
        <v/>
      </c>
    </row>
    <row r="13" ht="51" customHeight="1">
      <c r="A13" s="18" t="inlineStr">
        <is>
          <t>8</t>
        </is>
      </c>
      <c r="B13" s="19" t="inlineStr">
        <is>
          <t>Ashby Falls' billing standard says a claim must be submitted by the last day of the month after the month of service. What is the deadline for claim CLM511227 (Claims row 29, ServiceDate 01/30/2025)?</t>
        </is>
      </c>
      <c r="C13" s="20" t="inlineStr">
        <is>
          <t>EOMONTH(start_date, months) returns the last day of a month</t>
        </is>
      </c>
      <c r="D13" s="23" t="n"/>
      <c r="E13" s="22">
        <f>IF(IFERROR(D13="",FALSE),"",IF(IFERROR(AND(ISNUMBER(D13),INT(D13)=INT('Answer Key'!$C$12)),FALSE),"✔ Correct","✘ Not yet"))</f>
        <v/>
      </c>
    </row>
    <row r="14" ht="66" customHeight="1">
      <c r="A14" s="18" t="inlineStr">
        <is>
          <t>9</t>
        </is>
      </c>
      <c r="B14" s="19" t="inlineStr">
        <is>
          <t>Fill the yellow DaysToPay column on the Claims sheet with the calendar days from SubmitDate to PaidDate. 94 claims have no PaidDate yet, so make those rows return "" (empty text). Start in H2. The gray cell averages your column. What is the average days to pay?</t>
        </is>
      </c>
      <c r="C14" s="20" t="inlineStr">
        <is>
          <t>Test for a blank PaidDate with IF before you subtract</t>
        </is>
      </c>
      <c r="D14" cm="1" s="27">
        <f t="array" ref="D14">IF(COUNT('Claims'!$H$2:$H$370)=0,"",AVERAGE('Claims'!$H$2:$H$370))</f>
        <v/>
      </c>
      <c r="E14" s="22">
        <f>IF(IFERROR(D14="",FALSE),"",IF(IFERROR(AND(ISNUMBER(D14),OR(ABS(D14-'Answer Key'!$C$13)&lt;=0.0051)),FALSE),"✔ Correct","✘ Not yet"))</f>
        <v/>
      </c>
    </row>
    <row r="15" ht="66" customHeight="1">
      <c r="A15" s="18" t="inlineStr">
        <is>
          <t>10</t>
        </is>
      </c>
      <c r="B15" s="19" t="inlineStr">
        <is>
          <t>Claim CLM520056 (Claims row 307) is still Pending. As of the report date in Settings!B2, how many business days has it been waiting? Count from its SubmitDate through the report date, both days included, skipping weekends and the dates on the Holidays sheet.</t>
        </is>
      </c>
      <c r="C15" s="20" t="inlineStr">
        <is>
          <t>NETWORKDAYS(start_date, end_date, holidays)</t>
        </is>
      </c>
      <c r="D15" s="26" t="n"/>
      <c r="E15" s="22">
        <f>IF(IFERROR(D15="",FALSE),"",IF(IFERROR(AND(ISNUMBER(D15),OR(ABS(D15-'Answer Key'!$C$14)&lt;=0.0001)),FALSE),"✔ Correct","✘ Not yet"))</f>
        <v/>
      </c>
    </row>
    <row r="16" ht="96" customHeight="1">
      <c r="A16" s="18" t="inlineStr">
        <is>
          <t>11</t>
        </is>
      </c>
      <c r="B16" s="19" t="inlineStr">
        <is>
          <t>Claim CLM517132 (Claims row 207) was only partially paid by Evergreen Mutual Insurance, and the payment posted on its PaidDate. Bluestone Health's policy gives the appeals team 10 business days to send an underpayment appeal, so the deadline is the 10th business day after the PaidDate (the PaidDate itself doesn't count). Weekends and the dates on the Holidays sheet aren't business days. What is the deadline?</t>
        </is>
      </c>
      <c r="C16" s="20" t="inlineStr">
        <is>
          <t>WORKDAY(start_date, days, holidays) returns a date</t>
        </is>
      </c>
      <c r="D16" s="23" t="n"/>
      <c r="E16" s="22">
        <f>IF(IFERROR(D16="",FALSE),"",IF(IFERROR(AND(ISNUMBER(D16),INT(D16)=INT('Answer Key'!$C$15)),FALSE),"✔ Correct","✘ Not yet"))</f>
        <v/>
      </c>
    </row>
    <row r="17" ht="81" customHeight="1">
      <c r="A17" s="18" t="inlineStr">
        <is>
          <t>12</t>
        </is>
      </c>
      <c r="B17" s="19" t="inlineStr">
        <is>
          <t>Fill the yellow DoorToProviderMin column on the ED sheet with the minutes from ArrivalDateTime to ProviderSeenDateTime. 9 patients left without being seen and have no ProviderSeenDateTime, so make those rows return "". Start in H2. The gray cell averages your column. What is the average door-to-provider time in minutes?</t>
        </is>
      </c>
      <c r="C17" s="20" t="inlineStr">
        <is>
          <t>A difference of date-times is in days. A day has 24 × 60 = 1,440 minutes</t>
        </is>
      </c>
      <c r="D17" cm="1" s="27">
        <f t="array" ref="D17">IF(COUNT('ED'!$H$2:$H$227)=0,"",AVERAGE('ED'!$H$2:$H$227))</f>
        <v/>
      </c>
      <c r="E17" s="22">
        <f>IF(IFERROR(D17="",FALSE),"",IF(IFERROR(AND(ISNUMBER(D17),OR(ABS(D17-'Answer Key'!$C$16)&lt;=0.0051)),FALSE),"✔ Correct","✘ Not yet"))</f>
        <v/>
      </c>
    </row>
    <row r="18" ht="96" customHeight="1">
      <c r="A18" s="18" t="inlineStr">
        <is>
          <t>13</t>
        </is>
      </c>
      <c r="B18" s="19" t="inlineStr">
        <is>
          <t>The Shifts sheet's ClockIn and ClockOut columns hold clock times only, with no dates, and 69 shifts end after midnight. Fill the yellow PaidTime column with each shift's paid time: clock-out minus clock-in, corrected for shifts that cross midnight, minus a 30-minute unpaid meal break. Keep each result as a time value (don't multiply by 24). Start in H2. The gray cell totals your column in [h]:mm format. What is the total paid time for the week?</t>
        </is>
      </c>
      <c r="C18" s="20" t="inlineStr">
        <is>
          <t>MOD(…, 1) turns a negative time difference into the right positive one. Half an hour is a time value, not 0.5</t>
        </is>
      </c>
      <c r="D18" cm="1" s="28">
        <f t="array" ref="D18">IF(COUNT('Shifts'!$H$2:$H$186)=0,"",SUM('Shifts'!$H$2:$H$186))</f>
        <v/>
      </c>
      <c r="E18" s="22">
        <f>IF(IFERROR(D18="",FALSE),"",IF(IFERROR(AND(ISNUMBER(D18),ABS(D18-'Answer Key'!$C$17)&lt;=0.0006944454444444445),FALSE),"✔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M370"/>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24" customWidth="1" min="3" max="3"/>
    <col width="21" customWidth="1" min="4" max="4"/>
    <col width="12" customWidth="1" min="5" max="5"/>
    <col width="19" customWidth="1" min="6" max="6"/>
    <col width="17" customWidth="1" min="7" max="7"/>
    <col width="19" customWidth="1" min="8" max="8"/>
    <col width="12" customWidth="1" min="9" max="9"/>
    <col width="10" customWidth="1" min="10" max="10"/>
    <col width="11" customWidth="1" min="11" max="11"/>
    <col width="16" customWidth="1" min="12" max="12"/>
    <col width="12" customWidth="1" min="13" max="13"/>
  </cols>
  <sheetData>
    <row r="1">
      <c r="A1" s="29" t="inlineStr">
        <is>
          <t>EncounterID</t>
        </is>
      </c>
      <c r="B1" s="29" t="inlineStr">
        <is>
          <t>PatientID</t>
        </is>
      </c>
      <c r="C1" s="29" t="inlineStr">
        <is>
          <t>Unit</t>
        </is>
      </c>
      <c r="D1" s="29" t="inlineStr">
        <is>
          <t>AdmitSource</t>
        </is>
      </c>
      <c r="E1" s="29" t="inlineStr">
        <is>
          <t>DOB</t>
        </is>
      </c>
      <c r="F1" s="29" t="inlineStr">
        <is>
          <t>EDArrivalDateTime</t>
        </is>
      </c>
      <c r="G1" s="29" t="inlineStr">
        <is>
          <t>AdmitDateTime</t>
        </is>
      </c>
      <c r="H1" s="29" t="inlineStr">
        <is>
          <t>DischargeDateTime</t>
        </is>
      </c>
      <c r="I1" s="30" t="inlineStr">
        <is>
          <t>AgeAtAdmit</t>
        </is>
      </c>
      <c r="J1" s="30" t="inlineStr">
        <is>
          <t>LOSDays</t>
        </is>
      </c>
      <c r="K1" s="30" t="inlineStr">
        <is>
          <t>Midnights</t>
        </is>
      </c>
      <c r="L1" s="30" t="inlineStr">
        <is>
          <t>BenchMidnights</t>
        </is>
      </c>
      <c r="M1" s="30" t="inlineStr">
        <is>
          <t>AdmitDay</t>
        </is>
      </c>
    </row>
    <row r="2">
      <c r="A2" t="inlineStr">
        <is>
          <t>ENC110742</t>
        </is>
      </c>
      <c r="B2" t="inlineStr">
        <is>
          <t>PT13915</t>
        </is>
      </c>
      <c r="C2" t="inlineStr">
        <is>
          <t>Medical-Surgical</t>
        </is>
      </c>
      <c r="D2" t="inlineStr">
        <is>
          <t>Emergency Department</t>
        </is>
      </c>
      <c r="E2" s="31" t="n">
        <v>16097</v>
      </c>
      <c r="F2" s="32" t="n">
        <v>45658.72361111111</v>
      </c>
      <c r="G2" s="32" t="n">
        <v>45658.88125</v>
      </c>
      <c r="H2" s="32" t="n">
        <v>45661.64097222222</v>
      </c>
      <c r="I2" s="33" t="n"/>
      <c r="J2" s="34" t="n"/>
      <c r="K2" s="33" t="n"/>
      <c r="L2" s="33" t="n"/>
      <c r="M2" s="35" t="n"/>
    </row>
    <row r="3">
      <c r="A3" t="inlineStr">
        <is>
          <t>ENC110747</t>
        </is>
      </c>
      <c r="B3" t="inlineStr">
        <is>
          <t>PT11596</t>
        </is>
      </c>
      <c r="C3" t="inlineStr">
        <is>
          <t>Intensive Care Unit</t>
        </is>
      </c>
      <c r="D3" t="inlineStr">
        <is>
          <t>Emergency Department</t>
        </is>
      </c>
      <c r="E3" s="31" t="n">
        <v>23743</v>
      </c>
      <c r="F3" s="32" t="n">
        <v>45658.94583333333</v>
      </c>
      <c r="G3" s="32" t="n">
        <v>45659.07708333333</v>
      </c>
      <c r="H3" s="32" t="n">
        <v>45667.60486111111</v>
      </c>
      <c r="I3" s="33" t="n"/>
      <c r="J3" s="34" t="n"/>
      <c r="K3" s="33" t="n"/>
      <c r="L3" s="33" t="n"/>
      <c r="M3" s="35" t="n"/>
    </row>
    <row r="4">
      <c r="A4" t="inlineStr">
        <is>
          <t>ENC110780</t>
        </is>
      </c>
      <c r="B4" t="inlineStr">
        <is>
          <t>PT11758</t>
        </is>
      </c>
      <c r="C4" t="inlineStr">
        <is>
          <t>Medical-Surgical</t>
        </is>
      </c>
      <c r="D4" t="inlineStr">
        <is>
          <t>Emergency Department</t>
        </is>
      </c>
      <c r="E4" s="31" t="n">
        <v>23604</v>
      </c>
      <c r="F4" s="32" t="n">
        <v>45659.61875</v>
      </c>
      <c r="G4" s="32" t="n">
        <v>45659.72777777778</v>
      </c>
      <c r="H4" s="32" t="n">
        <v>45663.57638888889</v>
      </c>
      <c r="I4" s="33" t="n"/>
      <c r="J4" s="34" t="n"/>
      <c r="K4" s="33" t="n"/>
      <c r="L4" s="33" t="n"/>
      <c r="M4" s="35" t="n"/>
    </row>
    <row r="5">
      <c r="A5" t="inlineStr">
        <is>
          <t>ENC110817</t>
        </is>
      </c>
      <c r="B5" t="inlineStr">
        <is>
          <t>PT12776</t>
        </is>
      </c>
      <c r="C5" t="inlineStr">
        <is>
          <t>Medical-Surgical</t>
        </is>
      </c>
      <c r="D5" t="inlineStr">
        <is>
          <t>Emergency Department</t>
        </is>
      </c>
      <c r="E5" s="31" t="n">
        <v>17411</v>
      </c>
      <c r="F5" s="32" t="n">
        <v>45660.53541666667</v>
      </c>
      <c r="G5" s="32" t="n">
        <v>45660.65416666667</v>
      </c>
      <c r="H5" s="32" t="n">
        <v>45666.69930555556</v>
      </c>
      <c r="I5" s="33" t="n"/>
      <c r="J5" s="34" t="n"/>
      <c r="K5" s="33" t="n"/>
      <c r="L5" s="33" t="n"/>
      <c r="M5" s="35" t="n"/>
    </row>
    <row r="6">
      <c r="A6" t="inlineStr">
        <is>
          <t>ENC110839</t>
        </is>
      </c>
      <c r="B6" t="inlineStr">
        <is>
          <t>PT13879</t>
        </is>
      </c>
      <c r="C6" t="inlineStr">
        <is>
          <t>Labor &amp; Delivery</t>
        </is>
      </c>
      <c r="D6" t="inlineStr">
        <is>
          <t>Emergency Department</t>
        </is>
      </c>
      <c r="E6" s="31" t="n">
        <v>37458</v>
      </c>
      <c r="F6" s="32" t="n">
        <v>45661.13611111111</v>
      </c>
      <c r="G6" s="32" t="n">
        <v>45661.28958333333</v>
      </c>
      <c r="H6" s="32" t="n">
        <v>45662.74375</v>
      </c>
      <c r="I6" s="33" t="n"/>
      <c r="J6" s="34" t="n"/>
      <c r="K6" s="33" t="n"/>
      <c r="L6" s="33" t="n"/>
      <c r="M6" s="35" t="n"/>
    </row>
    <row r="7">
      <c r="A7" t="inlineStr">
        <is>
          <t>ENC110865</t>
        </is>
      </c>
      <c r="B7" t="inlineStr">
        <is>
          <t>PT13499</t>
        </is>
      </c>
      <c r="C7" t="inlineStr">
        <is>
          <t>Medical-Surgical</t>
        </is>
      </c>
      <c r="D7" t="inlineStr">
        <is>
          <t>Emergency Department</t>
        </is>
      </c>
      <c r="E7" s="31" t="n">
        <v>14846</v>
      </c>
      <c r="F7" s="32" t="n">
        <v>45662.57430555556</v>
      </c>
      <c r="G7" s="32" t="n">
        <v>45662.72222222222</v>
      </c>
      <c r="H7" s="32" t="n">
        <v>45667.60555555556</v>
      </c>
      <c r="I7" s="33" t="n"/>
      <c r="J7" s="34" t="n"/>
      <c r="K7" s="33" t="n"/>
      <c r="L7" s="33" t="n"/>
      <c r="M7" s="35" t="n"/>
    </row>
    <row r="8">
      <c r="A8" t="inlineStr">
        <is>
          <t>ENC110873</t>
        </is>
      </c>
      <c r="B8" t="inlineStr">
        <is>
          <t>PT10377</t>
        </is>
      </c>
      <c r="C8" t="inlineStr">
        <is>
          <t>Labor &amp; Delivery</t>
        </is>
      </c>
      <c r="D8" t="inlineStr">
        <is>
          <t>Direct Admit</t>
        </is>
      </c>
      <c r="E8" s="31" t="n">
        <v>33650</v>
      </c>
      <c r="G8" s="32" t="n">
        <v>45662.84444444445</v>
      </c>
      <c r="H8" s="32" t="n">
        <v>45665.53125</v>
      </c>
      <c r="I8" s="33" t="n"/>
      <c r="J8" s="34" t="n"/>
      <c r="K8" s="33" t="n"/>
      <c r="L8" s="33" t="n"/>
      <c r="M8" s="35" t="n"/>
    </row>
    <row r="9">
      <c r="A9" t="inlineStr">
        <is>
          <t>ENC110876</t>
        </is>
      </c>
      <c r="B9" t="inlineStr">
        <is>
          <t>PT12963</t>
        </is>
      </c>
      <c r="C9" t="inlineStr">
        <is>
          <t>Medical-Surgical</t>
        </is>
      </c>
      <c r="D9" t="inlineStr">
        <is>
          <t>Direct Admit</t>
        </is>
      </c>
      <c r="E9" s="31" t="n">
        <v>12453</v>
      </c>
      <c r="G9" s="32" t="n">
        <v>45663.00625</v>
      </c>
      <c r="H9" s="32" t="n">
        <v>45669.46944444445</v>
      </c>
      <c r="I9" s="33" t="n"/>
      <c r="J9" s="34" t="n"/>
      <c r="K9" s="33" t="n"/>
      <c r="L9" s="33" t="n"/>
      <c r="M9" s="35" t="n"/>
    </row>
    <row r="10">
      <c r="A10" t="inlineStr">
        <is>
          <t>ENC110882</t>
        </is>
      </c>
      <c r="B10" t="inlineStr">
        <is>
          <t>PT13910</t>
        </is>
      </c>
      <c r="C10" t="inlineStr">
        <is>
          <t>Medical-Surgical</t>
        </is>
      </c>
      <c r="D10" t="inlineStr">
        <is>
          <t>Emergency Department</t>
        </is>
      </c>
      <c r="E10" s="31" t="n">
        <v>26674</v>
      </c>
      <c r="F10" s="32" t="n">
        <v>45663.32916666667</v>
      </c>
      <c r="G10" s="32" t="n">
        <v>45663.40972222222</v>
      </c>
      <c r="H10" s="32" t="n">
        <v>45668.63958333333</v>
      </c>
      <c r="I10" s="33" t="n"/>
      <c r="J10" s="34" t="n"/>
      <c r="K10" s="33" t="n"/>
      <c r="L10" s="33" t="n"/>
      <c r="M10" s="35" t="n"/>
    </row>
    <row r="11">
      <c r="A11" t="inlineStr">
        <is>
          <t>ENC110924</t>
        </is>
      </c>
      <c r="B11" t="inlineStr">
        <is>
          <t>PT11972</t>
        </is>
      </c>
      <c r="C11" t="inlineStr">
        <is>
          <t>Medical-Surgical</t>
        </is>
      </c>
      <c r="D11" t="inlineStr">
        <is>
          <t>Emergency Department</t>
        </is>
      </c>
      <c r="E11" s="31" t="n">
        <v>21123</v>
      </c>
      <c r="F11" s="32" t="n">
        <v>45663.86944444444</v>
      </c>
      <c r="G11" s="32" t="n">
        <v>45664.00486111111</v>
      </c>
      <c r="H11" s="32" t="n">
        <v>45666.54444444444</v>
      </c>
      <c r="I11" s="33" t="n"/>
      <c r="J11" s="34" t="n"/>
      <c r="K11" s="33" t="n"/>
      <c r="L11" s="33" t="n"/>
      <c r="M11" s="35" t="n"/>
    </row>
    <row r="12">
      <c r="A12" t="inlineStr">
        <is>
          <t>ENC110927</t>
        </is>
      </c>
      <c r="B12" t="inlineStr">
        <is>
          <t>PT12927</t>
        </is>
      </c>
      <c r="C12" t="inlineStr">
        <is>
          <t>Medical-Surgical</t>
        </is>
      </c>
      <c r="D12" t="inlineStr">
        <is>
          <t>Emergency Department</t>
        </is>
      </c>
      <c r="E12" s="31" t="n">
        <v>20933</v>
      </c>
      <c r="F12" s="32" t="n">
        <v>45664.32708333333</v>
      </c>
      <c r="G12" s="32" t="n">
        <v>45664.43680555555</v>
      </c>
      <c r="H12" s="32" t="n">
        <v>45666.66388888889</v>
      </c>
      <c r="I12" s="33" t="n"/>
      <c r="J12" s="34" t="n"/>
      <c r="K12" s="33" t="n"/>
      <c r="L12" s="33" t="n"/>
      <c r="M12" s="35" t="n"/>
    </row>
    <row r="13">
      <c r="A13" t="inlineStr">
        <is>
          <t>ENC110953</t>
        </is>
      </c>
      <c r="B13" t="inlineStr">
        <is>
          <t>PT10534</t>
        </is>
      </c>
      <c r="C13" t="inlineStr">
        <is>
          <t>Medical-Surgical</t>
        </is>
      </c>
      <c r="D13" t="inlineStr">
        <is>
          <t>Direct Admit</t>
        </is>
      </c>
      <c r="E13" s="31" t="n">
        <v>27763</v>
      </c>
      <c r="G13" s="32" t="n">
        <v>45664.71805555555</v>
      </c>
      <c r="H13" s="32" t="n">
        <v>45668.54027777778</v>
      </c>
      <c r="I13" s="33" t="n"/>
      <c r="J13" s="34" t="n"/>
      <c r="K13" s="33" t="n"/>
      <c r="L13" s="33" t="n"/>
      <c r="M13" s="35" t="n"/>
    </row>
    <row r="14">
      <c r="A14" t="inlineStr">
        <is>
          <t>ENC110963</t>
        </is>
      </c>
      <c r="B14" t="inlineStr">
        <is>
          <t>PT10543</t>
        </is>
      </c>
      <c r="C14" t="inlineStr">
        <is>
          <t>Labor &amp; Delivery</t>
        </is>
      </c>
      <c r="D14" t="inlineStr">
        <is>
          <t>Emergency Department</t>
        </is>
      </c>
      <c r="E14" s="31" t="n">
        <v>31489</v>
      </c>
      <c r="F14" s="32" t="n">
        <v>45665.04583333333</v>
      </c>
      <c r="G14" s="32" t="n">
        <v>45665.13402777778</v>
      </c>
      <c r="H14" s="32" t="n">
        <v>45668.56944444445</v>
      </c>
      <c r="I14" s="33" t="n"/>
      <c r="J14" s="34" t="n"/>
      <c r="K14" s="33" t="n"/>
      <c r="L14" s="33" t="n"/>
      <c r="M14" s="35" t="n"/>
    </row>
    <row r="15">
      <c r="A15" t="inlineStr">
        <is>
          <t>ENC110973</t>
        </is>
      </c>
      <c r="B15" t="inlineStr">
        <is>
          <t>PT11382</t>
        </is>
      </c>
      <c r="C15" t="inlineStr">
        <is>
          <t>Medical-Surgical</t>
        </is>
      </c>
      <c r="D15" t="inlineStr">
        <is>
          <t>Transfer</t>
        </is>
      </c>
      <c r="E15" s="31" t="n">
        <v>21994</v>
      </c>
      <c r="G15" s="32" t="n">
        <v>45665.42986111111</v>
      </c>
      <c r="H15" s="32" t="n">
        <v>45669.54861111111</v>
      </c>
      <c r="I15" s="33" t="n"/>
      <c r="J15" s="34" t="n"/>
      <c r="K15" s="33" t="n"/>
      <c r="L15" s="33" t="n"/>
      <c r="M15" s="35" t="n"/>
    </row>
    <row r="16">
      <c r="A16" t="inlineStr">
        <is>
          <t>ENC111125</t>
        </is>
      </c>
      <c r="B16" t="inlineStr">
        <is>
          <t>PT10795</t>
        </is>
      </c>
      <c r="C16" t="inlineStr">
        <is>
          <t>Medical-Surgical</t>
        </is>
      </c>
      <c r="D16" t="inlineStr">
        <is>
          <t>Direct Admit</t>
        </is>
      </c>
      <c r="E16" s="31" t="n">
        <v>22428</v>
      </c>
      <c r="G16" s="32" t="n">
        <v>45669.66041666667</v>
      </c>
      <c r="H16" s="32" t="n">
        <v>45672.55694444444</v>
      </c>
      <c r="I16" s="33" t="n"/>
      <c r="J16" s="34" t="n"/>
      <c r="K16" s="33" t="n"/>
      <c r="L16" s="33" t="n"/>
      <c r="M16" s="35" t="n"/>
    </row>
    <row r="17">
      <c r="A17" t="inlineStr">
        <is>
          <t>ENC111127</t>
        </is>
      </c>
      <c r="B17" t="inlineStr">
        <is>
          <t>PT10722</t>
        </is>
      </c>
      <c r="C17" t="inlineStr">
        <is>
          <t>Medical-Surgical</t>
        </is>
      </c>
      <c r="D17" t="inlineStr">
        <is>
          <t>Direct Admit</t>
        </is>
      </c>
      <c r="E17" s="31" t="n">
        <v>29109</v>
      </c>
      <c r="G17" s="32" t="n">
        <v>45669.71944444445</v>
      </c>
      <c r="H17" s="32" t="n">
        <v>45671.58055555556</v>
      </c>
      <c r="I17" s="33" t="n"/>
      <c r="J17" s="34" t="n"/>
      <c r="K17" s="33" t="n"/>
      <c r="L17" s="33" t="n"/>
      <c r="M17" s="35" t="n"/>
    </row>
    <row r="18">
      <c r="A18" t="inlineStr">
        <is>
          <t>ENC111120</t>
        </is>
      </c>
      <c r="B18" t="inlineStr">
        <is>
          <t>PT10900</t>
        </is>
      </c>
      <c r="C18" t="inlineStr">
        <is>
          <t>Medical-Surgical</t>
        </is>
      </c>
      <c r="D18" t="inlineStr">
        <is>
          <t>Emergency Department</t>
        </is>
      </c>
      <c r="E18" s="31" t="n">
        <v>19534</v>
      </c>
      <c r="F18" s="32" t="n">
        <v>45669.55555555555</v>
      </c>
      <c r="G18" s="32" t="n">
        <v>45669.72916666666</v>
      </c>
      <c r="H18" s="32" t="n">
        <v>45673.51111111111</v>
      </c>
      <c r="I18" s="33" t="n"/>
      <c r="J18" s="34" t="n"/>
      <c r="K18" s="33" t="n"/>
      <c r="L18" s="33" t="n"/>
      <c r="M18" s="35" t="n"/>
    </row>
    <row r="19">
      <c r="A19" t="inlineStr">
        <is>
          <t>ENC111170</t>
        </is>
      </c>
      <c r="B19" t="inlineStr">
        <is>
          <t>PT13907</t>
        </is>
      </c>
      <c r="C19" t="inlineStr">
        <is>
          <t>Medical-Surgical</t>
        </is>
      </c>
      <c r="D19" t="inlineStr">
        <is>
          <t>Emergency Department</t>
        </is>
      </c>
      <c r="E19" s="31" t="n">
        <v>23924</v>
      </c>
      <c r="F19" s="32" t="n">
        <v>45670.58472222222</v>
      </c>
      <c r="G19" s="32" t="n">
        <v>45670.72847222222</v>
      </c>
      <c r="H19" s="32" t="n">
        <v>45674.66805555556</v>
      </c>
      <c r="I19" s="33" t="n"/>
      <c r="J19" s="34" t="n"/>
      <c r="K19" s="33" t="n"/>
      <c r="L19" s="33" t="n"/>
      <c r="M19" s="35" t="n"/>
    </row>
    <row r="20">
      <c r="A20" t="inlineStr">
        <is>
          <t>ENC111191</t>
        </is>
      </c>
      <c r="B20" t="inlineStr">
        <is>
          <t>PT11514</t>
        </is>
      </c>
      <c r="C20" t="inlineStr">
        <is>
          <t>Medical-Surgical</t>
        </is>
      </c>
      <c r="D20" t="inlineStr">
        <is>
          <t>Emergency Department</t>
        </is>
      </c>
      <c r="E20" s="31" t="n">
        <v>11881</v>
      </c>
      <c r="F20" s="32" t="n">
        <v>45671.3125</v>
      </c>
      <c r="G20" s="32" t="n">
        <v>45671.40138888889</v>
      </c>
      <c r="H20" s="32" t="n">
        <v>45674.65069444444</v>
      </c>
      <c r="I20" s="33" t="n"/>
      <c r="J20" s="34" t="n"/>
      <c r="K20" s="33" t="n"/>
      <c r="L20" s="33" t="n"/>
      <c r="M20" s="35" t="n"/>
    </row>
    <row r="21">
      <c r="A21" t="inlineStr">
        <is>
          <t>ENC111227</t>
        </is>
      </c>
      <c r="B21" t="inlineStr">
        <is>
          <t>PT11854</t>
        </is>
      </c>
      <c r="C21" t="inlineStr">
        <is>
          <t>Intensive Care Unit</t>
        </is>
      </c>
      <c r="D21" t="inlineStr">
        <is>
          <t>Emergency Department</t>
        </is>
      </c>
      <c r="E21" s="31" t="n">
        <v>13207</v>
      </c>
      <c r="F21" s="32" t="n">
        <v>45672.33541666667</v>
      </c>
      <c r="G21" s="32" t="n">
        <v>45672.41805555556</v>
      </c>
      <c r="H21" s="32" t="n">
        <v>45687.61388888889</v>
      </c>
      <c r="I21" s="33" t="n"/>
      <c r="J21" s="34" t="n"/>
      <c r="K21" s="33" t="n"/>
      <c r="L21" s="33" t="n"/>
      <c r="M21" s="35" t="n"/>
    </row>
    <row r="22">
      <c r="A22" t="inlineStr">
        <is>
          <t>ENC111247</t>
        </is>
      </c>
      <c r="B22" t="inlineStr">
        <is>
          <t>PT10889</t>
        </is>
      </c>
      <c r="C22" t="inlineStr">
        <is>
          <t>Medical-Surgical</t>
        </is>
      </c>
      <c r="D22" t="inlineStr">
        <is>
          <t>Direct Admit</t>
        </is>
      </c>
      <c r="E22" s="31" t="n">
        <v>25440</v>
      </c>
      <c r="G22" s="32" t="n">
        <v>45672.67083333333</v>
      </c>
      <c r="H22" s="32" t="n">
        <v>45674.825</v>
      </c>
      <c r="I22" s="33" t="n"/>
      <c r="J22" s="34" t="n"/>
      <c r="K22" s="33" t="n"/>
      <c r="L22" s="33" t="n"/>
      <c r="M22" s="35" t="n"/>
    </row>
    <row r="23">
      <c r="A23" t="inlineStr">
        <is>
          <t>ENC111321</t>
        </is>
      </c>
      <c r="B23" t="inlineStr">
        <is>
          <t>PT13041</t>
        </is>
      </c>
      <c r="C23" t="inlineStr">
        <is>
          <t>Medical-Surgical</t>
        </is>
      </c>
      <c r="D23" t="inlineStr">
        <is>
          <t>Emergency Department</t>
        </is>
      </c>
      <c r="E23" s="31" t="n">
        <v>14226</v>
      </c>
      <c r="F23" s="32" t="n">
        <v>45674.64861111111</v>
      </c>
      <c r="G23" s="32" t="n">
        <v>45674.76111111111</v>
      </c>
      <c r="H23" s="32" t="n">
        <v>45679.66527777778</v>
      </c>
      <c r="I23" s="33" t="n"/>
      <c r="J23" s="34" t="n"/>
      <c r="K23" s="33" t="n"/>
      <c r="L23" s="33" t="n"/>
      <c r="M23" s="35" t="n"/>
    </row>
    <row r="24">
      <c r="A24" t="inlineStr">
        <is>
          <t>ENC111328</t>
        </is>
      </c>
      <c r="B24" t="inlineStr">
        <is>
          <t>PT10739</t>
        </is>
      </c>
      <c r="C24" t="inlineStr">
        <is>
          <t>Medical-Surgical</t>
        </is>
      </c>
      <c r="D24" t="inlineStr">
        <is>
          <t>Emergency Department</t>
        </is>
      </c>
      <c r="E24" s="31" t="n">
        <v>28168</v>
      </c>
      <c r="F24" s="32" t="n">
        <v>45674.83263888889</v>
      </c>
      <c r="G24" s="32" t="n">
        <v>45674.93541666667</v>
      </c>
      <c r="H24" s="32" t="n">
        <v>45677.42986111111</v>
      </c>
      <c r="I24" s="33" t="n"/>
      <c r="J24" s="34" t="n"/>
      <c r="K24" s="33" t="n"/>
      <c r="L24" s="33" t="n"/>
      <c r="M24" s="35" t="n"/>
    </row>
    <row r="25">
      <c r="A25" t="inlineStr">
        <is>
          <t>ENC111388</t>
        </is>
      </c>
      <c r="B25" t="inlineStr">
        <is>
          <t>PT13563</t>
        </is>
      </c>
      <c r="C25" t="inlineStr">
        <is>
          <t>Labor &amp; Delivery</t>
        </is>
      </c>
      <c r="D25" t="inlineStr">
        <is>
          <t>Direct Admit</t>
        </is>
      </c>
      <c r="E25" s="31" t="n">
        <v>29947</v>
      </c>
      <c r="G25" s="32" t="n">
        <v>45677.55208333334</v>
      </c>
      <c r="H25" s="32" t="n">
        <v>45680.49861111111</v>
      </c>
      <c r="I25" s="33" t="n"/>
      <c r="J25" s="34" t="n"/>
      <c r="K25" s="33" t="n"/>
      <c r="L25" s="33" t="n"/>
      <c r="M25" s="35" t="n"/>
    </row>
    <row r="26">
      <c r="A26" t="inlineStr">
        <is>
          <t>ENC111402</t>
        </is>
      </c>
      <c r="B26" t="inlineStr">
        <is>
          <t>PT11952</t>
        </is>
      </c>
      <c r="C26" t="inlineStr">
        <is>
          <t>Intensive Care Unit</t>
        </is>
      </c>
      <c r="D26" t="inlineStr">
        <is>
          <t>Emergency Department</t>
        </is>
      </c>
      <c r="E26" s="31" t="n">
        <v>18313</v>
      </c>
      <c r="F26" s="32" t="n">
        <v>45677.67013888889</v>
      </c>
      <c r="G26" s="32" t="n">
        <v>45677.75416666667</v>
      </c>
      <c r="H26" s="32" t="n">
        <v>45689.58125</v>
      </c>
      <c r="I26" s="33" t="n"/>
      <c r="J26" s="34" t="n"/>
      <c r="K26" s="33" t="n"/>
      <c r="L26" s="33" t="n"/>
      <c r="M26" s="35" t="n"/>
    </row>
    <row r="27">
      <c r="A27" t="inlineStr">
        <is>
          <t>ENC111416</t>
        </is>
      </c>
      <c r="B27" t="inlineStr">
        <is>
          <t>PT12298</t>
        </is>
      </c>
      <c r="C27" t="inlineStr">
        <is>
          <t>Labor &amp; Delivery</t>
        </is>
      </c>
      <c r="D27" t="inlineStr">
        <is>
          <t>Direct Admit</t>
        </is>
      </c>
      <c r="E27" s="31" t="n">
        <v>37351</v>
      </c>
      <c r="G27" s="32" t="n">
        <v>45678.21458333333</v>
      </c>
      <c r="H27" s="32" t="n">
        <v>45681.66319444445</v>
      </c>
      <c r="I27" s="33" t="n"/>
      <c r="J27" s="34" t="n"/>
      <c r="K27" s="33" t="n"/>
      <c r="L27" s="33" t="n"/>
      <c r="M27" s="35" t="n"/>
    </row>
    <row r="28">
      <c r="A28" t="inlineStr">
        <is>
          <t>ENC111423</t>
        </is>
      </c>
      <c r="B28" t="inlineStr">
        <is>
          <t>PT13669</t>
        </is>
      </c>
      <c r="C28" t="inlineStr">
        <is>
          <t>Medical-Surgical</t>
        </is>
      </c>
      <c r="D28" t="inlineStr">
        <is>
          <t>Emergency Department</t>
        </is>
      </c>
      <c r="E28" s="31" t="n">
        <v>15741</v>
      </c>
      <c r="F28" s="32" t="n">
        <v>45678.43333333333</v>
      </c>
      <c r="G28" s="32" t="n">
        <v>45678.57569444444</v>
      </c>
      <c r="H28" s="32" t="n">
        <v>45683.44236111111</v>
      </c>
      <c r="I28" s="33" t="n"/>
      <c r="J28" s="34" t="n"/>
      <c r="K28" s="33" t="n"/>
      <c r="L28" s="33" t="n"/>
      <c r="M28" s="35" t="n"/>
    </row>
    <row r="29">
      <c r="A29" t="inlineStr">
        <is>
          <t>ENC111451</t>
        </is>
      </c>
      <c r="B29" t="inlineStr">
        <is>
          <t>PT10429</t>
        </is>
      </c>
      <c r="C29" t="inlineStr">
        <is>
          <t>Medical-Surgical</t>
        </is>
      </c>
      <c r="D29" t="inlineStr">
        <is>
          <t>Emergency Department</t>
        </is>
      </c>
      <c r="E29" s="31" t="n">
        <v>18106</v>
      </c>
      <c r="F29" s="32" t="n">
        <v>45678.68263888889</v>
      </c>
      <c r="G29" s="32" t="n">
        <v>45678.78055555555</v>
      </c>
      <c r="H29" s="32" t="n">
        <v>45681.51875</v>
      </c>
      <c r="I29" s="33" t="n"/>
      <c r="J29" s="34" t="n"/>
      <c r="K29" s="33" t="n"/>
      <c r="L29" s="33" t="n"/>
      <c r="M29" s="35" t="n"/>
    </row>
    <row r="30">
      <c r="A30" t="inlineStr">
        <is>
          <t>ENC111544</t>
        </is>
      </c>
      <c r="B30" t="inlineStr">
        <is>
          <t>PT10648</t>
        </is>
      </c>
      <c r="C30" t="inlineStr">
        <is>
          <t>Medical-Surgical</t>
        </is>
      </c>
      <c r="D30" t="inlineStr">
        <is>
          <t>Emergency Department</t>
        </is>
      </c>
      <c r="E30" s="31" t="n">
        <v>28247</v>
      </c>
      <c r="F30" s="32" t="n">
        <v>45681.21944444445</v>
      </c>
      <c r="G30" s="32" t="n">
        <v>45681.37083333333</v>
      </c>
      <c r="H30" s="32" t="n">
        <v>45682.44166666667</v>
      </c>
      <c r="I30" s="33" t="n"/>
      <c r="J30" s="34" t="n"/>
      <c r="K30" s="33" t="n"/>
      <c r="L30" s="33" t="n"/>
      <c r="M30" s="35" t="n"/>
    </row>
    <row r="31">
      <c r="A31" t="inlineStr">
        <is>
          <t>ENC111674</t>
        </is>
      </c>
      <c r="B31" t="inlineStr">
        <is>
          <t>PT13157</t>
        </is>
      </c>
      <c r="C31" t="inlineStr">
        <is>
          <t>Medical-Surgical</t>
        </is>
      </c>
      <c r="D31" t="inlineStr">
        <is>
          <t>Transfer</t>
        </is>
      </c>
      <c r="E31" s="31" t="n">
        <v>44652</v>
      </c>
      <c r="G31" s="32" t="n">
        <v>45684.67847222222</v>
      </c>
      <c r="H31" s="32" t="n">
        <v>45687.69722222222</v>
      </c>
      <c r="I31" s="33" t="n"/>
      <c r="J31" s="34" t="n"/>
      <c r="K31" s="33" t="n"/>
      <c r="L31" s="33" t="n"/>
      <c r="M31" s="35" t="n"/>
    </row>
    <row r="32">
      <c r="A32" t="inlineStr">
        <is>
          <t>ENC111680</t>
        </is>
      </c>
      <c r="B32" t="inlineStr">
        <is>
          <t>PT10169</t>
        </is>
      </c>
      <c r="C32" t="inlineStr">
        <is>
          <t>Medical-Surgical</t>
        </is>
      </c>
      <c r="D32" t="inlineStr">
        <is>
          <t>Emergency Department</t>
        </is>
      </c>
      <c r="E32" s="31" t="n">
        <v>20924</v>
      </c>
      <c r="F32" s="32" t="n">
        <v>45684.81041666667</v>
      </c>
      <c r="G32" s="32" t="n">
        <v>45685.06527777778</v>
      </c>
      <c r="H32" s="32" t="n">
        <v>45687.48263888889</v>
      </c>
      <c r="I32" s="33" t="n"/>
      <c r="J32" s="34" t="n"/>
      <c r="K32" s="33" t="n"/>
      <c r="L32" s="33" t="n"/>
      <c r="M32" s="35" t="n"/>
    </row>
    <row r="33">
      <c r="A33" t="inlineStr">
        <is>
          <t>ENC111694</t>
        </is>
      </c>
      <c r="B33" t="inlineStr">
        <is>
          <t>PT10676</t>
        </is>
      </c>
      <c r="C33" t="inlineStr">
        <is>
          <t>Medical-Surgical</t>
        </is>
      </c>
      <c r="D33" t="inlineStr">
        <is>
          <t>Emergency Department</t>
        </is>
      </c>
      <c r="E33" s="31" t="n">
        <v>20178</v>
      </c>
      <c r="F33" s="32" t="n">
        <v>45685.49027777778</v>
      </c>
      <c r="G33" s="32" t="n">
        <v>45685.6875</v>
      </c>
      <c r="H33" s="32" t="n">
        <v>45689.55972222222</v>
      </c>
      <c r="I33" s="33" t="n"/>
      <c r="J33" s="34" t="n"/>
      <c r="K33" s="33" t="n"/>
      <c r="L33" s="33" t="n"/>
      <c r="M33" s="35" t="n"/>
    </row>
    <row r="34">
      <c r="A34" t="inlineStr">
        <is>
          <t>ENC111762</t>
        </is>
      </c>
      <c r="B34" t="inlineStr">
        <is>
          <t>PT13140</t>
        </is>
      </c>
      <c r="C34" t="inlineStr">
        <is>
          <t>Medical-Surgical</t>
        </is>
      </c>
      <c r="D34" t="inlineStr">
        <is>
          <t>Emergency Department</t>
        </is>
      </c>
      <c r="E34" s="31" t="n">
        <v>32871</v>
      </c>
      <c r="F34" s="32" t="n">
        <v>45686.69791666666</v>
      </c>
      <c r="G34" s="32" t="n">
        <v>45686.80138888889</v>
      </c>
      <c r="H34" s="32" t="n">
        <v>45697.65</v>
      </c>
      <c r="I34" s="33" t="n"/>
      <c r="J34" s="34" t="n"/>
      <c r="K34" s="33" t="n"/>
      <c r="L34" s="33" t="n"/>
      <c r="M34" s="35" t="n"/>
    </row>
    <row r="35">
      <c r="A35" t="inlineStr">
        <is>
          <t>ENC111791</t>
        </is>
      </c>
      <c r="B35" t="inlineStr">
        <is>
          <t>PT13976</t>
        </is>
      </c>
      <c r="C35" t="inlineStr">
        <is>
          <t>Medical-Surgical</t>
        </is>
      </c>
      <c r="D35" t="inlineStr">
        <is>
          <t>Emergency Department</t>
        </is>
      </c>
      <c r="E35" s="31" t="n">
        <v>20850</v>
      </c>
      <c r="F35" s="32" t="n">
        <v>45687.49444444444</v>
      </c>
      <c r="G35" s="32" t="n">
        <v>45687.61041666667</v>
      </c>
      <c r="H35" s="32" t="n">
        <v>45690.45555555556</v>
      </c>
      <c r="I35" s="33" t="n"/>
      <c r="J35" s="34" t="n"/>
      <c r="K35" s="33" t="n"/>
      <c r="L35" s="33" t="n"/>
      <c r="M35" s="35" t="n"/>
    </row>
    <row r="36">
      <c r="A36" t="inlineStr">
        <is>
          <t>ENC111842</t>
        </is>
      </c>
      <c r="B36" t="inlineStr">
        <is>
          <t>PT12776</t>
        </is>
      </c>
      <c r="C36" t="inlineStr">
        <is>
          <t>Medical-Surgical</t>
        </is>
      </c>
      <c r="D36" t="inlineStr">
        <is>
          <t>Emergency Department</t>
        </is>
      </c>
      <c r="E36" s="31" t="n">
        <v>17411</v>
      </c>
      <c r="F36" s="32" t="n">
        <v>45688.61944444444</v>
      </c>
      <c r="G36" s="32" t="n">
        <v>45688.70208333333</v>
      </c>
      <c r="H36" s="32" t="n">
        <v>45691.57291666666</v>
      </c>
      <c r="I36" s="33" t="n"/>
      <c r="J36" s="34" t="n"/>
      <c r="K36" s="33" t="n"/>
      <c r="L36" s="33" t="n"/>
      <c r="M36" s="35" t="n"/>
    </row>
    <row r="37">
      <c r="A37" t="inlineStr">
        <is>
          <t>ENC111871</t>
        </is>
      </c>
      <c r="B37" t="inlineStr">
        <is>
          <t>PT11207</t>
        </is>
      </c>
      <c r="C37" t="inlineStr">
        <is>
          <t>Medical-Surgical</t>
        </is>
      </c>
      <c r="D37" t="inlineStr">
        <is>
          <t>Emergency Department</t>
        </is>
      </c>
      <c r="E37" s="31" t="n">
        <v>15124</v>
      </c>
      <c r="F37" s="32" t="n">
        <v>45690.09097222222</v>
      </c>
      <c r="G37" s="32" t="n">
        <v>45690.25902777778</v>
      </c>
      <c r="H37" s="32" t="n">
        <v>45695.54305555556</v>
      </c>
      <c r="I37" s="33" t="n"/>
      <c r="J37" s="34" t="n"/>
      <c r="K37" s="33" t="n"/>
      <c r="L37" s="33" t="n"/>
      <c r="M37" s="35" t="n"/>
    </row>
    <row r="38">
      <c r="A38" t="inlineStr">
        <is>
          <t>ENC111876</t>
        </is>
      </c>
      <c r="B38" t="inlineStr">
        <is>
          <t>PT10316</t>
        </is>
      </c>
      <c r="C38" t="inlineStr">
        <is>
          <t>Medical-Surgical</t>
        </is>
      </c>
      <c r="D38" t="inlineStr">
        <is>
          <t>Emergency Department</t>
        </is>
      </c>
      <c r="E38" s="31" t="n">
        <v>20021</v>
      </c>
      <c r="F38" s="32" t="n">
        <v>45690.41041666667</v>
      </c>
      <c r="G38" s="32" t="n">
        <v>45690.53680555556</v>
      </c>
      <c r="H38" s="32" t="n">
        <v>45692.54236111111</v>
      </c>
      <c r="I38" s="33" t="n"/>
      <c r="J38" s="34" t="n"/>
      <c r="K38" s="33" t="n"/>
      <c r="L38" s="33" t="n"/>
      <c r="M38" s="35" t="n"/>
    </row>
    <row r="39">
      <c r="A39" t="inlineStr">
        <is>
          <t>ENC111923</t>
        </is>
      </c>
      <c r="B39" t="inlineStr">
        <is>
          <t>PT10193</t>
        </is>
      </c>
      <c r="C39" t="inlineStr">
        <is>
          <t>Labor &amp; Delivery</t>
        </is>
      </c>
      <c r="D39" t="inlineStr">
        <is>
          <t>Direct Admit</t>
        </is>
      </c>
      <c r="E39" s="31" t="n">
        <v>38230</v>
      </c>
      <c r="G39" s="32" t="n">
        <v>45691.62569444445</v>
      </c>
      <c r="H39" s="32" t="n">
        <v>45692.70486111111</v>
      </c>
      <c r="I39" s="33" t="n"/>
      <c r="J39" s="34" t="n"/>
      <c r="K39" s="33" t="n"/>
      <c r="L39" s="33" t="n"/>
      <c r="M39" s="35" t="n"/>
    </row>
    <row r="40">
      <c r="A40" t="inlineStr">
        <is>
          <t>ENC111934</t>
        </is>
      </c>
      <c r="B40" t="inlineStr">
        <is>
          <t>PT10048</t>
        </is>
      </c>
      <c r="C40" t="inlineStr">
        <is>
          <t>Medical-Surgical</t>
        </is>
      </c>
      <c r="D40" t="inlineStr">
        <is>
          <t>Emergency Department</t>
        </is>
      </c>
      <c r="E40" s="31" t="n">
        <v>45238</v>
      </c>
      <c r="F40" s="32" t="n">
        <v>45691.90625</v>
      </c>
      <c r="G40" s="32" t="n">
        <v>45691.98472222222</v>
      </c>
      <c r="H40" s="32" t="n">
        <v>45696.57291666666</v>
      </c>
      <c r="I40" s="33" t="n"/>
      <c r="J40" s="34" t="n"/>
      <c r="K40" s="33" t="n"/>
      <c r="L40" s="33" t="n"/>
      <c r="M40" s="35" t="n"/>
    </row>
    <row r="41">
      <c r="A41" t="inlineStr">
        <is>
          <t>ENC111983</t>
        </is>
      </c>
      <c r="B41" t="inlineStr">
        <is>
          <t>PT10165</t>
        </is>
      </c>
      <c r="C41" t="inlineStr">
        <is>
          <t>Intensive Care Unit</t>
        </is>
      </c>
      <c r="D41" t="inlineStr">
        <is>
          <t>Emergency Department</t>
        </is>
      </c>
      <c r="E41" s="31" t="n">
        <v>16891</v>
      </c>
      <c r="F41" s="32" t="n">
        <v>45692.74652777778</v>
      </c>
      <c r="G41" s="32" t="n">
        <v>45692.84513888889</v>
      </c>
      <c r="H41" s="32" t="n">
        <v>45701.56388888889</v>
      </c>
      <c r="I41" s="33" t="n"/>
      <c r="J41" s="34" t="n"/>
      <c r="K41" s="33" t="n"/>
      <c r="L41" s="33" t="n"/>
      <c r="M41" s="35" t="n"/>
    </row>
    <row r="42">
      <c r="A42" t="inlineStr">
        <is>
          <t>ENC112029</t>
        </is>
      </c>
      <c r="B42" t="inlineStr">
        <is>
          <t>PT11056</t>
        </is>
      </c>
      <c r="C42" t="inlineStr">
        <is>
          <t>Medical-Surgical</t>
        </is>
      </c>
      <c r="D42" t="inlineStr">
        <is>
          <t>Emergency Department</t>
        </is>
      </c>
      <c r="E42" s="31" t="n">
        <v>45439</v>
      </c>
      <c r="F42" s="32" t="n">
        <v>45693.89375</v>
      </c>
      <c r="G42" s="32" t="n">
        <v>45693.97638888889</v>
      </c>
      <c r="H42" s="32" t="n">
        <v>45696.56041666667</v>
      </c>
      <c r="I42" s="33" t="n"/>
      <c r="J42" s="34" t="n"/>
      <c r="K42" s="33" t="n"/>
      <c r="L42" s="33" t="n"/>
      <c r="M42" s="35" t="n"/>
    </row>
    <row r="43">
      <c r="A43" t="inlineStr">
        <is>
          <t>ENC112033</t>
        </is>
      </c>
      <c r="B43" t="inlineStr">
        <is>
          <t>PT10592</t>
        </is>
      </c>
      <c r="C43" t="inlineStr">
        <is>
          <t>Medical-Surgical</t>
        </is>
      </c>
      <c r="D43" t="inlineStr">
        <is>
          <t>Emergency Department</t>
        </is>
      </c>
      <c r="E43" s="31" t="n">
        <v>20626</v>
      </c>
      <c r="F43" s="32" t="n">
        <v>45693.9625</v>
      </c>
      <c r="G43" s="32" t="n">
        <v>45694.09027777778</v>
      </c>
      <c r="H43" s="32" t="n">
        <v>45699.59791666667</v>
      </c>
      <c r="I43" s="33" t="n"/>
      <c r="J43" s="34" t="n"/>
      <c r="K43" s="33" t="n"/>
      <c r="L43" s="33" t="n"/>
      <c r="M43" s="35" t="n"/>
    </row>
    <row r="44">
      <c r="A44" t="inlineStr">
        <is>
          <t>ENC112040</t>
        </is>
      </c>
      <c r="B44" t="inlineStr">
        <is>
          <t>PT10455</t>
        </is>
      </c>
      <c r="C44" t="inlineStr">
        <is>
          <t>Medical-Surgical</t>
        </is>
      </c>
      <c r="D44" t="inlineStr">
        <is>
          <t>Emergency Department</t>
        </is>
      </c>
      <c r="E44" s="31" t="n">
        <v>26167</v>
      </c>
      <c r="F44" s="32" t="n">
        <v>45694.33888888889</v>
      </c>
      <c r="G44" s="32" t="n">
        <v>45694.49583333333</v>
      </c>
      <c r="H44" s="32" t="n">
        <v>45699.60902777778</v>
      </c>
      <c r="I44" s="33" t="n"/>
      <c r="J44" s="34" t="n"/>
      <c r="K44" s="33" t="n"/>
      <c r="L44" s="33" t="n"/>
      <c r="M44" s="35" t="n"/>
    </row>
    <row r="45">
      <c r="A45" t="inlineStr">
        <is>
          <t>ENC112073</t>
        </is>
      </c>
      <c r="B45" t="inlineStr">
        <is>
          <t>PT13669</t>
        </is>
      </c>
      <c r="C45" t="inlineStr">
        <is>
          <t>Medical-Surgical</t>
        </is>
      </c>
      <c r="D45" t="inlineStr">
        <is>
          <t>Emergency Department</t>
        </is>
      </c>
      <c r="E45" s="31" t="n">
        <v>15741</v>
      </c>
      <c r="F45" s="32" t="n">
        <v>45694.67986111111</v>
      </c>
      <c r="G45" s="32" t="n">
        <v>45694.83194444444</v>
      </c>
      <c r="H45" s="32" t="n">
        <v>45699.66388888889</v>
      </c>
      <c r="I45" s="33" t="n"/>
      <c r="J45" s="34" t="n"/>
      <c r="K45" s="33" t="n"/>
      <c r="L45" s="33" t="n"/>
      <c r="M45" s="35" t="n"/>
    </row>
    <row r="46">
      <c r="A46" t="inlineStr">
        <is>
          <t>ENC112082</t>
        </is>
      </c>
      <c r="B46" t="inlineStr">
        <is>
          <t>PT11237</t>
        </is>
      </c>
      <c r="C46" t="inlineStr">
        <is>
          <t>Medical-Surgical</t>
        </is>
      </c>
      <c r="D46" t="inlineStr">
        <is>
          <t>Direct Admit</t>
        </is>
      </c>
      <c r="E46" s="31" t="n">
        <v>20252</v>
      </c>
      <c r="G46" s="32" t="n">
        <v>45695.06041666667</v>
      </c>
      <c r="H46" s="32" t="n">
        <v>45697.54305555556</v>
      </c>
      <c r="I46" s="33" t="n"/>
      <c r="J46" s="34" t="n"/>
      <c r="K46" s="33" t="n"/>
      <c r="L46" s="33" t="n"/>
      <c r="M46" s="35" t="n"/>
    </row>
    <row r="47">
      <c r="A47" t="inlineStr">
        <is>
          <t>ENC112107</t>
        </is>
      </c>
      <c r="B47" t="inlineStr">
        <is>
          <t>PT10340</t>
        </is>
      </c>
      <c r="C47" t="inlineStr">
        <is>
          <t>Medical-Surgical</t>
        </is>
      </c>
      <c r="D47" t="inlineStr">
        <is>
          <t>Transfer</t>
        </is>
      </c>
      <c r="E47" s="31" t="n">
        <v>39430</v>
      </c>
      <c r="G47" s="32" t="n">
        <v>45695.64305555556</v>
      </c>
      <c r="H47" s="32" t="n">
        <v>45701.66875</v>
      </c>
      <c r="I47" s="33" t="n"/>
      <c r="J47" s="34" t="n"/>
      <c r="K47" s="33" t="n"/>
      <c r="L47" s="33" t="n"/>
      <c r="M47" s="35" t="n"/>
    </row>
    <row r="48">
      <c r="A48" t="inlineStr">
        <is>
          <t>ENC112177</t>
        </is>
      </c>
      <c r="B48" t="inlineStr">
        <is>
          <t>PT11939</t>
        </is>
      </c>
      <c r="C48" t="inlineStr">
        <is>
          <t>Medical-Surgical</t>
        </is>
      </c>
      <c r="D48" t="inlineStr">
        <is>
          <t>Direct Admit</t>
        </is>
      </c>
      <c r="E48" s="31" t="n">
        <v>18414</v>
      </c>
      <c r="G48" s="32" t="n">
        <v>45698.49375</v>
      </c>
      <c r="H48" s="32" t="n">
        <v>45700.60138888889</v>
      </c>
      <c r="I48" s="33" t="n"/>
      <c r="J48" s="34" t="n"/>
      <c r="K48" s="33" t="n"/>
      <c r="L48" s="33" t="n"/>
      <c r="M48" s="35" t="n"/>
    </row>
    <row r="49">
      <c r="A49" t="inlineStr">
        <is>
          <t>ENC112196</t>
        </is>
      </c>
      <c r="B49" t="inlineStr">
        <is>
          <t>PT12116</t>
        </is>
      </c>
      <c r="C49" t="inlineStr">
        <is>
          <t>Medical-Surgical</t>
        </is>
      </c>
      <c r="D49" t="inlineStr">
        <is>
          <t>Direct Admit</t>
        </is>
      </c>
      <c r="E49" s="31" t="n">
        <v>22433</v>
      </c>
      <c r="G49" s="32" t="n">
        <v>45698.81458333333</v>
      </c>
      <c r="H49" s="32" t="n">
        <v>45701.61805555555</v>
      </c>
      <c r="I49" s="33" t="n"/>
      <c r="J49" s="34" t="n"/>
      <c r="K49" s="33" t="n"/>
      <c r="L49" s="33" t="n"/>
      <c r="M49" s="35" t="n"/>
    </row>
    <row r="50">
      <c r="A50" t="inlineStr">
        <is>
          <t>ENC112204</t>
        </is>
      </c>
      <c r="B50" t="inlineStr">
        <is>
          <t>PT13224</t>
        </is>
      </c>
      <c r="C50" t="inlineStr">
        <is>
          <t>Medical-Surgical</t>
        </is>
      </c>
      <c r="D50" t="inlineStr">
        <is>
          <t>Emergency Department</t>
        </is>
      </c>
      <c r="E50" s="31" t="n">
        <v>20507</v>
      </c>
      <c r="F50" s="32" t="n">
        <v>45699.24166666667</v>
      </c>
      <c r="G50" s="32" t="n">
        <v>45699.37986111111</v>
      </c>
      <c r="H50" s="32" t="n">
        <v>45705.46458333333</v>
      </c>
      <c r="I50" s="33" t="n"/>
      <c r="J50" s="34" t="n"/>
      <c r="K50" s="33" t="n"/>
      <c r="L50" s="33" t="n"/>
      <c r="M50" s="35" t="n"/>
    </row>
    <row r="51">
      <c r="A51" t="inlineStr">
        <is>
          <t>ENC112235</t>
        </is>
      </c>
      <c r="B51" t="inlineStr">
        <is>
          <t>PT10079</t>
        </is>
      </c>
      <c r="C51" t="inlineStr">
        <is>
          <t>Medical-Surgical</t>
        </is>
      </c>
      <c r="D51" t="inlineStr">
        <is>
          <t>Direct Admit</t>
        </is>
      </c>
      <c r="E51" s="31" t="n">
        <v>26413</v>
      </c>
      <c r="G51" s="32" t="n">
        <v>45699.61041666667</v>
      </c>
      <c r="H51" s="32" t="n">
        <v>45703.57847222222</v>
      </c>
      <c r="I51" s="33" t="n"/>
      <c r="J51" s="34" t="n"/>
      <c r="K51" s="33" t="n"/>
      <c r="L51" s="33" t="n"/>
      <c r="M51" s="35" t="n"/>
    </row>
    <row r="52">
      <c r="A52" t="inlineStr">
        <is>
          <t>ENC112243</t>
        </is>
      </c>
      <c r="B52" t="inlineStr">
        <is>
          <t>PT11207</t>
        </is>
      </c>
      <c r="C52" t="inlineStr">
        <is>
          <t>Medical-Surgical</t>
        </is>
      </c>
      <c r="D52" t="inlineStr">
        <is>
          <t>Emergency Department</t>
        </is>
      </c>
      <c r="E52" s="31" t="n">
        <v>15124</v>
      </c>
      <c r="F52" s="32" t="n">
        <v>45699.70486111111</v>
      </c>
      <c r="G52" s="32" t="n">
        <v>45699.83333333334</v>
      </c>
      <c r="H52" s="32" t="n">
        <v>45703.65694444445</v>
      </c>
      <c r="I52" s="33" t="n"/>
      <c r="J52" s="34" t="n"/>
      <c r="K52" s="33" t="n"/>
      <c r="L52" s="33" t="n"/>
      <c r="M52" s="35" t="n"/>
    </row>
    <row r="53">
      <c r="A53" t="inlineStr">
        <is>
          <t>ENC112247</t>
        </is>
      </c>
      <c r="B53" t="inlineStr">
        <is>
          <t>PT13942</t>
        </is>
      </c>
      <c r="C53" t="inlineStr">
        <is>
          <t>Medical-Surgical</t>
        </is>
      </c>
      <c r="D53" t="inlineStr">
        <is>
          <t>Emergency Department</t>
        </is>
      </c>
      <c r="E53" s="31" t="n">
        <v>16966</v>
      </c>
      <c r="F53" s="32" t="n">
        <v>45699.85208333333</v>
      </c>
      <c r="G53" s="32" t="n">
        <v>45699.99861111111</v>
      </c>
      <c r="H53" s="32" t="n">
        <v>45704.66458333333</v>
      </c>
      <c r="I53" s="33" t="n"/>
      <c r="J53" s="34" t="n"/>
      <c r="K53" s="33" t="n"/>
      <c r="L53" s="33" t="n"/>
      <c r="M53" s="35" t="n"/>
    </row>
    <row r="54">
      <c r="A54" t="inlineStr">
        <is>
          <t>ENC112267</t>
        </is>
      </c>
      <c r="B54" t="inlineStr">
        <is>
          <t>PT13941</t>
        </is>
      </c>
      <c r="C54" t="inlineStr">
        <is>
          <t>Medical-Surgical</t>
        </is>
      </c>
      <c r="D54" t="inlineStr">
        <is>
          <t>Emergency Department</t>
        </is>
      </c>
      <c r="E54" s="31" t="n">
        <v>23961</v>
      </c>
      <c r="F54" s="32" t="n">
        <v>45700.59722222222</v>
      </c>
      <c r="G54" s="32" t="n">
        <v>45700.77361111111</v>
      </c>
      <c r="H54" s="32" t="n">
        <v>45708.62152777778</v>
      </c>
      <c r="I54" s="33" t="n"/>
      <c r="J54" s="34" t="n"/>
      <c r="K54" s="33" t="n"/>
      <c r="L54" s="33" t="n"/>
      <c r="M54" s="35" t="n"/>
    </row>
    <row r="55">
      <c r="A55" t="inlineStr">
        <is>
          <t>ENC112321</t>
        </is>
      </c>
      <c r="B55" t="inlineStr">
        <is>
          <t>PT11873</t>
        </is>
      </c>
      <c r="C55" t="inlineStr">
        <is>
          <t>Medical-Surgical</t>
        </is>
      </c>
      <c r="D55" t="inlineStr">
        <is>
          <t>Emergency Department</t>
        </is>
      </c>
      <c r="E55" s="31" t="n">
        <v>28641</v>
      </c>
      <c r="F55" s="32" t="n">
        <v>45701.69444444445</v>
      </c>
      <c r="G55" s="32" t="n">
        <v>45701.81458333333</v>
      </c>
      <c r="H55" s="32" t="n">
        <v>45703.55138888889</v>
      </c>
      <c r="I55" s="33" t="n"/>
      <c r="J55" s="34" t="n"/>
      <c r="K55" s="33" t="n"/>
      <c r="L55" s="33" t="n"/>
      <c r="M55" s="35" t="n"/>
    </row>
    <row r="56">
      <c r="A56" t="inlineStr">
        <is>
          <t>ENC112342</t>
        </is>
      </c>
      <c r="B56" t="inlineStr">
        <is>
          <t>PT13407</t>
        </is>
      </c>
      <c r="C56" t="inlineStr">
        <is>
          <t>Medical-Surgical</t>
        </is>
      </c>
      <c r="D56" t="inlineStr">
        <is>
          <t>Direct Admit</t>
        </is>
      </c>
      <c r="E56" s="31" t="n">
        <v>9755</v>
      </c>
      <c r="G56" s="32" t="n">
        <v>45702.56319444445</v>
      </c>
      <c r="H56" s="32" t="n">
        <v>45711.58611111111</v>
      </c>
      <c r="I56" s="33" t="n"/>
      <c r="J56" s="34" t="n"/>
      <c r="K56" s="33" t="n"/>
      <c r="L56" s="33" t="n"/>
      <c r="M56" s="35" t="n"/>
    </row>
    <row r="57">
      <c r="A57" t="inlineStr">
        <is>
          <t>ENC112363</t>
        </is>
      </c>
      <c r="B57" t="inlineStr">
        <is>
          <t>PT10169</t>
        </is>
      </c>
      <c r="C57" t="inlineStr">
        <is>
          <t>Medical-Surgical</t>
        </is>
      </c>
      <c r="D57" t="inlineStr">
        <is>
          <t>Emergency Department</t>
        </is>
      </c>
      <c r="E57" s="31" t="n">
        <v>20924</v>
      </c>
      <c r="F57" s="32" t="n">
        <v>45703.28680555556</v>
      </c>
      <c r="G57" s="32" t="n">
        <v>45703.40833333333</v>
      </c>
      <c r="H57" s="32" t="n">
        <v>45712.60902777778</v>
      </c>
      <c r="I57" s="33" t="n"/>
      <c r="J57" s="34" t="n"/>
      <c r="K57" s="33" t="n"/>
      <c r="L57" s="33" t="n"/>
      <c r="M57" s="35" t="n"/>
    </row>
    <row r="58">
      <c r="A58" t="inlineStr">
        <is>
          <t>ENC112375</t>
        </is>
      </c>
      <c r="B58" t="inlineStr">
        <is>
          <t>PT10293</t>
        </is>
      </c>
      <c r="C58" t="inlineStr">
        <is>
          <t>Medical-Surgical</t>
        </is>
      </c>
      <c r="D58" t="inlineStr">
        <is>
          <t>Direct Admit</t>
        </is>
      </c>
      <c r="E58" s="31" t="n">
        <v>10525</v>
      </c>
      <c r="G58" s="32" t="n">
        <v>45703.71458333333</v>
      </c>
      <c r="H58" s="32" t="n">
        <v>45705.53472222222</v>
      </c>
      <c r="I58" s="33" t="n"/>
      <c r="J58" s="34" t="n"/>
      <c r="K58" s="33" t="n"/>
      <c r="L58" s="33" t="n"/>
      <c r="M58" s="35" t="n"/>
    </row>
    <row r="59">
      <c r="A59" t="inlineStr">
        <is>
          <t>ENC112398</t>
        </is>
      </c>
      <c r="B59" t="inlineStr">
        <is>
          <t>PT13094</t>
        </is>
      </c>
      <c r="C59" t="inlineStr">
        <is>
          <t>Medical-Surgical</t>
        </is>
      </c>
      <c r="D59" t="inlineStr">
        <is>
          <t>Emergency Department</t>
        </is>
      </c>
      <c r="E59" s="31" t="n">
        <v>24985</v>
      </c>
      <c r="F59" s="32" t="n">
        <v>45704.83472222222</v>
      </c>
      <c r="G59" s="32" t="n">
        <v>45704.93472222222</v>
      </c>
      <c r="H59" s="32" t="n">
        <v>45707.54375</v>
      </c>
      <c r="I59" s="33" t="n"/>
      <c r="J59" s="34" t="n"/>
      <c r="K59" s="33" t="n"/>
      <c r="L59" s="33" t="n"/>
      <c r="M59" s="35" t="n"/>
    </row>
    <row r="60">
      <c r="A60" t="inlineStr">
        <is>
          <t>ENC112430</t>
        </is>
      </c>
      <c r="B60" t="inlineStr">
        <is>
          <t>PT13421</t>
        </is>
      </c>
      <c r="C60" t="inlineStr">
        <is>
          <t>Intensive Care Unit</t>
        </is>
      </c>
      <c r="D60" t="inlineStr">
        <is>
          <t>Emergency Department</t>
        </is>
      </c>
      <c r="E60" s="31" t="n">
        <v>17169</v>
      </c>
      <c r="F60" s="32" t="n">
        <v>45705.56944444445</v>
      </c>
      <c r="G60" s="32" t="n">
        <v>45705.7375</v>
      </c>
      <c r="H60" s="32" t="n">
        <v>45718.7125</v>
      </c>
      <c r="I60" s="33" t="n"/>
      <c r="J60" s="34" t="n"/>
      <c r="K60" s="33" t="n"/>
      <c r="L60" s="33" t="n"/>
      <c r="M60" s="35" t="n"/>
    </row>
    <row r="61">
      <c r="A61" t="inlineStr">
        <is>
          <t>ENC112471</t>
        </is>
      </c>
      <c r="B61" t="inlineStr">
        <is>
          <t>PT12209</t>
        </is>
      </c>
      <c r="C61" t="inlineStr">
        <is>
          <t>Medical-Surgical</t>
        </is>
      </c>
      <c r="D61" t="inlineStr">
        <is>
          <t>Emergency Department</t>
        </is>
      </c>
      <c r="E61" s="31" t="n">
        <v>19964</v>
      </c>
      <c r="F61" s="32" t="n">
        <v>45706.60625</v>
      </c>
      <c r="G61" s="32" t="n">
        <v>45706.73819444444</v>
      </c>
      <c r="H61" s="32" t="n">
        <v>45711.51597222222</v>
      </c>
      <c r="I61" s="33" t="n"/>
      <c r="J61" s="34" t="n"/>
      <c r="K61" s="33" t="n"/>
      <c r="L61" s="33" t="n"/>
      <c r="M61" s="35" t="n"/>
    </row>
    <row r="62">
      <c r="A62" t="inlineStr">
        <is>
          <t>ENC112491</t>
        </is>
      </c>
      <c r="B62" t="inlineStr">
        <is>
          <t>PT11957</t>
        </is>
      </c>
      <c r="C62" t="inlineStr">
        <is>
          <t>Medical-Surgical</t>
        </is>
      </c>
      <c r="D62" t="inlineStr">
        <is>
          <t>Direct Admit</t>
        </is>
      </c>
      <c r="E62" s="31" t="n">
        <v>24801</v>
      </c>
      <c r="G62" s="32" t="n">
        <v>45707.37638888889</v>
      </c>
      <c r="H62" s="32" t="n">
        <v>45714.60208333333</v>
      </c>
      <c r="I62" s="33" t="n"/>
      <c r="J62" s="34" t="n"/>
      <c r="K62" s="33" t="n"/>
      <c r="L62" s="33" t="n"/>
      <c r="M62" s="35" t="n"/>
    </row>
    <row r="63">
      <c r="A63" t="inlineStr">
        <is>
          <t>ENC112495</t>
        </is>
      </c>
      <c r="B63" t="inlineStr">
        <is>
          <t>PT12788</t>
        </is>
      </c>
      <c r="C63" t="inlineStr">
        <is>
          <t>Intensive Care Unit</t>
        </is>
      </c>
      <c r="D63" t="inlineStr">
        <is>
          <t>Emergency Department</t>
        </is>
      </c>
      <c r="E63" s="31" t="n">
        <v>13442</v>
      </c>
      <c r="F63" s="32" t="n">
        <v>45707.44166666667</v>
      </c>
      <c r="G63" s="32" t="n">
        <v>45707.53680555556</v>
      </c>
      <c r="H63" s="32" t="n">
        <v>45721.79861111111</v>
      </c>
      <c r="I63" s="33" t="n"/>
      <c r="J63" s="34" t="n"/>
      <c r="K63" s="33" t="n"/>
      <c r="L63" s="33" t="n"/>
      <c r="M63" s="35" t="n"/>
    </row>
    <row r="64">
      <c r="A64" t="inlineStr">
        <is>
          <t>ENC112511</t>
        </is>
      </c>
      <c r="B64" t="inlineStr">
        <is>
          <t>PT13499</t>
        </is>
      </c>
      <c r="C64" t="inlineStr">
        <is>
          <t>Medical-Surgical</t>
        </is>
      </c>
      <c r="D64" t="inlineStr">
        <is>
          <t>Emergency Department</t>
        </is>
      </c>
      <c r="E64" s="31" t="n">
        <v>14846</v>
      </c>
      <c r="F64" s="32" t="n">
        <v>45707.60486111111</v>
      </c>
      <c r="G64" s="32" t="n">
        <v>45707.79097222222</v>
      </c>
      <c r="H64" s="32" t="n">
        <v>45715.51111111111</v>
      </c>
      <c r="I64" s="33" t="n"/>
      <c r="J64" s="34" t="n"/>
      <c r="K64" s="33" t="n"/>
      <c r="L64" s="33" t="n"/>
      <c r="M64" s="35" t="n"/>
    </row>
    <row r="65">
      <c r="A65" t="inlineStr">
        <is>
          <t>ENC112615</t>
        </is>
      </c>
      <c r="B65" t="inlineStr">
        <is>
          <t>PT11854</t>
        </is>
      </c>
      <c r="C65" t="inlineStr">
        <is>
          <t>Medical-Surgical</t>
        </is>
      </c>
      <c r="D65" t="inlineStr">
        <is>
          <t>Emergency Department</t>
        </is>
      </c>
      <c r="E65" s="31" t="n">
        <v>13207</v>
      </c>
      <c r="F65" s="32" t="n">
        <v>45710.37777777778</v>
      </c>
      <c r="G65" s="32" t="n">
        <v>45710.55902777778</v>
      </c>
      <c r="H65" s="32" t="n">
        <v>45719.60486111111</v>
      </c>
      <c r="I65" s="33" t="n"/>
      <c r="J65" s="34" t="n"/>
      <c r="K65" s="33" t="n"/>
      <c r="L65" s="33" t="n"/>
      <c r="M65" s="35" t="n"/>
    </row>
    <row r="66">
      <c r="A66" t="inlineStr">
        <is>
          <t>ENC112630</t>
        </is>
      </c>
      <c r="B66" t="inlineStr">
        <is>
          <t>PT10165</t>
        </is>
      </c>
      <c r="C66" t="inlineStr">
        <is>
          <t>Medical-Surgical</t>
        </is>
      </c>
      <c r="D66" t="inlineStr">
        <is>
          <t>Emergency Department</t>
        </is>
      </c>
      <c r="E66" s="31" t="n">
        <v>16891</v>
      </c>
      <c r="F66" s="32" t="n">
        <v>45710.74652777778</v>
      </c>
      <c r="G66" s="32" t="n">
        <v>45710.85694444444</v>
      </c>
      <c r="H66" s="32" t="n">
        <v>45717.71041666667</v>
      </c>
      <c r="I66" s="33" t="n"/>
      <c r="J66" s="34" t="n"/>
      <c r="K66" s="33" t="n"/>
      <c r="L66" s="33" t="n"/>
      <c r="M66" s="35" t="n"/>
    </row>
    <row r="67">
      <c r="A67" t="inlineStr">
        <is>
          <t>ENC112645</t>
        </is>
      </c>
      <c r="B67" t="inlineStr">
        <is>
          <t>PT11007</t>
        </is>
      </c>
      <c r="C67" t="inlineStr">
        <is>
          <t>Intensive Care Unit</t>
        </is>
      </c>
      <c r="D67" t="inlineStr">
        <is>
          <t>Emergency Department</t>
        </is>
      </c>
      <c r="E67" s="31" t="n">
        <v>30152</v>
      </c>
      <c r="F67" s="32" t="n">
        <v>45711.62569444445</v>
      </c>
      <c r="G67" s="32" t="n">
        <v>45711.77222222222</v>
      </c>
      <c r="H67" s="32" t="n">
        <v>45715.65902777778</v>
      </c>
      <c r="I67" s="33" t="n"/>
      <c r="J67" s="34" t="n"/>
      <c r="K67" s="33" t="n"/>
      <c r="L67" s="33" t="n"/>
      <c r="M67" s="35" t="n"/>
    </row>
    <row r="68">
      <c r="A68" t="inlineStr">
        <is>
          <t>ENC112702</t>
        </is>
      </c>
      <c r="B68" t="inlineStr">
        <is>
          <t>PT10290</t>
        </is>
      </c>
      <c r="C68" t="inlineStr">
        <is>
          <t>Medical-Surgical</t>
        </is>
      </c>
      <c r="D68" t="inlineStr">
        <is>
          <t>Emergency Department</t>
        </is>
      </c>
      <c r="E68" s="31" t="n">
        <v>25268</v>
      </c>
      <c r="F68" s="32" t="n">
        <v>45712.67430555556</v>
      </c>
      <c r="G68" s="32" t="n">
        <v>45712.78819444445</v>
      </c>
      <c r="H68" s="32" t="n">
        <v>45714.5125</v>
      </c>
      <c r="I68" s="33" t="n"/>
      <c r="J68" s="34" t="n"/>
      <c r="K68" s="33" t="n"/>
      <c r="L68" s="33" t="n"/>
      <c r="M68" s="35" t="n"/>
    </row>
    <row r="69">
      <c r="A69" t="inlineStr">
        <is>
          <t>ENC112697</t>
        </is>
      </c>
      <c r="B69" t="inlineStr">
        <is>
          <t>PT10288</t>
        </is>
      </c>
      <c r="C69" t="inlineStr">
        <is>
          <t>Medical-Surgical</t>
        </is>
      </c>
      <c r="D69" t="inlineStr">
        <is>
          <t>Emergency Department</t>
        </is>
      </c>
      <c r="E69" s="31" t="n">
        <v>20393</v>
      </c>
      <c r="F69" s="32" t="n">
        <v>45712.65416666667</v>
      </c>
      <c r="G69" s="32" t="n">
        <v>45712.80416666667</v>
      </c>
      <c r="H69" s="32" t="n">
        <v>45715.46319444444</v>
      </c>
      <c r="I69" s="33" t="n"/>
      <c r="J69" s="34" t="n"/>
      <c r="K69" s="33" t="n"/>
      <c r="L69" s="33" t="n"/>
      <c r="M69" s="35" t="n"/>
    </row>
    <row r="70">
      <c r="A70" t="inlineStr">
        <is>
          <t>ENC112714</t>
        </is>
      </c>
      <c r="B70" t="inlineStr">
        <is>
          <t>PT10593</t>
        </is>
      </c>
      <c r="C70" t="inlineStr">
        <is>
          <t>Medical-Surgical</t>
        </is>
      </c>
      <c r="D70" t="inlineStr">
        <is>
          <t>Emergency Department</t>
        </is>
      </c>
      <c r="E70" s="31" t="n">
        <v>21758</v>
      </c>
      <c r="F70" s="32" t="n">
        <v>45713.30833333333</v>
      </c>
      <c r="G70" s="32" t="n">
        <v>45713.48402777778</v>
      </c>
      <c r="H70" s="32" t="n">
        <v>45717.62638888889</v>
      </c>
      <c r="I70" s="33" t="n"/>
      <c r="J70" s="34" t="n"/>
      <c r="K70" s="33" t="n"/>
      <c r="L70" s="33" t="n"/>
      <c r="M70" s="35" t="n"/>
    </row>
    <row r="71">
      <c r="A71" t="inlineStr">
        <is>
          <t>ENC112744</t>
        </is>
      </c>
      <c r="B71" t="inlineStr">
        <is>
          <t>PT12753</t>
        </is>
      </c>
      <c r="C71" t="inlineStr">
        <is>
          <t>Medical-Surgical</t>
        </is>
      </c>
      <c r="D71" t="inlineStr">
        <is>
          <t>Emergency Department</t>
        </is>
      </c>
      <c r="E71" s="31" t="n">
        <v>45227</v>
      </c>
      <c r="F71" s="32" t="n">
        <v>45713.82083333333</v>
      </c>
      <c r="G71" s="32" t="n">
        <v>45713.96180555555</v>
      </c>
      <c r="H71" s="32" t="n">
        <v>45717.55625</v>
      </c>
      <c r="I71" s="33" t="n"/>
      <c r="J71" s="34" t="n"/>
      <c r="K71" s="33" t="n"/>
      <c r="L71" s="33" t="n"/>
      <c r="M71" s="35" t="n"/>
    </row>
    <row r="72">
      <c r="A72" t="inlineStr">
        <is>
          <t>ENC112828</t>
        </is>
      </c>
      <c r="B72" t="inlineStr">
        <is>
          <t>PT10830</t>
        </is>
      </c>
      <c r="C72" t="inlineStr">
        <is>
          <t>Medical-Surgical</t>
        </is>
      </c>
      <c r="D72" t="inlineStr">
        <is>
          <t>Emergency Department</t>
        </is>
      </c>
      <c r="E72" s="31" t="n">
        <v>30713</v>
      </c>
      <c r="F72" s="32" t="n">
        <v>45715.78472222222</v>
      </c>
      <c r="G72" s="32" t="n">
        <v>45715.85763888889</v>
      </c>
      <c r="H72" s="32" t="n">
        <v>45718.40138888889</v>
      </c>
      <c r="I72" s="33" t="n"/>
      <c r="J72" s="34" t="n"/>
      <c r="K72" s="33" t="n"/>
      <c r="L72" s="33" t="n"/>
      <c r="M72" s="35" t="n"/>
    </row>
    <row r="73">
      <c r="A73" t="inlineStr">
        <is>
          <t>ENC112847</t>
        </is>
      </c>
      <c r="B73" t="inlineStr">
        <is>
          <t>PT11078</t>
        </is>
      </c>
      <c r="C73" t="inlineStr">
        <is>
          <t>Medical-Surgical</t>
        </is>
      </c>
      <c r="D73" t="inlineStr">
        <is>
          <t>Transfer</t>
        </is>
      </c>
      <c r="E73" s="31" t="n">
        <v>25240</v>
      </c>
      <c r="G73" s="32" t="n">
        <v>45716.64652777778</v>
      </c>
      <c r="H73" s="32" t="n">
        <v>45721.44652777778</v>
      </c>
      <c r="I73" s="33" t="n"/>
      <c r="J73" s="34" t="n"/>
      <c r="K73" s="33" t="n"/>
      <c r="L73" s="33" t="n"/>
      <c r="M73" s="35" t="n"/>
    </row>
    <row r="74">
      <c r="A74" t="inlineStr">
        <is>
          <t>ENC112929</t>
        </is>
      </c>
      <c r="B74" t="inlineStr">
        <is>
          <t>PT10808</t>
        </is>
      </c>
      <c r="C74" t="inlineStr">
        <is>
          <t>Intensive Care Unit</t>
        </is>
      </c>
      <c r="D74" t="inlineStr">
        <is>
          <t>Transfer</t>
        </is>
      </c>
      <c r="E74" s="31" t="n">
        <v>11466</v>
      </c>
      <c r="G74" s="32" t="n">
        <v>45720.03333333333</v>
      </c>
      <c r="H74" s="32" t="n">
        <v>45735.58125</v>
      </c>
      <c r="I74" s="33" t="n"/>
      <c r="J74" s="34" t="n"/>
      <c r="K74" s="33" t="n"/>
      <c r="L74" s="33" t="n"/>
      <c r="M74" s="35" t="n"/>
    </row>
    <row r="75">
      <c r="A75" t="inlineStr">
        <is>
          <t>ENC112928</t>
        </is>
      </c>
      <c r="B75" t="inlineStr">
        <is>
          <t>PT12597</t>
        </is>
      </c>
      <c r="C75" t="inlineStr">
        <is>
          <t>Medical-Surgical</t>
        </is>
      </c>
      <c r="D75" t="inlineStr">
        <is>
          <t>Emergency Department</t>
        </is>
      </c>
      <c r="E75" s="31" t="n">
        <v>28824</v>
      </c>
      <c r="F75" s="32" t="n">
        <v>45719.95694444444</v>
      </c>
      <c r="G75" s="32" t="n">
        <v>45720.11180555556</v>
      </c>
      <c r="H75" s="32" t="n">
        <v>45723.53055555555</v>
      </c>
      <c r="I75" s="33" t="n"/>
      <c r="J75" s="34" t="n"/>
      <c r="K75" s="33" t="n"/>
      <c r="L75" s="33" t="n"/>
      <c r="M75" s="35" t="n"/>
    </row>
    <row r="76">
      <c r="A76" t="inlineStr">
        <is>
          <t>ENC112961</t>
        </is>
      </c>
      <c r="B76" t="inlineStr">
        <is>
          <t>PT10121</t>
        </is>
      </c>
      <c r="C76" t="inlineStr">
        <is>
          <t>Medical-Surgical</t>
        </is>
      </c>
      <c r="D76" t="inlineStr">
        <is>
          <t>Emergency Department</t>
        </is>
      </c>
      <c r="E76" s="31" t="n">
        <v>23655</v>
      </c>
      <c r="F76" s="32" t="n">
        <v>45721.34513888889</v>
      </c>
      <c r="G76" s="32" t="n">
        <v>45721.45</v>
      </c>
      <c r="H76" s="32" t="n">
        <v>45726.56527777778</v>
      </c>
      <c r="I76" s="33" t="n"/>
      <c r="J76" s="34" t="n"/>
      <c r="K76" s="33" t="n"/>
      <c r="L76" s="33" t="n"/>
      <c r="M76" s="35" t="n"/>
    </row>
    <row r="77">
      <c r="A77" t="inlineStr">
        <is>
          <t>ENC112973</t>
        </is>
      </c>
      <c r="B77" t="inlineStr">
        <is>
          <t>PT11004</t>
        </is>
      </c>
      <c r="C77" t="inlineStr">
        <is>
          <t>Medical-Surgical</t>
        </is>
      </c>
      <c r="D77" t="inlineStr">
        <is>
          <t>Direct Admit</t>
        </is>
      </c>
      <c r="E77" s="31" t="n">
        <v>17280</v>
      </c>
      <c r="G77" s="32" t="n">
        <v>45721.59305555555</v>
      </c>
      <c r="H77" s="32" t="n">
        <v>45723.47916666666</v>
      </c>
      <c r="I77" s="33" t="n"/>
      <c r="J77" s="34" t="n"/>
      <c r="K77" s="33" t="n"/>
      <c r="L77" s="33" t="n"/>
      <c r="M77" s="35" t="n"/>
    </row>
    <row r="78">
      <c r="A78" t="inlineStr">
        <is>
          <t>ENC112969</t>
        </is>
      </c>
      <c r="B78" t="inlineStr">
        <is>
          <t>PT12599</t>
        </is>
      </c>
      <c r="C78" t="inlineStr">
        <is>
          <t>Medical-Surgical</t>
        </is>
      </c>
      <c r="D78" t="inlineStr">
        <is>
          <t>Emergency Department</t>
        </is>
      </c>
      <c r="E78" s="31" t="n">
        <v>19237</v>
      </c>
      <c r="F78" s="32" t="n">
        <v>45721.50138888889</v>
      </c>
      <c r="G78" s="32" t="n">
        <v>45721.64375</v>
      </c>
      <c r="H78" s="32" t="n">
        <v>45729.44236111111</v>
      </c>
      <c r="I78" s="33" t="n"/>
      <c r="J78" s="34" t="n"/>
      <c r="K78" s="33" t="n"/>
      <c r="L78" s="33" t="n"/>
      <c r="M78" s="35" t="n"/>
    </row>
    <row r="79">
      <c r="A79" t="inlineStr">
        <is>
          <t>ENC112990</t>
        </is>
      </c>
      <c r="B79" t="inlineStr">
        <is>
          <t>PT13551</t>
        </is>
      </c>
      <c r="C79" t="inlineStr">
        <is>
          <t>Intensive Care Unit</t>
        </is>
      </c>
      <c r="D79" t="inlineStr">
        <is>
          <t>Emergency Department</t>
        </is>
      </c>
      <c r="E79" s="31" t="n">
        <v>23431</v>
      </c>
      <c r="F79" s="32" t="n">
        <v>45721.79652777778</v>
      </c>
      <c r="G79" s="32" t="n">
        <v>45721.90625</v>
      </c>
      <c r="H79" s="32" t="n">
        <v>45729.64583333334</v>
      </c>
      <c r="I79" s="33" t="n"/>
      <c r="J79" s="34" t="n"/>
      <c r="K79" s="33" t="n"/>
      <c r="L79" s="33" t="n"/>
      <c r="M79" s="35" t="n"/>
    </row>
    <row r="80">
      <c r="A80" t="inlineStr">
        <is>
          <t>ENC112996</t>
        </is>
      </c>
      <c r="B80" t="inlineStr">
        <is>
          <t>PT10536</t>
        </is>
      </c>
      <c r="C80" t="inlineStr">
        <is>
          <t>Medical-Surgical</t>
        </is>
      </c>
      <c r="D80" t="inlineStr">
        <is>
          <t>Transfer</t>
        </is>
      </c>
      <c r="E80" s="31" t="n">
        <v>26456</v>
      </c>
      <c r="G80" s="32" t="n">
        <v>45722.02708333333</v>
      </c>
      <c r="H80" s="32" t="n">
        <v>45725.77361111111</v>
      </c>
      <c r="I80" s="33" t="n"/>
      <c r="J80" s="34" t="n"/>
      <c r="K80" s="33" t="n"/>
      <c r="L80" s="33" t="n"/>
      <c r="M80" s="35" t="n"/>
    </row>
    <row r="81">
      <c r="A81" t="inlineStr">
        <is>
          <t>ENC113019</t>
        </is>
      </c>
      <c r="B81" t="inlineStr">
        <is>
          <t>PT11017</t>
        </is>
      </c>
      <c r="C81" t="inlineStr">
        <is>
          <t>Medical-Surgical</t>
        </is>
      </c>
      <c r="D81" t="inlineStr">
        <is>
          <t>Emergency Department</t>
        </is>
      </c>
      <c r="E81" s="31" t="n">
        <v>22612</v>
      </c>
      <c r="F81" s="32" t="n">
        <v>45722.68263888889</v>
      </c>
      <c r="G81" s="32" t="n">
        <v>45722.77152777778</v>
      </c>
      <c r="H81" s="32" t="n">
        <v>45733.59861111111</v>
      </c>
      <c r="I81" s="33" t="n"/>
      <c r="J81" s="34" t="n"/>
      <c r="K81" s="33" t="n"/>
      <c r="L81" s="33" t="n"/>
      <c r="M81" s="35" t="n"/>
    </row>
    <row r="82">
      <c r="A82" t="inlineStr">
        <is>
          <t>ENC113066</t>
        </is>
      </c>
      <c r="B82" t="inlineStr">
        <is>
          <t>PT12273</t>
        </is>
      </c>
      <c r="C82" t="inlineStr">
        <is>
          <t>Medical-Surgical</t>
        </is>
      </c>
      <c r="D82" t="inlineStr">
        <is>
          <t>Emergency Department</t>
        </is>
      </c>
      <c r="E82" s="31" t="n">
        <v>19505</v>
      </c>
      <c r="F82" s="32" t="n">
        <v>45724.65347222222</v>
      </c>
      <c r="G82" s="32" t="n">
        <v>45724.79652777778</v>
      </c>
      <c r="H82" s="32" t="n">
        <v>45728.52291666667</v>
      </c>
      <c r="I82" s="33" t="n"/>
      <c r="J82" s="34" t="n"/>
      <c r="K82" s="33" t="n"/>
      <c r="L82" s="33" t="n"/>
      <c r="M82" s="35" t="n"/>
    </row>
    <row r="83">
      <c r="A83" t="inlineStr">
        <is>
          <t>ENC113077</t>
        </is>
      </c>
      <c r="B83" t="inlineStr">
        <is>
          <t>PT10722</t>
        </is>
      </c>
      <c r="C83" t="inlineStr">
        <is>
          <t>Medical-Surgical</t>
        </is>
      </c>
      <c r="D83" t="inlineStr">
        <is>
          <t>Direct Admit</t>
        </is>
      </c>
      <c r="E83" s="31" t="n">
        <v>29109</v>
      </c>
      <c r="G83" s="32" t="n">
        <v>45725.02291666667</v>
      </c>
      <c r="H83" s="32" t="n">
        <v>45730.60138888889</v>
      </c>
      <c r="I83" s="33" t="n"/>
      <c r="J83" s="34" t="n"/>
      <c r="K83" s="33" t="n"/>
      <c r="L83" s="33" t="n"/>
      <c r="M83" s="35" t="n"/>
    </row>
    <row r="84">
      <c r="A84" t="inlineStr">
        <is>
          <t>ENC113090</t>
        </is>
      </c>
      <c r="B84" t="inlineStr">
        <is>
          <t>PT11863</t>
        </is>
      </c>
      <c r="C84" t="inlineStr">
        <is>
          <t>Medical-Surgical</t>
        </is>
      </c>
      <c r="D84" t="inlineStr">
        <is>
          <t>Emergency Department</t>
        </is>
      </c>
      <c r="E84" s="31" t="n">
        <v>20510</v>
      </c>
      <c r="F84" s="32" t="n">
        <v>45725.625</v>
      </c>
      <c r="G84" s="32" t="n">
        <v>45725.76875</v>
      </c>
      <c r="H84" s="32" t="n">
        <v>45739.57916666667</v>
      </c>
      <c r="I84" s="33" t="n"/>
      <c r="J84" s="34" t="n"/>
      <c r="K84" s="33" t="n"/>
      <c r="L84" s="33" t="n"/>
      <c r="M84" s="35" t="n"/>
    </row>
    <row r="85">
      <c r="A85" t="inlineStr">
        <is>
          <t>ENC113114</t>
        </is>
      </c>
      <c r="B85" t="inlineStr">
        <is>
          <t>PT11044</t>
        </is>
      </c>
      <c r="C85" t="inlineStr">
        <is>
          <t>Medical-Surgical</t>
        </is>
      </c>
      <c r="D85" t="inlineStr">
        <is>
          <t>Emergency Department</t>
        </is>
      </c>
      <c r="E85" s="31" t="n">
        <v>35327</v>
      </c>
      <c r="F85" s="32" t="n">
        <v>45726.52916666667</v>
      </c>
      <c r="G85" s="32" t="n">
        <v>45726.63055555556</v>
      </c>
      <c r="H85" s="32" t="n">
        <v>45730.47777777778</v>
      </c>
      <c r="I85" s="33" t="n"/>
      <c r="J85" s="34" t="n"/>
      <c r="K85" s="33" t="n"/>
      <c r="L85" s="33" t="n"/>
      <c r="M85" s="35" t="n"/>
    </row>
    <row r="86">
      <c r="A86" t="inlineStr">
        <is>
          <t>ENC113183</t>
        </is>
      </c>
      <c r="B86" t="inlineStr">
        <is>
          <t>PT13072</t>
        </is>
      </c>
      <c r="C86" t="inlineStr">
        <is>
          <t>Medical-Surgical</t>
        </is>
      </c>
      <c r="D86" t="inlineStr">
        <is>
          <t>Emergency Department</t>
        </is>
      </c>
      <c r="E86" s="31" t="n">
        <v>22048</v>
      </c>
      <c r="F86" s="32" t="n">
        <v>45728.02152777778</v>
      </c>
      <c r="G86" s="32" t="n">
        <v>45728.15069444444</v>
      </c>
      <c r="H86" s="32" t="n">
        <v>45731.76111111111</v>
      </c>
      <c r="I86" s="33" t="n"/>
      <c r="J86" s="34" t="n"/>
      <c r="K86" s="33" t="n"/>
      <c r="L86" s="33" t="n"/>
      <c r="M86" s="35" t="n"/>
    </row>
    <row r="87">
      <c r="A87" t="inlineStr">
        <is>
          <t>ENC113249</t>
        </is>
      </c>
      <c r="B87" t="inlineStr">
        <is>
          <t>PT11326</t>
        </is>
      </c>
      <c r="C87" t="inlineStr">
        <is>
          <t>Medical-Surgical</t>
        </is>
      </c>
      <c r="D87" t="inlineStr">
        <is>
          <t>Emergency Department</t>
        </is>
      </c>
      <c r="E87" s="31" t="n">
        <v>18480</v>
      </c>
      <c r="F87" s="32" t="n">
        <v>45729.70555555556</v>
      </c>
      <c r="G87" s="32" t="n">
        <v>45729.80763888889</v>
      </c>
      <c r="H87" s="32" t="n">
        <v>45734.49583333333</v>
      </c>
      <c r="I87" s="33" t="n"/>
      <c r="J87" s="34" t="n"/>
      <c r="K87" s="33" t="n"/>
      <c r="L87" s="33" t="n"/>
      <c r="M87" s="35" t="n"/>
    </row>
    <row r="88">
      <c r="A88" t="inlineStr">
        <is>
          <t>ENC113286</t>
        </is>
      </c>
      <c r="B88" t="inlineStr">
        <is>
          <t>PT10620</t>
        </is>
      </c>
      <c r="C88" t="inlineStr">
        <is>
          <t>Medical-Surgical</t>
        </is>
      </c>
      <c r="D88" t="inlineStr">
        <is>
          <t>Direct Admit</t>
        </is>
      </c>
      <c r="E88" s="31" t="n">
        <v>23831</v>
      </c>
      <c r="G88" s="32" t="n">
        <v>45730.9375</v>
      </c>
      <c r="H88" s="32" t="n">
        <v>45733.57986111111</v>
      </c>
      <c r="I88" s="33" t="n"/>
      <c r="J88" s="34" t="n"/>
      <c r="K88" s="33" t="n"/>
      <c r="L88" s="33" t="n"/>
      <c r="M88" s="35" t="n"/>
    </row>
    <row r="89">
      <c r="A89" t="inlineStr">
        <is>
          <t>ENC113285</t>
        </is>
      </c>
      <c r="B89" t="inlineStr">
        <is>
          <t>PT12579</t>
        </is>
      </c>
      <c r="C89" t="inlineStr">
        <is>
          <t>Intensive Care Unit</t>
        </is>
      </c>
      <c r="D89" t="inlineStr">
        <is>
          <t>Emergency Department</t>
        </is>
      </c>
      <c r="E89" s="31" t="n">
        <v>17485</v>
      </c>
      <c r="F89" s="32" t="n">
        <v>45730.86736111111</v>
      </c>
      <c r="G89" s="32" t="n">
        <v>45731.04097222222</v>
      </c>
      <c r="H89" s="32" t="n">
        <v>45733.69861111111</v>
      </c>
      <c r="I89" s="33" t="n"/>
      <c r="J89" s="34" t="n"/>
      <c r="K89" s="33" t="n"/>
      <c r="L89" s="33" t="n"/>
      <c r="M89" s="35" t="n"/>
    </row>
    <row r="90">
      <c r="A90" t="inlineStr">
        <is>
          <t>ENC113308</t>
        </is>
      </c>
      <c r="B90" t="inlineStr">
        <is>
          <t>PT11488</t>
        </is>
      </c>
      <c r="C90" t="inlineStr">
        <is>
          <t>Medical-Surgical</t>
        </is>
      </c>
      <c r="D90" t="inlineStr">
        <is>
          <t>Emergency Department</t>
        </is>
      </c>
      <c r="E90" s="31" t="n">
        <v>26867</v>
      </c>
      <c r="F90" s="32" t="n">
        <v>45731.90555555555</v>
      </c>
      <c r="G90" s="32" t="n">
        <v>45732.07152777778</v>
      </c>
      <c r="H90" s="32" t="n">
        <v>45735.57430555556</v>
      </c>
      <c r="I90" s="33" t="n"/>
      <c r="J90" s="34" t="n"/>
      <c r="K90" s="33" t="n"/>
      <c r="L90" s="33" t="n"/>
      <c r="M90" s="35" t="n"/>
    </row>
    <row r="91">
      <c r="A91" t="inlineStr">
        <is>
          <t>ENC113312</t>
        </is>
      </c>
      <c r="B91" t="inlineStr">
        <is>
          <t>PT12486</t>
        </is>
      </c>
      <c r="C91" t="inlineStr">
        <is>
          <t>Medical-Surgical</t>
        </is>
      </c>
      <c r="D91" t="inlineStr">
        <is>
          <t>Emergency Department</t>
        </is>
      </c>
      <c r="E91" s="31" t="n">
        <v>23466</v>
      </c>
      <c r="F91" s="32" t="n">
        <v>45732.25208333333</v>
      </c>
      <c r="G91" s="32" t="n">
        <v>45732.35416666666</v>
      </c>
      <c r="H91" s="32" t="n">
        <v>45735.63680555556</v>
      </c>
      <c r="I91" s="33" t="n"/>
      <c r="J91" s="34" t="n"/>
      <c r="K91" s="33" t="n"/>
      <c r="L91" s="33" t="n"/>
      <c r="M91" s="35" t="n"/>
    </row>
    <row r="92">
      <c r="A92" t="inlineStr">
        <is>
          <t>ENC113324</t>
        </is>
      </c>
      <c r="B92" t="inlineStr">
        <is>
          <t>PT13072</t>
        </is>
      </c>
      <c r="C92" t="inlineStr">
        <is>
          <t>Medical-Surgical</t>
        </is>
      </c>
      <c r="D92" t="inlineStr">
        <is>
          <t>Emergency Department</t>
        </is>
      </c>
      <c r="E92" s="31" t="n">
        <v>22048</v>
      </c>
      <c r="F92" s="32" t="n">
        <v>45732.7125</v>
      </c>
      <c r="G92" s="32" t="n">
        <v>45732.80347222222</v>
      </c>
      <c r="H92" s="32" t="n">
        <v>45739.74583333333</v>
      </c>
      <c r="I92" s="33" t="n"/>
      <c r="J92" s="34" t="n"/>
      <c r="K92" s="33" t="n"/>
      <c r="L92" s="33" t="n"/>
      <c r="M92" s="35" t="n"/>
    </row>
    <row r="93">
      <c r="A93" t="inlineStr">
        <is>
          <t>ENC113335</t>
        </is>
      </c>
      <c r="B93" t="inlineStr">
        <is>
          <t>PT12273</t>
        </is>
      </c>
      <c r="C93" t="inlineStr">
        <is>
          <t>Medical-Surgical</t>
        </is>
      </c>
      <c r="D93" t="inlineStr">
        <is>
          <t>Emergency Department</t>
        </is>
      </c>
      <c r="E93" s="31" t="n">
        <v>19505</v>
      </c>
      <c r="F93" s="32" t="n">
        <v>45733.03958333333</v>
      </c>
      <c r="G93" s="32" t="n">
        <v>45733.14861111111</v>
      </c>
      <c r="H93" s="32" t="n">
        <v>45736.55972222222</v>
      </c>
      <c r="I93" s="33" t="n"/>
      <c r="J93" s="34" t="n"/>
      <c r="K93" s="33" t="n"/>
      <c r="L93" s="33" t="n"/>
      <c r="M93" s="35" t="n"/>
    </row>
    <row r="94">
      <c r="A94" t="inlineStr">
        <is>
          <t>ENC113351</t>
        </is>
      </c>
      <c r="B94" t="inlineStr">
        <is>
          <t>PT11046</t>
        </is>
      </c>
      <c r="C94" t="inlineStr">
        <is>
          <t>Medical-Surgical</t>
        </is>
      </c>
      <c r="D94" t="inlineStr">
        <is>
          <t>Direct Admit</t>
        </is>
      </c>
      <c r="E94" s="31" t="n">
        <v>19770</v>
      </c>
      <c r="G94" s="32" t="n">
        <v>45733.64583333334</v>
      </c>
      <c r="H94" s="32" t="n">
        <v>45745.59027777778</v>
      </c>
      <c r="I94" s="33" t="n"/>
      <c r="J94" s="34" t="n"/>
      <c r="K94" s="33" t="n"/>
      <c r="L94" s="33" t="n"/>
      <c r="M94" s="35" t="n"/>
    </row>
    <row r="95">
      <c r="A95" t="inlineStr">
        <is>
          <t>ENC113363</t>
        </is>
      </c>
      <c r="B95" t="inlineStr">
        <is>
          <t>PT10700</t>
        </is>
      </c>
      <c r="C95" t="inlineStr">
        <is>
          <t>Medical-Surgical</t>
        </is>
      </c>
      <c r="D95" t="inlineStr">
        <is>
          <t>Emergency Department</t>
        </is>
      </c>
      <c r="E95" s="31" t="n">
        <v>16325</v>
      </c>
      <c r="F95" s="32" t="n">
        <v>45733.77083333334</v>
      </c>
      <c r="G95" s="32" t="n">
        <v>45733.90347222222</v>
      </c>
      <c r="H95" s="32" t="n">
        <v>45739.56388888889</v>
      </c>
      <c r="I95" s="33" t="n"/>
      <c r="J95" s="34" t="n"/>
      <c r="K95" s="33" t="n"/>
      <c r="L95" s="33" t="n"/>
      <c r="M95" s="35" t="n"/>
    </row>
    <row r="96">
      <c r="A96" t="inlineStr">
        <is>
          <t>ENC113365</t>
        </is>
      </c>
      <c r="B96" t="inlineStr">
        <is>
          <t>PT12904</t>
        </is>
      </c>
      <c r="C96" t="inlineStr">
        <is>
          <t>Intensive Care Unit</t>
        </is>
      </c>
      <c r="D96" t="inlineStr">
        <is>
          <t>Emergency Department</t>
        </is>
      </c>
      <c r="E96" s="31" t="n">
        <v>29502</v>
      </c>
      <c r="F96" s="32" t="n">
        <v>45733.85416666666</v>
      </c>
      <c r="G96" s="32" t="n">
        <v>45733.99652777778</v>
      </c>
      <c r="H96" s="32" t="n">
        <v>45749.72916666666</v>
      </c>
      <c r="I96" s="33" t="n"/>
      <c r="J96" s="34" t="n"/>
      <c r="K96" s="33" t="n"/>
      <c r="L96" s="33" t="n"/>
      <c r="M96" s="35" t="n"/>
    </row>
    <row r="97">
      <c r="A97" t="inlineStr">
        <is>
          <t>ENC113395</t>
        </is>
      </c>
      <c r="B97" t="inlineStr">
        <is>
          <t>PT10290</t>
        </is>
      </c>
      <c r="C97" t="inlineStr">
        <is>
          <t>Medical-Surgical</t>
        </is>
      </c>
      <c r="D97" t="inlineStr">
        <is>
          <t>Emergency Department</t>
        </is>
      </c>
      <c r="E97" s="31" t="n">
        <v>25268</v>
      </c>
      <c r="F97" s="32" t="n">
        <v>45734.57916666667</v>
      </c>
      <c r="G97" s="32" t="n">
        <v>45734.84513888889</v>
      </c>
      <c r="H97" s="32" t="n">
        <v>45739.51319444444</v>
      </c>
      <c r="I97" s="33" t="n"/>
      <c r="J97" s="34" t="n"/>
      <c r="K97" s="33" t="n"/>
      <c r="L97" s="33" t="n"/>
      <c r="M97" s="35" t="n"/>
    </row>
    <row r="98">
      <c r="A98" t="inlineStr">
        <is>
          <t>ENC113407</t>
        </is>
      </c>
      <c r="B98" t="inlineStr">
        <is>
          <t>PT11375</t>
        </is>
      </c>
      <c r="C98" t="inlineStr">
        <is>
          <t>Intensive Care Unit</t>
        </is>
      </c>
      <c r="D98" t="inlineStr">
        <is>
          <t>Emergency Department</t>
        </is>
      </c>
      <c r="E98" s="31" t="n">
        <v>18352</v>
      </c>
      <c r="F98" s="32" t="n">
        <v>45735.01388888889</v>
      </c>
      <c r="G98" s="32" t="n">
        <v>45735.12638888889</v>
      </c>
      <c r="H98" s="32" t="n">
        <v>45741.62638888889</v>
      </c>
      <c r="I98" s="33" t="n"/>
      <c r="J98" s="34" t="n"/>
      <c r="K98" s="33" t="n"/>
      <c r="L98" s="33" t="n"/>
      <c r="M98" s="35" t="n"/>
    </row>
    <row r="99">
      <c r="A99" t="inlineStr">
        <is>
          <t>ENC113427</t>
        </is>
      </c>
      <c r="B99" t="inlineStr">
        <is>
          <t>PT11661</t>
        </is>
      </c>
      <c r="C99" t="inlineStr">
        <is>
          <t>Labor &amp; Delivery</t>
        </is>
      </c>
      <c r="D99" t="inlineStr">
        <is>
          <t>Direct Admit</t>
        </is>
      </c>
      <c r="E99" s="31" t="n">
        <v>36729</v>
      </c>
      <c r="G99" s="32" t="n">
        <v>45735.64930555555</v>
      </c>
      <c r="H99" s="32" t="n">
        <v>45738.64583333334</v>
      </c>
      <c r="I99" s="33" t="n"/>
      <c r="J99" s="34" t="n"/>
      <c r="K99" s="33" t="n"/>
      <c r="L99" s="33" t="n"/>
      <c r="M99" s="35" t="n"/>
    </row>
    <row r="100">
      <c r="A100" t="inlineStr">
        <is>
          <t>ENC113488</t>
        </is>
      </c>
      <c r="B100" t="inlineStr">
        <is>
          <t>PT11326</t>
        </is>
      </c>
      <c r="C100" t="inlineStr">
        <is>
          <t>Medical-Surgical</t>
        </is>
      </c>
      <c r="D100" t="inlineStr">
        <is>
          <t>Emergency Department</t>
        </is>
      </c>
      <c r="E100" s="31" t="n">
        <v>18480</v>
      </c>
      <c r="F100" s="32" t="n">
        <v>45737.19513888889</v>
      </c>
      <c r="G100" s="32" t="n">
        <v>45737.2625</v>
      </c>
      <c r="H100" s="32" t="n">
        <v>45741.60416666666</v>
      </c>
      <c r="I100" s="33" t="n"/>
      <c r="J100" s="34" t="n"/>
      <c r="K100" s="33" t="n"/>
      <c r="L100" s="33" t="n"/>
      <c r="M100" s="35" t="n"/>
    </row>
    <row r="101">
      <c r="A101" t="inlineStr">
        <is>
          <t>ENC113495</t>
        </is>
      </c>
      <c r="B101" t="inlineStr">
        <is>
          <t>PT12273</t>
        </is>
      </c>
      <c r="C101" t="inlineStr">
        <is>
          <t>Medical-Surgical</t>
        </is>
      </c>
      <c r="D101" t="inlineStr">
        <is>
          <t>Direct Admit</t>
        </is>
      </c>
      <c r="E101" s="31" t="n">
        <v>19505</v>
      </c>
      <c r="G101" s="32" t="n">
        <v>45737.39583333334</v>
      </c>
      <c r="H101" s="32" t="n">
        <v>45742.82083333333</v>
      </c>
      <c r="I101" s="33" t="n"/>
      <c r="J101" s="34" t="n"/>
      <c r="K101" s="33" t="n"/>
      <c r="L101" s="33" t="n"/>
      <c r="M101" s="35" t="n"/>
    </row>
    <row r="102">
      <c r="A102" t="inlineStr">
        <is>
          <t>ENC113496</t>
        </is>
      </c>
      <c r="B102" t="inlineStr">
        <is>
          <t>PT10620</t>
        </is>
      </c>
      <c r="C102" t="inlineStr">
        <is>
          <t>Medical-Surgical</t>
        </is>
      </c>
      <c r="D102" t="inlineStr">
        <is>
          <t>Emergency Department</t>
        </is>
      </c>
      <c r="E102" s="31" t="n">
        <v>23831</v>
      </c>
      <c r="F102" s="32" t="n">
        <v>45737.40625</v>
      </c>
      <c r="G102" s="32" t="n">
        <v>45737.51666666667</v>
      </c>
      <c r="H102" s="32" t="n">
        <v>45741.51944444444</v>
      </c>
      <c r="I102" s="33" t="n"/>
      <c r="J102" s="34" t="n"/>
      <c r="K102" s="33" t="n"/>
      <c r="L102" s="33" t="n"/>
      <c r="M102" s="35" t="n"/>
    </row>
    <row r="103">
      <c r="A103" t="inlineStr">
        <is>
          <t>ENC113510</t>
        </is>
      </c>
      <c r="B103" t="inlineStr">
        <is>
          <t>PT13767</t>
        </is>
      </c>
      <c r="C103" t="inlineStr">
        <is>
          <t>Medical-Surgical</t>
        </is>
      </c>
      <c r="D103" t="inlineStr">
        <is>
          <t>Emergency Department</t>
        </is>
      </c>
      <c r="E103" s="31" t="n">
        <v>16459</v>
      </c>
      <c r="F103" s="32" t="n">
        <v>45737.58958333333</v>
      </c>
      <c r="G103" s="32" t="n">
        <v>45737.72916666666</v>
      </c>
      <c r="H103" s="32" t="n">
        <v>45741.64097222222</v>
      </c>
      <c r="I103" s="33" t="n"/>
      <c r="J103" s="34" t="n"/>
      <c r="K103" s="33" t="n"/>
      <c r="L103" s="33" t="n"/>
      <c r="M103" s="35" t="n"/>
    </row>
    <row r="104">
      <c r="A104" t="inlineStr">
        <is>
          <t>ENC113540</t>
        </is>
      </c>
      <c r="B104" t="inlineStr">
        <is>
          <t>PT12116</t>
        </is>
      </c>
      <c r="C104" t="inlineStr">
        <is>
          <t>Intensive Care Unit</t>
        </is>
      </c>
      <c r="D104" t="inlineStr">
        <is>
          <t>Emergency Department</t>
        </is>
      </c>
      <c r="E104" s="31" t="n">
        <v>22433</v>
      </c>
      <c r="F104" s="32" t="n">
        <v>45739.06041666667</v>
      </c>
      <c r="G104" s="32" t="n">
        <v>45739.19861111111</v>
      </c>
      <c r="H104" s="32" t="n">
        <v>45743.51041666666</v>
      </c>
      <c r="I104" s="33" t="n"/>
      <c r="J104" s="34" t="n"/>
      <c r="K104" s="33" t="n"/>
      <c r="L104" s="33" t="n"/>
      <c r="M104" s="35" t="n"/>
    </row>
    <row r="105">
      <c r="A105" t="inlineStr">
        <is>
          <t>ENC113621</t>
        </is>
      </c>
      <c r="B105" t="inlineStr">
        <is>
          <t>PT10544</t>
        </is>
      </c>
      <c r="C105" t="inlineStr">
        <is>
          <t>Labor &amp; Delivery</t>
        </is>
      </c>
      <c r="D105" t="inlineStr">
        <is>
          <t>Direct Admit</t>
        </is>
      </c>
      <c r="E105" s="31" t="n">
        <v>34789</v>
      </c>
      <c r="G105" s="32" t="n">
        <v>45741.54236111111</v>
      </c>
      <c r="H105" s="32" t="n">
        <v>45744.55416666667</v>
      </c>
      <c r="I105" s="33" t="n"/>
      <c r="J105" s="34" t="n"/>
      <c r="K105" s="33" t="n"/>
      <c r="L105" s="33" t="n"/>
      <c r="M105" s="35" t="n"/>
    </row>
    <row r="106">
      <c r="A106" t="inlineStr">
        <is>
          <t>ENC113662</t>
        </is>
      </c>
      <c r="B106" t="inlineStr">
        <is>
          <t>PT11159</t>
        </is>
      </c>
      <c r="C106" t="inlineStr">
        <is>
          <t>Intensive Care Unit</t>
        </is>
      </c>
      <c r="D106" t="inlineStr">
        <is>
          <t>Emergency Department</t>
        </is>
      </c>
      <c r="E106" s="31" t="n">
        <v>29162</v>
      </c>
      <c r="F106" s="32" t="n">
        <v>45742.69861111111</v>
      </c>
      <c r="G106" s="32" t="n">
        <v>45742.85486111111</v>
      </c>
      <c r="H106" s="32" t="n">
        <v>45750.81666666667</v>
      </c>
      <c r="I106" s="33" t="n"/>
      <c r="J106" s="34" t="n"/>
      <c r="K106" s="33" t="n"/>
      <c r="L106" s="33" t="n"/>
      <c r="M106" s="35" t="n"/>
    </row>
    <row r="107">
      <c r="A107" t="inlineStr">
        <is>
          <t>ENC113681</t>
        </is>
      </c>
      <c r="B107" t="inlineStr">
        <is>
          <t>PT13072</t>
        </is>
      </c>
      <c r="C107" t="inlineStr">
        <is>
          <t>Medical-Surgical</t>
        </is>
      </c>
      <c r="D107" t="inlineStr">
        <is>
          <t>Emergency Department</t>
        </is>
      </c>
      <c r="E107" s="31" t="n">
        <v>22048</v>
      </c>
      <c r="F107" s="32" t="n">
        <v>45743.45</v>
      </c>
      <c r="G107" s="32" t="n">
        <v>45743.53194444445</v>
      </c>
      <c r="H107" s="32" t="n">
        <v>45746.73611111111</v>
      </c>
      <c r="I107" s="33" t="n"/>
      <c r="J107" s="34" t="n"/>
      <c r="K107" s="33" t="n"/>
      <c r="L107" s="33" t="n"/>
      <c r="M107" s="35" t="n"/>
    </row>
    <row r="108">
      <c r="A108" t="inlineStr">
        <is>
          <t>ENC113750</t>
        </is>
      </c>
      <c r="B108" t="inlineStr">
        <is>
          <t>PT10925</t>
        </is>
      </c>
      <c r="C108" t="inlineStr">
        <is>
          <t>Medical-Surgical</t>
        </is>
      </c>
      <c r="D108" t="inlineStr">
        <is>
          <t>Emergency Department</t>
        </is>
      </c>
      <c r="E108" s="31" t="n">
        <v>32930</v>
      </c>
      <c r="F108" s="32" t="n">
        <v>45745.04027777778</v>
      </c>
      <c r="G108" s="32" t="n">
        <v>45745.12361111111</v>
      </c>
      <c r="H108" s="32" t="n">
        <v>45748.66111111111</v>
      </c>
      <c r="I108" s="33" t="n"/>
      <c r="J108" s="34" t="n"/>
      <c r="K108" s="33" t="n"/>
      <c r="L108" s="33" t="n"/>
      <c r="M108" s="35" t="n"/>
    </row>
    <row r="109">
      <c r="A109" t="inlineStr">
        <is>
          <t>ENC113770</t>
        </is>
      </c>
      <c r="B109" t="inlineStr">
        <is>
          <t>PT10434</t>
        </is>
      </c>
      <c r="C109" t="inlineStr">
        <is>
          <t>Medical-Surgical</t>
        </is>
      </c>
      <c r="D109" t="inlineStr">
        <is>
          <t>Emergency Department</t>
        </is>
      </c>
      <c r="E109" s="31" t="n">
        <v>18035</v>
      </c>
      <c r="F109" s="32" t="n">
        <v>45745.95763888889</v>
      </c>
      <c r="G109" s="32" t="n">
        <v>45746.0375</v>
      </c>
      <c r="H109" s="32" t="n">
        <v>45750.61527777778</v>
      </c>
      <c r="I109" s="33" t="n"/>
      <c r="J109" s="34" t="n"/>
      <c r="K109" s="33" t="n"/>
      <c r="L109" s="33" t="n"/>
      <c r="M109" s="35" t="n"/>
    </row>
    <row r="110">
      <c r="A110" t="inlineStr">
        <is>
          <t>ENC113777</t>
        </is>
      </c>
      <c r="B110" t="inlineStr">
        <is>
          <t>PT10429</t>
        </is>
      </c>
      <c r="C110" t="inlineStr">
        <is>
          <t>Medical-Surgical</t>
        </is>
      </c>
      <c r="D110" t="inlineStr">
        <is>
          <t>Emergency Department</t>
        </is>
      </c>
      <c r="E110" s="31" t="n">
        <v>18106</v>
      </c>
      <c r="F110" s="32" t="n">
        <v>45746.62986111111</v>
      </c>
      <c r="G110" s="32" t="n">
        <v>45746.75833333333</v>
      </c>
      <c r="H110" s="32" t="n">
        <v>45752.78055555555</v>
      </c>
      <c r="I110" s="33" t="n"/>
      <c r="J110" s="34" t="n"/>
      <c r="K110" s="33" t="n"/>
      <c r="L110" s="33" t="n"/>
      <c r="M110" s="35" t="n"/>
    </row>
    <row r="111">
      <c r="A111" t="inlineStr">
        <is>
          <t>ENC113816</t>
        </is>
      </c>
      <c r="B111" t="inlineStr">
        <is>
          <t>PT13838</t>
        </is>
      </c>
      <c r="C111" t="inlineStr">
        <is>
          <t>Medical-Surgical</t>
        </is>
      </c>
      <c r="D111" t="inlineStr">
        <is>
          <t>Emergency Department</t>
        </is>
      </c>
      <c r="E111" s="31" t="n">
        <v>34624</v>
      </c>
      <c r="F111" s="32" t="n">
        <v>45748.28541666667</v>
      </c>
      <c r="G111" s="32" t="n">
        <v>45748.40763888889</v>
      </c>
      <c r="H111" s="32" t="n">
        <v>45750.63263888889</v>
      </c>
      <c r="I111" s="33" t="n"/>
      <c r="J111" s="34" t="n"/>
      <c r="K111" s="33" t="n"/>
      <c r="L111" s="33" t="n"/>
      <c r="M111" s="35" t="n"/>
    </row>
    <row r="112">
      <c r="A112" t="inlineStr">
        <is>
          <t>ENC113845</t>
        </is>
      </c>
      <c r="B112" t="inlineStr">
        <is>
          <t>PT13941</t>
        </is>
      </c>
      <c r="C112" t="inlineStr">
        <is>
          <t>Medical-Surgical</t>
        </is>
      </c>
      <c r="D112" t="inlineStr">
        <is>
          <t>Emergency Department</t>
        </is>
      </c>
      <c r="E112" s="31" t="n">
        <v>23961</v>
      </c>
      <c r="F112" s="32" t="n">
        <v>45748.86805555555</v>
      </c>
      <c r="G112" s="32" t="n">
        <v>45748.97916666666</v>
      </c>
      <c r="H112" s="32" t="n">
        <v>45751.69444444445</v>
      </c>
      <c r="I112" s="33" t="n"/>
      <c r="J112" s="34" t="n"/>
      <c r="K112" s="33" t="n"/>
      <c r="L112" s="33" t="n"/>
      <c r="M112" s="35" t="n"/>
    </row>
    <row r="113">
      <c r="A113" t="inlineStr">
        <is>
          <t>ENC113855</t>
        </is>
      </c>
      <c r="B113" t="inlineStr">
        <is>
          <t>PT12671</t>
        </is>
      </c>
      <c r="C113" t="inlineStr">
        <is>
          <t>Medical-Surgical</t>
        </is>
      </c>
      <c r="D113" t="inlineStr">
        <is>
          <t>Emergency Department</t>
        </is>
      </c>
      <c r="E113" s="31" t="n">
        <v>23439</v>
      </c>
      <c r="F113" s="32" t="n">
        <v>45749.40902777778</v>
      </c>
      <c r="G113" s="32" t="n">
        <v>45749.5</v>
      </c>
      <c r="H113" s="32" t="n">
        <v>45754.59652777778</v>
      </c>
      <c r="I113" s="33" t="n"/>
      <c r="J113" s="34" t="n"/>
      <c r="K113" s="33" t="n"/>
      <c r="L113" s="33" t="n"/>
      <c r="M113" s="35" t="n"/>
    </row>
    <row r="114">
      <c r="A114" t="inlineStr">
        <is>
          <t>ENC113848</t>
        </is>
      </c>
      <c r="B114" t="inlineStr">
        <is>
          <t>PT11018</t>
        </is>
      </c>
      <c r="C114" t="inlineStr">
        <is>
          <t>Medical-Surgical</t>
        </is>
      </c>
      <c r="D114" t="inlineStr">
        <is>
          <t>Emergency Department</t>
        </is>
      </c>
      <c r="E114" s="31" t="n">
        <v>22440</v>
      </c>
      <c r="F114" s="32" t="n">
        <v>45749.32986111111</v>
      </c>
      <c r="G114" s="32" t="n">
        <v>45749.50069444445</v>
      </c>
      <c r="H114" s="32" t="n">
        <v>45752.67847222222</v>
      </c>
      <c r="I114" s="33" t="n"/>
      <c r="J114" s="34" t="n"/>
      <c r="K114" s="33" t="n"/>
      <c r="L114" s="33" t="n"/>
      <c r="M114" s="35" t="n"/>
    </row>
    <row r="115">
      <c r="A115" t="inlineStr">
        <is>
          <t>ENC113882</t>
        </is>
      </c>
      <c r="B115" t="inlineStr">
        <is>
          <t>PT10898</t>
        </is>
      </c>
      <c r="C115" t="inlineStr">
        <is>
          <t>Medical-Surgical</t>
        </is>
      </c>
      <c r="D115" t="inlineStr">
        <is>
          <t>Emergency Department</t>
        </is>
      </c>
      <c r="E115" s="31" t="n">
        <v>22109</v>
      </c>
      <c r="F115" s="32" t="n">
        <v>45750.01041666666</v>
      </c>
      <c r="G115" s="32" t="n">
        <v>45750.09027777778</v>
      </c>
      <c r="H115" s="32" t="n">
        <v>45752.45694444444</v>
      </c>
      <c r="I115" s="33" t="n"/>
      <c r="J115" s="34" t="n"/>
      <c r="K115" s="33" t="n"/>
      <c r="L115" s="33" t="n"/>
      <c r="M115" s="35" t="n"/>
    </row>
    <row r="116">
      <c r="A116" t="inlineStr">
        <is>
          <t>ENC113887</t>
        </is>
      </c>
      <c r="B116" t="inlineStr">
        <is>
          <t>PT12564</t>
        </is>
      </c>
      <c r="C116" t="inlineStr">
        <is>
          <t>Labor &amp; Delivery</t>
        </is>
      </c>
      <c r="D116" t="inlineStr">
        <is>
          <t>Direct Admit</t>
        </is>
      </c>
      <c r="E116" s="31" t="n">
        <v>33801</v>
      </c>
      <c r="G116" s="32" t="n">
        <v>45750.25555555556</v>
      </c>
      <c r="H116" s="32" t="n">
        <v>45751.63611111111</v>
      </c>
      <c r="I116" s="33" t="n"/>
      <c r="J116" s="34" t="n"/>
      <c r="K116" s="33" t="n"/>
      <c r="L116" s="33" t="n"/>
      <c r="M116" s="35" t="n"/>
    </row>
    <row r="117">
      <c r="A117" t="inlineStr">
        <is>
          <t>ENC113946</t>
        </is>
      </c>
      <c r="B117" t="inlineStr">
        <is>
          <t>PT12177</t>
        </is>
      </c>
      <c r="C117" t="inlineStr">
        <is>
          <t>Medical-Surgical</t>
        </is>
      </c>
      <c r="D117" t="inlineStr">
        <is>
          <t>Direct Admit</t>
        </is>
      </c>
      <c r="E117" s="31" t="n">
        <v>26779</v>
      </c>
      <c r="G117" s="32" t="n">
        <v>45752.34305555555</v>
      </c>
      <c r="H117" s="32" t="n">
        <v>45754.66736111111</v>
      </c>
      <c r="I117" s="33" t="n"/>
      <c r="J117" s="34" t="n"/>
      <c r="K117" s="33" t="n"/>
      <c r="L117" s="33" t="n"/>
      <c r="M117" s="35" t="n"/>
    </row>
    <row r="118">
      <c r="A118" t="inlineStr">
        <is>
          <t>ENC113964</t>
        </is>
      </c>
      <c r="B118" t="inlineStr">
        <is>
          <t>PT12408</t>
        </is>
      </c>
      <c r="C118" t="inlineStr">
        <is>
          <t>Medical-Surgical</t>
        </is>
      </c>
      <c r="D118" t="inlineStr">
        <is>
          <t>Transfer</t>
        </is>
      </c>
      <c r="E118" s="31" t="n">
        <v>33156</v>
      </c>
      <c r="G118" s="32" t="n">
        <v>45753.35069444445</v>
      </c>
      <c r="H118" s="32" t="n">
        <v>45765.60833333333</v>
      </c>
      <c r="I118" s="33" t="n"/>
      <c r="J118" s="34" t="n"/>
      <c r="K118" s="33" t="n"/>
      <c r="L118" s="33" t="n"/>
      <c r="M118" s="35" t="n"/>
    </row>
    <row r="119">
      <c r="A119" t="inlineStr">
        <is>
          <t>ENC113968</t>
        </is>
      </c>
      <c r="B119" t="inlineStr">
        <is>
          <t>PT12533</t>
        </is>
      </c>
      <c r="C119" t="inlineStr">
        <is>
          <t>Medical-Surgical</t>
        </is>
      </c>
      <c r="D119" t="inlineStr">
        <is>
          <t>Emergency Department</t>
        </is>
      </c>
      <c r="E119" s="31" t="n">
        <v>23637</v>
      </c>
      <c r="F119" s="32" t="n">
        <v>45753.44861111111</v>
      </c>
      <c r="G119" s="32" t="n">
        <v>45753.57916666667</v>
      </c>
      <c r="H119" s="32" t="n">
        <v>45758.58958333333</v>
      </c>
      <c r="I119" s="33" t="n"/>
      <c r="J119" s="34" t="n"/>
      <c r="K119" s="33" t="n"/>
      <c r="L119" s="33" t="n"/>
      <c r="M119" s="35" t="n"/>
    </row>
    <row r="120">
      <c r="A120" t="inlineStr">
        <is>
          <t>ENC114053</t>
        </is>
      </c>
      <c r="B120" t="inlineStr">
        <is>
          <t>PT10889</t>
        </is>
      </c>
      <c r="C120" t="inlineStr">
        <is>
          <t>Medical-Surgical</t>
        </is>
      </c>
      <c r="D120" t="inlineStr">
        <is>
          <t>Emergency Department</t>
        </is>
      </c>
      <c r="E120" s="31" t="n">
        <v>25440</v>
      </c>
      <c r="F120" s="32" t="n">
        <v>45756.59444444445</v>
      </c>
      <c r="G120" s="32" t="n">
        <v>45756.75486111111</v>
      </c>
      <c r="H120" s="32" t="n">
        <v>45760.49861111111</v>
      </c>
      <c r="I120" s="33" t="n"/>
      <c r="J120" s="34" t="n"/>
      <c r="K120" s="33" t="n"/>
      <c r="L120" s="33" t="n"/>
      <c r="M120" s="35" t="n"/>
    </row>
    <row r="121">
      <c r="A121" t="inlineStr">
        <is>
          <t>ENC114094</t>
        </is>
      </c>
      <c r="B121" t="inlineStr">
        <is>
          <t>PT12230</t>
        </is>
      </c>
      <c r="C121" t="inlineStr">
        <is>
          <t>Medical-Surgical</t>
        </is>
      </c>
      <c r="D121" t="inlineStr">
        <is>
          <t>Emergency Department</t>
        </is>
      </c>
      <c r="E121" s="31" t="n">
        <v>16882</v>
      </c>
      <c r="F121" s="32" t="n">
        <v>45757.82361111111</v>
      </c>
      <c r="G121" s="32" t="n">
        <v>45757.98680555556</v>
      </c>
      <c r="H121" s="32" t="n">
        <v>45761.80138888889</v>
      </c>
      <c r="I121" s="33" t="n"/>
      <c r="J121" s="34" t="n"/>
      <c r="K121" s="33" t="n"/>
      <c r="L121" s="33" t="n"/>
      <c r="M121" s="35" t="n"/>
    </row>
    <row r="122">
      <c r="A122" t="inlineStr">
        <is>
          <t>ENC114095</t>
        </is>
      </c>
      <c r="B122" t="inlineStr">
        <is>
          <t>PT10221</t>
        </is>
      </c>
      <c r="C122" t="inlineStr">
        <is>
          <t>Medical-Surgical</t>
        </is>
      </c>
      <c r="D122" t="inlineStr">
        <is>
          <t>Emergency Department</t>
        </is>
      </c>
      <c r="E122" s="31" t="n">
        <v>33928</v>
      </c>
      <c r="F122" s="32" t="n">
        <v>45757.96944444445</v>
      </c>
      <c r="G122" s="32" t="n">
        <v>45758.06805555556</v>
      </c>
      <c r="H122" s="32" t="n">
        <v>45762.52916666667</v>
      </c>
      <c r="I122" s="33" t="n"/>
      <c r="J122" s="34" t="n"/>
      <c r="K122" s="33" t="n"/>
      <c r="L122" s="33" t="n"/>
      <c r="M122" s="35" t="n"/>
    </row>
    <row r="123">
      <c r="A123" t="inlineStr">
        <is>
          <t>ENC114102</t>
        </is>
      </c>
      <c r="B123" t="inlineStr">
        <is>
          <t>PT11549</t>
        </is>
      </c>
      <c r="C123" t="inlineStr">
        <is>
          <t>Medical-Surgical</t>
        </is>
      </c>
      <c r="D123" t="inlineStr">
        <is>
          <t>Emergency Department</t>
        </is>
      </c>
      <c r="E123" s="31" t="n">
        <v>21056</v>
      </c>
      <c r="F123" s="32" t="n">
        <v>45758.34444444445</v>
      </c>
      <c r="G123" s="32" t="n">
        <v>45758.44583333333</v>
      </c>
      <c r="H123" s="32" t="n">
        <v>45761.57013888889</v>
      </c>
      <c r="I123" s="33" t="n"/>
      <c r="J123" s="34" t="n"/>
      <c r="K123" s="33" t="n"/>
      <c r="L123" s="33" t="n"/>
      <c r="M123" s="35" t="n"/>
    </row>
    <row r="124">
      <c r="A124" t="inlineStr">
        <is>
          <t>ENC114115</t>
        </is>
      </c>
      <c r="B124" t="inlineStr">
        <is>
          <t>PT13918</t>
        </is>
      </c>
      <c r="C124" t="inlineStr">
        <is>
          <t>Medical-Surgical</t>
        </is>
      </c>
      <c r="D124" t="inlineStr">
        <is>
          <t>Emergency Department</t>
        </is>
      </c>
      <c r="E124" s="31" t="n">
        <v>10830</v>
      </c>
      <c r="F124" s="32" t="n">
        <v>45758.47916666666</v>
      </c>
      <c r="G124" s="32" t="n">
        <v>45758.57291666666</v>
      </c>
      <c r="H124" s="32" t="n">
        <v>45764.65555555555</v>
      </c>
      <c r="I124" s="33" t="n"/>
      <c r="J124" s="34" t="n"/>
      <c r="K124" s="33" t="n"/>
      <c r="L124" s="33" t="n"/>
      <c r="M124" s="35" t="n"/>
    </row>
    <row r="125">
      <c r="A125" t="inlineStr">
        <is>
          <t>ENC114148</t>
        </is>
      </c>
      <c r="B125" t="inlineStr">
        <is>
          <t>PT12874</t>
        </is>
      </c>
      <c r="C125" t="inlineStr">
        <is>
          <t>Intensive Care Unit</t>
        </is>
      </c>
      <c r="D125" t="inlineStr">
        <is>
          <t>Emergency Department</t>
        </is>
      </c>
      <c r="E125" s="31" t="n">
        <v>33358</v>
      </c>
      <c r="F125" s="32" t="n">
        <v>45760.30625</v>
      </c>
      <c r="G125" s="32" t="n">
        <v>45760.46875</v>
      </c>
      <c r="H125" s="32" t="n">
        <v>45764.55208333334</v>
      </c>
      <c r="I125" s="33" t="n"/>
      <c r="J125" s="34" t="n"/>
      <c r="K125" s="33" t="n"/>
      <c r="L125" s="33" t="n"/>
      <c r="M125" s="35" t="n"/>
    </row>
    <row r="126">
      <c r="A126" t="inlineStr">
        <is>
          <t>ENC114150</t>
        </is>
      </c>
      <c r="B126" t="inlineStr">
        <is>
          <t>PT10876</t>
        </is>
      </c>
      <c r="C126" t="inlineStr">
        <is>
          <t>Medical-Surgical</t>
        </is>
      </c>
      <c r="D126" t="inlineStr">
        <is>
          <t>Emergency Department</t>
        </is>
      </c>
      <c r="E126" s="31" t="n">
        <v>26178</v>
      </c>
      <c r="F126" s="32" t="n">
        <v>45760.43194444444</v>
      </c>
      <c r="G126" s="32" t="n">
        <v>45760.525</v>
      </c>
      <c r="H126" s="32" t="n">
        <v>45763.59513888889</v>
      </c>
      <c r="I126" s="33" t="n"/>
      <c r="J126" s="34" t="n"/>
      <c r="K126" s="33" t="n"/>
      <c r="L126" s="33" t="n"/>
      <c r="M126" s="35" t="n"/>
    </row>
    <row r="127">
      <c r="A127" t="inlineStr">
        <is>
          <t>ENC114238</t>
        </is>
      </c>
      <c r="B127" t="inlineStr">
        <is>
          <t>PT10868</t>
        </is>
      </c>
      <c r="C127" t="inlineStr">
        <is>
          <t>Medical-Surgical</t>
        </is>
      </c>
      <c r="D127" t="inlineStr">
        <is>
          <t>Emergency Department</t>
        </is>
      </c>
      <c r="E127" s="31" t="n">
        <v>35906</v>
      </c>
      <c r="F127" s="32" t="n">
        <v>45763.45208333333</v>
      </c>
      <c r="G127" s="32" t="n">
        <v>45763.625</v>
      </c>
      <c r="H127" s="32" t="n">
        <v>45765.61041666667</v>
      </c>
      <c r="I127" s="33" t="n"/>
      <c r="J127" s="34" t="n"/>
      <c r="K127" s="33" t="n"/>
      <c r="L127" s="33" t="n"/>
      <c r="M127" s="35" t="n"/>
    </row>
    <row r="128">
      <c r="A128" t="inlineStr">
        <is>
          <t>ENC114244</t>
        </is>
      </c>
      <c r="B128" t="inlineStr">
        <is>
          <t>PT12197</t>
        </is>
      </c>
      <c r="C128" t="inlineStr">
        <is>
          <t>Intensive Care Unit</t>
        </is>
      </c>
      <c r="D128" t="inlineStr">
        <is>
          <t>Emergency Department</t>
        </is>
      </c>
      <c r="E128" s="31" t="n">
        <v>30180</v>
      </c>
      <c r="F128" s="32" t="n">
        <v>45763.50972222222</v>
      </c>
      <c r="G128" s="32" t="n">
        <v>45763.64305555556</v>
      </c>
      <c r="H128" s="32" t="n">
        <v>45767.56736111111</v>
      </c>
      <c r="I128" s="33" t="n"/>
      <c r="J128" s="34" t="n"/>
      <c r="K128" s="33" t="n"/>
      <c r="L128" s="33" t="n"/>
      <c r="M128" s="35" t="n"/>
    </row>
    <row r="129">
      <c r="A129" t="inlineStr">
        <is>
          <t>ENC114263</t>
        </is>
      </c>
      <c r="B129" t="inlineStr">
        <is>
          <t>PT10169</t>
        </is>
      </c>
      <c r="C129" t="inlineStr">
        <is>
          <t>Medical-Surgical</t>
        </is>
      </c>
      <c r="D129" t="inlineStr">
        <is>
          <t>Emergency Department</t>
        </is>
      </c>
      <c r="E129" s="31" t="n">
        <v>20924</v>
      </c>
      <c r="F129" s="32" t="n">
        <v>45763.93541666667</v>
      </c>
      <c r="G129" s="32" t="n">
        <v>45764.04236111111</v>
      </c>
      <c r="H129" s="32" t="n">
        <v>45770.66527777778</v>
      </c>
      <c r="I129" s="33" t="n"/>
      <c r="J129" s="34" t="n"/>
      <c r="K129" s="33" t="n"/>
      <c r="L129" s="33" t="n"/>
      <c r="M129" s="35" t="n"/>
    </row>
    <row r="130">
      <c r="A130" t="inlineStr">
        <is>
          <t>ENC114266</t>
        </is>
      </c>
      <c r="B130" t="inlineStr">
        <is>
          <t>PT12298</t>
        </is>
      </c>
      <c r="C130" t="inlineStr">
        <is>
          <t>Labor &amp; Delivery</t>
        </is>
      </c>
      <c r="D130" t="inlineStr">
        <is>
          <t>Direct Admit</t>
        </is>
      </c>
      <c r="E130" s="31" t="n">
        <v>37351</v>
      </c>
      <c r="G130" s="32" t="n">
        <v>45764.125</v>
      </c>
      <c r="H130" s="32" t="n">
        <v>45765.57708333333</v>
      </c>
      <c r="I130" s="33" t="n"/>
      <c r="J130" s="34" t="n"/>
      <c r="K130" s="33" t="n"/>
      <c r="L130" s="33" t="n"/>
      <c r="M130" s="35" t="n"/>
    </row>
    <row r="131">
      <c r="A131" t="inlineStr">
        <is>
          <t>ENC114364</t>
        </is>
      </c>
      <c r="B131" t="inlineStr">
        <is>
          <t>PT11050</t>
        </is>
      </c>
      <c r="C131" t="inlineStr">
        <is>
          <t>Medical-Surgical</t>
        </is>
      </c>
      <c r="D131" t="inlineStr">
        <is>
          <t>Emergency Department</t>
        </is>
      </c>
      <c r="E131" s="31" t="n">
        <v>27084</v>
      </c>
      <c r="F131" s="32" t="n">
        <v>45767.80138888889</v>
      </c>
      <c r="G131" s="32" t="n">
        <v>45767.89097222222</v>
      </c>
      <c r="H131" s="32" t="n">
        <v>45770.61180555556</v>
      </c>
      <c r="I131" s="33" t="n"/>
      <c r="J131" s="34" t="n"/>
      <c r="K131" s="33" t="n"/>
      <c r="L131" s="33" t="n"/>
      <c r="M131" s="35" t="n"/>
    </row>
    <row r="132">
      <c r="A132" t="inlineStr">
        <is>
          <t>ENC114471</t>
        </is>
      </c>
      <c r="B132" t="inlineStr">
        <is>
          <t>PT11159</t>
        </is>
      </c>
      <c r="C132" t="inlineStr">
        <is>
          <t>Intensive Care Unit</t>
        </is>
      </c>
      <c r="D132" t="inlineStr">
        <is>
          <t>Emergency Department</t>
        </is>
      </c>
      <c r="E132" s="31" t="n">
        <v>29162</v>
      </c>
      <c r="F132" s="32" t="n">
        <v>45770.84791666667</v>
      </c>
      <c r="G132" s="32" t="n">
        <v>45771.00625</v>
      </c>
      <c r="H132" s="32" t="n">
        <v>45778.54861111111</v>
      </c>
      <c r="I132" s="33" t="n"/>
      <c r="J132" s="34" t="n"/>
      <c r="K132" s="33" t="n"/>
      <c r="L132" s="33" t="n"/>
      <c r="M132" s="35" t="n"/>
    </row>
    <row r="133">
      <c r="A133" t="inlineStr">
        <is>
          <t>ENC114527</t>
        </is>
      </c>
      <c r="B133" t="inlineStr">
        <is>
          <t>PT11498</t>
        </is>
      </c>
      <c r="C133" t="inlineStr">
        <is>
          <t>Medical-Surgical</t>
        </is>
      </c>
      <c r="D133" t="inlineStr">
        <is>
          <t>Direct Admit</t>
        </is>
      </c>
      <c r="E133" s="31" t="n">
        <v>32688</v>
      </c>
      <c r="G133" s="32" t="n">
        <v>45772.64097222222</v>
      </c>
      <c r="H133" s="32" t="n">
        <v>45777.67847222222</v>
      </c>
      <c r="I133" s="33" t="n"/>
      <c r="J133" s="34" t="n"/>
      <c r="K133" s="33" t="n"/>
      <c r="L133" s="33" t="n"/>
      <c r="M133" s="35" t="n"/>
    </row>
    <row r="134">
      <c r="A134" t="inlineStr">
        <is>
          <t>ENC114564</t>
        </is>
      </c>
      <c r="B134" t="inlineStr">
        <is>
          <t>PT12761</t>
        </is>
      </c>
      <c r="C134" t="inlineStr">
        <is>
          <t>Medical-Surgical</t>
        </is>
      </c>
      <c r="D134" t="inlineStr">
        <is>
          <t>Emergency Department</t>
        </is>
      </c>
      <c r="E134" s="31" t="n">
        <v>26358</v>
      </c>
      <c r="F134" s="32" t="n">
        <v>45775.21666666667</v>
      </c>
      <c r="G134" s="32" t="n">
        <v>45775.31388888889</v>
      </c>
      <c r="H134" s="32" t="n">
        <v>45778.64097222222</v>
      </c>
      <c r="I134" s="33" t="n"/>
      <c r="J134" s="34" t="n"/>
      <c r="K134" s="33" t="n"/>
      <c r="L134" s="33" t="n"/>
      <c r="M134" s="35" t="n"/>
    </row>
    <row r="135">
      <c r="A135" t="inlineStr">
        <is>
          <t>ENC114611</t>
        </is>
      </c>
      <c r="B135" t="inlineStr">
        <is>
          <t>PT12612</t>
        </is>
      </c>
      <c r="C135" t="inlineStr">
        <is>
          <t>Medical-Surgical</t>
        </is>
      </c>
      <c r="D135" t="inlineStr">
        <is>
          <t>Emergency Department</t>
        </is>
      </c>
      <c r="E135" s="31" t="n">
        <v>33701</v>
      </c>
      <c r="F135" s="32" t="n">
        <v>45776.93263888889</v>
      </c>
      <c r="G135" s="32" t="n">
        <v>45777.09930555556</v>
      </c>
      <c r="H135" s="32" t="n">
        <v>45780.57361111111</v>
      </c>
      <c r="I135" s="33" t="n"/>
      <c r="J135" s="34" t="n"/>
      <c r="K135" s="33" t="n"/>
      <c r="L135" s="33" t="n"/>
      <c r="M135" s="35" t="n"/>
    </row>
    <row r="136">
      <c r="A136" t="inlineStr">
        <is>
          <t>ENC114640</t>
        </is>
      </c>
      <c r="B136" t="inlineStr">
        <is>
          <t>PT11001</t>
        </is>
      </c>
      <c r="C136" t="inlineStr">
        <is>
          <t>Medical-Surgical</t>
        </is>
      </c>
      <c r="D136" t="inlineStr">
        <is>
          <t>Direct Admit</t>
        </is>
      </c>
      <c r="E136" s="31" t="n">
        <v>24314</v>
      </c>
      <c r="G136" s="32" t="n">
        <v>45777.83263888889</v>
      </c>
      <c r="H136" s="32" t="n">
        <v>45780.41736111111</v>
      </c>
      <c r="I136" s="33" t="n"/>
      <c r="J136" s="34" t="n"/>
      <c r="K136" s="33" t="n"/>
      <c r="L136" s="33" t="n"/>
      <c r="M136" s="35" t="n"/>
    </row>
    <row r="137">
      <c r="A137" t="inlineStr">
        <is>
          <t>ENC114641</t>
        </is>
      </c>
      <c r="B137" t="inlineStr">
        <is>
          <t>PT10079</t>
        </is>
      </c>
      <c r="C137" t="inlineStr">
        <is>
          <t>Medical-Surgical</t>
        </is>
      </c>
      <c r="D137" t="inlineStr">
        <is>
          <t>Direct Admit</t>
        </is>
      </c>
      <c r="E137" s="31" t="n">
        <v>26413</v>
      </c>
      <c r="G137" s="32" t="n">
        <v>45777.89236111111</v>
      </c>
      <c r="H137" s="32" t="n">
        <v>45780.77916666667</v>
      </c>
      <c r="I137" s="33" t="n"/>
      <c r="J137" s="34" t="n"/>
      <c r="K137" s="33" t="n"/>
      <c r="L137" s="33" t="n"/>
      <c r="M137" s="35" t="n"/>
    </row>
    <row r="138">
      <c r="A138" t="inlineStr">
        <is>
          <t>ENC114648</t>
        </is>
      </c>
      <c r="B138" t="inlineStr">
        <is>
          <t>PT11215</t>
        </is>
      </c>
      <c r="C138" t="inlineStr">
        <is>
          <t>Intensive Care Unit</t>
        </is>
      </c>
      <c r="D138" t="inlineStr">
        <is>
          <t>Emergency Department</t>
        </is>
      </c>
      <c r="E138" s="31" t="n">
        <v>38735</v>
      </c>
      <c r="F138" s="32" t="n">
        <v>45778.23194444444</v>
      </c>
      <c r="G138" s="32" t="n">
        <v>45778.3125</v>
      </c>
      <c r="H138" s="32" t="n">
        <v>45791.51736111111</v>
      </c>
      <c r="I138" s="33" t="n"/>
      <c r="J138" s="34" t="n"/>
      <c r="K138" s="33" t="n"/>
      <c r="L138" s="33" t="n"/>
      <c r="M138" s="35" t="n"/>
    </row>
    <row r="139">
      <c r="A139" t="inlineStr">
        <is>
          <t>ENC114708</t>
        </is>
      </c>
      <c r="B139" t="inlineStr">
        <is>
          <t>PT11833</t>
        </is>
      </c>
      <c r="C139" t="inlineStr">
        <is>
          <t>Medical-Surgical</t>
        </is>
      </c>
      <c r="D139" t="inlineStr">
        <is>
          <t>Emergency Department</t>
        </is>
      </c>
      <c r="E139" s="31" t="n">
        <v>23954</v>
      </c>
      <c r="F139" s="32" t="n">
        <v>45779.59097222222</v>
      </c>
      <c r="G139" s="32" t="n">
        <v>45779.76388888889</v>
      </c>
      <c r="H139" s="32" t="n">
        <v>45781.66041666667</v>
      </c>
      <c r="I139" s="33" t="n"/>
      <c r="J139" s="34" t="n"/>
      <c r="K139" s="33" t="n"/>
      <c r="L139" s="33" t="n"/>
      <c r="M139" s="35" t="n"/>
    </row>
    <row r="140">
      <c r="A140" t="inlineStr">
        <is>
          <t>ENC114727</t>
        </is>
      </c>
      <c r="B140" t="inlineStr">
        <is>
          <t>PT13199</t>
        </is>
      </c>
      <c r="C140" t="inlineStr">
        <is>
          <t>Labor &amp; Delivery</t>
        </is>
      </c>
      <c r="D140" t="inlineStr">
        <is>
          <t>Emergency Department</t>
        </is>
      </c>
      <c r="E140" s="31" t="n">
        <v>37358</v>
      </c>
      <c r="F140" s="32" t="n">
        <v>45780.82986111111</v>
      </c>
      <c r="G140" s="32" t="n">
        <v>45780.97361111111</v>
      </c>
      <c r="H140" s="32" t="n">
        <v>45782.37291666667</v>
      </c>
      <c r="I140" s="33" t="n"/>
      <c r="J140" s="34" t="n"/>
      <c r="K140" s="33" t="n"/>
      <c r="L140" s="33" t="n"/>
      <c r="M140" s="35" t="n"/>
    </row>
    <row r="141">
      <c r="A141" t="inlineStr">
        <is>
          <t>ENC114739</t>
        </is>
      </c>
      <c r="B141" t="inlineStr">
        <is>
          <t>PT11498</t>
        </is>
      </c>
      <c r="C141" t="inlineStr">
        <is>
          <t>Medical-Surgical</t>
        </is>
      </c>
      <c r="D141" t="inlineStr">
        <is>
          <t>Emergency Department</t>
        </is>
      </c>
      <c r="E141" s="31" t="n">
        <v>32688</v>
      </c>
      <c r="F141" s="32" t="n">
        <v>45781.56944444445</v>
      </c>
      <c r="G141" s="32" t="n">
        <v>45781.68888888889</v>
      </c>
      <c r="H141" s="32" t="n">
        <v>45787.50138888889</v>
      </c>
      <c r="I141" s="33" t="n"/>
      <c r="J141" s="34" t="n"/>
      <c r="K141" s="33" t="n"/>
      <c r="L141" s="33" t="n"/>
      <c r="M141" s="35" t="n"/>
    </row>
    <row r="142">
      <c r="A142" t="inlineStr">
        <is>
          <t>ENC114748</t>
        </is>
      </c>
      <c r="B142" t="inlineStr">
        <is>
          <t>PT13078</t>
        </is>
      </c>
      <c r="C142" t="inlineStr">
        <is>
          <t>Labor &amp; Delivery</t>
        </is>
      </c>
      <c r="D142" t="inlineStr">
        <is>
          <t>Direct Admit</t>
        </is>
      </c>
      <c r="E142" s="31" t="n">
        <v>37620</v>
      </c>
      <c r="G142" s="32" t="n">
        <v>45781.92361111111</v>
      </c>
      <c r="H142" s="32" t="n">
        <v>45783.48333333333</v>
      </c>
      <c r="I142" s="33" t="n"/>
      <c r="J142" s="34" t="n"/>
      <c r="K142" s="33" t="n"/>
      <c r="L142" s="33" t="n"/>
      <c r="M142" s="35" t="n"/>
    </row>
    <row r="143">
      <c r="A143" t="inlineStr">
        <is>
          <t>ENC114783</t>
        </is>
      </c>
      <c r="B143" t="inlineStr">
        <is>
          <t>PT10401</t>
        </is>
      </c>
      <c r="C143" t="inlineStr">
        <is>
          <t>Medical-Surgical</t>
        </is>
      </c>
      <c r="D143" t="inlineStr">
        <is>
          <t>Emergency Department</t>
        </is>
      </c>
      <c r="E143" s="31" t="n">
        <v>36375</v>
      </c>
      <c r="F143" s="32" t="n">
        <v>45782.65347222222</v>
      </c>
      <c r="G143" s="32" t="n">
        <v>45782.83055555556</v>
      </c>
      <c r="H143" s="32" t="n">
        <v>45788.63333333333</v>
      </c>
      <c r="I143" s="33" t="n"/>
      <c r="J143" s="34" t="n"/>
      <c r="K143" s="33" t="n"/>
      <c r="L143" s="33" t="n"/>
      <c r="M143" s="35" t="n"/>
    </row>
    <row r="144">
      <c r="A144" t="inlineStr">
        <is>
          <t>ENC114800</t>
        </is>
      </c>
      <c r="B144" t="inlineStr">
        <is>
          <t>PT11952</t>
        </is>
      </c>
      <c r="C144" t="inlineStr">
        <is>
          <t>Medical-Surgical</t>
        </is>
      </c>
      <c r="D144" t="inlineStr">
        <is>
          <t>Emergency Department</t>
        </is>
      </c>
      <c r="E144" s="31" t="n">
        <v>18313</v>
      </c>
      <c r="F144" s="32" t="n">
        <v>45783.02430555555</v>
      </c>
      <c r="G144" s="32" t="n">
        <v>45783.12222222222</v>
      </c>
      <c r="H144" s="32" t="n">
        <v>45789.64236111111</v>
      </c>
      <c r="I144" s="33" t="n"/>
      <c r="J144" s="34" t="n"/>
      <c r="K144" s="33" t="n"/>
      <c r="L144" s="33" t="n"/>
      <c r="M144" s="35" t="n"/>
    </row>
    <row r="145">
      <c r="A145" t="inlineStr">
        <is>
          <t>ENC114842</t>
        </is>
      </c>
      <c r="B145" t="inlineStr">
        <is>
          <t>PT13380</t>
        </is>
      </c>
      <c r="C145" t="inlineStr">
        <is>
          <t>Medical-Surgical</t>
        </is>
      </c>
      <c r="D145" t="inlineStr">
        <is>
          <t>Emergency Department</t>
        </is>
      </c>
      <c r="E145" s="31" t="n">
        <v>26761</v>
      </c>
      <c r="F145" s="32" t="n">
        <v>45784.29930555556</v>
      </c>
      <c r="G145" s="32" t="n">
        <v>45784.42986111111</v>
      </c>
      <c r="H145" s="32" t="n">
        <v>45791.52569444444</v>
      </c>
      <c r="I145" s="33" t="n"/>
      <c r="J145" s="34" t="n"/>
      <c r="K145" s="33" t="n"/>
      <c r="L145" s="33" t="n"/>
      <c r="M145" s="35" t="n"/>
    </row>
    <row r="146">
      <c r="A146" t="inlineStr">
        <is>
          <t>ENC114863</t>
        </is>
      </c>
      <c r="B146" t="inlineStr">
        <is>
          <t>PT13081</t>
        </is>
      </c>
      <c r="C146" t="inlineStr">
        <is>
          <t>Labor &amp; Delivery</t>
        </is>
      </c>
      <c r="D146" t="inlineStr">
        <is>
          <t>Direct Admit</t>
        </is>
      </c>
      <c r="E146" s="31" t="n">
        <v>30500</v>
      </c>
      <c r="G146" s="32" t="n">
        <v>45784.68958333333</v>
      </c>
      <c r="H146" s="32" t="n">
        <v>45788.46388888889</v>
      </c>
      <c r="I146" s="33" t="n"/>
      <c r="J146" s="34" t="n"/>
      <c r="K146" s="33" t="n"/>
      <c r="L146" s="33" t="n"/>
      <c r="M146" s="35" t="n"/>
    </row>
    <row r="147">
      <c r="A147" t="inlineStr">
        <is>
          <t>ENC114866</t>
        </is>
      </c>
      <c r="B147" t="inlineStr">
        <is>
          <t>PT10787</t>
        </is>
      </c>
      <c r="C147" t="inlineStr">
        <is>
          <t>Intensive Care Unit</t>
        </is>
      </c>
      <c r="D147" t="inlineStr">
        <is>
          <t>Emergency Department</t>
        </is>
      </c>
      <c r="E147" s="31" t="n">
        <v>31250</v>
      </c>
      <c r="F147" s="32" t="n">
        <v>45784.81319444445</v>
      </c>
      <c r="G147" s="32" t="n">
        <v>45784.91944444444</v>
      </c>
      <c r="H147" s="32" t="n">
        <v>45788.63819444444</v>
      </c>
      <c r="I147" s="33" t="n"/>
      <c r="J147" s="34" t="n"/>
      <c r="K147" s="33" t="n"/>
      <c r="L147" s="33" t="n"/>
      <c r="M147" s="35" t="n"/>
    </row>
    <row r="148">
      <c r="A148" t="inlineStr">
        <is>
          <t>ENC114947</t>
        </is>
      </c>
      <c r="B148" t="inlineStr">
        <is>
          <t>PT12874</t>
        </is>
      </c>
      <c r="C148" t="inlineStr">
        <is>
          <t>Labor &amp; Delivery</t>
        </is>
      </c>
      <c r="D148" t="inlineStr">
        <is>
          <t>Direct Admit</t>
        </is>
      </c>
      <c r="E148" s="31" t="n">
        <v>33358</v>
      </c>
      <c r="G148" s="32" t="n">
        <v>45788.13611111111</v>
      </c>
      <c r="H148" s="32" t="n">
        <v>45790.60416666666</v>
      </c>
      <c r="I148" s="33" t="n"/>
      <c r="J148" s="34" t="n"/>
      <c r="K148" s="33" t="n"/>
      <c r="L148" s="33" t="n"/>
      <c r="M148" s="35" t="n"/>
    </row>
    <row r="149">
      <c r="A149" t="inlineStr">
        <is>
          <t>ENC115017</t>
        </is>
      </c>
      <c r="B149" t="inlineStr">
        <is>
          <t>PT13630</t>
        </is>
      </c>
      <c r="C149" t="inlineStr">
        <is>
          <t>Medical-Surgical</t>
        </is>
      </c>
      <c r="D149" t="inlineStr">
        <is>
          <t>Emergency Department</t>
        </is>
      </c>
      <c r="E149" s="31" t="n">
        <v>24793</v>
      </c>
      <c r="F149" s="32" t="n">
        <v>45790.51319444444</v>
      </c>
      <c r="G149" s="32" t="n">
        <v>45790.59097222222</v>
      </c>
      <c r="H149" s="32" t="n">
        <v>45792.55625</v>
      </c>
      <c r="I149" s="33" t="n"/>
      <c r="J149" s="34" t="n"/>
      <c r="K149" s="33" t="n"/>
      <c r="L149" s="33" t="n"/>
      <c r="M149" s="35" t="n"/>
    </row>
    <row r="150">
      <c r="A150" t="inlineStr">
        <is>
          <t>ENC115044</t>
        </is>
      </c>
      <c r="B150" t="inlineStr">
        <is>
          <t>PT11498</t>
        </is>
      </c>
      <c r="C150" t="inlineStr">
        <is>
          <t>Medical-Surgical</t>
        </is>
      </c>
      <c r="D150" t="inlineStr">
        <is>
          <t>Emergency Department</t>
        </is>
      </c>
      <c r="E150" s="31" t="n">
        <v>32688</v>
      </c>
      <c r="F150" s="32" t="n">
        <v>45791.04652777778</v>
      </c>
      <c r="G150" s="32" t="n">
        <v>45791.17847222222</v>
      </c>
      <c r="H150" s="32" t="n">
        <v>45792.575</v>
      </c>
      <c r="I150" s="33" t="n"/>
      <c r="J150" s="34" t="n"/>
      <c r="K150" s="33" t="n"/>
      <c r="L150" s="33" t="n"/>
      <c r="M150" s="35" t="n"/>
    </row>
    <row r="151">
      <c r="A151" t="inlineStr">
        <is>
          <t>ENC115062</t>
        </is>
      </c>
      <c r="B151" t="inlineStr">
        <is>
          <t>PT13398</t>
        </is>
      </c>
      <c r="C151" t="inlineStr">
        <is>
          <t>Medical-Surgical</t>
        </is>
      </c>
      <c r="D151" t="inlineStr">
        <is>
          <t>Direct Admit</t>
        </is>
      </c>
      <c r="E151" s="31" t="n">
        <v>24733</v>
      </c>
      <c r="G151" s="32" t="n">
        <v>45791.55</v>
      </c>
      <c r="H151" s="32" t="n">
        <v>45796.48611111111</v>
      </c>
      <c r="I151" s="33" t="n"/>
      <c r="J151" s="34" t="n"/>
      <c r="K151" s="33" t="n"/>
      <c r="L151" s="33" t="n"/>
      <c r="M151" s="35" t="n"/>
    </row>
    <row r="152">
      <c r="A152" t="inlineStr">
        <is>
          <t>ENC115087</t>
        </is>
      </c>
      <c r="B152" t="inlineStr">
        <is>
          <t>PT10146</t>
        </is>
      </c>
      <c r="C152" t="inlineStr">
        <is>
          <t>Labor &amp; Delivery</t>
        </is>
      </c>
      <c r="D152" t="inlineStr">
        <is>
          <t>Emergency Department</t>
        </is>
      </c>
      <c r="E152" s="31" t="n">
        <v>36211</v>
      </c>
      <c r="F152" s="32" t="n">
        <v>45792.4625</v>
      </c>
      <c r="G152" s="32" t="n">
        <v>45792.55694444444</v>
      </c>
      <c r="H152" s="32" t="n">
        <v>45793.47430555556</v>
      </c>
      <c r="I152" s="33" t="n"/>
      <c r="J152" s="34" t="n"/>
      <c r="K152" s="33" t="n"/>
      <c r="L152" s="33" t="n"/>
      <c r="M152" s="35" t="n"/>
    </row>
    <row r="153">
      <c r="A153" t="inlineStr">
        <is>
          <t>ENC115112</t>
        </is>
      </c>
      <c r="B153" t="inlineStr">
        <is>
          <t>PT11952</t>
        </is>
      </c>
      <c r="C153" t="inlineStr">
        <is>
          <t>Medical-Surgical</t>
        </is>
      </c>
      <c r="D153" t="inlineStr">
        <is>
          <t>Emergency Department</t>
        </is>
      </c>
      <c r="E153" s="31" t="n">
        <v>18313</v>
      </c>
      <c r="F153" s="32" t="n">
        <v>45793.43402777778</v>
      </c>
      <c r="G153" s="32" t="n">
        <v>45793.5625</v>
      </c>
      <c r="H153" s="32" t="n">
        <v>45798.43888888889</v>
      </c>
      <c r="I153" s="33" t="n"/>
      <c r="J153" s="34" t="n"/>
      <c r="K153" s="33" t="n"/>
      <c r="L153" s="33" t="n"/>
      <c r="M153" s="35" t="n"/>
    </row>
    <row r="154">
      <c r="A154" t="inlineStr">
        <is>
          <t>ENC115135</t>
        </is>
      </c>
      <c r="B154" t="inlineStr">
        <is>
          <t>PT10955</t>
        </is>
      </c>
      <c r="C154" t="inlineStr">
        <is>
          <t>Labor &amp; Delivery</t>
        </is>
      </c>
      <c r="D154" t="inlineStr">
        <is>
          <t>Emergency Department</t>
        </is>
      </c>
      <c r="E154" s="31" t="n">
        <v>36543</v>
      </c>
      <c r="F154" s="32" t="n">
        <v>45794.34861111111</v>
      </c>
      <c r="G154" s="32" t="n">
        <v>45794.525</v>
      </c>
      <c r="H154" s="32" t="n">
        <v>45798.60694444444</v>
      </c>
      <c r="I154" s="33" t="n"/>
      <c r="J154" s="34" t="n"/>
      <c r="K154" s="33" t="n"/>
      <c r="L154" s="33" t="n"/>
      <c r="M154" s="35" t="n"/>
    </row>
    <row r="155">
      <c r="A155" t="inlineStr">
        <is>
          <t>ENC115194</t>
        </is>
      </c>
      <c r="B155" t="inlineStr">
        <is>
          <t>PT11636</t>
        </is>
      </c>
      <c r="C155" t="inlineStr">
        <is>
          <t>Medical-Surgical</t>
        </is>
      </c>
      <c r="D155" t="inlineStr">
        <is>
          <t>Emergency Department</t>
        </is>
      </c>
      <c r="E155" s="31" t="n">
        <v>20034</v>
      </c>
      <c r="F155" s="32" t="n">
        <v>45796.60833333333</v>
      </c>
      <c r="G155" s="32" t="n">
        <v>45796.70833333334</v>
      </c>
      <c r="H155" s="32" t="n">
        <v>45798.50625</v>
      </c>
      <c r="I155" s="33" t="n"/>
      <c r="J155" s="34" t="n"/>
      <c r="K155" s="33" t="n"/>
      <c r="L155" s="33" t="n"/>
      <c r="M155" s="35" t="n"/>
    </row>
    <row r="156">
      <c r="A156" t="inlineStr">
        <is>
          <t>ENC115247</t>
        </is>
      </c>
      <c r="B156" t="inlineStr">
        <is>
          <t>PT12639</t>
        </is>
      </c>
      <c r="C156" t="inlineStr">
        <is>
          <t>Labor &amp; Delivery</t>
        </is>
      </c>
      <c r="D156" t="inlineStr">
        <is>
          <t>Direct Admit</t>
        </is>
      </c>
      <c r="E156" s="31" t="n">
        <v>35251</v>
      </c>
      <c r="G156" s="32" t="n">
        <v>45797.74444444444</v>
      </c>
      <c r="H156" s="32" t="n">
        <v>45799.68472222222</v>
      </c>
      <c r="I156" s="33" t="n"/>
      <c r="J156" s="34" t="n"/>
      <c r="K156" s="33" t="n"/>
      <c r="L156" s="33" t="n"/>
      <c r="M156" s="35" t="n"/>
    </row>
    <row r="157">
      <c r="A157" t="inlineStr">
        <is>
          <t>ENC115364</t>
        </is>
      </c>
      <c r="B157" t="inlineStr">
        <is>
          <t>PT11529</t>
        </is>
      </c>
      <c r="C157" t="inlineStr">
        <is>
          <t>Medical-Surgical</t>
        </is>
      </c>
      <c r="D157" t="inlineStr">
        <is>
          <t>Emergency Department</t>
        </is>
      </c>
      <c r="E157" s="31" t="n">
        <v>17660</v>
      </c>
      <c r="F157" s="32" t="n">
        <v>45802.85486111111</v>
      </c>
      <c r="G157" s="32" t="n">
        <v>45803.01597222222</v>
      </c>
      <c r="H157" s="32" t="n">
        <v>45808.64861111111</v>
      </c>
      <c r="I157" s="33" t="n"/>
      <c r="J157" s="34" t="n"/>
      <c r="K157" s="33" t="n"/>
      <c r="L157" s="33" t="n"/>
      <c r="M157" s="35" t="n"/>
    </row>
    <row r="158">
      <c r="A158" t="inlineStr">
        <is>
          <t>ENC115432</t>
        </is>
      </c>
      <c r="B158" t="inlineStr">
        <is>
          <t>PT13238</t>
        </is>
      </c>
      <c r="C158" t="inlineStr">
        <is>
          <t>Intensive Care Unit</t>
        </is>
      </c>
      <c r="D158" t="inlineStr">
        <is>
          <t>Emergency Department</t>
        </is>
      </c>
      <c r="E158" s="31" t="n">
        <v>17793</v>
      </c>
      <c r="F158" s="32" t="n">
        <v>45804.85555555556</v>
      </c>
      <c r="G158" s="32" t="n">
        <v>45804.96666666667</v>
      </c>
      <c r="H158" s="32" t="n">
        <v>45807.5</v>
      </c>
      <c r="I158" s="33" t="n"/>
      <c r="J158" s="34" t="n"/>
      <c r="K158" s="33" t="n"/>
      <c r="L158" s="33" t="n"/>
      <c r="M158" s="35" t="n"/>
    </row>
    <row r="159">
      <c r="A159" t="inlineStr">
        <is>
          <t>ENC115436</t>
        </is>
      </c>
      <c r="B159" t="inlineStr">
        <is>
          <t>PT11468</t>
        </is>
      </c>
      <c r="C159" t="inlineStr">
        <is>
          <t>Medical-Surgical</t>
        </is>
      </c>
      <c r="D159" t="inlineStr">
        <is>
          <t>Emergency Department</t>
        </is>
      </c>
      <c r="E159" s="31" t="n">
        <v>28960</v>
      </c>
      <c r="F159" s="32" t="n">
        <v>45805.10625</v>
      </c>
      <c r="G159" s="32" t="n">
        <v>45805.21111111111</v>
      </c>
      <c r="H159" s="32" t="n">
        <v>45807.61875</v>
      </c>
      <c r="I159" s="33" t="n"/>
      <c r="J159" s="34" t="n"/>
      <c r="K159" s="33" t="n"/>
      <c r="L159" s="33" t="n"/>
      <c r="M159" s="35" t="n"/>
    </row>
    <row r="160">
      <c r="A160" t="inlineStr">
        <is>
          <t>ENC115459</t>
        </is>
      </c>
      <c r="B160" t="inlineStr">
        <is>
          <t>PT10572</t>
        </is>
      </c>
      <c r="C160" t="inlineStr">
        <is>
          <t>Medical-Surgical</t>
        </is>
      </c>
      <c r="D160" t="inlineStr">
        <is>
          <t>Direct Admit</t>
        </is>
      </c>
      <c r="E160" s="31" t="n">
        <v>30149</v>
      </c>
      <c r="G160" s="32" t="n">
        <v>45805.60763888889</v>
      </c>
      <c r="H160" s="32" t="n">
        <v>45811.64583333334</v>
      </c>
      <c r="I160" s="33" t="n"/>
      <c r="J160" s="34" t="n"/>
      <c r="K160" s="33" t="n"/>
      <c r="L160" s="33" t="n"/>
      <c r="M160" s="35" t="n"/>
    </row>
    <row r="161">
      <c r="A161" t="inlineStr">
        <is>
          <t>ENC115468</t>
        </is>
      </c>
      <c r="B161" t="inlineStr">
        <is>
          <t>PT13907</t>
        </is>
      </c>
      <c r="C161" t="inlineStr">
        <is>
          <t>Medical-Surgical</t>
        </is>
      </c>
      <c r="D161" t="inlineStr">
        <is>
          <t>Direct Admit</t>
        </is>
      </c>
      <c r="E161" s="31" t="n">
        <v>23924</v>
      </c>
      <c r="G161" s="32" t="n">
        <v>45805.71805555555</v>
      </c>
      <c r="H161" s="32" t="n">
        <v>45808.53125</v>
      </c>
      <c r="I161" s="33" t="n"/>
      <c r="J161" s="34" t="n"/>
      <c r="K161" s="33" t="n"/>
      <c r="L161" s="33" t="n"/>
      <c r="M161" s="35" t="n"/>
    </row>
    <row r="162">
      <c r="A162" t="inlineStr">
        <is>
          <t>ENC115563</t>
        </is>
      </c>
      <c r="B162" t="inlineStr">
        <is>
          <t>PT10146</t>
        </is>
      </c>
      <c r="C162" t="inlineStr">
        <is>
          <t>Labor &amp; Delivery</t>
        </is>
      </c>
      <c r="D162" t="inlineStr">
        <is>
          <t>Emergency Department</t>
        </is>
      </c>
      <c r="E162" s="31" t="n">
        <v>36211</v>
      </c>
      <c r="F162" s="32" t="n">
        <v>45810.04722222222</v>
      </c>
      <c r="G162" s="32" t="n">
        <v>45810.22083333333</v>
      </c>
      <c r="H162" s="32" t="n">
        <v>45811.64583333334</v>
      </c>
      <c r="I162" s="33" t="n"/>
      <c r="J162" s="34" t="n"/>
      <c r="K162" s="33" t="n"/>
      <c r="L162" s="33" t="n"/>
      <c r="M162" s="35" t="n"/>
    </row>
    <row r="163">
      <c r="A163" t="inlineStr">
        <is>
          <t>ENC115687</t>
        </is>
      </c>
      <c r="B163" t="inlineStr">
        <is>
          <t>PT11007</t>
        </is>
      </c>
      <c r="C163" t="inlineStr">
        <is>
          <t>Labor &amp; Delivery</t>
        </is>
      </c>
      <c r="D163" t="inlineStr">
        <is>
          <t>Direct Admit</t>
        </is>
      </c>
      <c r="E163" s="31" t="n">
        <v>30152</v>
      </c>
      <c r="G163" s="32" t="n">
        <v>45813.95625</v>
      </c>
      <c r="H163" s="32" t="n">
        <v>45815.55902777778</v>
      </c>
      <c r="I163" s="33" t="n"/>
      <c r="J163" s="34" t="n"/>
      <c r="K163" s="33" t="n"/>
      <c r="L163" s="33" t="n"/>
      <c r="M163" s="35" t="n"/>
    </row>
    <row r="164">
      <c r="A164" t="inlineStr">
        <is>
          <t>ENC115686</t>
        </is>
      </c>
      <c r="B164" t="inlineStr">
        <is>
          <t>PT13238</t>
        </is>
      </c>
      <c r="C164" t="inlineStr">
        <is>
          <t>Medical-Surgical</t>
        </is>
      </c>
      <c r="D164" t="inlineStr">
        <is>
          <t>Emergency Department</t>
        </is>
      </c>
      <c r="E164" s="31" t="n">
        <v>17793</v>
      </c>
      <c r="F164" s="32" t="n">
        <v>45813.9</v>
      </c>
      <c r="G164" s="32" t="n">
        <v>45814.05</v>
      </c>
      <c r="H164" s="32" t="n">
        <v>45819.72291666667</v>
      </c>
      <c r="I164" s="33" t="n"/>
      <c r="J164" s="34" t="n"/>
      <c r="K164" s="33" t="n"/>
      <c r="L164" s="33" t="n"/>
      <c r="M164" s="35" t="n"/>
    </row>
    <row r="165">
      <c r="A165" t="inlineStr">
        <is>
          <t>ENC115688</t>
        </is>
      </c>
      <c r="B165" t="inlineStr">
        <is>
          <t>PT12927</t>
        </is>
      </c>
      <c r="C165" t="inlineStr">
        <is>
          <t>Medical-Surgical</t>
        </is>
      </c>
      <c r="D165" t="inlineStr">
        <is>
          <t>Emergency Department</t>
        </is>
      </c>
      <c r="E165" s="31" t="n">
        <v>20933</v>
      </c>
      <c r="F165" s="32" t="n">
        <v>45814.07916666667</v>
      </c>
      <c r="G165" s="32" t="n">
        <v>45814.25416666667</v>
      </c>
      <c r="H165" s="32" t="n">
        <v>45818.57569444444</v>
      </c>
      <c r="I165" s="33" t="n"/>
      <c r="J165" s="34" t="n"/>
      <c r="K165" s="33" t="n"/>
      <c r="L165" s="33" t="n"/>
      <c r="M165" s="35" t="n"/>
    </row>
    <row r="166">
      <c r="A166" t="inlineStr">
        <is>
          <t>ENC115724</t>
        </is>
      </c>
      <c r="B166" t="inlineStr">
        <is>
          <t>PT13510</t>
        </is>
      </c>
      <c r="C166" t="inlineStr">
        <is>
          <t>Medical-Surgical</t>
        </is>
      </c>
      <c r="D166" t="inlineStr">
        <is>
          <t>Transfer</t>
        </is>
      </c>
      <c r="E166" s="31" t="n">
        <v>21513</v>
      </c>
      <c r="G166" s="32" t="n">
        <v>45815.41041666667</v>
      </c>
      <c r="H166" s="32" t="n">
        <v>45817.51875</v>
      </c>
      <c r="I166" s="33" t="n"/>
      <c r="J166" s="34" t="n"/>
      <c r="K166" s="33" t="n"/>
      <c r="L166" s="33" t="n"/>
      <c r="M166" s="35" t="n"/>
    </row>
    <row r="167">
      <c r="A167" t="inlineStr">
        <is>
          <t>ENC115756</t>
        </is>
      </c>
      <c r="B167" t="inlineStr">
        <is>
          <t>PT12422</t>
        </is>
      </c>
      <c r="C167" t="inlineStr">
        <is>
          <t>Medical-Surgical</t>
        </is>
      </c>
      <c r="D167" t="inlineStr">
        <is>
          <t>Direct Admit</t>
        </is>
      </c>
      <c r="E167" s="31" t="n">
        <v>28116</v>
      </c>
      <c r="G167" s="32" t="n">
        <v>45816.93472222222</v>
      </c>
      <c r="H167" s="32" t="n">
        <v>45818.60347222222</v>
      </c>
      <c r="I167" s="33" t="n"/>
      <c r="J167" s="34" t="n"/>
      <c r="K167" s="33" t="n"/>
      <c r="L167" s="33" t="n"/>
      <c r="M167" s="35" t="n"/>
    </row>
    <row r="168">
      <c r="A168" t="inlineStr">
        <is>
          <t>ENC115758</t>
        </is>
      </c>
      <c r="B168" t="inlineStr">
        <is>
          <t>PT13442</t>
        </is>
      </c>
      <c r="C168" t="inlineStr">
        <is>
          <t>Medical-Surgical</t>
        </is>
      </c>
      <c r="D168" t="inlineStr">
        <is>
          <t>Emergency Department</t>
        </is>
      </c>
      <c r="E168" s="31" t="n">
        <v>24910</v>
      </c>
      <c r="F168" s="32" t="n">
        <v>45817.25069444445</v>
      </c>
      <c r="G168" s="32" t="n">
        <v>45817.36736111111</v>
      </c>
      <c r="H168" s="32" t="n">
        <v>45819.68541666667</v>
      </c>
      <c r="I168" s="33" t="n"/>
      <c r="J168" s="34" t="n"/>
      <c r="K168" s="33" t="n"/>
      <c r="L168" s="33" t="n"/>
      <c r="M168" s="35" t="n"/>
    </row>
    <row r="169">
      <c r="A169" t="inlineStr">
        <is>
          <t>ENC115825</t>
        </is>
      </c>
      <c r="B169" t="inlineStr">
        <is>
          <t>PT10879</t>
        </is>
      </c>
      <c r="C169" t="inlineStr">
        <is>
          <t>Medical-Surgical</t>
        </is>
      </c>
      <c r="D169" t="inlineStr">
        <is>
          <t>Emergency Department</t>
        </is>
      </c>
      <c r="E169" s="31" t="n">
        <v>17540</v>
      </c>
      <c r="F169" s="32" t="n">
        <v>45819.36180555556</v>
      </c>
      <c r="G169" s="32" t="n">
        <v>45819.50555555556</v>
      </c>
      <c r="H169" s="32" t="n">
        <v>45822.63541666666</v>
      </c>
      <c r="I169" s="33" t="n"/>
      <c r="J169" s="34" t="n"/>
      <c r="K169" s="33" t="n"/>
      <c r="L169" s="33" t="n"/>
      <c r="M169" s="35" t="n"/>
    </row>
    <row r="170">
      <c r="A170" t="inlineStr">
        <is>
          <t>ENC115908</t>
        </is>
      </c>
      <c r="B170" t="inlineStr">
        <is>
          <t>PT10148</t>
        </is>
      </c>
      <c r="C170" t="inlineStr">
        <is>
          <t>Medical-Surgical</t>
        </is>
      </c>
      <c r="D170" t="inlineStr">
        <is>
          <t>Emergency Department</t>
        </is>
      </c>
      <c r="E170" s="31" t="n">
        <v>15972</v>
      </c>
      <c r="F170" s="32" t="n">
        <v>45821.8125</v>
      </c>
      <c r="G170" s="32" t="n">
        <v>45821.90347222222</v>
      </c>
      <c r="H170" s="32" t="n">
        <v>45824.60902777778</v>
      </c>
      <c r="I170" s="33" t="n"/>
      <c r="J170" s="34" t="n"/>
      <c r="K170" s="33" t="n"/>
      <c r="L170" s="33" t="n"/>
      <c r="M170" s="35" t="n"/>
    </row>
    <row r="171">
      <c r="A171" t="inlineStr">
        <is>
          <t>ENC115924</t>
        </is>
      </c>
      <c r="B171" t="inlineStr">
        <is>
          <t>PT13619</t>
        </is>
      </c>
      <c r="C171" t="inlineStr">
        <is>
          <t>Labor &amp; Delivery</t>
        </is>
      </c>
      <c r="D171" t="inlineStr">
        <is>
          <t>Emergency Department</t>
        </is>
      </c>
      <c r="E171" s="31" t="n">
        <v>36774</v>
      </c>
      <c r="F171" s="32" t="n">
        <v>45822.36458333334</v>
      </c>
      <c r="G171" s="32" t="n">
        <v>45822.49444444444</v>
      </c>
      <c r="H171" s="32" t="n">
        <v>45824.59930555556</v>
      </c>
      <c r="I171" s="33" t="n"/>
      <c r="J171" s="34" t="n"/>
      <c r="K171" s="33" t="n"/>
      <c r="L171" s="33" t="n"/>
      <c r="M171" s="35" t="n"/>
    </row>
    <row r="172">
      <c r="A172" t="inlineStr">
        <is>
          <t>ENC115957</t>
        </is>
      </c>
      <c r="B172" t="inlineStr">
        <is>
          <t>PT11758</t>
        </is>
      </c>
      <c r="C172" t="inlineStr">
        <is>
          <t>Medical-Surgical</t>
        </is>
      </c>
      <c r="D172" t="inlineStr">
        <is>
          <t>Elective</t>
        </is>
      </c>
      <c r="E172" s="31" t="n">
        <v>23604</v>
      </c>
      <c r="G172" s="32" t="n">
        <v>45824.16458333333</v>
      </c>
      <c r="H172" s="32" t="n">
        <v>45824.72708333333</v>
      </c>
      <c r="I172" s="33" t="n"/>
      <c r="J172" s="34" t="n"/>
      <c r="K172" s="33" t="n"/>
      <c r="L172" s="33" t="n"/>
      <c r="M172" s="35" t="n"/>
    </row>
    <row r="173">
      <c r="A173" t="inlineStr">
        <is>
          <t>ENC116016</t>
        </is>
      </c>
      <c r="B173" t="inlineStr">
        <is>
          <t>PT12678</t>
        </is>
      </c>
      <c r="C173" t="inlineStr">
        <is>
          <t>Medical-Surgical</t>
        </is>
      </c>
      <c r="D173" t="inlineStr">
        <is>
          <t>Emergency Department</t>
        </is>
      </c>
      <c r="E173" s="31" t="n">
        <v>15587</v>
      </c>
      <c r="F173" s="32" t="n">
        <v>45825.73333333333</v>
      </c>
      <c r="G173" s="32" t="n">
        <v>45825.9125</v>
      </c>
      <c r="H173" s="32" t="n">
        <v>45829.625</v>
      </c>
      <c r="I173" s="33" t="n"/>
      <c r="J173" s="34" t="n"/>
      <c r="K173" s="33" t="n"/>
      <c r="L173" s="33" t="n"/>
      <c r="M173" s="35" t="n"/>
    </row>
    <row r="174">
      <c r="A174" t="inlineStr">
        <is>
          <t>ENC116131</t>
        </is>
      </c>
      <c r="B174" t="inlineStr">
        <is>
          <t>PT10135</t>
        </is>
      </c>
      <c r="C174" t="inlineStr">
        <is>
          <t>Medical-Surgical</t>
        </is>
      </c>
      <c r="D174" t="inlineStr">
        <is>
          <t>Transfer</t>
        </is>
      </c>
      <c r="E174" s="31" t="n">
        <v>18612</v>
      </c>
      <c r="G174" s="32" t="n">
        <v>45829.40763888889</v>
      </c>
      <c r="H174" s="32" t="n">
        <v>45832.48194444444</v>
      </c>
      <c r="I174" s="33" t="n"/>
      <c r="J174" s="34" t="n"/>
      <c r="K174" s="33" t="n"/>
      <c r="L174" s="33" t="n"/>
      <c r="M174" s="35" t="n"/>
    </row>
    <row r="175">
      <c r="A175" t="inlineStr">
        <is>
          <t>ENC116157</t>
        </is>
      </c>
      <c r="B175" t="inlineStr">
        <is>
          <t>PT10879</t>
        </is>
      </c>
      <c r="C175" t="inlineStr">
        <is>
          <t>Medical-Surgical</t>
        </is>
      </c>
      <c r="D175" t="inlineStr">
        <is>
          <t>Direct Admit</t>
        </is>
      </c>
      <c r="E175" s="31" t="n">
        <v>17540</v>
      </c>
      <c r="G175" s="32" t="n">
        <v>45830.76805555556</v>
      </c>
      <c r="H175" s="32" t="n">
        <v>45837.68263888889</v>
      </c>
      <c r="I175" s="33" t="n"/>
      <c r="J175" s="34" t="n"/>
      <c r="K175" s="33" t="n"/>
      <c r="L175" s="33" t="n"/>
      <c r="M175" s="35" t="n"/>
    </row>
    <row r="176">
      <c r="A176" t="inlineStr">
        <is>
          <t>ENC116156</t>
        </is>
      </c>
      <c r="B176" t="inlineStr">
        <is>
          <t>PT10395</t>
        </is>
      </c>
      <c r="C176" t="inlineStr">
        <is>
          <t>Medical-Surgical</t>
        </is>
      </c>
      <c r="D176" t="inlineStr">
        <is>
          <t>Emergency Department</t>
        </is>
      </c>
      <c r="E176" s="31" t="n">
        <v>18414</v>
      </c>
      <c r="F176" s="32" t="n">
        <v>45830.75277777778</v>
      </c>
      <c r="G176" s="32" t="n">
        <v>45830.85486111111</v>
      </c>
      <c r="H176" s="32" t="n">
        <v>45833.73194444444</v>
      </c>
      <c r="I176" s="33" t="n"/>
      <c r="J176" s="34" t="n"/>
      <c r="K176" s="33" t="n"/>
      <c r="L176" s="33" t="n"/>
      <c r="M176" s="35" t="n"/>
    </row>
    <row r="177">
      <c r="A177" t="inlineStr">
        <is>
          <t>ENC116204</t>
        </is>
      </c>
      <c r="B177" t="inlineStr">
        <is>
          <t>PT11530</t>
        </is>
      </c>
      <c r="C177" t="inlineStr">
        <is>
          <t>Labor &amp; Delivery</t>
        </is>
      </c>
      <c r="D177" t="inlineStr">
        <is>
          <t>Direct Admit</t>
        </is>
      </c>
      <c r="E177" s="31" t="n">
        <v>30940</v>
      </c>
      <c r="G177" s="32" t="n">
        <v>45832.35694444444</v>
      </c>
      <c r="H177" s="32" t="n">
        <v>45836.59097222222</v>
      </c>
      <c r="I177" s="33" t="n"/>
      <c r="J177" s="34" t="n"/>
      <c r="K177" s="33" t="n"/>
      <c r="L177" s="33" t="n"/>
      <c r="M177" s="35" t="n"/>
    </row>
    <row r="178">
      <c r="A178" t="inlineStr">
        <is>
          <t>ENC116230</t>
        </is>
      </c>
      <c r="B178" t="inlineStr">
        <is>
          <t>PT10861</t>
        </is>
      </c>
      <c r="C178" t="inlineStr">
        <is>
          <t>Intensive Care Unit</t>
        </is>
      </c>
      <c r="D178" t="inlineStr">
        <is>
          <t>Emergency Department</t>
        </is>
      </c>
      <c r="E178" s="31" t="n">
        <v>29115</v>
      </c>
      <c r="F178" s="32" t="n">
        <v>45832.68888888889</v>
      </c>
      <c r="G178" s="32" t="n">
        <v>45832.81319444445</v>
      </c>
      <c r="H178" s="32" t="n">
        <v>45842.69236111111</v>
      </c>
      <c r="I178" s="33" t="n"/>
      <c r="J178" s="34" t="n"/>
      <c r="K178" s="33" t="n"/>
      <c r="L178" s="33" t="n"/>
      <c r="M178" s="35" t="n"/>
    </row>
    <row r="179">
      <c r="A179" t="inlineStr">
        <is>
          <t>ENC116239</t>
        </is>
      </c>
      <c r="B179" t="inlineStr">
        <is>
          <t>PT10828</t>
        </is>
      </c>
      <c r="C179" t="inlineStr">
        <is>
          <t>Medical-Surgical</t>
        </is>
      </c>
      <c r="D179" t="inlineStr">
        <is>
          <t>Elective</t>
        </is>
      </c>
      <c r="E179" s="31" t="n">
        <v>36739</v>
      </c>
      <c r="G179" s="32" t="n">
        <v>45833.37430555555</v>
      </c>
      <c r="H179" s="32" t="n">
        <v>45834.57708333333</v>
      </c>
      <c r="I179" s="33" t="n"/>
      <c r="J179" s="34" t="n"/>
      <c r="K179" s="33" t="n"/>
      <c r="L179" s="33" t="n"/>
      <c r="M179" s="35" t="n"/>
    </row>
    <row r="180">
      <c r="A180" t="inlineStr">
        <is>
          <t>ENC116296</t>
        </is>
      </c>
      <c r="B180" t="inlineStr">
        <is>
          <t>PT13863</t>
        </is>
      </c>
      <c r="C180" t="inlineStr">
        <is>
          <t>Intensive Care Unit</t>
        </is>
      </c>
      <c r="D180" t="inlineStr">
        <is>
          <t>Direct Admit</t>
        </is>
      </c>
      <c r="E180" s="31" t="n">
        <v>27245</v>
      </c>
      <c r="G180" s="32" t="n">
        <v>45834.7875</v>
      </c>
      <c r="H180" s="32" t="n">
        <v>45844.50486111111</v>
      </c>
      <c r="I180" s="33" t="n"/>
      <c r="J180" s="34" t="n"/>
      <c r="K180" s="33" t="n"/>
      <c r="L180" s="33" t="n"/>
      <c r="M180" s="35" t="n"/>
    </row>
    <row r="181">
      <c r="A181" t="inlineStr">
        <is>
          <t>ENC116336</t>
        </is>
      </c>
      <c r="B181" t="inlineStr">
        <is>
          <t>PT12788</t>
        </is>
      </c>
      <c r="C181" t="inlineStr">
        <is>
          <t>Medical-Surgical</t>
        </is>
      </c>
      <c r="D181" t="inlineStr">
        <is>
          <t>Emergency Department</t>
        </is>
      </c>
      <c r="E181" s="31" t="n">
        <v>13442</v>
      </c>
      <c r="F181" s="32" t="n">
        <v>45836.14305555556</v>
      </c>
      <c r="G181" s="32" t="n">
        <v>45836.25277777778</v>
      </c>
      <c r="H181" s="32" t="n">
        <v>45844.68263888889</v>
      </c>
      <c r="I181" s="33" t="n"/>
      <c r="J181" s="34" t="n"/>
      <c r="K181" s="33" t="n"/>
      <c r="L181" s="33" t="n"/>
      <c r="M181" s="35" t="n"/>
    </row>
    <row r="182">
      <c r="A182" t="inlineStr">
        <is>
          <t>ENC116344</t>
        </is>
      </c>
      <c r="B182" t="inlineStr">
        <is>
          <t>PT12007</t>
        </is>
      </c>
      <c r="C182" t="inlineStr">
        <is>
          <t>Medical-Surgical</t>
        </is>
      </c>
      <c r="D182" t="inlineStr">
        <is>
          <t>Emergency Department</t>
        </is>
      </c>
      <c r="E182" s="31" t="n">
        <v>20950</v>
      </c>
      <c r="F182" s="32" t="n">
        <v>45836.46388888889</v>
      </c>
      <c r="G182" s="32" t="n">
        <v>45836.54861111111</v>
      </c>
      <c r="H182" s="32" t="n">
        <v>45842.49652777778</v>
      </c>
      <c r="I182" s="33" t="n"/>
      <c r="J182" s="34" t="n"/>
      <c r="K182" s="33" t="n"/>
      <c r="L182" s="33" t="n"/>
      <c r="M182" s="35" t="n"/>
    </row>
    <row r="183">
      <c r="A183" t="inlineStr">
        <is>
          <t>ENC116361</t>
        </is>
      </c>
      <c r="B183" t="inlineStr">
        <is>
          <t>PT13510</t>
        </is>
      </c>
      <c r="C183" t="inlineStr">
        <is>
          <t>Medical-Surgical</t>
        </is>
      </c>
      <c r="D183" t="inlineStr">
        <is>
          <t>Emergency Department</t>
        </is>
      </c>
      <c r="E183" s="31" t="n">
        <v>21513</v>
      </c>
      <c r="F183" s="32" t="n">
        <v>45837.29583333333</v>
      </c>
      <c r="G183" s="32" t="n">
        <v>45837.41805555556</v>
      </c>
      <c r="H183" s="32" t="n">
        <v>45840.60416666666</v>
      </c>
      <c r="I183" s="33" t="n"/>
      <c r="J183" s="34" t="n"/>
      <c r="K183" s="33" t="n"/>
      <c r="L183" s="33" t="n"/>
      <c r="M183" s="35" t="n"/>
    </row>
    <row r="184">
      <c r="A184" t="inlineStr">
        <is>
          <t>ENC116363</t>
        </is>
      </c>
      <c r="B184" t="inlineStr">
        <is>
          <t>PT12905</t>
        </is>
      </c>
      <c r="C184" t="inlineStr">
        <is>
          <t>Medical-Surgical</t>
        </is>
      </c>
      <c r="D184" t="inlineStr">
        <is>
          <t>Emergency Department</t>
        </is>
      </c>
      <c r="E184" s="31" t="n">
        <v>11130</v>
      </c>
      <c r="F184" s="32" t="n">
        <v>45837.43541666667</v>
      </c>
      <c r="G184" s="32" t="n">
        <v>45837.61527777778</v>
      </c>
      <c r="H184" s="32" t="n">
        <v>45846.58263888889</v>
      </c>
      <c r="I184" s="33" t="n"/>
      <c r="J184" s="34" t="n"/>
      <c r="K184" s="33" t="n"/>
      <c r="L184" s="33" t="n"/>
      <c r="M184" s="35" t="n"/>
    </row>
    <row r="185">
      <c r="A185" t="inlineStr">
        <is>
          <t>ENC116419</t>
        </is>
      </c>
      <c r="B185" t="inlineStr">
        <is>
          <t>PT10146</t>
        </is>
      </c>
      <c r="C185" t="inlineStr">
        <is>
          <t>Labor &amp; Delivery</t>
        </is>
      </c>
      <c r="D185" t="inlineStr">
        <is>
          <t>Direct Admit</t>
        </is>
      </c>
      <c r="E185" s="31" t="n">
        <v>36211</v>
      </c>
      <c r="G185" s="32" t="n">
        <v>45839.51805555556</v>
      </c>
      <c r="H185" s="32" t="n">
        <v>45841.65763888889</v>
      </c>
      <c r="I185" s="33" t="n"/>
      <c r="J185" s="34" t="n"/>
      <c r="K185" s="33" t="n"/>
      <c r="L185" s="33" t="n"/>
      <c r="M185" s="35" t="n"/>
    </row>
    <row r="186">
      <c r="A186" t="inlineStr">
        <is>
          <t>ENC116467</t>
        </is>
      </c>
      <c r="B186" t="inlineStr">
        <is>
          <t>PT10307</t>
        </is>
      </c>
      <c r="C186" t="inlineStr">
        <is>
          <t>Medical-Surgical</t>
        </is>
      </c>
      <c r="D186" t="inlineStr">
        <is>
          <t>Transfer</t>
        </is>
      </c>
      <c r="E186" s="31" t="n">
        <v>21708</v>
      </c>
      <c r="G186" s="32" t="n">
        <v>45840.97986111111</v>
      </c>
      <c r="H186" s="32" t="n">
        <v>45849.52152777778</v>
      </c>
      <c r="I186" s="33" t="n"/>
      <c r="J186" s="34" t="n"/>
      <c r="K186" s="33" t="n"/>
      <c r="L186" s="33" t="n"/>
      <c r="M186" s="35" t="n"/>
    </row>
    <row r="187">
      <c r="A187" t="inlineStr">
        <is>
          <t>ENC116490</t>
        </is>
      </c>
      <c r="B187" t="inlineStr">
        <is>
          <t>PT11023</t>
        </is>
      </c>
      <c r="C187" t="inlineStr">
        <is>
          <t>Medical-Surgical</t>
        </is>
      </c>
      <c r="D187" t="inlineStr">
        <is>
          <t>Direct Admit</t>
        </is>
      </c>
      <c r="E187" s="31" t="n">
        <v>19092</v>
      </c>
      <c r="G187" s="32" t="n">
        <v>45841.56527777778</v>
      </c>
      <c r="H187" s="32" t="n">
        <v>45845.57222222222</v>
      </c>
      <c r="I187" s="33" t="n"/>
      <c r="J187" s="34" t="n"/>
      <c r="K187" s="33" t="n"/>
      <c r="L187" s="33" t="n"/>
      <c r="M187" s="35" t="n"/>
    </row>
    <row r="188">
      <c r="A188" t="inlineStr">
        <is>
          <t>ENC116522</t>
        </is>
      </c>
      <c r="B188" t="inlineStr">
        <is>
          <t>PT11702</t>
        </is>
      </c>
      <c r="C188" t="inlineStr">
        <is>
          <t>Medical-Surgical</t>
        </is>
      </c>
      <c r="D188" t="inlineStr">
        <is>
          <t>Emergency Department</t>
        </is>
      </c>
      <c r="E188" s="31" t="n">
        <v>18998</v>
      </c>
      <c r="F188" s="32" t="n">
        <v>45842.64791666667</v>
      </c>
      <c r="G188" s="32" t="n">
        <v>45842.79166666666</v>
      </c>
      <c r="H188" s="32" t="n">
        <v>45847.66111111111</v>
      </c>
      <c r="I188" s="33" t="n"/>
      <c r="J188" s="34" t="n"/>
      <c r="K188" s="33" t="n"/>
      <c r="L188" s="33" t="n"/>
      <c r="M188" s="35" t="n"/>
    </row>
    <row r="189">
      <c r="A189" t="inlineStr">
        <is>
          <t>ENC116592</t>
        </is>
      </c>
      <c r="B189" t="inlineStr">
        <is>
          <t>PT11311</t>
        </is>
      </c>
      <c r="C189" t="inlineStr">
        <is>
          <t>Medical-Surgical</t>
        </is>
      </c>
      <c r="D189" t="inlineStr">
        <is>
          <t>Emergency Department</t>
        </is>
      </c>
      <c r="E189" s="31" t="n">
        <v>12289</v>
      </c>
      <c r="F189" s="32" t="n">
        <v>45845.88472222222</v>
      </c>
      <c r="G189" s="32" t="n">
        <v>45846.02361111111</v>
      </c>
      <c r="H189" s="32" t="n">
        <v>45847.58125</v>
      </c>
      <c r="I189" s="33" t="n"/>
      <c r="J189" s="34" t="n"/>
      <c r="K189" s="33" t="n"/>
      <c r="L189" s="33" t="n"/>
      <c r="M189" s="35" t="n"/>
    </row>
    <row r="190">
      <c r="A190" t="inlineStr">
        <is>
          <t>ENC116663</t>
        </is>
      </c>
      <c r="B190" t="inlineStr">
        <is>
          <t>PT10135</t>
        </is>
      </c>
      <c r="C190" t="inlineStr">
        <is>
          <t>Medical-Surgical</t>
        </is>
      </c>
      <c r="D190" t="inlineStr">
        <is>
          <t>Emergency Department</t>
        </is>
      </c>
      <c r="E190" s="31" t="n">
        <v>18612</v>
      </c>
      <c r="F190" s="32" t="n">
        <v>45847.8</v>
      </c>
      <c r="G190" s="32" t="n">
        <v>45847.99513888889</v>
      </c>
      <c r="H190" s="32" t="n">
        <v>45851.74305555555</v>
      </c>
      <c r="I190" s="33" t="n"/>
      <c r="J190" s="34" t="n"/>
      <c r="K190" s="33" t="n"/>
      <c r="L190" s="33" t="n"/>
      <c r="M190" s="35" t="n"/>
    </row>
    <row r="191">
      <c r="A191" t="inlineStr">
        <is>
          <t>ENC116706</t>
        </is>
      </c>
      <c r="B191" t="inlineStr">
        <is>
          <t>PT12893</t>
        </is>
      </c>
      <c r="C191" t="inlineStr">
        <is>
          <t>Medical-Surgical</t>
        </is>
      </c>
      <c r="D191" t="inlineStr">
        <is>
          <t>Emergency Department</t>
        </is>
      </c>
      <c r="E191" s="31" t="n">
        <v>27834</v>
      </c>
      <c r="F191" s="32" t="n">
        <v>45849.12013888889</v>
      </c>
      <c r="G191" s="32" t="n">
        <v>45849.26319444444</v>
      </c>
      <c r="H191" s="32" t="n">
        <v>45852.64791666667</v>
      </c>
      <c r="I191" s="33" t="n"/>
      <c r="J191" s="34" t="n"/>
      <c r="K191" s="33" t="n"/>
      <c r="L191" s="33" t="n"/>
      <c r="M191" s="35" t="n"/>
    </row>
    <row r="192">
      <c r="A192" t="inlineStr">
        <is>
          <t>ENC116746</t>
        </is>
      </c>
      <c r="B192" t="inlineStr">
        <is>
          <t>PT12298</t>
        </is>
      </c>
      <c r="C192" t="inlineStr">
        <is>
          <t>Labor &amp; Delivery</t>
        </is>
      </c>
      <c r="D192" t="inlineStr">
        <is>
          <t>Direct Admit</t>
        </is>
      </c>
      <c r="E192" s="31" t="n">
        <v>37351</v>
      </c>
      <c r="G192" s="32" t="n">
        <v>45850.65</v>
      </c>
      <c r="H192" s="32" t="n">
        <v>45852.66666666666</v>
      </c>
      <c r="I192" s="33" t="n"/>
      <c r="J192" s="34" t="n"/>
      <c r="K192" s="33" t="n"/>
      <c r="L192" s="33" t="n"/>
      <c r="M192" s="35" t="n"/>
    </row>
    <row r="193">
      <c r="A193" t="inlineStr">
        <is>
          <t>ENC116745</t>
        </is>
      </c>
      <c r="B193" t="inlineStr">
        <is>
          <t>PT13563</t>
        </is>
      </c>
      <c r="C193" t="inlineStr">
        <is>
          <t>Medical-Surgical</t>
        </is>
      </c>
      <c r="D193" t="inlineStr">
        <is>
          <t>Emergency Department</t>
        </is>
      </c>
      <c r="E193" s="31" t="n">
        <v>29947</v>
      </c>
      <c r="F193" s="32" t="n">
        <v>45850.64583333334</v>
      </c>
      <c r="G193" s="32" t="n">
        <v>45850.80416666667</v>
      </c>
      <c r="H193" s="32" t="n">
        <v>45853.60416666666</v>
      </c>
      <c r="I193" s="33" t="n"/>
      <c r="J193" s="34" t="n"/>
      <c r="K193" s="33" t="n"/>
      <c r="L193" s="33" t="n"/>
      <c r="M193" s="35" t="n"/>
    </row>
    <row r="194">
      <c r="A194" t="inlineStr">
        <is>
          <t>ENC116754</t>
        </is>
      </c>
      <c r="B194" t="inlineStr">
        <is>
          <t>PT10301</t>
        </is>
      </c>
      <c r="C194" t="inlineStr">
        <is>
          <t>Medical-Surgical</t>
        </is>
      </c>
      <c r="D194" t="inlineStr">
        <is>
          <t>Direct Admit</t>
        </is>
      </c>
      <c r="E194" s="31" t="n">
        <v>27742</v>
      </c>
      <c r="G194" s="32" t="n">
        <v>45850.86388888889</v>
      </c>
      <c r="H194" s="32" t="n">
        <v>45855.55763888889</v>
      </c>
      <c r="I194" s="33" t="n"/>
      <c r="J194" s="34" t="n"/>
      <c r="K194" s="33" t="n"/>
      <c r="L194" s="33" t="n"/>
      <c r="M194" s="35" t="n"/>
    </row>
    <row r="195">
      <c r="A195" t="inlineStr">
        <is>
          <t>ENC116751</t>
        </is>
      </c>
      <c r="B195" t="inlineStr">
        <is>
          <t>PT11539</t>
        </is>
      </c>
      <c r="C195" t="inlineStr">
        <is>
          <t>Medical-Surgical</t>
        </is>
      </c>
      <c r="D195" t="inlineStr">
        <is>
          <t>Emergency Department</t>
        </is>
      </c>
      <c r="E195" s="31" t="n">
        <v>20475</v>
      </c>
      <c r="F195" s="32" t="n">
        <v>45850.77916666667</v>
      </c>
      <c r="G195" s="32" t="n">
        <v>45850.87638888889</v>
      </c>
      <c r="H195" s="32" t="n">
        <v>45852.49652777778</v>
      </c>
      <c r="I195" s="33" t="n"/>
      <c r="J195" s="34" t="n"/>
      <c r="K195" s="33" t="n"/>
      <c r="L195" s="33" t="n"/>
      <c r="M195" s="35" t="n"/>
    </row>
    <row r="196">
      <c r="A196" t="inlineStr">
        <is>
          <t>ENC116763</t>
        </is>
      </c>
      <c r="B196" t="inlineStr">
        <is>
          <t>PT10879</t>
        </is>
      </c>
      <c r="C196" t="inlineStr">
        <is>
          <t>Medical-Surgical</t>
        </is>
      </c>
      <c r="D196" t="inlineStr">
        <is>
          <t>Direct Admit</t>
        </is>
      </c>
      <c r="E196" s="31" t="n">
        <v>17540</v>
      </c>
      <c r="G196" s="32" t="n">
        <v>45851.57847222222</v>
      </c>
      <c r="H196" s="32" t="n">
        <v>45853.57222222222</v>
      </c>
      <c r="I196" s="33" t="n"/>
      <c r="J196" s="34" t="n"/>
      <c r="K196" s="33" t="n"/>
      <c r="L196" s="33" t="n"/>
      <c r="M196" s="35" t="n"/>
    </row>
    <row r="197">
      <c r="A197" t="inlineStr">
        <is>
          <t>ENC116778</t>
        </is>
      </c>
      <c r="B197" t="inlineStr">
        <is>
          <t>PT12486</t>
        </is>
      </c>
      <c r="C197" t="inlineStr">
        <is>
          <t>Medical-Surgical</t>
        </is>
      </c>
      <c r="D197" t="inlineStr">
        <is>
          <t>Direct Admit</t>
        </is>
      </c>
      <c r="E197" s="31" t="n">
        <v>23466</v>
      </c>
      <c r="G197" s="32" t="n">
        <v>45852.37569444445</v>
      </c>
      <c r="H197" s="32" t="n">
        <v>45856.51875</v>
      </c>
      <c r="I197" s="33" t="n"/>
      <c r="J197" s="34" t="n"/>
      <c r="K197" s="33" t="n"/>
      <c r="L197" s="33" t="n"/>
      <c r="M197" s="35" t="n"/>
    </row>
    <row r="198">
      <c r="A198" t="inlineStr">
        <is>
          <t>ENC116786</t>
        </is>
      </c>
      <c r="B198" t="inlineStr">
        <is>
          <t>PT11021</t>
        </is>
      </c>
      <c r="C198" t="inlineStr">
        <is>
          <t>Medical-Surgical</t>
        </is>
      </c>
      <c r="D198" t="inlineStr">
        <is>
          <t>Direct Admit</t>
        </is>
      </c>
      <c r="E198" s="31" t="n">
        <v>29197</v>
      </c>
      <c r="G198" s="32" t="n">
        <v>45852.48958333334</v>
      </c>
      <c r="H198" s="32" t="n">
        <v>45856.53402777778</v>
      </c>
      <c r="I198" s="33" t="n"/>
      <c r="J198" s="34" t="n"/>
      <c r="K198" s="33" t="n"/>
      <c r="L198" s="33" t="n"/>
      <c r="M198" s="35" t="n"/>
    </row>
    <row r="199">
      <c r="A199" t="inlineStr">
        <is>
          <t>ENC116798</t>
        </is>
      </c>
      <c r="B199" t="inlineStr">
        <is>
          <t>PT11927</t>
        </is>
      </c>
      <c r="C199" t="inlineStr">
        <is>
          <t>Intensive Care Unit</t>
        </is>
      </c>
      <c r="D199" t="inlineStr">
        <is>
          <t>Emergency Department</t>
        </is>
      </c>
      <c r="E199" s="31" t="n">
        <v>28729</v>
      </c>
      <c r="F199" s="32" t="n">
        <v>45852.74097222222</v>
      </c>
      <c r="G199" s="32" t="n">
        <v>45852.86527777778</v>
      </c>
      <c r="H199" s="32" t="n">
        <v>45865.63055555556</v>
      </c>
      <c r="I199" s="33" t="n"/>
      <c r="J199" s="34" t="n"/>
      <c r="K199" s="33" t="n"/>
      <c r="L199" s="33" t="n"/>
      <c r="M199" s="35" t="n"/>
    </row>
    <row r="200">
      <c r="A200" t="inlineStr">
        <is>
          <t>ENC116927</t>
        </is>
      </c>
      <c r="B200" t="inlineStr">
        <is>
          <t>PT12839</t>
        </is>
      </c>
      <c r="C200" t="inlineStr">
        <is>
          <t>Labor &amp; Delivery</t>
        </is>
      </c>
      <c r="D200" t="inlineStr">
        <is>
          <t>Emergency Department</t>
        </is>
      </c>
      <c r="E200" s="31" t="n">
        <v>33702</v>
      </c>
      <c r="F200" s="32" t="n">
        <v>45857.675</v>
      </c>
      <c r="G200" s="32" t="n">
        <v>45857.85138888889</v>
      </c>
      <c r="H200" s="32" t="n">
        <v>45861.56527777778</v>
      </c>
      <c r="I200" s="33" t="n"/>
      <c r="J200" s="34" t="n"/>
      <c r="K200" s="33" t="n"/>
      <c r="L200" s="33" t="n"/>
      <c r="M200" s="35" t="n"/>
    </row>
    <row r="201">
      <c r="A201" t="inlineStr">
        <is>
          <t>ENC116929</t>
        </is>
      </c>
      <c r="B201" t="inlineStr">
        <is>
          <t>PT12930</t>
        </is>
      </c>
      <c r="C201" t="inlineStr">
        <is>
          <t>Medical-Surgical</t>
        </is>
      </c>
      <c r="D201" t="inlineStr">
        <is>
          <t>Emergency Department</t>
        </is>
      </c>
      <c r="E201" s="31" t="n">
        <v>27251</v>
      </c>
      <c r="F201" s="32" t="n">
        <v>45857.75</v>
      </c>
      <c r="G201" s="32" t="n">
        <v>45857.88333333333</v>
      </c>
      <c r="H201" s="32" t="n">
        <v>45863.60694444444</v>
      </c>
      <c r="I201" s="33" t="n"/>
      <c r="J201" s="34" t="n"/>
      <c r="K201" s="33" t="n"/>
      <c r="L201" s="33" t="n"/>
      <c r="M201" s="35" t="n"/>
    </row>
    <row r="202">
      <c r="A202" t="inlineStr">
        <is>
          <t>ENC116940</t>
        </is>
      </c>
      <c r="B202" t="inlineStr">
        <is>
          <t>PT10088</t>
        </is>
      </c>
      <c r="C202" t="inlineStr">
        <is>
          <t>Medical-Surgical</t>
        </is>
      </c>
      <c r="D202" t="inlineStr">
        <is>
          <t>Transfer</t>
        </is>
      </c>
      <c r="E202" s="31" t="n">
        <v>18457</v>
      </c>
      <c r="G202" s="32" t="n">
        <v>45857.92708333334</v>
      </c>
      <c r="H202" s="32" t="n">
        <v>45864.64375</v>
      </c>
      <c r="I202" s="33" t="n"/>
      <c r="J202" s="34" t="n"/>
      <c r="K202" s="33" t="n"/>
      <c r="L202" s="33" t="n"/>
      <c r="M202" s="35" t="n"/>
    </row>
    <row r="203">
      <c r="A203" t="inlineStr">
        <is>
          <t>ENC116946</t>
        </is>
      </c>
      <c r="B203" t="inlineStr">
        <is>
          <t>PT11007</t>
        </is>
      </c>
      <c r="C203" t="inlineStr">
        <is>
          <t>Labor &amp; Delivery</t>
        </is>
      </c>
      <c r="D203" t="inlineStr">
        <is>
          <t>Direct Admit</t>
        </is>
      </c>
      <c r="E203" s="31" t="n">
        <v>30152</v>
      </c>
      <c r="G203" s="32" t="n">
        <v>45858.28333333333</v>
      </c>
      <c r="H203" s="32" t="n">
        <v>45860.49861111111</v>
      </c>
      <c r="I203" s="33" t="n"/>
      <c r="J203" s="34" t="n"/>
      <c r="K203" s="33" t="n"/>
      <c r="L203" s="33" t="n"/>
      <c r="M203" s="35" t="n"/>
    </row>
    <row r="204">
      <c r="A204" t="inlineStr">
        <is>
          <t>ENC116954</t>
        </is>
      </c>
      <c r="B204" t="inlineStr">
        <is>
          <t>PT13693</t>
        </is>
      </c>
      <c r="C204" t="inlineStr">
        <is>
          <t>Medical-Surgical</t>
        </is>
      </c>
      <c r="D204" t="inlineStr">
        <is>
          <t>Emergency Department</t>
        </is>
      </c>
      <c r="E204" s="31" t="n">
        <v>18920</v>
      </c>
      <c r="F204" s="32" t="n">
        <v>45858.64166666667</v>
      </c>
      <c r="G204" s="32" t="n">
        <v>45858.73263888889</v>
      </c>
      <c r="H204" s="32" t="n">
        <v>45860.53472222222</v>
      </c>
      <c r="I204" s="33" t="n"/>
      <c r="J204" s="34" t="n"/>
      <c r="K204" s="33" t="n"/>
      <c r="L204" s="33" t="n"/>
      <c r="M204" s="35" t="n"/>
    </row>
    <row r="205">
      <c r="A205" t="inlineStr">
        <is>
          <t>ENC117027</t>
        </is>
      </c>
      <c r="B205" t="inlineStr">
        <is>
          <t>PT11780</t>
        </is>
      </c>
      <c r="C205" t="inlineStr">
        <is>
          <t>Labor &amp; Delivery</t>
        </is>
      </c>
      <c r="D205" t="inlineStr">
        <is>
          <t>Direct Admit</t>
        </is>
      </c>
      <c r="E205" s="31" t="n">
        <v>31179</v>
      </c>
      <c r="G205" s="32" t="n">
        <v>45860.90833333333</v>
      </c>
      <c r="H205" s="32" t="n">
        <v>45862.5875</v>
      </c>
      <c r="I205" s="33" t="n"/>
      <c r="J205" s="34" t="n"/>
      <c r="K205" s="33" t="n"/>
      <c r="L205" s="33" t="n"/>
      <c r="M205" s="35" t="n"/>
    </row>
    <row r="206">
      <c r="A206" t="inlineStr">
        <is>
          <t>ENC117118</t>
        </is>
      </c>
      <c r="B206" t="inlineStr">
        <is>
          <t>PT13609</t>
        </is>
      </c>
      <c r="C206" t="inlineStr">
        <is>
          <t>Medical-Surgical</t>
        </is>
      </c>
      <c r="D206" t="inlineStr">
        <is>
          <t>Direct Admit</t>
        </is>
      </c>
      <c r="E206" s="31" t="n">
        <v>28487</v>
      </c>
      <c r="G206" s="32" t="n">
        <v>45863.54652777778</v>
      </c>
      <c r="H206" s="32" t="n">
        <v>45867.49236111111</v>
      </c>
      <c r="I206" s="33" t="n"/>
      <c r="J206" s="34" t="n"/>
      <c r="K206" s="33" t="n"/>
      <c r="L206" s="33" t="n"/>
      <c r="M206" s="35" t="n"/>
    </row>
    <row r="207">
      <c r="A207" t="inlineStr">
        <is>
          <t>ENC117132</t>
        </is>
      </c>
      <c r="B207" t="inlineStr">
        <is>
          <t>PT13990</t>
        </is>
      </c>
      <c r="C207" t="inlineStr">
        <is>
          <t>Labor &amp; Delivery</t>
        </is>
      </c>
      <c r="D207" t="inlineStr">
        <is>
          <t>Direct Admit</t>
        </is>
      </c>
      <c r="E207" s="31" t="n">
        <v>36981</v>
      </c>
      <c r="G207" s="32" t="n">
        <v>45864.01875</v>
      </c>
      <c r="H207" s="32" t="n">
        <v>45867.59722222222</v>
      </c>
      <c r="I207" s="33" t="n"/>
      <c r="J207" s="34" t="n"/>
      <c r="K207" s="33" t="n"/>
      <c r="L207" s="33" t="n"/>
      <c r="M207" s="35" t="n"/>
    </row>
    <row r="208">
      <c r="A208" t="inlineStr">
        <is>
          <t>ENC117221</t>
        </is>
      </c>
      <c r="B208" t="inlineStr">
        <is>
          <t>PT11004</t>
        </is>
      </c>
      <c r="C208" t="inlineStr">
        <is>
          <t>Medical-Surgical</t>
        </is>
      </c>
      <c r="D208" t="inlineStr">
        <is>
          <t>Direct Admit</t>
        </is>
      </c>
      <c r="E208" s="31" t="n">
        <v>17280</v>
      </c>
      <c r="G208" s="32" t="n">
        <v>45867.64583333334</v>
      </c>
      <c r="H208" s="32" t="n">
        <v>45873.58263888889</v>
      </c>
      <c r="I208" s="33" t="n"/>
      <c r="J208" s="34" t="n"/>
      <c r="K208" s="33" t="n"/>
      <c r="L208" s="33" t="n"/>
      <c r="M208" s="35" t="n"/>
    </row>
    <row r="209">
      <c r="A209" t="inlineStr">
        <is>
          <t>ENC117243</t>
        </is>
      </c>
      <c r="B209" t="inlineStr">
        <is>
          <t>PT13561</t>
        </is>
      </c>
      <c r="C209" t="inlineStr">
        <is>
          <t>Medical-Surgical</t>
        </is>
      </c>
      <c r="D209" t="inlineStr">
        <is>
          <t>Emergency Department</t>
        </is>
      </c>
      <c r="E209" s="31" t="n">
        <v>21048</v>
      </c>
      <c r="F209" s="32" t="n">
        <v>45868.40902777778</v>
      </c>
      <c r="G209" s="32" t="n">
        <v>45868.49722222222</v>
      </c>
      <c r="H209" s="32" t="n">
        <v>45873.57708333333</v>
      </c>
      <c r="I209" s="33" t="n"/>
      <c r="J209" s="34" t="n"/>
      <c r="K209" s="33" t="n"/>
      <c r="L209" s="33" t="n"/>
      <c r="M209" s="35" t="n"/>
    </row>
    <row r="210">
      <c r="A210" t="inlineStr">
        <is>
          <t>ENC117293</t>
        </is>
      </c>
      <c r="B210" t="inlineStr">
        <is>
          <t>PT11116</t>
        </is>
      </c>
      <c r="C210" t="inlineStr">
        <is>
          <t>Medical-Surgical</t>
        </is>
      </c>
      <c r="D210" t="inlineStr">
        <is>
          <t>Emergency Department</t>
        </is>
      </c>
      <c r="E210" s="31" t="n">
        <v>29196</v>
      </c>
      <c r="F210" s="32" t="n">
        <v>45869.88541666666</v>
      </c>
      <c r="G210" s="32" t="n">
        <v>45870.07291666666</v>
      </c>
      <c r="H210" s="32" t="n">
        <v>45873.72708333333</v>
      </c>
      <c r="I210" s="33" t="n"/>
      <c r="J210" s="34" t="n"/>
      <c r="K210" s="33" t="n"/>
      <c r="L210" s="33" t="n"/>
      <c r="M210" s="35" t="n"/>
    </row>
    <row r="211">
      <c r="A211" t="inlineStr">
        <is>
          <t>ENC117327</t>
        </is>
      </c>
      <c r="B211" t="inlineStr">
        <is>
          <t>PT13762</t>
        </is>
      </c>
      <c r="C211" t="inlineStr">
        <is>
          <t>Medical-Surgical</t>
        </is>
      </c>
      <c r="D211" t="inlineStr">
        <is>
          <t>Direct Admit</t>
        </is>
      </c>
      <c r="E211" s="31" t="n">
        <v>39043</v>
      </c>
      <c r="G211" s="32" t="n">
        <v>45871.59652777778</v>
      </c>
      <c r="H211" s="32" t="n">
        <v>45877.64652777778</v>
      </c>
      <c r="I211" s="33" t="n"/>
      <c r="J211" s="34" t="n"/>
      <c r="K211" s="33" t="n"/>
      <c r="L211" s="33" t="n"/>
      <c r="M211" s="35" t="n"/>
    </row>
    <row r="212">
      <c r="A212" t="inlineStr">
        <is>
          <t>ENC117347</t>
        </is>
      </c>
      <c r="B212" t="inlineStr">
        <is>
          <t>PT11541</t>
        </is>
      </c>
      <c r="C212" t="inlineStr">
        <is>
          <t>Medical-Surgical</t>
        </is>
      </c>
      <c r="D212" t="inlineStr">
        <is>
          <t>Direct Admit</t>
        </is>
      </c>
      <c r="E212" s="31" t="n">
        <v>10954</v>
      </c>
      <c r="G212" s="32" t="n">
        <v>45872.73263888889</v>
      </c>
      <c r="H212" s="32" t="n">
        <v>45879.54375</v>
      </c>
      <c r="I212" s="33" t="n"/>
      <c r="J212" s="34" t="n"/>
      <c r="K212" s="33" t="n"/>
      <c r="L212" s="33" t="n"/>
      <c r="M212" s="35" t="n"/>
    </row>
    <row r="213">
      <c r="A213" t="inlineStr">
        <is>
          <t>ENC117371</t>
        </is>
      </c>
      <c r="B213" t="inlineStr">
        <is>
          <t>PT11769</t>
        </is>
      </c>
      <c r="C213" t="inlineStr">
        <is>
          <t>Medical-Surgical</t>
        </is>
      </c>
      <c r="D213" t="inlineStr">
        <is>
          <t>Emergency Department</t>
        </is>
      </c>
      <c r="E213" s="31" t="n">
        <v>23407</v>
      </c>
      <c r="F213" s="32" t="n">
        <v>45873.64513888889</v>
      </c>
      <c r="G213" s="32" t="n">
        <v>45873.80416666667</v>
      </c>
      <c r="H213" s="32" t="n">
        <v>45875.70416666667</v>
      </c>
      <c r="I213" s="33" t="n"/>
      <c r="J213" s="34" t="n"/>
      <c r="K213" s="33" t="n"/>
      <c r="L213" s="33" t="n"/>
      <c r="M213" s="35" t="n"/>
    </row>
    <row r="214">
      <c r="A214" t="inlineStr">
        <is>
          <t>ENC117378</t>
        </is>
      </c>
      <c r="B214" t="inlineStr">
        <is>
          <t>PT13609</t>
        </is>
      </c>
      <c r="C214" t="inlineStr">
        <is>
          <t>Medical-Surgical</t>
        </is>
      </c>
      <c r="D214" t="inlineStr">
        <is>
          <t>Emergency Department</t>
        </is>
      </c>
      <c r="E214" s="31" t="n">
        <v>28487</v>
      </c>
      <c r="F214" s="32" t="n">
        <v>45873.77222222222</v>
      </c>
      <c r="G214" s="32" t="n">
        <v>45873.92916666667</v>
      </c>
      <c r="H214" s="32" t="n">
        <v>45877.40902777778</v>
      </c>
      <c r="I214" s="33" t="n"/>
      <c r="J214" s="34" t="n"/>
      <c r="K214" s="33" t="n"/>
      <c r="L214" s="33" t="n"/>
      <c r="M214" s="35" t="n"/>
    </row>
    <row r="215">
      <c r="A215" t="inlineStr">
        <is>
          <t>ENC117396</t>
        </is>
      </c>
      <c r="B215" t="inlineStr">
        <is>
          <t>PT11873</t>
        </is>
      </c>
      <c r="C215" t="inlineStr">
        <is>
          <t>Medical-Surgical</t>
        </is>
      </c>
      <c r="D215" t="inlineStr">
        <is>
          <t>Emergency Department</t>
        </is>
      </c>
      <c r="E215" s="31" t="n">
        <v>28641</v>
      </c>
      <c r="F215" s="32" t="n">
        <v>45874.50069444445</v>
      </c>
      <c r="G215" s="32" t="n">
        <v>45874.64930555555</v>
      </c>
      <c r="H215" s="32" t="n">
        <v>45879.54861111111</v>
      </c>
      <c r="I215" s="33" t="n"/>
      <c r="J215" s="34" t="n"/>
      <c r="K215" s="33" t="n"/>
      <c r="L215" s="33" t="n"/>
      <c r="M215" s="35" t="n"/>
    </row>
    <row r="216">
      <c r="A216" t="inlineStr">
        <is>
          <t>ENC117481</t>
        </is>
      </c>
      <c r="B216" t="inlineStr">
        <is>
          <t>PT13529</t>
        </is>
      </c>
      <c r="C216" t="inlineStr">
        <is>
          <t>Medical-Surgical</t>
        </is>
      </c>
      <c r="D216" t="inlineStr">
        <is>
          <t>Emergency Department</t>
        </is>
      </c>
      <c r="E216" s="31" t="n">
        <v>16910</v>
      </c>
      <c r="F216" s="32" t="n">
        <v>45877.52222222222</v>
      </c>
      <c r="G216" s="32" t="n">
        <v>45877.69722222222</v>
      </c>
      <c r="H216" s="32" t="n">
        <v>45881.44027777778</v>
      </c>
      <c r="I216" s="33" t="n"/>
      <c r="J216" s="34" t="n"/>
      <c r="K216" s="33" t="n"/>
      <c r="L216" s="33" t="n"/>
      <c r="M216" s="35" t="n"/>
    </row>
    <row r="217">
      <c r="A217" t="inlineStr">
        <is>
          <t>ENC117535</t>
        </is>
      </c>
      <c r="B217" t="inlineStr">
        <is>
          <t>PT11130</t>
        </is>
      </c>
      <c r="C217" t="inlineStr">
        <is>
          <t>Medical-Surgical</t>
        </is>
      </c>
      <c r="D217" t="inlineStr">
        <is>
          <t>Emergency Department</t>
        </is>
      </c>
      <c r="E217" s="31" t="n">
        <v>21537</v>
      </c>
      <c r="F217" s="32" t="n">
        <v>45880.36180555556</v>
      </c>
      <c r="G217" s="32" t="n">
        <v>45880.51458333333</v>
      </c>
      <c r="H217" s="32" t="n">
        <v>45883.61458333334</v>
      </c>
      <c r="I217" s="33" t="n"/>
      <c r="J217" s="34" t="n"/>
      <c r="K217" s="33" t="n"/>
      <c r="L217" s="33" t="n"/>
      <c r="M217" s="35" t="n"/>
    </row>
    <row r="218">
      <c r="A218" t="inlineStr">
        <is>
          <t>ENC117539</t>
        </is>
      </c>
      <c r="B218" t="inlineStr">
        <is>
          <t>PT12028</t>
        </is>
      </c>
      <c r="C218" t="inlineStr">
        <is>
          <t>Medical-Surgical</t>
        </is>
      </c>
      <c r="D218" t="inlineStr">
        <is>
          <t>Emergency Department</t>
        </is>
      </c>
      <c r="E218" s="31" t="n">
        <v>35090</v>
      </c>
      <c r="F218" s="32" t="n">
        <v>45880.425</v>
      </c>
      <c r="G218" s="32" t="n">
        <v>45880.56666666667</v>
      </c>
      <c r="H218" s="32" t="n">
        <v>45884.60625</v>
      </c>
      <c r="I218" s="33" t="n"/>
      <c r="J218" s="34" t="n"/>
      <c r="K218" s="33" t="n"/>
      <c r="L218" s="33" t="n"/>
      <c r="M218" s="35" t="n"/>
    </row>
    <row r="219">
      <c r="A219" t="inlineStr">
        <is>
          <t>ENC117670</t>
        </is>
      </c>
      <c r="B219" t="inlineStr">
        <is>
          <t>PT10429</t>
        </is>
      </c>
      <c r="C219" t="inlineStr">
        <is>
          <t>Medical-Surgical</t>
        </is>
      </c>
      <c r="D219" t="inlineStr">
        <is>
          <t>Direct Admit</t>
        </is>
      </c>
      <c r="E219" s="31" t="n">
        <v>18106</v>
      </c>
      <c r="G219" s="32" t="n">
        <v>45884.3875</v>
      </c>
      <c r="H219" s="32" t="n">
        <v>45887.57222222222</v>
      </c>
      <c r="I219" s="33" t="n"/>
      <c r="J219" s="34" t="n"/>
      <c r="K219" s="33" t="n"/>
      <c r="L219" s="33" t="n"/>
      <c r="M219" s="35" t="n"/>
    </row>
    <row r="220">
      <c r="A220" t="inlineStr">
        <is>
          <t>ENC117691</t>
        </is>
      </c>
      <c r="B220" t="inlineStr">
        <is>
          <t>PT11017</t>
        </is>
      </c>
      <c r="C220" t="inlineStr">
        <is>
          <t>Medical-Surgical</t>
        </is>
      </c>
      <c r="D220" t="inlineStr">
        <is>
          <t>Elective</t>
        </is>
      </c>
      <c r="E220" s="31" t="n">
        <v>22612</v>
      </c>
      <c r="G220" s="32" t="n">
        <v>45885.33333333334</v>
      </c>
      <c r="H220" s="32" t="n">
        <v>45887.50138888889</v>
      </c>
      <c r="I220" s="33" t="n"/>
      <c r="J220" s="34" t="n"/>
      <c r="K220" s="33" t="n"/>
      <c r="L220" s="33" t="n"/>
      <c r="M220" s="35" t="n"/>
    </row>
    <row r="221">
      <c r="A221" t="inlineStr">
        <is>
          <t>ENC117702</t>
        </is>
      </c>
      <c r="B221" t="inlineStr">
        <is>
          <t>PT10688</t>
        </is>
      </c>
      <c r="C221" t="inlineStr">
        <is>
          <t>Labor &amp; Delivery</t>
        </is>
      </c>
      <c r="D221" t="inlineStr">
        <is>
          <t>Direct Admit</t>
        </is>
      </c>
      <c r="E221" s="31" t="n">
        <v>33270</v>
      </c>
      <c r="G221" s="32" t="n">
        <v>45885.63611111111</v>
      </c>
      <c r="H221" s="32" t="n">
        <v>45887.64097222222</v>
      </c>
      <c r="I221" s="33" t="n"/>
      <c r="J221" s="34" t="n"/>
      <c r="K221" s="33" t="n"/>
      <c r="L221" s="33" t="n"/>
      <c r="M221" s="35" t="n"/>
    </row>
    <row r="222">
      <c r="A222" t="inlineStr">
        <is>
          <t>ENC117699</t>
        </is>
      </c>
      <c r="B222" t="inlineStr">
        <is>
          <t>PT12440</t>
        </is>
      </c>
      <c r="C222" t="inlineStr">
        <is>
          <t>Medical-Surgical</t>
        </is>
      </c>
      <c r="D222" t="inlineStr">
        <is>
          <t>Emergency Department</t>
        </is>
      </c>
      <c r="E222" s="31" t="n">
        <v>20794</v>
      </c>
      <c r="F222" s="32" t="n">
        <v>45885.57986111111</v>
      </c>
      <c r="G222" s="32" t="n">
        <v>45885.74375</v>
      </c>
      <c r="H222" s="32" t="n">
        <v>45889.53055555555</v>
      </c>
      <c r="I222" s="33" t="n"/>
      <c r="J222" s="34" t="n"/>
      <c r="K222" s="33" t="n"/>
      <c r="L222" s="33" t="n"/>
      <c r="M222" s="35" t="n"/>
    </row>
    <row r="223">
      <c r="A223" t="inlineStr">
        <is>
          <t>ENC117711</t>
        </is>
      </c>
      <c r="B223" t="inlineStr">
        <is>
          <t>PT12878</t>
        </is>
      </c>
      <c r="C223" t="inlineStr">
        <is>
          <t>Medical-Surgical</t>
        </is>
      </c>
      <c r="D223" t="inlineStr">
        <is>
          <t>Emergency Department</t>
        </is>
      </c>
      <c r="E223" s="31" t="n">
        <v>25578</v>
      </c>
      <c r="F223" s="32" t="n">
        <v>45886.02083333334</v>
      </c>
      <c r="G223" s="32" t="n">
        <v>45886.175</v>
      </c>
      <c r="H223" s="32" t="n">
        <v>45889.57013888889</v>
      </c>
      <c r="I223" s="33" t="n"/>
      <c r="J223" s="34" t="n"/>
      <c r="K223" s="33" t="n"/>
      <c r="L223" s="33" t="n"/>
      <c r="M223" s="35" t="n"/>
    </row>
    <row r="224">
      <c r="A224" t="inlineStr">
        <is>
          <t>ENC117769</t>
        </is>
      </c>
      <c r="B224" t="inlineStr">
        <is>
          <t>PT12259</t>
        </is>
      </c>
      <c r="C224" t="inlineStr">
        <is>
          <t>Medical-Surgical</t>
        </is>
      </c>
      <c r="D224" t="inlineStr">
        <is>
          <t>Emergency Department</t>
        </is>
      </c>
      <c r="E224" s="31" t="n">
        <v>25698</v>
      </c>
      <c r="F224" s="32" t="n">
        <v>45888.68125</v>
      </c>
      <c r="G224" s="32" t="n">
        <v>45888.87986111111</v>
      </c>
      <c r="H224" s="32" t="n">
        <v>45897.50416666667</v>
      </c>
      <c r="I224" s="33" t="n"/>
      <c r="J224" s="34" t="n"/>
      <c r="K224" s="33" t="n"/>
      <c r="L224" s="33" t="n"/>
      <c r="M224" s="35" t="n"/>
    </row>
    <row r="225">
      <c r="A225" t="inlineStr">
        <is>
          <t>ENC117773</t>
        </is>
      </c>
      <c r="B225" t="inlineStr">
        <is>
          <t>PT10738</t>
        </is>
      </c>
      <c r="C225" t="inlineStr">
        <is>
          <t>Medical-Surgical</t>
        </is>
      </c>
      <c r="D225" t="inlineStr">
        <is>
          <t>Emergency Department</t>
        </is>
      </c>
      <c r="E225" s="31" t="n">
        <v>24813</v>
      </c>
      <c r="F225" s="32" t="n">
        <v>45888.88055555556</v>
      </c>
      <c r="G225" s="32" t="n">
        <v>45888.99027777778</v>
      </c>
      <c r="H225" s="32" t="n">
        <v>45893.80416666667</v>
      </c>
      <c r="I225" s="33" t="n"/>
      <c r="J225" s="34" t="n"/>
      <c r="K225" s="33" t="n"/>
      <c r="L225" s="33" t="n"/>
      <c r="M225" s="35" t="n"/>
    </row>
    <row r="226">
      <c r="A226" t="inlineStr">
        <is>
          <t>ENC117789</t>
        </is>
      </c>
      <c r="B226" t="inlineStr">
        <is>
          <t>PT10665</t>
        </is>
      </c>
      <c r="C226" t="inlineStr">
        <is>
          <t>Medical-Surgical</t>
        </is>
      </c>
      <c r="D226" t="inlineStr">
        <is>
          <t>Direct Admit</t>
        </is>
      </c>
      <c r="E226" s="31" t="n">
        <v>41829</v>
      </c>
      <c r="G226" s="32" t="n">
        <v>45889.38333333333</v>
      </c>
      <c r="H226" s="32" t="n">
        <v>45892.35833333333</v>
      </c>
      <c r="I226" s="33" t="n"/>
      <c r="J226" s="34" t="n"/>
      <c r="K226" s="33" t="n"/>
      <c r="L226" s="33" t="n"/>
      <c r="M226" s="35" t="n"/>
    </row>
    <row r="227">
      <c r="A227" t="inlineStr">
        <is>
          <t>ENC117791</t>
        </is>
      </c>
      <c r="B227" t="inlineStr">
        <is>
          <t>PT11220</t>
        </is>
      </c>
      <c r="C227" t="inlineStr">
        <is>
          <t>Medical-Surgical</t>
        </is>
      </c>
      <c r="D227" t="inlineStr">
        <is>
          <t>Emergency Department</t>
        </is>
      </c>
      <c r="E227" s="31" t="n">
        <v>25657</v>
      </c>
      <c r="F227" s="32" t="n">
        <v>45889.43541666667</v>
      </c>
      <c r="G227" s="32" t="n">
        <v>45889.50972222222</v>
      </c>
      <c r="H227" s="32" t="n">
        <v>45894.55</v>
      </c>
      <c r="I227" s="33" t="n"/>
      <c r="J227" s="34" t="n"/>
      <c r="K227" s="33" t="n"/>
      <c r="L227" s="33" t="n"/>
      <c r="M227" s="35" t="n"/>
    </row>
    <row r="228">
      <c r="A228" t="inlineStr">
        <is>
          <t>ENC117842</t>
        </is>
      </c>
      <c r="B228" t="inlineStr">
        <is>
          <t>PT13199</t>
        </is>
      </c>
      <c r="C228" t="inlineStr">
        <is>
          <t>Medical-Surgical</t>
        </is>
      </c>
      <c r="D228" t="inlineStr">
        <is>
          <t>Emergency Department</t>
        </is>
      </c>
      <c r="E228" s="31" t="n">
        <v>37358</v>
      </c>
      <c r="F228" s="32" t="n">
        <v>45890.825</v>
      </c>
      <c r="G228" s="32" t="n">
        <v>45890.97569444445</v>
      </c>
      <c r="H228" s="32" t="n">
        <v>45898.74375</v>
      </c>
      <c r="I228" s="33" t="n"/>
      <c r="J228" s="34" t="n"/>
      <c r="K228" s="33" t="n"/>
      <c r="L228" s="33" t="n"/>
      <c r="M228" s="35" t="n"/>
    </row>
    <row r="229">
      <c r="A229" t="inlineStr">
        <is>
          <t>ENC117912</t>
        </is>
      </c>
      <c r="B229" t="inlineStr">
        <is>
          <t>PT13691</t>
        </is>
      </c>
      <c r="C229" t="inlineStr">
        <is>
          <t>Medical-Surgical</t>
        </is>
      </c>
      <c r="D229" t="inlineStr">
        <is>
          <t>Emergency Department</t>
        </is>
      </c>
      <c r="E229" s="31" t="n">
        <v>20918</v>
      </c>
      <c r="F229" s="32" t="n">
        <v>45894.21875</v>
      </c>
      <c r="G229" s="32" t="n">
        <v>45894.34236111111</v>
      </c>
      <c r="H229" s="32" t="n">
        <v>45897.70347222222</v>
      </c>
      <c r="I229" s="33" t="n"/>
      <c r="J229" s="34" t="n"/>
      <c r="K229" s="33" t="n"/>
      <c r="L229" s="33" t="n"/>
      <c r="M229" s="35" t="n"/>
    </row>
    <row r="230">
      <c r="A230" t="inlineStr">
        <is>
          <t>ENC117914</t>
        </is>
      </c>
      <c r="B230" t="inlineStr">
        <is>
          <t>PT10924</t>
        </is>
      </c>
      <c r="C230" t="inlineStr">
        <is>
          <t>Medical-Surgical</t>
        </is>
      </c>
      <c r="D230" t="inlineStr">
        <is>
          <t>Emergency Department</t>
        </is>
      </c>
      <c r="E230" s="31" t="n">
        <v>17202</v>
      </c>
      <c r="F230" s="32" t="n">
        <v>45894.33611111111</v>
      </c>
      <c r="G230" s="32" t="n">
        <v>45894.43541666667</v>
      </c>
      <c r="H230" s="32" t="n">
        <v>45897.56458333333</v>
      </c>
      <c r="I230" s="33" t="n"/>
      <c r="J230" s="34" t="n"/>
      <c r="K230" s="33" t="n"/>
      <c r="L230" s="33" t="n"/>
      <c r="M230" s="35" t="n"/>
    </row>
    <row r="231">
      <c r="A231" t="inlineStr">
        <is>
          <t>ENC117927</t>
        </is>
      </c>
      <c r="B231" t="inlineStr">
        <is>
          <t>PT10795</t>
        </is>
      </c>
      <c r="C231" t="inlineStr">
        <is>
          <t>Medical-Surgical</t>
        </is>
      </c>
      <c r="D231" t="inlineStr">
        <is>
          <t>Emergency Department</t>
        </is>
      </c>
      <c r="E231" s="31" t="n">
        <v>22428</v>
      </c>
      <c r="F231" s="32" t="n">
        <v>45894.47638888889</v>
      </c>
      <c r="G231" s="32" t="n">
        <v>45894.58611111111</v>
      </c>
      <c r="H231" s="32" t="n">
        <v>45897.36875</v>
      </c>
      <c r="I231" s="33" t="n"/>
      <c r="J231" s="34" t="n"/>
      <c r="K231" s="33" t="n"/>
      <c r="L231" s="33" t="n"/>
      <c r="M231" s="35" t="n"/>
    </row>
    <row r="232">
      <c r="A232" t="inlineStr">
        <is>
          <t>ENC117968</t>
        </is>
      </c>
      <c r="B232" t="inlineStr">
        <is>
          <t>PT12878</t>
        </is>
      </c>
      <c r="C232" t="inlineStr">
        <is>
          <t>Medical-Surgical</t>
        </is>
      </c>
      <c r="D232" t="inlineStr">
        <is>
          <t>Emergency Department</t>
        </is>
      </c>
      <c r="E232" s="31" t="n">
        <v>25578</v>
      </c>
      <c r="F232" s="32" t="n">
        <v>45895.74375</v>
      </c>
      <c r="G232" s="32" t="n">
        <v>45895.84027777778</v>
      </c>
      <c r="H232" s="32" t="n">
        <v>45898.66388888889</v>
      </c>
      <c r="I232" s="33" t="n"/>
      <c r="J232" s="34" t="n"/>
      <c r="K232" s="33" t="n"/>
      <c r="L232" s="33" t="n"/>
      <c r="M232" s="35" t="n"/>
    </row>
    <row r="233">
      <c r="A233" t="inlineStr">
        <is>
          <t>ENC117975</t>
        </is>
      </c>
      <c r="B233" t="inlineStr">
        <is>
          <t>PT11661</t>
        </is>
      </c>
      <c r="C233" t="inlineStr">
        <is>
          <t>Labor &amp; Delivery</t>
        </is>
      </c>
      <c r="D233" t="inlineStr">
        <is>
          <t>Emergency Department</t>
        </is>
      </c>
      <c r="E233" s="31" t="n">
        <v>36729</v>
      </c>
      <c r="F233" s="32" t="n">
        <v>45896.20902777778</v>
      </c>
      <c r="G233" s="32" t="n">
        <v>45896.34166666667</v>
      </c>
      <c r="H233" s="32" t="n">
        <v>45898.69791666666</v>
      </c>
      <c r="I233" s="33" t="n"/>
      <c r="J233" s="34" t="n"/>
      <c r="K233" s="33" t="n"/>
      <c r="L233" s="33" t="n"/>
      <c r="M233" s="35" t="n"/>
    </row>
    <row r="234">
      <c r="A234" t="inlineStr">
        <is>
          <t>ENC117994</t>
        </is>
      </c>
      <c r="B234" t="inlineStr">
        <is>
          <t>PT10588</t>
        </is>
      </c>
      <c r="C234" t="inlineStr">
        <is>
          <t>Medical-Surgical</t>
        </is>
      </c>
      <c r="D234" t="inlineStr">
        <is>
          <t>Emergency Department</t>
        </is>
      </c>
      <c r="E234" s="31" t="n">
        <v>20288</v>
      </c>
      <c r="F234" s="32" t="n">
        <v>45897.01944444444</v>
      </c>
      <c r="G234" s="32" t="n">
        <v>45897.15972222222</v>
      </c>
      <c r="H234" s="32" t="n">
        <v>45899.57777777778</v>
      </c>
      <c r="I234" s="33" t="n"/>
      <c r="J234" s="34" t="n"/>
      <c r="K234" s="33" t="n"/>
      <c r="L234" s="33" t="n"/>
      <c r="M234" s="35" t="n"/>
    </row>
    <row r="235">
      <c r="A235" t="inlineStr">
        <is>
          <t>ENC117996</t>
        </is>
      </c>
      <c r="B235" t="inlineStr">
        <is>
          <t>PT10930</t>
        </is>
      </c>
      <c r="C235" t="inlineStr">
        <is>
          <t>Labor &amp; Delivery</t>
        </is>
      </c>
      <c r="D235" t="inlineStr">
        <is>
          <t>Direct Admit</t>
        </is>
      </c>
      <c r="E235" s="31" t="n">
        <v>37406</v>
      </c>
      <c r="G235" s="32" t="n">
        <v>45897.35972222222</v>
      </c>
      <c r="H235" s="32" t="n">
        <v>45900.43680555555</v>
      </c>
      <c r="I235" s="33" t="n"/>
      <c r="J235" s="34" t="n"/>
      <c r="K235" s="33" t="n"/>
      <c r="L235" s="33" t="n"/>
      <c r="M235" s="35" t="n"/>
    </row>
    <row r="236">
      <c r="A236" t="inlineStr">
        <is>
          <t>ENC118048</t>
        </is>
      </c>
      <c r="B236" t="inlineStr">
        <is>
          <t>PT10002</t>
        </is>
      </c>
      <c r="C236" t="inlineStr">
        <is>
          <t>Medical-Surgical</t>
        </is>
      </c>
      <c r="D236" t="inlineStr">
        <is>
          <t>Emergency Department</t>
        </is>
      </c>
      <c r="E236" s="31" t="n">
        <v>15760</v>
      </c>
      <c r="F236" s="32" t="n">
        <v>45898.66111111111</v>
      </c>
      <c r="G236" s="32" t="n">
        <v>45898.74236111111</v>
      </c>
      <c r="H236" s="32" t="n">
        <v>45908.65486111111</v>
      </c>
      <c r="I236" s="33" t="n"/>
      <c r="J236" s="34" t="n"/>
      <c r="K236" s="33" t="n"/>
      <c r="L236" s="33" t="n"/>
      <c r="M236" s="35" t="n"/>
    </row>
    <row r="237">
      <c r="A237" t="inlineStr">
        <is>
          <t>ENC118198</t>
        </is>
      </c>
      <c r="B237" t="inlineStr">
        <is>
          <t>PT11977</t>
        </is>
      </c>
      <c r="C237" t="inlineStr">
        <is>
          <t>Labor &amp; Delivery</t>
        </is>
      </c>
      <c r="D237" t="inlineStr">
        <is>
          <t>Emergency Department</t>
        </is>
      </c>
      <c r="E237" s="31" t="n">
        <v>29727</v>
      </c>
      <c r="F237" s="32" t="n">
        <v>45904.43541666667</v>
      </c>
      <c r="G237" s="32" t="n">
        <v>45904.58958333333</v>
      </c>
      <c r="H237" s="32" t="n">
        <v>45908.44791666666</v>
      </c>
      <c r="I237" s="33" t="n"/>
      <c r="J237" s="34" t="n"/>
      <c r="K237" s="33" t="n"/>
      <c r="L237" s="33" t="n"/>
      <c r="M237" s="35" t="n"/>
    </row>
    <row r="238">
      <c r="A238" t="inlineStr">
        <is>
          <t>ENC118254</t>
        </is>
      </c>
      <c r="B238" t="inlineStr">
        <is>
          <t>PT13675</t>
        </is>
      </c>
      <c r="C238" t="inlineStr">
        <is>
          <t>Medical-Surgical</t>
        </is>
      </c>
      <c r="D238" t="inlineStr">
        <is>
          <t>Emergency Department</t>
        </is>
      </c>
      <c r="E238" s="31" t="n">
        <v>31932</v>
      </c>
      <c r="F238" s="32" t="n">
        <v>45905.94861111111</v>
      </c>
      <c r="G238" s="32" t="n">
        <v>45906.07291666666</v>
      </c>
      <c r="H238" s="32" t="n">
        <v>45910.53541666667</v>
      </c>
      <c r="I238" s="33" t="n"/>
      <c r="J238" s="34" t="n"/>
      <c r="K238" s="33" t="n"/>
      <c r="L238" s="33" t="n"/>
      <c r="M238" s="35" t="n"/>
    </row>
    <row r="239">
      <c r="A239" t="inlineStr">
        <is>
          <t>ENC118287</t>
        </is>
      </c>
      <c r="B239" t="inlineStr">
        <is>
          <t>PT12801</t>
        </is>
      </c>
      <c r="C239" t="inlineStr">
        <is>
          <t>Medical-Surgical</t>
        </is>
      </c>
      <c r="D239" t="inlineStr">
        <is>
          <t>Transfer</t>
        </is>
      </c>
      <c r="E239" s="31" t="n">
        <v>22594</v>
      </c>
      <c r="G239" s="32" t="n">
        <v>45908.30069444444</v>
      </c>
      <c r="H239" s="32" t="n">
        <v>45910.54444444444</v>
      </c>
      <c r="I239" s="33" t="n"/>
      <c r="J239" s="34" t="n"/>
      <c r="K239" s="33" t="n"/>
      <c r="L239" s="33" t="n"/>
      <c r="M239" s="35" t="n"/>
    </row>
    <row r="240">
      <c r="A240" t="inlineStr">
        <is>
          <t>ENC118324</t>
        </is>
      </c>
      <c r="B240" t="inlineStr">
        <is>
          <t>PT10709</t>
        </is>
      </c>
      <c r="C240" t="inlineStr">
        <is>
          <t>Medical-Surgical</t>
        </is>
      </c>
      <c r="D240" t="inlineStr">
        <is>
          <t>Direct Admit</t>
        </is>
      </c>
      <c r="E240" s="31" t="n">
        <v>28879</v>
      </c>
      <c r="G240" s="32" t="n">
        <v>45909.45416666667</v>
      </c>
      <c r="H240" s="32" t="n">
        <v>45914.68472222222</v>
      </c>
      <c r="I240" s="33" t="n"/>
      <c r="J240" s="34" t="n"/>
      <c r="K240" s="33" t="n"/>
      <c r="L240" s="33" t="n"/>
      <c r="M240" s="35" t="n"/>
    </row>
    <row r="241">
      <c r="A241" t="inlineStr">
        <is>
          <t>ENC118329</t>
        </is>
      </c>
      <c r="B241" t="inlineStr">
        <is>
          <t>PT11336</t>
        </is>
      </c>
      <c r="C241" t="inlineStr">
        <is>
          <t>Medical-Surgical</t>
        </is>
      </c>
      <c r="D241" t="inlineStr">
        <is>
          <t>Emergency Department</t>
        </is>
      </c>
      <c r="E241" s="31" t="n">
        <v>25528</v>
      </c>
      <c r="F241" s="32" t="n">
        <v>45909.54513888889</v>
      </c>
      <c r="G241" s="32" t="n">
        <v>45909.64513888889</v>
      </c>
      <c r="H241" s="32" t="n">
        <v>45916.6</v>
      </c>
      <c r="I241" s="33" t="n"/>
      <c r="J241" s="34" t="n"/>
      <c r="K241" s="33" t="n"/>
      <c r="L241" s="33" t="n"/>
      <c r="M241" s="35" t="n"/>
    </row>
    <row r="242">
      <c r="A242" t="inlineStr">
        <is>
          <t>ENC118342</t>
        </is>
      </c>
      <c r="B242" t="inlineStr">
        <is>
          <t>PT13928</t>
        </is>
      </c>
      <c r="C242" t="inlineStr">
        <is>
          <t>Medical-Surgical</t>
        </is>
      </c>
      <c r="D242" t="inlineStr">
        <is>
          <t>Emergency Department</t>
        </is>
      </c>
      <c r="E242" s="31" t="n">
        <v>20972</v>
      </c>
      <c r="F242" s="32" t="n">
        <v>45909.84166666667</v>
      </c>
      <c r="G242" s="32" t="n">
        <v>45909.98194444444</v>
      </c>
      <c r="H242" s="32" t="n">
        <v>45915.52847222222</v>
      </c>
      <c r="I242" s="33" t="n"/>
      <c r="J242" s="34" t="n"/>
      <c r="K242" s="33" t="n"/>
      <c r="L242" s="33" t="n"/>
      <c r="M242" s="35" t="n"/>
    </row>
    <row r="243">
      <c r="A243" t="inlineStr">
        <is>
          <t>ENC118399</t>
        </is>
      </c>
      <c r="B243" t="inlineStr">
        <is>
          <t>PT11643</t>
        </is>
      </c>
      <c r="C243" t="inlineStr">
        <is>
          <t>Medical-Surgical</t>
        </is>
      </c>
      <c r="D243" t="inlineStr">
        <is>
          <t>Emergency Department</t>
        </is>
      </c>
      <c r="E243" s="31" t="n">
        <v>28979</v>
      </c>
      <c r="F243" s="32" t="n">
        <v>45911.62916666667</v>
      </c>
      <c r="G243" s="32" t="n">
        <v>45911.74583333333</v>
      </c>
      <c r="H243" s="32" t="n">
        <v>45916.52708333333</v>
      </c>
      <c r="I243" s="33" t="n"/>
      <c r="J243" s="34" t="n"/>
      <c r="K243" s="33" t="n"/>
      <c r="L243" s="33" t="n"/>
      <c r="M243" s="35" t="n"/>
    </row>
    <row r="244">
      <c r="A244" t="inlineStr">
        <is>
          <t>ENC118410</t>
        </is>
      </c>
      <c r="B244" t="inlineStr">
        <is>
          <t>PT11314</t>
        </is>
      </c>
      <c r="C244" t="inlineStr">
        <is>
          <t>Medical-Surgical</t>
        </is>
      </c>
      <c r="D244" t="inlineStr">
        <is>
          <t>Emergency Department</t>
        </is>
      </c>
      <c r="E244" s="31" t="n">
        <v>28146</v>
      </c>
      <c r="F244" s="32" t="n">
        <v>45911.83402777778</v>
      </c>
      <c r="G244" s="32" t="n">
        <v>45911.89930555555</v>
      </c>
      <c r="H244" s="32" t="n">
        <v>45914.53125</v>
      </c>
      <c r="I244" s="33" t="n"/>
      <c r="J244" s="34" t="n"/>
      <c r="K244" s="33" t="n"/>
      <c r="L244" s="33" t="n"/>
      <c r="M244" s="35" t="n"/>
    </row>
    <row r="245">
      <c r="A245" t="inlineStr">
        <is>
          <t>ENC118426</t>
        </is>
      </c>
      <c r="B245" t="inlineStr">
        <is>
          <t>PT11882</t>
        </is>
      </c>
      <c r="C245" t="inlineStr">
        <is>
          <t>Medical-Surgical</t>
        </is>
      </c>
      <c r="D245" t="inlineStr">
        <is>
          <t>Direct Admit</t>
        </is>
      </c>
      <c r="E245" s="31" t="n">
        <v>12175</v>
      </c>
      <c r="G245" s="32" t="n">
        <v>45912.73888888889</v>
      </c>
      <c r="H245" s="32" t="n">
        <v>45918.50069444445</v>
      </c>
      <c r="I245" s="33" t="n"/>
      <c r="J245" s="34" t="n"/>
      <c r="K245" s="33" t="n"/>
      <c r="L245" s="33" t="n"/>
      <c r="M245" s="35" t="n"/>
    </row>
    <row r="246">
      <c r="A246" t="inlineStr">
        <is>
          <t>ENC118446</t>
        </is>
      </c>
      <c r="B246" t="inlineStr">
        <is>
          <t>PT13907</t>
        </is>
      </c>
      <c r="C246" t="inlineStr">
        <is>
          <t>Medical-Surgical</t>
        </is>
      </c>
      <c r="D246" t="inlineStr">
        <is>
          <t>Elective</t>
        </is>
      </c>
      <c r="E246" s="31" t="n">
        <v>23924</v>
      </c>
      <c r="G246" s="32" t="n">
        <v>45913.79166666666</v>
      </c>
      <c r="H246" s="32" t="n">
        <v>45915.63194444445</v>
      </c>
      <c r="I246" s="33" t="n"/>
      <c r="J246" s="34" t="n"/>
      <c r="K246" s="33" t="n"/>
      <c r="L246" s="33" t="n"/>
      <c r="M246" s="35" t="n"/>
    </row>
    <row r="247">
      <c r="A247" t="inlineStr">
        <is>
          <t>ENC118447</t>
        </is>
      </c>
      <c r="B247" t="inlineStr">
        <is>
          <t>PT10530</t>
        </is>
      </c>
      <c r="C247" t="inlineStr">
        <is>
          <t>Medical-Surgical</t>
        </is>
      </c>
      <c r="D247" t="inlineStr">
        <is>
          <t>Direct Admit</t>
        </is>
      </c>
      <c r="E247" s="31" t="n">
        <v>25254</v>
      </c>
      <c r="G247" s="32" t="n">
        <v>45913.83055555556</v>
      </c>
      <c r="H247" s="32" t="n">
        <v>45917.6875</v>
      </c>
      <c r="I247" s="33" t="n"/>
      <c r="J247" s="34" t="n"/>
      <c r="K247" s="33" t="n"/>
      <c r="L247" s="33" t="n"/>
      <c r="M247" s="35" t="n"/>
    </row>
    <row r="248">
      <c r="A248" t="inlineStr">
        <is>
          <t>ENC118449</t>
        </is>
      </c>
      <c r="B248" t="inlineStr">
        <is>
          <t>PT13140</t>
        </is>
      </c>
      <c r="C248" t="inlineStr">
        <is>
          <t>Medical-Surgical</t>
        </is>
      </c>
      <c r="D248" t="inlineStr">
        <is>
          <t>Emergency Department</t>
        </is>
      </c>
      <c r="E248" s="31" t="n">
        <v>32871</v>
      </c>
      <c r="F248" s="32" t="n">
        <v>45914.05347222222</v>
      </c>
      <c r="G248" s="32" t="n">
        <v>45914.19097222222</v>
      </c>
      <c r="H248" s="32" t="n">
        <v>45916.7</v>
      </c>
      <c r="I248" s="33" t="n"/>
      <c r="J248" s="34" t="n"/>
      <c r="K248" s="33" t="n"/>
      <c r="L248" s="33" t="n"/>
      <c r="M248" s="35" t="n"/>
    </row>
    <row r="249">
      <c r="A249" t="inlineStr">
        <is>
          <t>ENC118457</t>
        </is>
      </c>
      <c r="B249" t="inlineStr">
        <is>
          <t>PT12594</t>
        </is>
      </c>
      <c r="C249" t="inlineStr">
        <is>
          <t>Medical-Surgical</t>
        </is>
      </c>
      <c r="D249" t="inlineStr">
        <is>
          <t>Emergency Department</t>
        </is>
      </c>
      <c r="E249" s="31" t="n">
        <v>18703</v>
      </c>
      <c r="F249" s="32" t="n">
        <v>45914.62152777778</v>
      </c>
      <c r="G249" s="32" t="n">
        <v>45914.70972222222</v>
      </c>
      <c r="H249" s="32" t="n">
        <v>45917.42083333333</v>
      </c>
      <c r="I249" s="33" t="n"/>
      <c r="J249" s="34" t="n"/>
      <c r="K249" s="33" t="n"/>
      <c r="L249" s="33" t="n"/>
      <c r="M249" s="35" t="n"/>
    </row>
    <row r="250">
      <c r="A250" t="inlineStr">
        <is>
          <t>ENC118483</t>
        </is>
      </c>
      <c r="B250" t="inlineStr">
        <is>
          <t>PT11657</t>
        </is>
      </c>
      <c r="C250" t="inlineStr">
        <is>
          <t>Medical-Surgical</t>
        </is>
      </c>
      <c r="D250" t="inlineStr">
        <is>
          <t>Direct Admit</t>
        </is>
      </c>
      <c r="E250" s="31" t="n">
        <v>30893</v>
      </c>
      <c r="G250" s="32" t="n">
        <v>45915.65069444444</v>
      </c>
      <c r="H250" s="32" t="n">
        <v>45920.46180555555</v>
      </c>
      <c r="I250" s="33" t="n"/>
      <c r="J250" s="34" t="n"/>
      <c r="K250" s="33" t="n"/>
      <c r="L250" s="33" t="n"/>
      <c r="M250" s="35" t="n"/>
    </row>
    <row r="251">
      <c r="A251" t="inlineStr">
        <is>
          <t>ENC118488</t>
        </is>
      </c>
      <c r="B251" t="inlineStr">
        <is>
          <t>PT11053</t>
        </is>
      </c>
      <c r="C251" t="inlineStr">
        <is>
          <t>Medical-Surgical</t>
        </is>
      </c>
      <c r="D251" t="inlineStr">
        <is>
          <t>Emergency Department</t>
        </is>
      </c>
      <c r="E251" s="31" t="n">
        <v>27309</v>
      </c>
      <c r="F251" s="32" t="n">
        <v>45915.71041666667</v>
      </c>
      <c r="G251" s="32" t="n">
        <v>45915.85763888889</v>
      </c>
      <c r="H251" s="32" t="n">
        <v>45922.40416666667</v>
      </c>
      <c r="I251" s="33" t="n"/>
      <c r="J251" s="34" t="n"/>
      <c r="K251" s="33" t="n"/>
      <c r="L251" s="33" t="n"/>
      <c r="M251" s="35" t="n"/>
    </row>
    <row r="252">
      <c r="A252" t="inlineStr">
        <is>
          <t>ENC118582</t>
        </is>
      </c>
      <c r="B252" t="inlineStr">
        <is>
          <t>PT13942</t>
        </is>
      </c>
      <c r="C252" t="inlineStr">
        <is>
          <t>Medical-Surgical</t>
        </is>
      </c>
      <c r="D252" t="inlineStr">
        <is>
          <t>Emergency Department</t>
        </is>
      </c>
      <c r="E252" s="31" t="n">
        <v>16966</v>
      </c>
      <c r="F252" s="32" t="n">
        <v>45919.16944444444</v>
      </c>
      <c r="G252" s="32" t="n">
        <v>45919.24375</v>
      </c>
      <c r="H252" s="32" t="n">
        <v>45921.45902777778</v>
      </c>
      <c r="I252" s="33" t="n"/>
      <c r="J252" s="34" t="n"/>
      <c r="K252" s="33" t="n"/>
      <c r="L252" s="33" t="n"/>
      <c r="M252" s="35" t="n"/>
    </row>
    <row r="253">
      <c r="A253" t="inlineStr">
        <is>
          <t>ENC118602</t>
        </is>
      </c>
      <c r="B253" t="inlineStr">
        <is>
          <t>PT13802</t>
        </is>
      </c>
      <c r="C253" t="inlineStr">
        <is>
          <t>Medical-Surgical</t>
        </is>
      </c>
      <c r="D253" t="inlineStr">
        <is>
          <t>Emergency Department</t>
        </is>
      </c>
      <c r="E253" s="31" t="n">
        <v>27083</v>
      </c>
      <c r="F253" s="32" t="n">
        <v>45919.62013888889</v>
      </c>
      <c r="G253" s="32" t="n">
        <v>45919.71319444444</v>
      </c>
      <c r="H253" s="32" t="n">
        <v>45928.59722222222</v>
      </c>
      <c r="I253" s="33" t="n"/>
      <c r="J253" s="34" t="n"/>
      <c r="K253" s="33" t="n"/>
      <c r="L253" s="33" t="n"/>
      <c r="M253" s="35" t="n"/>
    </row>
    <row r="254">
      <c r="A254" t="inlineStr">
        <is>
          <t>ENC118600</t>
        </is>
      </c>
      <c r="B254" t="inlineStr">
        <is>
          <t>PT12276</t>
        </is>
      </c>
      <c r="C254" t="inlineStr">
        <is>
          <t>Medical-Surgical</t>
        </is>
      </c>
      <c r="D254" t="inlineStr">
        <is>
          <t>Emergency Department</t>
        </is>
      </c>
      <c r="E254" s="31" t="n">
        <v>23683</v>
      </c>
      <c r="F254" s="32" t="n">
        <v>45919.61041666667</v>
      </c>
      <c r="G254" s="32" t="n">
        <v>45919.76527777778</v>
      </c>
      <c r="H254" s="32" t="n">
        <v>45924.42569444444</v>
      </c>
      <c r="I254" s="33" t="n"/>
      <c r="J254" s="34" t="n"/>
      <c r="K254" s="33" t="n"/>
      <c r="L254" s="33" t="n"/>
      <c r="M254" s="35" t="n"/>
    </row>
    <row r="255">
      <c r="A255" t="inlineStr">
        <is>
          <t>ENC118630</t>
        </is>
      </c>
      <c r="B255" t="inlineStr">
        <is>
          <t>PT12543</t>
        </is>
      </c>
      <c r="C255" t="inlineStr">
        <is>
          <t>Medical-Surgical</t>
        </is>
      </c>
      <c r="D255" t="inlineStr">
        <is>
          <t>Direct Admit</t>
        </is>
      </c>
      <c r="E255" s="31" t="n">
        <v>18023</v>
      </c>
      <c r="G255" s="32" t="n">
        <v>45921.45277777778</v>
      </c>
      <c r="H255" s="32" t="n">
        <v>45925.64444444444</v>
      </c>
      <c r="I255" s="33" t="n"/>
      <c r="J255" s="34" t="n"/>
      <c r="K255" s="33" t="n"/>
      <c r="L255" s="33" t="n"/>
      <c r="M255" s="35" t="n"/>
    </row>
    <row r="256">
      <c r="A256" t="inlineStr">
        <is>
          <t>ENC118710</t>
        </is>
      </c>
      <c r="B256" t="inlineStr">
        <is>
          <t>PT12333</t>
        </is>
      </c>
      <c r="C256" t="inlineStr">
        <is>
          <t>Medical-Surgical</t>
        </is>
      </c>
      <c r="D256" t="inlineStr">
        <is>
          <t>Emergency Department</t>
        </is>
      </c>
      <c r="E256" s="31" t="n">
        <v>20197</v>
      </c>
      <c r="F256" s="32" t="n">
        <v>45923.83333333334</v>
      </c>
      <c r="G256" s="32" t="n">
        <v>45923.95902777778</v>
      </c>
      <c r="H256" s="32" t="n">
        <v>45927.57291666666</v>
      </c>
      <c r="I256" s="33" t="n"/>
      <c r="J256" s="34" t="n"/>
      <c r="K256" s="33" t="n"/>
      <c r="L256" s="33" t="n"/>
      <c r="M256" s="35" t="n"/>
    </row>
    <row r="257">
      <c r="A257" t="inlineStr">
        <is>
          <t>ENC118770</t>
        </is>
      </c>
      <c r="B257" t="inlineStr">
        <is>
          <t>PT12662</t>
        </is>
      </c>
      <c r="C257" t="inlineStr">
        <is>
          <t>Medical-Surgical</t>
        </is>
      </c>
      <c r="D257" t="inlineStr">
        <is>
          <t>Emergency Department</t>
        </is>
      </c>
      <c r="E257" s="31" t="n">
        <v>17018</v>
      </c>
      <c r="F257" s="32" t="n">
        <v>45926.46319444444</v>
      </c>
      <c r="G257" s="32" t="n">
        <v>45926.61319444444</v>
      </c>
      <c r="H257" s="32" t="n">
        <v>45930.53958333333</v>
      </c>
      <c r="I257" s="33" t="n"/>
      <c r="J257" s="34" t="n"/>
      <c r="K257" s="33" t="n"/>
      <c r="L257" s="33" t="n"/>
      <c r="M257" s="35" t="n"/>
    </row>
    <row r="258">
      <c r="A258" t="inlineStr">
        <is>
          <t>ENC118851</t>
        </is>
      </c>
      <c r="B258" t="inlineStr">
        <is>
          <t>PT10249</t>
        </is>
      </c>
      <c r="C258" t="inlineStr">
        <is>
          <t>Medical-Surgical</t>
        </is>
      </c>
      <c r="D258" t="inlineStr">
        <is>
          <t>Emergency Department</t>
        </is>
      </c>
      <c r="E258" s="31" t="n">
        <v>17727</v>
      </c>
      <c r="F258" s="32" t="n">
        <v>45929.95416666667</v>
      </c>
      <c r="G258" s="32" t="n">
        <v>45930.0875</v>
      </c>
      <c r="H258" s="32" t="n">
        <v>45934.37986111111</v>
      </c>
      <c r="I258" s="33" t="n"/>
      <c r="J258" s="34" t="n"/>
      <c r="K258" s="33" t="n"/>
      <c r="L258" s="33" t="n"/>
      <c r="M258" s="35" t="n"/>
    </row>
    <row r="259">
      <c r="A259" t="inlineStr">
        <is>
          <t>ENC118884</t>
        </is>
      </c>
      <c r="B259" t="inlineStr">
        <is>
          <t>PT11570</t>
        </is>
      </c>
      <c r="C259" t="inlineStr">
        <is>
          <t>Medical-Surgical</t>
        </is>
      </c>
      <c r="D259" t="inlineStr">
        <is>
          <t>Direct Admit</t>
        </is>
      </c>
      <c r="E259" s="31" t="n">
        <v>24273</v>
      </c>
      <c r="G259" s="32" t="n">
        <v>45930.98333333333</v>
      </c>
      <c r="H259" s="32" t="n">
        <v>45935.48333333333</v>
      </c>
      <c r="I259" s="33" t="n"/>
      <c r="J259" s="34" t="n"/>
      <c r="K259" s="33" t="n"/>
      <c r="L259" s="33" t="n"/>
      <c r="M259" s="35" t="n"/>
    </row>
    <row r="260">
      <c r="A260" t="inlineStr">
        <is>
          <t>ENC118914</t>
        </is>
      </c>
      <c r="B260" t="inlineStr">
        <is>
          <t>PT11053</t>
        </is>
      </c>
      <c r="C260" t="inlineStr">
        <is>
          <t>Medical-Surgical</t>
        </is>
      </c>
      <c r="D260" t="inlineStr">
        <is>
          <t>Emergency Department</t>
        </is>
      </c>
      <c r="E260" s="31" t="n">
        <v>27309</v>
      </c>
      <c r="F260" s="32" t="n">
        <v>45931.78611111111</v>
      </c>
      <c r="G260" s="32" t="n">
        <v>45931.89236111111</v>
      </c>
      <c r="H260" s="32" t="n">
        <v>45933.59861111111</v>
      </c>
      <c r="I260" s="33" t="n"/>
      <c r="J260" s="34" t="n"/>
      <c r="K260" s="33" t="n"/>
      <c r="L260" s="33" t="n"/>
      <c r="M260" s="35" t="n"/>
    </row>
    <row r="261">
      <c r="A261" t="inlineStr">
        <is>
          <t>ENC118919</t>
        </is>
      </c>
      <c r="B261" t="inlineStr">
        <is>
          <t>PT12916</t>
        </is>
      </c>
      <c r="C261" t="inlineStr">
        <is>
          <t>Medical-Surgical</t>
        </is>
      </c>
      <c r="D261" t="inlineStr">
        <is>
          <t>Emergency Department</t>
        </is>
      </c>
      <c r="E261" s="31" t="n">
        <v>24190</v>
      </c>
      <c r="F261" s="32" t="n">
        <v>45932.33819444444</v>
      </c>
      <c r="G261" s="32" t="n">
        <v>45932.44513888889</v>
      </c>
      <c r="H261" s="32" t="n">
        <v>45934.81736111111</v>
      </c>
      <c r="I261" s="33" t="n"/>
      <c r="J261" s="34" t="n"/>
      <c r="K261" s="33" t="n"/>
      <c r="L261" s="33" t="n"/>
      <c r="M261" s="35" t="n"/>
    </row>
    <row r="262">
      <c r="A262" t="inlineStr">
        <is>
          <t>ENC118964</t>
        </is>
      </c>
      <c r="B262" t="inlineStr">
        <is>
          <t>PT10620</t>
        </is>
      </c>
      <c r="C262" t="inlineStr">
        <is>
          <t>Medical-Surgical</t>
        </is>
      </c>
      <c r="D262" t="inlineStr">
        <is>
          <t>Emergency Department</t>
        </is>
      </c>
      <c r="E262" s="31" t="n">
        <v>23831</v>
      </c>
      <c r="F262" s="32" t="n">
        <v>45933.50555555556</v>
      </c>
      <c r="G262" s="32" t="n">
        <v>45933.62569444445</v>
      </c>
      <c r="H262" s="32" t="n">
        <v>45937.61736111111</v>
      </c>
      <c r="I262" s="33" t="n"/>
      <c r="J262" s="34" t="n"/>
      <c r="K262" s="33" t="n"/>
      <c r="L262" s="33" t="n"/>
      <c r="M262" s="35" t="n"/>
    </row>
    <row r="263">
      <c r="A263" t="inlineStr">
        <is>
          <t>ENC118975</t>
        </is>
      </c>
      <c r="B263" t="inlineStr">
        <is>
          <t>PT10543</t>
        </is>
      </c>
      <c r="C263" t="inlineStr">
        <is>
          <t>Medical-Surgical</t>
        </is>
      </c>
      <c r="D263" t="inlineStr">
        <is>
          <t>Emergency Department</t>
        </is>
      </c>
      <c r="E263" s="31" t="n">
        <v>31489</v>
      </c>
      <c r="F263" s="32" t="n">
        <v>45933.69930555556</v>
      </c>
      <c r="G263" s="32" t="n">
        <v>45933.77569444444</v>
      </c>
      <c r="H263" s="32" t="n">
        <v>45938.55416666667</v>
      </c>
      <c r="I263" s="33" t="n"/>
      <c r="J263" s="34" t="n"/>
      <c r="K263" s="33" t="n"/>
      <c r="L263" s="33" t="n"/>
      <c r="M263" s="35" t="n"/>
    </row>
    <row r="264">
      <c r="A264" t="inlineStr">
        <is>
          <t>ENC118982</t>
        </is>
      </c>
      <c r="B264" t="inlineStr">
        <is>
          <t>PT11882</t>
        </is>
      </c>
      <c r="C264" t="inlineStr">
        <is>
          <t>Intensive Care Unit</t>
        </is>
      </c>
      <c r="D264" t="inlineStr">
        <is>
          <t>Emergency Department</t>
        </is>
      </c>
      <c r="E264" s="31" t="n">
        <v>12175</v>
      </c>
      <c r="F264" s="32" t="n">
        <v>45934.12152777778</v>
      </c>
      <c r="G264" s="32" t="n">
        <v>45934.27291666667</v>
      </c>
      <c r="H264" s="32" t="n">
        <v>45937.56319444445</v>
      </c>
      <c r="I264" s="33" t="n"/>
      <c r="J264" s="34" t="n"/>
      <c r="K264" s="33" t="n"/>
      <c r="L264" s="33" t="n"/>
      <c r="M264" s="35" t="n"/>
    </row>
    <row r="265">
      <c r="A265" t="inlineStr">
        <is>
          <t>ENC119018</t>
        </is>
      </c>
      <c r="B265" t="inlineStr">
        <is>
          <t>PT11105</t>
        </is>
      </c>
      <c r="C265" t="inlineStr">
        <is>
          <t>Medical-Surgical</t>
        </is>
      </c>
      <c r="D265" t="inlineStr">
        <is>
          <t>Emergency Department</t>
        </is>
      </c>
      <c r="E265" s="31" t="n">
        <v>19227</v>
      </c>
      <c r="F265" s="32" t="n">
        <v>45936.22847222222</v>
      </c>
      <c r="G265" s="32" t="n">
        <v>45936.36111111111</v>
      </c>
      <c r="H265" s="32" t="n">
        <v>45939.59861111111</v>
      </c>
      <c r="I265" s="33" t="n"/>
      <c r="J265" s="34" t="n"/>
      <c r="K265" s="33" t="n"/>
      <c r="L265" s="33" t="n"/>
      <c r="M265" s="35" t="n"/>
    </row>
    <row r="266">
      <c r="A266" t="inlineStr">
        <is>
          <t>ENC119043</t>
        </is>
      </c>
      <c r="B266" t="inlineStr">
        <is>
          <t>PT11891</t>
        </is>
      </c>
      <c r="C266" t="inlineStr">
        <is>
          <t>Medical-Surgical</t>
        </is>
      </c>
      <c r="D266" t="inlineStr">
        <is>
          <t>Emergency Department</t>
        </is>
      </c>
      <c r="E266" s="31" t="n">
        <v>24192</v>
      </c>
      <c r="F266" s="32" t="n">
        <v>45936.63888888889</v>
      </c>
      <c r="G266" s="32" t="n">
        <v>45936.81041666667</v>
      </c>
      <c r="H266" s="32" t="n">
        <v>45939.6875</v>
      </c>
      <c r="I266" s="33" t="n"/>
      <c r="J266" s="34" t="n"/>
      <c r="K266" s="33" t="n"/>
      <c r="L266" s="33" t="n"/>
      <c r="M266" s="35" t="n"/>
    </row>
    <row r="267">
      <c r="A267" t="inlineStr">
        <is>
          <t>ENC119084</t>
        </is>
      </c>
      <c r="B267" t="inlineStr">
        <is>
          <t>PT11101</t>
        </is>
      </c>
      <c r="C267" t="inlineStr">
        <is>
          <t>Medical-Surgical</t>
        </is>
      </c>
      <c r="D267" t="inlineStr">
        <is>
          <t>Emergency Department</t>
        </is>
      </c>
      <c r="E267" s="31" t="n">
        <v>19202</v>
      </c>
      <c r="F267" s="32" t="n">
        <v>45938.15277777778</v>
      </c>
      <c r="G267" s="32" t="n">
        <v>45938.25069444445</v>
      </c>
      <c r="H267" s="32" t="n">
        <v>45940.475</v>
      </c>
      <c r="I267" s="33" t="n"/>
      <c r="J267" s="34" t="n"/>
      <c r="K267" s="33" t="n"/>
      <c r="L267" s="33" t="n"/>
      <c r="M267" s="35" t="n"/>
    </row>
    <row r="268">
      <c r="A268" t="inlineStr">
        <is>
          <t>ENC119120</t>
        </is>
      </c>
      <c r="B268" t="inlineStr">
        <is>
          <t>PT10148</t>
        </is>
      </c>
      <c r="C268" t="inlineStr">
        <is>
          <t>Intensive Care Unit</t>
        </is>
      </c>
      <c r="D268" t="inlineStr">
        <is>
          <t>Emergency Department</t>
        </is>
      </c>
      <c r="E268" s="31" t="n">
        <v>15972</v>
      </c>
      <c r="F268" s="32" t="n">
        <v>45938.86111111111</v>
      </c>
      <c r="G268" s="32" t="n">
        <v>45938.97013888889</v>
      </c>
      <c r="H268" s="32" t="n">
        <v>45946.50972222222</v>
      </c>
      <c r="I268" s="33" t="n"/>
      <c r="J268" s="34" t="n"/>
      <c r="K268" s="33" t="n"/>
      <c r="L268" s="33" t="n"/>
      <c r="M268" s="35" t="n"/>
    </row>
    <row r="269">
      <c r="A269" t="inlineStr">
        <is>
          <t>ENC119140</t>
        </is>
      </c>
      <c r="B269" t="inlineStr">
        <is>
          <t>PT13907</t>
        </is>
      </c>
      <c r="C269" t="inlineStr">
        <is>
          <t>Medical-Surgical</t>
        </is>
      </c>
      <c r="D269" t="inlineStr">
        <is>
          <t>Emergency Department</t>
        </is>
      </c>
      <c r="E269" s="31" t="n">
        <v>23924</v>
      </c>
      <c r="F269" s="32" t="n">
        <v>45939.55625</v>
      </c>
      <c r="G269" s="32" t="n">
        <v>45939.7125</v>
      </c>
      <c r="H269" s="32" t="n">
        <v>45943.67013888889</v>
      </c>
      <c r="I269" s="33" t="n"/>
      <c r="J269" s="34" t="n"/>
      <c r="K269" s="33" t="n"/>
      <c r="L269" s="33" t="n"/>
      <c r="M269" s="35" t="n"/>
    </row>
    <row r="270">
      <c r="A270" t="inlineStr">
        <is>
          <t>ENC119166</t>
        </is>
      </c>
      <c r="B270" t="inlineStr">
        <is>
          <t>PT11991</t>
        </is>
      </c>
      <c r="C270" t="inlineStr">
        <is>
          <t>Medical-Surgical</t>
        </is>
      </c>
      <c r="D270" t="inlineStr">
        <is>
          <t>Emergency Department</t>
        </is>
      </c>
      <c r="E270" s="31" t="n">
        <v>14684</v>
      </c>
      <c r="F270" s="32" t="n">
        <v>45940.58888888889</v>
      </c>
      <c r="G270" s="32" t="n">
        <v>45940.70902777778</v>
      </c>
      <c r="H270" s="32" t="n">
        <v>45948.53541666667</v>
      </c>
      <c r="I270" s="33" t="n"/>
      <c r="J270" s="34" t="n"/>
      <c r="K270" s="33" t="n"/>
      <c r="L270" s="33" t="n"/>
      <c r="M270" s="35" t="n"/>
    </row>
    <row r="271">
      <c r="A271" t="inlineStr">
        <is>
          <t>ENC119172</t>
        </is>
      </c>
      <c r="B271" t="inlineStr">
        <is>
          <t>PT12718</t>
        </is>
      </c>
      <c r="C271" t="inlineStr">
        <is>
          <t>Intensive Care Unit</t>
        </is>
      </c>
      <c r="D271" t="inlineStr">
        <is>
          <t>Emergency Department</t>
        </is>
      </c>
      <c r="E271" s="31" t="n">
        <v>22401</v>
      </c>
      <c r="F271" s="32" t="n">
        <v>45940.6875</v>
      </c>
      <c r="G271" s="32" t="n">
        <v>45940.77638888889</v>
      </c>
      <c r="H271" s="32" t="n">
        <v>45951.47152777778</v>
      </c>
      <c r="I271" s="33" t="n"/>
      <c r="J271" s="34" t="n"/>
      <c r="K271" s="33" t="n"/>
      <c r="L271" s="33" t="n"/>
      <c r="M271" s="35" t="n"/>
    </row>
    <row r="272">
      <c r="A272" t="inlineStr">
        <is>
          <t>ENC119179</t>
        </is>
      </c>
      <c r="B272" t="inlineStr">
        <is>
          <t>PT11891</t>
        </is>
      </c>
      <c r="C272" t="inlineStr">
        <is>
          <t>Medical-Surgical</t>
        </is>
      </c>
      <c r="D272" t="inlineStr">
        <is>
          <t>Direct Admit</t>
        </is>
      </c>
      <c r="E272" s="31" t="n">
        <v>24192</v>
      </c>
      <c r="G272" s="32" t="n">
        <v>45940.87916666667</v>
      </c>
      <c r="H272" s="32" t="n">
        <v>45945.7375</v>
      </c>
      <c r="I272" s="33" t="n"/>
      <c r="J272" s="34" t="n"/>
      <c r="K272" s="33" t="n"/>
      <c r="L272" s="33" t="n"/>
      <c r="M272" s="35" t="n"/>
    </row>
    <row r="273">
      <c r="A273" t="inlineStr">
        <is>
          <t>ENC119199</t>
        </is>
      </c>
      <c r="B273" t="inlineStr">
        <is>
          <t>PT13942</t>
        </is>
      </c>
      <c r="C273" t="inlineStr">
        <is>
          <t>Medical-Surgical</t>
        </is>
      </c>
      <c r="D273" t="inlineStr">
        <is>
          <t>Transfer</t>
        </is>
      </c>
      <c r="E273" s="31" t="n">
        <v>16966</v>
      </c>
      <c r="G273" s="32" t="n">
        <v>45941.86458333334</v>
      </c>
      <c r="H273" s="32" t="n">
        <v>45944.74444444444</v>
      </c>
      <c r="I273" s="33" t="n"/>
      <c r="J273" s="34" t="n"/>
      <c r="K273" s="33" t="n"/>
      <c r="L273" s="33" t="n"/>
      <c r="M273" s="35" t="n"/>
    </row>
    <row r="274">
      <c r="A274" t="inlineStr">
        <is>
          <t>ENC119212</t>
        </is>
      </c>
      <c r="B274" t="inlineStr">
        <is>
          <t>PT12259</t>
        </is>
      </c>
      <c r="C274" t="inlineStr">
        <is>
          <t>Medical-Surgical</t>
        </is>
      </c>
      <c r="D274" t="inlineStr">
        <is>
          <t>Direct Admit</t>
        </is>
      </c>
      <c r="E274" s="31" t="n">
        <v>25698</v>
      </c>
      <c r="G274" s="32" t="n">
        <v>45942.80833333333</v>
      </c>
      <c r="H274" s="32" t="n">
        <v>45946.50694444445</v>
      </c>
      <c r="I274" s="33" t="n"/>
      <c r="J274" s="34" t="n"/>
      <c r="K274" s="33" t="n"/>
      <c r="L274" s="33" t="n"/>
      <c r="M274" s="35" t="n"/>
    </row>
    <row r="275">
      <c r="A275" t="inlineStr">
        <is>
          <t>ENC119228</t>
        </is>
      </c>
      <c r="B275" t="inlineStr">
        <is>
          <t>PT11601</t>
        </is>
      </c>
      <c r="C275" t="inlineStr">
        <is>
          <t>Intensive Care Unit</t>
        </is>
      </c>
      <c r="D275" t="inlineStr">
        <is>
          <t>Emergency Department</t>
        </is>
      </c>
      <c r="E275" s="31" t="n">
        <v>21587</v>
      </c>
      <c r="F275" s="32" t="n">
        <v>45943.51597222222</v>
      </c>
      <c r="G275" s="32" t="n">
        <v>45943.62708333333</v>
      </c>
      <c r="H275" s="32" t="n">
        <v>45948.60208333333</v>
      </c>
      <c r="I275" s="33" t="n"/>
      <c r="J275" s="34" t="n"/>
      <c r="K275" s="33" t="n"/>
      <c r="L275" s="33" t="n"/>
      <c r="M275" s="35" t="n"/>
    </row>
    <row r="276">
      <c r="A276" t="inlineStr">
        <is>
          <t>ENC119251</t>
        </is>
      </c>
      <c r="B276" t="inlineStr">
        <is>
          <t>PT10818</t>
        </is>
      </c>
      <c r="C276" t="inlineStr">
        <is>
          <t>Medical-Surgical</t>
        </is>
      </c>
      <c r="D276" t="inlineStr">
        <is>
          <t>Direct Admit</t>
        </is>
      </c>
      <c r="E276" s="31" t="n">
        <v>19515</v>
      </c>
      <c r="G276" s="32" t="n">
        <v>45944.01041666666</v>
      </c>
      <c r="H276" s="32" t="n">
        <v>45948.81111111111</v>
      </c>
      <c r="I276" s="33" t="n"/>
      <c r="J276" s="34" t="n"/>
      <c r="K276" s="33" t="n"/>
      <c r="L276" s="33" t="n"/>
      <c r="M276" s="35" t="n"/>
    </row>
    <row r="277">
      <c r="A277" t="inlineStr">
        <is>
          <t>ENC119388</t>
        </is>
      </c>
      <c r="B277" t="inlineStr">
        <is>
          <t>PT11105</t>
        </is>
      </c>
      <c r="C277" t="inlineStr">
        <is>
          <t>Medical-Surgical</t>
        </is>
      </c>
      <c r="D277" t="inlineStr">
        <is>
          <t>Emergency Department</t>
        </is>
      </c>
      <c r="E277" s="31" t="n">
        <v>19227</v>
      </c>
      <c r="F277" s="32" t="n">
        <v>45948.00277777778</v>
      </c>
      <c r="G277" s="32" t="n">
        <v>45948.11805555555</v>
      </c>
      <c r="H277" s="32" t="n">
        <v>45951.54513888889</v>
      </c>
      <c r="I277" s="33" t="n"/>
      <c r="J277" s="34" t="n"/>
      <c r="K277" s="33" t="n"/>
      <c r="L277" s="33" t="n"/>
      <c r="M277" s="35" t="n"/>
    </row>
    <row r="278">
      <c r="A278" t="inlineStr">
        <is>
          <t>ENC119404</t>
        </is>
      </c>
      <c r="B278" t="inlineStr">
        <is>
          <t>PT13915</t>
        </is>
      </c>
      <c r="C278" t="inlineStr">
        <is>
          <t>Medical-Surgical</t>
        </is>
      </c>
      <c r="D278" t="inlineStr">
        <is>
          <t>Emergency Department</t>
        </is>
      </c>
      <c r="E278" s="31" t="n">
        <v>16097</v>
      </c>
      <c r="F278" s="32" t="n">
        <v>45949.24513888889</v>
      </c>
      <c r="G278" s="32" t="n">
        <v>45949.29930555556</v>
      </c>
      <c r="H278" s="32" t="n">
        <v>45951.56527777778</v>
      </c>
      <c r="I278" s="33" t="n"/>
      <c r="J278" s="34" t="n"/>
      <c r="K278" s="33" t="n"/>
      <c r="L278" s="33" t="n"/>
      <c r="M278" s="35" t="n"/>
    </row>
    <row r="279">
      <c r="A279" t="inlineStr">
        <is>
          <t>ENC119512</t>
        </is>
      </c>
      <c r="B279" t="inlineStr">
        <is>
          <t>PT13591</t>
        </is>
      </c>
      <c r="C279" t="inlineStr">
        <is>
          <t>Medical-Surgical</t>
        </is>
      </c>
      <c r="D279" t="inlineStr">
        <is>
          <t>Emergency Department</t>
        </is>
      </c>
      <c r="E279" s="31" t="n">
        <v>35092</v>
      </c>
      <c r="F279" s="32" t="n">
        <v>45952.79236111111</v>
      </c>
      <c r="G279" s="32" t="n">
        <v>45952.88888888889</v>
      </c>
      <c r="H279" s="32" t="n">
        <v>45955.57986111111</v>
      </c>
      <c r="I279" s="33" t="n"/>
      <c r="J279" s="34" t="n"/>
      <c r="K279" s="33" t="n"/>
      <c r="L279" s="33" t="n"/>
      <c r="M279" s="35" t="n"/>
    </row>
    <row r="280">
      <c r="A280" t="inlineStr">
        <is>
          <t>ENC119518</t>
        </is>
      </c>
      <c r="B280" t="inlineStr">
        <is>
          <t>PT13907</t>
        </is>
      </c>
      <c r="C280" t="inlineStr">
        <is>
          <t>Medical-Surgical</t>
        </is>
      </c>
      <c r="D280" t="inlineStr">
        <is>
          <t>Emergency Department</t>
        </is>
      </c>
      <c r="E280" s="31" t="n">
        <v>23924</v>
      </c>
      <c r="F280" s="32" t="n">
        <v>45953.2</v>
      </c>
      <c r="G280" s="32" t="n">
        <v>45953.29097222222</v>
      </c>
      <c r="H280" s="32" t="n">
        <v>45965.66180555556</v>
      </c>
      <c r="I280" s="33" t="n"/>
      <c r="J280" s="34" t="n"/>
      <c r="K280" s="33" t="n"/>
      <c r="L280" s="33" t="n"/>
      <c r="M280" s="35" t="n"/>
    </row>
    <row r="281">
      <c r="A281" t="inlineStr">
        <is>
          <t>ENC119522</t>
        </is>
      </c>
      <c r="B281" t="inlineStr">
        <is>
          <t>PT11105</t>
        </is>
      </c>
      <c r="C281" t="inlineStr">
        <is>
          <t>Medical-Surgical</t>
        </is>
      </c>
      <c r="D281" t="inlineStr">
        <is>
          <t>Emergency Department</t>
        </is>
      </c>
      <c r="E281" s="31" t="n">
        <v>19227</v>
      </c>
      <c r="F281" s="32" t="n">
        <v>45953.41527777778</v>
      </c>
      <c r="G281" s="32" t="n">
        <v>45953.53958333333</v>
      </c>
      <c r="H281" s="32" t="n">
        <v>45957.56180555555</v>
      </c>
      <c r="I281" s="33" t="n"/>
      <c r="J281" s="34" t="n"/>
      <c r="K281" s="33" t="n"/>
      <c r="L281" s="33" t="n"/>
      <c r="M281" s="35" t="n"/>
    </row>
    <row r="282">
      <c r="A282" t="inlineStr">
        <is>
          <t>ENC119578</t>
        </is>
      </c>
      <c r="B282" t="inlineStr">
        <is>
          <t>PT10751</t>
        </is>
      </c>
      <c r="C282" t="inlineStr">
        <is>
          <t>Medical-Surgical</t>
        </is>
      </c>
      <c r="D282" t="inlineStr">
        <is>
          <t>Direct Admit</t>
        </is>
      </c>
      <c r="E282" s="31" t="n">
        <v>23859</v>
      </c>
      <c r="G282" s="32" t="n">
        <v>45954.6625</v>
      </c>
      <c r="H282" s="32" t="n">
        <v>45958.41944444444</v>
      </c>
      <c r="I282" s="33" t="n"/>
      <c r="J282" s="34" t="n"/>
      <c r="K282" s="33" t="n"/>
      <c r="L282" s="33" t="n"/>
      <c r="M282" s="35" t="n"/>
    </row>
    <row r="283">
      <c r="A283" t="inlineStr">
        <is>
          <t>ENC119574</t>
        </is>
      </c>
      <c r="B283" t="inlineStr">
        <is>
          <t>PT10674</t>
        </is>
      </c>
      <c r="C283" t="inlineStr">
        <is>
          <t>Medical-Surgical</t>
        </is>
      </c>
      <c r="D283" t="inlineStr">
        <is>
          <t>Emergency Department</t>
        </is>
      </c>
      <c r="E283" s="31" t="n">
        <v>20045</v>
      </c>
      <c r="F283" s="32" t="n">
        <v>45954.5875</v>
      </c>
      <c r="G283" s="32" t="n">
        <v>45954.68402777778</v>
      </c>
      <c r="H283" s="32" t="n">
        <v>45956.61944444444</v>
      </c>
      <c r="I283" s="33" t="n"/>
      <c r="J283" s="34" t="n"/>
      <c r="K283" s="33" t="n"/>
      <c r="L283" s="33" t="n"/>
      <c r="M283" s="35" t="n"/>
    </row>
    <row r="284">
      <c r="A284" t="inlineStr">
        <is>
          <t>ENC119583</t>
        </is>
      </c>
      <c r="B284" t="inlineStr">
        <is>
          <t>PT10135</t>
        </is>
      </c>
      <c r="C284" t="inlineStr">
        <is>
          <t>Medical-Surgical</t>
        </is>
      </c>
      <c r="D284" t="inlineStr">
        <is>
          <t>Transfer</t>
        </is>
      </c>
      <c r="E284" s="31" t="n">
        <v>18612</v>
      </c>
      <c r="G284" s="32" t="n">
        <v>45954.81388888889</v>
      </c>
      <c r="H284" s="32" t="n">
        <v>45958.56180555555</v>
      </c>
      <c r="I284" s="33" t="n"/>
      <c r="J284" s="34" t="n"/>
      <c r="K284" s="33" t="n"/>
      <c r="L284" s="33" t="n"/>
      <c r="M284" s="35" t="n"/>
    </row>
    <row r="285">
      <c r="A285" t="inlineStr">
        <is>
          <t>ENC119587</t>
        </is>
      </c>
      <c r="B285" t="inlineStr">
        <is>
          <t>PT12980</t>
        </is>
      </c>
      <c r="C285" t="inlineStr">
        <is>
          <t>Medical-Surgical</t>
        </is>
      </c>
      <c r="D285" t="inlineStr">
        <is>
          <t>Emergency Department</t>
        </is>
      </c>
      <c r="E285" s="31" t="n">
        <v>14775</v>
      </c>
      <c r="F285" s="32" t="n">
        <v>45955.46527777778</v>
      </c>
      <c r="G285" s="32" t="n">
        <v>45955.63125</v>
      </c>
      <c r="H285" s="32" t="n">
        <v>45961.60833333333</v>
      </c>
      <c r="I285" s="33" t="n"/>
      <c r="J285" s="34" t="n"/>
      <c r="K285" s="33" t="n"/>
      <c r="L285" s="33" t="n"/>
      <c r="M285" s="35" t="n"/>
    </row>
    <row r="286">
      <c r="A286" t="inlineStr">
        <is>
          <t>ENC119590</t>
        </is>
      </c>
      <c r="B286" t="inlineStr">
        <is>
          <t>PT11146</t>
        </is>
      </c>
      <c r="C286" t="inlineStr">
        <is>
          <t>Medical-Surgical</t>
        </is>
      </c>
      <c r="D286" t="inlineStr">
        <is>
          <t>Direct Admit</t>
        </is>
      </c>
      <c r="E286" s="31" t="n">
        <v>30110</v>
      </c>
      <c r="G286" s="32" t="n">
        <v>45955.67083333333</v>
      </c>
      <c r="H286" s="32" t="n">
        <v>45959.60416666666</v>
      </c>
      <c r="I286" s="33" t="n"/>
      <c r="J286" s="34" t="n"/>
      <c r="K286" s="33" t="n"/>
      <c r="L286" s="33" t="n"/>
      <c r="M286" s="35" t="n"/>
    </row>
    <row r="287">
      <c r="A287" t="inlineStr">
        <is>
          <t>ENC119589</t>
        </is>
      </c>
      <c r="B287" t="inlineStr">
        <is>
          <t>PT11539</t>
        </is>
      </c>
      <c r="C287" t="inlineStr">
        <is>
          <t>Medical-Surgical</t>
        </is>
      </c>
      <c r="D287" t="inlineStr">
        <is>
          <t>Emergency Department</t>
        </is>
      </c>
      <c r="E287" s="31" t="n">
        <v>20475</v>
      </c>
      <c r="F287" s="32" t="n">
        <v>45955.56666666667</v>
      </c>
      <c r="G287" s="32" t="n">
        <v>45955.67291666667</v>
      </c>
      <c r="H287" s="32" t="n">
        <v>45962.59375</v>
      </c>
      <c r="I287" s="33" t="n"/>
      <c r="J287" s="34" t="n"/>
      <c r="K287" s="33" t="n"/>
      <c r="L287" s="33" t="n"/>
      <c r="M287" s="35" t="n"/>
    </row>
    <row r="288">
      <c r="A288" t="inlineStr">
        <is>
          <t>ENC119596</t>
        </is>
      </c>
      <c r="B288" t="inlineStr">
        <is>
          <t>PT11261</t>
        </is>
      </c>
      <c r="C288" t="inlineStr">
        <is>
          <t>Medical-Surgical</t>
        </is>
      </c>
      <c r="D288" t="inlineStr">
        <is>
          <t>Direct Admit</t>
        </is>
      </c>
      <c r="E288" s="31" t="n">
        <v>21110</v>
      </c>
      <c r="G288" s="32" t="n">
        <v>45956.00972222222</v>
      </c>
      <c r="H288" s="32" t="n">
        <v>45957.56041666667</v>
      </c>
      <c r="I288" s="33" t="n"/>
      <c r="J288" s="34" t="n"/>
      <c r="K288" s="33" t="n"/>
      <c r="L288" s="33" t="n"/>
      <c r="M288" s="35" t="n"/>
    </row>
    <row r="289">
      <c r="A289" t="inlineStr">
        <is>
          <t>ENC119601</t>
        </is>
      </c>
      <c r="B289" t="inlineStr">
        <is>
          <t>PT10095</t>
        </is>
      </c>
      <c r="C289" t="inlineStr">
        <is>
          <t>Medical-Surgical</t>
        </is>
      </c>
      <c r="D289" t="inlineStr">
        <is>
          <t>Emergency Department</t>
        </is>
      </c>
      <c r="E289" s="31" t="n">
        <v>25316</v>
      </c>
      <c r="F289" s="32" t="n">
        <v>45956.57430555556</v>
      </c>
      <c r="G289" s="32" t="n">
        <v>45956.72083333333</v>
      </c>
      <c r="H289" s="32" t="n">
        <v>45958.52777777778</v>
      </c>
      <c r="I289" s="33" t="n"/>
      <c r="J289" s="34" t="n"/>
      <c r="K289" s="33" t="n"/>
      <c r="L289" s="33" t="n"/>
      <c r="M289" s="35" t="n"/>
    </row>
    <row r="290">
      <c r="A290" t="inlineStr">
        <is>
          <t>ENC119642</t>
        </is>
      </c>
      <c r="B290" t="inlineStr">
        <is>
          <t>PT13264</t>
        </is>
      </c>
      <c r="C290" t="inlineStr">
        <is>
          <t>Medical-Surgical</t>
        </is>
      </c>
      <c r="D290" t="inlineStr">
        <is>
          <t>Emergency Department</t>
        </is>
      </c>
      <c r="E290" s="31" t="n">
        <v>28186</v>
      </c>
      <c r="F290" s="32" t="n">
        <v>45957.80625</v>
      </c>
      <c r="G290" s="32" t="n">
        <v>45957.88819444444</v>
      </c>
      <c r="H290" s="32" t="n">
        <v>45961.40208333333</v>
      </c>
      <c r="I290" s="33" t="n"/>
      <c r="J290" s="34" t="n"/>
      <c r="K290" s="33" t="n"/>
      <c r="L290" s="33" t="n"/>
      <c r="M290" s="35" t="n"/>
    </row>
    <row r="291">
      <c r="A291" t="inlineStr">
        <is>
          <t>ENC119645</t>
        </is>
      </c>
      <c r="B291" t="inlineStr">
        <is>
          <t>PT12670</t>
        </is>
      </c>
      <c r="C291" t="inlineStr">
        <is>
          <t>Medical-Surgical</t>
        </is>
      </c>
      <c r="D291" t="inlineStr">
        <is>
          <t>Emergency Department</t>
        </is>
      </c>
      <c r="E291" s="31" t="n">
        <v>10509</v>
      </c>
      <c r="F291" s="32" t="n">
        <v>45957.92847222222</v>
      </c>
      <c r="G291" s="32" t="n">
        <v>45958.04027777778</v>
      </c>
      <c r="H291" s="32" t="n">
        <v>45965.66597222222</v>
      </c>
      <c r="I291" s="33" t="n"/>
      <c r="J291" s="34" t="n"/>
      <c r="K291" s="33" t="n"/>
      <c r="L291" s="33" t="n"/>
      <c r="M291" s="35" t="n"/>
    </row>
    <row r="292">
      <c r="A292" t="inlineStr">
        <is>
          <t>ENC119652</t>
        </is>
      </c>
      <c r="B292" t="inlineStr">
        <is>
          <t>PT13588</t>
        </is>
      </c>
      <c r="C292" t="inlineStr">
        <is>
          <t>Medical-Surgical</t>
        </is>
      </c>
      <c r="D292" t="inlineStr">
        <is>
          <t>Emergency Department</t>
        </is>
      </c>
      <c r="E292" s="31" t="n">
        <v>16252</v>
      </c>
      <c r="F292" s="32" t="n">
        <v>45958.40486111111</v>
      </c>
      <c r="G292" s="32" t="n">
        <v>45958.5125</v>
      </c>
      <c r="H292" s="32" t="n">
        <v>45962.54166666666</v>
      </c>
      <c r="I292" s="33" t="n"/>
      <c r="J292" s="34" t="n"/>
      <c r="K292" s="33" t="n"/>
      <c r="L292" s="33" t="n"/>
      <c r="M292" s="35" t="n"/>
    </row>
    <row r="293">
      <c r="A293" t="inlineStr">
        <is>
          <t>ENC119654</t>
        </is>
      </c>
      <c r="B293" t="inlineStr">
        <is>
          <t>PT11222</t>
        </is>
      </c>
      <c r="C293" t="inlineStr">
        <is>
          <t>Medical-Surgical</t>
        </is>
      </c>
      <c r="D293" t="inlineStr">
        <is>
          <t>Emergency Department</t>
        </is>
      </c>
      <c r="E293" s="31" t="n">
        <v>14132</v>
      </c>
      <c r="F293" s="32" t="n">
        <v>45958.42291666667</v>
      </c>
      <c r="G293" s="32" t="n">
        <v>45958.59791666667</v>
      </c>
      <c r="H293" s="32" t="n">
        <v>45964.64305555556</v>
      </c>
      <c r="I293" s="33" t="n"/>
      <c r="J293" s="34" t="n"/>
      <c r="K293" s="33" t="n"/>
      <c r="L293" s="33" t="n"/>
      <c r="M293" s="35" t="n"/>
    </row>
    <row r="294">
      <c r="A294" t="inlineStr">
        <is>
          <t>ENC119666</t>
        </is>
      </c>
      <c r="B294" t="inlineStr">
        <is>
          <t>PT13478</t>
        </is>
      </c>
      <c r="C294" t="inlineStr">
        <is>
          <t>Medical-Surgical</t>
        </is>
      </c>
      <c r="D294" t="inlineStr">
        <is>
          <t>Emergency Department</t>
        </is>
      </c>
      <c r="E294" s="31" t="n">
        <v>23161</v>
      </c>
      <c r="F294" s="32" t="n">
        <v>45958.55972222222</v>
      </c>
      <c r="G294" s="32" t="n">
        <v>45958.66319444445</v>
      </c>
      <c r="H294" s="32" t="n">
        <v>45960.63263888889</v>
      </c>
      <c r="I294" s="33" t="n"/>
      <c r="J294" s="34" t="n"/>
      <c r="K294" s="33" t="n"/>
      <c r="L294" s="33" t="n"/>
      <c r="M294" s="35" t="n"/>
    </row>
    <row r="295">
      <c r="A295" t="inlineStr">
        <is>
          <t>ENC119687</t>
        </is>
      </c>
      <c r="B295" t="inlineStr">
        <is>
          <t>PT11105</t>
        </is>
      </c>
      <c r="C295" t="inlineStr">
        <is>
          <t>Medical-Surgical</t>
        </is>
      </c>
      <c r="D295" t="inlineStr">
        <is>
          <t>Transfer</t>
        </is>
      </c>
      <c r="E295" s="31" t="n">
        <v>19227</v>
      </c>
      <c r="G295" s="32" t="n">
        <v>45958.88055555556</v>
      </c>
      <c r="H295" s="32" t="n">
        <v>45961.57916666667</v>
      </c>
      <c r="I295" s="33" t="n"/>
      <c r="J295" s="34" t="n"/>
      <c r="K295" s="33" t="n"/>
      <c r="L295" s="33" t="n"/>
      <c r="M295" s="35" t="n"/>
    </row>
    <row r="296">
      <c r="A296" t="inlineStr">
        <is>
          <t>ENC119691</t>
        </is>
      </c>
      <c r="B296" t="inlineStr">
        <is>
          <t>PT10320</t>
        </is>
      </c>
      <c r="C296" t="inlineStr">
        <is>
          <t>Medical-Surgical</t>
        </is>
      </c>
      <c r="D296" t="inlineStr">
        <is>
          <t>Emergency Department</t>
        </is>
      </c>
      <c r="E296" s="31" t="n">
        <v>15599</v>
      </c>
      <c r="F296" s="32" t="n">
        <v>45959.06458333333</v>
      </c>
      <c r="G296" s="32" t="n">
        <v>45959.19930555556</v>
      </c>
      <c r="H296" s="32" t="n">
        <v>45967.64444444444</v>
      </c>
      <c r="I296" s="33" t="n"/>
      <c r="J296" s="34" t="n"/>
      <c r="K296" s="33" t="n"/>
      <c r="L296" s="33" t="n"/>
      <c r="M296" s="35" t="n"/>
    </row>
    <row r="297">
      <c r="A297" t="inlineStr">
        <is>
          <t>ENC119711</t>
        </is>
      </c>
      <c r="B297" t="inlineStr">
        <is>
          <t>PT13386</t>
        </is>
      </c>
      <c r="C297" t="inlineStr">
        <is>
          <t>Medical-Surgical</t>
        </is>
      </c>
      <c r="D297" t="inlineStr">
        <is>
          <t>Emergency Department</t>
        </is>
      </c>
      <c r="E297" s="31" t="n">
        <v>17615</v>
      </c>
      <c r="F297" s="32" t="n">
        <v>45959.60138888889</v>
      </c>
      <c r="G297" s="32" t="n">
        <v>45959.7375</v>
      </c>
      <c r="H297" s="32" t="n">
        <v>45962.52083333334</v>
      </c>
      <c r="I297" s="33" t="n"/>
      <c r="J297" s="34" t="n"/>
      <c r="K297" s="33" t="n"/>
      <c r="L297" s="33" t="n"/>
      <c r="M297" s="35" t="n"/>
    </row>
    <row r="298">
      <c r="A298" t="inlineStr">
        <is>
          <t>ENC119764</t>
        </is>
      </c>
      <c r="B298" t="inlineStr">
        <is>
          <t>PT12266</t>
        </is>
      </c>
      <c r="C298" t="inlineStr">
        <is>
          <t>Labor &amp; Delivery</t>
        </is>
      </c>
      <c r="D298" t="inlineStr">
        <is>
          <t>Emergency Department</t>
        </is>
      </c>
      <c r="E298" s="31" t="n">
        <v>32736</v>
      </c>
      <c r="F298" s="32" t="n">
        <v>45961.32638888889</v>
      </c>
      <c r="G298" s="32" t="n">
        <v>45961.45763888889</v>
      </c>
      <c r="H298" s="32" t="n">
        <v>45964.72361111111</v>
      </c>
      <c r="I298" s="33" t="n"/>
      <c r="J298" s="34" t="n"/>
      <c r="K298" s="33" t="n"/>
      <c r="L298" s="33" t="n"/>
      <c r="M298" s="35" t="n"/>
    </row>
    <row r="299">
      <c r="A299" t="inlineStr">
        <is>
          <t>ENC119783</t>
        </is>
      </c>
      <c r="B299" t="inlineStr">
        <is>
          <t>PT13782</t>
        </is>
      </c>
      <c r="C299" t="inlineStr">
        <is>
          <t>Intensive Care Unit</t>
        </is>
      </c>
      <c r="D299" t="inlineStr">
        <is>
          <t>Emergency Department</t>
        </is>
      </c>
      <c r="E299" s="31" t="n">
        <v>19979</v>
      </c>
      <c r="F299" s="32" t="n">
        <v>45961.57013888889</v>
      </c>
      <c r="G299" s="32" t="n">
        <v>45961.74375</v>
      </c>
      <c r="H299" s="32" t="n">
        <v>45966.67638888889</v>
      </c>
      <c r="I299" s="33" t="n"/>
      <c r="J299" s="34" t="n"/>
      <c r="K299" s="33" t="n"/>
      <c r="L299" s="33" t="n"/>
      <c r="M299" s="35" t="n"/>
    </row>
    <row r="300">
      <c r="A300" t="inlineStr">
        <is>
          <t>ENC119801</t>
        </is>
      </c>
      <c r="B300" t="inlineStr">
        <is>
          <t>PT11261</t>
        </is>
      </c>
      <c r="C300" t="inlineStr">
        <is>
          <t>Intensive Care Unit</t>
        </is>
      </c>
      <c r="D300" t="inlineStr">
        <is>
          <t>Emergency Department</t>
        </is>
      </c>
      <c r="E300" s="31" t="n">
        <v>21110</v>
      </c>
      <c r="F300" s="32" t="n">
        <v>45961.82569444444</v>
      </c>
      <c r="G300" s="32" t="n">
        <v>45961.90902777778</v>
      </c>
      <c r="H300" s="32" t="n">
        <v>45967.58402777778</v>
      </c>
      <c r="I300" s="33" t="n"/>
      <c r="J300" s="34" t="n"/>
      <c r="K300" s="33" t="n"/>
      <c r="L300" s="33" t="n"/>
      <c r="M300" s="35" t="n"/>
    </row>
    <row r="301">
      <c r="A301" t="inlineStr">
        <is>
          <t>ENC119810</t>
        </is>
      </c>
      <c r="B301" t="inlineStr">
        <is>
          <t>PT13692</t>
        </is>
      </c>
      <c r="C301" t="inlineStr">
        <is>
          <t>Medical-Surgical</t>
        </is>
      </c>
      <c r="D301" t="inlineStr">
        <is>
          <t>Emergency Department</t>
        </is>
      </c>
      <c r="E301" s="31" t="n">
        <v>25024</v>
      </c>
      <c r="F301" s="32" t="n">
        <v>45962.42847222222</v>
      </c>
      <c r="G301" s="32" t="n">
        <v>45962.50694444445</v>
      </c>
      <c r="H301" s="32" t="n">
        <v>45966.4125</v>
      </c>
      <c r="I301" s="33" t="n"/>
      <c r="J301" s="34" t="n"/>
      <c r="K301" s="33" t="n"/>
      <c r="L301" s="33" t="n"/>
      <c r="M301" s="35" t="n"/>
    </row>
    <row r="302">
      <c r="A302" t="inlineStr">
        <is>
          <t>ENC119831</t>
        </is>
      </c>
      <c r="B302" t="inlineStr">
        <is>
          <t>PT12177</t>
        </is>
      </c>
      <c r="C302" t="inlineStr">
        <is>
          <t>Medical-Surgical</t>
        </is>
      </c>
      <c r="D302" t="inlineStr">
        <is>
          <t>Emergency Department</t>
        </is>
      </c>
      <c r="E302" s="31" t="n">
        <v>26779</v>
      </c>
      <c r="F302" s="32" t="n">
        <v>45964.03680555556</v>
      </c>
      <c r="G302" s="32" t="n">
        <v>45964.13611111111</v>
      </c>
      <c r="H302" s="32" t="n">
        <v>45966.58402777778</v>
      </c>
      <c r="I302" s="33" t="n"/>
      <c r="J302" s="34" t="n"/>
      <c r="K302" s="33" t="n"/>
      <c r="L302" s="33" t="n"/>
      <c r="M302" s="35" t="n"/>
    </row>
    <row r="303">
      <c r="A303" t="inlineStr">
        <is>
          <t>ENC119853</t>
        </is>
      </c>
      <c r="B303" t="inlineStr">
        <is>
          <t>PT11146</t>
        </is>
      </c>
      <c r="C303" t="inlineStr">
        <is>
          <t>Medical-Surgical</t>
        </is>
      </c>
      <c r="D303" t="inlineStr">
        <is>
          <t>Emergency Department</t>
        </is>
      </c>
      <c r="E303" s="31" t="n">
        <v>30110</v>
      </c>
      <c r="F303" s="32" t="n">
        <v>45964.5125</v>
      </c>
      <c r="G303" s="32" t="n">
        <v>45964.65208333333</v>
      </c>
      <c r="H303" s="32" t="n">
        <v>45970.44652777778</v>
      </c>
      <c r="I303" s="33" t="n"/>
      <c r="J303" s="34" t="n"/>
      <c r="K303" s="33" t="n"/>
      <c r="L303" s="33" t="n"/>
      <c r="M303" s="35" t="n"/>
    </row>
    <row r="304">
      <c r="A304" t="inlineStr">
        <is>
          <t>ENC119926</t>
        </is>
      </c>
      <c r="B304" t="inlineStr">
        <is>
          <t>PT13586</t>
        </is>
      </c>
      <c r="C304" t="inlineStr">
        <is>
          <t>Medical-Surgical</t>
        </is>
      </c>
      <c r="D304" t="inlineStr">
        <is>
          <t>Emergency Department</t>
        </is>
      </c>
      <c r="E304" s="31" t="n">
        <v>15997</v>
      </c>
      <c r="F304" s="32" t="n">
        <v>45966.425</v>
      </c>
      <c r="G304" s="32" t="n">
        <v>45966.57013888889</v>
      </c>
      <c r="H304" s="32" t="n">
        <v>45968.75486111111</v>
      </c>
      <c r="I304" s="33" t="n"/>
      <c r="J304" s="34" t="n"/>
      <c r="K304" s="33" t="n"/>
      <c r="L304" s="33" t="n"/>
      <c r="M304" s="35" t="n"/>
    </row>
    <row r="305">
      <c r="A305" t="inlineStr">
        <is>
          <t>ENC119955</t>
        </is>
      </c>
      <c r="B305" t="inlineStr">
        <is>
          <t>PT13694</t>
        </is>
      </c>
      <c r="C305" t="inlineStr">
        <is>
          <t>Medical-Surgical</t>
        </is>
      </c>
      <c r="D305" t="inlineStr">
        <is>
          <t>Emergency Department</t>
        </is>
      </c>
      <c r="E305" s="31" t="n">
        <v>21504</v>
      </c>
      <c r="F305" s="32" t="n">
        <v>45966.78680555556</v>
      </c>
      <c r="G305" s="32" t="n">
        <v>45966.93541666667</v>
      </c>
      <c r="H305" s="32" t="n">
        <v>45970.54097222222</v>
      </c>
      <c r="I305" s="33" t="n"/>
      <c r="J305" s="34" t="n"/>
      <c r="K305" s="33" t="n"/>
      <c r="L305" s="33" t="n"/>
      <c r="M305" s="35" t="n"/>
    </row>
    <row r="306">
      <c r="A306" t="inlineStr">
        <is>
          <t>ENC119982</t>
        </is>
      </c>
      <c r="B306" t="inlineStr">
        <is>
          <t>PT10554</t>
        </is>
      </c>
      <c r="C306" t="inlineStr">
        <is>
          <t>Medical-Surgical</t>
        </is>
      </c>
      <c r="D306" t="inlineStr">
        <is>
          <t>Direct Admit</t>
        </is>
      </c>
      <c r="E306" s="31" t="n">
        <v>23135</v>
      </c>
      <c r="G306" s="32" t="n">
        <v>45967.64861111111</v>
      </c>
      <c r="H306" s="32" t="n">
        <v>45971.58541666667</v>
      </c>
      <c r="I306" s="33" t="n"/>
      <c r="J306" s="34" t="n"/>
      <c r="K306" s="33" t="n"/>
      <c r="L306" s="33" t="n"/>
      <c r="M306" s="35" t="n"/>
    </row>
    <row r="307">
      <c r="A307" t="inlineStr">
        <is>
          <t>ENC120056</t>
        </is>
      </c>
      <c r="B307" t="inlineStr">
        <is>
          <t>PT13161</t>
        </is>
      </c>
      <c r="C307" t="inlineStr">
        <is>
          <t>Medical-Surgical</t>
        </is>
      </c>
      <c r="D307" t="inlineStr">
        <is>
          <t>Emergency Department</t>
        </is>
      </c>
      <c r="E307" s="31" t="n">
        <v>20978</v>
      </c>
      <c r="F307" s="32" t="n">
        <v>45971.30694444444</v>
      </c>
      <c r="G307" s="32" t="n">
        <v>45971.42777777778</v>
      </c>
      <c r="H307" s="32" t="n">
        <v>45976.58263888889</v>
      </c>
      <c r="I307" s="33" t="n"/>
      <c r="J307" s="34" t="n"/>
      <c r="K307" s="33" t="n"/>
      <c r="L307" s="33" t="n"/>
      <c r="M307" s="35" t="n"/>
    </row>
    <row r="308">
      <c r="A308" t="inlineStr">
        <is>
          <t>ENC120142</t>
        </is>
      </c>
      <c r="B308" t="inlineStr">
        <is>
          <t>PT13990</t>
        </is>
      </c>
      <c r="C308" t="inlineStr">
        <is>
          <t>Labor &amp; Delivery</t>
        </is>
      </c>
      <c r="D308" t="inlineStr">
        <is>
          <t>Direct Admit</t>
        </is>
      </c>
      <c r="E308" s="31" t="n">
        <v>36981</v>
      </c>
      <c r="G308" s="32" t="n">
        <v>45973.18819444445</v>
      </c>
      <c r="H308" s="32" t="n">
        <v>45976.675</v>
      </c>
      <c r="I308" s="33" t="n"/>
      <c r="J308" s="34" t="n"/>
      <c r="K308" s="33" t="n"/>
      <c r="L308" s="33" t="n"/>
      <c r="M308" s="35" t="n"/>
    </row>
    <row r="309">
      <c r="A309" t="inlineStr">
        <is>
          <t>ENC120175</t>
        </is>
      </c>
      <c r="B309" t="inlineStr">
        <is>
          <t>PT10148</t>
        </is>
      </c>
      <c r="C309" t="inlineStr">
        <is>
          <t>Medical-Surgical</t>
        </is>
      </c>
      <c r="D309" t="inlineStr">
        <is>
          <t>Transfer</t>
        </is>
      </c>
      <c r="E309" s="31" t="n">
        <v>15972</v>
      </c>
      <c r="G309" s="32" t="n">
        <v>45974.34166666667</v>
      </c>
      <c r="H309" s="32" t="n">
        <v>45984.54722222222</v>
      </c>
      <c r="I309" s="33" t="n"/>
      <c r="J309" s="34" t="n"/>
      <c r="K309" s="33" t="n"/>
      <c r="L309" s="33" t="n"/>
      <c r="M309" s="35" t="n"/>
    </row>
    <row r="310">
      <c r="A310" t="inlineStr">
        <is>
          <t>ENC120181</t>
        </is>
      </c>
      <c r="B310" t="inlineStr">
        <is>
          <t>PT13078</t>
        </is>
      </c>
      <c r="C310" t="inlineStr">
        <is>
          <t>Labor &amp; Delivery</t>
        </is>
      </c>
      <c r="D310" t="inlineStr">
        <is>
          <t>Emergency Department</t>
        </is>
      </c>
      <c r="E310" s="31" t="n">
        <v>37620</v>
      </c>
      <c r="F310" s="32" t="n">
        <v>45974.43194444444</v>
      </c>
      <c r="G310" s="32" t="n">
        <v>45974.57847222222</v>
      </c>
      <c r="H310" s="32" t="n">
        <v>45977.58541666667</v>
      </c>
      <c r="I310" s="33" t="n"/>
      <c r="J310" s="34" t="n"/>
      <c r="K310" s="33" t="n"/>
      <c r="L310" s="33" t="n"/>
      <c r="M310" s="35" t="n"/>
    </row>
    <row r="311">
      <c r="A311" t="inlineStr">
        <is>
          <t>ENC120232</t>
        </is>
      </c>
      <c r="B311" t="inlineStr">
        <is>
          <t>PT12818</t>
        </is>
      </c>
      <c r="C311" t="inlineStr">
        <is>
          <t>Medical-Surgical</t>
        </is>
      </c>
      <c r="D311" t="inlineStr">
        <is>
          <t>Emergency Department</t>
        </is>
      </c>
      <c r="E311" s="31" t="n">
        <v>18832</v>
      </c>
      <c r="F311" s="32" t="n">
        <v>45975.77847222222</v>
      </c>
      <c r="G311" s="32" t="n">
        <v>45975.85902777778</v>
      </c>
      <c r="H311" s="32" t="n">
        <v>45984.67222222222</v>
      </c>
      <c r="I311" s="33" t="n"/>
      <c r="J311" s="34" t="n"/>
      <c r="K311" s="33" t="n"/>
      <c r="L311" s="33" t="n"/>
      <c r="M311" s="35" t="n"/>
    </row>
    <row r="312">
      <c r="A312" t="inlineStr">
        <is>
          <t>ENC120248</t>
        </is>
      </c>
      <c r="B312" t="inlineStr">
        <is>
          <t>PT13373</t>
        </is>
      </c>
      <c r="C312" t="inlineStr">
        <is>
          <t>Medical-Surgical</t>
        </is>
      </c>
      <c r="D312" t="inlineStr">
        <is>
          <t>Direct Admit</t>
        </is>
      </c>
      <c r="E312" s="31" t="n">
        <v>37314</v>
      </c>
      <c r="G312" s="32" t="n">
        <v>45976.525</v>
      </c>
      <c r="H312" s="32" t="n">
        <v>45981.70763888889</v>
      </c>
      <c r="I312" s="33" t="n"/>
      <c r="J312" s="34" t="n"/>
      <c r="K312" s="33" t="n"/>
      <c r="L312" s="33" t="n"/>
      <c r="M312" s="35" t="n"/>
    </row>
    <row r="313">
      <c r="A313" t="inlineStr">
        <is>
          <t>ENC120250</t>
        </is>
      </c>
      <c r="B313" t="inlineStr">
        <is>
          <t>PT12428</t>
        </is>
      </c>
      <c r="C313" t="inlineStr">
        <is>
          <t>Labor &amp; Delivery</t>
        </is>
      </c>
      <c r="D313" t="inlineStr">
        <is>
          <t>Emergency Department</t>
        </is>
      </c>
      <c r="E313" s="31" t="n">
        <v>37224</v>
      </c>
      <c r="F313" s="32" t="n">
        <v>45976.67361111111</v>
      </c>
      <c r="G313" s="32" t="n">
        <v>45976.83680555555</v>
      </c>
      <c r="H313" s="32" t="n">
        <v>45980.49375</v>
      </c>
      <c r="I313" s="33" t="n"/>
      <c r="J313" s="34" t="n"/>
      <c r="K313" s="33" t="n"/>
      <c r="L313" s="33" t="n"/>
      <c r="M313" s="35" t="n"/>
    </row>
    <row r="314">
      <c r="A314" t="inlineStr">
        <is>
          <t>ENC120304</t>
        </is>
      </c>
      <c r="B314" t="inlineStr">
        <is>
          <t>PT11003</t>
        </is>
      </c>
      <c r="C314" t="inlineStr">
        <is>
          <t>Medical-Surgical</t>
        </is>
      </c>
      <c r="D314" t="inlineStr">
        <is>
          <t>Direct Admit</t>
        </is>
      </c>
      <c r="E314" s="31" t="n">
        <v>44685</v>
      </c>
      <c r="G314" s="32" t="n">
        <v>45978.49791666667</v>
      </c>
      <c r="H314" s="32" t="n">
        <v>45981.48333333333</v>
      </c>
      <c r="I314" s="33" t="n"/>
      <c r="J314" s="34" t="n"/>
      <c r="K314" s="33" t="n"/>
      <c r="L314" s="33" t="n"/>
      <c r="M314" s="35" t="n"/>
    </row>
    <row r="315">
      <c r="A315" t="inlineStr">
        <is>
          <t>ENC120359</t>
        </is>
      </c>
      <c r="B315" t="inlineStr">
        <is>
          <t>PT13916</t>
        </is>
      </c>
      <c r="C315" t="inlineStr">
        <is>
          <t>Medical-Surgical</t>
        </is>
      </c>
      <c r="D315" t="inlineStr">
        <is>
          <t>Direct Admit</t>
        </is>
      </c>
      <c r="E315" s="31" t="n">
        <v>28227</v>
      </c>
      <c r="G315" s="32" t="n">
        <v>45979.70902777778</v>
      </c>
      <c r="H315" s="32" t="n">
        <v>45985.53125</v>
      </c>
      <c r="I315" s="33" t="n"/>
      <c r="J315" s="34" t="n"/>
      <c r="K315" s="33" t="n"/>
      <c r="L315" s="33" t="n"/>
      <c r="M315" s="35" t="n"/>
    </row>
    <row r="316">
      <c r="A316" t="inlineStr">
        <is>
          <t>ENC120370</t>
        </is>
      </c>
      <c r="B316" t="inlineStr">
        <is>
          <t>PT12197</t>
        </is>
      </c>
      <c r="C316" t="inlineStr">
        <is>
          <t>Medical-Surgical</t>
        </is>
      </c>
      <c r="D316" t="inlineStr">
        <is>
          <t>Emergency Department</t>
        </is>
      </c>
      <c r="E316" s="31" t="n">
        <v>30180</v>
      </c>
      <c r="F316" s="32" t="n">
        <v>45980.31319444445</v>
      </c>
      <c r="G316" s="32" t="n">
        <v>45980.39652777778</v>
      </c>
      <c r="H316" s="32" t="n">
        <v>45983.52291666667</v>
      </c>
      <c r="I316" s="33" t="n"/>
      <c r="J316" s="34" t="n"/>
      <c r="K316" s="33" t="n"/>
      <c r="L316" s="33" t="n"/>
      <c r="M316" s="35" t="n"/>
    </row>
    <row r="317">
      <c r="A317" t="inlineStr">
        <is>
          <t>ENC120371</t>
        </is>
      </c>
      <c r="B317" t="inlineStr">
        <is>
          <t>PT12719</t>
        </is>
      </c>
      <c r="C317" t="inlineStr">
        <is>
          <t>Medical-Surgical</t>
        </is>
      </c>
      <c r="D317" t="inlineStr">
        <is>
          <t>Emergency Department</t>
        </is>
      </c>
      <c r="E317" s="31" t="n">
        <v>29287</v>
      </c>
      <c r="F317" s="32" t="n">
        <v>45980.34652777778</v>
      </c>
      <c r="G317" s="32" t="n">
        <v>45980.49583333333</v>
      </c>
      <c r="H317" s="32" t="n">
        <v>45986.67291666667</v>
      </c>
      <c r="I317" s="33" t="n"/>
      <c r="J317" s="34" t="n"/>
      <c r="K317" s="33" t="n"/>
      <c r="L317" s="33" t="n"/>
      <c r="M317" s="35" t="n"/>
    </row>
    <row r="318">
      <c r="A318" t="inlineStr">
        <is>
          <t>ENC120400</t>
        </is>
      </c>
      <c r="B318" t="inlineStr">
        <is>
          <t>PT13915</t>
        </is>
      </c>
      <c r="C318" t="inlineStr">
        <is>
          <t>Medical-Surgical</t>
        </is>
      </c>
      <c r="D318" t="inlineStr">
        <is>
          <t>Emergency Department</t>
        </is>
      </c>
      <c r="E318" s="31" t="n">
        <v>16097</v>
      </c>
      <c r="F318" s="32" t="n">
        <v>45980.90902777778</v>
      </c>
      <c r="G318" s="32" t="n">
        <v>45981.07361111111</v>
      </c>
      <c r="H318" s="32" t="n">
        <v>45984.48958333334</v>
      </c>
      <c r="I318" s="33" t="n"/>
      <c r="J318" s="34" t="n"/>
      <c r="K318" s="33" t="n"/>
      <c r="L318" s="33" t="n"/>
      <c r="M318" s="35" t="n"/>
    </row>
    <row r="319">
      <c r="A319" t="inlineStr">
        <is>
          <t>ENC120407</t>
        </is>
      </c>
      <c r="B319" t="inlineStr">
        <is>
          <t>PT10252</t>
        </is>
      </c>
      <c r="C319" t="inlineStr">
        <is>
          <t>Medical-Surgical</t>
        </is>
      </c>
      <c r="D319" t="inlineStr">
        <is>
          <t>Emergency Department</t>
        </is>
      </c>
      <c r="E319" s="31" t="n">
        <v>27534</v>
      </c>
      <c r="F319" s="32" t="n">
        <v>45981.33472222222</v>
      </c>
      <c r="G319" s="32" t="n">
        <v>45981.475</v>
      </c>
      <c r="H319" s="32" t="n">
        <v>45985.67986111111</v>
      </c>
      <c r="I319" s="33" t="n"/>
      <c r="J319" s="34" t="n"/>
      <c r="K319" s="33" t="n"/>
      <c r="L319" s="33" t="n"/>
      <c r="M319" s="35" t="n"/>
    </row>
    <row r="320">
      <c r="A320" t="inlineStr">
        <is>
          <t>ENC120492</t>
        </is>
      </c>
      <c r="B320" t="inlineStr">
        <is>
          <t>PT13767</t>
        </is>
      </c>
      <c r="C320" t="inlineStr">
        <is>
          <t>Medical-Surgical</t>
        </is>
      </c>
      <c r="D320" t="inlineStr">
        <is>
          <t>Emergency Department</t>
        </is>
      </c>
      <c r="E320" s="31" t="n">
        <v>16459</v>
      </c>
      <c r="F320" s="32" t="n">
        <v>45983.89444444444</v>
      </c>
      <c r="G320" s="32" t="n">
        <v>45983.98402777778</v>
      </c>
      <c r="H320" s="32" t="n">
        <v>45991.66111111111</v>
      </c>
      <c r="I320" s="33" t="n"/>
      <c r="J320" s="34" t="n"/>
      <c r="K320" s="33" t="n"/>
      <c r="L320" s="33" t="n"/>
      <c r="M320" s="35" t="n"/>
    </row>
    <row r="321">
      <c r="A321" t="inlineStr">
        <is>
          <t>ENC120505</t>
        </is>
      </c>
      <c r="B321" t="inlineStr">
        <is>
          <t>PT12717</t>
        </is>
      </c>
      <c r="C321" t="inlineStr">
        <is>
          <t>Medical-Surgical</t>
        </is>
      </c>
      <c r="D321" t="inlineStr">
        <is>
          <t>Emergency Department</t>
        </is>
      </c>
      <c r="E321" s="31" t="n">
        <v>22567</v>
      </c>
      <c r="F321" s="32" t="n">
        <v>45984.66666666666</v>
      </c>
      <c r="G321" s="32" t="n">
        <v>45984.74791666667</v>
      </c>
      <c r="H321" s="32" t="n">
        <v>45989.57777777778</v>
      </c>
      <c r="I321" s="33" t="n"/>
      <c r="J321" s="34" t="n"/>
      <c r="K321" s="33" t="n"/>
      <c r="L321" s="33" t="n"/>
      <c r="M321" s="35" t="n"/>
    </row>
    <row r="322">
      <c r="A322" t="inlineStr">
        <is>
          <t>ENC120503</t>
        </is>
      </c>
      <c r="B322" t="inlineStr">
        <is>
          <t>PT10290</t>
        </is>
      </c>
      <c r="C322" t="inlineStr">
        <is>
          <t>Medical-Surgical</t>
        </is>
      </c>
      <c r="D322" t="inlineStr">
        <is>
          <t>Emergency Department</t>
        </is>
      </c>
      <c r="E322" s="31" t="n">
        <v>25268</v>
      </c>
      <c r="F322" s="32" t="n">
        <v>45984.65833333333</v>
      </c>
      <c r="G322" s="32" t="n">
        <v>45984.78958333333</v>
      </c>
      <c r="H322" s="32" t="n">
        <v>45991.49722222222</v>
      </c>
      <c r="I322" s="33" t="n"/>
      <c r="J322" s="34" t="n"/>
      <c r="K322" s="33" t="n"/>
      <c r="L322" s="33" t="n"/>
      <c r="M322" s="35" t="n"/>
    </row>
    <row r="323">
      <c r="A323" t="inlineStr">
        <is>
          <t>ENC120516</t>
        </is>
      </c>
      <c r="B323" t="inlineStr">
        <is>
          <t>PT13586</t>
        </is>
      </c>
      <c r="C323" t="inlineStr">
        <is>
          <t>Medical-Surgical</t>
        </is>
      </c>
      <c r="D323" t="inlineStr">
        <is>
          <t>Direct Admit</t>
        </is>
      </c>
      <c r="E323" s="31" t="n">
        <v>15997</v>
      </c>
      <c r="G323" s="32" t="n">
        <v>45985.06666666667</v>
      </c>
      <c r="H323" s="32" t="n">
        <v>45988.67708333334</v>
      </c>
      <c r="I323" s="33" t="n"/>
      <c r="J323" s="34" t="n"/>
      <c r="K323" s="33" t="n"/>
      <c r="L323" s="33" t="n"/>
      <c r="M323" s="35" t="n"/>
    </row>
    <row r="324">
      <c r="A324" t="inlineStr">
        <is>
          <t>ENC120520</t>
        </is>
      </c>
      <c r="B324" t="inlineStr">
        <is>
          <t>PT10434</t>
        </is>
      </c>
      <c r="C324" t="inlineStr">
        <is>
          <t>Medical-Surgical</t>
        </is>
      </c>
      <c r="D324" t="inlineStr">
        <is>
          <t>Emergency Department</t>
        </is>
      </c>
      <c r="E324" s="31" t="n">
        <v>18035</v>
      </c>
      <c r="F324" s="32" t="n">
        <v>45985.23402777778</v>
      </c>
      <c r="G324" s="32" t="n">
        <v>45985.35763888889</v>
      </c>
      <c r="H324" s="32" t="n">
        <v>45989.72013888889</v>
      </c>
      <c r="I324" s="33" t="n"/>
      <c r="J324" s="34" t="n"/>
      <c r="K324" s="33" t="n"/>
      <c r="L324" s="33" t="n"/>
      <c r="M324" s="35" t="n"/>
    </row>
    <row r="325">
      <c r="A325" t="inlineStr">
        <is>
          <t>ENC120525</t>
        </is>
      </c>
      <c r="B325" t="inlineStr">
        <is>
          <t>PT13499</t>
        </is>
      </c>
      <c r="C325" t="inlineStr">
        <is>
          <t>Medical-Surgical</t>
        </is>
      </c>
      <c r="D325" t="inlineStr">
        <is>
          <t>Emergency Department</t>
        </is>
      </c>
      <c r="E325" s="31" t="n">
        <v>14846</v>
      </c>
      <c r="F325" s="32" t="n">
        <v>45985.41180555556</v>
      </c>
      <c r="G325" s="32" t="n">
        <v>45985.54305555556</v>
      </c>
      <c r="H325" s="32" t="n">
        <v>45990.63541666666</v>
      </c>
      <c r="I325" s="33" t="n"/>
      <c r="J325" s="34" t="n"/>
      <c r="K325" s="33" t="n"/>
      <c r="L325" s="33" t="n"/>
      <c r="M325" s="35" t="n"/>
    </row>
    <row r="326">
      <c r="A326" t="inlineStr">
        <is>
          <t>ENC120607</t>
        </is>
      </c>
      <c r="B326" t="inlineStr">
        <is>
          <t>PT12441</t>
        </is>
      </c>
      <c r="C326" t="inlineStr">
        <is>
          <t>Medical-Surgical</t>
        </is>
      </c>
      <c r="D326" t="inlineStr">
        <is>
          <t>Emergency Department</t>
        </is>
      </c>
      <c r="E326" s="31" t="n">
        <v>23845</v>
      </c>
      <c r="F326" s="32" t="n">
        <v>45987.67569444444</v>
      </c>
      <c r="G326" s="32" t="n">
        <v>45987.79097222222</v>
      </c>
      <c r="H326" s="32" t="n">
        <v>45992.58888888889</v>
      </c>
      <c r="I326" s="33" t="n"/>
      <c r="J326" s="34" t="n"/>
      <c r="K326" s="33" t="n"/>
      <c r="L326" s="33" t="n"/>
      <c r="M326" s="35" t="n"/>
    </row>
    <row r="327">
      <c r="A327" t="inlineStr">
        <is>
          <t>ENC120612</t>
        </is>
      </c>
      <c r="B327" t="inlineStr">
        <is>
          <t>PT10865</t>
        </is>
      </c>
      <c r="C327" t="inlineStr">
        <is>
          <t>Medical-Surgical</t>
        </is>
      </c>
      <c r="D327" t="inlineStr">
        <is>
          <t>Emergency Department</t>
        </is>
      </c>
      <c r="E327" s="31" t="n">
        <v>10588</v>
      </c>
      <c r="F327" s="32" t="n">
        <v>45988.00625</v>
      </c>
      <c r="G327" s="32" t="n">
        <v>45988.14513888889</v>
      </c>
      <c r="H327" s="32" t="n">
        <v>45995.47222222222</v>
      </c>
      <c r="I327" s="33" t="n"/>
      <c r="J327" s="34" t="n"/>
      <c r="K327" s="33" t="n"/>
      <c r="L327" s="33" t="n"/>
      <c r="M327" s="35" t="n"/>
    </row>
    <row r="328">
      <c r="A328" t="inlineStr">
        <is>
          <t>ENC120648</t>
        </is>
      </c>
      <c r="B328" t="inlineStr">
        <is>
          <t>PT12624</t>
        </is>
      </c>
      <c r="C328" t="inlineStr">
        <is>
          <t>Medical-Surgical</t>
        </is>
      </c>
      <c r="D328" t="inlineStr">
        <is>
          <t>Direct Admit</t>
        </is>
      </c>
      <c r="E328" s="31" t="n">
        <v>17012</v>
      </c>
      <c r="G328" s="32" t="n">
        <v>45988.92916666667</v>
      </c>
      <c r="H328" s="32" t="n">
        <v>45998.64444444444</v>
      </c>
      <c r="I328" s="33" t="n"/>
      <c r="J328" s="34" t="n"/>
      <c r="K328" s="33" t="n"/>
      <c r="L328" s="33" t="n"/>
      <c r="M328" s="35" t="n"/>
    </row>
    <row r="329">
      <c r="A329" t="inlineStr">
        <is>
          <t>ENC120645</t>
        </is>
      </c>
      <c r="B329" t="inlineStr">
        <is>
          <t>PT13726</t>
        </is>
      </c>
      <c r="C329" t="inlineStr">
        <is>
          <t>Medical-Surgical</t>
        </is>
      </c>
      <c r="D329" t="inlineStr">
        <is>
          <t>Emergency Department</t>
        </is>
      </c>
      <c r="E329" s="31" t="n">
        <v>20805</v>
      </c>
      <c r="F329" s="32" t="n">
        <v>45988.89652777778</v>
      </c>
      <c r="G329" s="32" t="n">
        <v>45989.04930555556</v>
      </c>
      <c r="H329" s="32" t="n">
        <v>45991.52708333333</v>
      </c>
      <c r="I329" s="33" t="n"/>
      <c r="J329" s="34" t="n"/>
      <c r="K329" s="33" t="n"/>
      <c r="L329" s="33" t="n"/>
      <c r="M329" s="35" t="n"/>
    </row>
    <row r="330">
      <c r="A330" t="inlineStr">
        <is>
          <t>ENC120667</t>
        </is>
      </c>
      <c r="B330" t="inlineStr">
        <is>
          <t>PT12399</t>
        </is>
      </c>
      <c r="C330" t="inlineStr">
        <is>
          <t>Medical-Surgical</t>
        </is>
      </c>
      <c r="D330" t="inlineStr">
        <is>
          <t>Emergency Department</t>
        </is>
      </c>
      <c r="E330" s="31" t="n">
        <v>21180</v>
      </c>
      <c r="F330" s="32" t="n">
        <v>45989.51527777778</v>
      </c>
      <c r="G330" s="32" t="n">
        <v>45989.62430555555</v>
      </c>
      <c r="H330" s="32" t="n">
        <v>45992.51458333333</v>
      </c>
      <c r="I330" s="33" t="n"/>
      <c r="J330" s="34" t="n"/>
      <c r="K330" s="33" t="n"/>
      <c r="L330" s="33" t="n"/>
      <c r="M330" s="35" t="n"/>
    </row>
    <row r="331">
      <c r="A331" t="inlineStr">
        <is>
          <t>ENC120672</t>
        </is>
      </c>
      <c r="B331" t="inlineStr">
        <is>
          <t>PT10455</t>
        </is>
      </c>
      <c r="C331" t="inlineStr">
        <is>
          <t>Medical-Surgical</t>
        </is>
      </c>
      <c r="D331" t="inlineStr">
        <is>
          <t>Emergency Department</t>
        </is>
      </c>
      <c r="E331" s="31" t="n">
        <v>26167</v>
      </c>
      <c r="F331" s="32" t="n">
        <v>45989.56180555555</v>
      </c>
      <c r="G331" s="32" t="n">
        <v>45989.675</v>
      </c>
      <c r="H331" s="32" t="n">
        <v>45994.60694444444</v>
      </c>
      <c r="I331" s="33" t="n"/>
      <c r="J331" s="34" t="n"/>
      <c r="K331" s="33" t="n"/>
      <c r="L331" s="33" t="n"/>
      <c r="M331" s="35" t="n"/>
    </row>
    <row r="332">
      <c r="A332" t="inlineStr">
        <is>
          <t>ENC120683</t>
        </is>
      </c>
      <c r="B332" t="inlineStr">
        <is>
          <t>PT11952</t>
        </is>
      </c>
      <c r="C332" t="inlineStr">
        <is>
          <t>Medical-Surgical</t>
        </is>
      </c>
      <c r="D332" t="inlineStr">
        <is>
          <t>Emergency Department</t>
        </is>
      </c>
      <c r="E332" s="31" t="n">
        <v>18313</v>
      </c>
      <c r="F332" s="32" t="n">
        <v>45989.67708333334</v>
      </c>
      <c r="G332" s="32" t="n">
        <v>45989.76111111111</v>
      </c>
      <c r="H332" s="32" t="n">
        <v>45997.59027777778</v>
      </c>
      <c r="I332" s="33" t="n"/>
      <c r="J332" s="34" t="n"/>
      <c r="K332" s="33" t="n"/>
      <c r="L332" s="33" t="n"/>
      <c r="M332" s="35" t="n"/>
    </row>
    <row r="333">
      <c r="A333" t="inlineStr">
        <is>
          <t>ENC120686</t>
        </is>
      </c>
      <c r="B333" t="inlineStr">
        <is>
          <t>PT10955</t>
        </is>
      </c>
      <c r="C333" t="inlineStr">
        <is>
          <t>Medical-Surgical</t>
        </is>
      </c>
      <c r="D333" t="inlineStr">
        <is>
          <t>Emergency Department</t>
        </is>
      </c>
      <c r="E333" s="31" t="n">
        <v>36543</v>
      </c>
      <c r="F333" s="32" t="n">
        <v>45989.75208333333</v>
      </c>
      <c r="G333" s="32" t="n">
        <v>45989.89444444444</v>
      </c>
      <c r="H333" s="32" t="n">
        <v>45992.57916666667</v>
      </c>
      <c r="I333" s="33" t="n"/>
      <c r="J333" s="34" t="n"/>
      <c r="K333" s="33" t="n"/>
      <c r="L333" s="33" t="n"/>
      <c r="M333" s="35" t="n"/>
    </row>
    <row r="334">
      <c r="A334" t="inlineStr">
        <is>
          <t>ENC120701</t>
        </is>
      </c>
      <c r="B334" t="inlineStr">
        <is>
          <t>PT10270</t>
        </is>
      </c>
      <c r="C334" t="inlineStr">
        <is>
          <t>Intensive Care Unit</t>
        </is>
      </c>
      <c r="D334" t="inlineStr">
        <is>
          <t>Emergency Department</t>
        </is>
      </c>
      <c r="E334" s="31" t="n">
        <v>20086</v>
      </c>
      <c r="F334" s="32" t="n">
        <v>45990.62361111111</v>
      </c>
      <c r="G334" s="32" t="n">
        <v>45990.72569444445</v>
      </c>
      <c r="H334" s="32" t="n">
        <v>45994.54791666667</v>
      </c>
      <c r="I334" s="33" t="n"/>
      <c r="J334" s="34" t="n"/>
      <c r="K334" s="33" t="n"/>
      <c r="L334" s="33" t="n"/>
      <c r="M334" s="35" t="n"/>
    </row>
    <row r="335">
      <c r="A335" t="inlineStr">
        <is>
          <t>ENC120814</t>
        </is>
      </c>
      <c r="B335" t="inlineStr">
        <is>
          <t>PT10141</t>
        </is>
      </c>
      <c r="C335" t="inlineStr">
        <is>
          <t>Medical-Surgical</t>
        </is>
      </c>
      <c r="D335" t="inlineStr">
        <is>
          <t>Emergency Department</t>
        </is>
      </c>
      <c r="E335" s="31" t="n">
        <v>20318</v>
      </c>
      <c r="F335" s="32" t="n">
        <v>45993.67152777778</v>
      </c>
      <c r="G335" s="32" t="n">
        <v>45993.83819444444</v>
      </c>
      <c r="H335" s="32" t="n">
        <v>45996.54027777778</v>
      </c>
      <c r="I335" s="33" t="n"/>
      <c r="J335" s="34" t="n"/>
      <c r="K335" s="33" t="n"/>
      <c r="L335" s="33" t="n"/>
      <c r="M335" s="35" t="n"/>
    </row>
    <row r="336">
      <c r="A336" t="inlineStr">
        <is>
          <t>ENC120824</t>
        </is>
      </c>
      <c r="B336" t="inlineStr">
        <is>
          <t>PT12665</t>
        </is>
      </c>
      <c r="C336" t="inlineStr">
        <is>
          <t>Labor &amp; Delivery</t>
        </is>
      </c>
      <c r="D336" t="inlineStr">
        <is>
          <t>Direct Admit</t>
        </is>
      </c>
      <c r="E336" s="31" t="n">
        <v>30776</v>
      </c>
      <c r="G336" s="32" t="n">
        <v>45994.05277777778</v>
      </c>
      <c r="H336" s="32" t="n">
        <v>45998.43333333333</v>
      </c>
      <c r="I336" s="33" t="n"/>
      <c r="J336" s="34" t="n"/>
      <c r="K336" s="33" t="n"/>
      <c r="L336" s="33" t="n"/>
      <c r="M336" s="35" t="n"/>
    </row>
    <row r="337">
      <c r="A337" t="inlineStr">
        <is>
          <t>ENC120825</t>
        </is>
      </c>
      <c r="B337" t="inlineStr">
        <is>
          <t>PT10788</t>
        </is>
      </c>
      <c r="C337" t="inlineStr">
        <is>
          <t>Medical-Surgical</t>
        </is>
      </c>
      <c r="D337" t="inlineStr">
        <is>
          <t>Emergency Department</t>
        </is>
      </c>
      <c r="E337" s="31" t="n">
        <v>26616</v>
      </c>
      <c r="F337" s="32" t="n">
        <v>45994.10694444444</v>
      </c>
      <c r="G337" s="32" t="n">
        <v>45994.26458333333</v>
      </c>
      <c r="H337" s="32" t="n">
        <v>45998.59652777778</v>
      </c>
      <c r="I337" s="33" t="n"/>
      <c r="J337" s="34" t="n"/>
      <c r="K337" s="33" t="n"/>
      <c r="L337" s="33" t="n"/>
      <c r="M337" s="35" t="n"/>
    </row>
    <row r="338">
      <c r="A338" t="inlineStr">
        <is>
          <t>ENC120841</t>
        </is>
      </c>
      <c r="B338" t="inlineStr">
        <is>
          <t>PT12333</t>
        </is>
      </c>
      <c r="C338" t="inlineStr">
        <is>
          <t>Medical-Surgical</t>
        </is>
      </c>
      <c r="D338" t="inlineStr">
        <is>
          <t>Emergency Department</t>
        </is>
      </c>
      <c r="E338" s="31" t="n">
        <v>20197</v>
      </c>
      <c r="F338" s="32" t="n">
        <v>45994.47152777778</v>
      </c>
      <c r="G338" s="32" t="n">
        <v>45994.59236111111</v>
      </c>
      <c r="H338" s="32" t="n">
        <v>45996.50833333333</v>
      </c>
      <c r="I338" s="33" t="n"/>
      <c r="J338" s="34" t="n"/>
      <c r="K338" s="33" t="n"/>
      <c r="L338" s="33" t="n"/>
      <c r="M338" s="35" t="n"/>
    </row>
    <row r="339">
      <c r="A339" t="inlineStr">
        <is>
          <t>ENC120869</t>
        </is>
      </c>
      <c r="B339" t="inlineStr">
        <is>
          <t>PT13491</t>
        </is>
      </c>
      <c r="C339" t="inlineStr">
        <is>
          <t>Medical-Surgical</t>
        </is>
      </c>
      <c r="D339" t="inlineStr">
        <is>
          <t>Emergency Department</t>
        </is>
      </c>
      <c r="E339" s="31" t="n">
        <v>27521</v>
      </c>
      <c r="F339" s="32" t="n">
        <v>45995.25625</v>
      </c>
      <c r="G339" s="32" t="n">
        <v>45995.4</v>
      </c>
      <c r="H339" s="32" t="n">
        <v>46002.5625</v>
      </c>
      <c r="I339" s="33" t="n"/>
      <c r="J339" s="34" t="n"/>
      <c r="K339" s="33" t="n"/>
      <c r="L339" s="33" t="n"/>
      <c r="M339" s="35" t="n"/>
    </row>
    <row r="340">
      <c r="A340" t="inlineStr">
        <is>
          <t>ENC120880</t>
        </is>
      </c>
      <c r="B340" t="inlineStr">
        <is>
          <t>PT11261</t>
        </is>
      </c>
      <c r="C340" t="inlineStr">
        <is>
          <t>Medical-Surgical</t>
        </is>
      </c>
      <c r="D340" t="inlineStr">
        <is>
          <t>Emergency Department</t>
        </is>
      </c>
      <c r="E340" s="31" t="n">
        <v>21110</v>
      </c>
      <c r="F340" s="32" t="n">
        <v>45995.49652777778</v>
      </c>
      <c r="G340" s="32" t="n">
        <v>45995.63611111111</v>
      </c>
      <c r="H340" s="32" t="n">
        <v>46001.66111111111</v>
      </c>
      <c r="I340" s="33" t="n"/>
      <c r="J340" s="34" t="n"/>
      <c r="K340" s="33" t="n"/>
      <c r="L340" s="33" t="n"/>
      <c r="M340" s="35" t="n"/>
    </row>
    <row r="341">
      <c r="A341" t="inlineStr">
        <is>
          <t>ENC120957</t>
        </is>
      </c>
      <c r="B341" t="inlineStr">
        <is>
          <t>PT13373</t>
        </is>
      </c>
      <c r="C341" t="inlineStr">
        <is>
          <t>Medical-Surgical</t>
        </is>
      </c>
      <c r="D341" t="inlineStr">
        <is>
          <t>Emergency Department</t>
        </is>
      </c>
      <c r="E341" s="31" t="n">
        <v>37314</v>
      </c>
      <c r="F341" s="32" t="n">
        <v>45997.05069444444</v>
      </c>
      <c r="G341" s="32" t="n">
        <v>45997.13888888889</v>
      </c>
      <c r="H341" s="32" t="n">
        <v>46005.73055555556</v>
      </c>
      <c r="I341" s="33" t="n"/>
      <c r="J341" s="34" t="n"/>
      <c r="K341" s="33" t="n"/>
      <c r="L341" s="33" t="n"/>
      <c r="M341" s="35" t="n"/>
    </row>
    <row r="342">
      <c r="A342" t="inlineStr">
        <is>
          <t>ENC120970</t>
        </is>
      </c>
      <c r="B342" t="inlineStr">
        <is>
          <t>PT13076</t>
        </is>
      </c>
      <c r="C342" t="inlineStr">
        <is>
          <t>Medical-Surgical</t>
        </is>
      </c>
      <c r="D342" t="inlineStr">
        <is>
          <t>Emergency Department</t>
        </is>
      </c>
      <c r="E342" s="31" t="n">
        <v>29128</v>
      </c>
      <c r="F342" s="32" t="n">
        <v>45997.51875</v>
      </c>
      <c r="G342" s="32" t="n">
        <v>45997.65694444445</v>
      </c>
      <c r="H342" s="32" t="n">
        <v>46000.82916666667</v>
      </c>
      <c r="I342" s="33" t="n"/>
      <c r="J342" s="34" t="n"/>
      <c r="K342" s="33" t="n"/>
      <c r="L342" s="33" t="n"/>
      <c r="M342" s="35" t="n"/>
    </row>
    <row r="343">
      <c r="A343" t="inlineStr">
        <is>
          <t>ENC120978</t>
        </is>
      </c>
      <c r="B343" t="inlineStr">
        <is>
          <t>PT12368</t>
        </is>
      </c>
      <c r="C343" t="inlineStr">
        <is>
          <t>Medical-Surgical</t>
        </is>
      </c>
      <c r="D343" t="inlineStr">
        <is>
          <t>Emergency Department</t>
        </is>
      </c>
      <c r="E343" s="31" t="n">
        <v>33948</v>
      </c>
      <c r="F343" s="32" t="n">
        <v>45997.80972222222</v>
      </c>
      <c r="G343" s="32" t="n">
        <v>45997.94513888889</v>
      </c>
      <c r="H343" s="32" t="n">
        <v>46006.60208333333</v>
      </c>
      <c r="I343" s="33" t="n"/>
      <c r="J343" s="34" t="n"/>
      <c r="K343" s="33" t="n"/>
      <c r="L343" s="33" t="n"/>
      <c r="M343" s="35" t="n"/>
    </row>
    <row r="344">
      <c r="A344" t="inlineStr">
        <is>
          <t>ENC121031</t>
        </is>
      </c>
      <c r="B344" t="inlineStr">
        <is>
          <t>PT10502</t>
        </is>
      </c>
      <c r="C344" t="inlineStr">
        <is>
          <t>Medical-Surgical</t>
        </is>
      </c>
      <c r="D344" t="inlineStr">
        <is>
          <t>Emergency Department</t>
        </is>
      </c>
      <c r="E344" s="31" t="n">
        <v>38927</v>
      </c>
      <c r="F344" s="32" t="n">
        <v>45999.61111111111</v>
      </c>
      <c r="G344" s="32" t="n">
        <v>45999.72847222222</v>
      </c>
      <c r="H344" s="32" t="n">
        <v>46005.67847222222</v>
      </c>
      <c r="I344" s="33" t="n"/>
      <c r="J344" s="34" t="n"/>
      <c r="K344" s="33" t="n"/>
      <c r="L344" s="33" t="n"/>
      <c r="M344" s="35" t="n"/>
    </row>
    <row r="345">
      <c r="A345" t="inlineStr">
        <is>
          <t>ENC121048</t>
        </is>
      </c>
      <c r="B345" t="inlineStr">
        <is>
          <t>PT10307</t>
        </is>
      </c>
      <c r="C345" t="inlineStr">
        <is>
          <t>Medical-Surgical</t>
        </is>
      </c>
      <c r="D345" t="inlineStr">
        <is>
          <t>Emergency Department</t>
        </is>
      </c>
      <c r="E345" s="31" t="n">
        <v>21708</v>
      </c>
      <c r="F345" s="32" t="n">
        <v>46000.00972222222</v>
      </c>
      <c r="G345" s="32" t="n">
        <v>46000.15763888889</v>
      </c>
      <c r="H345" s="32" t="n">
        <v>46005.82430555556</v>
      </c>
      <c r="I345" s="33" t="n"/>
      <c r="J345" s="34" t="n"/>
      <c r="K345" s="33" t="n"/>
      <c r="L345" s="33" t="n"/>
      <c r="M345" s="35" t="n"/>
    </row>
    <row r="346">
      <c r="A346" t="inlineStr">
        <is>
          <t>ENC121089</t>
        </is>
      </c>
      <c r="B346" t="inlineStr">
        <is>
          <t>PT10270</t>
        </is>
      </c>
      <c r="C346" t="inlineStr">
        <is>
          <t>Intensive Care Unit</t>
        </is>
      </c>
      <c r="D346" t="inlineStr">
        <is>
          <t>Direct Admit</t>
        </is>
      </c>
      <c r="E346" s="31" t="n">
        <v>20086</v>
      </c>
      <c r="G346" s="32" t="n">
        <v>46000.75833333333</v>
      </c>
      <c r="H346" s="32" t="n">
        <v>46005.50555555556</v>
      </c>
      <c r="I346" s="33" t="n"/>
      <c r="J346" s="34" t="n"/>
      <c r="K346" s="33" t="n"/>
      <c r="L346" s="33" t="n"/>
      <c r="M346" s="35" t="n"/>
    </row>
    <row r="347">
      <c r="A347" t="inlineStr">
        <is>
          <t>ENC121084</t>
        </is>
      </c>
      <c r="B347" t="inlineStr">
        <is>
          <t>PT13443</t>
        </is>
      </c>
      <c r="C347" t="inlineStr">
        <is>
          <t>Medical-Surgical</t>
        </is>
      </c>
      <c r="D347" t="inlineStr">
        <is>
          <t>Emergency Department</t>
        </is>
      </c>
      <c r="E347" s="31" t="n">
        <v>30840</v>
      </c>
      <c r="F347" s="32" t="n">
        <v>46000.68958333333</v>
      </c>
      <c r="G347" s="32" t="n">
        <v>46000.79513888889</v>
      </c>
      <c r="H347" s="32" t="n">
        <v>46004.50347222222</v>
      </c>
      <c r="I347" s="33" t="n"/>
      <c r="J347" s="34" t="n"/>
      <c r="K347" s="33" t="n"/>
      <c r="L347" s="33" t="n"/>
      <c r="M347" s="35" t="n"/>
    </row>
    <row r="348">
      <c r="A348" t="inlineStr">
        <is>
          <t>ENC121091</t>
        </is>
      </c>
      <c r="B348" t="inlineStr">
        <is>
          <t>PT11882</t>
        </is>
      </c>
      <c r="C348" t="inlineStr">
        <is>
          <t>Medical-Surgical</t>
        </is>
      </c>
      <c r="D348" t="inlineStr">
        <is>
          <t>Emergency Department</t>
        </is>
      </c>
      <c r="E348" s="31" t="n">
        <v>12175</v>
      </c>
      <c r="F348" s="32" t="n">
        <v>46000.84930555556</v>
      </c>
      <c r="G348" s="32" t="n">
        <v>46000.99097222222</v>
      </c>
      <c r="H348" s="32" t="n">
        <v>46006.6</v>
      </c>
      <c r="I348" s="33" t="n"/>
      <c r="J348" s="34" t="n"/>
      <c r="K348" s="33" t="n"/>
      <c r="L348" s="33" t="n"/>
      <c r="M348" s="35" t="n"/>
    </row>
    <row r="349">
      <c r="A349" t="inlineStr">
        <is>
          <t>ENC121136</t>
        </is>
      </c>
      <c r="B349" t="inlineStr">
        <is>
          <t>PT12941</t>
        </is>
      </c>
      <c r="C349" t="inlineStr">
        <is>
          <t>Medical-Surgical</t>
        </is>
      </c>
      <c r="D349" t="inlineStr">
        <is>
          <t>Emergency Department</t>
        </is>
      </c>
      <c r="E349" s="31" t="n">
        <v>43283</v>
      </c>
      <c r="F349" s="32" t="n">
        <v>46001.82083333333</v>
      </c>
      <c r="G349" s="32" t="n">
        <v>46001.96111111111</v>
      </c>
      <c r="H349" s="32" t="n">
        <v>46003.56388888889</v>
      </c>
      <c r="I349" s="33" t="n"/>
      <c r="J349" s="34" t="n"/>
      <c r="K349" s="33" t="n"/>
      <c r="L349" s="33" t="n"/>
      <c r="M349" s="35" t="n"/>
    </row>
    <row r="350">
      <c r="A350" t="inlineStr">
        <is>
          <t>ENC121148</t>
        </is>
      </c>
      <c r="B350" t="inlineStr">
        <is>
          <t>PT13719</t>
        </is>
      </c>
      <c r="C350" t="inlineStr">
        <is>
          <t>Medical-Surgical</t>
        </is>
      </c>
      <c r="D350" t="inlineStr">
        <is>
          <t>Emergency Department</t>
        </is>
      </c>
      <c r="E350" s="31" t="n">
        <v>10991</v>
      </c>
      <c r="F350" s="32" t="n">
        <v>46002.39097222222</v>
      </c>
      <c r="G350" s="32" t="n">
        <v>46002.52777777778</v>
      </c>
      <c r="H350" s="32" t="n">
        <v>46007.60208333333</v>
      </c>
      <c r="I350" s="33" t="n"/>
      <c r="J350" s="34" t="n"/>
      <c r="K350" s="33" t="n"/>
      <c r="L350" s="33" t="n"/>
      <c r="M350" s="35" t="n"/>
    </row>
    <row r="351">
      <c r="A351" t="inlineStr">
        <is>
          <t>ENC121205</t>
        </is>
      </c>
      <c r="B351" t="inlineStr">
        <is>
          <t>PT11691</t>
        </is>
      </c>
      <c r="C351" t="inlineStr">
        <is>
          <t>Medical-Surgical</t>
        </is>
      </c>
      <c r="D351" t="inlineStr">
        <is>
          <t>Transfer</t>
        </is>
      </c>
      <c r="E351" s="31" t="n">
        <v>27393</v>
      </c>
      <c r="G351" s="32" t="n">
        <v>46003.68055555555</v>
      </c>
      <c r="H351" s="32" t="n">
        <v>46006.66875</v>
      </c>
      <c r="I351" s="33" t="n"/>
      <c r="J351" s="34" t="n"/>
      <c r="K351" s="33" t="n"/>
      <c r="L351" s="33" t="n"/>
      <c r="M351" s="35" t="n"/>
    </row>
    <row r="352">
      <c r="A352" t="inlineStr">
        <is>
          <t>ENC121245</t>
        </is>
      </c>
      <c r="B352" t="inlineStr">
        <is>
          <t>PT12321</t>
        </is>
      </c>
      <c r="C352" t="inlineStr">
        <is>
          <t>Medical-Surgical</t>
        </is>
      </c>
      <c r="D352" t="inlineStr">
        <is>
          <t>Direct Admit</t>
        </is>
      </c>
      <c r="E352" s="31" t="n">
        <v>20792</v>
      </c>
      <c r="G352" s="32" t="n">
        <v>46005.80555555555</v>
      </c>
      <c r="H352" s="32" t="n">
        <v>46007.62569444445</v>
      </c>
      <c r="I352" s="33" t="n"/>
      <c r="J352" s="34" t="n"/>
      <c r="K352" s="33" t="n"/>
      <c r="L352" s="33" t="n"/>
      <c r="M352" s="35" t="n"/>
    </row>
    <row r="353">
      <c r="A353" t="inlineStr">
        <is>
          <t>ENC121263</t>
        </is>
      </c>
      <c r="B353" t="inlineStr">
        <is>
          <t>PT12685</t>
        </is>
      </c>
      <c r="C353" t="inlineStr">
        <is>
          <t>Intensive Care Unit</t>
        </is>
      </c>
      <c r="D353" t="inlineStr">
        <is>
          <t>Emergency Department</t>
        </is>
      </c>
      <c r="E353" s="31" t="n">
        <v>30186</v>
      </c>
      <c r="F353" s="32" t="n">
        <v>46006.42222222222</v>
      </c>
      <c r="G353" s="32" t="n">
        <v>46006.51875</v>
      </c>
      <c r="H353" s="32" t="n">
        <v>46013.57083333333</v>
      </c>
      <c r="I353" s="33" t="n"/>
      <c r="J353" s="34" t="n"/>
      <c r="K353" s="33" t="n"/>
      <c r="L353" s="33" t="n"/>
      <c r="M353" s="35" t="n"/>
    </row>
    <row r="354">
      <c r="A354" t="inlineStr">
        <is>
          <t>ENC121290</t>
        </is>
      </c>
      <c r="B354" t="inlineStr">
        <is>
          <t>PT11772</t>
        </is>
      </c>
      <c r="C354" t="inlineStr">
        <is>
          <t>Medical-Surgical</t>
        </is>
      </c>
      <c r="D354" t="inlineStr">
        <is>
          <t>Direct Admit</t>
        </is>
      </c>
      <c r="E354" s="31" t="n">
        <v>25291</v>
      </c>
      <c r="G354" s="32" t="n">
        <v>46006.77777777778</v>
      </c>
      <c r="H354" s="32" t="n">
        <v>46015.54583333333</v>
      </c>
      <c r="I354" s="33" t="n"/>
      <c r="J354" s="34" t="n"/>
      <c r="K354" s="33" t="n"/>
      <c r="L354" s="33" t="n"/>
      <c r="M354" s="35" t="n"/>
    </row>
    <row r="355">
      <c r="A355" t="inlineStr">
        <is>
          <t>ENC121327</t>
        </is>
      </c>
      <c r="B355" t="inlineStr">
        <is>
          <t>PT13185</t>
        </is>
      </c>
      <c r="C355" t="inlineStr">
        <is>
          <t>Medical-Surgical</t>
        </is>
      </c>
      <c r="D355" t="inlineStr">
        <is>
          <t>Emergency Department</t>
        </is>
      </c>
      <c r="E355" s="31" t="n">
        <v>11256</v>
      </c>
      <c r="F355" s="32" t="n">
        <v>46007.68541666667</v>
      </c>
      <c r="G355" s="32" t="n">
        <v>46007.78402777778</v>
      </c>
      <c r="H355" s="32" t="n">
        <v>46009.69166666667</v>
      </c>
      <c r="I355" s="33" t="n"/>
      <c r="J355" s="34" t="n"/>
      <c r="K355" s="33" t="n"/>
      <c r="L355" s="33" t="n"/>
      <c r="M355" s="35" t="n"/>
    </row>
    <row r="356">
      <c r="A356" t="inlineStr">
        <is>
          <t>ENC121424</t>
        </is>
      </c>
      <c r="B356" t="inlineStr">
        <is>
          <t>PT10435</t>
        </is>
      </c>
      <c r="C356" t="inlineStr">
        <is>
          <t>Medical-Surgical</t>
        </is>
      </c>
      <c r="D356" t="inlineStr">
        <is>
          <t>Emergency Department</t>
        </is>
      </c>
      <c r="E356" s="31" t="n">
        <v>27104</v>
      </c>
      <c r="F356" s="32" t="n">
        <v>46009.87638888889</v>
      </c>
      <c r="G356" s="32" t="n">
        <v>46009.99652777778</v>
      </c>
      <c r="H356" s="32" t="n">
        <v>46014.71666666667</v>
      </c>
      <c r="I356" s="33" t="n"/>
      <c r="J356" s="34" t="n"/>
      <c r="K356" s="33" t="n"/>
      <c r="L356" s="33" t="n"/>
      <c r="M356" s="35" t="n"/>
    </row>
    <row r="357">
      <c r="A357" t="inlineStr">
        <is>
          <t>ENC121444</t>
        </is>
      </c>
      <c r="B357" t="inlineStr">
        <is>
          <t>PT10575</t>
        </is>
      </c>
      <c r="C357" t="inlineStr">
        <is>
          <t>Medical-Surgical</t>
        </is>
      </c>
      <c r="D357" t="inlineStr">
        <is>
          <t>Emergency Department</t>
        </is>
      </c>
      <c r="E357" s="31" t="n">
        <v>31822</v>
      </c>
      <c r="F357" s="32" t="n">
        <v>46010.59444444445</v>
      </c>
      <c r="G357" s="32" t="n">
        <v>46010.73472222222</v>
      </c>
      <c r="H357" s="32" t="n">
        <v>46011.79513888889</v>
      </c>
      <c r="I357" s="33" t="n"/>
      <c r="J357" s="34" t="n"/>
      <c r="K357" s="33" t="n"/>
      <c r="L357" s="33" t="n"/>
      <c r="M357" s="35" t="n"/>
    </row>
    <row r="358">
      <c r="A358" t="inlineStr">
        <is>
          <t>ENC121456</t>
        </is>
      </c>
      <c r="B358" t="inlineStr">
        <is>
          <t>PT12537</t>
        </is>
      </c>
      <c r="C358" t="inlineStr">
        <is>
          <t>Medical-Surgical</t>
        </is>
      </c>
      <c r="D358" t="inlineStr">
        <is>
          <t>Emergency Department</t>
        </is>
      </c>
      <c r="E358" s="31" t="n">
        <v>17807</v>
      </c>
      <c r="F358" s="32" t="n">
        <v>46010.72430555556</v>
      </c>
      <c r="G358" s="32" t="n">
        <v>46010.83958333333</v>
      </c>
      <c r="H358" s="32" t="n">
        <v>46016.47361111111</v>
      </c>
      <c r="I358" s="33" t="n"/>
      <c r="J358" s="34" t="n"/>
      <c r="K358" s="33" t="n"/>
      <c r="L358" s="33" t="n"/>
      <c r="M358" s="35" t="n"/>
    </row>
    <row r="359">
      <c r="A359" t="inlineStr">
        <is>
          <t>ENC121459</t>
        </is>
      </c>
      <c r="B359" t="inlineStr">
        <is>
          <t>PT11002</t>
        </is>
      </c>
      <c r="C359" t="inlineStr">
        <is>
          <t>Medical-Surgical</t>
        </is>
      </c>
      <c r="D359" t="inlineStr">
        <is>
          <t>Emergency Department</t>
        </is>
      </c>
      <c r="E359" s="31" t="n">
        <v>28575</v>
      </c>
      <c r="F359" s="32" t="n">
        <v>46010.80069444444</v>
      </c>
      <c r="G359" s="32" t="n">
        <v>46010.87847222222</v>
      </c>
      <c r="H359" s="32" t="n">
        <v>46013.54583333333</v>
      </c>
      <c r="I359" s="33" t="n"/>
      <c r="J359" s="34" t="n"/>
      <c r="K359" s="33" t="n"/>
      <c r="L359" s="33" t="n"/>
      <c r="M359" s="35" t="n"/>
    </row>
    <row r="360">
      <c r="A360" t="inlineStr">
        <is>
          <t>ENC121470</t>
        </is>
      </c>
      <c r="B360" t="inlineStr">
        <is>
          <t>PT10567</t>
        </is>
      </c>
      <c r="C360" t="inlineStr">
        <is>
          <t>Medical-Surgical</t>
        </is>
      </c>
      <c r="D360" t="inlineStr">
        <is>
          <t>Direct Admit</t>
        </is>
      </c>
      <c r="E360" s="31" t="n">
        <v>22851</v>
      </c>
      <c r="G360" s="32" t="n">
        <v>46011.26805555556</v>
      </c>
      <c r="H360" s="32" t="n">
        <v>46014.5375</v>
      </c>
      <c r="I360" s="33" t="n"/>
      <c r="J360" s="34" t="n"/>
      <c r="K360" s="33" t="n"/>
      <c r="L360" s="33" t="n"/>
      <c r="M360" s="35" t="n"/>
    </row>
    <row r="361">
      <c r="A361" t="inlineStr">
        <is>
          <t>ENC121475</t>
        </is>
      </c>
      <c r="B361" t="inlineStr">
        <is>
          <t>PT12980</t>
        </is>
      </c>
      <c r="C361" t="inlineStr">
        <is>
          <t>Medical-Surgical</t>
        </is>
      </c>
      <c r="D361" t="inlineStr">
        <is>
          <t>Emergency Department</t>
        </is>
      </c>
      <c r="E361" s="31" t="n">
        <v>14775</v>
      </c>
      <c r="F361" s="32" t="n">
        <v>46011.53541666667</v>
      </c>
      <c r="G361" s="32" t="n">
        <v>46011.625</v>
      </c>
      <c r="H361" s="32" t="n">
        <v>46018.66180555556</v>
      </c>
      <c r="I361" s="33" t="n"/>
      <c r="J361" s="34" t="n"/>
      <c r="K361" s="33" t="n"/>
      <c r="L361" s="33" t="n"/>
      <c r="M361" s="35" t="n"/>
    </row>
    <row r="362">
      <c r="A362" t="inlineStr">
        <is>
          <t>ENC121485</t>
        </is>
      </c>
      <c r="B362" t="inlineStr">
        <is>
          <t>PT11127</t>
        </is>
      </c>
      <c r="C362" t="inlineStr">
        <is>
          <t>Labor &amp; Delivery</t>
        </is>
      </c>
      <c r="D362" t="inlineStr">
        <is>
          <t>Emergency Department</t>
        </is>
      </c>
      <c r="E362" s="31" t="n">
        <v>37088</v>
      </c>
      <c r="F362" s="32" t="n">
        <v>46011.97847222222</v>
      </c>
      <c r="G362" s="32" t="n">
        <v>46012.04375</v>
      </c>
      <c r="H362" s="32" t="n">
        <v>46015.57152777778</v>
      </c>
      <c r="I362" s="33" t="n"/>
      <c r="J362" s="34" t="n"/>
      <c r="K362" s="33" t="n"/>
      <c r="L362" s="33" t="n"/>
      <c r="M362" s="35" t="n"/>
    </row>
    <row r="363">
      <c r="A363" t="inlineStr">
        <is>
          <t>ENC121492</t>
        </is>
      </c>
      <c r="B363" t="inlineStr">
        <is>
          <t>PT13767</t>
        </is>
      </c>
      <c r="C363" t="inlineStr">
        <is>
          <t>Medical-Surgical</t>
        </is>
      </c>
      <c r="D363" t="inlineStr">
        <is>
          <t>Emergency Department</t>
        </is>
      </c>
      <c r="E363" s="31" t="n">
        <v>16459</v>
      </c>
      <c r="F363" s="32" t="n">
        <v>46012.40694444445</v>
      </c>
      <c r="G363" s="32" t="n">
        <v>46012.53819444445</v>
      </c>
      <c r="H363" s="32" t="n">
        <v>46015.6</v>
      </c>
      <c r="I363" s="33" t="n"/>
      <c r="J363" s="34" t="n"/>
      <c r="K363" s="33" t="n"/>
      <c r="L363" s="33" t="n"/>
      <c r="M363" s="35" t="n"/>
    </row>
    <row r="364">
      <c r="A364" t="inlineStr">
        <is>
          <t>ENC121608</t>
        </is>
      </c>
      <c r="B364" t="inlineStr">
        <is>
          <t>PT13386</t>
        </is>
      </c>
      <c r="C364" t="inlineStr">
        <is>
          <t>Medical-Surgical</t>
        </is>
      </c>
      <c r="D364" t="inlineStr">
        <is>
          <t>Emergency Department</t>
        </is>
      </c>
      <c r="E364" s="31" t="n">
        <v>17615</v>
      </c>
      <c r="F364" s="32" t="n">
        <v>46014.91180555556</v>
      </c>
      <c r="G364" s="32" t="n">
        <v>46014.98402777778</v>
      </c>
      <c r="H364" s="32" t="n">
        <v>46019.69236111111</v>
      </c>
      <c r="I364" s="33" t="n"/>
      <c r="J364" s="34" t="n"/>
      <c r="K364" s="33" t="n"/>
      <c r="L364" s="33" t="n"/>
      <c r="M364" s="35" t="n"/>
    </row>
    <row r="365">
      <c r="A365" t="inlineStr">
        <is>
          <t>ENC121614</t>
        </is>
      </c>
      <c r="B365" t="inlineStr">
        <is>
          <t>PT10430</t>
        </is>
      </c>
      <c r="C365" t="inlineStr">
        <is>
          <t>Medical-Surgical</t>
        </is>
      </c>
      <c r="D365" t="inlineStr">
        <is>
          <t>Emergency Department</t>
        </is>
      </c>
      <c r="E365" s="31" t="n">
        <v>34792</v>
      </c>
      <c r="F365" s="32" t="n">
        <v>46015.32361111111</v>
      </c>
      <c r="G365" s="32" t="n">
        <v>46015.40069444444</v>
      </c>
      <c r="H365" s="32" t="n">
        <v>46022.46041666667</v>
      </c>
      <c r="I365" s="33" t="n"/>
      <c r="J365" s="34" t="n"/>
      <c r="K365" s="33" t="n"/>
      <c r="L365" s="33" t="n"/>
      <c r="M365" s="35" t="n"/>
    </row>
    <row r="366">
      <c r="A366" t="inlineStr">
        <is>
          <t>ENC121642</t>
        </is>
      </c>
      <c r="B366" t="inlineStr">
        <is>
          <t>PT10129</t>
        </is>
      </c>
      <c r="C366" t="inlineStr">
        <is>
          <t>Medical-Surgical</t>
        </is>
      </c>
      <c r="D366" t="inlineStr">
        <is>
          <t>Emergency Department</t>
        </is>
      </c>
      <c r="E366" s="31" t="n">
        <v>28359</v>
      </c>
      <c r="F366" s="32" t="n">
        <v>46015.92708333334</v>
      </c>
      <c r="G366" s="32" t="n">
        <v>46016.01597222222</v>
      </c>
      <c r="H366" s="32" t="n">
        <v>46021.38194444445</v>
      </c>
      <c r="I366" s="33" t="n"/>
      <c r="J366" s="34" t="n"/>
      <c r="K366" s="33" t="n"/>
      <c r="L366" s="33" t="n"/>
      <c r="M366" s="35" t="n"/>
    </row>
    <row r="367">
      <c r="A367" t="inlineStr">
        <is>
          <t>ENC121653</t>
        </is>
      </c>
      <c r="B367" t="inlineStr">
        <is>
          <t>PT10169</t>
        </is>
      </c>
      <c r="C367" t="inlineStr">
        <is>
          <t>Medical-Surgical</t>
        </is>
      </c>
      <c r="D367" t="inlineStr">
        <is>
          <t>Emergency Department</t>
        </is>
      </c>
      <c r="E367" s="31" t="n">
        <v>20924</v>
      </c>
      <c r="F367" s="32" t="n">
        <v>46016.38541666666</v>
      </c>
      <c r="G367" s="32" t="n">
        <v>46016.51388888889</v>
      </c>
      <c r="H367" s="32" t="n">
        <v>46022.41666666666</v>
      </c>
      <c r="I367" s="33" t="n"/>
      <c r="J367" s="34" t="n"/>
      <c r="K367" s="33" t="n"/>
      <c r="L367" s="33" t="n"/>
      <c r="M367" s="35" t="n"/>
    </row>
    <row r="368">
      <c r="A368" t="inlineStr">
        <is>
          <t>ENC121695</t>
        </is>
      </c>
      <c r="B368" t="inlineStr">
        <is>
          <t>PT13757</t>
        </is>
      </c>
      <c r="C368" t="inlineStr">
        <is>
          <t>Medical-Surgical</t>
        </is>
      </c>
      <c r="D368" t="inlineStr">
        <is>
          <t>Emergency Department</t>
        </is>
      </c>
      <c r="E368" s="31" t="n">
        <v>17287</v>
      </c>
      <c r="F368" s="32" t="n">
        <v>46017.16597222222</v>
      </c>
      <c r="G368" s="32" t="n">
        <v>46017.24791666667</v>
      </c>
      <c r="H368" s="32" t="n">
        <v>46022.55138888889</v>
      </c>
      <c r="I368" s="33" t="n"/>
      <c r="J368" s="34" t="n"/>
      <c r="K368" s="33" t="n"/>
      <c r="L368" s="33" t="n"/>
      <c r="M368" s="35" t="n"/>
    </row>
    <row r="369">
      <c r="A369" t="inlineStr">
        <is>
          <t>ENC121721</t>
        </is>
      </c>
      <c r="B369" t="inlineStr">
        <is>
          <t>PT10722</t>
        </is>
      </c>
      <c r="C369" t="inlineStr">
        <is>
          <t>Medical-Surgical</t>
        </is>
      </c>
      <c r="D369" t="inlineStr">
        <is>
          <t>Direct Admit</t>
        </is>
      </c>
      <c r="E369" s="31" t="n">
        <v>29109</v>
      </c>
      <c r="G369" s="32" t="n">
        <v>46017.87708333333</v>
      </c>
      <c r="H369" s="32" t="n">
        <v>46020.59305555555</v>
      </c>
      <c r="I369" s="33" t="n"/>
      <c r="J369" s="34" t="n"/>
      <c r="K369" s="33" t="n"/>
      <c r="L369" s="33" t="n"/>
      <c r="M369" s="35" t="n"/>
    </row>
    <row r="370">
      <c r="A370" t="inlineStr">
        <is>
          <t>ENC121728</t>
        </is>
      </c>
      <c r="B370" t="inlineStr">
        <is>
          <t>PT12266</t>
        </is>
      </c>
      <c r="C370" t="inlineStr">
        <is>
          <t>Labor &amp; Delivery</t>
        </is>
      </c>
      <c r="D370" t="inlineStr">
        <is>
          <t>Emergency Department</t>
        </is>
      </c>
      <c r="E370" s="31" t="n">
        <v>32736</v>
      </c>
      <c r="F370" s="32" t="n">
        <v>46018.31111111111</v>
      </c>
      <c r="G370" s="32" t="n">
        <v>46018.48263888889</v>
      </c>
      <c r="H370" s="32" t="n">
        <v>46020.57361111111</v>
      </c>
      <c r="I370" s="33" t="n"/>
      <c r="J370" s="34" t="n"/>
      <c r="K370" s="33" t="n"/>
      <c r="L370" s="33" t="n"/>
      <c r="M370" s="35" t="n"/>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0"/>
  <sheetViews>
    <sheetView tabSelected="0" workbookViewId="0">
      <pane ySplit="1" topLeftCell="A2" activePane="bottomLeft" state="frozen"/>
      <selection pane="bottomLeft" activeCell="A1" sqref="A1"/>
    </sheetView>
  </sheetViews>
  <sheetFormatPr baseColWidth="8" defaultRowHeight="15"/>
  <cols>
    <col width="11" customWidth="1" min="1" max="1"/>
    <col width="13" customWidth="1" min="2" max="2"/>
    <col width="30" customWidth="1" min="3" max="3"/>
    <col width="14" customWidth="1" min="4" max="4"/>
    <col width="12" customWidth="1" min="5" max="5"/>
    <col width="12" customWidth="1" min="6" max="6"/>
    <col width="12" customWidth="1" min="7" max="7"/>
    <col width="11" customWidth="1" min="8" max="8"/>
  </cols>
  <sheetData>
    <row r="1">
      <c r="A1" s="29" t="inlineStr">
        <is>
          <t>ClaimID</t>
        </is>
      </c>
      <c r="B1" s="29" t="inlineStr">
        <is>
          <t>EncounterID</t>
        </is>
      </c>
      <c r="C1" s="29" t="inlineStr">
        <is>
          <t>PayerName</t>
        </is>
      </c>
      <c r="D1" s="29" t="inlineStr">
        <is>
          <t>ClaimStatus</t>
        </is>
      </c>
      <c r="E1" s="29" t="inlineStr">
        <is>
          <t>ServiceDate</t>
        </is>
      </c>
      <c r="F1" s="29" t="inlineStr">
        <is>
          <t>SubmitDate</t>
        </is>
      </c>
      <c r="G1" s="29" t="inlineStr">
        <is>
          <t>PaidDate</t>
        </is>
      </c>
      <c r="H1" s="30" t="inlineStr">
        <is>
          <t>DaysToPay</t>
        </is>
      </c>
    </row>
    <row r="2">
      <c r="A2" t="inlineStr">
        <is>
          <t>CLM510742</t>
        </is>
      </c>
      <c r="B2" t="inlineStr">
        <is>
          <t>ENC110742</t>
        </is>
      </c>
      <c r="C2" t="inlineStr">
        <is>
          <t>Silverline Medicare Advantage</t>
        </is>
      </c>
      <c r="D2" t="inlineStr">
        <is>
          <t>Paid</t>
        </is>
      </c>
      <c r="E2" s="31" t="n">
        <v>45661</v>
      </c>
      <c r="F2" s="31" t="n">
        <v>45662</v>
      </c>
      <c r="G2" s="31" t="n">
        <v>45695</v>
      </c>
      <c r="H2" s="33" t="n"/>
    </row>
    <row r="3">
      <c r="A3" t="inlineStr">
        <is>
          <t>CLM510839</t>
        </is>
      </c>
      <c r="B3" t="inlineStr">
        <is>
          <t>ENC110839</t>
        </is>
      </c>
      <c r="C3" t="inlineStr">
        <is>
          <t>Self-Pay</t>
        </is>
      </c>
      <c r="D3" t="inlineStr">
        <is>
          <t>Pending</t>
        </is>
      </c>
      <c r="E3" s="31" t="n">
        <v>45662</v>
      </c>
      <c r="F3" s="31" t="n">
        <v>45666</v>
      </c>
      <c r="H3" s="33" t="n"/>
    </row>
    <row r="4">
      <c r="A4" t="inlineStr">
        <is>
          <t>CLM510780</t>
        </is>
      </c>
      <c r="B4" t="inlineStr">
        <is>
          <t>ENC110780</t>
        </is>
      </c>
      <c r="C4" t="inlineStr">
        <is>
          <t>Self-Pay</t>
        </is>
      </c>
      <c r="D4" t="inlineStr">
        <is>
          <t>Pending</t>
        </is>
      </c>
      <c r="E4" s="31" t="n">
        <v>45663</v>
      </c>
      <c r="F4" s="31" t="n">
        <v>45667</v>
      </c>
      <c r="H4" s="33" t="n"/>
    </row>
    <row r="5">
      <c r="A5" t="inlineStr">
        <is>
          <t>CLM510873</t>
        </is>
      </c>
      <c r="B5" t="inlineStr">
        <is>
          <t>ENC110873</t>
        </is>
      </c>
      <c r="C5" t="inlineStr">
        <is>
          <t>State Medicaid</t>
        </is>
      </c>
      <c r="D5" t="inlineStr">
        <is>
          <t>Paid</t>
        </is>
      </c>
      <c r="E5" s="31" t="n">
        <v>45665</v>
      </c>
      <c r="F5" s="31" t="n">
        <v>45668</v>
      </c>
      <c r="G5" s="31" t="n">
        <v>45698</v>
      </c>
      <c r="H5" s="33" t="n"/>
    </row>
    <row r="6">
      <c r="A6" t="inlineStr">
        <is>
          <t>CLM510817</t>
        </is>
      </c>
      <c r="B6" t="inlineStr">
        <is>
          <t>ENC110817</t>
        </is>
      </c>
      <c r="C6" t="inlineStr">
        <is>
          <t>Silverline Medicare Advantage</t>
        </is>
      </c>
      <c r="D6" t="inlineStr">
        <is>
          <t>Paid</t>
        </is>
      </c>
      <c r="E6" s="31" t="n">
        <v>45666</v>
      </c>
      <c r="F6" s="31" t="n">
        <v>45670</v>
      </c>
      <c r="G6" s="31" t="n">
        <v>45703</v>
      </c>
      <c r="H6" s="33" t="n"/>
    </row>
    <row r="7">
      <c r="A7" t="inlineStr">
        <is>
          <t>CLM510924</t>
        </is>
      </c>
      <c r="B7" t="inlineStr">
        <is>
          <t>ENC110924</t>
        </is>
      </c>
      <c r="C7" t="inlineStr">
        <is>
          <t>Medicare</t>
        </is>
      </c>
      <c r="D7" t="inlineStr">
        <is>
          <t>Paid</t>
        </is>
      </c>
      <c r="E7" s="31" t="n">
        <v>45666</v>
      </c>
      <c r="F7" s="31" t="n">
        <v>45668</v>
      </c>
      <c r="G7" s="31" t="n">
        <v>45676</v>
      </c>
      <c r="H7" s="33" t="n"/>
    </row>
    <row r="8">
      <c r="A8" t="inlineStr">
        <is>
          <t>CLM510927</t>
        </is>
      </c>
      <c r="B8" t="inlineStr">
        <is>
          <t>ENC110927</t>
        </is>
      </c>
      <c r="C8" t="inlineStr">
        <is>
          <t>Medicare</t>
        </is>
      </c>
      <c r="D8" t="inlineStr">
        <is>
          <t>Paid</t>
        </is>
      </c>
      <c r="E8" s="31" t="n">
        <v>45666</v>
      </c>
      <c r="F8" s="31" t="n">
        <v>45673</v>
      </c>
      <c r="G8" s="31" t="n">
        <v>45684</v>
      </c>
      <c r="H8" s="33" t="n"/>
    </row>
    <row r="9">
      <c r="A9" t="inlineStr">
        <is>
          <t>CLM510747</t>
        </is>
      </c>
      <c r="B9" t="inlineStr">
        <is>
          <t>ENC110747</t>
        </is>
      </c>
      <c r="C9" t="inlineStr">
        <is>
          <t>Keystone Health Partners</t>
        </is>
      </c>
      <c r="D9" t="inlineStr">
        <is>
          <t>Paid</t>
        </is>
      </c>
      <c r="E9" s="31" t="n">
        <v>45667</v>
      </c>
      <c r="F9" s="31" t="n">
        <v>45672</v>
      </c>
      <c r="G9" s="31" t="n">
        <v>45693</v>
      </c>
      <c r="H9" s="33" t="n"/>
    </row>
    <row r="10">
      <c r="A10" t="inlineStr">
        <is>
          <t>CLM510865</t>
        </is>
      </c>
      <c r="B10" t="inlineStr">
        <is>
          <t>ENC110865</t>
        </is>
      </c>
      <c r="C10" t="inlineStr">
        <is>
          <t>Medicare</t>
        </is>
      </c>
      <c r="D10" t="inlineStr">
        <is>
          <t>Paid</t>
        </is>
      </c>
      <c r="E10" s="31" t="n">
        <v>45667</v>
      </c>
      <c r="F10" s="31" t="n">
        <v>45676</v>
      </c>
      <c r="G10" s="31" t="n">
        <v>45705</v>
      </c>
      <c r="H10" s="33" t="n"/>
    </row>
    <row r="11">
      <c r="A11" t="inlineStr">
        <is>
          <t>CLM510882</t>
        </is>
      </c>
      <c r="B11" t="inlineStr">
        <is>
          <t>ENC110882</t>
        </is>
      </c>
      <c r="C11" t="inlineStr">
        <is>
          <t>Keystone Health Partners</t>
        </is>
      </c>
      <c r="D11" t="inlineStr">
        <is>
          <t>Paid</t>
        </is>
      </c>
      <c r="E11" s="31" t="n">
        <v>45668</v>
      </c>
      <c r="F11" s="31" t="n">
        <v>45675</v>
      </c>
      <c r="G11" s="31" t="n">
        <v>45692</v>
      </c>
      <c r="H11" s="33" t="n"/>
    </row>
    <row r="12">
      <c r="A12" t="inlineStr">
        <is>
          <t>CLM510953</t>
        </is>
      </c>
      <c r="B12" t="inlineStr">
        <is>
          <t>ENC110953</t>
        </is>
      </c>
      <c r="C12" t="inlineStr">
        <is>
          <t>Evergreen Mutual Insurance</t>
        </is>
      </c>
      <c r="D12" t="inlineStr">
        <is>
          <t>Partially Paid</t>
        </is>
      </c>
      <c r="E12" s="31" t="n">
        <v>45668</v>
      </c>
      <c r="F12" s="31" t="n">
        <v>45680</v>
      </c>
      <c r="G12" s="31" t="n">
        <v>45708</v>
      </c>
      <c r="H12" s="33" t="n"/>
    </row>
    <row r="13">
      <c r="A13" t="inlineStr">
        <is>
          <t>CLM510963</t>
        </is>
      </c>
      <c r="B13" t="inlineStr">
        <is>
          <t>ENC110963</t>
        </is>
      </c>
      <c r="C13" t="inlineStr">
        <is>
          <t>Summit Choice PPO</t>
        </is>
      </c>
      <c r="D13" t="inlineStr">
        <is>
          <t>Paid</t>
        </is>
      </c>
      <c r="E13" s="31" t="n">
        <v>45668</v>
      </c>
      <c r="F13" s="31" t="n">
        <v>45682</v>
      </c>
      <c r="G13" s="31" t="n">
        <v>45701</v>
      </c>
      <c r="H13" s="33" t="n"/>
    </row>
    <row r="14">
      <c r="A14" t="inlineStr">
        <is>
          <t>CLM510876</t>
        </is>
      </c>
      <c r="B14" t="inlineStr">
        <is>
          <t>ENC110876</t>
        </is>
      </c>
      <c r="C14" t="inlineStr">
        <is>
          <t>Medicare</t>
        </is>
      </c>
      <c r="D14" t="inlineStr">
        <is>
          <t>Paid</t>
        </is>
      </c>
      <c r="E14" s="31" t="n">
        <v>45669</v>
      </c>
      <c r="F14" s="31" t="n">
        <v>45673</v>
      </c>
      <c r="G14" s="31" t="n">
        <v>45688</v>
      </c>
      <c r="H14" s="33" t="n"/>
    </row>
    <row r="15">
      <c r="A15" t="inlineStr">
        <is>
          <t>CLM510973</t>
        </is>
      </c>
      <c r="B15" t="inlineStr">
        <is>
          <t>ENC110973</t>
        </is>
      </c>
      <c r="C15" t="inlineStr">
        <is>
          <t>Medicare</t>
        </is>
      </c>
      <c r="D15" t="inlineStr">
        <is>
          <t>Paid</t>
        </is>
      </c>
      <c r="E15" s="31" t="n">
        <v>45669</v>
      </c>
      <c r="F15" s="31" t="n">
        <v>45677</v>
      </c>
      <c r="G15" s="31" t="n">
        <v>45697</v>
      </c>
      <c r="H15" s="33" t="n"/>
    </row>
    <row r="16">
      <c r="A16" t="inlineStr">
        <is>
          <t>CLM511127</t>
        </is>
      </c>
      <c r="B16" t="inlineStr">
        <is>
          <t>ENC111127</t>
        </is>
      </c>
      <c r="C16" t="inlineStr">
        <is>
          <t>Keystone Health Partners</t>
        </is>
      </c>
      <c r="D16" t="inlineStr">
        <is>
          <t>Paid</t>
        </is>
      </c>
      <c r="E16" s="31" t="n">
        <v>45671</v>
      </c>
      <c r="F16" s="31" t="n">
        <v>45673</v>
      </c>
      <c r="G16" s="31" t="n">
        <v>45695</v>
      </c>
      <c r="H16" s="33" t="n"/>
    </row>
    <row r="17">
      <c r="A17" t="inlineStr">
        <is>
          <t>CLM511125</t>
        </is>
      </c>
      <c r="B17" t="inlineStr">
        <is>
          <t>ENC111125</t>
        </is>
      </c>
      <c r="C17" t="inlineStr">
        <is>
          <t>Evergreen Mutual Insurance</t>
        </is>
      </c>
      <c r="D17" t="inlineStr">
        <is>
          <t>Paid</t>
        </is>
      </c>
      <c r="E17" s="31" t="n">
        <v>45672</v>
      </c>
      <c r="F17" s="31" t="n">
        <v>45677</v>
      </c>
      <c r="G17" s="31" t="n">
        <v>45709</v>
      </c>
      <c r="H17" s="33" t="n"/>
    </row>
    <row r="18">
      <c r="A18" t="inlineStr">
        <is>
          <t>CLM511120</t>
        </is>
      </c>
      <c r="B18" t="inlineStr">
        <is>
          <t>ENC111120</t>
        </is>
      </c>
      <c r="C18" t="inlineStr">
        <is>
          <t>Silverline Medicare Advantage</t>
        </is>
      </c>
      <c r="D18" t="inlineStr">
        <is>
          <t>Paid</t>
        </is>
      </c>
      <c r="E18" s="31" t="n">
        <v>45673</v>
      </c>
      <c r="F18" s="31" t="n">
        <v>45674</v>
      </c>
      <c r="G18" s="31" t="n">
        <v>45702</v>
      </c>
      <c r="H18" s="33" t="n"/>
    </row>
    <row r="19">
      <c r="A19" t="inlineStr">
        <is>
          <t>CLM511170</t>
        </is>
      </c>
      <c r="B19" t="inlineStr">
        <is>
          <t>ENC111170</t>
        </is>
      </c>
      <c r="C19" t="inlineStr">
        <is>
          <t>State Medicaid</t>
        </is>
      </c>
      <c r="D19" t="inlineStr">
        <is>
          <t>Paid</t>
        </is>
      </c>
      <c r="E19" s="31" t="n">
        <v>45674</v>
      </c>
      <c r="F19" s="31" t="n">
        <v>45679</v>
      </c>
      <c r="G19" s="31" t="n">
        <v>45708</v>
      </c>
      <c r="H19" s="33" t="n"/>
    </row>
    <row r="20">
      <c r="A20" t="inlineStr">
        <is>
          <t>CLM511191</t>
        </is>
      </c>
      <c r="B20" t="inlineStr">
        <is>
          <t>ENC111191</t>
        </is>
      </c>
      <c r="C20" t="inlineStr">
        <is>
          <t>Medicare</t>
        </is>
      </c>
      <c r="D20" t="inlineStr">
        <is>
          <t>Denied</t>
        </is>
      </c>
      <c r="E20" s="31" t="n">
        <v>45674</v>
      </c>
      <c r="F20" s="31" t="n">
        <v>45679</v>
      </c>
      <c r="H20" s="33" t="n"/>
    </row>
    <row r="21">
      <c r="A21" t="inlineStr">
        <is>
          <t>CLM511247</t>
        </is>
      </c>
      <c r="B21" t="inlineStr">
        <is>
          <t>ENC111247</t>
        </is>
      </c>
      <c r="C21" t="inlineStr">
        <is>
          <t>Summit Choice PPO</t>
        </is>
      </c>
      <c r="D21" t="inlineStr">
        <is>
          <t>Paid</t>
        </is>
      </c>
      <c r="E21" s="31" t="n">
        <v>45674</v>
      </c>
      <c r="F21" s="31" t="n">
        <v>45676</v>
      </c>
      <c r="G21" s="31" t="n">
        <v>45697</v>
      </c>
      <c r="H21" s="33" t="n"/>
    </row>
    <row r="22">
      <c r="A22" t="inlineStr">
        <is>
          <t>CLM511328</t>
        </is>
      </c>
      <c r="B22" t="inlineStr">
        <is>
          <t>ENC111328</t>
        </is>
      </c>
      <c r="C22" t="inlineStr">
        <is>
          <t>State Medicaid</t>
        </is>
      </c>
      <c r="D22" t="inlineStr">
        <is>
          <t>Partially Paid</t>
        </is>
      </c>
      <c r="E22" s="31" t="n">
        <v>45677</v>
      </c>
      <c r="F22" s="31" t="n">
        <v>45687</v>
      </c>
      <c r="G22" s="31" t="n">
        <v>45725</v>
      </c>
      <c r="H22" s="33" t="n"/>
    </row>
    <row r="23">
      <c r="A23" t="inlineStr">
        <is>
          <t>CLM511321</t>
        </is>
      </c>
      <c r="B23" t="inlineStr">
        <is>
          <t>ENC111321</t>
        </is>
      </c>
      <c r="C23" t="inlineStr">
        <is>
          <t>Medicare</t>
        </is>
      </c>
      <c r="D23" t="inlineStr">
        <is>
          <t>Paid</t>
        </is>
      </c>
      <c r="E23" s="31" t="n">
        <v>45679</v>
      </c>
      <c r="F23" s="31" t="n">
        <v>45680</v>
      </c>
      <c r="G23" s="31" t="n">
        <v>45694</v>
      </c>
      <c r="H23" s="33" t="n"/>
    </row>
    <row r="24">
      <c r="A24" t="inlineStr">
        <is>
          <t>CLM511388</t>
        </is>
      </c>
      <c r="B24" t="inlineStr">
        <is>
          <t>ENC111388</t>
        </is>
      </c>
      <c r="C24" t="inlineStr">
        <is>
          <t>Medicare</t>
        </is>
      </c>
      <c r="D24" t="inlineStr">
        <is>
          <t>Paid</t>
        </is>
      </c>
      <c r="E24" s="31" t="n">
        <v>45680</v>
      </c>
      <c r="F24" s="31" t="n">
        <v>45686</v>
      </c>
      <c r="G24" s="31" t="n">
        <v>45699</v>
      </c>
      <c r="H24" s="33" t="n"/>
    </row>
    <row r="25">
      <c r="A25" t="inlineStr">
        <is>
          <t>CLM511416</t>
        </is>
      </c>
      <c r="B25" t="inlineStr">
        <is>
          <t>ENC111416</t>
        </is>
      </c>
      <c r="C25" t="inlineStr">
        <is>
          <t>State Medicaid</t>
        </is>
      </c>
      <c r="D25" t="inlineStr">
        <is>
          <t>Paid</t>
        </is>
      </c>
      <c r="E25" s="31" t="n">
        <v>45681</v>
      </c>
      <c r="F25" s="31" t="n">
        <v>45684</v>
      </c>
      <c r="G25" s="31" t="n">
        <v>45727</v>
      </c>
      <c r="H25" s="33" t="n"/>
    </row>
    <row r="26">
      <c r="A26" t="inlineStr">
        <is>
          <t>CLM511451</t>
        </is>
      </c>
      <c r="B26" t="inlineStr">
        <is>
          <t>ENC111451</t>
        </is>
      </c>
      <c r="C26" t="inlineStr">
        <is>
          <t>Silverline Medicare Advantage</t>
        </is>
      </c>
      <c r="D26" t="inlineStr">
        <is>
          <t>Paid</t>
        </is>
      </c>
      <c r="E26" s="31" t="n">
        <v>45681</v>
      </c>
      <c r="F26" s="31" t="n">
        <v>45690</v>
      </c>
      <c r="G26" s="31" t="n">
        <v>45717</v>
      </c>
      <c r="H26" s="33" t="n"/>
    </row>
    <row r="27">
      <c r="A27" t="inlineStr">
        <is>
          <t>CLM511544</t>
        </is>
      </c>
      <c r="B27" t="inlineStr">
        <is>
          <t>ENC111544</t>
        </is>
      </c>
      <c r="C27" t="inlineStr">
        <is>
          <t>Self-Pay</t>
        </is>
      </c>
      <c r="D27" t="inlineStr">
        <is>
          <t>Partially Paid</t>
        </is>
      </c>
      <c r="E27" s="31" t="n">
        <v>45682</v>
      </c>
      <c r="F27" s="31" t="n">
        <v>45686</v>
      </c>
      <c r="G27" s="31" t="n">
        <v>45748</v>
      </c>
      <c r="H27" s="33" t="n"/>
    </row>
    <row r="28">
      <c r="A28" t="inlineStr">
        <is>
          <t>CLM511423</t>
        </is>
      </c>
      <c r="B28" t="inlineStr">
        <is>
          <t>ENC111423</t>
        </is>
      </c>
      <c r="C28" t="inlineStr">
        <is>
          <t>Silverline Medicare Advantage</t>
        </is>
      </c>
      <c r="D28" t="inlineStr">
        <is>
          <t>Denied</t>
        </is>
      </c>
      <c r="E28" s="31" t="n">
        <v>45683</v>
      </c>
      <c r="F28" s="31" t="n">
        <v>45687</v>
      </c>
      <c r="H28" s="33" t="n"/>
    </row>
    <row r="29">
      <c r="A29" t="inlineStr">
        <is>
          <t>CLM511227</t>
        </is>
      </c>
      <c r="B29" t="inlineStr">
        <is>
          <t>ENC111227</t>
        </is>
      </c>
      <c r="C29" t="inlineStr">
        <is>
          <t>Medicare</t>
        </is>
      </c>
      <c r="D29" t="inlineStr">
        <is>
          <t>Paid</t>
        </is>
      </c>
      <c r="E29" s="31" t="n">
        <v>45687</v>
      </c>
      <c r="F29" s="31" t="n">
        <v>45702</v>
      </c>
      <c r="G29" s="31" t="n">
        <v>45711</v>
      </c>
      <c r="H29" s="33" t="n"/>
    </row>
    <row r="30">
      <c r="A30" t="inlineStr">
        <is>
          <t>CLM511674</t>
        </is>
      </c>
      <c r="B30" t="inlineStr">
        <is>
          <t>ENC111674</t>
        </is>
      </c>
      <c r="C30" t="inlineStr">
        <is>
          <t>Keystone Health Partners</t>
        </is>
      </c>
      <c r="D30" t="inlineStr">
        <is>
          <t>Paid</t>
        </is>
      </c>
      <c r="E30" s="31" t="n">
        <v>45687</v>
      </c>
      <c r="F30" s="31" t="n">
        <v>45697</v>
      </c>
      <c r="G30" s="31" t="n">
        <v>45727</v>
      </c>
      <c r="H30" s="33" t="n"/>
    </row>
    <row r="31">
      <c r="A31" t="inlineStr">
        <is>
          <t>CLM511680</t>
        </is>
      </c>
      <c r="B31" t="inlineStr">
        <is>
          <t>ENC111680</t>
        </is>
      </c>
      <c r="C31" t="inlineStr">
        <is>
          <t>Medicare</t>
        </is>
      </c>
      <c r="D31" t="inlineStr">
        <is>
          <t>Paid</t>
        </is>
      </c>
      <c r="E31" s="31" t="n">
        <v>45687</v>
      </c>
      <c r="F31" s="31" t="n">
        <v>45690</v>
      </c>
      <c r="G31" s="31" t="n">
        <v>45710</v>
      </c>
      <c r="H31" s="33" t="n"/>
    </row>
    <row r="32">
      <c r="A32" t="inlineStr">
        <is>
          <t>CLM511402</t>
        </is>
      </c>
      <c r="B32" t="inlineStr">
        <is>
          <t>ENC111402</t>
        </is>
      </c>
      <c r="C32" t="inlineStr">
        <is>
          <t>Silverline Medicare Advantage</t>
        </is>
      </c>
      <c r="D32" t="inlineStr">
        <is>
          <t>Paid</t>
        </is>
      </c>
      <c r="E32" s="31" t="n">
        <v>45689</v>
      </c>
      <c r="F32" s="31" t="n">
        <v>45691</v>
      </c>
      <c r="G32" s="31" t="n">
        <v>45716</v>
      </c>
      <c r="H32" s="33" t="n"/>
    </row>
    <row r="33">
      <c r="A33" t="inlineStr">
        <is>
          <t>CLM511694</t>
        </is>
      </c>
      <c r="B33" t="inlineStr">
        <is>
          <t>ENC111694</t>
        </is>
      </c>
      <c r="C33" t="inlineStr">
        <is>
          <t>Medicare</t>
        </is>
      </c>
      <c r="D33" t="inlineStr">
        <is>
          <t>Paid</t>
        </is>
      </c>
      <c r="E33" s="31" t="n">
        <v>45689</v>
      </c>
      <c r="F33" s="31" t="n">
        <v>45697</v>
      </c>
      <c r="G33" s="31" t="n">
        <v>45708</v>
      </c>
      <c r="H33" s="33" t="n"/>
    </row>
    <row r="34">
      <c r="A34" t="inlineStr">
        <is>
          <t>CLM511791</t>
        </is>
      </c>
      <c r="B34" t="inlineStr">
        <is>
          <t>ENC111791</t>
        </is>
      </c>
      <c r="C34" t="inlineStr">
        <is>
          <t>Medicare</t>
        </is>
      </c>
      <c r="D34" t="inlineStr">
        <is>
          <t>Paid</t>
        </is>
      </c>
      <c r="E34" s="31" t="n">
        <v>45690</v>
      </c>
      <c r="F34" s="31" t="n">
        <v>45698</v>
      </c>
      <c r="G34" s="31" t="n">
        <v>45715</v>
      </c>
      <c r="H34" s="33" t="n"/>
    </row>
    <row r="35">
      <c r="A35" t="inlineStr">
        <is>
          <t>CLM511842</t>
        </is>
      </c>
      <c r="B35" t="inlineStr">
        <is>
          <t>ENC111842</t>
        </is>
      </c>
      <c r="C35" t="inlineStr">
        <is>
          <t>Silverline Medicare Advantage</t>
        </is>
      </c>
      <c r="D35" t="inlineStr">
        <is>
          <t>Paid</t>
        </is>
      </c>
      <c r="E35" s="31" t="n">
        <v>45691</v>
      </c>
      <c r="F35" s="31" t="n">
        <v>45694</v>
      </c>
      <c r="G35" s="31" t="n">
        <v>45724</v>
      </c>
      <c r="H35" s="33" t="n"/>
    </row>
    <row r="36">
      <c r="A36" t="inlineStr">
        <is>
          <t>CLM511876</t>
        </is>
      </c>
      <c r="B36" t="inlineStr">
        <is>
          <t>ENC111876</t>
        </is>
      </c>
      <c r="C36" t="inlineStr">
        <is>
          <t>Silverline Medicare Advantage</t>
        </is>
      </c>
      <c r="D36" t="inlineStr">
        <is>
          <t>Denied</t>
        </is>
      </c>
      <c r="E36" s="31" t="n">
        <v>45692</v>
      </c>
      <c r="F36" s="31" t="n">
        <v>45694</v>
      </c>
      <c r="H36" s="33" t="n"/>
    </row>
    <row r="37">
      <c r="A37" t="inlineStr">
        <is>
          <t>CLM511923</t>
        </is>
      </c>
      <c r="B37" t="inlineStr">
        <is>
          <t>ENC111923</t>
        </is>
      </c>
      <c r="C37" t="inlineStr">
        <is>
          <t>Self-Pay</t>
        </is>
      </c>
      <c r="D37" t="inlineStr">
        <is>
          <t>Pending</t>
        </is>
      </c>
      <c r="E37" s="31" t="n">
        <v>45692</v>
      </c>
      <c r="F37" s="31" t="n">
        <v>45695</v>
      </c>
      <c r="H37" s="33" t="n"/>
    </row>
    <row r="38">
      <c r="A38" t="inlineStr">
        <is>
          <t>CLM511871</t>
        </is>
      </c>
      <c r="B38" t="inlineStr">
        <is>
          <t>ENC111871</t>
        </is>
      </c>
      <c r="C38" t="inlineStr">
        <is>
          <t>Medicare</t>
        </is>
      </c>
      <c r="D38" t="inlineStr">
        <is>
          <t>Paid</t>
        </is>
      </c>
      <c r="E38" s="31" t="n">
        <v>45695</v>
      </c>
      <c r="F38" s="31" t="n">
        <v>45698</v>
      </c>
      <c r="G38" s="31" t="n">
        <v>45710</v>
      </c>
      <c r="H38" s="33" t="n"/>
    </row>
    <row r="39">
      <c r="A39" t="inlineStr">
        <is>
          <t>CLM511934</t>
        </is>
      </c>
      <c r="B39" t="inlineStr">
        <is>
          <t>ENC111934</t>
        </is>
      </c>
      <c r="C39" t="inlineStr">
        <is>
          <t>State Medicaid</t>
        </is>
      </c>
      <c r="D39" t="inlineStr">
        <is>
          <t>Paid</t>
        </is>
      </c>
      <c r="E39" s="31" t="n">
        <v>45696</v>
      </c>
      <c r="F39" s="31" t="n">
        <v>45700</v>
      </c>
      <c r="G39" s="31" t="n">
        <v>45731</v>
      </c>
      <c r="H39" s="33" t="n"/>
    </row>
    <row r="40">
      <c r="A40" t="inlineStr">
        <is>
          <t>CLM512029</t>
        </is>
      </c>
      <c r="B40" t="inlineStr">
        <is>
          <t>ENC112029</t>
        </is>
      </c>
      <c r="C40" t="inlineStr">
        <is>
          <t>Keystone Health Partners</t>
        </is>
      </c>
      <c r="D40" t="inlineStr">
        <is>
          <t>Paid</t>
        </is>
      </c>
      <c r="E40" s="31" t="n">
        <v>45696</v>
      </c>
      <c r="F40" s="31" t="n">
        <v>45702</v>
      </c>
      <c r="G40" s="31" t="n">
        <v>45737</v>
      </c>
      <c r="H40" s="33" t="n"/>
    </row>
    <row r="41">
      <c r="A41" t="inlineStr">
        <is>
          <t>CLM511762</t>
        </is>
      </c>
      <c r="B41" t="inlineStr">
        <is>
          <t>ENC111762</t>
        </is>
      </c>
      <c r="C41" t="inlineStr">
        <is>
          <t>Keystone Health Partners</t>
        </is>
      </c>
      <c r="D41" t="inlineStr">
        <is>
          <t>Paid</t>
        </is>
      </c>
      <c r="E41" s="31" t="n">
        <v>45697</v>
      </c>
      <c r="F41" s="31" t="n">
        <v>45701</v>
      </c>
      <c r="G41" s="31" t="n">
        <v>45719</v>
      </c>
      <c r="H41" s="33" t="n"/>
    </row>
    <row r="42">
      <c r="A42" t="inlineStr">
        <is>
          <t>CLM512082</t>
        </is>
      </c>
      <c r="B42" t="inlineStr">
        <is>
          <t>ENC112082</t>
        </is>
      </c>
      <c r="C42" t="inlineStr">
        <is>
          <t>Silverline Medicare Advantage</t>
        </is>
      </c>
      <c r="D42" t="inlineStr">
        <is>
          <t>Appealed</t>
        </is>
      </c>
      <c r="E42" s="31" t="n">
        <v>45697</v>
      </c>
      <c r="F42" s="31" t="n">
        <v>45701</v>
      </c>
      <c r="H42" s="33" t="n"/>
    </row>
    <row r="43">
      <c r="A43" t="inlineStr">
        <is>
          <t>CLM512033</t>
        </is>
      </c>
      <c r="B43" t="inlineStr">
        <is>
          <t>ENC112033</t>
        </is>
      </c>
      <c r="C43" t="inlineStr">
        <is>
          <t>Silverline Medicare Advantage</t>
        </is>
      </c>
      <c r="D43" t="inlineStr">
        <is>
          <t>Paid</t>
        </is>
      </c>
      <c r="E43" s="31" t="n">
        <v>45699</v>
      </c>
      <c r="F43" s="31" t="n">
        <v>45702</v>
      </c>
      <c r="G43" s="31" t="n">
        <v>45754</v>
      </c>
      <c r="H43" s="33" t="n"/>
    </row>
    <row r="44">
      <c r="A44" t="inlineStr">
        <is>
          <t>CLM512040</t>
        </is>
      </c>
      <c r="B44" t="inlineStr">
        <is>
          <t>ENC112040</t>
        </is>
      </c>
      <c r="C44" t="inlineStr">
        <is>
          <t>Evergreen Mutual Insurance</t>
        </is>
      </c>
      <c r="D44" t="inlineStr">
        <is>
          <t>Appealed</t>
        </is>
      </c>
      <c r="E44" s="31" t="n">
        <v>45699</v>
      </c>
      <c r="F44" s="31" t="n">
        <v>45701</v>
      </c>
      <c r="H44" s="33" t="n"/>
    </row>
    <row r="45">
      <c r="A45" t="inlineStr">
        <is>
          <t>CLM512073</t>
        </is>
      </c>
      <c r="B45" t="inlineStr">
        <is>
          <t>ENC112073</t>
        </is>
      </c>
      <c r="C45" t="inlineStr">
        <is>
          <t>Silverline Medicare Advantage</t>
        </is>
      </c>
      <c r="D45" t="inlineStr">
        <is>
          <t>Partially Paid</t>
        </is>
      </c>
      <c r="E45" s="31" t="n">
        <v>45699</v>
      </c>
      <c r="F45" s="31" t="n">
        <v>45704</v>
      </c>
      <c r="G45" s="31" t="n">
        <v>45721</v>
      </c>
      <c r="H45" s="33" t="n"/>
    </row>
    <row r="46">
      <c r="A46" t="inlineStr">
        <is>
          <t>CLM512177</t>
        </is>
      </c>
      <c r="B46" t="inlineStr">
        <is>
          <t>ENC112177</t>
        </is>
      </c>
      <c r="C46" t="inlineStr">
        <is>
          <t>Medicare</t>
        </is>
      </c>
      <c r="D46" t="inlineStr">
        <is>
          <t>Paid</t>
        </is>
      </c>
      <c r="E46" s="31" t="n">
        <v>45700</v>
      </c>
      <c r="F46" s="31" t="n">
        <v>45710</v>
      </c>
      <c r="G46" s="31" t="n">
        <v>45728</v>
      </c>
      <c r="H46" s="33" t="n"/>
    </row>
    <row r="47">
      <c r="A47" t="inlineStr">
        <is>
          <t>CLM511983</t>
        </is>
      </c>
      <c r="B47" t="inlineStr">
        <is>
          <t>ENC111983</t>
        </is>
      </c>
      <c r="C47" t="inlineStr">
        <is>
          <t>Silverline Medicare Advantage</t>
        </is>
      </c>
      <c r="D47" t="inlineStr">
        <is>
          <t>Paid</t>
        </is>
      </c>
      <c r="E47" s="31" t="n">
        <v>45701</v>
      </c>
      <c r="F47" s="31" t="n">
        <v>45702</v>
      </c>
      <c r="G47" s="31" t="n">
        <v>45725</v>
      </c>
      <c r="H47" s="33" t="n"/>
    </row>
    <row r="48">
      <c r="A48" t="inlineStr">
        <is>
          <t>CLM512107</t>
        </is>
      </c>
      <c r="B48" t="inlineStr">
        <is>
          <t>ENC112107</t>
        </is>
      </c>
      <c r="C48" t="inlineStr">
        <is>
          <t>Evergreen Mutual Insurance</t>
        </is>
      </c>
      <c r="D48" t="inlineStr">
        <is>
          <t>Paid</t>
        </is>
      </c>
      <c r="E48" s="31" t="n">
        <v>45701</v>
      </c>
      <c r="F48" s="31" t="n">
        <v>45706</v>
      </c>
      <c r="G48" s="31" t="n">
        <v>45719</v>
      </c>
      <c r="H48" s="33" t="n"/>
    </row>
    <row r="49">
      <c r="A49" t="inlineStr">
        <is>
          <t>CLM512196</t>
        </is>
      </c>
      <c r="B49" t="inlineStr">
        <is>
          <t>ENC112196</t>
        </is>
      </c>
      <c r="C49" t="inlineStr">
        <is>
          <t>Keystone Health Partners</t>
        </is>
      </c>
      <c r="D49" t="inlineStr">
        <is>
          <t>Paid</t>
        </is>
      </c>
      <c r="E49" s="31" t="n">
        <v>45701</v>
      </c>
      <c r="F49" s="31" t="n">
        <v>45704</v>
      </c>
      <c r="G49" s="31" t="n">
        <v>45735</v>
      </c>
      <c r="H49" s="33" t="n"/>
    </row>
    <row r="50">
      <c r="A50" t="inlineStr">
        <is>
          <t>CLM512235</t>
        </is>
      </c>
      <c r="B50" t="inlineStr">
        <is>
          <t>ENC112235</t>
        </is>
      </c>
      <c r="C50" t="inlineStr">
        <is>
          <t>Summit Choice PPO</t>
        </is>
      </c>
      <c r="D50" t="inlineStr">
        <is>
          <t>Paid</t>
        </is>
      </c>
      <c r="E50" s="31" t="n">
        <v>45703</v>
      </c>
      <c r="F50" s="31" t="n">
        <v>45704</v>
      </c>
      <c r="G50" s="31" t="n">
        <v>45717</v>
      </c>
      <c r="H50" s="33" t="n"/>
    </row>
    <row r="51">
      <c r="A51" t="inlineStr">
        <is>
          <t>CLM512243</t>
        </is>
      </c>
      <c r="B51" t="inlineStr">
        <is>
          <t>ENC112243</t>
        </is>
      </c>
      <c r="C51" t="inlineStr">
        <is>
          <t>Medicare</t>
        </is>
      </c>
      <c r="D51" t="inlineStr">
        <is>
          <t>Paid</t>
        </is>
      </c>
      <c r="E51" s="31" t="n">
        <v>45703</v>
      </c>
      <c r="F51" s="31" t="n">
        <v>45707</v>
      </c>
      <c r="G51" s="31" t="n">
        <v>45721</v>
      </c>
      <c r="H51" s="33" t="n"/>
    </row>
    <row r="52">
      <c r="A52" t="inlineStr">
        <is>
          <t>CLM512321</t>
        </is>
      </c>
      <c r="B52" t="inlineStr">
        <is>
          <t>ENC112321</t>
        </is>
      </c>
      <c r="C52" t="inlineStr">
        <is>
          <t>Self-Pay</t>
        </is>
      </c>
      <c r="D52" t="inlineStr">
        <is>
          <t>Partially Paid</t>
        </is>
      </c>
      <c r="E52" s="31" t="n">
        <v>45703</v>
      </c>
      <c r="F52" s="31" t="n">
        <v>45708</v>
      </c>
      <c r="G52" s="31" t="n">
        <v>45821</v>
      </c>
      <c r="H52" s="33" t="n"/>
    </row>
    <row r="53">
      <c r="A53" t="inlineStr">
        <is>
          <t>CLM512247</t>
        </is>
      </c>
      <c r="B53" t="inlineStr">
        <is>
          <t>ENC112247</t>
        </is>
      </c>
      <c r="C53" t="inlineStr">
        <is>
          <t>Silverline Medicare Advantage</t>
        </is>
      </c>
      <c r="D53" t="inlineStr">
        <is>
          <t>Denied</t>
        </is>
      </c>
      <c r="E53" s="31" t="n">
        <v>45704</v>
      </c>
      <c r="F53" s="31" t="n">
        <v>45706</v>
      </c>
      <c r="H53" s="33" t="n"/>
    </row>
    <row r="54">
      <c r="A54" t="inlineStr">
        <is>
          <t>CLM512204</t>
        </is>
      </c>
      <c r="B54" t="inlineStr">
        <is>
          <t>ENC112204</t>
        </is>
      </c>
      <c r="C54" t="inlineStr">
        <is>
          <t>Silverline Medicare Advantage</t>
        </is>
      </c>
      <c r="D54" t="inlineStr">
        <is>
          <t>Denied</t>
        </is>
      </c>
      <c r="E54" s="31" t="n">
        <v>45705</v>
      </c>
      <c r="F54" s="31" t="n">
        <v>45709</v>
      </c>
      <c r="H54" s="33" t="n"/>
    </row>
    <row r="55">
      <c r="A55" t="inlineStr">
        <is>
          <t>CLM512375</t>
        </is>
      </c>
      <c r="B55" t="inlineStr">
        <is>
          <t>ENC112375</t>
        </is>
      </c>
      <c r="C55" t="inlineStr">
        <is>
          <t>Medicare</t>
        </is>
      </c>
      <c r="D55" t="inlineStr">
        <is>
          <t>Paid</t>
        </is>
      </c>
      <c r="E55" s="31" t="n">
        <v>45705</v>
      </c>
      <c r="F55" s="31" t="n">
        <v>45714</v>
      </c>
      <c r="G55" s="31" t="n">
        <v>45723</v>
      </c>
      <c r="H55" s="33" t="n"/>
    </row>
    <row r="56">
      <c r="A56" t="inlineStr">
        <is>
          <t>CLM512398</t>
        </is>
      </c>
      <c r="B56" t="inlineStr">
        <is>
          <t>ENC112398</t>
        </is>
      </c>
      <c r="C56" t="inlineStr">
        <is>
          <t>State Medicaid</t>
        </is>
      </c>
      <c r="D56" t="inlineStr">
        <is>
          <t>Paid</t>
        </is>
      </c>
      <c r="E56" s="31" t="n">
        <v>45707</v>
      </c>
      <c r="F56" s="31" t="n">
        <v>45718</v>
      </c>
      <c r="G56" s="31" t="n">
        <v>45764</v>
      </c>
      <c r="H56" s="33" t="n"/>
    </row>
    <row r="57">
      <c r="A57" t="inlineStr">
        <is>
          <t>CLM512267</t>
        </is>
      </c>
      <c r="B57" t="inlineStr">
        <is>
          <t>ENC112267</t>
        </is>
      </c>
      <c r="C57" t="inlineStr">
        <is>
          <t>Summit Choice PPO</t>
        </is>
      </c>
      <c r="D57" t="inlineStr">
        <is>
          <t>Denied</t>
        </is>
      </c>
      <c r="E57" s="31" t="n">
        <v>45708</v>
      </c>
      <c r="F57" s="31" t="n">
        <v>45710</v>
      </c>
      <c r="H57" s="33" t="n"/>
    </row>
    <row r="58">
      <c r="A58" t="inlineStr">
        <is>
          <t>CLM512342</t>
        </is>
      </c>
      <c r="B58" t="inlineStr">
        <is>
          <t>ENC112342</t>
        </is>
      </c>
      <c r="C58" t="inlineStr">
        <is>
          <t>Medicare</t>
        </is>
      </c>
      <c r="D58" t="inlineStr">
        <is>
          <t>Paid</t>
        </is>
      </c>
      <c r="E58" s="31" t="n">
        <v>45711</v>
      </c>
      <c r="F58" s="31" t="n">
        <v>45714</v>
      </c>
      <c r="G58" s="31" t="n">
        <v>45731</v>
      </c>
      <c r="H58" s="33" t="n"/>
    </row>
    <row r="59">
      <c r="A59" t="inlineStr">
        <is>
          <t>CLM512471</t>
        </is>
      </c>
      <c r="B59" t="inlineStr">
        <is>
          <t>ENC112471</t>
        </is>
      </c>
      <c r="C59" t="inlineStr">
        <is>
          <t>Silverline Medicare Advantage</t>
        </is>
      </c>
      <c r="D59" t="inlineStr">
        <is>
          <t>Paid</t>
        </is>
      </c>
      <c r="E59" s="31" t="n">
        <v>45711</v>
      </c>
      <c r="F59" s="31" t="n">
        <v>45713</v>
      </c>
      <c r="G59" s="31" t="n">
        <v>45726</v>
      </c>
      <c r="H59" s="33" t="n"/>
    </row>
    <row r="60">
      <c r="A60" t="inlineStr">
        <is>
          <t>CLM512363</t>
        </is>
      </c>
      <c r="B60" t="inlineStr">
        <is>
          <t>ENC112363</t>
        </is>
      </c>
      <c r="C60" t="inlineStr">
        <is>
          <t>Medicare</t>
        </is>
      </c>
      <c r="D60" t="inlineStr">
        <is>
          <t>Paid</t>
        </is>
      </c>
      <c r="E60" s="31" t="n">
        <v>45712</v>
      </c>
      <c r="F60" s="31" t="n">
        <v>45715</v>
      </c>
      <c r="G60" s="31" t="n">
        <v>45729</v>
      </c>
      <c r="H60" s="33" t="n"/>
    </row>
    <row r="61">
      <c r="A61" t="inlineStr">
        <is>
          <t>CLM512491</t>
        </is>
      </c>
      <c r="B61" t="inlineStr">
        <is>
          <t>ENC112491</t>
        </is>
      </c>
      <c r="C61" t="inlineStr">
        <is>
          <t>Summit Choice PPO</t>
        </is>
      </c>
      <c r="D61" t="inlineStr">
        <is>
          <t>Paid</t>
        </is>
      </c>
      <c r="E61" s="31" t="n">
        <v>45714</v>
      </c>
      <c r="F61" s="31" t="n">
        <v>45719</v>
      </c>
      <c r="G61" s="31" t="n">
        <v>45756</v>
      </c>
      <c r="H61" s="33" t="n"/>
    </row>
    <row r="62">
      <c r="A62" t="inlineStr">
        <is>
          <t>CLM512702</t>
        </is>
      </c>
      <c r="B62" t="inlineStr">
        <is>
          <t>ENC112702</t>
        </is>
      </c>
      <c r="C62" t="inlineStr">
        <is>
          <t>Self-Pay</t>
        </is>
      </c>
      <c r="D62" t="inlineStr">
        <is>
          <t>Paid</t>
        </is>
      </c>
      <c r="E62" s="31" t="n">
        <v>45714</v>
      </c>
      <c r="F62" s="31" t="n">
        <v>45717</v>
      </c>
      <c r="G62" s="31" t="n">
        <v>45766</v>
      </c>
      <c r="H62" s="33" t="n"/>
    </row>
    <row r="63">
      <c r="A63" t="inlineStr">
        <is>
          <t>CLM512511</t>
        </is>
      </c>
      <c r="B63" t="inlineStr">
        <is>
          <t>ENC112511</t>
        </is>
      </c>
      <c r="C63" t="inlineStr">
        <is>
          <t>Medicare</t>
        </is>
      </c>
      <c r="D63" t="inlineStr">
        <is>
          <t>Paid</t>
        </is>
      </c>
      <c r="E63" s="31" t="n">
        <v>45715</v>
      </c>
      <c r="F63" s="31" t="n">
        <v>45718</v>
      </c>
      <c r="G63" s="31" t="n">
        <v>45732</v>
      </c>
      <c r="H63" s="33" t="n"/>
    </row>
    <row r="64">
      <c r="A64" t="inlineStr">
        <is>
          <t>CLM512645</t>
        </is>
      </c>
      <c r="B64" t="inlineStr">
        <is>
          <t>ENC112645</t>
        </is>
      </c>
      <c r="C64" t="inlineStr">
        <is>
          <t>Keystone Health Partners</t>
        </is>
      </c>
      <c r="D64" t="inlineStr">
        <is>
          <t>Paid</t>
        </is>
      </c>
      <c r="E64" s="31" t="n">
        <v>45715</v>
      </c>
      <c r="F64" s="31" t="n">
        <v>45717</v>
      </c>
      <c r="G64" s="31" t="n">
        <v>45754</v>
      </c>
      <c r="H64" s="33" t="n"/>
    </row>
    <row r="65">
      <c r="A65" t="inlineStr">
        <is>
          <t>CLM512697</t>
        </is>
      </c>
      <c r="B65" t="inlineStr">
        <is>
          <t>ENC112697</t>
        </is>
      </c>
      <c r="C65" t="inlineStr">
        <is>
          <t>Medicare</t>
        </is>
      </c>
      <c r="D65" t="inlineStr">
        <is>
          <t>Paid</t>
        </is>
      </c>
      <c r="E65" s="31" t="n">
        <v>45715</v>
      </c>
      <c r="F65" s="31" t="n">
        <v>45716</v>
      </c>
      <c r="G65" s="31" t="n">
        <v>45725</v>
      </c>
      <c r="H65" s="33" t="n"/>
    </row>
    <row r="66">
      <c r="A66" t="inlineStr">
        <is>
          <t>CLM512630</t>
        </is>
      </c>
      <c r="B66" t="inlineStr">
        <is>
          <t>ENC112630</t>
        </is>
      </c>
      <c r="C66" t="inlineStr">
        <is>
          <t>Silverline Medicare Advantage</t>
        </is>
      </c>
      <c r="D66" t="inlineStr">
        <is>
          <t>Paid</t>
        </is>
      </c>
      <c r="E66" s="31" t="n">
        <v>45717</v>
      </c>
      <c r="F66" s="31" t="n">
        <v>45724</v>
      </c>
      <c r="G66" s="31" t="n">
        <v>45743</v>
      </c>
      <c r="H66" s="33" t="n"/>
    </row>
    <row r="67">
      <c r="A67" t="inlineStr">
        <is>
          <t>CLM512714</t>
        </is>
      </c>
      <c r="B67" t="inlineStr">
        <is>
          <t>ENC112714</t>
        </is>
      </c>
      <c r="C67" t="inlineStr">
        <is>
          <t>Silverline Medicare Advantage</t>
        </is>
      </c>
      <c r="D67" t="inlineStr">
        <is>
          <t>Paid</t>
        </is>
      </c>
      <c r="E67" s="31" t="n">
        <v>45717</v>
      </c>
      <c r="F67" s="31" t="n">
        <v>45719</v>
      </c>
      <c r="G67" s="31" t="n">
        <v>45734</v>
      </c>
      <c r="H67" s="33" t="n"/>
    </row>
    <row r="68">
      <c r="A68" t="inlineStr">
        <is>
          <t>CLM512744</t>
        </is>
      </c>
      <c r="B68" t="inlineStr">
        <is>
          <t>ENC112744</t>
        </is>
      </c>
      <c r="C68" t="inlineStr">
        <is>
          <t>State Medicaid</t>
        </is>
      </c>
      <c r="D68" t="inlineStr">
        <is>
          <t>Paid</t>
        </is>
      </c>
      <c r="E68" s="31" t="n">
        <v>45717</v>
      </c>
      <c r="F68" s="31" t="n">
        <v>45723</v>
      </c>
      <c r="G68" s="31" t="n">
        <v>45754</v>
      </c>
      <c r="H68" s="33" t="n"/>
    </row>
    <row r="69">
      <c r="A69" t="inlineStr">
        <is>
          <t>CLM512430</t>
        </is>
      </c>
      <c r="B69" t="inlineStr">
        <is>
          <t>ENC112430</t>
        </is>
      </c>
      <c r="C69" t="inlineStr">
        <is>
          <t>Silverline Medicare Advantage</t>
        </is>
      </c>
      <c r="D69" t="inlineStr">
        <is>
          <t>Paid</t>
        </is>
      </c>
      <c r="E69" s="31" t="n">
        <v>45718</v>
      </c>
      <c r="F69" s="31" t="n">
        <v>45720</v>
      </c>
      <c r="G69" s="31" t="n">
        <v>45749</v>
      </c>
      <c r="H69" s="33" t="n"/>
    </row>
    <row r="70">
      <c r="A70" t="inlineStr">
        <is>
          <t>CLM512828</t>
        </is>
      </c>
      <c r="B70" t="inlineStr">
        <is>
          <t>ENC112828</t>
        </is>
      </c>
      <c r="C70" t="inlineStr">
        <is>
          <t>Evergreen Mutual Insurance</t>
        </is>
      </c>
      <c r="D70" t="inlineStr">
        <is>
          <t>Paid</t>
        </is>
      </c>
      <c r="E70" s="31" t="n">
        <v>45718</v>
      </c>
      <c r="F70" s="31" t="n">
        <v>45720</v>
      </c>
      <c r="G70" s="31" t="n">
        <v>45746</v>
      </c>
      <c r="H70" s="33" t="n"/>
    </row>
    <row r="71">
      <c r="A71" t="inlineStr">
        <is>
          <t>CLM512615</t>
        </is>
      </c>
      <c r="B71" t="inlineStr">
        <is>
          <t>ENC112615</t>
        </is>
      </c>
      <c r="C71" t="inlineStr">
        <is>
          <t>Medicare</t>
        </is>
      </c>
      <c r="D71" t="inlineStr">
        <is>
          <t>Paid</t>
        </is>
      </c>
      <c r="E71" s="31" t="n">
        <v>45719</v>
      </c>
      <c r="F71" s="31" t="n">
        <v>45725</v>
      </c>
      <c r="G71" s="31" t="n">
        <v>45743</v>
      </c>
      <c r="H71" s="33" t="n"/>
    </row>
    <row r="72">
      <c r="A72" t="inlineStr">
        <is>
          <t>CLM512495</t>
        </is>
      </c>
      <c r="B72" t="inlineStr">
        <is>
          <t>ENC112495</t>
        </is>
      </c>
      <c r="C72" t="inlineStr">
        <is>
          <t>Silverline Medicare Advantage</t>
        </is>
      </c>
      <c r="D72" t="inlineStr">
        <is>
          <t>Appealed</t>
        </is>
      </c>
      <c r="E72" s="31" t="n">
        <v>45721</v>
      </c>
      <c r="F72" s="31" t="n">
        <v>45730</v>
      </c>
      <c r="H72" s="33" t="n"/>
    </row>
    <row r="73">
      <c r="A73" t="inlineStr">
        <is>
          <t>CLM512847</t>
        </is>
      </c>
      <c r="B73" t="inlineStr">
        <is>
          <t>ENC112847</t>
        </is>
      </c>
      <c r="C73" t="inlineStr">
        <is>
          <t>Self-Pay</t>
        </is>
      </c>
      <c r="D73" t="inlineStr">
        <is>
          <t>Partially Paid</t>
        </is>
      </c>
      <c r="E73" s="31" t="n">
        <v>45721</v>
      </c>
      <c r="F73" s="31" t="n">
        <v>45725</v>
      </c>
      <c r="G73" s="31" t="n">
        <v>45815</v>
      </c>
      <c r="H73" s="33" t="n"/>
    </row>
    <row r="74">
      <c r="A74" t="inlineStr">
        <is>
          <t>CLM512928</t>
        </is>
      </c>
      <c r="B74" t="inlineStr">
        <is>
          <t>ENC112928</t>
        </is>
      </c>
      <c r="C74" t="inlineStr">
        <is>
          <t>State Medicaid</t>
        </is>
      </c>
      <c r="D74" t="inlineStr">
        <is>
          <t>Paid</t>
        </is>
      </c>
      <c r="E74" s="31" t="n">
        <v>45723</v>
      </c>
      <c r="F74" s="31" t="n">
        <v>45807</v>
      </c>
      <c r="G74" s="31" t="n">
        <v>45847</v>
      </c>
      <c r="H74" s="33" t="n"/>
    </row>
    <row r="75">
      <c r="A75" t="inlineStr">
        <is>
          <t>CLM512973</t>
        </is>
      </c>
      <c r="B75" t="inlineStr">
        <is>
          <t>ENC112973</t>
        </is>
      </c>
      <c r="C75" t="inlineStr">
        <is>
          <t>Silverline Medicare Advantage</t>
        </is>
      </c>
      <c r="D75" t="inlineStr">
        <is>
          <t>Paid</t>
        </is>
      </c>
      <c r="E75" s="31" t="n">
        <v>45723</v>
      </c>
      <c r="F75" s="31" t="n">
        <v>45727</v>
      </c>
      <c r="G75" s="31" t="n">
        <v>45766</v>
      </c>
      <c r="H75" s="33" t="n"/>
    </row>
    <row r="76">
      <c r="A76" t="inlineStr">
        <is>
          <t>CLM512996</t>
        </is>
      </c>
      <c r="B76" t="inlineStr">
        <is>
          <t>ENC112996</t>
        </is>
      </c>
      <c r="C76" t="inlineStr">
        <is>
          <t>Keystone Health Partners</t>
        </is>
      </c>
      <c r="D76" t="inlineStr">
        <is>
          <t>Paid</t>
        </is>
      </c>
      <c r="E76" s="31" t="n">
        <v>45725</v>
      </c>
      <c r="F76" s="31" t="n">
        <v>45728</v>
      </c>
      <c r="G76" s="31" t="n">
        <v>45754</v>
      </c>
      <c r="H76" s="33" t="n"/>
    </row>
    <row r="77">
      <c r="A77" t="inlineStr">
        <is>
          <t>CLM512961</t>
        </is>
      </c>
      <c r="B77" t="inlineStr">
        <is>
          <t>ENC112961</t>
        </is>
      </c>
      <c r="C77" t="inlineStr">
        <is>
          <t>Evergreen Mutual Insurance</t>
        </is>
      </c>
      <c r="D77" t="inlineStr">
        <is>
          <t>Paid</t>
        </is>
      </c>
      <c r="E77" s="31" t="n">
        <v>45726</v>
      </c>
      <c r="F77" s="31" t="n">
        <v>45730</v>
      </c>
      <c r="G77" s="31" t="n">
        <v>45777</v>
      </c>
      <c r="H77" s="33" t="n"/>
    </row>
    <row r="78">
      <c r="A78" t="inlineStr">
        <is>
          <t>CLM513066</t>
        </is>
      </c>
      <c r="B78" t="inlineStr">
        <is>
          <t>ENC113066</t>
        </is>
      </c>
      <c r="C78" t="inlineStr">
        <is>
          <t>Silverline Medicare Advantage</t>
        </is>
      </c>
      <c r="D78" t="inlineStr">
        <is>
          <t>Partially Paid</t>
        </is>
      </c>
      <c r="E78" s="31" t="n">
        <v>45728</v>
      </c>
      <c r="F78" s="31" t="n">
        <v>45731</v>
      </c>
      <c r="G78" s="31" t="n">
        <v>45752</v>
      </c>
      <c r="H78" s="33" t="n"/>
    </row>
    <row r="79">
      <c r="A79" t="inlineStr">
        <is>
          <t>CLM512969</t>
        </is>
      </c>
      <c r="B79" t="inlineStr">
        <is>
          <t>ENC112969</t>
        </is>
      </c>
      <c r="C79" t="inlineStr">
        <is>
          <t>Silverline Medicare Advantage</t>
        </is>
      </c>
      <c r="D79" t="inlineStr">
        <is>
          <t>Paid</t>
        </is>
      </c>
      <c r="E79" s="31" t="n">
        <v>45729</v>
      </c>
      <c r="F79" s="31" t="n">
        <v>45735</v>
      </c>
      <c r="G79" s="31" t="n">
        <v>45768</v>
      </c>
      <c r="H79" s="33" t="n"/>
    </row>
    <row r="80">
      <c r="A80" t="inlineStr">
        <is>
          <t>CLM512990</t>
        </is>
      </c>
      <c r="B80" t="inlineStr">
        <is>
          <t>ENC112990</t>
        </is>
      </c>
      <c r="C80" t="inlineStr">
        <is>
          <t>Summit Choice PPO</t>
        </is>
      </c>
      <c r="D80" t="inlineStr">
        <is>
          <t>Paid</t>
        </is>
      </c>
      <c r="E80" s="31" t="n">
        <v>45729</v>
      </c>
      <c r="F80" s="31" t="n">
        <v>45732</v>
      </c>
      <c r="G80" s="31" t="n">
        <v>45746</v>
      </c>
      <c r="H80" s="33" t="n"/>
    </row>
    <row r="81">
      <c r="A81" t="inlineStr">
        <is>
          <t>CLM513077</t>
        </is>
      </c>
      <c r="B81" t="inlineStr">
        <is>
          <t>ENC113077</t>
        </is>
      </c>
      <c r="C81" t="inlineStr">
        <is>
          <t>Keystone Health Partners</t>
        </is>
      </c>
      <c r="D81" t="inlineStr">
        <is>
          <t>Paid</t>
        </is>
      </c>
      <c r="E81" s="31" t="n">
        <v>45730</v>
      </c>
      <c r="F81" s="31" t="n">
        <v>45782</v>
      </c>
      <c r="G81" s="31" t="n">
        <v>45798</v>
      </c>
      <c r="H81" s="33" t="n"/>
    </row>
    <row r="82">
      <c r="A82" t="inlineStr">
        <is>
          <t>CLM513114</t>
        </is>
      </c>
      <c r="B82" t="inlineStr">
        <is>
          <t>ENC113114</t>
        </is>
      </c>
      <c r="C82" t="inlineStr">
        <is>
          <t>Keystone Health Partners</t>
        </is>
      </c>
      <c r="D82" t="inlineStr">
        <is>
          <t>Paid</t>
        </is>
      </c>
      <c r="E82" s="31" t="n">
        <v>45730</v>
      </c>
      <c r="F82" s="31" t="n">
        <v>45735</v>
      </c>
      <c r="G82" s="31" t="n">
        <v>45746</v>
      </c>
      <c r="H82" s="33" t="n"/>
    </row>
    <row r="83">
      <c r="A83" t="inlineStr">
        <is>
          <t>CLM513183</t>
        </is>
      </c>
      <c r="B83" t="inlineStr">
        <is>
          <t>ENC113183</t>
        </is>
      </c>
      <c r="C83" t="inlineStr">
        <is>
          <t>Silverline Medicare Advantage</t>
        </is>
      </c>
      <c r="D83" t="inlineStr">
        <is>
          <t>Denied</t>
        </is>
      </c>
      <c r="E83" s="31" t="n">
        <v>45731</v>
      </c>
      <c r="F83" s="31" t="n">
        <v>45734</v>
      </c>
      <c r="H83" s="33" t="n"/>
    </row>
    <row r="84">
      <c r="A84" t="inlineStr">
        <is>
          <t>CLM513019</t>
        </is>
      </c>
      <c r="B84" t="inlineStr">
        <is>
          <t>ENC113019</t>
        </is>
      </c>
      <c r="C84" t="inlineStr">
        <is>
          <t>Evergreen Mutual Insurance</t>
        </is>
      </c>
      <c r="D84" t="inlineStr">
        <is>
          <t>Paid</t>
        </is>
      </c>
      <c r="E84" s="31" t="n">
        <v>45733</v>
      </c>
      <c r="F84" s="31" t="n">
        <v>45737</v>
      </c>
      <c r="G84" s="31" t="n">
        <v>45765</v>
      </c>
      <c r="H84" s="33" t="n"/>
    </row>
    <row r="85">
      <c r="A85" t="inlineStr">
        <is>
          <t>CLM513285</t>
        </is>
      </c>
      <c r="B85" t="inlineStr">
        <is>
          <t>ENC113285</t>
        </is>
      </c>
      <c r="C85" t="inlineStr">
        <is>
          <t>Silverline Medicare Advantage</t>
        </is>
      </c>
      <c r="D85" t="inlineStr">
        <is>
          <t>Paid</t>
        </is>
      </c>
      <c r="E85" s="31" t="n">
        <v>45733</v>
      </c>
      <c r="F85" s="31" t="n">
        <v>45735</v>
      </c>
      <c r="G85" s="31" t="n">
        <v>45758</v>
      </c>
      <c r="H85" s="33" t="n"/>
    </row>
    <row r="86">
      <c r="A86" t="inlineStr">
        <is>
          <t>CLM513286</t>
        </is>
      </c>
      <c r="B86" t="inlineStr">
        <is>
          <t>ENC113286</t>
        </is>
      </c>
      <c r="C86" t="inlineStr">
        <is>
          <t>State Medicaid</t>
        </is>
      </c>
      <c r="D86" t="inlineStr">
        <is>
          <t>Paid</t>
        </is>
      </c>
      <c r="E86" s="31" t="n">
        <v>45733</v>
      </c>
      <c r="F86" s="31" t="n">
        <v>45735</v>
      </c>
      <c r="G86" s="31" t="n">
        <v>45773</v>
      </c>
      <c r="H86" s="33" t="n"/>
    </row>
    <row r="87">
      <c r="A87" t="inlineStr">
        <is>
          <t>CLM513249</t>
        </is>
      </c>
      <c r="B87" t="inlineStr">
        <is>
          <t>ENC113249</t>
        </is>
      </c>
      <c r="C87" t="inlineStr">
        <is>
          <t>Medicare</t>
        </is>
      </c>
      <c r="D87" t="inlineStr">
        <is>
          <t>Paid</t>
        </is>
      </c>
      <c r="E87" s="31" t="n">
        <v>45734</v>
      </c>
      <c r="F87" s="31" t="n">
        <v>45874</v>
      </c>
      <c r="G87" s="31" t="n">
        <v>45891</v>
      </c>
      <c r="H87" s="33" t="n"/>
    </row>
    <row r="88">
      <c r="A88" t="inlineStr">
        <is>
          <t>CLM512929</t>
        </is>
      </c>
      <c r="B88" t="inlineStr">
        <is>
          <t>ENC112929</t>
        </is>
      </c>
      <c r="C88" t="inlineStr">
        <is>
          <t>Medicare</t>
        </is>
      </c>
      <c r="D88" t="inlineStr">
        <is>
          <t>Paid</t>
        </is>
      </c>
      <c r="E88" s="31" t="n">
        <v>45735</v>
      </c>
      <c r="F88" s="31" t="n">
        <v>45739</v>
      </c>
      <c r="G88" s="31" t="n">
        <v>45750</v>
      </c>
      <c r="H88" s="33" t="n"/>
    </row>
    <row r="89">
      <c r="A89" t="inlineStr">
        <is>
          <t>CLM513308</t>
        </is>
      </c>
      <c r="B89" t="inlineStr">
        <is>
          <t>ENC113308</t>
        </is>
      </c>
      <c r="C89" t="inlineStr">
        <is>
          <t>Self-Pay</t>
        </is>
      </c>
      <c r="D89" t="inlineStr">
        <is>
          <t>Partially Paid</t>
        </is>
      </c>
      <c r="E89" s="31" t="n">
        <v>45735</v>
      </c>
      <c r="F89" s="31" t="n">
        <v>45746</v>
      </c>
      <c r="G89" s="31" t="n">
        <v>45831</v>
      </c>
      <c r="H89" s="33" t="n"/>
    </row>
    <row r="90">
      <c r="A90" t="inlineStr">
        <is>
          <t>CLM513312</t>
        </is>
      </c>
      <c r="B90" t="inlineStr">
        <is>
          <t>ENC113312</t>
        </is>
      </c>
      <c r="C90" t="inlineStr">
        <is>
          <t>Evergreen Mutual Insurance</t>
        </is>
      </c>
      <c r="D90" t="inlineStr">
        <is>
          <t>Paid</t>
        </is>
      </c>
      <c r="E90" s="31" t="n">
        <v>45735</v>
      </c>
      <c r="F90" s="31" t="n">
        <v>45739</v>
      </c>
      <c r="G90" s="31" t="n">
        <v>45787</v>
      </c>
      <c r="H90" s="33" t="n"/>
    </row>
    <row r="91">
      <c r="A91" t="inlineStr">
        <is>
          <t>CLM513335</t>
        </is>
      </c>
      <c r="B91" t="inlineStr">
        <is>
          <t>ENC113335</t>
        </is>
      </c>
      <c r="C91" t="inlineStr">
        <is>
          <t>Silverline Medicare Advantage</t>
        </is>
      </c>
      <c r="D91" t="inlineStr">
        <is>
          <t>Paid</t>
        </is>
      </c>
      <c r="E91" s="31" t="n">
        <v>45736</v>
      </c>
      <c r="F91" s="31" t="n">
        <v>45738</v>
      </c>
      <c r="G91" s="31" t="n">
        <v>45772</v>
      </c>
      <c r="H91" s="33" t="n"/>
    </row>
    <row r="92">
      <c r="A92" t="inlineStr">
        <is>
          <t>CLM513427</t>
        </is>
      </c>
      <c r="B92" t="inlineStr">
        <is>
          <t>ENC113427</t>
        </is>
      </c>
      <c r="C92" t="inlineStr">
        <is>
          <t>Keystone Health Partners</t>
        </is>
      </c>
      <c r="D92" t="inlineStr">
        <is>
          <t>Paid</t>
        </is>
      </c>
      <c r="E92" s="31" t="n">
        <v>45738</v>
      </c>
      <c r="F92" s="31" t="n">
        <v>45752</v>
      </c>
      <c r="G92" s="31" t="n">
        <v>45776</v>
      </c>
      <c r="H92" s="33" t="n"/>
    </row>
    <row r="93">
      <c r="A93" t="inlineStr">
        <is>
          <t>CLM513090</t>
        </is>
      </c>
      <c r="B93" t="inlineStr">
        <is>
          <t>ENC113090</t>
        </is>
      </c>
      <c r="C93" t="inlineStr">
        <is>
          <t>Silverline Medicare Advantage</t>
        </is>
      </c>
      <c r="D93" t="inlineStr">
        <is>
          <t>Paid</t>
        </is>
      </c>
      <c r="E93" s="31" t="n">
        <v>45739</v>
      </c>
      <c r="F93" s="31" t="n">
        <v>45741</v>
      </c>
      <c r="G93" s="31" t="n">
        <v>45783</v>
      </c>
      <c r="H93" s="33" t="n"/>
    </row>
    <row r="94">
      <c r="A94" t="inlineStr">
        <is>
          <t>CLM513324</t>
        </is>
      </c>
      <c r="B94" t="inlineStr">
        <is>
          <t>ENC113324</t>
        </is>
      </c>
      <c r="C94" t="inlineStr">
        <is>
          <t>Silverline Medicare Advantage</t>
        </is>
      </c>
      <c r="D94" t="inlineStr">
        <is>
          <t>Paid</t>
        </is>
      </c>
      <c r="E94" s="31" t="n">
        <v>45739</v>
      </c>
      <c r="F94" s="31" t="n">
        <v>45748</v>
      </c>
      <c r="G94" s="31" t="n">
        <v>45777</v>
      </c>
      <c r="H94" s="33" t="n"/>
    </row>
    <row r="95">
      <c r="A95" t="inlineStr">
        <is>
          <t>CLM513363</t>
        </is>
      </c>
      <c r="B95" t="inlineStr">
        <is>
          <t>ENC113363</t>
        </is>
      </c>
      <c r="C95" t="inlineStr">
        <is>
          <t>Keystone Health Partners</t>
        </is>
      </c>
      <c r="D95" t="inlineStr">
        <is>
          <t>Paid</t>
        </is>
      </c>
      <c r="E95" s="31" t="n">
        <v>45739</v>
      </c>
      <c r="F95" s="31" t="n">
        <v>45744</v>
      </c>
      <c r="G95" s="31" t="n">
        <v>45770</v>
      </c>
      <c r="H95" s="33" t="n"/>
    </row>
    <row r="96">
      <c r="A96" t="inlineStr">
        <is>
          <t>CLM513395</t>
        </is>
      </c>
      <c r="B96" t="inlineStr">
        <is>
          <t>ENC113395</t>
        </is>
      </c>
      <c r="C96" t="inlineStr">
        <is>
          <t>Self-Pay</t>
        </is>
      </c>
      <c r="D96" t="inlineStr">
        <is>
          <t>Partially Paid</t>
        </is>
      </c>
      <c r="E96" s="31" t="n">
        <v>45739</v>
      </c>
      <c r="F96" s="31" t="n">
        <v>45741</v>
      </c>
      <c r="G96" s="31" t="n">
        <v>45826</v>
      </c>
      <c r="H96" s="33" t="n"/>
    </row>
    <row r="97">
      <c r="A97" t="inlineStr">
        <is>
          <t>CLM513407</t>
        </is>
      </c>
      <c r="B97" t="inlineStr">
        <is>
          <t>ENC113407</t>
        </is>
      </c>
      <c r="C97" t="inlineStr">
        <is>
          <t>Medicare</t>
        </is>
      </c>
      <c r="D97" t="inlineStr">
        <is>
          <t>Paid</t>
        </is>
      </c>
      <c r="E97" s="31" t="n">
        <v>45741</v>
      </c>
      <c r="F97" s="31" t="n">
        <v>45744</v>
      </c>
      <c r="G97" s="31" t="n">
        <v>45762</v>
      </c>
      <c r="H97" s="33" t="n"/>
    </row>
    <row r="98">
      <c r="A98" t="inlineStr">
        <is>
          <t>CLM513488</t>
        </is>
      </c>
      <c r="B98" t="inlineStr">
        <is>
          <t>ENC113488</t>
        </is>
      </c>
      <c r="C98" t="inlineStr">
        <is>
          <t>Medicare</t>
        </is>
      </c>
      <c r="D98" t="inlineStr">
        <is>
          <t>Paid</t>
        </is>
      </c>
      <c r="E98" s="31" t="n">
        <v>45741</v>
      </c>
      <c r="F98" s="31" t="n">
        <v>45744</v>
      </c>
      <c r="G98" s="31" t="n">
        <v>45756</v>
      </c>
      <c r="H98" s="33" t="n"/>
    </row>
    <row r="99">
      <c r="A99" t="inlineStr">
        <is>
          <t>CLM513496</t>
        </is>
      </c>
      <c r="B99" t="inlineStr">
        <is>
          <t>ENC113496</t>
        </is>
      </c>
      <c r="C99" t="inlineStr">
        <is>
          <t>State Medicaid</t>
        </is>
      </c>
      <c r="D99" t="inlineStr">
        <is>
          <t>Partially Paid</t>
        </is>
      </c>
      <c r="E99" s="31" t="n">
        <v>45741</v>
      </c>
      <c r="F99" s="31" t="n">
        <v>45745</v>
      </c>
      <c r="G99" s="31" t="n">
        <v>45778</v>
      </c>
      <c r="H99" s="33" t="n"/>
    </row>
    <row r="100">
      <c r="A100" t="inlineStr">
        <is>
          <t>CLM513510</t>
        </is>
      </c>
      <c r="B100" t="inlineStr">
        <is>
          <t>ENC113510</t>
        </is>
      </c>
      <c r="C100" t="inlineStr">
        <is>
          <t>Medicare</t>
        </is>
      </c>
      <c r="D100" t="inlineStr">
        <is>
          <t>Paid</t>
        </is>
      </c>
      <c r="E100" s="31" t="n">
        <v>45741</v>
      </c>
      <c r="F100" s="31" t="n">
        <v>45746</v>
      </c>
      <c r="G100" s="31" t="n">
        <v>45767</v>
      </c>
      <c r="H100" s="33" t="n"/>
    </row>
    <row r="101">
      <c r="A101" t="inlineStr">
        <is>
          <t>CLM513495</t>
        </is>
      </c>
      <c r="B101" t="inlineStr">
        <is>
          <t>ENC113495</t>
        </is>
      </c>
      <c r="C101" t="inlineStr">
        <is>
          <t>Silverline Medicare Advantage</t>
        </is>
      </c>
      <c r="D101" t="inlineStr">
        <is>
          <t>Paid</t>
        </is>
      </c>
      <c r="E101" s="31" t="n">
        <v>45742</v>
      </c>
      <c r="F101" s="31" t="n">
        <v>45751</v>
      </c>
      <c r="G101" s="31" t="n">
        <v>45778</v>
      </c>
      <c r="H101" s="33" t="n"/>
    </row>
    <row r="102">
      <c r="A102" t="inlineStr">
        <is>
          <t>CLM513540</t>
        </is>
      </c>
      <c r="B102" t="inlineStr">
        <is>
          <t>ENC113540</t>
        </is>
      </c>
      <c r="C102" t="inlineStr">
        <is>
          <t>Keystone Health Partners</t>
        </is>
      </c>
      <c r="D102" t="inlineStr">
        <is>
          <t>Paid</t>
        </is>
      </c>
      <c r="E102" s="31" t="n">
        <v>45743</v>
      </c>
      <c r="F102" s="31" t="n">
        <v>45746</v>
      </c>
      <c r="G102" s="31" t="n">
        <v>45768</v>
      </c>
      <c r="H102" s="33" t="n"/>
    </row>
    <row r="103">
      <c r="A103" t="inlineStr">
        <is>
          <t>CLM513621</t>
        </is>
      </c>
      <c r="B103" t="inlineStr">
        <is>
          <t>ENC113621</t>
        </is>
      </c>
      <c r="C103" t="inlineStr">
        <is>
          <t>Self-Pay</t>
        </is>
      </c>
      <c r="D103" t="inlineStr">
        <is>
          <t>Partially Paid</t>
        </is>
      </c>
      <c r="E103" s="31" t="n">
        <v>45744</v>
      </c>
      <c r="F103" s="31" t="n">
        <v>45749</v>
      </c>
      <c r="G103" s="31" t="n">
        <v>45800</v>
      </c>
      <c r="H103" s="33" t="n"/>
    </row>
    <row r="104">
      <c r="A104" t="inlineStr">
        <is>
          <t>CLM513351</t>
        </is>
      </c>
      <c r="B104" t="inlineStr">
        <is>
          <t>ENC113351</t>
        </is>
      </c>
      <c r="C104" t="inlineStr">
        <is>
          <t>Silverline Medicare Advantage</t>
        </is>
      </c>
      <c r="D104" t="inlineStr">
        <is>
          <t>Paid</t>
        </is>
      </c>
      <c r="E104" s="31" t="n">
        <v>45745</v>
      </c>
      <c r="F104" s="31" t="n">
        <v>45750</v>
      </c>
      <c r="G104" s="31" t="n">
        <v>45792</v>
      </c>
      <c r="H104" s="33" t="n"/>
    </row>
    <row r="105">
      <c r="A105" t="inlineStr">
        <is>
          <t>CLM513681</t>
        </is>
      </c>
      <c r="B105" t="inlineStr">
        <is>
          <t>ENC113681</t>
        </is>
      </c>
      <c r="C105" t="inlineStr">
        <is>
          <t>Silverline Medicare Advantage</t>
        </is>
      </c>
      <c r="D105" t="inlineStr">
        <is>
          <t>Paid</t>
        </is>
      </c>
      <c r="E105" s="31" t="n">
        <v>45746</v>
      </c>
      <c r="F105" s="31" t="n">
        <v>45752</v>
      </c>
      <c r="G105" s="31" t="n">
        <v>45784</v>
      </c>
      <c r="H105" s="33" t="n"/>
    </row>
    <row r="106">
      <c r="A106" t="inlineStr">
        <is>
          <t>CLM513750</t>
        </is>
      </c>
      <c r="B106" t="inlineStr">
        <is>
          <t>ENC113750</t>
        </is>
      </c>
      <c r="C106" t="inlineStr">
        <is>
          <t>State Medicaid</t>
        </is>
      </c>
      <c r="D106" t="inlineStr">
        <is>
          <t>Appealed</t>
        </is>
      </c>
      <c r="E106" s="31" t="n">
        <v>45748</v>
      </c>
      <c r="F106" s="31" t="n">
        <v>45750</v>
      </c>
      <c r="H106" s="33" t="n"/>
    </row>
    <row r="107">
      <c r="A107" t="inlineStr">
        <is>
          <t>CLM513365</t>
        </is>
      </c>
      <c r="B107" t="inlineStr">
        <is>
          <t>ENC113365</t>
        </is>
      </c>
      <c r="C107" t="inlineStr">
        <is>
          <t>Summit Choice PPO</t>
        </is>
      </c>
      <c r="D107" t="inlineStr">
        <is>
          <t>Partially Paid</t>
        </is>
      </c>
      <c r="E107" s="31" t="n">
        <v>45749</v>
      </c>
      <c r="F107" s="31" t="n">
        <v>45751</v>
      </c>
      <c r="G107" s="31" t="n">
        <v>45785</v>
      </c>
      <c r="H107" s="33" t="n"/>
    </row>
    <row r="108">
      <c r="A108" t="inlineStr">
        <is>
          <t>CLM513662</t>
        </is>
      </c>
      <c r="B108" t="inlineStr">
        <is>
          <t>ENC113662</t>
        </is>
      </c>
      <c r="C108" t="inlineStr">
        <is>
          <t>State Medicaid</t>
        </is>
      </c>
      <c r="D108" t="inlineStr">
        <is>
          <t>Paid</t>
        </is>
      </c>
      <c r="E108" s="31" t="n">
        <v>45750</v>
      </c>
      <c r="F108" s="31" t="n">
        <v>45759</v>
      </c>
      <c r="G108" s="31" t="n">
        <v>45777</v>
      </c>
      <c r="H108" s="33" t="n"/>
    </row>
    <row r="109">
      <c r="A109" t="inlineStr">
        <is>
          <t>CLM513770</t>
        </is>
      </c>
      <c r="B109" t="inlineStr">
        <is>
          <t>ENC113770</t>
        </is>
      </c>
      <c r="C109" t="inlineStr">
        <is>
          <t>State Medicaid</t>
        </is>
      </c>
      <c r="D109" t="inlineStr">
        <is>
          <t>Paid</t>
        </is>
      </c>
      <c r="E109" s="31" t="n">
        <v>45750</v>
      </c>
      <c r="F109" s="31" t="n">
        <v>45754</v>
      </c>
      <c r="G109" s="31" t="n">
        <v>45791</v>
      </c>
      <c r="H109" s="33" t="n"/>
    </row>
    <row r="110">
      <c r="A110" t="inlineStr">
        <is>
          <t>CLM513816</t>
        </is>
      </c>
      <c r="B110" t="inlineStr">
        <is>
          <t>ENC113816</t>
        </is>
      </c>
      <c r="C110" t="inlineStr">
        <is>
          <t>State Medicaid</t>
        </is>
      </c>
      <c r="D110" t="inlineStr">
        <is>
          <t>Paid</t>
        </is>
      </c>
      <c r="E110" s="31" t="n">
        <v>45750</v>
      </c>
      <c r="F110" s="31" t="n">
        <v>45753</v>
      </c>
      <c r="G110" s="31" t="n">
        <v>45778</v>
      </c>
      <c r="H110" s="33" t="n"/>
    </row>
    <row r="111">
      <c r="A111" t="inlineStr">
        <is>
          <t>CLM513845</t>
        </is>
      </c>
      <c r="B111" t="inlineStr">
        <is>
          <t>ENC113845</t>
        </is>
      </c>
      <c r="C111" t="inlineStr">
        <is>
          <t>Summit Choice PPO</t>
        </is>
      </c>
      <c r="D111" t="inlineStr">
        <is>
          <t>Paid</t>
        </is>
      </c>
      <c r="E111" s="31" t="n">
        <v>45751</v>
      </c>
      <c r="F111" s="31" t="n">
        <v>45809</v>
      </c>
      <c r="G111" s="31" t="n">
        <v>45830</v>
      </c>
      <c r="H111" s="33" t="n"/>
    </row>
    <row r="112">
      <c r="A112" t="inlineStr">
        <is>
          <t>CLM513887</t>
        </is>
      </c>
      <c r="B112" t="inlineStr">
        <is>
          <t>ENC113887</t>
        </is>
      </c>
      <c r="C112" t="inlineStr">
        <is>
          <t>Summit Choice PPO</t>
        </is>
      </c>
      <c r="D112" t="inlineStr">
        <is>
          <t>Paid</t>
        </is>
      </c>
      <c r="E112" s="31" t="n">
        <v>45751</v>
      </c>
      <c r="F112" s="31" t="n">
        <v>45753</v>
      </c>
      <c r="G112" s="31" t="n">
        <v>45792</v>
      </c>
      <c r="H112" s="33" t="n"/>
    </row>
    <row r="113">
      <c r="A113" t="inlineStr">
        <is>
          <t>CLM513777</t>
        </is>
      </c>
      <c r="B113" t="inlineStr">
        <is>
          <t>ENC113777</t>
        </is>
      </c>
      <c r="C113" t="inlineStr">
        <is>
          <t>Silverline Medicare Advantage</t>
        </is>
      </c>
      <c r="D113" t="inlineStr">
        <is>
          <t>Paid</t>
        </is>
      </c>
      <c r="E113" s="31" t="n">
        <v>45752</v>
      </c>
      <c r="F113" s="31" t="n">
        <v>45755</v>
      </c>
      <c r="G113" s="31" t="n">
        <v>45776</v>
      </c>
      <c r="H113" s="33" t="n"/>
    </row>
    <row r="114">
      <c r="A114" t="inlineStr">
        <is>
          <t>CLM513848</t>
        </is>
      </c>
      <c r="B114" t="inlineStr">
        <is>
          <t>ENC113848</t>
        </is>
      </c>
      <c r="C114" t="inlineStr">
        <is>
          <t>Self-Pay</t>
        </is>
      </c>
      <c r="D114" t="inlineStr">
        <is>
          <t>Partially Paid</t>
        </is>
      </c>
      <c r="E114" s="31" t="n">
        <v>45752</v>
      </c>
      <c r="F114" s="31" t="n">
        <v>45755</v>
      </c>
      <c r="G114" s="31" t="n">
        <v>45797</v>
      </c>
      <c r="H114" s="33" t="n"/>
    </row>
    <row r="115">
      <c r="A115" t="inlineStr">
        <is>
          <t>CLM513882</t>
        </is>
      </c>
      <c r="B115" t="inlineStr">
        <is>
          <t>ENC113882</t>
        </is>
      </c>
      <c r="C115" t="inlineStr">
        <is>
          <t>Medicare</t>
        </is>
      </c>
      <c r="D115" t="inlineStr">
        <is>
          <t>Paid</t>
        </is>
      </c>
      <c r="E115" s="31" t="n">
        <v>45752</v>
      </c>
      <c r="F115" s="31" t="n">
        <v>45753</v>
      </c>
      <c r="G115" s="31" t="n">
        <v>45770</v>
      </c>
      <c r="H115" s="33" t="n"/>
    </row>
    <row r="116">
      <c r="A116" t="inlineStr">
        <is>
          <t>CLM513855</t>
        </is>
      </c>
      <c r="B116" t="inlineStr">
        <is>
          <t>ENC113855</t>
        </is>
      </c>
      <c r="C116" t="inlineStr">
        <is>
          <t>Summit Choice PPO</t>
        </is>
      </c>
      <c r="D116" t="inlineStr">
        <is>
          <t>Paid</t>
        </is>
      </c>
      <c r="E116" s="31" t="n">
        <v>45754</v>
      </c>
      <c r="F116" s="31" t="n">
        <v>45760</v>
      </c>
      <c r="G116" s="31" t="n">
        <v>45800</v>
      </c>
      <c r="H116" s="33" t="n"/>
    </row>
    <row r="117">
      <c r="A117" t="inlineStr">
        <is>
          <t>CLM513946</t>
        </is>
      </c>
      <c r="B117" t="inlineStr">
        <is>
          <t>ENC113946</t>
        </is>
      </c>
      <c r="C117" t="inlineStr">
        <is>
          <t>Evergreen Mutual Insurance</t>
        </is>
      </c>
      <c r="D117" t="inlineStr">
        <is>
          <t>Denied</t>
        </is>
      </c>
      <c r="E117" s="31" t="n">
        <v>45754</v>
      </c>
      <c r="F117" s="31" t="n">
        <v>45759</v>
      </c>
      <c r="H117" s="33" t="n"/>
    </row>
    <row r="118">
      <c r="A118" t="inlineStr">
        <is>
          <t>CLM513968</t>
        </is>
      </c>
      <c r="B118" t="inlineStr">
        <is>
          <t>ENC113968</t>
        </is>
      </c>
      <c r="C118" t="inlineStr">
        <is>
          <t>State Medicaid</t>
        </is>
      </c>
      <c r="D118" t="inlineStr">
        <is>
          <t>Paid</t>
        </is>
      </c>
      <c r="E118" s="31" t="n">
        <v>45758</v>
      </c>
      <c r="F118" s="31" t="n">
        <v>45764</v>
      </c>
      <c r="G118" s="31" t="n">
        <v>45810</v>
      </c>
      <c r="H118" s="33" t="n"/>
    </row>
    <row r="119">
      <c r="A119" t="inlineStr">
        <is>
          <t>CLM514053</t>
        </is>
      </c>
      <c r="B119" t="inlineStr">
        <is>
          <t>ENC114053</t>
        </is>
      </c>
      <c r="C119" t="inlineStr">
        <is>
          <t>Summit Choice PPO</t>
        </is>
      </c>
      <c r="D119" t="inlineStr">
        <is>
          <t>Paid</t>
        </is>
      </c>
      <c r="E119" s="31" t="n">
        <v>45760</v>
      </c>
      <c r="F119" s="31" t="n">
        <v>45763</v>
      </c>
      <c r="G119" s="31" t="n">
        <v>45780</v>
      </c>
      <c r="H119" s="33" t="n"/>
    </row>
    <row r="120">
      <c r="A120" t="inlineStr">
        <is>
          <t>CLM514094</t>
        </is>
      </c>
      <c r="B120" t="inlineStr">
        <is>
          <t>ENC114094</t>
        </is>
      </c>
      <c r="C120" t="inlineStr">
        <is>
          <t>Medicare</t>
        </is>
      </c>
      <c r="D120" t="inlineStr">
        <is>
          <t>Paid</t>
        </is>
      </c>
      <c r="E120" s="31" t="n">
        <v>45761</v>
      </c>
      <c r="F120" s="31" t="n">
        <v>45773</v>
      </c>
      <c r="G120" s="31" t="n">
        <v>45785</v>
      </c>
      <c r="H120" s="33" t="n"/>
    </row>
    <row r="121">
      <c r="A121" t="inlineStr">
        <is>
          <t>CLM514102</t>
        </is>
      </c>
      <c r="B121" t="inlineStr">
        <is>
          <t>ENC114102</t>
        </is>
      </c>
      <c r="C121" t="inlineStr">
        <is>
          <t>Silverline Medicare Advantage</t>
        </is>
      </c>
      <c r="D121" t="inlineStr">
        <is>
          <t>Paid</t>
        </is>
      </c>
      <c r="E121" s="31" t="n">
        <v>45761</v>
      </c>
      <c r="F121" s="31" t="n">
        <v>45764</v>
      </c>
      <c r="G121" s="31" t="n">
        <v>45785</v>
      </c>
      <c r="H121" s="33" t="n"/>
    </row>
    <row r="122">
      <c r="A122" t="inlineStr">
        <is>
          <t>CLM514095</t>
        </is>
      </c>
      <c r="B122" t="inlineStr">
        <is>
          <t>ENC114095</t>
        </is>
      </c>
      <c r="C122" t="inlineStr">
        <is>
          <t>Evergreen Mutual Insurance</t>
        </is>
      </c>
      <c r="D122" t="inlineStr">
        <is>
          <t>Appealed</t>
        </is>
      </c>
      <c r="E122" s="31" t="n">
        <v>45762</v>
      </c>
      <c r="F122" s="31" t="n">
        <v>45765</v>
      </c>
      <c r="H122" s="33" t="n"/>
    </row>
    <row r="123">
      <c r="A123" t="inlineStr">
        <is>
          <t>CLM514150</t>
        </is>
      </c>
      <c r="B123" t="inlineStr">
        <is>
          <t>ENC114150</t>
        </is>
      </c>
      <c r="C123" t="inlineStr">
        <is>
          <t>State Medicaid</t>
        </is>
      </c>
      <c r="D123" t="inlineStr">
        <is>
          <t>Denied</t>
        </is>
      </c>
      <c r="E123" s="31" t="n">
        <v>45763</v>
      </c>
      <c r="F123" s="31" t="n">
        <v>45765</v>
      </c>
      <c r="H123" s="33" t="n"/>
    </row>
    <row r="124">
      <c r="A124" t="inlineStr">
        <is>
          <t>CLM514115</t>
        </is>
      </c>
      <c r="B124" t="inlineStr">
        <is>
          <t>ENC114115</t>
        </is>
      </c>
      <c r="C124" t="inlineStr">
        <is>
          <t>Medicare</t>
        </is>
      </c>
      <c r="D124" t="inlineStr">
        <is>
          <t>Partially Paid</t>
        </is>
      </c>
      <c r="E124" s="31" t="n">
        <v>45764</v>
      </c>
      <c r="F124" s="31" t="n">
        <v>45766</v>
      </c>
      <c r="G124" s="31" t="n">
        <v>45785</v>
      </c>
      <c r="H124" s="33" t="n"/>
    </row>
    <row r="125">
      <c r="A125" t="inlineStr">
        <is>
          <t>CLM514148</t>
        </is>
      </c>
      <c r="B125" t="inlineStr">
        <is>
          <t>ENC114148</t>
        </is>
      </c>
      <c r="C125" t="inlineStr">
        <is>
          <t>Keystone Health Partners</t>
        </is>
      </c>
      <c r="D125" t="inlineStr">
        <is>
          <t>Paid</t>
        </is>
      </c>
      <c r="E125" s="31" t="n">
        <v>45764</v>
      </c>
      <c r="F125" s="31" t="n">
        <v>45772</v>
      </c>
      <c r="G125" s="31" t="n">
        <v>45822</v>
      </c>
      <c r="H125" s="33" t="n"/>
    </row>
    <row r="126">
      <c r="A126" t="inlineStr">
        <is>
          <t>CLM513964</t>
        </is>
      </c>
      <c r="B126" t="inlineStr">
        <is>
          <t>ENC113964</t>
        </is>
      </c>
      <c r="C126" t="inlineStr">
        <is>
          <t>State Medicaid</t>
        </is>
      </c>
      <c r="D126" t="inlineStr">
        <is>
          <t>Paid</t>
        </is>
      </c>
      <c r="E126" s="31" t="n">
        <v>45765</v>
      </c>
      <c r="F126" s="31" t="n">
        <v>45768</v>
      </c>
      <c r="G126" s="31" t="n">
        <v>45809</v>
      </c>
      <c r="H126" s="33" t="n"/>
    </row>
    <row r="127">
      <c r="A127" t="inlineStr">
        <is>
          <t>CLM514238</t>
        </is>
      </c>
      <c r="B127" t="inlineStr">
        <is>
          <t>ENC114238</t>
        </is>
      </c>
      <c r="C127" t="inlineStr">
        <is>
          <t>Keystone Health Partners</t>
        </is>
      </c>
      <c r="D127" t="inlineStr">
        <is>
          <t>Paid</t>
        </is>
      </c>
      <c r="E127" s="31" t="n">
        <v>45765</v>
      </c>
      <c r="F127" s="31" t="n">
        <v>45775</v>
      </c>
      <c r="G127" s="31" t="n">
        <v>45790</v>
      </c>
      <c r="H127" s="33" t="n"/>
    </row>
    <row r="128">
      <c r="A128" t="inlineStr">
        <is>
          <t>CLM514266</t>
        </is>
      </c>
      <c r="B128" t="inlineStr">
        <is>
          <t>ENC114266</t>
        </is>
      </c>
      <c r="C128" t="inlineStr">
        <is>
          <t>State Medicaid</t>
        </is>
      </c>
      <c r="D128" t="inlineStr">
        <is>
          <t>Paid</t>
        </is>
      </c>
      <c r="E128" s="31" t="n">
        <v>45765</v>
      </c>
      <c r="F128" s="31" t="n">
        <v>45767</v>
      </c>
      <c r="G128" s="31" t="n">
        <v>45805</v>
      </c>
      <c r="H128" s="33" t="n"/>
    </row>
    <row r="129">
      <c r="A129" t="inlineStr">
        <is>
          <t>CLM514244</t>
        </is>
      </c>
      <c r="B129" t="inlineStr">
        <is>
          <t>ENC114244</t>
        </is>
      </c>
      <c r="C129" t="inlineStr">
        <is>
          <t>State Medicaid</t>
        </is>
      </c>
      <c r="D129" t="inlineStr">
        <is>
          <t>Paid</t>
        </is>
      </c>
      <c r="E129" s="31" t="n">
        <v>45767</v>
      </c>
      <c r="F129" s="31" t="n">
        <v>45772</v>
      </c>
      <c r="G129" s="31" t="n">
        <v>45813</v>
      </c>
      <c r="H129" s="33" t="n"/>
    </row>
    <row r="130">
      <c r="A130" t="inlineStr">
        <is>
          <t>CLM514263</t>
        </is>
      </c>
      <c r="B130" t="inlineStr">
        <is>
          <t>ENC114263</t>
        </is>
      </c>
      <c r="C130" t="inlineStr">
        <is>
          <t>Medicare</t>
        </is>
      </c>
      <c r="D130" t="inlineStr">
        <is>
          <t>Paid</t>
        </is>
      </c>
      <c r="E130" s="31" t="n">
        <v>45770</v>
      </c>
      <c r="F130" s="31" t="n">
        <v>45773</v>
      </c>
      <c r="G130" s="31" t="n">
        <v>45782</v>
      </c>
      <c r="H130" s="33" t="n"/>
    </row>
    <row r="131">
      <c r="A131" t="inlineStr">
        <is>
          <t>CLM514364</t>
        </is>
      </c>
      <c r="B131" t="inlineStr">
        <is>
          <t>ENC114364</t>
        </is>
      </c>
      <c r="C131" t="inlineStr">
        <is>
          <t>Summit Choice PPO</t>
        </is>
      </c>
      <c r="D131" t="inlineStr">
        <is>
          <t>Paid</t>
        </is>
      </c>
      <c r="E131" s="31" t="n">
        <v>45770</v>
      </c>
      <c r="F131" s="31" t="n">
        <v>45774</v>
      </c>
      <c r="G131" s="31" t="n">
        <v>45792</v>
      </c>
      <c r="H131" s="33" t="n"/>
    </row>
    <row r="132">
      <c r="A132" t="inlineStr">
        <is>
          <t>CLM514527</t>
        </is>
      </c>
      <c r="B132" t="inlineStr">
        <is>
          <t>ENC114527</t>
        </is>
      </c>
      <c r="C132" t="inlineStr">
        <is>
          <t>Evergreen Mutual Insurance</t>
        </is>
      </c>
      <c r="D132" t="inlineStr">
        <is>
          <t>Paid</t>
        </is>
      </c>
      <c r="E132" s="31" t="n">
        <v>45777</v>
      </c>
      <c r="F132" s="31" t="n">
        <v>45784</v>
      </c>
      <c r="G132" s="31" t="n">
        <v>45816</v>
      </c>
      <c r="H132" s="33" t="n"/>
    </row>
    <row r="133">
      <c r="A133" t="inlineStr">
        <is>
          <t>CLM514471</t>
        </is>
      </c>
      <c r="B133" t="inlineStr">
        <is>
          <t>ENC114471</t>
        </is>
      </c>
      <c r="C133" t="inlineStr">
        <is>
          <t>State Medicaid</t>
        </is>
      </c>
      <c r="D133" t="inlineStr">
        <is>
          <t>Paid</t>
        </is>
      </c>
      <c r="E133" s="31" t="n">
        <v>45778</v>
      </c>
      <c r="F133" s="31" t="n">
        <v>45781</v>
      </c>
      <c r="G133" s="31" t="n">
        <v>45812</v>
      </c>
      <c r="H133" s="33" t="n"/>
    </row>
    <row r="134">
      <c r="A134" t="inlineStr">
        <is>
          <t>CLM514564</t>
        </is>
      </c>
      <c r="B134" t="inlineStr">
        <is>
          <t>ENC114564</t>
        </is>
      </c>
      <c r="C134" t="inlineStr">
        <is>
          <t>Evergreen Mutual Insurance</t>
        </is>
      </c>
      <c r="D134" t="inlineStr">
        <is>
          <t>Paid</t>
        </is>
      </c>
      <c r="E134" s="31" t="n">
        <v>45778</v>
      </c>
      <c r="F134" s="31" t="n">
        <v>45780</v>
      </c>
      <c r="G134" s="31" t="n">
        <v>45803</v>
      </c>
      <c r="H134" s="33" t="n"/>
    </row>
    <row r="135">
      <c r="A135" t="inlineStr">
        <is>
          <t>CLM514611</t>
        </is>
      </c>
      <c r="B135" t="inlineStr">
        <is>
          <t>ENC114611</t>
        </is>
      </c>
      <c r="C135" t="inlineStr">
        <is>
          <t>Evergreen Mutual Insurance</t>
        </is>
      </c>
      <c r="D135" t="inlineStr">
        <is>
          <t>Paid</t>
        </is>
      </c>
      <c r="E135" s="31" t="n">
        <v>45780</v>
      </c>
      <c r="F135" s="31" t="n">
        <v>45782</v>
      </c>
      <c r="G135" s="31" t="n">
        <v>45815</v>
      </c>
      <c r="H135" s="33" t="n"/>
    </row>
    <row r="136">
      <c r="A136" t="inlineStr">
        <is>
          <t>CLM514640</t>
        </is>
      </c>
      <c r="B136" t="inlineStr">
        <is>
          <t>ENC114640</t>
        </is>
      </c>
      <c r="C136" t="inlineStr">
        <is>
          <t>Evergreen Mutual Insurance</t>
        </is>
      </c>
      <c r="D136" t="inlineStr">
        <is>
          <t>Paid</t>
        </is>
      </c>
      <c r="E136" s="31" t="n">
        <v>45780</v>
      </c>
      <c r="F136" s="31" t="n">
        <v>45838</v>
      </c>
      <c r="G136" s="31" t="n">
        <v>45851</v>
      </c>
      <c r="H136" s="33" t="n"/>
    </row>
    <row r="137">
      <c r="A137" t="inlineStr">
        <is>
          <t>CLM514641</t>
        </is>
      </c>
      <c r="B137" t="inlineStr">
        <is>
          <t>ENC114641</t>
        </is>
      </c>
      <c r="C137" t="inlineStr">
        <is>
          <t>Summit Choice PPO</t>
        </is>
      </c>
      <c r="D137" t="inlineStr">
        <is>
          <t>Paid</t>
        </is>
      </c>
      <c r="E137" s="31" t="n">
        <v>45780</v>
      </c>
      <c r="F137" s="31" t="n">
        <v>45789</v>
      </c>
      <c r="G137" s="31" t="n">
        <v>45812</v>
      </c>
      <c r="H137" s="33" t="n"/>
    </row>
    <row r="138">
      <c r="A138" t="inlineStr">
        <is>
          <t>CLM514708</t>
        </is>
      </c>
      <c r="B138" t="inlineStr">
        <is>
          <t>ENC114708</t>
        </is>
      </c>
      <c r="C138" t="inlineStr">
        <is>
          <t>Summit Choice PPO</t>
        </is>
      </c>
      <c r="D138" t="inlineStr">
        <is>
          <t>Appealed</t>
        </is>
      </c>
      <c r="E138" s="31" t="n">
        <v>45781</v>
      </c>
      <c r="F138" s="31" t="n">
        <v>45784</v>
      </c>
      <c r="H138" s="33" t="n"/>
    </row>
    <row r="139">
      <c r="A139" t="inlineStr">
        <is>
          <t>CLM514727</t>
        </is>
      </c>
      <c r="B139" t="inlineStr">
        <is>
          <t>ENC114727</t>
        </is>
      </c>
      <c r="C139" t="inlineStr">
        <is>
          <t>Summit Choice PPO</t>
        </is>
      </c>
      <c r="D139" t="inlineStr">
        <is>
          <t>Paid</t>
        </is>
      </c>
      <c r="E139" s="31" t="n">
        <v>45782</v>
      </c>
      <c r="F139" s="31" t="n">
        <v>45789</v>
      </c>
      <c r="G139" s="31" t="n">
        <v>45805</v>
      </c>
      <c r="H139" s="33" t="n"/>
    </row>
    <row r="140">
      <c r="A140" t="inlineStr">
        <is>
          <t>CLM514748</t>
        </is>
      </c>
      <c r="B140" t="inlineStr">
        <is>
          <t>ENC114748</t>
        </is>
      </c>
      <c r="C140" t="inlineStr">
        <is>
          <t>Keystone Health Partners</t>
        </is>
      </c>
      <c r="D140" t="inlineStr">
        <is>
          <t>Paid</t>
        </is>
      </c>
      <c r="E140" s="31" t="n">
        <v>45783</v>
      </c>
      <c r="F140" s="31" t="n">
        <v>45787</v>
      </c>
      <c r="G140" s="31" t="n">
        <v>45812</v>
      </c>
      <c r="H140" s="33" t="n"/>
    </row>
    <row r="141">
      <c r="A141" t="inlineStr">
        <is>
          <t>CLM514739</t>
        </is>
      </c>
      <c r="B141" t="inlineStr">
        <is>
          <t>ENC114739</t>
        </is>
      </c>
      <c r="C141" t="inlineStr">
        <is>
          <t>Evergreen Mutual Insurance</t>
        </is>
      </c>
      <c r="D141" t="inlineStr">
        <is>
          <t>Appealed</t>
        </is>
      </c>
      <c r="E141" s="31" t="n">
        <v>45787</v>
      </c>
      <c r="F141" s="31" t="n">
        <v>45789</v>
      </c>
      <c r="H141" s="33" t="n"/>
    </row>
    <row r="142">
      <c r="A142" t="inlineStr">
        <is>
          <t>CLM514783</t>
        </is>
      </c>
      <c r="B142" t="inlineStr">
        <is>
          <t>ENC114783</t>
        </is>
      </c>
      <c r="C142" t="inlineStr">
        <is>
          <t>State Medicaid</t>
        </is>
      </c>
      <c r="D142" t="inlineStr">
        <is>
          <t>Appealed</t>
        </is>
      </c>
      <c r="E142" s="31" t="n">
        <v>45788</v>
      </c>
      <c r="F142" s="31" t="n">
        <v>45792</v>
      </c>
      <c r="H142" s="33" t="n"/>
    </row>
    <row r="143">
      <c r="A143" t="inlineStr">
        <is>
          <t>CLM514863</t>
        </is>
      </c>
      <c r="B143" t="inlineStr">
        <is>
          <t>ENC114863</t>
        </is>
      </c>
      <c r="C143" t="inlineStr">
        <is>
          <t>Summit Choice PPO</t>
        </is>
      </c>
      <c r="D143" t="inlineStr">
        <is>
          <t>Denied</t>
        </is>
      </c>
      <c r="E143" s="31" t="n">
        <v>45788</v>
      </c>
      <c r="F143" s="31" t="n">
        <v>45900</v>
      </c>
      <c r="H143" s="33" t="n"/>
    </row>
    <row r="144">
      <c r="A144" t="inlineStr">
        <is>
          <t>CLM514866</t>
        </is>
      </c>
      <c r="B144" t="inlineStr">
        <is>
          <t>ENC114866</t>
        </is>
      </c>
      <c r="C144" t="inlineStr">
        <is>
          <t>State Medicaid</t>
        </is>
      </c>
      <c r="D144" t="inlineStr">
        <is>
          <t>Denied</t>
        </is>
      </c>
      <c r="E144" s="31" t="n">
        <v>45788</v>
      </c>
      <c r="F144" s="31" t="n">
        <v>45794</v>
      </c>
      <c r="H144" s="33" t="n"/>
    </row>
    <row r="145">
      <c r="A145" t="inlineStr">
        <is>
          <t>CLM514800</t>
        </is>
      </c>
      <c r="B145" t="inlineStr">
        <is>
          <t>ENC114800</t>
        </is>
      </c>
      <c r="C145" t="inlineStr">
        <is>
          <t>Silverline Medicare Advantage</t>
        </is>
      </c>
      <c r="D145" t="inlineStr">
        <is>
          <t>Paid</t>
        </is>
      </c>
      <c r="E145" s="31" t="n">
        <v>45789</v>
      </c>
      <c r="F145" s="31" t="n">
        <v>45804</v>
      </c>
      <c r="G145" s="31" t="n">
        <v>45829</v>
      </c>
      <c r="H145" s="33" t="n"/>
    </row>
    <row r="146">
      <c r="A146" t="inlineStr">
        <is>
          <t>CLM514947</t>
        </is>
      </c>
      <c r="B146" t="inlineStr">
        <is>
          <t>ENC114947</t>
        </is>
      </c>
      <c r="C146" t="inlineStr">
        <is>
          <t>Keystone Health Partners</t>
        </is>
      </c>
      <c r="D146" t="inlineStr">
        <is>
          <t>Paid</t>
        </is>
      </c>
      <c r="E146" s="31" t="n">
        <v>45790</v>
      </c>
      <c r="F146" s="31" t="n">
        <v>45794</v>
      </c>
      <c r="G146" s="31" t="n">
        <v>45825</v>
      </c>
      <c r="H146" s="33" t="n"/>
    </row>
    <row r="147">
      <c r="A147" t="inlineStr">
        <is>
          <t>CLM514648</t>
        </is>
      </c>
      <c r="B147" t="inlineStr">
        <is>
          <t>ENC114648</t>
        </is>
      </c>
      <c r="C147" t="inlineStr">
        <is>
          <t>State Medicaid</t>
        </is>
      </c>
      <c r="D147" t="inlineStr">
        <is>
          <t>Paid</t>
        </is>
      </c>
      <c r="E147" s="31" t="n">
        <v>45791</v>
      </c>
      <c r="F147" s="31" t="n">
        <v>45793</v>
      </c>
      <c r="G147" s="31" t="n">
        <v>45844</v>
      </c>
      <c r="H147" s="33" t="n"/>
    </row>
    <row r="148">
      <c r="A148" t="inlineStr">
        <is>
          <t>CLM514842</t>
        </is>
      </c>
      <c r="B148" t="inlineStr">
        <is>
          <t>ENC114842</t>
        </is>
      </c>
      <c r="C148" t="inlineStr">
        <is>
          <t>Summit Choice PPO</t>
        </is>
      </c>
      <c r="D148" t="inlineStr">
        <is>
          <t>Paid</t>
        </is>
      </c>
      <c r="E148" s="31" t="n">
        <v>45791</v>
      </c>
      <c r="F148" s="31" t="n">
        <v>45799</v>
      </c>
      <c r="G148" s="31" t="n">
        <v>45831</v>
      </c>
      <c r="H148" s="33" t="n"/>
    </row>
    <row r="149">
      <c r="A149" t="inlineStr">
        <is>
          <t>CLM515017</t>
        </is>
      </c>
      <c r="B149" t="inlineStr">
        <is>
          <t>ENC115017</t>
        </is>
      </c>
      <c r="C149" t="inlineStr">
        <is>
          <t>Summit Choice PPO</t>
        </is>
      </c>
      <c r="D149" t="inlineStr">
        <is>
          <t>Paid</t>
        </is>
      </c>
      <c r="E149" s="31" t="n">
        <v>45792</v>
      </c>
      <c r="F149" s="31" t="n">
        <v>45797</v>
      </c>
      <c r="G149" s="31" t="n">
        <v>45822</v>
      </c>
      <c r="H149" s="33" t="n"/>
    </row>
    <row r="150">
      <c r="A150" t="inlineStr">
        <is>
          <t>CLM515044</t>
        </is>
      </c>
      <c r="B150" t="inlineStr">
        <is>
          <t>ENC115044</t>
        </is>
      </c>
      <c r="C150" t="inlineStr">
        <is>
          <t>Evergreen Mutual Insurance</t>
        </is>
      </c>
      <c r="D150" t="inlineStr">
        <is>
          <t>Partially Paid</t>
        </is>
      </c>
      <c r="E150" s="31" t="n">
        <v>45792</v>
      </c>
      <c r="F150" s="31" t="n">
        <v>45794</v>
      </c>
      <c r="G150" s="31" t="n">
        <v>45829</v>
      </c>
      <c r="H150" s="33" t="n"/>
    </row>
    <row r="151">
      <c r="A151" t="inlineStr">
        <is>
          <t>CLM515087</t>
        </is>
      </c>
      <c r="B151" t="inlineStr">
        <is>
          <t>ENC115087</t>
        </is>
      </c>
      <c r="C151" t="inlineStr">
        <is>
          <t>State Medicaid</t>
        </is>
      </c>
      <c r="D151" t="inlineStr">
        <is>
          <t>Partially Paid</t>
        </is>
      </c>
      <c r="E151" s="31" t="n">
        <v>45793</v>
      </c>
      <c r="F151" s="31" t="n">
        <v>45797</v>
      </c>
      <c r="G151" s="31" t="n">
        <v>45870</v>
      </c>
      <c r="H151" s="33" t="n"/>
    </row>
    <row r="152">
      <c r="A152" t="inlineStr">
        <is>
          <t>CLM515062</t>
        </is>
      </c>
      <c r="B152" t="inlineStr">
        <is>
          <t>ENC115062</t>
        </is>
      </c>
      <c r="C152" t="inlineStr">
        <is>
          <t>State Medicaid</t>
        </is>
      </c>
      <c r="D152" t="inlineStr">
        <is>
          <t>Denied</t>
        </is>
      </c>
      <c r="E152" s="31" t="n">
        <v>45796</v>
      </c>
      <c r="F152" s="31" t="n">
        <v>45802</v>
      </c>
      <c r="H152" s="33" t="n"/>
    </row>
    <row r="153">
      <c r="A153" t="inlineStr">
        <is>
          <t>CLM515112</t>
        </is>
      </c>
      <c r="B153" t="inlineStr">
        <is>
          <t>ENC115112</t>
        </is>
      </c>
      <c r="C153" t="inlineStr">
        <is>
          <t>Silverline Medicare Advantage</t>
        </is>
      </c>
      <c r="D153" t="inlineStr">
        <is>
          <t>Denied</t>
        </is>
      </c>
      <c r="E153" s="31" t="n">
        <v>45798</v>
      </c>
      <c r="F153" s="31" t="n">
        <v>45929</v>
      </c>
      <c r="H153" s="33" t="n"/>
    </row>
    <row r="154">
      <c r="A154" t="inlineStr">
        <is>
          <t>CLM515135</t>
        </is>
      </c>
      <c r="B154" t="inlineStr">
        <is>
          <t>ENC115135</t>
        </is>
      </c>
      <c r="C154" t="inlineStr">
        <is>
          <t>Summit Choice PPO</t>
        </is>
      </c>
      <c r="D154" t="inlineStr">
        <is>
          <t>Paid</t>
        </is>
      </c>
      <c r="E154" s="31" t="n">
        <v>45798</v>
      </c>
      <c r="F154" s="31" t="n">
        <v>45810</v>
      </c>
      <c r="G154" s="31" t="n">
        <v>45841</v>
      </c>
      <c r="H154" s="33" t="n"/>
    </row>
    <row r="155">
      <c r="A155" t="inlineStr">
        <is>
          <t>CLM515194</t>
        </is>
      </c>
      <c r="B155" t="inlineStr">
        <is>
          <t>ENC115194</t>
        </is>
      </c>
      <c r="C155" t="inlineStr">
        <is>
          <t>Medicare</t>
        </is>
      </c>
      <c r="D155" t="inlineStr">
        <is>
          <t>Paid</t>
        </is>
      </c>
      <c r="E155" s="31" t="n">
        <v>45798</v>
      </c>
      <c r="F155" s="31" t="n">
        <v>45800</v>
      </c>
      <c r="G155" s="31" t="n">
        <v>45823</v>
      </c>
      <c r="H155" s="33" t="n"/>
    </row>
    <row r="156">
      <c r="A156" t="inlineStr">
        <is>
          <t>CLM515247</t>
        </is>
      </c>
      <c r="B156" t="inlineStr">
        <is>
          <t>ENC115247</t>
        </is>
      </c>
      <c r="C156" t="inlineStr">
        <is>
          <t>Summit Choice PPO</t>
        </is>
      </c>
      <c r="D156" t="inlineStr">
        <is>
          <t>Paid</t>
        </is>
      </c>
      <c r="E156" s="31" t="n">
        <v>45799</v>
      </c>
      <c r="F156" s="31" t="n">
        <v>45803</v>
      </c>
      <c r="G156" s="31" t="n">
        <v>45843</v>
      </c>
      <c r="H156" s="33" t="n"/>
    </row>
    <row r="157">
      <c r="A157" t="inlineStr">
        <is>
          <t>CLM515432</t>
        </is>
      </c>
      <c r="B157" t="inlineStr">
        <is>
          <t>ENC115432</t>
        </is>
      </c>
      <c r="C157" t="inlineStr">
        <is>
          <t>Medicare</t>
        </is>
      </c>
      <c r="D157" t="inlineStr">
        <is>
          <t>Paid</t>
        </is>
      </c>
      <c r="E157" s="31" t="n">
        <v>45807</v>
      </c>
      <c r="F157" s="31" t="n">
        <v>45813</v>
      </c>
      <c r="G157" s="31" t="n">
        <v>45832</v>
      </c>
      <c r="H157" s="33" t="n"/>
    </row>
    <row r="158">
      <c r="A158" t="inlineStr">
        <is>
          <t>CLM515436</t>
        </is>
      </c>
      <c r="B158" t="inlineStr">
        <is>
          <t>ENC115436</t>
        </is>
      </c>
      <c r="C158" t="inlineStr">
        <is>
          <t>Self-Pay</t>
        </is>
      </c>
      <c r="D158" t="inlineStr">
        <is>
          <t>Partially Paid</t>
        </is>
      </c>
      <c r="E158" s="31" t="n">
        <v>45807</v>
      </c>
      <c r="F158" s="31" t="n">
        <v>45811</v>
      </c>
      <c r="G158" s="31" t="n">
        <v>45875</v>
      </c>
      <c r="H158" s="33" t="n"/>
    </row>
    <row r="159">
      <c r="A159" t="inlineStr">
        <is>
          <t>CLM515364</t>
        </is>
      </c>
      <c r="B159" t="inlineStr">
        <is>
          <t>ENC115364</t>
        </is>
      </c>
      <c r="C159" t="inlineStr">
        <is>
          <t>Keystone Health Partners</t>
        </is>
      </c>
      <c r="D159" t="inlineStr">
        <is>
          <t>Paid</t>
        </is>
      </c>
      <c r="E159" s="31" t="n">
        <v>45808</v>
      </c>
      <c r="F159" s="31" t="n">
        <v>45829</v>
      </c>
      <c r="G159" s="31" t="n">
        <v>45863</v>
      </c>
      <c r="H159" s="33" t="n"/>
    </row>
    <row r="160">
      <c r="A160" t="inlineStr">
        <is>
          <t>CLM515468</t>
        </is>
      </c>
      <c r="B160" t="inlineStr">
        <is>
          <t>ENC115468</t>
        </is>
      </c>
      <c r="C160" t="inlineStr">
        <is>
          <t>State Medicaid</t>
        </is>
      </c>
      <c r="D160" t="inlineStr">
        <is>
          <t>Paid</t>
        </is>
      </c>
      <c r="E160" s="31" t="n">
        <v>45808</v>
      </c>
      <c r="F160" s="31" t="n">
        <v>45813</v>
      </c>
      <c r="G160" s="31" t="n">
        <v>45852</v>
      </c>
      <c r="H160" s="33" t="n"/>
    </row>
    <row r="161">
      <c r="A161" t="inlineStr">
        <is>
          <t>CLM515459</t>
        </is>
      </c>
      <c r="B161" t="inlineStr">
        <is>
          <t>ENC115459</t>
        </is>
      </c>
      <c r="C161" t="inlineStr">
        <is>
          <t>Evergreen Mutual Insurance</t>
        </is>
      </c>
      <c r="D161" t="inlineStr">
        <is>
          <t>Partially Paid</t>
        </is>
      </c>
      <c r="E161" s="31" t="n">
        <v>45811</v>
      </c>
      <c r="F161" s="31" t="n">
        <v>45817</v>
      </c>
      <c r="G161" s="31" t="n">
        <v>45892</v>
      </c>
      <c r="H161" s="33" t="n"/>
    </row>
    <row r="162">
      <c r="A162" t="inlineStr">
        <is>
          <t>CLM515563</t>
        </is>
      </c>
      <c r="B162" t="inlineStr">
        <is>
          <t>ENC115563</t>
        </is>
      </c>
      <c r="C162" t="inlineStr">
        <is>
          <t>State Medicaid</t>
        </is>
      </c>
      <c r="D162" t="inlineStr">
        <is>
          <t>Denied</t>
        </is>
      </c>
      <c r="E162" s="31" t="n">
        <v>45811</v>
      </c>
      <c r="F162" s="31" t="n">
        <v>45816</v>
      </c>
      <c r="H162" s="33" t="n"/>
    </row>
    <row r="163">
      <c r="A163" t="inlineStr">
        <is>
          <t>CLM515687</t>
        </is>
      </c>
      <c r="B163" t="inlineStr">
        <is>
          <t>ENC115687</t>
        </is>
      </c>
      <c r="C163" t="inlineStr">
        <is>
          <t>Keystone Health Partners</t>
        </is>
      </c>
      <c r="D163" t="inlineStr">
        <is>
          <t>Partially Paid</t>
        </is>
      </c>
      <c r="E163" s="31" t="n">
        <v>45815</v>
      </c>
      <c r="F163" s="31" t="n">
        <v>45818</v>
      </c>
      <c r="G163" s="31" t="n">
        <v>45876</v>
      </c>
      <c r="H163" s="33" t="n"/>
    </row>
    <row r="164">
      <c r="A164" t="inlineStr">
        <is>
          <t>CLM515724</t>
        </is>
      </c>
      <c r="B164" t="inlineStr">
        <is>
          <t>ENC115724</t>
        </is>
      </c>
      <c r="C164" t="inlineStr">
        <is>
          <t>Medicare</t>
        </is>
      </c>
      <c r="D164" t="inlineStr">
        <is>
          <t>Paid</t>
        </is>
      </c>
      <c r="E164" s="31" t="n">
        <v>45817</v>
      </c>
      <c r="F164" s="31" t="n">
        <v>45819</v>
      </c>
      <c r="G164" s="31" t="n">
        <v>45838</v>
      </c>
      <c r="H164" s="33" t="n"/>
    </row>
    <row r="165">
      <c r="A165" t="inlineStr">
        <is>
          <t>CLM515688</t>
        </is>
      </c>
      <c r="B165" t="inlineStr">
        <is>
          <t>ENC115688</t>
        </is>
      </c>
      <c r="C165" t="inlineStr">
        <is>
          <t>Medicare</t>
        </is>
      </c>
      <c r="D165" t="inlineStr">
        <is>
          <t>Paid</t>
        </is>
      </c>
      <c r="E165" s="31" t="n">
        <v>45818</v>
      </c>
      <c r="F165" s="31" t="n">
        <v>45825</v>
      </c>
      <c r="G165" s="31" t="n">
        <v>45839</v>
      </c>
      <c r="H165" s="33" t="n"/>
    </row>
    <row r="166">
      <c r="A166" t="inlineStr">
        <is>
          <t>CLM515756</t>
        </is>
      </c>
      <c r="B166" t="inlineStr">
        <is>
          <t>ENC115756</t>
        </is>
      </c>
      <c r="C166" t="inlineStr">
        <is>
          <t>State Medicaid</t>
        </is>
      </c>
      <c r="D166" t="inlineStr">
        <is>
          <t>Paid</t>
        </is>
      </c>
      <c r="E166" s="31" t="n">
        <v>45818</v>
      </c>
      <c r="F166" s="31" t="n">
        <v>45821</v>
      </c>
      <c r="G166" s="31" t="n">
        <v>45852</v>
      </c>
      <c r="H166" s="33" t="n"/>
    </row>
    <row r="167">
      <c r="A167" t="inlineStr">
        <is>
          <t>CLM515686</t>
        </is>
      </c>
      <c r="B167" t="inlineStr">
        <is>
          <t>ENC115686</t>
        </is>
      </c>
      <c r="C167" t="inlineStr">
        <is>
          <t>Medicare</t>
        </is>
      </c>
      <c r="D167" t="inlineStr">
        <is>
          <t>Paid</t>
        </is>
      </c>
      <c r="E167" s="31" t="n">
        <v>45819</v>
      </c>
      <c r="F167" s="31" t="n">
        <v>45822</v>
      </c>
      <c r="G167" s="31" t="n">
        <v>45849</v>
      </c>
      <c r="H167" s="33" t="n"/>
    </row>
    <row r="168">
      <c r="A168" t="inlineStr">
        <is>
          <t>CLM515758</t>
        </is>
      </c>
      <c r="B168" t="inlineStr">
        <is>
          <t>ENC115758</t>
        </is>
      </c>
      <c r="C168" t="inlineStr">
        <is>
          <t>Keystone Health Partners</t>
        </is>
      </c>
      <c r="D168" t="inlineStr">
        <is>
          <t>Partially Paid</t>
        </is>
      </c>
      <c r="E168" s="31" t="n">
        <v>45819</v>
      </c>
      <c r="F168" s="31" t="n">
        <v>45822</v>
      </c>
      <c r="G168" s="31" t="n">
        <v>45860</v>
      </c>
      <c r="H168" s="33" t="n"/>
    </row>
    <row r="169">
      <c r="A169" t="inlineStr">
        <is>
          <t>CLM515825</t>
        </is>
      </c>
      <c r="B169" t="inlineStr">
        <is>
          <t>ENC115825</t>
        </is>
      </c>
      <c r="C169" t="inlineStr">
        <is>
          <t>Medicare</t>
        </is>
      </c>
      <c r="D169" t="inlineStr">
        <is>
          <t>Paid</t>
        </is>
      </c>
      <c r="E169" s="31" t="n">
        <v>45822</v>
      </c>
      <c r="F169" s="31" t="n">
        <v>45826</v>
      </c>
      <c r="G169" s="31" t="n">
        <v>45841</v>
      </c>
      <c r="H169" s="33" t="n"/>
    </row>
    <row r="170">
      <c r="A170" t="inlineStr">
        <is>
          <t>CLM515908</t>
        </is>
      </c>
      <c r="B170" t="inlineStr">
        <is>
          <t>ENC115908</t>
        </is>
      </c>
      <c r="C170" t="inlineStr">
        <is>
          <t>Silverline Medicare Advantage</t>
        </is>
      </c>
      <c r="D170" t="inlineStr">
        <is>
          <t>Appealed</t>
        </is>
      </c>
      <c r="E170" s="31" t="n">
        <v>45824</v>
      </c>
      <c r="F170" s="31" t="n">
        <v>45826</v>
      </c>
      <c r="H170" s="33" t="n"/>
    </row>
    <row r="171">
      <c r="A171" t="inlineStr">
        <is>
          <t>CLM515924</t>
        </is>
      </c>
      <c r="B171" t="inlineStr">
        <is>
          <t>ENC115924</t>
        </is>
      </c>
      <c r="C171" t="inlineStr">
        <is>
          <t>Evergreen Mutual Insurance</t>
        </is>
      </c>
      <c r="D171" t="inlineStr">
        <is>
          <t>Paid</t>
        </is>
      </c>
      <c r="E171" s="31" t="n">
        <v>45824</v>
      </c>
      <c r="F171" s="31" t="n">
        <v>45827</v>
      </c>
      <c r="G171" s="31" t="n">
        <v>45846</v>
      </c>
      <c r="H171" s="33" t="n"/>
    </row>
    <row r="172">
      <c r="A172" t="inlineStr">
        <is>
          <t>CLM515957</t>
        </is>
      </c>
      <c r="B172" t="inlineStr">
        <is>
          <t>ENC115957</t>
        </is>
      </c>
      <c r="C172" t="inlineStr">
        <is>
          <t>Self-Pay</t>
        </is>
      </c>
      <c r="D172" t="inlineStr">
        <is>
          <t>Paid</t>
        </is>
      </c>
      <c r="E172" s="31" t="n">
        <v>45824</v>
      </c>
      <c r="F172" s="31" t="n">
        <v>45826</v>
      </c>
      <c r="G172" s="31" t="n">
        <v>45907</v>
      </c>
      <c r="H172" s="33" t="n"/>
    </row>
    <row r="173">
      <c r="A173" t="inlineStr">
        <is>
          <t>CLM516016</t>
        </is>
      </c>
      <c r="B173" t="inlineStr">
        <is>
          <t>ENC116016</t>
        </is>
      </c>
      <c r="C173" t="inlineStr">
        <is>
          <t>Medicare</t>
        </is>
      </c>
      <c r="D173" t="inlineStr">
        <is>
          <t>Paid</t>
        </is>
      </c>
      <c r="E173" s="31" t="n">
        <v>45829</v>
      </c>
      <c r="F173" s="31" t="n">
        <v>45835</v>
      </c>
      <c r="G173" s="31" t="n">
        <v>45857</v>
      </c>
      <c r="H173" s="33" t="n"/>
    </row>
    <row r="174">
      <c r="A174" t="inlineStr">
        <is>
          <t>CLM516131</t>
        </is>
      </c>
      <c r="B174" t="inlineStr">
        <is>
          <t>ENC116131</t>
        </is>
      </c>
      <c r="C174" t="inlineStr">
        <is>
          <t>State Medicaid</t>
        </is>
      </c>
      <c r="D174" t="inlineStr">
        <is>
          <t>Denied</t>
        </is>
      </c>
      <c r="E174" s="31" t="n">
        <v>45832</v>
      </c>
      <c r="F174" s="31" t="n">
        <v>45842</v>
      </c>
      <c r="H174" s="33" t="n"/>
    </row>
    <row r="175">
      <c r="A175" t="inlineStr">
        <is>
          <t>CLM516156</t>
        </is>
      </c>
      <c r="B175" t="inlineStr">
        <is>
          <t>ENC116156</t>
        </is>
      </c>
      <c r="C175" t="inlineStr">
        <is>
          <t>Silverline Medicare Advantage</t>
        </is>
      </c>
      <c r="D175" t="inlineStr">
        <is>
          <t>Paid</t>
        </is>
      </c>
      <c r="E175" s="31" t="n">
        <v>45833</v>
      </c>
      <c r="F175" s="31" t="n">
        <v>45838</v>
      </c>
      <c r="G175" s="31" t="n">
        <v>45883</v>
      </c>
      <c r="H175" s="33" t="n"/>
    </row>
    <row r="176">
      <c r="A176" t="inlineStr">
        <is>
          <t>CLM516239</t>
        </is>
      </c>
      <c r="B176" t="inlineStr">
        <is>
          <t>ENC116239</t>
        </is>
      </c>
      <c r="C176" t="inlineStr">
        <is>
          <t>Evergreen Mutual Insurance</t>
        </is>
      </c>
      <c r="D176" t="inlineStr">
        <is>
          <t>Paid</t>
        </is>
      </c>
      <c r="E176" s="31" t="n">
        <v>45834</v>
      </c>
      <c r="F176" s="31" t="n">
        <v>45842</v>
      </c>
      <c r="G176" s="31" t="n">
        <v>45887</v>
      </c>
      <c r="H176" s="33" t="n"/>
    </row>
    <row r="177">
      <c r="A177" t="inlineStr">
        <is>
          <t>CLM516204</t>
        </is>
      </c>
      <c r="B177" t="inlineStr">
        <is>
          <t>ENC116204</t>
        </is>
      </c>
      <c r="C177" t="inlineStr">
        <is>
          <t>State Medicaid</t>
        </is>
      </c>
      <c r="D177" t="inlineStr">
        <is>
          <t>Paid</t>
        </is>
      </c>
      <c r="E177" s="31" t="n">
        <v>45836</v>
      </c>
      <c r="F177" s="31" t="n">
        <v>45838</v>
      </c>
      <c r="G177" s="31" t="n">
        <v>45896</v>
      </c>
      <c r="H177" s="33" t="n"/>
    </row>
    <row r="178">
      <c r="A178" t="inlineStr">
        <is>
          <t>CLM516157</t>
        </is>
      </c>
      <c r="B178" t="inlineStr">
        <is>
          <t>ENC116157</t>
        </is>
      </c>
      <c r="C178" t="inlineStr">
        <is>
          <t>Medicare</t>
        </is>
      </c>
      <c r="D178" t="inlineStr">
        <is>
          <t>Paid</t>
        </is>
      </c>
      <c r="E178" s="31" t="n">
        <v>45837</v>
      </c>
      <c r="F178" s="31" t="n">
        <v>45844</v>
      </c>
      <c r="G178" s="31" t="n">
        <v>45854</v>
      </c>
      <c r="H178" s="33" t="n"/>
    </row>
    <row r="179">
      <c r="A179" t="inlineStr">
        <is>
          <t>CLM516361</t>
        </is>
      </c>
      <c r="B179" t="inlineStr">
        <is>
          <t>ENC116361</t>
        </is>
      </c>
      <c r="C179" t="inlineStr">
        <is>
          <t>Medicare</t>
        </is>
      </c>
      <c r="D179" t="inlineStr">
        <is>
          <t>Paid</t>
        </is>
      </c>
      <c r="E179" s="31" t="n">
        <v>45840</v>
      </c>
      <c r="F179" s="31" t="n">
        <v>45841</v>
      </c>
      <c r="G179" s="31" t="n">
        <v>45859</v>
      </c>
      <c r="H179" s="33" t="n"/>
    </row>
    <row r="180">
      <c r="A180" t="inlineStr">
        <is>
          <t>CLM516419</t>
        </is>
      </c>
      <c r="B180" t="inlineStr">
        <is>
          <t>ENC116419</t>
        </is>
      </c>
      <c r="C180" t="inlineStr">
        <is>
          <t>State Medicaid</t>
        </is>
      </c>
      <c r="D180" t="inlineStr">
        <is>
          <t>Paid</t>
        </is>
      </c>
      <c r="E180" s="31" t="n">
        <v>45841</v>
      </c>
      <c r="F180" s="31" t="n">
        <v>45846</v>
      </c>
      <c r="G180" s="31" t="n">
        <v>45890</v>
      </c>
      <c r="H180" s="33" t="n"/>
    </row>
    <row r="181">
      <c r="A181" t="inlineStr">
        <is>
          <t>CLM516230</t>
        </is>
      </c>
      <c r="B181" t="inlineStr">
        <is>
          <t>ENC116230</t>
        </is>
      </c>
      <c r="C181" t="inlineStr">
        <is>
          <t>Summit Choice PPO</t>
        </is>
      </c>
      <c r="D181" t="inlineStr">
        <is>
          <t>Paid</t>
        </is>
      </c>
      <c r="E181" s="31" t="n">
        <v>45842</v>
      </c>
      <c r="F181" s="31" t="n">
        <v>45852</v>
      </c>
      <c r="G181" s="31" t="n">
        <v>45878</v>
      </c>
      <c r="H181" s="33" t="n"/>
    </row>
    <row r="182">
      <c r="A182" t="inlineStr">
        <is>
          <t>CLM516344</t>
        </is>
      </c>
      <c r="B182" t="inlineStr">
        <is>
          <t>ENC116344</t>
        </is>
      </c>
      <c r="C182" t="inlineStr">
        <is>
          <t>Silverline Medicare Advantage</t>
        </is>
      </c>
      <c r="D182" t="inlineStr">
        <is>
          <t>Paid</t>
        </is>
      </c>
      <c r="E182" s="31" t="n">
        <v>45842</v>
      </c>
      <c r="F182" s="31" t="n">
        <v>45843</v>
      </c>
      <c r="G182" s="31" t="n">
        <v>45868</v>
      </c>
      <c r="H182" s="33" t="n"/>
    </row>
    <row r="183">
      <c r="A183" t="inlineStr">
        <is>
          <t>CLM516296</t>
        </is>
      </c>
      <c r="B183" t="inlineStr">
        <is>
          <t>ENC116296</t>
        </is>
      </c>
      <c r="C183" t="inlineStr">
        <is>
          <t>Evergreen Mutual Insurance</t>
        </is>
      </c>
      <c r="D183" t="inlineStr">
        <is>
          <t>Paid</t>
        </is>
      </c>
      <c r="E183" s="31" t="n">
        <v>45844</v>
      </c>
      <c r="F183" s="31" t="n">
        <v>45846</v>
      </c>
      <c r="G183" s="31" t="n">
        <v>45864</v>
      </c>
      <c r="H183" s="33" t="n"/>
    </row>
    <row r="184">
      <c r="A184" t="inlineStr">
        <is>
          <t>CLM516336</t>
        </is>
      </c>
      <c r="B184" t="inlineStr">
        <is>
          <t>ENC116336</t>
        </is>
      </c>
      <c r="C184" t="inlineStr">
        <is>
          <t>Silverline Medicare Advantage</t>
        </is>
      </c>
      <c r="D184" t="inlineStr">
        <is>
          <t>Paid</t>
        </is>
      </c>
      <c r="E184" s="31" t="n">
        <v>45844</v>
      </c>
      <c r="F184" s="31" t="n">
        <v>45848</v>
      </c>
      <c r="G184" s="31" t="n">
        <v>45896</v>
      </c>
      <c r="H184" s="33" t="n"/>
    </row>
    <row r="185">
      <c r="A185" t="inlineStr">
        <is>
          <t>CLM516490</t>
        </is>
      </c>
      <c r="B185" t="inlineStr">
        <is>
          <t>ENC116490</t>
        </is>
      </c>
      <c r="C185" t="inlineStr">
        <is>
          <t>Medicare</t>
        </is>
      </c>
      <c r="D185" t="inlineStr">
        <is>
          <t>Denied</t>
        </is>
      </c>
      <c r="E185" s="31" t="n">
        <v>45845</v>
      </c>
      <c r="F185" s="31" t="n">
        <v>45850</v>
      </c>
      <c r="H185" s="33" t="n"/>
    </row>
    <row r="186">
      <c r="A186" t="inlineStr">
        <is>
          <t>CLM516363</t>
        </is>
      </c>
      <c r="B186" t="inlineStr">
        <is>
          <t>ENC116363</t>
        </is>
      </c>
      <c r="C186" t="inlineStr">
        <is>
          <t>Medicare</t>
        </is>
      </c>
      <c r="D186" t="inlineStr">
        <is>
          <t>Paid</t>
        </is>
      </c>
      <c r="E186" s="31" t="n">
        <v>45846</v>
      </c>
      <c r="F186" s="31" t="n">
        <v>45851</v>
      </c>
      <c r="G186" s="31" t="n">
        <v>45869</v>
      </c>
      <c r="H186" s="33" t="n"/>
    </row>
    <row r="187">
      <c r="A187" t="inlineStr">
        <is>
          <t>CLM516522</t>
        </is>
      </c>
      <c r="B187" t="inlineStr">
        <is>
          <t>ENC116522</t>
        </is>
      </c>
      <c r="C187" t="inlineStr">
        <is>
          <t>Medicare</t>
        </is>
      </c>
      <c r="D187" t="inlineStr">
        <is>
          <t>Paid</t>
        </is>
      </c>
      <c r="E187" s="31" t="n">
        <v>45847</v>
      </c>
      <c r="F187" s="31" t="n">
        <v>45850</v>
      </c>
      <c r="G187" s="31" t="n">
        <v>45860</v>
      </c>
      <c r="H187" s="33" t="n"/>
    </row>
    <row r="188">
      <c r="A188" t="inlineStr">
        <is>
          <t>CLM516592</t>
        </is>
      </c>
      <c r="B188" t="inlineStr">
        <is>
          <t>ENC116592</t>
        </is>
      </c>
      <c r="C188" t="inlineStr">
        <is>
          <t>Medicare</t>
        </is>
      </c>
      <c r="D188" t="inlineStr">
        <is>
          <t>Appealed</t>
        </is>
      </c>
      <c r="E188" s="31" t="n">
        <v>45847</v>
      </c>
      <c r="F188" s="31" t="n">
        <v>45854</v>
      </c>
      <c r="H188" s="33" t="n"/>
    </row>
    <row r="189">
      <c r="A189" t="inlineStr">
        <is>
          <t>CLM516467</t>
        </is>
      </c>
      <c r="B189" t="inlineStr">
        <is>
          <t>ENC116467</t>
        </is>
      </c>
      <c r="C189" t="inlineStr">
        <is>
          <t>Medicare</t>
        </is>
      </c>
      <c r="D189" t="inlineStr">
        <is>
          <t>Paid</t>
        </is>
      </c>
      <c r="E189" s="31" t="n">
        <v>45849</v>
      </c>
      <c r="F189" s="31" t="n">
        <v>45854</v>
      </c>
      <c r="G189" s="31" t="n">
        <v>45867</v>
      </c>
      <c r="H189" s="33" t="n"/>
    </row>
    <row r="190">
      <c r="A190" t="inlineStr">
        <is>
          <t>CLM516663</t>
        </is>
      </c>
      <c r="B190" t="inlineStr">
        <is>
          <t>ENC116663</t>
        </is>
      </c>
      <c r="C190" t="inlineStr">
        <is>
          <t>State Medicaid</t>
        </is>
      </c>
      <c r="D190" t="inlineStr">
        <is>
          <t>Paid</t>
        </is>
      </c>
      <c r="E190" s="31" t="n">
        <v>45851</v>
      </c>
      <c r="F190" s="31" t="n">
        <v>45852</v>
      </c>
      <c r="G190" s="31" t="n">
        <v>45871</v>
      </c>
      <c r="H190" s="33" t="n"/>
    </row>
    <row r="191">
      <c r="A191" t="inlineStr">
        <is>
          <t>CLM516706</t>
        </is>
      </c>
      <c r="B191" t="inlineStr">
        <is>
          <t>ENC116706</t>
        </is>
      </c>
      <c r="C191" t="inlineStr">
        <is>
          <t>Keystone Health Partners</t>
        </is>
      </c>
      <c r="D191" t="inlineStr">
        <is>
          <t>Paid</t>
        </is>
      </c>
      <c r="E191" s="31" t="n">
        <v>45852</v>
      </c>
      <c r="F191" s="31" t="n">
        <v>45855</v>
      </c>
      <c r="G191" s="31" t="n">
        <v>45880</v>
      </c>
      <c r="H191" s="33" t="n"/>
    </row>
    <row r="192">
      <c r="A192" t="inlineStr">
        <is>
          <t>CLM516746</t>
        </is>
      </c>
      <c r="B192" t="inlineStr">
        <is>
          <t>ENC116746</t>
        </is>
      </c>
      <c r="C192" t="inlineStr">
        <is>
          <t>State Medicaid</t>
        </is>
      </c>
      <c r="D192" t="inlineStr">
        <is>
          <t>Paid</t>
        </is>
      </c>
      <c r="E192" s="31" t="n">
        <v>45852</v>
      </c>
      <c r="F192" s="31" t="n">
        <v>45853</v>
      </c>
      <c r="G192" s="31" t="n">
        <v>45904</v>
      </c>
      <c r="H192" s="33" t="n"/>
    </row>
    <row r="193">
      <c r="A193" t="inlineStr">
        <is>
          <t>CLM516751</t>
        </is>
      </c>
      <c r="B193" t="inlineStr">
        <is>
          <t>ENC116751</t>
        </is>
      </c>
      <c r="C193" t="inlineStr">
        <is>
          <t>State Medicaid</t>
        </is>
      </c>
      <c r="D193" t="inlineStr">
        <is>
          <t>Paid</t>
        </is>
      </c>
      <c r="E193" s="31" t="n">
        <v>45852</v>
      </c>
      <c r="F193" s="31" t="n">
        <v>45856</v>
      </c>
      <c r="G193" s="31" t="n">
        <v>45906</v>
      </c>
      <c r="H193" s="33" t="n"/>
    </row>
    <row r="194">
      <c r="A194" t="inlineStr">
        <is>
          <t>CLM516745</t>
        </is>
      </c>
      <c r="B194" t="inlineStr">
        <is>
          <t>ENC116745</t>
        </is>
      </c>
      <c r="C194" t="inlineStr">
        <is>
          <t>Medicare</t>
        </is>
      </c>
      <c r="D194" t="inlineStr">
        <is>
          <t>Paid</t>
        </is>
      </c>
      <c r="E194" s="31" t="n">
        <v>45853</v>
      </c>
      <c r="F194" s="31" t="n">
        <v>45857</v>
      </c>
      <c r="G194" s="31" t="n">
        <v>45877</v>
      </c>
      <c r="H194" s="33" t="n"/>
    </row>
    <row r="195">
      <c r="A195" t="inlineStr">
        <is>
          <t>CLM516763</t>
        </is>
      </c>
      <c r="B195" t="inlineStr">
        <is>
          <t>ENC116763</t>
        </is>
      </c>
      <c r="C195" t="inlineStr">
        <is>
          <t>Medicare</t>
        </is>
      </c>
      <c r="D195" t="inlineStr">
        <is>
          <t>Paid</t>
        </is>
      </c>
      <c r="E195" s="31" t="n">
        <v>45853</v>
      </c>
      <c r="F195" s="31" t="n">
        <v>45856</v>
      </c>
      <c r="G195" s="31" t="n">
        <v>45868</v>
      </c>
      <c r="H195" s="33" t="n"/>
    </row>
    <row r="196">
      <c r="A196" t="inlineStr">
        <is>
          <t>CLM516754</t>
        </is>
      </c>
      <c r="B196" t="inlineStr">
        <is>
          <t>ENC116754</t>
        </is>
      </c>
      <c r="C196" t="inlineStr">
        <is>
          <t>State Medicaid</t>
        </is>
      </c>
      <c r="D196" t="inlineStr">
        <is>
          <t>Denied</t>
        </is>
      </c>
      <c r="E196" s="31" t="n">
        <v>45855</v>
      </c>
      <c r="F196" s="31" t="n">
        <v>45859</v>
      </c>
      <c r="H196" s="33" t="n"/>
    </row>
    <row r="197">
      <c r="A197" t="inlineStr">
        <is>
          <t>CLM516778</t>
        </is>
      </c>
      <c r="B197" t="inlineStr">
        <is>
          <t>ENC116778</t>
        </is>
      </c>
      <c r="C197" t="inlineStr">
        <is>
          <t>Evergreen Mutual Insurance</t>
        </is>
      </c>
      <c r="D197" t="inlineStr">
        <is>
          <t>Partially Paid</t>
        </is>
      </c>
      <c r="E197" s="31" t="n">
        <v>45856</v>
      </c>
      <c r="F197" s="31" t="n">
        <v>45859</v>
      </c>
      <c r="G197" s="31" t="n">
        <v>45910</v>
      </c>
      <c r="H197" s="33" t="n"/>
    </row>
    <row r="198">
      <c r="A198" t="inlineStr">
        <is>
          <t>CLM516786</t>
        </is>
      </c>
      <c r="B198" t="inlineStr">
        <is>
          <t>ENC116786</t>
        </is>
      </c>
      <c r="C198" t="inlineStr">
        <is>
          <t>Keystone Health Partners</t>
        </is>
      </c>
      <c r="D198" t="inlineStr">
        <is>
          <t>Denied</t>
        </is>
      </c>
      <c r="E198" s="31" t="n">
        <v>45856</v>
      </c>
      <c r="F198" s="31" t="n">
        <v>45868</v>
      </c>
      <c r="H198" s="33" t="n"/>
    </row>
    <row r="199">
      <c r="A199" t="inlineStr">
        <is>
          <t>CLM516946</t>
        </is>
      </c>
      <c r="B199" t="inlineStr">
        <is>
          <t>ENC116946</t>
        </is>
      </c>
      <c r="C199" t="inlineStr">
        <is>
          <t>Keystone Health Partners</t>
        </is>
      </c>
      <c r="D199" t="inlineStr">
        <is>
          <t>Paid</t>
        </is>
      </c>
      <c r="E199" s="31" t="n">
        <v>45860</v>
      </c>
      <c r="F199" s="31" t="n">
        <v>45864</v>
      </c>
      <c r="G199" s="31" t="n">
        <v>45887</v>
      </c>
      <c r="H199" s="33" t="n"/>
    </row>
    <row r="200">
      <c r="A200" t="inlineStr">
        <is>
          <t>CLM516954</t>
        </is>
      </c>
      <c r="B200" t="inlineStr">
        <is>
          <t>ENC116954</t>
        </is>
      </c>
      <c r="C200" t="inlineStr">
        <is>
          <t>Medicare</t>
        </is>
      </c>
      <c r="D200" t="inlineStr">
        <is>
          <t>Paid</t>
        </is>
      </c>
      <c r="E200" s="31" t="n">
        <v>45860</v>
      </c>
      <c r="F200" s="31" t="n">
        <v>45864</v>
      </c>
      <c r="G200" s="31" t="n">
        <v>45885</v>
      </c>
      <c r="H200" s="33" t="n"/>
    </row>
    <row r="201">
      <c r="A201" t="inlineStr">
        <is>
          <t>CLM516927</t>
        </is>
      </c>
      <c r="B201" t="inlineStr">
        <is>
          <t>ENC116927</t>
        </is>
      </c>
      <c r="C201" t="inlineStr">
        <is>
          <t>State Medicaid</t>
        </is>
      </c>
      <c r="D201" t="inlineStr">
        <is>
          <t>Appealed</t>
        </is>
      </c>
      <c r="E201" s="31" t="n">
        <v>45861</v>
      </c>
      <c r="F201" s="31" t="n">
        <v>45864</v>
      </c>
      <c r="H201" s="33" t="n"/>
    </row>
    <row r="202">
      <c r="A202" t="inlineStr">
        <is>
          <t>CLM517027</t>
        </is>
      </c>
      <c r="B202" t="inlineStr">
        <is>
          <t>ENC117027</t>
        </is>
      </c>
      <c r="C202" t="inlineStr">
        <is>
          <t>Summit Choice PPO</t>
        </is>
      </c>
      <c r="D202" t="inlineStr">
        <is>
          <t>Paid</t>
        </is>
      </c>
      <c r="E202" s="31" t="n">
        <v>45862</v>
      </c>
      <c r="F202" s="31" t="n">
        <v>45866</v>
      </c>
      <c r="G202" s="31" t="n">
        <v>45884</v>
      </c>
      <c r="H202" s="33" t="n"/>
    </row>
    <row r="203">
      <c r="A203" t="inlineStr">
        <is>
          <t>CLM516929</t>
        </is>
      </c>
      <c r="B203" t="inlineStr">
        <is>
          <t>ENC116929</t>
        </is>
      </c>
      <c r="C203" t="inlineStr">
        <is>
          <t>Summit Choice PPO</t>
        </is>
      </c>
      <c r="D203" t="inlineStr">
        <is>
          <t>Paid</t>
        </is>
      </c>
      <c r="E203" s="31" t="n">
        <v>45863</v>
      </c>
      <c r="F203" s="31" t="n">
        <v>45872</v>
      </c>
      <c r="G203" s="31" t="n">
        <v>45891</v>
      </c>
      <c r="H203" s="33" t="n"/>
    </row>
    <row r="204">
      <c r="A204" t="inlineStr">
        <is>
          <t>CLM516940</t>
        </is>
      </c>
      <c r="B204" t="inlineStr">
        <is>
          <t>ENC116940</t>
        </is>
      </c>
      <c r="C204" t="inlineStr">
        <is>
          <t>Medicare</t>
        </is>
      </c>
      <c r="D204" t="inlineStr">
        <is>
          <t>Paid</t>
        </is>
      </c>
      <c r="E204" s="31" t="n">
        <v>45864</v>
      </c>
      <c r="F204" s="31" t="n">
        <v>45869</v>
      </c>
      <c r="G204" s="31" t="n">
        <v>45880</v>
      </c>
      <c r="H204" s="33" t="n"/>
    </row>
    <row r="205">
      <c r="A205" t="inlineStr">
        <is>
          <t>CLM516798</t>
        </is>
      </c>
      <c r="B205" t="inlineStr">
        <is>
          <t>ENC116798</t>
        </is>
      </c>
      <c r="C205" t="inlineStr">
        <is>
          <t>Evergreen Mutual Insurance</t>
        </is>
      </c>
      <c r="D205" t="inlineStr">
        <is>
          <t>Denied</t>
        </is>
      </c>
      <c r="E205" s="31" t="n">
        <v>45865</v>
      </c>
      <c r="F205" s="31" t="n">
        <v>45877</v>
      </c>
      <c r="H205" s="33" t="n"/>
    </row>
    <row r="206">
      <c r="A206" t="inlineStr">
        <is>
          <t>CLM517118</t>
        </is>
      </c>
      <c r="B206" t="inlineStr">
        <is>
          <t>ENC117118</t>
        </is>
      </c>
      <c r="C206" t="inlineStr">
        <is>
          <t>Summit Choice PPO</t>
        </is>
      </c>
      <c r="D206" t="inlineStr">
        <is>
          <t>Paid</t>
        </is>
      </c>
      <c r="E206" s="31" t="n">
        <v>45867</v>
      </c>
      <c r="F206" s="31" t="n">
        <v>45870</v>
      </c>
      <c r="G206" s="31" t="n">
        <v>45893</v>
      </c>
      <c r="H206" s="33" t="n"/>
    </row>
    <row r="207">
      <c r="A207" t="inlineStr">
        <is>
          <t>CLM517132</t>
        </is>
      </c>
      <c r="B207" t="inlineStr">
        <is>
          <t>ENC117132</t>
        </is>
      </c>
      <c r="C207" t="inlineStr">
        <is>
          <t>Evergreen Mutual Insurance</t>
        </is>
      </c>
      <c r="D207" t="inlineStr">
        <is>
          <t>Partially Paid</t>
        </is>
      </c>
      <c r="E207" s="31" t="n">
        <v>45867</v>
      </c>
      <c r="F207" s="31" t="n">
        <v>45955</v>
      </c>
      <c r="G207" s="31" t="n">
        <v>45978</v>
      </c>
      <c r="H207" s="33" t="n"/>
    </row>
    <row r="208">
      <c r="A208" t="inlineStr">
        <is>
          <t>CLM517221</t>
        </is>
      </c>
      <c r="B208" t="inlineStr">
        <is>
          <t>ENC117221</t>
        </is>
      </c>
      <c r="C208" t="inlineStr">
        <is>
          <t>Silverline Medicare Advantage</t>
        </is>
      </c>
      <c r="D208" t="inlineStr">
        <is>
          <t>Paid</t>
        </is>
      </c>
      <c r="E208" s="31" t="n">
        <v>45873</v>
      </c>
      <c r="F208" s="31" t="n">
        <v>45875</v>
      </c>
      <c r="G208" s="31" t="n">
        <v>45907</v>
      </c>
      <c r="H208" s="33" t="n"/>
    </row>
    <row r="209">
      <c r="A209" t="inlineStr">
        <is>
          <t>CLM517243</t>
        </is>
      </c>
      <c r="B209" t="inlineStr">
        <is>
          <t>ENC117243</t>
        </is>
      </c>
      <c r="C209" t="inlineStr">
        <is>
          <t>Keystone Health Partners</t>
        </is>
      </c>
      <c r="D209" t="inlineStr">
        <is>
          <t>Paid</t>
        </is>
      </c>
      <c r="E209" s="31" t="n">
        <v>45873</v>
      </c>
      <c r="F209" s="31" t="n">
        <v>45875</v>
      </c>
      <c r="G209" s="31" t="n">
        <v>45890</v>
      </c>
      <c r="H209" s="33" t="n"/>
    </row>
    <row r="210">
      <c r="A210" t="inlineStr">
        <is>
          <t>CLM517293</t>
        </is>
      </c>
      <c r="B210" t="inlineStr">
        <is>
          <t>ENC117293</t>
        </is>
      </c>
      <c r="C210" t="inlineStr">
        <is>
          <t>State Medicaid</t>
        </is>
      </c>
      <c r="D210" t="inlineStr">
        <is>
          <t>Partially Paid</t>
        </is>
      </c>
      <c r="E210" s="31" t="n">
        <v>45873</v>
      </c>
      <c r="F210" s="31" t="n">
        <v>45876</v>
      </c>
      <c r="G210" s="31" t="n">
        <v>45916</v>
      </c>
      <c r="H210" s="33" t="n"/>
    </row>
    <row r="211">
      <c r="A211" t="inlineStr">
        <is>
          <t>CLM517371</t>
        </is>
      </c>
      <c r="B211" t="inlineStr">
        <is>
          <t>ENC117371</t>
        </is>
      </c>
      <c r="C211" t="inlineStr">
        <is>
          <t>Evergreen Mutual Insurance</t>
        </is>
      </c>
      <c r="D211" t="inlineStr">
        <is>
          <t>Paid</t>
        </is>
      </c>
      <c r="E211" s="31" t="n">
        <v>45875</v>
      </c>
      <c r="F211" s="31" t="n">
        <v>45880</v>
      </c>
      <c r="G211" s="31" t="n">
        <v>45921</v>
      </c>
      <c r="H211" s="33" t="n"/>
    </row>
    <row r="212">
      <c r="A212" t="inlineStr">
        <is>
          <t>CLM517327</t>
        </is>
      </c>
      <c r="B212" t="inlineStr">
        <is>
          <t>ENC117327</t>
        </is>
      </c>
      <c r="C212" t="inlineStr">
        <is>
          <t>Summit Choice PPO</t>
        </is>
      </c>
      <c r="D212" t="inlineStr">
        <is>
          <t>Paid</t>
        </is>
      </c>
      <c r="E212" s="31" t="n">
        <v>45877</v>
      </c>
      <c r="F212" s="31" t="n">
        <v>45884</v>
      </c>
      <c r="G212" s="31" t="n">
        <v>45892</v>
      </c>
      <c r="H212" s="33" t="n"/>
    </row>
    <row r="213">
      <c r="A213" t="inlineStr">
        <is>
          <t>CLM517378</t>
        </is>
      </c>
      <c r="B213" t="inlineStr">
        <is>
          <t>ENC117378</t>
        </is>
      </c>
      <c r="C213" t="inlineStr">
        <is>
          <t>Summit Choice PPO</t>
        </is>
      </c>
      <c r="D213" t="inlineStr">
        <is>
          <t>Paid</t>
        </is>
      </c>
      <c r="E213" s="31" t="n">
        <v>45877</v>
      </c>
      <c r="F213" s="31" t="n">
        <v>45881</v>
      </c>
      <c r="G213" s="31" t="n">
        <v>45895</v>
      </c>
      <c r="H213" s="33" t="n"/>
    </row>
    <row r="214">
      <c r="A214" t="inlineStr">
        <is>
          <t>CLM517347</t>
        </is>
      </c>
      <c r="B214" t="inlineStr">
        <is>
          <t>ENC117347</t>
        </is>
      </c>
      <c r="C214" t="inlineStr">
        <is>
          <t>Medicare</t>
        </is>
      </c>
      <c r="D214" t="inlineStr">
        <is>
          <t>Paid</t>
        </is>
      </c>
      <c r="E214" s="31" t="n">
        <v>45879</v>
      </c>
      <c r="F214" s="31" t="n">
        <v>45883</v>
      </c>
      <c r="G214" s="31" t="n">
        <v>45900</v>
      </c>
      <c r="H214" s="33" t="n"/>
    </row>
    <row r="215">
      <c r="A215" t="inlineStr">
        <is>
          <t>CLM517396</t>
        </is>
      </c>
      <c r="B215" t="inlineStr">
        <is>
          <t>ENC117396</t>
        </is>
      </c>
      <c r="C215" t="inlineStr">
        <is>
          <t>Self-Pay</t>
        </is>
      </c>
      <c r="D215" t="inlineStr">
        <is>
          <t>Pending</t>
        </is>
      </c>
      <c r="E215" s="31" t="n">
        <v>45879</v>
      </c>
      <c r="F215" s="31" t="n">
        <v>45885</v>
      </c>
      <c r="H215" s="33" t="n"/>
    </row>
    <row r="216">
      <c r="A216" t="inlineStr">
        <is>
          <t>CLM517481</t>
        </is>
      </c>
      <c r="B216" t="inlineStr">
        <is>
          <t>ENC117481</t>
        </is>
      </c>
      <c r="C216" t="inlineStr">
        <is>
          <t>Medicare</t>
        </is>
      </c>
      <c r="D216" t="inlineStr">
        <is>
          <t>Paid</t>
        </is>
      </c>
      <c r="E216" s="31" t="n">
        <v>45881</v>
      </c>
      <c r="F216" s="31" t="n">
        <v>45884</v>
      </c>
      <c r="G216" s="31" t="n">
        <v>45896</v>
      </c>
      <c r="H216" s="33" t="n"/>
    </row>
    <row r="217">
      <c r="A217" t="inlineStr">
        <is>
          <t>CLM517535</t>
        </is>
      </c>
      <c r="B217" t="inlineStr">
        <is>
          <t>ENC117535</t>
        </is>
      </c>
      <c r="C217" t="inlineStr">
        <is>
          <t>Silverline Medicare Advantage</t>
        </is>
      </c>
      <c r="D217" t="inlineStr">
        <is>
          <t>Paid</t>
        </is>
      </c>
      <c r="E217" s="31" t="n">
        <v>45883</v>
      </c>
      <c r="F217" s="31" t="n">
        <v>45890</v>
      </c>
      <c r="G217" s="31" t="n">
        <v>45921</v>
      </c>
      <c r="H217" s="33" t="n"/>
    </row>
    <row r="218">
      <c r="A218" t="inlineStr">
        <is>
          <t>CLM517539</t>
        </is>
      </c>
      <c r="B218" t="inlineStr">
        <is>
          <t>ENC117539</t>
        </is>
      </c>
      <c r="C218" t="inlineStr">
        <is>
          <t>Self-Pay</t>
        </is>
      </c>
      <c r="D218" t="inlineStr">
        <is>
          <t>Partially Paid</t>
        </is>
      </c>
      <c r="E218" s="31" t="n">
        <v>45884</v>
      </c>
      <c r="F218" s="31" t="n">
        <v>45888</v>
      </c>
      <c r="G218" s="31" t="n">
        <v>45944</v>
      </c>
      <c r="H218" s="33" t="n"/>
    </row>
    <row r="219">
      <c r="A219" t="inlineStr">
        <is>
          <t>CLM517670</t>
        </is>
      </c>
      <c r="B219" t="inlineStr">
        <is>
          <t>ENC117670</t>
        </is>
      </c>
      <c r="C219" t="inlineStr">
        <is>
          <t>Silverline Medicare Advantage</t>
        </is>
      </c>
      <c r="D219" t="inlineStr">
        <is>
          <t>Paid</t>
        </is>
      </c>
      <c r="E219" s="31" t="n">
        <v>45887</v>
      </c>
      <c r="F219" s="31" t="n">
        <v>45890</v>
      </c>
      <c r="G219" s="31" t="n">
        <v>45919</v>
      </c>
      <c r="H219" s="33" t="n"/>
    </row>
    <row r="220">
      <c r="A220" t="inlineStr">
        <is>
          <t>CLM517691</t>
        </is>
      </c>
      <c r="B220" t="inlineStr">
        <is>
          <t>ENC117691</t>
        </is>
      </c>
      <c r="C220" t="inlineStr">
        <is>
          <t>Evergreen Mutual Insurance</t>
        </is>
      </c>
      <c r="D220" t="inlineStr">
        <is>
          <t>Paid</t>
        </is>
      </c>
      <c r="E220" s="31" t="n">
        <v>45887</v>
      </c>
      <c r="F220" s="31" t="n">
        <v>45890</v>
      </c>
      <c r="G220" s="31" t="n">
        <v>45923</v>
      </c>
      <c r="H220" s="33" t="n"/>
    </row>
    <row r="221">
      <c r="A221" t="inlineStr">
        <is>
          <t>CLM517702</t>
        </is>
      </c>
      <c r="B221" t="inlineStr">
        <is>
          <t>ENC117702</t>
        </is>
      </c>
      <c r="C221" t="inlineStr">
        <is>
          <t>State Medicaid</t>
        </is>
      </c>
      <c r="D221" t="inlineStr">
        <is>
          <t>Paid</t>
        </is>
      </c>
      <c r="E221" s="31" t="n">
        <v>45887</v>
      </c>
      <c r="F221" s="31" t="n">
        <v>45890</v>
      </c>
      <c r="G221" s="31" t="n">
        <v>45925</v>
      </c>
      <c r="H221" s="33" t="n"/>
    </row>
    <row r="222">
      <c r="A222" t="inlineStr">
        <is>
          <t>CLM517699</t>
        </is>
      </c>
      <c r="B222" t="inlineStr">
        <is>
          <t>ENC117699</t>
        </is>
      </c>
      <c r="C222" t="inlineStr">
        <is>
          <t>Medicare</t>
        </is>
      </c>
      <c r="D222" t="inlineStr">
        <is>
          <t>Paid</t>
        </is>
      </c>
      <c r="E222" s="31" t="n">
        <v>45889</v>
      </c>
      <c r="F222" s="31" t="n">
        <v>45893</v>
      </c>
      <c r="G222" s="31" t="n">
        <v>45901</v>
      </c>
      <c r="H222" s="33" t="n"/>
    </row>
    <row r="223">
      <c r="A223" t="inlineStr">
        <is>
          <t>CLM517711</t>
        </is>
      </c>
      <c r="B223" t="inlineStr">
        <is>
          <t>ENC117711</t>
        </is>
      </c>
      <c r="C223" t="inlineStr">
        <is>
          <t>Keystone Health Partners</t>
        </is>
      </c>
      <c r="D223" t="inlineStr">
        <is>
          <t>Paid</t>
        </is>
      </c>
      <c r="E223" s="31" t="n">
        <v>45889</v>
      </c>
      <c r="F223" s="31" t="n">
        <v>45891</v>
      </c>
      <c r="G223" s="31" t="n">
        <v>45914</v>
      </c>
      <c r="H223" s="33" t="n"/>
    </row>
    <row r="224">
      <c r="A224" t="inlineStr">
        <is>
          <t>CLM517789</t>
        </is>
      </c>
      <c r="B224" t="inlineStr">
        <is>
          <t>ENC117789</t>
        </is>
      </c>
      <c r="C224" t="inlineStr">
        <is>
          <t>Keystone Health Partners</t>
        </is>
      </c>
      <c r="D224" t="inlineStr">
        <is>
          <t>Paid</t>
        </is>
      </c>
      <c r="E224" s="31" t="n">
        <v>45892</v>
      </c>
      <c r="F224" s="31" t="n">
        <v>45893</v>
      </c>
      <c r="G224" s="31" t="n">
        <v>45931</v>
      </c>
      <c r="H224" s="33" t="n"/>
    </row>
    <row r="225">
      <c r="A225" t="inlineStr">
        <is>
          <t>CLM517773</t>
        </is>
      </c>
      <c r="B225" t="inlineStr">
        <is>
          <t>ENC117773</t>
        </is>
      </c>
      <c r="C225" t="inlineStr">
        <is>
          <t>State Medicaid</t>
        </is>
      </c>
      <c r="D225" t="inlineStr">
        <is>
          <t>Paid</t>
        </is>
      </c>
      <c r="E225" s="31" t="n">
        <v>45893</v>
      </c>
      <c r="F225" s="31" t="n">
        <v>45901</v>
      </c>
      <c r="G225" s="31" t="n">
        <v>45936</v>
      </c>
      <c r="H225" s="33" t="n"/>
    </row>
    <row r="226">
      <c r="A226" t="inlineStr">
        <is>
          <t>CLM517791</t>
        </is>
      </c>
      <c r="B226" t="inlineStr">
        <is>
          <t>ENC117791</t>
        </is>
      </c>
      <c r="C226" t="inlineStr">
        <is>
          <t>Evergreen Mutual Insurance</t>
        </is>
      </c>
      <c r="D226" t="inlineStr">
        <is>
          <t>Paid</t>
        </is>
      </c>
      <c r="E226" s="31" t="n">
        <v>45894</v>
      </c>
      <c r="F226" s="31" t="n">
        <v>45899</v>
      </c>
      <c r="G226" s="31" t="n">
        <v>45929</v>
      </c>
      <c r="H226" s="33" t="n"/>
    </row>
    <row r="227">
      <c r="A227" t="inlineStr">
        <is>
          <t>CLM517769</t>
        </is>
      </c>
      <c r="B227" t="inlineStr">
        <is>
          <t>ENC117769</t>
        </is>
      </c>
      <c r="C227" t="inlineStr">
        <is>
          <t>Keystone Health Partners</t>
        </is>
      </c>
      <c r="D227" t="inlineStr">
        <is>
          <t>Paid</t>
        </is>
      </c>
      <c r="E227" s="31" t="n">
        <v>45897</v>
      </c>
      <c r="F227" s="31" t="n">
        <v>45913</v>
      </c>
      <c r="G227" s="31" t="n">
        <v>45939</v>
      </c>
      <c r="H227" s="33" t="n"/>
    </row>
    <row r="228">
      <c r="A228" t="inlineStr">
        <is>
          <t>CLM517912</t>
        </is>
      </c>
      <c r="B228" t="inlineStr">
        <is>
          <t>ENC117912</t>
        </is>
      </c>
      <c r="C228" t="inlineStr">
        <is>
          <t>Medicare</t>
        </is>
      </c>
      <c r="D228" t="inlineStr">
        <is>
          <t>Paid</t>
        </is>
      </c>
      <c r="E228" s="31" t="n">
        <v>45897</v>
      </c>
      <c r="F228" s="31" t="n">
        <v>45904</v>
      </c>
      <c r="G228" s="31" t="n">
        <v>45923</v>
      </c>
      <c r="H228" s="33" t="n"/>
    </row>
    <row r="229">
      <c r="A229" t="inlineStr">
        <is>
          <t>CLM517914</t>
        </is>
      </c>
      <c r="B229" t="inlineStr">
        <is>
          <t>ENC117914</t>
        </is>
      </c>
      <c r="C229" t="inlineStr">
        <is>
          <t>Silverline Medicare Advantage</t>
        </is>
      </c>
      <c r="D229" t="inlineStr">
        <is>
          <t>Paid</t>
        </is>
      </c>
      <c r="E229" s="31" t="n">
        <v>45897</v>
      </c>
      <c r="F229" s="31" t="n">
        <v>45900</v>
      </c>
      <c r="G229" s="31" t="n">
        <v>45920</v>
      </c>
      <c r="H229" s="33" t="n"/>
    </row>
    <row r="230">
      <c r="A230" t="inlineStr">
        <is>
          <t>CLM517927</t>
        </is>
      </c>
      <c r="B230" t="inlineStr">
        <is>
          <t>ENC117927</t>
        </is>
      </c>
      <c r="C230" t="inlineStr">
        <is>
          <t>Evergreen Mutual Insurance</t>
        </is>
      </c>
      <c r="D230" t="inlineStr">
        <is>
          <t>Paid</t>
        </is>
      </c>
      <c r="E230" s="31" t="n">
        <v>45897</v>
      </c>
      <c r="F230" s="31" t="n">
        <v>45900</v>
      </c>
      <c r="G230" s="31" t="n">
        <v>45916</v>
      </c>
      <c r="H230" s="33" t="n"/>
    </row>
    <row r="231">
      <c r="A231" t="inlineStr">
        <is>
          <t>CLM517842</t>
        </is>
      </c>
      <c r="B231" t="inlineStr">
        <is>
          <t>ENC117842</t>
        </is>
      </c>
      <c r="C231" t="inlineStr">
        <is>
          <t>Summit Choice PPO</t>
        </is>
      </c>
      <c r="D231" t="inlineStr">
        <is>
          <t>Paid</t>
        </is>
      </c>
      <c r="E231" s="31" t="n">
        <v>45898</v>
      </c>
      <c r="F231" s="31" t="n">
        <v>45908</v>
      </c>
      <c r="G231" s="31" t="n">
        <v>45920</v>
      </c>
      <c r="H231" s="33" t="n"/>
    </row>
    <row r="232">
      <c r="A232" t="inlineStr">
        <is>
          <t>CLM517968</t>
        </is>
      </c>
      <c r="B232" t="inlineStr">
        <is>
          <t>ENC117968</t>
        </is>
      </c>
      <c r="C232" t="inlineStr">
        <is>
          <t>Keystone Health Partners</t>
        </is>
      </c>
      <c r="D232" t="inlineStr">
        <is>
          <t>Paid</t>
        </is>
      </c>
      <c r="E232" s="31" t="n">
        <v>45898</v>
      </c>
      <c r="F232" s="31" t="n">
        <v>45906</v>
      </c>
      <c r="G232" s="31" t="n">
        <v>45935</v>
      </c>
      <c r="H232" s="33" t="n"/>
    </row>
    <row r="233">
      <c r="A233" t="inlineStr">
        <is>
          <t>CLM517975</t>
        </is>
      </c>
      <c r="B233" t="inlineStr">
        <is>
          <t>ENC117975</t>
        </is>
      </c>
      <c r="C233" t="inlineStr">
        <is>
          <t>Keystone Health Partners</t>
        </is>
      </c>
      <c r="D233" t="inlineStr">
        <is>
          <t>Paid</t>
        </is>
      </c>
      <c r="E233" s="31" t="n">
        <v>45898</v>
      </c>
      <c r="F233" s="31" t="n">
        <v>45902</v>
      </c>
      <c r="G233" s="31" t="n">
        <v>45922</v>
      </c>
      <c r="H233" s="33" t="n"/>
    </row>
    <row r="234">
      <c r="A234" t="inlineStr">
        <is>
          <t>CLM517994</t>
        </is>
      </c>
      <c r="B234" t="inlineStr">
        <is>
          <t>ENC117994</t>
        </is>
      </c>
      <c r="C234" t="inlineStr">
        <is>
          <t>Medicare</t>
        </is>
      </c>
      <c r="D234" t="inlineStr">
        <is>
          <t>Paid</t>
        </is>
      </c>
      <c r="E234" s="31" t="n">
        <v>45899</v>
      </c>
      <c r="F234" s="31" t="n">
        <v>45903</v>
      </c>
      <c r="G234" s="31" t="n">
        <v>45925</v>
      </c>
      <c r="H234" s="33" t="n"/>
    </row>
    <row r="235">
      <c r="A235" t="inlineStr">
        <is>
          <t>CLM517996</t>
        </is>
      </c>
      <c r="B235" t="inlineStr">
        <is>
          <t>ENC117996</t>
        </is>
      </c>
      <c r="C235" t="inlineStr">
        <is>
          <t>Keystone Health Partners</t>
        </is>
      </c>
      <c r="D235" t="inlineStr">
        <is>
          <t>Partially Paid</t>
        </is>
      </c>
      <c r="E235" s="31" t="n">
        <v>45900</v>
      </c>
      <c r="F235" s="31" t="n">
        <v>45907</v>
      </c>
      <c r="G235" s="31" t="n">
        <v>45926</v>
      </c>
      <c r="H235" s="33" t="n"/>
    </row>
    <row r="236">
      <c r="A236" t="inlineStr">
        <is>
          <t>CLM518048</t>
        </is>
      </c>
      <c r="B236" t="inlineStr">
        <is>
          <t>ENC118048</t>
        </is>
      </c>
      <c r="C236" t="inlineStr">
        <is>
          <t>Medicare</t>
        </is>
      </c>
      <c r="D236" t="inlineStr">
        <is>
          <t>Paid</t>
        </is>
      </c>
      <c r="E236" s="31" t="n">
        <v>45908</v>
      </c>
      <c r="F236" s="31" t="n">
        <v>45911</v>
      </c>
      <c r="G236" s="31" t="n">
        <v>45924</v>
      </c>
      <c r="H236" s="33" t="n"/>
    </row>
    <row r="237">
      <c r="A237" t="inlineStr">
        <is>
          <t>CLM518198</t>
        </is>
      </c>
      <c r="B237" t="inlineStr">
        <is>
          <t>ENC118198</t>
        </is>
      </c>
      <c r="C237" t="inlineStr">
        <is>
          <t>Keystone Health Partners</t>
        </is>
      </c>
      <c r="D237" t="inlineStr">
        <is>
          <t>Paid</t>
        </is>
      </c>
      <c r="E237" s="31" t="n">
        <v>45908</v>
      </c>
      <c r="F237" s="31" t="n">
        <v>45911</v>
      </c>
      <c r="G237" s="31" t="n">
        <v>45953</v>
      </c>
      <c r="H237" s="33" t="n"/>
    </row>
    <row r="238">
      <c r="A238" t="inlineStr">
        <is>
          <t>CLM518254</t>
        </is>
      </c>
      <c r="B238" t="inlineStr">
        <is>
          <t>ENC118254</t>
        </is>
      </c>
      <c r="C238" t="inlineStr">
        <is>
          <t>Evergreen Mutual Insurance</t>
        </is>
      </c>
      <c r="D238" t="inlineStr">
        <is>
          <t>Paid</t>
        </is>
      </c>
      <c r="E238" s="31" t="n">
        <v>45910</v>
      </c>
      <c r="F238" s="31" t="n">
        <v>45916</v>
      </c>
      <c r="G238" s="31" t="n">
        <v>45945</v>
      </c>
      <c r="H238" s="33" t="n"/>
    </row>
    <row r="239">
      <c r="A239" t="inlineStr">
        <is>
          <t>CLM518287</t>
        </is>
      </c>
      <c r="B239" t="inlineStr">
        <is>
          <t>ENC118287</t>
        </is>
      </c>
      <c r="C239" t="inlineStr">
        <is>
          <t>Evergreen Mutual Insurance</t>
        </is>
      </c>
      <c r="D239" t="inlineStr">
        <is>
          <t>Paid</t>
        </is>
      </c>
      <c r="E239" s="31" t="n">
        <v>45910</v>
      </c>
      <c r="F239" s="31" t="n">
        <v>45911</v>
      </c>
      <c r="G239" s="31" t="n">
        <v>45939</v>
      </c>
      <c r="H239" s="33" t="n"/>
    </row>
    <row r="240">
      <c r="A240" t="inlineStr">
        <is>
          <t>CLM518324</t>
        </is>
      </c>
      <c r="B240" t="inlineStr">
        <is>
          <t>ENC118324</t>
        </is>
      </c>
      <c r="C240" t="inlineStr">
        <is>
          <t>Keystone Health Partners</t>
        </is>
      </c>
      <c r="D240" t="inlineStr">
        <is>
          <t>Paid</t>
        </is>
      </c>
      <c r="E240" s="31" t="n">
        <v>45914</v>
      </c>
      <c r="F240" s="31" t="n">
        <v>45918</v>
      </c>
      <c r="G240" s="31" t="n">
        <v>45957</v>
      </c>
      <c r="H240" s="33" t="n"/>
    </row>
    <row r="241">
      <c r="A241" t="inlineStr">
        <is>
          <t>CLM518410</t>
        </is>
      </c>
      <c r="B241" t="inlineStr">
        <is>
          <t>ENC118410</t>
        </is>
      </c>
      <c r="C241" t="inlineStr">
        <is>
          <t>Keystone Health Partners</t>
        </is>
      </c>
      <c r="D241" t="inlineStr">
        <is>
          <t>Paid</t>
        </is>
      </c>
      <c r="E241" s="31" t="n">
        <v>45914</v>
      </c>
      <c r="F241" s="31" t="n">
        <v>45924</v>
      </c>
      <c r="G241" s="31" t="n">
        <v>45952</v>
      </c>
      <c r="H241" s="33" t="n"/>
    </row>
    <row r="242">
      <c r="A242" t="inlineStr">
        <is>
          <t>CLM518342</t>
        </is>
      </c>
      <c r="B242" t="inlineStr">
        <is>
          <t>ENC118342</t>
        </is>
      </c>
      <c r="C242" t="inlineStr">
        <is>
          <t>Medicare</t>
        </is>
      </c>
      <c r="D242" t="inlineStr">
        <is>
          <t>Paid</t>
        </is>
      </c>
      <c r="E242" s="31" t="n">
        <v>45915</v>
      </c>
      <c r="F242" s="31" t="n">
        <v>45924</v>
      </c>
      <c r="G242" s="31" t="n">
        <v>45934</v>
      </c>
      <c r="H242" s="33" t="n"/>
    </row>
    <row r="243">
      <c r="A243" t="inlineStr">
        <is>
          <t>CLM518446</t>
        </is>
      </c>
      <c r="B243" t="inlineStr">
        <is>
          <t>ENC118446</t>
        </is>
      </c>
      <c r="C243" t="inlineStr">
        <is>
          <t>State Medicaid</t>
        </is>
      </c>
      <c r="D243" t="inlineStr">
        <is>
          <t>Paid</t>
        </is>
      </c>
      <c r="E243" s="31" t="n">
        <v>45915</v>
      </c>
      <c r="F243" s="31" t="n">
        <v>45926</v>
      </c>
      <c r="G243" s="31" t="n">
        <v>45954</v>
      </c>
      <c r="H243" s="33" t="n"/>
    </row>
    <row r="244">
      <c r="A244" t="inlineStr">
        <is>
          <t>CLM518329</t>
        </is>
      </c>
      <c r="B244" t="inlineStr">
        <is>
          <t>ENC118329</t>
        </is>
      </c>
      <c r="C244" t="inlineStr">
        <is>
          <t>Summit Choice PPO</t>
        </is>
      </c>
      <c r="D244" t="inlineStr">
        <is>
          <t>Paid</t>
        </is>
      </c>
      <c r="E244" s="31" t="n">
        <v>45916</v>
      </c>
      <c r="F244" s="31" t="n">
        <v>45919</v>
      </c>
      <c r="G244" s="31" t="n">
        <v>45938</v>
      </c>
      <c r="H244" s="33" t="n"/>
    </row>
    <row r="245">
      <c r="A245" t="inlineStr">
        <is>
          <t>CLM518399</t>
        </is>
      </c>
      <c r="B245" t="inlineStr">
        <is>
          <t>ENC118399</t>
        </is>
      </c>
      <c r="C245" t="inlineStr">
        <is>
          <t>Evergreen Mutual Insurance</t>
        </is>
      </c>
      <c r="D245" t="inlineStr">
        <is>
          <t>Paid</t>
        </is>
      </c>
      <c r="E245" s="31" t="n">
        <v>45916</v>
      </c>
      <c r="F245" s="31" t="n">
        <v>45918</v>
      </c>
      <c r="G245" s="31" t="n">
        <v>45957</v>
      </c>
      <c r="H245" s="33" t="n"/>
    </row>
    <row r="246">
      <c r="A246" t="inlineStr">
        <is>
          <t>CLM518449</t>
        </is>
      </c>
      <c r="B246" t="inlineStr">
        <is>
          <t>ENC118449</t>
        </is>
      </c>
      <c r="C246" t="inlineStr">
        <is>
          <t>Keystone Health Partners</t>
        </is>
      </c>
      <c r="D246" t="inlineStr">
        <is>
          <t>Paid</t>
        </is>
      </c>
      <c r="E246" s="31" t="n">
        <v>45916</v>
      </c>
      <c r="F246" s="31" t="n">
        <v>45922</v>
      </c>
      <c r="G246" s="31" t="n">
        <v>45941</v>
      </c>
      <c r="H246" s="33" t="n"/>
    </row>
    <row r="247">
      <c r="A247" t="inlineStr">
        <is>
          <t>CLM518447</t>
        </is>
      </c>
      <c r="B247" t="inlineStr">
        <is>
          <t>ENC118447</t>
        </is>
      </c>
      <c r="C247" t="inlineStr">
        <is>
          <t>Keystone Health Partners</t>
        </is>
      </c>
      <c r="D247" t="inlineStr">
        <is>
          <t>Paid</t>
        </is>
      </c>
      <c r="E247" s="31" t="n">
        <v>45917</v>
      </c>
      <c r="F247" s="31" t="n">
        <v>45922</v>
      </c>
      <c r="G247" s="31" t="n">
        <v>45931</v>
      </c>
      <c r="H247" s="33" t="n"/>
    </row>
    <row r="248">
      <c r="A248" t="inlineStr">
        <is>
          <t>CLM518457</t>
        </is>
      </c>
      <c r="B248" t="inlineStr">
        <is>
          <t>ENC118457</t>
        </is>
      </c>
      <c r="C248" t="inlineStr">
        <is>
          <t>Medicare</t>
        </is>
      </c>
      <c r="D248" t="inlineStr">
        <is>
          <t>Paid</t>
        </is>
      </c>
      <c r="E248" s="31" t="n">
        <v>45917</v>
      </c>
      <c r="F248" s="31" t="n">
        <v>45920</v>
      </c>
      <c r="G248" s="31" t="n">
        <v>45935</v>
      </c>
      <c r="H248" s="33" t="n"/>
    </row>
    <row r="249">
      <c r="A249" t="inlineStr">
        <is>
          <t>CLM518426</t>
        </is>
      </c>
      <c r="B249" t="inlineStr">
        <is>
          <t>ENC118426</t>
        </is>
      </c>
      <c r="C249" t="inlineStr">
        <is>
          <t>Medicare</t>
        </is>
      </c>
      <c r="D249" t="inlineStr">
        <is>
          <t>Denied</t>
        </is>
      </c>
      <c r="E249" s="31" t="n">
        <v>45918</v>
      </c>
      <c r="F249" s="31" t="n">
        <v>45924</v>
      </c>
      <c r="H249" s="33" t="n"/>
    </row>
    <row r="250">
      <c r="A250" t="inlineStr">
        <is>
          <t>CLM518483</t>
        </is>
      </c>
      <c r="B250" t="inlineStr">
        <is>
          <t>ENC118483</t>
        </is>
      </c>
      <c r="C250" t="inlineStr">
        <is>
          <t>Summit Choice PPO</t>
        </is>
      </c>
      <c r="D250" t="inlineStr">
        <is>
          <t>Paid</t>
        </is>
      </c>
      <c r="E250" s="31" t="n">
        <v>45920</v>
      </c>
      <c r="F250" s="31" t="n">
        <v>45926</v>
      </c>
      <c r="G250" s="31" t="n">
        <v>45943</v>
      </c>
      <c r="H250" s="33" t="n"/>
    </row>
    <row r="251">
      <c r="A251" t="inlineStr">
        <is>
          <t>CLM518582</t>
        </is>
      </c>
      <c r="B251" t="inlineStr">
        <is>
          <t>ENC118582</t>
        </is>
      </c>
      <c r="C251" t="inlineStr">
        <is>
          <t>Silverline Medicare Advantage</t>
        </is>
      </c>
      <c r="D251" t="inlineStr">
        <is>
          <t>Paid</t>
        </is>
      </c>
      <c r="E251" s="31" t="n">
        <v>45921</v>
      </c>
      <c r="F251" s="31" t="n">
        <v>45924</v>
      </c>
      <c r="G251" s="31" t="n">
        <v>45953</v>
      </c>
      <c r="H251" s="33" t="n"/>
    </row>
    <row r="252">
      <c r="A252" t="inlineStr">
        <is>
          <t>CLM518488</t>
        </is>
      </c>
      <c r="B252" t="inlineStr">
        <is>
          <t>ENC118488</t>
        </is>
      </c>
      <c r="C252" t="inlineStr">
        <is>
          <t>Self-Pay</t>
        </is>
      </c>
      <c r="D252" t="inlineStr">
        <is>
          <t>Partially Paid</t>
        </is>
      </c>
      <c r="E252" s="31" t="n">
        <v>45922</v>
      </c>
      <c r="F252" s="31" t="n">
        <v>45925</v>
      </c>
      <c r="G252" s="31" t="n">
        <v>45966</v>
      </c>
      <c r="H252" s="33" t="n"/>
    </row>
    <row r="253">
      <c r="A253" t="inlineStr">
        <is>
          <t>CLM518600</t>
        </is>
      </c>
      <c r="B253" t="inlineStr">
        <is>
          <t>ENC118600</t>
        </is>
      </c>
      <c r="C253" t="inlineStr">
        <is>
          <t>State Medicaid</t>
        </is>
      </c>
      <c r="D253" t="inlineStr">
        <is>
          <t>Paid</t>
        </is>
      </c>
      <c r="E253" s="31" t="n">
        <v>45924</v>
      </c>
      <c r="F253" s="31" t="n">
        <v>45927</v>
      </c>
      <c r="G253" s="31" t="n">
        <v>45967</v>
      </c>
      <c r="H253" s="33" t="n"/>
    </row>
    <row r="254">
      <c r="A254" t="inlineStr">
        <is>
          <t>CLM518630</t>
        </is>
      </c>
      <c r="B254" t="inlineStr">
        <is>
          <t>ENC118630</t>
        </is>
      </c>
      <c r="C254" t="inlineStr">
        <is>
          <t>Silverline Medicare Advantage</t>
        </is>
      </c>
      <c r="D254" t="inlineStr">
        <is>
          <t>Paid</t>
        </is>
      </c>
      <c r="E254" s="31" t="n">
        <v>45925</v>
      </c>
      <c r="F254" s="31" t="n">
        <v>45928</v>
      </c>
      <c r="G254" s="31" t="n">
        <v>45945</v>
      </c>
      <c r="H254" s="33" t="n"/>
    </row>
    <row r="255">
      <c r="A255" t="inlineStr">
        <is>
          <t>CLM518710</t>
        </is>
      </c>
      <c r="B255" t="inlineStr">
        <is>
          <t>ENC118710</t>
        </is>
      </c>
      <c r="C255" t="inlineStr">
        <is>
          <t>Medicare</t>
        </is>
      </c>
      <c r="D255" t="inlineStr">
        <is>
          <t>Paid</t>
        </is>
      </c>
      <c r="E255" s="31" t="n">
        <v>45927</v>
      </c>
      <c r="F255" s="31" t="n">
        <v>45929</v>
      </c>
      <c r="G255" s="31" t="n">
        <v>45941</v>
      </c>
      <c r="H255" s="33" t="n"/>
    </row>
    <row r="256">
      <c r="A256" t="inlineStr">
        <is>
          <t>CLM518602</t>
        </is>
      </c>
      <c r="B256" t="inlineStr">
        <is>
          <t>ENC118602</t>
        </is>
      </c>
      <c r="C256" t="inlineStr">
        <is>
          <t>State Medicaid</t>
        </is>
      </c>
      <c r="D256" t="inlineStr">
        <is>
          <t>Paid</t>
        </is>
      </c>
      <c r="E256" s="31" t="n">
        <v>45928</v>
      </c>
      <c r="F256" s="31" t="n">
        <v>45930</v>
      </c>
      <c r="G256" s="31" t="n">
        <v>45971</v>
      </c>
      <c r="H256" s="33" t="n"/>
    </row>
    <row r="257">
      <c r="A257" t="inlineStr">
        <is>
          <t>CLM518770</t>
        </is>
      </c>
      <c r="B257" t="inlineStr">
        <is>
          <t>ENC118770</t>
        </is>
      </c>
      <c r="C257" t="inlineStr">
        <is>
          <t>Medicare</t>
        </is>
      </c>
      <c r="D257" t="inlineStr">
        <is>
          <t>Paid</t>
        </is>
      </c>
      <c r="E257" s="31" t="n">
        <v>45930</v>
      </c>
      <c r="F257" s="31" t="n">
        <v>45931</v>
      </c>
      <c r="G257" s="31" t="n">
        <v>45941</v>
      </c>
      <c r="H257" s="33" t="n"/>
    </row>
    <row r="258">
      <c r="A258" t="inlineStr">
        <is>
          <t>CLM518914</t>
        </is>
      </c>
      <c r="B258" t="inlineStr">
        <is>
          <t>ENC118914</t>
        </is>
      </c>
      <c r="C258" t="inlineStr">
        <is>
          <t>Self-Pay</t>
        </is>
      </c>
      <c r="D258" t="inlineStr">
        <is>
          <t>Pending</t>
        </is>
      </c>
      <c r="E258" s="31" t="n">
        <v>45933</v>
      </c>
      <c r="F258" s="31" t="n">
        <v>45938</v>
      </c>
      <c r="H258" s="33" t="n"/>
    </row>
    <row r="259">
      <c r="A259" t="inlineStr">
        <is>
          <t>CLM518851</t>
        </is>
      </c>
      <c r="B259" t="inlineStr">
        <is>
          <t>ENC118851</t>
        </is>
      </c>
      <c r="C259" t="inlineStr">
        <is>
          <t>Medicare</t>
        </is>
      </c>
      <c r="D259" t="inlineStr">
        <is>
          <t>Paid</t>
        </is>
      </c>
      <c r="E259" s="31" t="n">
        <v>45934</v>
      </c>
      <c r="F259" s="31" t="n">
        <v>45935</v>
      </c>
      <c r="G259" s="31" t="n">
        <v>45943</v>
      </c>
      <c r="H259" s="33" t="n"/>
    </row>
    <row r="260">
      <c r="A260" t="inlineStr">
        <is>
          <t>CLM518919</t>
        </is>
      </c>
      <c r="B260" t="inlineStr">
        <is>
          <t>ENC118919</t>
        </is>
      </c>
      <c r="C260" t="inlineStr">
        <is>
          <t>State Medicaid</t>
        </is>
      </c>
      <c r="D260" t="inlineStr">
        <is>
          <t>Paid</t>
        </is>
      </c>
      <c r="E260" s="31" t="n">
        <v>45934</v>
      </c>
      <c r="F260" s="31" t="n">
        <v>45942</v>
      </c>
      <c r="G260" s="31" t="n">
        <v>45972</v>
      </c>
      <c r="H260" s="33" t="n"/>
    </row>
    <row r="261">
      <c r="A261" t="inlineStr">
        <is>
          <t>CLM518884</t>
        </is>
      </c>
      <c r="B261" t="inlineStr">
        <is>
          <t>ENC118884</t>
        </is>
      </c>
      <c r="C261" t="inlineStr">
        <is>
          <t>Keystone Health Partners</t>
        </is>
      </c>
      <c r="D261" t="inlineStr">
        <is>
          <t>Paid</t>
        </is>
      </c>
      <c r="E261" s="31" t="n">
        <v>45935</v>
      </c>
      <c r="F261" s="31" t="n">
        <v>45941</v>
      </c>
      <c r="G261" s="31" t="n">
        <v>45955</v>
      </c>
      <c r="H261" s="33" t="n"/>
    </row>
    <row r="262">
      <c r="A262" t="inlineStr">
        <is>
          <t>CLM518964</t>
        </is>
      </c>
      <c r="B262" t="inlineStr">
        <is>
          <t>ENC118964</t>
        </is>
      </c>
      <c r="C262" t="inlineStr">
        <is>
          <t>State Medicaid</t>
        </is>
      </c>
      <c r="D262" t="inlineStr">
        <is>
          <t>Paid</t>
        </is>
      </c>
      <c r="E262" s="31" t="n">
        <v>45937</v>
      </c>
      <c r="F262" s="31" t="n">
        <v>45941</v>
      </c>
      <c r="G262" s="31" t="n">
        <v>45985</v>
      </c>
      <c r="H262" s="33" t="n"/>
    </row>
    <row r="263">
      <c r="A263" t="inlineStr">
        <is>
          <t>CLM518982</t>
        </is>
      </c>
      <c r="B263" t="inlineStr">
        <is>
          <t>ENC118982</t>
        </is>
      </c>
      <c r="C263" t="inlineStr">
        <is>
          <t>Medicare</t>
        </is>
      </c>
      <c r="D263" t="inlineStr">
        <is>
          <t>Paid</t>
        </is>
      </c>
      <c r="E263" s="31" t="n">
        <v>45937</v>
      </c>
      <c r="F263" s="31" t="n">
        <v>45940</v>
      </c>
      <c r="G263" s="31" t="n">
        <v>45955</v>
      </c>
      <c r="H263" s="33" t="n"/>
    </row>
    <row r="264">
      <c r="A264" t="inlineStr">
        <is>
          <t>CLM518975</t>
        </is>
      </c>
      <c r="B264" t="inlineStr">
        <is>
          <t>ENC118975</t>
        </is>
      </c>
      <c r="C264" t="inlineStr">
        <is>
          <t>Summit Choice PPO</t>
        </is>
      </c>
      <c r="D264" t="inlineStr">
        <is>
          <t>Paid</t>
        </is>
      </c>
      <c r="E264" s="31" t="n">
        <v>45938</v>
      </c>
      <c r="F264" s="31" t="n">
        <v>45941</v>
      </c>
      <c r="G264" s="31" t="n">
        <v>45957</v>
      </c>
      <c r="H264" s="33" t="n"/>
    </row>
    <row r="265">
      <c r="A265" t="inlineStr">
        <is>
          <t>CLM519018</t>
        </is>
      </c>
      <c r="B265" t="inlineStr">
        <is>
          <t>ENC119018</t>
        </is>
      </c>
      <c r="C265" t="inlineStr">
        <is>
          <t>Silverline Medicare Advantage</t>
        </is>
      </c>
      <c r="D265" t="inlineStr">
        <is>
          <t>Partially Paid</t>
        </is>
      </c>
      <c r="E265" s="31" t="n">
        <v>45939</v>
      </c>
      <c r="F265" s="31" t="n">
        <v>45947</v>
      </c>
      <c r="G265" s="31" t="n">
        <v>45970</v>
      </c>
      <c r="H265" s="33" t="n"/>
    </row>
    <row r="266">
      <c r="A266" t="inlineStr">
        <is>
          <t>CLM519043</t>
        </is>
      </c>
      <c r="B266" t="inlineStr">
        <is>
          <t>ENC119043</t>
        </is>
      </c>
      <c r="C266" t="inlineStr">
        <is>
          <t>State Medicaid</t>
        </is>
      </c>
      <c r="D266" t="inlineStr">
        <is>
          <t>Denied</t>
        </is>
      </c>
      <c r="E266" s="31" t="n">
        <v>45939</v>
      </c>
      <c r="F266" s="31" t="n">
        <v>45943</v>
      </c>
      <c r="H266" s="33" t="n"/>
    </row>
    <row r="267">
      <c r="A267" t="inlineStr">
        <is>
          <t>CLM519084</t>
        </is>
      </c>
      <c r="B267" t="inlineStr">
        <is>
          <t>ENC119084</t>
        </is>
      </c>
      <c r="C267" t="inlineStr">
        <is>
          <t>Medicare</t>
        </is>
      </c>
      <c r="D267" t="inlineStr">
        <is>
          <t>Paid</t>
        </is>
      </c>
      <c r="E267" s="31" t="n">
        <v>45940</v>
      </c>
      <c r="F267" s="31" t="n">
        <v>45942</v>
      </c>
      <c r="G267" s="31" t="n">
        <v>45956</v>
      </c>
      <c r="H267" s="33" t="n"/>
    </row>
    <row r="268">
      <c r="A268" t="inlineStr">
        <is>
          <t>CLM519140</t>
        </is>
      </c>
      <c r="B268" t="inlineStr">
        <is>
          <t>ENC119140</t>
        </is>
      </c>
      <c r="C268" t="inlineStr">
        <is>
          <t>State Medicaid</t>
        </is>
      </c>
      <c r="D268" t="inlineStr">
        <is>
          <t>Paid</t>
        </is>
      </c>
      <c r="E268" s="31" t="n">
        <v>45943</v>
      </c>
      <c r="F268" s="31" t="n">
        <v>45947</v>
      </c>
      <c r="G268" s="31" t="n">
        <v>45997</v>
      </c>
      <c r="H268" s="33" t="n"/>
    </row>
    <row r="269">
      <c r="A269" t="inlineStr">
        <is>
          <t>CLM519199</t>
        </is>
      </c>
      <c r="B269" t="inlineStr">
        <is>
          <t>ENC119199</t>
        </is>
      </c>
      <c r="C269" t="inlineStr">
        <is>
          <t>Silverline Medicare Advantage</t>
        </is>
      </c>
      <c r="D269" t="inlineStr">
        <is>
          <t>Paid</t>
        </is>
      </c>
      <c r="E269" s="31" t="n">
        <v>45944</v>
      </c>
      <c r="F269" s="31" t="n">
        <v>45946</v>
      </c>
      <c r="G269" s="31" t="n">
        <v>45967</v>
      </c>
      <c r="H269" s="33" t="n"/>
    </row>
    <row r="270">
      <c r="A270" t="inlineStr">
        <is>
          <t>CLM519179</t>
        </is>
      </c>
      <c r="B270" t="inlineStr">
        <is>
          <t>ENC119179</t>
        </is>
      </c>
      <c r="C270" t="inlineStr">
        <is>
          <t>State Medicaid</t>
        </is>
      </c>
      <c r="D270" t="inlineStr">
        <is>
          <t>Paid</t>
        </is>
      </c>
      <c r="E270" s="31" t="n">
        <v>45945</v>
      </c>
      <c r="F270" s="31" t="n">
        <v>45951</v>
      </c>
      <c r="G270" s="31" t="n">
        <v>46001</v>
      </c>
      <c r="H270" s="33" t="n"/>
    </row>
    <row r="271">
      <c r="A271" t="inlineStr">
        <is>
          <t>CLM519120</t>
        </is>
      </c>
      <c r="B271" t="inlineStr">
        <is>
          <t>ENC119120</t>
        </is>
      </c>
      <c r="C271" t="inlineStr">
        <is>
          <t>Silverline Medicare Advantage</t>
        </is>
      </c>
      <c r="D271" t="inlineStr">
        <is>
          <t>Denied</t>
        </is>
      </c>
      <c r="E271" s="31" t="n">
        <v>45946</v>
      </c>
      <c r="F271" s="31" t="n">
        <v>45951</v>
      </c>
      <c r="H271" s="33" t="n"/>
    </row>
    <row r="272">
      <c r="A272" t="inlineStr">
        <is>
          <t>CLM519212</t>
        </is>
      </c>
      <c r="B272" t="inlineStr">
        <is>
          <t>ENC119212</t>
        </is>
      </c>
      <c r="C272" t="inlineStr">
        <is>
          <t>Keystone Health Partners</t>
        </is>
      </c>
      <c r="D272" t="inlineStr">
        <is>
          <t>Paid</t>
        </is>
      </c>
      <c r="E272" s="31" t="n">
        <v>45946</v>
      </c>
      <c r="F272" s="31" t="n">
        <v>45951</v>
      </c>
      <c r="G272" s="31" t="n">
        <v>45974</v>
      </c>
      <c r="H272" s="33" t="n"/>
    </row>
    <row r="273">
      <c r="A273" t="inlineStr">
        <is>
          <t>CLM519166</t>
        </is>
      </c>
      <c r="B273" t="inlineStr">
        <is>
          <t>ENC119166</t>
        </is>
      </c>
      <c r="C273" t="inlineStr">
        <is>
          <t>Medicare</t>
        </is>
      </c>
      <c r="D273" t="inlineStr">
        <is>
          <t>Paid</t>
        </is>
      </c>
      <c r="E273" s="31" t="n">
        <v>45948</v>
      </c>
      <c r="F273" s="31" t="n">
        <v>45954</v>
      </c>
      <c r="G273" s="31" t="n">
        <v>45976</v>
      </c>
      <c r="H273" s="33" t="n"/>
    </row>
    <row r="274">
      <c r="A274" t="inlineStr">
        <is>
          <t>CLM519228</t>
        </is>
      </c>
      <c r="B274" t="inlineStr">
        <is>
          <t>ENC119228</t>
        </is>
      </c>
      <c r="C274" t="inlineStr">
        <is>
          <t>Medicare</t>
        </is>
      </c>
      <c r="D274" t="inlineStr">
        <is>
          <t>Paid</t>
        </is>
      </c>
      <c r="E274" s="31" t="n">
        <v>45948</v>
      </c>
      <c r="F274" s="31" t="n">
        <v>45952</v>
      </c>
      <c r="G274" s="31" t="n">
        <v>45965</v>
      </c>
      <c r="H274" s="33" t="n"/>
    </row>
    <row r="275">
      <c r="A275" t="inlineStr">
        <is>
          <t>CLM519251</t>
        </is>
      </c>
      <c r="B275" t="inlineStr">
        <is>
          <t>ENC119251</t>
        </is>
      </c>
      <c r="C275" t="inlineStr">
        <is>
          <t>Medicare</t>
        </is>
      </c>
      <c r="D275" t="inlineStr">
        <is>
          <t>Paid</t>
        </is>
      </c>
      <c r="E275" s="31" t="n">
        <v>45948</v>
      </c>
      <c r="F275" s="31" t="n">
        <v>45953</v>
      </c>
      <c r="G275" s="31" t="n">
        <v>45968</v>
      </c>
      <c r="H275" s="33" t="n"/>
    </row>
    <row r="276">
      <c r="A276" t="inlineStr">
        <is>
          <t>CLM519172</t>
        </is>
      </c>
      <c r="B276" t="inlineStr">
        <is>
          <t>ENC119172</t>
        </is>
      </c>
      <c r="C276" t="inlineStr">
        <is>
          <t>State Medicaid</t>
        </is>
      </c>
      <c r="D276" t="inlineStr">
        <is>
          <t>Paid</t>
        </is>
      </c>
      <c r="E276" s="31" t="n">
        <v>45951</v>
      </c>
      <c r="F276" s="31" t="n">
        <v>45952</v>
      </c>
      <c r="G276" s="31" t="n">
        <v>45971</v>
      </c>
      <c r="H276" s="33" t="n"/>
    </row>
    <row r="277">
      <c r="A277" t="inlineStr">
        <is>
          <t>CLM519388</t>
        </is>
      </c>
      <c r="B277" t="inlineStr">
        <is>
          <t>ENC119388</t>
        </is>
      </c>
      <c r="C277" t="inlineStr">
        <is>
          <t>Silverline Medicare Advantage</t>
        </is>
      </c>
      <c r="D277" t="inlineStr">
        <is>
          <t>Paid</t>
        </is>
      </c>
      <c r="E277" s="31" t="n">
        <v>45951</v>
      </c>
      <c r="F277" s="31" t="n">
        <v>45953</v>
      </c>
      <c r="G277" s="31" t="n">
        <v>45985</v>
      </c>
      <c r="H277" s="33" t="n"/>
    </row>
    <row r="278">
      <c r="A278" t="inlineStr">
        <is>
          <t>CLM519404</t>
        </is>
      </c>
      <c r="B278" t="inlineStr">
        <is>
          <t>ENC119404</t>
        </is>
      </c>
      <c r="C278" t="inlineStr">
        <is>
          <t>Silverline Medicare Advantage</t>
        </is>
      </c>
      <c r="D278" t="inlineStr">
        <is>
          <t>Appealed</t>
        </is>
      </c>
      <c r="E278" s="31" t="n">
        <v>45951</v>
      </c>
      <c r="F278" s="31" t="n">
        <v>45953</v>
      </c>
      <c r="H278" s="33" t="n"/>
    </row>
    <row r="279">
      <c r="A279" t="inlineStr">
        <is>
          <t>CLM519512</t>
        </is>
      </c>
      <c r="B279" t="inlineStr">
        <is>
          <t>ENC119512</t>
        </is>
      </c>
      <c r="C279" t="inlineStr">
        <is>
          <t>State Medicaid</t>
        </is>
      </c>
      <c r="D279" t="inlineStr">
        <is>
          <t>Paid</t>
        </is>
      </c>
      <c r="E279" s="31" t="n">
        <v>45955</v>
      </c>
      <c r="F279" s="31" t="n">
        <v>45964</v>
      </c>
      <c r="G279" s="31" t="n">
        <v>46011</v>
      </c>
      <c r="H279" s="33" t="n"/>
    </row>
    <row r="280">
      <c r="A280" t="inlineStr">
        <is>
          <t>CLM519574</t>
        </is>
      </c>
      <c r="B280" t="inlineStr">
        <is>
          <t>ENC119574</t>
        </is>
      </c>
      <c r="C280" t="inlineStr">
        <is>
          <t>Medicare</t>
        </is>
      </c>
      <c r="D280" t="inlineStr">
        <is>
          <t>Paid</t>
        </is>
      </c>
      <c r="E280" s="31" t="n">
        <v>45956</v>
      </c>
      <c r="F280" s="31" t="n">
        <v>45960</v>
      </c>
      <c r="G280" s="31" t="n">
        <v>45982</v>
      </c>
      <c r="H280" s="33" t="n"/>
    </row>
    <row r="281">
      <c r="A281" t="inlineStr">
        <is>
          <t>CLM519522</t>
        </is>
      </c>
      <c r="B281" t="inlineStr">
        <is>
          <t>ENC119522</t>
        </is>
      </c>
      <c r="C281" t="inlineStr">
        <is>
          <t>Silverline Medicare Advantage</t>
        </is>
      </c>
      <c r="D281" t="inlineStr">
        <is>
          <t>Denied</t>
        </is>
      </c>
      <c r="E281" s="31" t="n">
        <v>45957</v>
      </c>
      <c r="F281" s="31" t="n">
        <v>45959</v>
      </c>
      <c r="H281" s="33" t="n"/>
    </row>
    <row r="282">
      <c r="A282" t="inlineStr">
        <is>
          <t>CLM519596</t>
        </is>
      </c>
      <c r="B282" t="inlineStr">
        <is>
          <t>ENC119596</t>
        </is>
      </c>
      <c r="C282" t="inlineStr">
        <is>
          <t>Medicare</t>
        </is>
      </c>
      <c r="D282" t="inlineStr">
        <is>
          <t>Paid</t>
        </is>
      </c>
      <c r="E282" s="31" t="n">
        <v>45957</v>
      </c>
      <c r="F282" s="31" t="n">
        <v>45966</v>
      </c>
      <c r="G282" s="31" t="n">
        <v>45980</v>
      </c>
      <c r="H282" s="33" t="n"/>
    </row>
    <row r="283">
      <c r="A283" t="inlineStr">
        <is>
          <t>CLM519578</t>
        </is>
      </c>
      <c r="B283" t="inlineStr">
        <is>
          <t>ENC119578</t>
        </is>
      </c>
      <c r="C283" t="inlineStr">
        <is>
          <t>Evergreen Mutual Insurance</t>
        </is>
      </c>
      <c r="D283" t="inlineStr">
        <is>
          <t>Paid</t>
        </is>
      </c>
      <c r="E283" s="31" t="n">
        <v>45958</v>
      </c>
      <c r="F283" s="31" t="n">
        <v>45962</v>
      </c>
      <c r="G283" s="31" t="n">
        <v>45996</v>
      </c>
      <c r="H283" s="33" t="n"/>
    </row>
    <row r="284">
      <c r="A284" t="inlineStr">
        <is>
          <t>CLM519583</t>
        </is>
      </c>
      <c r="B284" t="inlineStr">
        <is>
          <t>ENC119583</t>
        </is>
      </c>
      <c r="C284" t="inlineStr">
        <is>
          <t>State Medicaid</t>
        </is>
      </c>
      <c r="D284" t="inlineStr">
        <is>
          <t>Paid</t>
        </is>
      </c>
      <c r="E284" s="31" t="n">
        <v>45958</v>
      </c>
      <c r="F284" s="31" t="n">
        <v>45962</v>
      </c>
      <c r="G284" s="31" t="n">
        <v>46001</v>
      </c>
      <c r="H284" s="33" t="n"/>
    </row>
    <row r="285">
      <c r="A285" t="inlineStr">
        <is>
          <t>CLM519601</t>
        </is>
      </c>
      <c r="B285" t="inlineStr">
        <is>
          <t>ENC119601</t>
        </is>
      </c>
      <c r="C285" t="inlineStr">
        <is>
          <t>Keystone Health Partners</t>
        </is>
      </c>
      <c r="D285" t="inlineStr">
        <is>
          <t>Paid</t>
        </is>
      </c>
      <c r="E285" s="31" t="n">
        <v>45958</v>
      </c>
      <c r="F285" s="31" t="n">
        <v>45973</v>
      </c>
      <c r="G285" s="31" t="n">
        <v>45988</v>
      </c>
      <c r="H285" s="33" t="n"/>
    </row>
    <row r="286">
      <c r="A286" t="inlineStr">
        <is>
          <t>CLM519590</t>
        </is>
      </c>
      <c r="B286" t="inlineStr">
        <is>
          <t>ENC119590</t>
        </is>
      </c>
      <c r="C286" t="inlineStr">
        <is>
          <t>Keystone Health Partners</t>
        </is>
      </c>
      <c r="D286" t="inlineStr">
        <is>
          <t>Paid</t>
        </is>
      </c>
      <c r="E286" s="31" t="n">
        <v>45959</v>
      </c>
      <c r="F286" s="31" t="n">
        <v>45962</v>
      </c>
      <c r="G286" s="31" t="n">
        <v>45996</v>
      </c>
      <c r="H286" s="33" t="n"/>
    </row>
    <row r="287">
      <c r="A287" t="inlineStr">
        <is>
          <t>CLM519666</t>
        </is>
      </c>
      <c r="B287" t="inlineStr">
        <is>
          <t>ENC119666</t>
        </is>
      </c>
      <c r="C287" t="inlineStr">
        <is>
          <t>Keystone Health Partners</t>
        </is>
      </c>
      <c r="D287" t="inlineStr">
        <is>
          <t>Paid</t>
        </is>
      </c>
      <c r="E287" s="31" t="n">
        <v>45960</v>
      </c>
      <c r="F287" s="31" t="n">
        <v>45965</v>
      </c>
      <c r="G287" s="31" t="n">
        <v>45994</v>
      </c>
      <c r="H287" s="33" t="n"/>
    </row>
    <row r="288">
      <c r="A288" t="inlineStr">
        <is>
          <t>CLM519587</t>
        </is>
      </c>
      <c r="B288" t="inlineStr">
        <is>
          <t>ENC119587</t>
        </is>
      </c>
      <c r="C288" t="inlineStr">
        <is>
          <t>Medicare</t>
        </is>
      </c>
      <c r="D288" t="inlineStr">
        <is>
          <t>Paid</t>
        </is>
      </c>
      <c r="E288" s="31" t="n">
        <v>45961</v>
      </c>
      <c r="F288" s="31" t="n">
        <v>45964</v>
      </c>
      <c r="G288" s="31" t="n">
        <v>45977</v>
      </c>
      <c r="H288" s="33" t="n"/>
    </row>
    <row r="289">
      <c r="A289" t="inlineStr">
        <is>
          <t>CLM519642</t>
        </is>
      </c>
      <c r="B289" t="inlineStr">
        <is>
          <t>ENC119642</t>
        </is>
      </c>
      <c r="C289" t="inlineStr">
        <is>
          <t>Keystone Health Partners</t>
        </is>
      </c>
      <c r="D289" t="inlineStr">
        <is>
          <t>Paid</t>
        </is>
      </c>
      <c r="E289" s="31" t="n">
        <v>45961</v>
      </c>
      <c r="F289" s="31" t="n">
        <v>45962</v>
      </c>
      <c r="G289" s="31" t="n">
        <v>45988</v>
      </c>
      <c r="H289" s="33" t="n"/>
    </row>
    <row r="290">
      <c r="A290" t="inlineStr">
        <is>
          <t>CLM519687</t>
        </is>
      </c>
      <c r="B290" t="inlineStr">
        <is>
          <t>ENC119687</t>
        </is>
      </c>
      <c r="C290" t="inlineStr">
        <is>
          <t>Silverline Medicare Advantage</t>
        </is>
      </c>
      <c r="D290" t="inlineStr">
        <is>
          <t>Partially Paid</t>
        </is>
      </c>
      <c r="E290" s="31" t="n">
        <v>45961</v>
      </c>
      <c r="F290" s="31" t="n">
        <v>45969</v>
      </c>
      <c r="G290" s="31" t="n">
        <v>46000</v>
      </c>
      <c r="H290" s="33" t="n"/>
    </row>
    <row r="291">
      <c r="A291" t="inlineStr">
        <is>
          <t>CLM519589</t>
        </is>
      </c>
      <c r="B291" t="inlineStr">
        <is>
          <t>ENC119589</t>
        </is>
      </c>
      <c r="C291" t="inlineStr">
        <is>
          <t>State Medicaid</t>
        </is>
      </c>
      <c r="D291" t="inlineStr">
        <is>
          <t>Paid</t>
        </is>
      </c>
      <c r="E291" s="31" t="n">
        <v>45962</v>
      </c>
      <c r="F291" s="31" t="n">
        <v>45964</v>
      </c>
      <c r="G291" s="31" t="n">
        <v>45993</v>
      </c>
      <c r="H291" s="33" t="n"/>
    </row>
    <row r="292">
      <c r="A292" t="inlineStr">
        <is>
          <t>CLM519652</t>
        </is>
      </c>
      <c r="B292" t="inlineStr">
        <is>
          <t>ENC119652</t>
        </is>
      </c>
      <c r="C292" t="inlineStr">
        <is>
          <t>State Medicaid</t>
        </is>
      </c>
      <c r="D292" t="inlineStr">
        <is>
          <t>Denied</t>
        </is>
      </c>
      <c r="E292" s="31" t="n">
        <v>45962</v>
      </c>
      <c r="F292" s="31" t="n">
        <v>45966</v>
      </c>
      <c r="H292" s="33" t="n"/>
    </row>
    <row r="293">
      <c r="A293" t="inlineStr">
        <is>
          <t>CLM519711</t>
        </is>
      </c>
      <c r="B293" t="inlineStr">
        <is>
          <t>ENC119711</t>
        </is>
      </c>
      <c r="C293" t="inlineStr">
        <is>
          <t>Medicare</t>
        </is>
      </c>
      <c r="D293" t="inlineStr">
        <is>
          <t>Paid</t>
        </is>
      </c>
      <c r="E293" s="31" t="n">
        <v>45962</v>
      </c>
      <c r="F293" s="31" t="n">
        <v>45967</v>
      </c>
      <c r="G293" s="31" t="n">
        <v>45985</v>
      </c>
      <c r="H293" s="33" t="n"/>
    </row>
    <row r="294">
      <c r="A294" t="inlineStr">
        <is>
          <t>CLM519654</t>
        </is>
      </c>
      <c r="B294" t="inlineStr">
        <is>
          <t>ENC119654</t>
        </is>
      </c>
      <c r="C294" t="inlineStr">
        <is>
          <t>Keystone Health Partners</t>
        </is>
      </c>
      <c r="D294" t="inlineStr">
        <is>
          <t>Denied</t>
        </is>
      </c>
      <c r="E294" s="31" t="n">
        <v>45964</v>
      </c>
      <c r="F294" s="31" t="n">
        <v>45973</v>
      </c>
      <c r="H294" s="33" t="n"/>
    </row>
    <row r="295">
      <c r="A295" t="inlineStr">
        <is>
          <t>CLM519764</t>
        </is>
      </c>
      <c r="B295" t="inlineStr">
        <is>
          <t>ENC119764</t>
        </is>
      </c>
      <c r="C295" t="inlineStr">
        <is>
          <t>State Medicaid</t>
        </is>
      </c>
      <c r="D295" t="inlineStr">
        <is>
          <t>Denied</t>
        </is>
      </c>
      <c r="E295" s="31" t="n">
        <v>45964</v>
      </c>
      <c r="F295" s="31" t="n">
        <v>45983</v>
      </c>
      <c r="H295" s="33" t="n"/>
    </row>
    <row r="296">
      <c r="A296" t="inlineStr">
        <is>
          <t>CLM519518</t>
        </is>
      </c>
      <c r="B296" t="inlineStr">
        <is>
          <t>ENC119518</t>
        </is>
      </c>
      <c r="C296" t="inlineStr">
        <is>
          <t>State Medicaid</t>
        </is>
      </c>
      <c r="D296" t="inlineStr">
        <is>
          <t>Denied</t>
        </is>
      </c>
      <c r="E296" s="31" t="n">
        <v>45965</v>
      </c>
      <c r="F296" s="31" t="n">
        <v>45969</v>
      </c>
      <c r="H296" s="33" t="n"/>
    </row>
    <row r="297">
      <c r="A297" t="inlineStr">
        <is>
          <t>CLM519645</t>
        </is>
      </c>
      <c r="B297" t="inlineStr">
        <is>
          <t>ENC119645</t>
        </is>
      </c>
      <c r="C297" t="inlineStr">
        <is>
          <t>Silverline Medicare Advantage</t>
        </is>
      </c>
      <c r="D297" t="inlineStr">
        <is>
          <t>Paid</t>
        </is>
      </c>
      <c r="E297" s="31" t="n">
        <v>45965</v>
      </c>
      <c r="F297" s="31" t="n">
        <v>45976</v>
      </c>
      <c r="G297" s="31" t="n">
        <v>46001</v>
      </c>
      <c r="H297" s="33" t="n"/>
    </row>
    <row r="298">
      <c r="A298" t="inlineStr">
        <is>
          <t>CLM519783</t>
        </is>
      </c>
      <c r="B298" t="inlineStr">
        <is>
          <t>ENC119783</t>
        </is>
      </c>
      <c r="C298" t="inlineStr">
        <is>
          <t>Silverline Medicare Advantage</t>
        </is>
      </c>
      <c r="D298" t="inlineStr">
        <is>
          <t>Paid</t>
        </is>
      </c>
      <c r="E298" s="31" t="n">
        <v>45966</v>
      </c>
      <c r="F298" s="31" t="n">
        <v>45970</v>
      </c>
      <c r="G298" s="31" t="n">
        <v>46018</v>
      </c>
      <c r="H298" s="33" t="n"/>
    </row>
    <row r="299">
      <c r="A299" t="inlineStr">
        <is>
          <t>CLM519810</t>
        </is>
      </c>
      <c r="B299" t="inlineStr">
        <is>
          <t>ENC119810</t>
        </is>
      </c>
      <c r="C299" t="inlineStr">
        <is>
          <t>State Medicaid</t>
        </is>
      </c>
      <c r="D299" t="inlineStr">
        <is>
          <t>Paid</t>
        </is>
      </c>
      <c r="E299" s="31" t="n">
        <v>45966</v>
      </c>
      <c r="F299" s="31" t="n">
        <v>45969</v>
      </c>
      <c r="G299" s="31" t="n">
        <v>46020</v>
      </c>
      <c r="H299" s="33" t="n"/>
    </row>
    <row r="300">
      <c r="A300" t="inlineStr">
        <is>
          <t>CLM519831</t>
        </is>
      </c>
      <c r="B300" t="inlineStr">
        <is>
          <t>ENC119831</t>
        </is>
      </c>
      <c r="C300" t="inlineStr">
        <is>
          <t>Evergreen Mutual Insurance</t>
        </is>
      </c>
      <c r="D300" t="inlineStr">
        <is>
          <t>Paid</t>
        </is>
      </c>
      <c r="E300" s="31" t="n">
        <v>45966</v>
      </c>
      <c r="F300" s="31" t="n">
        <v>45978</v>
      </c>
      <c r="G300" s="31" t="n">
        <v>46001</v>
      </c>
      <c r="H300" s="33" t="n"/>
    </row>
    <row r="301">
      <c r="A301" t="inlineStr">
        <is>
          <t>CLM519691</t>
        </is>
      </c>
      <c r="B301" t="inlineStr">
        <is>
          <t>ENC119691</t>
        </is>
      </c>
      <c r="C301" t="inlineStr">
        <is>
          <t>Medicare</t>
        </is>
      </c>
      <c r="D301" t="inlineStr">
        <is>
          <t>Paid</t>
        </is>
      </c>
      <c r="E301" s="31" t="n">
        <v>45967</v>
      </c>
      <c r="F301" s="31" t="n">
        <v>45971</v>
      </c>
      <c r="G301" s="31" t="n">
        <v>45987</v>
      </c>
      <c r="H301" s="33" t="n"/>
    </row>
    <row r="302">
      <c r="A302" t="inlineStr">
        <is>
          <t>CLM519801</t>
        </is>
      </c>
      <c r="B302" t="inlineStr">
        <is>
          <t>ENC119801</t>
        </is>
      </c>
      <c r="C302" t="inlineStr">
        <is>
          <t>Medicare</t>
        </is>
      </c>
      <c r="D302" t="inlineStr">
        <is>
          <t>Paid</t>
        </is>
      </c>
      <c r="E302" s="31" t="n">
        <v>45967</v>
      </c>
      <c r="F302" s="31" t="n">
        <v>45973</v>
      </c>
      <c r="G302" s="31" t="n">
        <v>45987</v>
      </c>
      <c r="H302" s="33" t="n"/>
    </row>
    <row r="303">
      <c r="A303" t="inlineStr">
        <is>
          <t>CLM519926</t>
        </is>
      </c>
      <c r="B303" t="inlineStr">
        <is>
          <t>ENC119926</t>
        </is>
      </c>
      <c r="C303" t="inlineStr">
        <is>
          <t>Medicare</t>
        </is>
      </c>
      <c r="D303" t="inlineStr">
        <is>
          <t>Denied</t>
        </is>
      </c>
      <c r="E303" s="31" t="n">
        <v>45968</v>
      </c>
      <c r="F303" s="31" t="n">
        <v>45977</v>
      </c>
      <c r="H303" s="33" t="n"/>
    </row>
    <row r="304">
      <c r="A304" t="inlineStr">
        <is>
          <t>CLM519853</t>
        </is>
      </c>
      <c r="B304" t="inlineStr">
        <is>
          <t>ENC119853</t>
        </is>
      </c>
      <c r="C304" t="inlineStr">
        <is>
          <t>Keystone Health Partners</t>
        </is>
      </c>
      <c r="D304" t="inlineStr">
        <is>
          <t>Paid</t>
        </is>
      </c>
      <c r="E304" s="31" t="n">
        <v>45970</v>
      </c>
      <c r="F304" s="31" t="n">
        <v>45973</v>
      </c>
      <c r="G304" s="31" t="n">
        <v>46004</v>
      </c>
      <c r="H304" s="33" t="n"/>
    </row>
    <row r="305">
      <c r="A305" t="inlineStr">
        <is>
          <t>CLM519955</t>
        </is>
      </c>
      <c r="B305" t="inlineStr">
        <is>
          <t>ENC119955</t>
        </is>
      </c>
      <c r="C305" t="inlineStr">
        <is>
          <t>Medicare</t>
        </is>
      </c>
      <c r="D305" t="inlineStr">
        <is>
          <t>Paid</t>
        </is>
      </c>
      <c r="E305" s="31" t="n">
        <v>45970</v>
      </c>
      <c r="F305" s="31" t="n">
        <v>45975</v>
      </c>
      <c r="G305" s="31" t="n">
        <v>46000</v>
      </c>
      <c r="H305" s="33" t="n"/>
    </row>
    <row r="306">
      <c r="A306" t="inlineStr">
        <is>
          <t>CLM519982</t>
        </is>
      </c>
      <c r="B306" t="inlineStr">
        <is>
          <t>ENC119982</t>
        </is>
      </c>
      <c r="C306" t="inlineStr">
        <is>
          <t>Keystone Health Partners</t>
        </is>
      </c>
      <c r="D306" t="inlineStr">
        <is>
          <t>Partially Paid</t>
        </is>
      </c>
      <c r="E306" s="31" t="n">
        <v>45971</v>
      </c>
      <c r="F306" s="31" t="n">
        <v>45975</v>
      </c>
      <c r="G306" s="31" t="n">
        <v>45997</v>
      </c>
      <c r="H306" s="33" t="n"/>
    </row>
    <row r="307">
      <c r="A307" t="inlineStr">
        <is>
          <t>CLM520056</t>
        </is>
      </c>
      <c r="B307" t="inlineStr">
        <is>
          <t>ENC120056</t>
        </is>
      </c>
      <c r="C307" t="inlineStr">
        <is>
          <t>Silverline Medicare Advantage</t>
        </is>
      </c>
      <c r="D307" t="inlineStr">
        <is>
          <t>Pending</t>
        </is>
      </c>
      <c r="E307" s="31" t="n">
        <v>45976</v>
      </c>
      <c r="F307" s="31" t="n">
        <v>45980</v>
      </c>
      <c r="H307" s="33" t="n"/>
    </row>
    <row r="308">
      <c r="A308" t="inlineStr">
        <is>
          <t>CLM520142</t>
        </is>
      </c>
      <c r="B308" t="inlineStr">
        <is>
          <t>ENC120142</t>
        </is>
      </c>
      <c r="C308" t="inlineStr">
        <is>
          <t>Evergreen Mutual Insurance</t>
        </is>
      </c>
      <c r="D308" t="inlineStr">
        <is>
          <t>Paid</t>
        </is>
      </c>
      <c r="E308" s="31" t="n">
        <v>45976</v>
      </c>
      <c r="F308" s="31" t="n">
        <v>45981</v>
      </c>
      <c r="G308" s="31" t="n">
        <v>46021</v>
      </c>
      <c r="H308" s="33" t="n"/>
    </row>
    <row r="309">
      <c r="A309" t="inlineStr">
        <is>
          <t>CLM520181</t>
        </is>
      </c>
      <c r="B309" t="inlineStr">
        <is>
          <t>ENC120181</t>
        </is>
      </c>
      <c r="C309" t="inlineStr">
        <is>
          <t>Keystone Health Partners</t>
        </is>
      </c>
      <c r="D309" t="inlineStr">
        <is>
          <t>Paid</t>
        </is>
      </c>
      <c r="E309" s="31" t="n">
        <v>45977</v>
      </c>
      <c r="F309" s="31" t="n">
        <v>45980</v>
      </c>
      <c r="G309" s="31" t="n">
        <v>45992</v>
      </c>
      <c r="H309" s="33" t="n"/>
    </row>
    <row r="310">
      <c r="A310" t="inlineStr">
        <is>
          <t>CLM520250</t>
        </is>
      </c>
      <c r="B310" t="inlineStr">
        <is>
          <t>ENC120250</t>
        </is>
      </c>
      <c r="C310" t="inlineStr">
        <is>
          <t>Summit Choice PPO</t>
        </is>
      </c>
      <c r="D310" t="inlineStr">
        <is>
          <t>Paid</t>
        </is>
      </c>
      <c r="E310" s="31" t="n">
        <v>45980</v>
      </c>
      <c r="F310" s="31" t="n">
        <v>45983</v>
      </c>
      <c r="G310" s="31" t="n">
        <v>46003</v>
      </c>
      <c r="H310" s="33" t="n"/>
    </row>
    <row r="311">
      <c r="A311" t="inlineStr">
        <is>
          <t>CLM520248</t>
        </is>
      </c>
      <c r="B311" t="inlineStr">
        <is>
          <t>ENC120248</t>
        </is>
      </c>
      <c r="C311" t="inlineStr">
        <is>
          <t>Evergreen Mutual Insurance</t>
        </is>
      </c>
      <c r="D311" t="inlineStr">
        <is>
          <t>Denied</t>
        </is>
      </c>
      <c r="E311" s="31" t="n">
        <v>45981</v>
      </c>
      <c r="F311" s="31" t="n">
        <v>45982</v>
      </c>
      <c r="H311" s="33" t="n"/>
    </row>
    <row r="312">
      <c r="A312" t="inlineStr">
        <is>
          <t>CLM520304</t>
        </is>
      </c>
      <c r="B312" t="inlineStr">
        <is>
          <t>ENC120304</t>
        </is>
      </c>
      <c r="C312" t="inlineStr">
        <is>
          <t>State Medicaid</t>
        </is>
      </c>
      <c r="D312" t="inlineStr">
        <is>
          <t>Denied</t>
        </is>
      </c>
      <c r="E312" s="31" t="n">
        <v>45981</v>
      </c>
      <c r="F312" s="31" t="n">
        <v>45987</v>
      </c>
      <c r="H312" s="33" t="n"/>
    </row>
    <row r="313">
      <c r="A313" t="inlineStr">
        <is>
          <t>CLM520370</t>
        </is>
      </c>
      <c r="B313" t="inlineStr">
        <is>
          <t>ENC120370</t>
        </is>
      </c>
      <c r="C313" t="inlineStr">
        <is>
          <t>State Medicaid</t>
        </is>
      </c>
      <c r="D313" t="inlineStr">
        <is>
          <t>Paid</t>
        </is>
      </c>
      <c r="E313" s="31" t="n">
        <v>45983</v>
      </c>
      <c r="F313" s="31" t="n">
        <v>45986</v>
      </c>
      <c r="G313" s="31" t="n">
        <v>46019</v>
      </c>
      <c r="H313" s="33" t="n"/>
    </row>
    <row r="314">
      <c r="A314" t="inlineStr">
        <is>
          <t>CLM520175</t>
        </is>
      </c>
      <c r="B314" t="inlineStr">
        <is>
          <t>ENC120175</t>
        </is>
      </c>
      <c r="C314" t="inlineStr">
        <is>
          <t>Silverline Medicare Advantage</t>
        </is>
      </c>
      <c r="D314" t="inlineStr">
        <is>
          <t>Pending</t>
        </is>
      </c>
      <c r="E314" s="31" t="n">
        <v>45984</v>
      </c>
      <c r="F314" s="31" t="n">
        <v>45985</v>
      </c>
      <c r="H314" s="33" t="n"/>
    </row>
    <row r="315">
      <c r="A315" t="inlineStr">
        <is>
          <t>CLM520232</t>
        </is>
      </c>
      <c r="B315" t="inlineStr">
        <is>
          <t>ENC120232</t>
        </is>
      </c>
      <c r="C315" t="inlineStr">
        <is>
          <t>Silverline Medicare Advantage</t>
        </is>
      </c>
      <c r="D315" t="inlineStr">
        <is>
          <t>Paid</t>
        </is>
      </c>
      <c r="E315" s="31" t="n">
        <v>45984</v>
      </c>
      <c r="F315" s="31" t="n">
        <v>45987</v>
      </c>
      <c r="G315" s="31" t="n">
        <v>46004</v>
      </c>
      <c r="H315" s="33" t="n"/>
    </row>
    <row r="316">
      <c r="A316" t="inlineStr">
        <is>
          <t>CLM520400</t>
        </is>
      </c>
      <c r="B316" t="inlineStr">
        <is>
          <t>ENC120400</t>
        </is>
      </c>
      <c r="C316" t="inlineStr">
        <is>
          <t>Silverline Medicare Advantage</t>
        </is>
      </c>
      <c r="D316" t="inlineStr">
        <is>
          <t>Paid</t>
        </is>
      </c>
      <c r="E316" s="31" t="n">
        <v>45984</v>
      </c>
      <c r="F316" s="31" t="n">
        <v>45987</v>
      </c>
      <c r="G316" s="31" t="n">
        <v>46010</v>
      </c>
      <c r="H316" s="33" t="n"/>
    </row>
    <row r="317">
      <c r="A317" t="inlineStr">
        <is>
          <t>CLM520359</t>
        </is>
      </c>
      <c r="B317" t="inlineStr">
        <is>
          <t>ENC120359</t>
        </is>
      </c>
      <c r="C317" t="inlineStr">
        <is>
          <t>Evergreen Mutual Insurance</t>
        </is>
      </c>
      <c r="D317" t="inlineStr">
        <is>
          <t>Paid</t>
        </is>
      </c>
      <c r="E317" s="31" t="n">
        <v>45985</v>
      </c>
      <c r="F317" s="31" t="n">
        <v>45994</v>
      </c>
      <c r="G317" s="31" t="n">
        <v>46021</v>
      </c>
      <c r="H317" s="33" t="n"/>
    </row>
    <row r="318">
      <c r="A318" t="inlineStr">
        <is>
          <t>CLM520407</t>
        </is>
      </c>
      <c r="B318" t="inlineStr">
        <is>
          <t>ENC120407</t>
        </is>
      </c>
      <c r="C318" t="inlineStr">
        <is>
          <t>Evergreen Mutual Insurance</t>
        </is>
      </c>
      <c r="D318" t="inlineStr">
        <is>
          <t>Pending</t>
        </is>
      </c>
      <c r="E318" s="31" t="n">
        <v>45985</v>
      </c>
      <c r="F318" s="31" t="n">
        <v>45989</v>
      </c>
      <c r="H318" s="33" t="n"/>
    </row>
    <row r="319">
      <c r="A319" t="inlineStr">
        <is>
          <t>CLM520371</t>
        </is>
      </c>
      <c r="B319" t="inlineStr">
        <is>
          <t>ENC120371</t>
        </is>
      </c>
      <c r="C319" t="inlineStr">
        <is>
          <t>Self-Pay</t>
        </is>
      </c>
      <c r="D319" t="inlineStr">
        <is>
          <t>Pending</t>
        </is>
      </c>
      <c r="E319" s="31" t="n">
        <v>45986</v>
      </c>
      <c r="F319" s="31" t="n">
        <v>45990</v>
      </c>
      <c r="H319" s="33" t="n"/>
    </row>
    <row r="320">
      <c r="A320" t="inlineStr">
        <is>
          <t>CLM520516</t>
        </is>
      </c>
      <c r="B320" t="inlineStr">
        <is>
          <t>ENC120516</t>
        </is>
      </c>
      <c r="C320" t="inlineStr">
        <is>
          <t>Medicare</t>
        </is>
      </c>
      <c r="D320" t="inlineStr">
        <is>
          <t>Paid</t>
        </is>
      </c>
      <c r="E320" s="31" t="n">
        <v>45988</v>
      </c>
      <c r="F320" s="31" t="n">
        <v>45991</v>
      </c>
      <c r="G320" s="31" t="n">
        <v>46004</v>
      </c>
      <c r="H320" s="33" t="n"/>
    </row>
    <row r="321">
      <c r="A321" t="inlineStr">
        <is>
          <t>CLM520505</t>
        </is>
      </c>
      <c r="B321" t="inlineStr">
        <is>
          <t>ENC120505</t>
        </is>
      </c>
      <c r="C321" t="inlineStr">
        <is>
          <t>Evergreen Mutual Insurance</t>
        </is>
      </c>
      <c r="D321" t="inlineStr">
        <is>
          <t>Denied</t>
        </is>
      </c>
      <c r="E321" s="31" t="n">
        <v>45989</v>
      </c>
      <c r="F321" s="31" t="n">
        <v>45990</v>
      </c>
      <c r="H321" s="33" t="n"/>
    </row>
    <row r="322">
      <c r="A322" t="inlineStr">
        <is>
          <t>CLM520520</t>
        </is>
      </c>
      <c r="B322" t="inlineStr">
        <is>
          <t>ENC120520</t>
        </is>
      </c>
      <c r="C322" t="inlineStr">
        <is>
          <t>State Medicaid</t>
        </is>
      </c>
      <c r="D322" t="inlineStr">
        <is>
          <t>Denied</t>
        </is>
      </c>
      <c r="E322" s="31" t="n">
        <v>45989</v>
      </c>
      <c r="F322" s="31" t="n">
        <v>45998</v>
      </c>
      <c r="H322" s="33" t="n"/>
    </row>
    <row r="323">
      <c r="A323" t="inlineStr">
        <is>
          <t>CLM520525</t>
        </is>
      </c>
      <c r="B323" t="inlineStr">
        <is>
          <t>ENC120525</t>
        </is>
      </c>
      <c r="C323" t="inlineStr">
        <is>
          <t>Medicare</t>
        </is>
      </c>
      <c r="D323" t="inlineStr">
        <is>
          <t>Denied</t>
        </is>
      </c>
      <c r="E323" s="31" t="n">
        <v>45990</v>
      </c>
      <c r="F323" s="31" t="n">
        <v>45995</v>
      </c>
      <c r="H323" s="33" t="n"/>
    </row>
    <row r="324">
      <c r="A324" t="inlineStr">
        <is>
          <t>CLM520492</t>
        </is>
      </c>
      <c r="B324" t="inlineStr">
        <is>
          <t>ENC120492</t>
        </is>
      </c>
      <c r="C324" t="inlineStr">
        <is>
          <t>Medicare</t>
        </is>
      </c>
      <c r="D324" t="inlineStr">
        <is>
          <t>Paid</t>
        </is>
      </c>
      <c r="E324" s="31" t="n">
        <v>45991</v>
      </c>
      <c r="F324" s="31" t="n">
        <v>45995</v>
      </c>
      <c r="G324" s="31" t="n">
        <v>46014</v>
      </c>
      <c r="H324" s="33" t="n"/>
    </row>
    <row r="325">
      <c r="A325" t="inlineStr">
        <is>
          <t>CLM520503</t>
        </is>
      </c>
      <c r="B325" t="inlineStr">
        <is>
          <t>ENC120503</t>
        </is>
      </c>
      <c r="C325" t="inlineStr">
        <is>
          <t>Self-Pay</t>
        </is>
      </c>
      <c r="D325" t="inlineStr">
        <is>
          <t>Pending</t>
        </is>
      </c>
      <c r="E325" s="31" t="n">
        <v>45991</v>
      </c>
      <c r="F325" s="31" t="n">
        <v>45996</v>
      </c>
      <c r="H325" s="33" t="n"/>
    </row>
    <row r="326">
      <c r="A326" t="inlineStr">
        <is>
          <t>CLM520645</t>
        </is>
      </c>
      <c r="B326" t="inlineStr">
        <is>
          <t>ENC120645</t>
        </is>
      </c>
      <c r="C326" t="inlineStr">
        <is>
          <t>Medicare</t>
        </is>
      </c>
      <c r="D326" t="inlineStr">
        <is>
          <t>Paid</t>
        </is>
      </c>
      <c r="E326" s="31" t="n">
        <v>45991</v>
      </c>
      <c r="F326" s="31" t="n">
        <v>45997</v>
      </c>
      <c r="G326" s="31" t="n">
        <v>46012</v>
      </c>
      <c r="H326" s="33" t="n"/>
    </row>
    <row r="327">
      <c r="A327" t="inlineStr">
        <is>
          <t>CLM520607</t>
        </is>
      </c>
      <c r="B327" t="inlineStr">
        <is>
          <t>ENC120607</t>
        </is>
      </c>
      <c r="C327" t="inlineStr">
        <is>
          <t>Self-Pay</t>
        </is>
      </c>
      <c r="D327" t="inlineStr">
        <is>
          <t>Pending</t>
        </is>
      </c>
      <c r="E327" s="31" t="n">
        <v>45992</v>
      </c>
      <c r="F327" s="31" t="n">
        <v>45997</v>
      </c>
      <c r="H327" s="33" t="n"/>
    </row>
    <row r="328">
      <c r="A328" t="inlineStr">
        <is>
          <t>CLM520667</t>
        </is>
      </c>
      <c r="B328" t="inlineStr">
        <is>
          <t>ENC120667</t>
        </is>
      </c>
      <c r="C328" t="inlineStr">
        <is>
          <t>Silverline Medicare Advantage</t>
        </is>
      </c>
      <c r="D328" t="inlineStr">
        <is>
          <t>Pending</t>
        </is>
      </c>
      <c r="E328" s="31" t="n">
        <v>45992</v>
      </c>
      <c r="F328" s="31" t="n">
        <v>45995</v>
      </c>
      <c r="H328" s="33" t="n"/>
    </row>
    <row r="329">
      <c r="A329" t="inlineStr">
        <is>
          <t>CLM520686</t>
        </is>
      </c>
      <c r="B329" t="inlineStr">
        <is>
          <t>ENC120686</t>
        </is>
      </c>
      <c r="C329" t="inlineStr">
        <is>
          <t>Summit Choice PPO</t>
        </is>
      </c>
      <c r="D329" t="inlineStr">
        <is>
          <t>Paid</t>
        </is>
      </c>
      <c r="E329" s="31" t="n">
        <v>45992</v>
      </c>
      <c r="F329" s="31" t="n">
        <v>45995</v>
      </c>
      <c r="G329" s="31" t="n">
        <v>46009</v>
      </c>
      <c r="H329" s="33" t="n"/>
    </row>
    <row r="330">
      <c r="A330" t="inlineStr">
        <is>
          <t>CLM520672</t>
        </is>
      </c>
      <c r="B330" t="inlineStr">
        <is>
          <t>ENC120672</t>
        </is>
      </c>
      <c r="C330" t="inlineStr">
        <is>
          <t>Evergreen Mutual Insurance</t>
        </is>
      </c>
      <c r="D330" t="inlineStr">
        <is>
          <t>Pending</t>
        </is>
      </c>
      <c r="E330" s="31" t="n">
        <v>45994</v>
      </c>
      <c r="F330" s="31" t="n">
        <v>45998</v>
      </c>
      <c r="H330" s="33" t="n"/>
    </row>
    <row r="331">
      <c r="A331" t="inlineStr">
        <is>
          <t>CLM520701</t>
        </is>
      </c>
      <c r="B331" t="inlineStr">
        <is>
          <t>ENC120701</t>
        </is>
      </c>
      <c r="C331" t="inlineStr">
        <is>
          <t>Silverline Medicare Advantage</t>
        </is>
      </c>
      <c r="D331" t="inlineStr">
        <is>
          <t>Pending</t>
        </is>
      </c>
      <c r="E331" s="31" t="n">
        <v>45994</v>
      </c>
      <c r="F331" s="31" t="n">
        <v>45996</v>
      </c>
      <c r="H331" s="33" t="n"/>
    </row>
    <row r="332">
      <c r="A332" t="inlineStr">
        <is>
          <t>CLM520612</t>
        </is>
      </c>
      <c r="B332" t="inlineStr">
        <is>
          <t>ENC120612</t>
        </is>
      </c>
      <c r="C332" t="inlineStr">
        <is>
          <t>Medicare</t>
        </is>
      </c>
      <c r="D332" t="inlineStr">
        <is>
          <t>Paid</t>
        </is>
      </c>
      <c r="E332" s="31" t="n">
        <v>45995</v>
      </c>
      <c r="F332" s="31" t="n">
        <v>45996</v>
      </c>
      <c r="G332" s="31" t="n">
        <v>46019</v>
      </c>
      <c r="H332" s="33" t="n"/>
    </row>
    <row r="333">
      <c r="A333" t="inlineStr">
        <is>
          <t>CLM520814</t>
        </is>
      </c>
      <c r="B333" t="inlineStr">
        <is>
          <t>ENC120814</t>
        </is>
      </c>
      <c r="C333" t="inlineStr">
        <is>
          <t>Medicare</t>
        </is>
      </c>
      <c r="D333" t="inlineStr">
        <is>
          <t>Paid</t>
        </is>
      </c>
      <c r="E333" s="31" t="n">
        <v>45996</v>
      </c>
      <c r="F333" s="31" t="n">
        <v>45997</v>
      </c>
      <c r="G333" s="31" t="n">
        <v>46008</v>
      </c>
      <c r="H333" s="33" t="n"/>
    </row>
    <row r="334">
      <c r="A334" t="inlineStr">
        <is>
          <t>CLM520841</t>
        </is>
      </c>
      <c r="B334" t="inlineStr">
        <is>
          <t>ENC120841</t>
        </is>
      </c>
      <c r="C334" t="inlineStr">
        <is>
          <t>Medicare</t>
        </is>
      </c>
      <c r="D334" t="inlineStr">
        <is>
          <t>Pending</t>
        </is>
      </c>
      <c r="E334" s="31" t="n">
        <v>45996</v>
      </c>
      <c r="F334" s="31" t="n">
        <v>46104</v>
      </c>
      <c r="H334" s="33" t="n"/>
    </row>
    <row r="335">
      <c r="A335" t="inlineStr">
        <is>
          <t>CLM520683</t>
        </is>
      </c>
      <c r="B335" t="inlineStr">
        <is>
          <t>ENC120683</t>
        </is>
      </c>
      <c r="C335" t="inlineStr">
        <is>
          <t>Silverline Medicare Advantage</t>
        </is>
      </c>
      <c r="D335" t="inlineStr">
        <is>
          <t>Pending</t>
        </is>
      </c>
      <c r="E335" s="31" t="n">
        <v>45997</v>
      </c>
      <c r="F335" s="31" t="n">
        <v>46001</v>
      </c>
      <c r="H335" s="33" t="n"/>
    </row>
    <row r="336">
      <c r="A336" t="inlineStr">
        <is>
          <t>CLM520648</t>
        </is>
      </c>
      <c r="B336" t="inlineStr">
        <is>
          <t>ENC120648</t>
        </is>
      </c>
      <c r="C336" t="inlineStr">
        <is>
          <t>Medicare</t>
        </is>
      </c>
      <c r="D336" t="inlineStr">
        <is>
          <t>Paid</t>
        </is>
      </c>
      <c r="E336" s="31" t="n">
        <v>45998</v>
      </c>
      <c r="F336" s="31" t="n">
        <v>46000</v>
      </c>
      <c r="G336" s="31" t="n">
        <v>46022</v>
      </c>
      <c r="H336" s="33" t="n"/>
    </row>
    <row r="337">
      <c r="A337" t="inlineStr">
        <is>
          <t>CLM520824</t>
        </is>
      </c>
      <c r="B337" t="inlineStr">
        <is>
          <t>ENC120824</t>
        </is>
      </c>
      <c r="C337" t="inlineStr">
        <is>
          <t>State Medicaid</t>
        </is>
      </c>
      <c r="D337" t="inlineStr">
        <is>
          <t>Denied</t>
        </is>
      </c>
      <c r="E337" s="31" t="n">
        <v>45998</v>
      </c>
      <c r="F337" s="31" t="n">
        <v>46001</v>
      </c>
      <c r="H337" s="33" t="n"/>
    </row>
    <row r="338">
      <c r="A338" t="inlineStr">
        <is>
          <t>CLM520825</t>
        </is>
      </c>
      <c r="B338" t="inlineStr">
        <is>
          <t>ENC120825</t>
        </is>
      </c>
      <c r="C338" t="inlineStr">
        <is>
          <t>Keystone Health Partners</t>
        </is>
      </c>
      <c r="D338" t="inlineStr">
        <is>
          <t>Pending</t>
        </is>
      </c>
      <c r="E338" s="31" t="n">
        <v>45998</v>
      </c>
      <c r="F338" s="31" t="n">
        <v>46000</v>
      </c>
      <c r="H338" s="33" t="n"/>
    </row>
    <row r="339">
      <c r="A339" t="inlineStr">
        <is>
          <t>CLM520970</t>
        </is>
      </c>
      <c r="B339" t="inlineStr">
        <is>
          <t>ENC120970</t>
        </is>
      </c>
      <c r="C339" t="inlineStr">
        <is>
          <t>Keystone Health Partners</t>
        </is>
      </c>
      <c r="D339" t="inlineStr">
        <is>
          <t>Pending</t>
        </is>
      </c>
      <c r="E339" s="31" t="n">
        <v>46000</v>
      </c>
      <c r="F339" s="31" t="n">
        <v>46010</v>
      </c>
      <c r="H339" s="33" t="n"/>
    </row>
    <row r="340">
      <c r="A340" t="inlineStr">
        <is>
          <t>CLM520880</t>
        </is>
      </c>
      <c r="B340" t="inlineStr">
        <is>
          <t>ENC120880</t>
        </is>
      </c>
      <c r="C340" t="inlineStr">
        <is>
          <t>Medicare</t>
        </is>
      </c>
      <c r="D340" t="inlineStr">
        <is>
          <t>Paid</t>
        </is>
      </c>
      <c r="E340" s="31" t="n">
        <v>46001</v>
      </c>
      <c r="F340" s="31" t="n">
        <v>46009</v>
      </c>
      <c r="G340" s="31" t="n">
        <v>46021</v>
      </c>
      <c r="H340" s="33" t="n"/>
    </row>
    <row r="341">
      <c r="A341" t="inlineStr">
        <is>
          <t>CLM520869</t>
        </is>
      </c>
      <c r="B341" t="inlineStr">
        <is>
          <t>ENC120869</t>
        </is>
      </c>
      <c r="C341" t="inlineStr">
        <is>
          <t>Evergreen Mutual Insurance</t>
        </is>
      </c>
      <c r="D341" t="inlineStr">
        <is>
          <t>Pending</t>
        </is>
      </c>
      <c r="E341" s="31" t="n">
        <v>46002</v>
      </c>
      <c r="F341" s="31" t="n">
        <v>46004</v>
      </c>
      <c r="H341" s="33" t="n"/>
    </row>
    <row r="342">
      <c r="A342" t="inlineStr">
        <is>
          <t>CLM521136</t>
        </is>
      </c>
      <c r="B342" t="inlineStr">
        <is>
          <t>ENC121136</t>
        </is>
      </c>
      <c r="C342" t="inlineStr">
        <is>
          <t>State Medicaid</t>
        </is>
      </c>
      <c r="D342" t="inlineStr">
        <is>
          <t>Pending</t>
        </is>
      </c>
      <c r="E342" s="31" t="n">
        <v>46003</v>
      </c>
      <c r="F342" s="31" t="n">
        <v>46135</v>
      </c>
      <c r="H342" s="33" t="n"/>
    </row>
    <row r="343">
      <c r="A343" t="inlineStr">
        <is>
          <t>CLM521084</t>
        </is>
      </c>
      <c r="B343" t="inlineStr">
        <is>
          <t>ENC121084</t>
        </is>
      </c>
      <c r="C343" t="inlineStr">
        <is>
          <t>Summit Choice PPO</t>
        </is>
      </c>
      <c r="D343" t="inlineStr">
        <is>
          <t>Pending</t>
        </is>
      </c>
      <c r="E343" s="31" t="n">
        <v>46004</v>
      </c>
      <c r="F343" s="31" t="n">
        <v>46014</v>
      </c>
      <c r="H343" s="33" t="n"/>
    </row>
    <row r="344">
      <c r="A344" t="inlineStr">
        <is>
          <t>CLM520957</t>
        </is>
      </c>
      <c r="B344" t="inlineStr">
        <is>
          <t>ENC120957</t>
        </is>
      </c>
      <c r="C344" t="inlineStr">
        <is>
          <t>Evergreen Mutual Insurance</t>
        </is>
      </c>
      <c r="D344" t="inlineStr">
        <is>
          <t>Pending</t>
        </is>
      </c>
      <c r="E344" s="31" t="n">
        <v>46005</v>
      </c>
      <c r="F344" s="31" t="n">
        <v>46007</v>
      </c>
      <c r="H344" s="33" t="n"/>
    </row>
    <row r="345">
      <c r="A345" t="inlineStr">
        <is>
          <t>CLM521031</t>
        </is>
      </c>
      <c r="B345" t="inlineStr">
        <is>
          <t>ENC121031</t>
        </is>
      </c>
      <c r="C345" t="inlineStr">
        <is>
          <t>Self-Pay</t>
        </is>
      </c>
      <c r="D345" t="inlineStr">
        <is>
          <t>Pending</t>
        </is>
      </c>
      <c r="E345" s="31" t="n">
        <v>46005</v>
      </c>
      <c r="F345" s="31" t="n">
        <v>46008</v>
      </c>
      <c r="H345" s="33" t="n"/>
    </row>
    <row r="346">
      <c r="A346" t="inlineStr">
        <is>
          <t>CLM521048</t>
        </is>
      </c>
      <c r="B346" t="inlineStr">
        <is>
          <t>ENC121048</t>
        </is>
      </c>
      <c r="C346" t="inlineStr">
        <is>
          <t>Medicare</t>
        </is>
      </c>
      <c r="D346" t="inlineStr">
        <is>
          <t>Denied</t>
        </is>
      </c>
      <c r="E346" s="31" t="n">
        <v>46005</v>
      </c>
      <c r="F346" s="31" t="n">
        <v>46015</v>
      </c>
      <c r="H346" s="33" t="n"/>
    </row>
    <row r="347">
      <c r="A347" t="inlineStr">
        <is>
          <t>CLM521089</t>
        </is>
      </c>
      <c r="B347" t="inlineStr">
        <is>
          <t>ENC121089</t>
        </is>
      </c>
      <c r="C347" t="inlineStr">
        <is>
          <t>Silverline Medicare Advantage</t>
        </is>
      </c>
      <c r="D347" t="inlineStr">
        <is>
          <t>Pending</t>
        </is>
      </c>
      <c r="E347" s="31" t="n">
        <v>46005</v>
      </c>
      <c r="F347" s="31" t="n">
        <v>46011</v>
      </c>
      <c r="H347" s="33" t="n"/>
    </row>
    <row r="348">
      <c r="A348" t="inlineStr">
        <is>
          <t>CLM520978</t>
        </is>
      </c>
      <c r="B348" t="inlineStr">
        <is>
          <t>ENC120978</t>
        </is>
      </c>
      <c r="C348" t="inlineStr">
        <is>
          <t>Evergreen Mutual Insurance</t>
        </is>
      </c>
      <c r="D348" t="inlineStr">
        <is>
          <t>Pending</t>
        </is>
      </c>
      <c r="E348" s="31" t="n">
        <v>46006</v>
      </c>
      <c r="F348" s="31" t="n">
        <v>46011</v>
      </c>
      <c r="H348" s="33" t="n"/>
    </row>
    <row r="349">
      <c r="A349" t="inlineStr">
        <is>
          <t>CLM521091</t>
        </is>
      </c>
      <c r="B349" t="inlineStr">
        <is>
          <t>ENC121091</t>
        </is>
      </c>
      <c r="C349" t="inlineStr">
        <is>
          <t>Medicare</t>
        </is>
      </c>
      <c r="D349" t="inlineStr">
        <is>
          <t>Pending</t>
        </is>
      </c>
      <c r="E349" s="31" t="n">
        <v>46006</v>
      </c>
      <c r="F349" s="31" t="n">
        <v>46018</v>
      </c>
      <c r="H349" s="33" t="n"/>
    </row>
    <row r="350">
      <c r="A350" t="inlineStr">
        <is>
          <t>CLM521205</t>
        </is>
      </c>
      <c r="B350" t="inlineStr">
        <is>
          <t>ENC121205</t>
        </is>
      </c>
      <c r="C350" t="inlineStr">
        <is>
          <t>Evergreen Mutual Insurance</t>
        </is>
      </c>
      <c r="D350" t="inlineStr">
        <is>
          <t>Pending</t>
        </is>
      </c>
      <c r="E350" s="31" t="n">
        <v>46006</v>
      </c>
      <c r="F350" s="31" t="n">
        <v>46008</v>
      </c>
      <c r="H350" s="33" t="n"/>
    </row>
    <row r="351">
      <c r="A351" t="inlineStr">
        <is>
          <t>CLM521148</t>
        </is>
      </c>
      <c r="B351" t="inlineStr">
        <is>
          <t>ENC121148</t>
        </is>
      </c>
      <c r="C351" t="inlineStr">
        <is>
          <t>Silverline Medicare Advantage</t>
        </is>
      </c>
      <c r="D351" t="inlineStr">
        <is>
          <t>Pending</t>
        </is>
      </c>
      <c r="E351" s="31" t="n">
        <v>46007</v>
      </c>
      <c r="F351" s="31" t="n">
        <v>46011</v>
      </c>
      <c r="H351" s="33" t="n"/>
    </row>
    <row r="352">
      <c r="A352" t="inlineStr">
        <is>
          <t>CLM521245</t>
        </is>
      </c>
      <c r="B352" t="inlineStr">
        <is>
          <t>ENC121245</t>
        </is>
      </c>
      <c r="C352" t="inlineStr">
        <is>
          <t>Medicare</t>
        </is>
      </c>
      <c r="D352" t="inlineStr">
        <is>
          <t>Pending</t>
        </is>
      </c>
      <c r="E352" s="31" t="n">
        <v>46007</v>
      </c>
      <c r="F352" s="31" t="n">
        <v>46017</v>
      </c>
      <c r="H352" s="33" t="n"/>
    </row>
    <row r="353">
      <c r="A353" t="inlineStr">
        <is>
          <t>CLM521327</t>
        </is>
      </c>
      <c r="B353" t="inlineStr">
        <is>
          <t>ENC121327</t>
        </is>
      </c>
      <c r="C353" t="inlineStr">
        <is>
          <t>Medicare</t>
        </is>
      </c>
      <c r="D353" t="inlineStr">
        <is>
          <t>Pending</t>
        </is>
      </c>
      <c r="E353" s="31" t="n">
        <v>46009</v>
      </c>
      <c r="F353" s="31" t="n">
        <v>46021</v>
      </c>
      <c r="H353" s="33" t="n"/>
    </row>
    <row r="354">
      <c r="A354" t="inlineStr">
        <is>
          <t>CLM521444</t>
        </is>
      </c>
      <c r="B354" t="inlineStr">
        <is>
          <t>ENC121444</t>
        </is>
      </c>
      <c r="C354" t="inlineStr">
        <is>
          <t>Evergreen Mutual Insurance</t>
        </is>
      </c>
      <c r="D354" t="inlineStr">
        <is>
          <t>Pending</t>
        </is>
      </c>
      <c r="E354" s="31" t="n">
        <v>46011</v>
      </c>
      <c r="F354" s="31" t="n">
        <v>46018</v>
      </c>
      <c r="H354" s="33" t="n"/>
    </row>
    <row r="355">
      <c r="A355" t="inlineStr">
        <is>
          <t>CLM521263</t>
        </is>
      </c>
      <c r="B355" t="inlineStr">
        <is>
          <t>ENC121263</t>
        </is>
      </c>
      <c r="C355" t="inlineStr">
        <is>
          <t>Summit Choice PPO</t>
        </is>
      </c>
      <c r="D355" t="inlineStr">
        <is>
          <t>Pending</t>
        </is>
      </c>
      <c r="E355" s="31" t="n">
        <v>46013</v>
      </c>
      <c r="F355" s="31" t="n">
        <v>46014</v>
      </c>
      <c r="H355" s="33" t="n"/>
    </row>
    <row r="356">
      <c r="A356" t="inlineStr">
        <is>
          <t>CLM521459</t>
        </is>
      </c>
      <c r="B356" t="inlineStr">
        <is>
          <t>ENC121459</t>
        </is>
      </c>
      <c r="C356" t="inlineStr">
        <is>
          <t>Self-Pay</t>
        </is>
      </c>
      <c r="D356" t="inlineStr">
        <is>
          <t>Pending</t>
        </is>
      </c>
      <c r="E356" s="31" t="n">
        <v>46013</v>
      </c>
      <c r="F356" s="31" t="n">
        <v>46021</v>
      </c>
      <c r="H356" s="33" t="n"/>
    </row>
    <row r="357">
      <c r="A357" t="inlineStr">
        <is>
          <t>CLM521424</t>
        </is>
      </c>
      <c r="B357" t="inlineStr">
        <is>
          <t>ENC121424</t>
        </is>
      </c>
      <c r="C357" t="inlineStr">
        <is>
          <t>Evergreen Mutual Insurance</t>
        </is>
      </c>
      <c r="D357" t="inlineStr">
        <is>
          <t>Pending</t>
        </is>
      </c>
      <c r="E357" s="31" t="n">
        <v>46014</v>
      </c>
      <c r="F357" s="31" t="n">
        <v>46017</v>
      </c>
      <c r="H357" s="33" t="n"/>
    </row>
    <row r="358">
      <c r="A358" t="inlineStr">
        <is>
          <t>CLM521470</t>
        </is>
      </c>
      <c r="B358" t="inlineStr">
        <is>
          <t>ENC121470</t>
        </is>
      </c>
      <c r="C358" t="inlineStr">
        <is>
          <t>Evergreen Mutual Insurance</t>
        </is>
      </c>
      <c r="D358" t="inlineStr">
        <is>
          <t>Pending</t>
        </is>
      </c>
      <c r="E358" s="31" t="n">
        <v>46014</v>
      </c>
      <c r="F358" s="31" t="n">
        <v>46017</v>
      </c>
      <c r="H358" s="33" t="n"/>
    </row>
    <row r="359">
      <c r="A359" t="inlineStr">
        <is>
          <t>CLM521290</t>
        </is>
      </c>
      <c r="B359" t="inlineStr">
        <is>
          <t>ENC121290</t>
        </is>
      </c>
      <c r="C359" t="inlineStr">
        <is>
          <t>Summit Choice PPO</t>
        </is>
      </c>
      <c r="D359" t="inlineStr">
        <is>
          <t>Pending</t>
        </is>
      </c>
      <c r="E359" s="31" t="n">
        <v>46015</v>
      </c>
      <c r="F359" s="31" t="n">
        <v>46022</v>
      </c>
      <c r="H359" s="33" t="n"/>
    </row>
    <row r="360">
      <c r="A360" t="inlineStr">
        <is>
          <t>CLM521485</t>
        </is>
      </c>
      <c r="B360" t="inlineStr">
        <is>
          <t>ENC121485</t>
        </is>
      </c>
      <c r="C360" t="inlineStr">
        <is>
          <t>Keystone Health Partners</t>
        </is>
      </c>
      <c r="D360" t="inlineStr">
        <is>
          <t>Pending</t>
        </is>
      </c>
      <c r="E360" s="31" t="n">
        <v>46015</v>
      </c>
      <c r="F360" s="31" t="n">
        <v>46021</v>
      </c>
      <c r="H360" s="33" t="n"/>
    </row>
    <row r="361">
      <c r="A361" t="inlineStr">
        <is>
          <t>CLM521492</t>
        </is>
      </c>
      <c r="B361" t="inlineStr">
        <is>
          <t>ENC121492</t>
        </is>
      </c>
      <c r="C361" t="inlineStr">
        <is>
          <t>Medicare</t>
        </is>
      </c>
      <c r="D361" t="inlineStr">
        <is>
          <t>Pending</t>
        </is>
      </c>
      <c r="E361" s="31" t="n">
        <v>46015</v>
      </c>
      <c r="F361" s="31" t="n">
        <v>46016</v>
      </c>
      <c r="H361" s="33" t="n"/>
    </row>
    <row r="362">
      <c r="A362" t="inlineStr">
        <is>
          <t>CLM521456</t>
        </is>
      </c>
      <c r="B362" t="inlineStr">
        <is>
          <t>ENC121456</t>
        </is>
      </c>
      <c r="C362" t="inlineStr">
        <is>
          <t>Medicare</t>
        </is>
      </c>
      <c r="D362" t="inlineStr">
        <is>
          <t>Pending</t>
        </is>
      </c>
      <c r="E362" s="31" t="n">
        <v>46016</v>
      </c>
      <c r="F362" s="31" t="n">
        <v>46017</v>
      </c>
      <c r="H362" s="33" t="n"/>
    </row>
    <row r="363">
      <c r="A363" t="inlineStr">
        <is>
          <t>CLM521475</t>
        </is>
      </c>
      <c r="B363" t="inlineStr">
        <is>
          <t>ENC121475</t>
        </is>
      </c>
      <c r="C363" t="inlineStr">
        <is>
          <t>Medicare</t>
        </is>
      </c>
      <c r="D363" t="inlineStr">
        <is>
          <t>Pending</t>
        </is>
      </c>
      <c r="E363" s="31" t="n">
        <v>46018</v>
      </c>
      <c r="F363" s="31" t="n">
        <v>46021</v>
      </c>
      <c r="H363" s="33" t="n"/>
    </row>
    <row r="364">
      <c r="A364" t="inlineStr">
        <is>
          <t>CLM521608</t>
        </is>
      </c>
      <c r="B364" t="inlineStr">
        <is>
          <t>ENC121608</t>
        </is>
      </c>
      <c r="C364" t="inlineStr">
        <is>
          <t>Medicare</t>
        </is>
      </c>
      <c r="D364" t="inlineStr">
        <is>
          <t>Pending</t>
        </is>
      </c>
      <c r="E364" s="31" t="n">
        <v>46019</v>
      </c>
      <c r="F364" s="31" t="n">
        <v>46021</v>
      </c>
      <c r="H364" s="33" t="n"/>
    </row>
    <row r="365">
      <c r="A365" t="inlineStr">
        <is>
          <t>CLM521721</t>
        </is>
      </c>
      <c r="B365" t="inlineStr">
        <is>
          <t>ENC121721</t>
        </is>
      </c>
      <c r="C365" t="inlineStr">
        <is>
          <t>Keystone Health Partners</t>
        </is>
      </c>
      <c r="D365" t="inlineStr">
        <is>
          <t>Pending</t>
        </is>
      </c>
      <c r="E365" s="31" t="n">
        <v>46020</v>
      </c>
      <c r="F365" s="31" t="n">
        <v>46027</v>
      </c>
      <c r="H365" s="33" t="n"/>
    </row>
    <row r="366">
      <c r="A366" t="inlineStr">
        <is>
          <t>CLM521728</t>
        </is>
      </c>
      <c r="B366" t="inlineStr">
        <is>
          <t>ENC121728</t>
        </is>
      </c>
      <c r="C366" t="inlineStr">
        <is>
          <t>State Medicaid</t>
        </is>
      </c>
      <c r="D366" t="inlineStr">
        <is>
          <t>Denied</t>
        </is>
      </c>
      <c r="E366" s="31" t="n">
        <v>46020</v>
      </c>
      <c r="F366" s="31" t="n">
        <v>46026</v>
      </c>
      <c r="H366" s="33" t="n"/>
    </row>
    <row r="367">
      <c r="A367" t="inlineStr">
        <is>
          <t>CLM521642</t>
        </is>
      </c>
      <c r="B367" t="inlineStr">
        <is>
          <t>ENC121642</t>
        </is>
      </c>
      <c r="C367" t="inlineStr">
        <is>
          <t>Evergreen Mutual Insurance</t>
        </is>
      </c>
      <c r="D367" t="inlineStr">
        <is>
          <t>Pending</t>
        </is>
      </c>
      <c r="E367" s="31" t="n">
        <v>46021</v>
      </c>
      <c r="F367" s="31" t="n">
        <v>46030</v>
      </c>
      <c r="H367" s="33" t="n"/>
    </row>
    <row r="368">
      <c r="A368" t="inlineStr">
        <is>
          <t>CLM521614</t>
        </is>
      </c>
      <c r="B368" t="inlineStr">
        <is>
          <t>ENC121614</t>
        </is>
      </c>
      <c r="C368" t="inlineStr">
        <is>
          <t>State Medicaid</t>
        </is>
      </c>
      <c r="D368" t="inlineStr">
        <is>
          <t>Pending</t>
        </is>
      </c>
      <c r="E368" s="31" t="n">
        <v>46022</v>
      </c>
      <c r="F368" s="31" t="n">
        <v>46029</v>
      </c>
      <c r="H368" s="33" t="n"/>
    </row>
    <row r="369">
      <c r="A369" t="inlineStr">
        <is>
          <t>CLM521653</t>
        </is>
      </c>
      <c r="B369" t="inlineStr">
        <is>
          <t>ENC121653</t>
        </is>
      </c>
      <c r="C369" t="inlineStr">
        <is>
          <t>Medicare</t>
        </is>
      </c>
      <c r="D369" t="inlineStr">
        <is>
          <t>Pending</t>
        </is>
      </c>
      <c r="E369" s="31" t="n">
        <v>46022</v>
      </c>
      <c r="F369" s="31" t="n">
        <v>46026</v>
      </c>
      <c r="H369" s="33" t="n"/>
    </row>
    <row r="370">
      <c r="A370" t="inlineStr">
        <is>
          <t>CLM521695</t>
        </is>
      </c>
      <c r="B370" t="inlineStr">
        <is>
          <t>ENC121695</t>
        </is>
      </c>
      <c r="C370" t="inlineStr">
        <is>
          <t>Medicare</t>
        </is>
      </c>
      <c r="D370" t="inlineStr">
        <is>
          <t>Pending</t>
        </is>
      </c>
      <c r="E370" s="31" t="n">
        <v>46022</v>
      </c>
      <c r="F370" s="31" t="n">
        <v>46027</v>
      </c>
      <c r="H370" s="33"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227"/>
  <sheetViews>
    <sheetView tabSelected="0" workbookViewId="0">
      <pane ySplit="1" topLeftCell="A2" activePane="bottomLeft" state="frozen"/>
      <selection pane="bottomLeft" activeCell="A1" sqref="A1"/>
    </sheetView>
  </sheetViews>
  <sheetFormatPr baseColWidth="8" defaultRowHeight="15"/>
  <cols>
    <col width="11" customWidth="1" min="1" max="1"/>
    <col width="10" customWidth="1" min="2" max="2"/>
    <col width="17" customWidth="1" min="3" max="3"/>
    <col width="17" customWidth="1" min="4" max="4"/>
    <col width="21" customWidth="1" min="5" max="5"/>
    <col width="19" customWidth="1" min="6" max="6"/>
    <col width="14" customWidth="1" min="7" max="7"/>
    <col width="19" customWidth="1" min="8" max="8"/>
  </cols>
  <sheetData>
    <row r="1">
      <c r="A1" s="29" t="inlineStr">
        <is>
          <t>EDVisitID</t>
        </is>
      </c>
      <c r="B1" s="29" t="inlineStr">
        <is>
          <t>ESILevel</t>
        </is>
      </c>
      <c r="C1" s="29" t="inlineStr">
        <is>
          <t>ArrivalDateTime</t>
        </is>
      </c>
      <c r="D1" s="29" t="inlineStr">
        <is>
          <t>TriageDateTime</t>
        </is>
      </c>
      <c r="E1" s="29" t="inlineStr">
        <is>
          <t>ProviderSeenDateTime</t>
        </is>
      </c>
      <c r="F1" s="29" t="inlineStr">
        <is>
          <t>DepartureDateTime</t>
        </is>
      </c>
      <c r="G1" s="29" t="inlineStr">
        <is>
          <t>EDDisposition</t>
        </is>
      </c>
      <c r="H1" s="30" t="inlineStr">
        <is>
          <t>DoorToProviderMin</t>
        </is>
      </c>
    </row>
    <row r="2">
      <c r="A2" t="inlineStr">
        <is>
          <t>ED210677</t>
        </is>
      </c>
      <c r="B2" t="n">
        <v>3</v>
      </c>
      <c r="C2" s="32" t="n">
        <v>45931.78611111111</v>
      </c>
      <c r="D2" s="32" t="n">
        <v>45931.79236111111</v>
      </c>
      <c r="E2" s="32" t="n">
        <v>45931.81111111111</v>
      </c>
      <c r="F2" s="32" t="n">
        <v>45931.96736111111</v>
      </c>
      <c r="G2" t="inlineStr">
        <is>
          <t>Admitted</t>
        </is>
      </c>
      <c r="H2" s="33" t="n"/>
    </row>
    <row r="3">
      <c r="A3" t="inlineStr">
        <is>
          <t>ED210681</t>
        </is>
      </c>
      <c r="B3" t="n">
        <v>3</v>
      </c>
      <c r="C3" s="32" t="n">
        <v>45932.33819444444</v>
      </c>
      <c r="D3" s="32" t="n">
        <v>45932.34027777778</v>
      </c>
      <c r="E3" s="32" t="n">
        <v>45932.36180555556</v>
      </c>
      <c r="F3" s="32" t="n">
        <v>45932.60555555556</v>
      </c>
      <c r="G3" t="inlineStr">
        <is>
          <t>Admitted</t>
        </is>
      </c>
      <c r="H3" s="33" t="n"/>
    </row>
    <row r="4">
      <c r="A4" t="inlineStr">
        <is>
          <t>ED210691</t>
        </is>
      </c>
      <c r="B4" t="n">
        <v>4</v>
      </c>
      <c r="C4" s="32" t="n">
        <v>45932.85277777778</v>
      </c>
      <c r="D4" s="32" t="n">
        <v>45932.85833333333</v>
      </c>
      <c r="E4" s="32" t="n">
        <v>45932.87916666667</v>
      </c>
      <c r="F4" s="32" t="n">
        <v>45932.9375</v>
      </c>
      <c r="G4" t="inlineStr">
        <is>
          <t>Discharged</t>
        </is>
      </c>
      <c r="H4" s="33" t="n"/>
    </row>
    <row r="5">
      <c r="A5" t="inlineStr">
        <is>
          <t>ED210696</t>
        </is>
      </c>
      <c r="B5" t="n">
        <v>2</v>
      </c>
      <c r="C5" s="32" t="n">
        <v>45933.24513888889</v>
      </c>
      <c r="D5" s="32" t="n">
        <v>45933.24861111111</v>
      </c>
      <c r="E5" s="32" t="n">
        <v>45933.25277777778</v>
      </c>
      <c r="F5" s="32" t="n">
        <v>45933.47847222222</v>
      </c>
      <c r="G5" t="inlineStr">
        <is>
          <t>Observation</t>
        </is>
      </c>
      <c r="H5" s="33" t="n"/>
    </row>
    <row r="6">
      <c r="A6" t="inlineStr">
        <is>
          <t>ED210702</t>
        </is>
      </c>
      <c r="B6" t="n">
        <v>2</v>
      </c>
      <c r="C6" s="32" t="n">
        <v>45933.50555555556</v>
      </c>
      <c r="D6" s="32" t="n">
        <v>45933.51736111111</v>
      </c>
      <c r="E6" s="32" t="n">
        <v>45933.51805555556</v>
      </c>
      <c r="F6" s="32" t="n">
        <v>45933.70416666667</v>
      </c>
      <c r="G6" t="inlineStr">
        <is>
          <t>Admitted</t>
        </is>
      </c>
      <c r="H6" s="33" t="n"/>
    </row>
    <row r="7">
      <c r="A7" t="inlineStr">
        <is>
          <t>ED210706</t>
        </is>
      </c>
      <c r="B7" t="n">
        <v>3</v>
      </c>
      <c r="C7" s="32" t="n">
        <v>45933.61388888889</v>
      </c>
      <c r="D7" s="32" t="n">
        <v>45933.625</v>
      </c>
      <c r="E7" s="32" t="n">
        <v>45933.63819444444</v>
      </c>
      <c r="F7" s="32" t="n">
        <v>45933.72638888889</v>
      </c>
      <c r="G7" t="inlineStr">
        <is>
          <t>Discharged</t>
        </is>
      </c>
      <c r="H7" s="33" t="n"/>
    </row>
    <row r="8">
      <c r="A8" t="inlineStr">
        <is>
          <t>ED210707</t>
        </is>
      </c>
      <c r="B8" t="n">
        <v>4</v>
      </c>
      <c r="C8" s="32" t="n">
        <v>45933.69930555556</v>
      </c>
      <c r="D8" s="32" t="n">
        <v>45933.70416666667</v>
      </c>
      <c r="E8" s="32" t="n">
        <v>45933.71527777778</v>
      </c>
      <c r="F8" s="32" t="n">
        <v>45933.83541666667</v>
      </c>
      <c r="G8" t="inlineStr">
        <is>
          <t>Admitted</t>
        </is>
      </c>
      <c r="H8" s="33" t="n"/>
    </row>
    <row r="9">
      <c r="A9" t="inlineStr">
        <is>
          <t>ED210713</t>
        </is>
      </c>
      <c r="B9" t="n">
        <v>2</v>
      </c>
      <c r="C9" s="32" t="n">
        <v>45934.12152777778</v>
      </c>
      <c r="D9" s="32" t="n">
        <v>45934.12708333333</v>
      </c>
      <c r="E9" s="32" t="n">
        <v>45934.12777777778</v>
      </c>
      <c r="F9" s="32" t="n">
        <v>45934.31041666667</v>
      </c>
      <c r="G9" t="inlineStr">
        <is>
          <t>Admitted</t>
        </is>
      </c>
      <c r="H9" s="33" t="n"/>
    </row>
    <row r="10">
      <c r="A10" t="inlineStr">
        <is>
          <t>ED210746</t>
        </is>
      </c>
      <c r="B10" t="n">
        <v>2</v>
      </c>
      <c r="C10" s="32" t="n">
        <v>45936.22847222222</v>
      </c>
      <c r="D10" s="32" t="n">
        <v>45936.23333333333</v>
      </c>
      <c r="E10" s="32" t="n">
        <v>45936.23958333334</v>
      </c>
      <c r="F10" s="32" t="n">
        <v>45936.38958333333</v>
      </c>
      <c r="G10" t="inlineStr">
        <is>
          <t>Admitted</t>
        </is>
      </c>
      <c r="H10" s="33" t="n"/>
    </row>
    <row r="11">
      <c r="A11" t="inlineStr">
        <is>
          <t>ED210753</t>
        </is>
      </c>
      <c r="B11" t="n">
        <v>2</v>
      </c>
      <c r="C11" s="32" t="n">
        <v>45936.51597222222</v>
      </c>
      <c r="D11" s="32" t="n">
        <v>45936.51944444444</v>
      </c>
      <c r="E11" s="32" t="n">
        <v>45936.54652777778</v>
      </c>
      <c r="F11" s="32" t="n">
        <v>45936.67430555556</v>
      </c>
      <c r="G11" t="inlineStr">
        <is>
          <t>Discharged</t>
        </is>
      </c>
      <c r="H11" s="33" t="n"/>
    </row>
    <row r="12">
      <c r="A12" t="inlineStr">
        <is>
          <t>ED210759</t>
        </is>
      </c>
      <c r="B12" t="n">
        <v>2</v>
      </c>
      <c r="C12" s="32" t="n">
        <v>45936.63888888889</v>
      </c>
      <c r="D12" s="32" t="n">
        <v>45936.64236111111</v>
      </c>
      <c r="E12" s="32" t="n">
        <v>45936.65347222222</v>
      </c>
      <c r="F12" s="32" t="n">
        <v>45936.88472222222</v>
      </c>
      <c r="G12" t="inlineStr">
        <is>
          <t>Admitted</t>
        </is>
      </c>
      <c r="H12" s="33" t="n"/>
    </row>
    <row r="13">
      <c r="A13" t="inlineStr">
        <is>
          <t>ED210775</t>
        </is>
      </c>
      <c r="B13" t="n">
        <v>3</v>
      </c>
      <c r="C13" s="32" t="n">
        <v>45937.65486111111</v>
      </c>
      <c r="D13" s="32" t="n">
        <v>45937.66666666666</v>
      </c>
      <c r="E13" s="32" t="n">
        <v>45937.66736111111</v>
      </c>
      <c r="F13" s="32" t="n">
        <v>45938.03611111111</v>
      </c>
      <c r="G13" t="inlineStr">
        <is>
          <t>Observation</t>
        </is>
      </c>
      <c r="H13" s="33" t="n"/>
    </row>
    <row r="14">
      <c r="A14" t="inlineStr">
        <is>
          <t>ED210783</t>
        </is>
      </c>
      <c r="B14" t="n">
        <v>2</v>
      </c>
      <c r="C14" s="32" t="n">
        <v>45938.15277777778</v>
      </c>
      <c r="D14" s="32" t="n">
        <v>45938.15833333333</v>
      </c>
      <c r="E14" s="32" t="n">
        <v>45938.15902777778</v>
      </c>
      <c r="F14" s="32" t="n">
        <v>45938.37708333333</v>
      </c>
      <c r="G14" t="inlineStr">
        <is>
          <t>Admitted</t>
        </is>
      </c>
      <c r="H14" s="33" t="n"/>
    </row>
    <row r="15">
      <c r="A15" t="inlineStr">
        <is>
          <t>ED210784</t>
        </is>
      </c>
      <c r="B15" t="n">
        <v>4</v>
      </c>
      <c r="C15" s="32" t="n">
        <v>45938.19583333333</v>
      </c>
      <c r="D15" s="32" t="n">
        <v>45938.20555555556</v>
      </c>
      <c r="E15" s="32" t="n">
        <v>45938.2375</v>
      </c>
      <c r="F15" s="32" t="n">
        <v>45938.27986111111</v>
      </c>
      <c r="G15" t="inlineStr">
        <is>
          <t>Discharged</t>
        </is>
      </c>
      <c r="H15" s="33" t="n"/>
    </row>
    <row r="16">
      <c r="A16" t="inlineStr">
        <is>
          <t>ED210795</t>
        </is>
      </c>
      <c r="B16" t="n">
        <v>3</v>
      </c>
      <c r="C16" s="32" t="n">
        <v>45938.64930555555</v>
      </c>
      <c r="D16" s="32" t="n">
        <v>45938.66111111111</v>
      </c>
      <c r="E16" s="32" t="n">
        <v>45938.69722222222</v>
      </c>
      <c r="F16" s="32" t="n">
        <v>45938.87222222222</v>
      </c>
      <c r="G16" t="inlineStr">
        <is>
          <t>Observation</t>
        </is>
      </c>
      <c r="H16" s="33" t="n"/>
    </row>
    <row r="17">
      <c r="A17" t="inlineStr">
        <is>
          <t>ED210796</t>
        </is>
      </c>
      <c r="B17" t="n">
        <v>2</v>
      </c>
      <c r="C17" s="32" t="n">
        <v>45938.65208333333</v>
      </c>
      <c r="D17" s="32" t="n">
        <v>45938.65902777778</v>
      </c>
      <c r="E17" s="32" t="n">
        <v>45938.65972222222</v>
      </c>
      <c r="F17" s="32" t="n">
        <v>45938.79305555556</v>
      </c>
      <c r="G17" t="inlineStr">
        <is>
          <t>Discharged</t>
        </is>
      </c>
      <c r="H17" s="33" t="n"/>
    </row>
    <row r="18">
      <c r="A18" t="inlineStr">
        <is>
          <t>ED210799</t>
        </is>
      </c>
      <c r="B18" t="n">
        <v>4</v>
      </c>
      <c r="C18" s="32" t="n">
        <v>45938.72430555556</v>
      </c>
      <c r="D18" s="32" t="n">
        <v>45938.72916666666</v>
      </c>
      <c r="E18" s="32" t="n">
        <v>45938.75555555556</v>
      </c>
      <c r="F18" s="32" t="n">
        <v>45938.82986111111</v>
      </c>
      <c r="G18" t="inlineStr">
        <is>
          <t>Discharged</t>
        </is>
      </c>
      <c r="H18" s="33" t="n"/>
    </row>
    <row r="19">
      <c r="A19" t="inlineStr">
        <is>
          <t>ED210801</t>
        </is>
      </c>
      <c r="B19" t="n">
        <v>2</v>
      </c>
      <c r="C19" s="32" t="n">
        <v>45938.86111111111</v>
      </c>
      <c r="D19" s="32" t="n">
        <v>45938.86458333334</v>
      </c>
      <c r="E19" s="32" t="n">
        <v>45938.87986111111</v>
      </c>
      <c r="F19" s="32" t="n">
        <v>45939.00972222222</v>
      </c>
      <c r="G19" t="inlineStr">
        <is>
          <t>Admitted</t>
        </is>
      </c>
      <c r="H19" s="33" t="n"/>
    </row>
    <row r="20">
      <c r="A20" t="inlineStr">
        <is>
          <t>ED210806</t>
        </is>
      </c>
      <c r="B20" t="n">
        <v>5</v>
      </c>
      <c r="C20" s="32" t="n">
        <v>45939.30972222222</v>
      </c>
      <c r="D20" s="32" t="n">
        <v>45939.31319444445</v>
      </c>
      <c r="E20" s="32" t="n">
        <v>45939.36597222222</v>
      </c>
      <c r="F20" s="32" t="n">
        <v>45939.41527777778</v>
      </c>
      <c r="G20" t="inlineStr">
        <is>
          <t>Discharged</t>
        </is>
      </c>
      <c r="H20" s="33" t="n"/>
    </row>
    <row r="21">
      <c r="A21" t="inlineStr">
        <is>
          <t>ED210808</t>
        </is>
      </c>
      <c r="B21" t="n">
        <v>2</v>
      </c>
      <c r="C21" s="32" t="n">
        <v>45939.55625</v>
      </c>
      <c r="D21" s="32" t="n">
        <v>45939.56319444445</v>
      </c>
      <c r="E21" s="32" t="n">
        <v>45939.56597222222</v>
      </c>
      <c r="F21" s="32" t="n">
        <v>45939.80625</v>
      </c>
      <c r="G21" t="inlineStr">
        <is>
          <t>Admitted</t>
        </is>
      </c>
      <c r="H21" s="33" t="n"/>
    </row>
    <row r="22">
      <c r="A22" t="inlineStr">
        <is>
          <t>ED210810</t>
        </is>
      </c>
      <c r="B22" t="n">
        <v>2</v>
      </c>
      <c r="C22" s="32" t="n">
        <v>45939.63333333333</v>
      </c>
      <c r="D22" s="32" t="n">
        <v>45939.63680555556</v>
      </c>
      <c r="E22" s="32" t="n">
        <v>45939.64305555556</v>
      </c>
      <c r="F22" s="32" t="n">
        <v>45939.80138888889</v>
      </c>
      <c r="G22" t="inlineStr">
        <is>
          <t>Discharged</t>
        </is>
      </c>
      <c r="H22" s="33" t="n"/>
    </row>
    <row r="23">
      <c r="A23" t="inlineStr">
        <is>
          <t>ED210821</t>
        </is>
      </c>
      <c r="B23" t="n">
        <v>2</v>
      </c>
      <c r="C23" s="32" t="n">
        <v>45940.58888888889</v>
      </c>
      <c r="D23" s="32" t="n">
        <v>45940.59722222222</v>
      </c>
      <c r="E23" s="32" t="n">
        <v>45940.60069444445</v>
      </c>
      <c r="F23" s="32" t="n">
        <v>45940.73541666667</v>
      </c>
      <c r="G23" t="inlineStr">
        <is>
          <t>Admitted</t>
        </is>
      </c>
      <c r="H23" s="33" t="n"/>
    </row>
    <row r="24">
      <c r="A24" t="inlineStr">
        <is>
          <t>ED210825</t>
        </is>
      </c>
      <c r="B24" t="n">
        <v>1</v>
      </c>
      <c r="C24" s="32" t="n">
        <v>45940.6875</v>
      </c>
      <c r="D24" s="32" t="n">
        <v>45940.68819444445</v>
      </c>
      <c r="E24" s="32" t="n">
        <v>45940.68888888889</v>
      </c>
      <c r="F24" s="32" t="n">
        <v>45940.83402777778</v>
      </c>
      <c r="G24" t="inlineStr">
        <is>
          <t>Admitted</t>
        </is>
      </c>
      <c r="H24" s="33" t="n"/>
    </row>
    <row r="25">
      <c r="A25" t="inlineStr">
        <is>
          <t>ED210849</t>
        </is>
      </c>
      <c r="B25" t="n">
        <v>4</v>
      </c>
      <c r="C25" s="32" t="n">
        <v>45942.40763888889</v>
      </c>
      <c r="D25" s="32" t="n">
        <v>45942.40902777778</v>
      </c>
      <c r="F25" s="32" t="n">
        <v>45942.48611111111</v>
      </c>
      <c r="G25" t="inlineStr">
        <is>
          <t>LWBS</t>
        </is>
      </c>
      <c r="H25" s="33" t="n"/>
    </row>
    <row r="26">
      <c r="A26" t="inlineStr">
        <is>
          <t>ED210861</t>
        </is>
      </c>
      <c r="B26" t="n">
        <v>4</v>
      </c>
      <c r="C26" s="32" t="n">
        <v>45943.30902777778</v>
      </c>
      <c r="D26" s="32" t="n">
        <v>45943.31736111111</v>
      </c>
      <c r="E26" s="32" t="n">
        <v>45943.32222222222</v>
      </c>
      <c r="F26" s="32" t="n">
        <v>45943.39305555556</v>
      </c>
      <c r="G26" t="inlineStr">
        <is>
          <t>Observation</t>
        </is>
      </c>
      <c r="H26" s="33" t="n"/>
    </row>
    <row r="27">
      <c r="A27" t="inlineStr">
        <is>
          <t>ED210862</t>
        </is>
      </c>
      <c r="B27" t="n">
        <v>2</v>
      </c>
      <c r="C27" s="32" t="n">
        <v>45943.51597222222</v>
      </c>
      <c r="D27" s="32" t="n">
        <v>45943.51736111111</v>
      </c>
      <c r="E27" s="32" t="n">
        <v>45943.55069444444</v>
      </c>
      <c r="F27" s="32" t="n">
        <v>45943.78541666667</v>
      </c>
      <c r="G27" t="inlineStr">
        <is>
          <t>Admitted</t>
        </is>
      </c>
      <c r="H27" s="33" t="n"/>
    </row>
    <row r="28">
      <c r="A28" t="inlineStr">
        <is>
          <t>ED210865</t>
        </is>
      </c>
      <c r="B28" t="n">
        <v>4</v>
      </c>
      <c r="C28" s="32" t="n">
        <v>45943.67083333333</v>
      </c>
      <c r="D28" s="32" t="n">
        <v>45943.67777777778</v>
      </c>
      <c r="E28" s="32" t="n">
        <v>45943.75555555556</v>
      </c>
      <c r="F28" s="32" t="n">
        <v>45943.81041666667</v>
      </c>
      <c r="G28" t="inlineStr">
        <is>
          <t>Discharged</t>
        </is>
      </c>
      <c r="H28" s="33" t="n"/>
    </row>
    <row r="29">
      <c r="A29" t="inlineStr">
        <is>
          <t>ED210876</t>
        </is>
      </c>
      <c r="B29" t="n">
        <v>4</v>
      </c>
      <c r="C29" s="32" t="n">
        <v>45944.25972222222</v>
      </c>
      <c r="D29" s="32" t="n">
        <v>45944.27083333334</v>
      </c>
      <c r="E29" s="32" t="n">
        <v>45944.27708333333</v>
      </c>
      <c r="F29" s="32" t="n">
        <v>45944.31180555555</v>
      </c>
      <c r="G29" t="inlineStr">
        <is>
          <t>Discharged</t>
        </is>
      </c>
      <c r="H29" s="33" t="n"/>
    </row>
    <row r="30">
      <c r="A30" t="inlineStr">
        <is>
          <t>ED210877</t>
        </is>
      </c>
      <c r="B30" t="n">
        <v>3</v>
      </c>
      <c r="C30" s="32" t="n">
        <v>45944.37013888889</v>
      </c>
      <c r="D30" s="32" t="n">
        <v>45944.37291666667</v>
      </c>
      <c r="E30" s="32" t="n">
        <v>45944.38888888889</v>
      </c>
      <c r="F30" s="32" t="n">
        <v>45944.46597222222</v>
      </c>
      <c r="G30" t="inlineStr">
        <is>
          <t>Discharged</t>
        </is>
      </c>
      <c r="H30" s="33" t="n"/>
    </row>
    <row r="31">
      <c r="A31" t="inlineStr">
        <is>
          <t>ED210884</t>
        </is>
      </c>
      <c r="B31" t="n">
        <v>3</v>
      </c>
      <c r="C31" s="32" t="n">
        <v>45944.66180555556</v>
      </c>
      <c r="D31" s="32" t="n">
        <v>45944.66388888889</v>
      </c>
      <c r="E31" s="32" t="n">
        <v>45944.69444444445</v>
      </c>
      <c r="F31" s="32" t="n">
        <v>45944.85</v>
      </c>
      <c r="G31" t="inlineStr">
        <is>
          <t>Discharged</t>
        </is>
      </c>
      <c r="H31" s="33" t="n"/>
    </row>
    <row r="32">
      <c r="A32" t="inlineStr">
        <is>
          <t>ED210894</t>
        </is>
      </c>
      <c r="B32" t="n">
        <v>5</v>
      </c>
      <c r="C32" s="32" t="n">
        <v>45945.1</v>
      </c>
      <c r="D32" s="32" t="n">
        <v>45945.10625</v>
      </c>
      <c r="E32" s="32" t="n">
        <v>45945.13611111111</v>
      </c>
      <c r="F32" s="32" t="n">
        <v>45945.17361111111</v>
      </c>
      <c r="G32" t="inlineStr">
        <is>
          <t>Discharged</t>
        </is>
      </c>
      <c r="H32" s="33" t="n"/>
    </row>
    <row r="33">
      <c r="A33" t="inlineStr">
        <is>
          <t>ED210933</t>
        </is>
      </c>
      <c r="B33" t="n">
        <v>3</v>
      </c>
      <c r="C33" s="32" t="n">
        <v>45947.61597222222</v>
      </c>
      <c r="D33" s="32" t="n">
        <v>45947.61805555555</v>
      </c>
      <c r="E33" s="32" t="n">
        <v>45947.65069444444</v>
      </c>
      <c r="F33" s="32" t="n">
        <v>45947.81597222222</v>
      </c>
      <c r="G33" t="inlineStr">
        <is>
          <t>Discharged</t>
        </is>
      </c>
      <c r="H33" s="33" t="n"/>
    </row>
    <row r="34">
      <c r="A34" t="inlineStr">
        <is>
          <t>ED210943</t>
        </is>
      </c>
      <c r="B34" t="n">
        <v>2</v>
      </c>
      <c r="C34" s="32" t="n">
        <v>45948.00277777778</v>
      </c>
      <c r="D34" s="32" t="n">
        <v>45948.01041666666</v>
      </c>
      <c r="E34" s="32" t="n">
        <v>45948.01111111111</v>
      </c>
      <c r="F34" s="32" t="n">
        <v>45948.61597222222</v>
      </c>
      <c r="G34" t="inlineStr">
        <is>
          <t>Admitted</t>
        </is>
      </c>
      <c r="H34" s="33" t="n"/>
    </row>
    <row r="35">
      <c r="A35" t="inlineStr">
        <is>
          <t>ED210956</t>
        </is>
      </c>
      <c r="B35" t="n">
        <v>2</v>
      </c>
      <c r="C35" s="32" t="n">
        <v>45949.22569444445</v>
      </c>
      <c r="D35" s="32" t="n">
        <v>45949.23472222222</v>
      </c>
      <c r="E35" s="32" t="n">
        <v>45949.23541666667</v>
      </c>
      <c r="F35" s="32" t="n">
        <v>45949.43888888889</v>
      </c>
      <c r="G35" t="inlineStr">
        <is>
          <t>Observation</t>
        </is>
      </c>
      <c r="H35" s="33" t="n"/>
    </row>
    <row r="36">
      <c r="A36" t="inlineStr">
        <is>
          <t>ED210957</t>
        </is>
      </c>
      <c r="B36" t="n">
        <v>4</v>
      </c>
      <c r="C36" s="32" t="n">
        <v>45949.24513888889</v>
      </c>
      <c r="D36" s="32" t="n">
        <v>45949.25763888889</v>
      </c>
      <c r="E36" s="32" t="n">
        <v>45949.2625</v>
      </c>
      <c r="F36" s="32" t="n">
        <v>45949.43888888889</v>
      </c>
      <c r="G36" t="inlineStr">
        <is>
          <t>Admitted</t>
        </is>
      </c>
      <c r="H36" s="33" t="n"/>
    </row>
    <row r="37">
      <c r="A37" t="inlineStr">
        <is>
          <t>ED210959</t>
        </is>
      </c>
      <c r="B37" t="n">
        <v>4</v>
      </c>
      <c r="C37" s="32" t="n">
        <v>45949.50972222222</v>
      </c>
      <c r="D37" s="32" t="n">
        <v>45949.51319444444</v>
      </c>
      <c r="E37" s="32" t="n">
        <v>45949.58263888889</v>
      </c>
      <c r="F37" s="32" t="n">
        <v>45949.61944444444</v>
      </c>
      <c r="G37" t="inlineStr">
        <is>
          <t>Discharged</t>
        </is>
      </c>
      <c r="H37" s="33" t="n"/>
    </row>
    <row r="38">
      <c r="A38" t="inlineStr">
        <is>
          <t>ED210960</t>
        </is>
      </c>
      <c r="B38" t="n">
        <v>4</v>
      </c>
      <c r="C38" s="32" t="n">
        <v>45949.55694444444</v>
      </c>
      <c r="D38" s="32" t="n">
        <v>45949.56458333333</v>
      </c>
      <c r="F38" s="32" t="n">
        <v>45949.66041666667</v>
      </c>
      <c r="G38" t="inlineStr">
        <is>
          <t>LWBS</t>
        </is>
      </c>
      <c r="H38" s="33" t="n"/>
    </row>
    <row r="39">
      <c r="A39" t="inlineStr">
        <is>
          <t>ED210974</t>
        </is>
      </c>
      <c r="B39" t="n">
        <v>4</v>
      </c>
      <c r="C39" s="32" t="n">
        <v>45950.52638888889</v>
      </c>
      <c r="D39" s="32" t="n">
        <v>45950.52847222222</v>
      </c>
      <c r="E39" s="32" t="n">
        <v>45950.59375</v>
      </c>
      <c r="F39" s="32" t="n">
        <v>45950.62847222222</v>
      </c>
      <c r="G39" t="inlineStr">
        <is>
          <t>Left AMA</t>
        </is>
      </c>
      <c r="H39" s="33" t="n"/>
    </row>
    <row r="40">
      <c r="A40" t="inlineStr">
        <is>
          <t>ED211006</t>
        </is>
      </c>
      <c r="B40" t="n">
        <v>2</v>
      </c>
      <c r="C40" s="32" t="n">
        <v>45952.79236111111</v>
      </c>
      <c r="D40" s="32" t="n">
        <v>45952.8</v>
      </c>
      <c r="E40" s="32" t="n">
        <v>45952.80069444444</v>
      </c>
      <c r="F40" s="32" t="n">
        <v>45953.06111111111</v>
      </c>
      <c r="G40" t="inlineStr">
        <is>
          <t>Admitted</t>
        </is>
      </c>
      <c r="H40" s="33" t="n"/>
    </row>
    <row r="41">
      <c r="A41" t="inlineStr">
        <is>
          <t>ED211012</t>
        </is>
      </c>
      <c r="B41" t="n">
        <v>2</v>
      </c>
      <c r="C41" s="32" t="n">
        <v>45953.2</v>
      </c>
      <c r="D41" s="32" t="n">
        <v>45953.20416666667</v>
      </c>
      <c r="E41" s="32" t="n">
        <v>45953.20486111111</v>
      </c>
      <c r="F41" s="32" t="n">
        <v>45953.34652777778</v>
      </c>
      <c r="G41" t="inlineStr">
        <is>
          <t>Admitted</t>
        </is>
      </c>
      <c r="H41" s="33" t="n"/>
    </row>
    <row r="42">
      <c r="A42" t="inlineStr">
        <is>
          <t>ED211013</t>
        </is>
      </c>
      <c r="B42" t="n">
        <v>2</v>
      </c>
      <c r="C42" s="32" t="n">
        <v>45953.41527777778</v>
      </c>
      <c r="D42" s="32" t="n">
        <v>45953.42083333333</v>
      </c>
      <c r="E42" s="32" t="n">
        <v>45953.42430555556</v>
      </c>
      <c r="F42" s="32" t="n">
        <v>45953.61111111111</v>
      </c>
      <c r="G42" t="inlineStr">
        <is>
          <t>Admitted</t>
        </is>
      </c>
      <c r="H42" s="33" t="n"/>
    </row>
    <row r="43">
      <c r="A43" t="inlineStr">
        <is>
          <t>ED211038</t>
        </is>
      </c>
      <c r="B43" t="n">
        <v>2</v>
      </c>
      <c r="C43" s="32" t="n">
        <v>45954.5875</v>
      </c>
      <c r="D43" s="32" t="n">
        <v>45954.58958333333</v>
      </c>
      <c r="E43" s="32" t="n">
        <v>45954.6</v>
      </c>
      <c r="F43" s="32" t="n">
        <v>45954.75</v>
      </c>
      <c r="G43" t="inlineStr">
        <is>
          <t>Admitted</t>
        </is>
      </c>
      <c r="H43" s="33" t="n"/>
    </row>
    <row r="44">
      <c r="A44" t="inlineStr">
        <is>
          <t>ED211039</t>
        </is>
      </c>
      <c r="B44" t="n">
        <v>2</v>
      </c>
      <c r="C44" s="32" t="n">
        <v>45954.59375</v>
      </c>
      <c r="D44" s="32" t="n">
        <v>45954.59861111111</v>
      </c>
      <c r="E44" s="32" t="n">
        <v>45954.60555555556</v>
      </c>
      <c r="F44" s="32" t="n">
        <v>45954.84027777778</v>
      </c>
      <c r="G44" t="inlineStr">
        <is>
          <t>Observation</t>
        </is>
      </c>
      <c r="H44" s="33" t="n"/>
    </row>
    <row r="45">
      <c r="A45" t="inlineStr">
        <is>
          <t>ED211046</t>
        </is>
      </c>
      <c r="B45" t="n">
        <v>2</v>
      </c>
      <c r="C45" s="32" t="n">
        <v>45955.46527777778</v>
      </c>
      <c r="D45" s="32" t="n">
        <v>45955.46944444445</v>
      </c>
      <c r="E45" s="32" t="n">
        <v>45955.47638888889</v>
      </c>
      <c r="F45" s="32" t="n">
        <v>45956.39444444444</v>
      </c>
      <c r="G45" t="inlineStr">
        <is>
          <t>Admitted</t>
        </is>
      </c>
      <c r="H45" s="33" t="n"/>
    </row>
    <row r="46">
      <c r="A46" t="inlineStr">
        <is>
          <t>ED211048</t>
        </is>
      </c>
      <c r="B46" t="n">
        <v>3</v>
      </c>
      <c r="C46" s="32" t="n">
        <v>45955.56666666667</v>
      </c>
      <c r="D46" s="32" t="n">
        <v>45955.57222222222</v>
      </c>
      <c r="E46" s="32" t="n">
        <v>45955.59583333333</v>
      </c>
      <c r="F46" s="32" t="n">
        <v>45955.72430555556</v>
      </c>
      <c r="G46" t="inlineStr">
        <is>
          <t>Admitted</t>
        </is>
      </c>
      <c r="H46" s="33" t="n"/>
    </row>
    <row r="47">
      <c r="A47" t="inlineStr">
        <is>
          <t>ED211056</t>
        </is>
      </c>
      <c r="B47" t="n">
        <v>2</v>
      </c>
      <c r="C47" s="32" t="n">
        <v>45956.57430555556</v>
      </c>
      <c r="D47" s="32" t="n">
        <v>45956.57916666667</v>
      </c>
      <c r="E47" s="32" t="n">
        <v>45956.59027777778</v>
      </c>
      <c r="F47" s="32" t="n">
        <v>45956.77847222222</v>
      </c>
      <c r="G47" t="inlineStr">
        <is>
          <t>Admitted</t>
        </is>
      </c>
      <c r="H47" s="33" t="n"/>
    </row>
    <row r="48">
      <c r="A48" t="inlineStr">
        <is>
          <t>ED211086</t>
        </is>
      </c>
      <c r="B48" t="n">
        <v>4</v>
      </c>
      <c r="C48" s="32" t="n">
        <v>45957.80625</v>
      </c>
      <c r="D48" s="32" t="n">
        <v>45957.80972222222</v>
      </c>
      <c r="E48" s="32" t="n">
        <v>45957.85833333333</v>
      </c>
      <c r="F48" s="32" t="n">
        <v>45957.92847222222</v>
      </c>
      <c r="G48" t="inlineStr">
        <is>
          <t>Admitted</t>
        </is>
      </c>
      <c r="H48" s="33" t="n"/>
    </row>
    <row r="49">
      <c r="A49" t="inlineStr">
        <is>
          <t>ED211089</t>
        </is>
      </c>
      <c r="B49" t="n">
        <v>3</v>
      </c>
      <c r="C49" s="32" t="n">
        <v>45957.92847222222</v>
      </c>
      <c r="D49" s="32" t="n">
        <v>45957.93055555555</v>
      </c>
      <c r="E49" s="32" t="n">
        <v>45957.95</v>
      </c>
      <c r="F49" s="32" t="n">
        <v>45958.18125</v>
      </c>
      <c r="G49" t="inlineStr">
        <is>
          <t>Admitted</t>
        </is>
      </c>
      <c r="H49" s="33" t="n"/>
    </row>
    <row r="50">
      <c r="A50" t="inlineStr">
        <is>
          <t>ED211093</t>
        </is>
      </c>
      <c r="B50" t="n">
        <v>2</v>
      </c>
      <c r="C50" s="32" t="n">
        <v>45958.40486111111</v>
      </c>
      <c r="D50" s="32" t="n">
        <v>45958.41041666667</v>
      </c>
      <c r="E50" s="32" t="n">
        <v>45958.41180555556</v>
      </c>
      <c r="F50" s="32" t="n">
        <v>45958.65416666667</v>
      </c>
      <c r="G50" t="inlineStr">
        <is>
          <t>Admitted</t>
        </is>
      </c>
      <c r="H50" s="33" t="n"/>
    </row>
    <row r="51">
      <c r="A51" t="inlineStr">
        <is>
          <t>ED211095</t>
        </is>
      </c>
      <c r="B51" t="n">
        <v>2</v>
      </c>
      <c r="C51" s="32" t="n">
        <v>45958.42291666667</v>
      </c>
      <c r="D51" s="32" t="n">
        <v>45958.42569444444</v>
      </c>
      <c r="E51" s="32" t="n">
        <v>45958.43472222222</v>
      </c>
      <c r="F51" s="32" t="n">
        <v>45958.70277777778</v>
      </c>
      <c r="G51" t="inlineStr">
        <is>
          <t>Admitted</t>
        </is>
      </c>
      <c r="H51" s="33" t="n"/>
    </row>
    <row r="52">
      <c r="A52" t="inlineStr">
        <is>
          <t>ED211098</t>
        </is>
      </c>
      <c r="B52" t="n">
        <v>4</v>
      </c>
      <c r="C52" s="32" t="n">
        <v>45958.55972222222</v>
      </c>
      <c r="D52" s="32" t="n">
        <v>45958.56458333333</v>
      </c>
      <c r="E52" s="32" t="n">
        <v>45958.60069444445</v>
      </c>
      <c r="F52" s="32" t="n">
        <v>45958.74652777778</v>
      </c>
      <c r="G52" t="inlineStr">
        <is>
          <t>Admitted</t>
        </is>
      </c>
      <c r="H52" s="33" t="n"/>
    </row>
    <row r="53">
      <c r="A53" t="inlineStr">
        <is>
          <t>ED211099</t>
        </is>
      </c>
      <c r="B53" t="n">
        <v>4</v>
      </c>
      <c r="C53" s="32" t="n">
        <v>45958.57361111111</v>
      </c>
      <c r="D53" s="32" t="n">
        <v>45958.57847222222</v>
      </c>
      <c r="E53" s="32" t="n">
        <v>45958.60972222222</v>
      </c>
      <c r="F53" s="32" t="n">
        <v>45958.88402777778</v>
      </c>
      <c r="G53" t="inlineStr">
        <is>
          <t>Observation</t>
        </is>
      </c>
      <c r="H53" s="33" t="n"/>
    </row>
    <row r="54">
      <c r="A54" t="inlineStr">
        <is>
          <t>ED211103</t>
        </is>
      </c>
      <c r="B54" t="n">
        <v>5</v>
      </c>
      <c r="C54" s="32" t="n">
        <v>45958.70625</v>
      </c>
      <c r="D54" s="32" t="n">
        <v>45958.71597222222</v>
      </c>
      <c r="E54" s="32" t="n">
        <v>45958.76597222222</v>
      </c>
      <c r="F54" s="32" t="n">
        <v>45958.82916666667</v>
      </c>
      <c r="G54" t="inlineStr">
        <is>
          <t>Discharged</t>
        </is>
      </c>
      <c r="H54" s="33" t="n"/>
    </row>
    <row r="55">
      <c r="A55" t="inlineStr">
        <is>
          <t>ED211107</t>
        </is>
      </c>
      <c r="B55" t="n">
        <v>4</v>
      </c>
      <c r="C55" s="32" t="n">
        <v>45958.74583333333</v>
      </c>
      <c r="D55" s="32" t="n">
        <v>45958.75069444445</v>
      </c>
      <c r="E55" s="32" t="n">
        <v>45958.775</v>
      </c>
      <c r="F55" s="32" t="n">
        <v>45958.83402777778</v>
      </c>
      <c r="G55" t="inlineStr">
        <is>
          <t>Discharged</t>
        </is>
      </c>
      <c r="H55" s="33" t="n"/>
    </row>
    <row r="56">
      <c r="A56" t="inlineStr">
        <is>
          <t>ED211111</t>
        </is>
      </c>
      <c r="B56" t="n">
        <v>4</v>
      </c>
      <c r="C56" s="32" t="n">
        <v>45958.86805555555</v>
      </c>
      <c r="D56" s="32" t="n">
        <v>45958.87013888889</v>
      </c>
      <c r="E56" s="32" t="n">
        <v>45958.89583333334</v>
      </c>
      <c r="F56" s="32" t="n">
        <v>45958.97013888889</v>
      </c>
      <c r="G56" t="inlineStr">
        <is>
          <t>Discharged</t>
        </is>
      </c>
      <c r="H56" s="33" t="n"/>
    </row>
    <row r="57">
      <c r="A57" t="inlineStr">
        <is>
          <t>ED211115</t>
        </is>
      </c>
      <c r="B57" t="n">
        <v>2</v>
      </c>
      <c r="C57" s="32" t="n">
        <v>45959.06458333333</v>
      </c>
      <c r="D57" s="32" t="n">
        <v>45959.06666666667</v>
      </c>
      <c r="E57" s="32" t="n">
        <v>45959.06875</v>
      </c>
      <c r="F57" s="32" t="n">
        <v>45959.30625</v>
      </c>
      <c r="G57" t="inlineStr">
        <is>
          <t>Admitted</t>
        </is>
      </c>
      <c r="H57" s="33" t="n"/>
    </row>
    <row r="58">
      <c r="A58" t="inlineStr">
        <is>
          <t>ED211125</t>
        </is>
      </c>
      <c r="B58" t="n">
        <v>1</v>
      </c>
      <c r="C58" s="32" t="n">
        <v>45959.60138888889</v>
      </c>
      <c r="D58" s="32" t="n">
        <v>45959.60208333333</v>
      </c>
      <c r="E58" s="32" t="n">
        <v>45959.60277777778</v>
      </c>
      <c r="F58" s="32" t="n">
        <v>45959.77777777778</v>
      </c>
      <c r="G58" t="inlineStr">
        <is>
          <t>Admitted</t>
        </is>
      </c>
      <c r="H58" s="33" t="n"/>
    </row>
    <row r="59">
      <c r="A59" t="inlineStr">
        <is>
          <t>ED211126</t>
        </is>
      </c>
      <c r="B59" t="n">
        <v>3</v>
      </c>
      <c r="C59" s="32" t="n">
        <v>45959.73472222222</v>
      </c>
      <c r="D59" s="32" t="n">
        <v>45959.73888888889</v>
      </c>
      <c r="E59" s="32" t="n">
        <v>45959.78402777778</v>
      </c>
      <c r="F59" s="32" t="n">
        <v>45959.92013888889</v>
      </c>
      <c r="G59" t="inlineStr">
        <is>
          <t>Discharged</t>
        </is>
      </c>
      <c r="H59" s="33" t="n"/>
    </row>
    <row r="60">
      <c r="A60" t="inlineStr">
        <is>
          <t>ED211136</t>
        </is>
      </c>
      <c r="B60" t="n">
        <v>3</v>
      </c>
      <c r="C60" s="32" t="n">
        <v>45960.39791666667</v>
      </c>
      <c r="D60" s="32" t="n">
        <v>45960.40833333333</v>
      </c>
      <c r="E60" s="32" t="n">
        <v>45960.42708333334</v>
      </c>
      <c r="F60" s="32" t="n">
        <v>45960.55416666667</v>
      </c>
      <c r="G60" t="inlineStr">
        <is>
          <t>Discharged</t>
        </is>
      </c>
      <c r="H60" s="33" t="n"/>
    </row>
    <row r="61">
      <c r="A61" t="inlineStr">
        <is>
          <t>ED211147</t>
        </is>
      </c>
      <c r="B61" t="n">
        <v>3</v>
      </c>
      <c r="C61" s="32" t="n">
        <v>45960.66666666666</v>
      </c>
      <c r="D61" s="32" t="n">
        <v>45960.67222222222</v>
      </c>
      <c r="E61" s="32" t="n">
        <v>45960.67986111111</v>
      </c>
      <c r="F61" s="32" t="n">
        <v>45960.78402777778</v>
      </c>
      <c r="G61" t="inlineStr">
        <is>
          <t>Discharged</t>
        </is>
      </c>
      <c r="H61" s="33" t="n"/>
    </row>
    <row r="62">
      <c r="A62" t="inlineStr">
        <is>
          <t>ED211155</t>
        </is>
      </c>
      <c r="B62" t="n">
        <v>2</v>
      </c>
      <c r="C62" s="32" t="n">
        <v>45961.32638888889</v>
      </c>
      <c r="D62" s="32" t="n">
        <v>45961.33888888889</v>
      </c>
      <c r="E62" s="32" t="n">
        <v>45961.34444444445</v>
      </c>
      <c r="F62" s="32" t="n">
        <v>45961.73055555556</v>
      </c>
      <c r="G62" t="inlineStr">
        <is>
          <t>Admitted</t>
        </is>
      </c>
      <c r="H62" s="33" t="n"/>
    </row>
    <row r="63">
      <c r="A63" t="inlineStr">
        <is>
          <t>ED211158</t>
        </is>
      </c>
      <c r="B63" t="n">
        <v>4</v>
      </c>
      <c r="C63" s="32" t="n">
        <v>45961.45416666667</v>
      </c>
      <c r="D63" s="32" t="n">
        <v>45961.46180555555</v>
      </c>
      <c r="E63" s="32" t="n">
        <v>45961.54375</v>
      </c>
      <c r="F63" s="32" t="n">
        <v>45961.59861111111</v>
      </c>
      <c r="G63" t="inlineStr">
        <is>
          <t>Discharged</t>
        </is>
      </c>
      <c r="H63" s="33" t="n"/>
    </row>
    <row r="64">
      <c r="A64" t="inlineStr">
        <is>
          <t>ED211160</t>
        </is>
      </c>
      <c r="B64" t="n">
        <v>2</v>
      </c>
      <c r="C64" s="32" t="n">
        <v>45961.55347222222</v>
      </c>
      <c r="D64" s="32" t="n">
        <v>45961.55972222222</v>
      </c>
      <c r="E64" s="32" t="n">
        <v>45961.58125</v>
      </c>
      <c r="F64" s="32" t="n">
        <v>45961.75138888889</v>
      </c>
      <c r="G64" t="inlineStr">
        <is>
          <t>Discharged</t>
        </is>
      </c>
      <c r="H64" s="33" t="n"/>
    </row>
    <row r="65">
      <c r="A65" t="inlineStr">
        <is>
          <t>ED211161</t>
        </is>
      </c>
      <c r="B65" t="n">
        <v>2</v>
      </c>
      <c r="C65" s="32" t="n">
        <v>45961.57013888889</v>
      </c>
      <c r="D65" s="32" t="n">
        <v>45961.57222222222</v>
      </c>
      <c r="E65" s="32" t="n">
        <v>45961.57847222222</v>
      </c>
      <c r="F65" s="32" t="n">
        <v>45962.17430555556</v>
      </c>
      <c r="G65" t="inlineStr">
        <is>
          <t>Admitted</t>
        </is>
      </c>
      <c r="H65" s="33" t="n"/>
    </row>
    <row r="66">
      <c r="A66" t="inlineStr">
        <is>
          <t>ED211168</t>
        </is>
      </c>
      <c r="B66" t="n">
        <v>4</v>
      </c>
      <c r="C66" s="32" t="n">
        <v>45961.71111111111</v>
      </c>
      <c r="D66" s="32" t="n">
        <v>45961.71666666667</v>
      </c>
      <c r="E66" s="32" t="n">
        <v>45961.73125</v>
      </c>
      <c r="F66" s="32" t="n">
        <v>45961.79375</v>
      </c>
      <c r="G66" t="inlineStr">
        <is>
          <t>Discharged</t>
        </is>
      </c>
      <c r="H66" s="33" t="n"/>
    </row>
    <row r="67">
      <c r="A67" t="inlineStr">
        <is>
          <t>ED211173</t>
        </is>
      </c>
      <c r="B67" t="n">
        <v>1</v>
      </c>
      <c r="C67" s="32" t="n">
        <v>45961.82569444444</v>
      </c>
      <c r="D67" s="32" t="n">
        <v>45961.82638888889</v>
      </c>
      <c r="E67" s="32" t="n">
        <v>45961.82708333333</v>
      </c>
      <c r="F67" s="32" t="n">
        <v>45962.35069444445</v>
      </c>
      <c r="G67" t="inlineStr">
        <is>
          <t>Admitted</t>
        </is>
      </c>
      <c r="H67" s="33" t="n"/>
    </row>
    <row r="68">
      <c r="A68" t="inlineStr">
        <is>
          <t>ED211174</t>
        </is>
      </c>
      <c r="B68" t="n">
        <v>2</v>
      </c>
      <c r="C68" s="32" t="n">
        <v>45961.87361111111</v>
      </c>
      <c r="D68" s="32" t="n">
        <v>45961.87569444445</v>
      </c>
      <c r="E68" s="32" t="n">
        <v>45961.87986111111</v>
      </c>
      <c r="F68" s="32" t="n">
        <v>45961.98611111111</v>
      </c>
      <c r="G68" t="inlineStr">
        <is>
          <t>Discharged</t>
        </is>
      </c>
      <c r="H68" s="33" t="n"/>
    </row>
    <row r="69">
      <c r="A69" t="inlineStr">
        <is>
          <t>ED211181</t>
        </is>
      </c>
      <c r="B69" t="n">
        <v>2</v>
      </c>
      <c r="C69" s="32" t="n">
        <v>45962.42847222222</v>
      </c>
      <c r="D69" s="32" t="n">
        <v>45962.43888888889</v>
      </c>
      <c r="E69" s="32" t="n">
        <v>45962.43958333333</v>
      </c>
      <c r="F69" s="32" t="n">
        <v>45962.74305555555</v>
      </c>
      <c r="G69" t="inlineStr">
        <is>
          <t>Admitted</t>
        </is>
      </c>
      <c r="H69" s="33" t="n"/>
    </row>
    <row r="70">
      <c r="A70" t="inlineStr">
        <is>
          <t>ED211186</t>
        </is>
      </c>
      <c r="B70" t="n">
        <v>5</v>
      </c>
      <c r="C70" s="32" t="n">
        <v>45962.72083333333</v>
      </c>
      <c r="D70" s="32" t="n">
        <v>45962.72638888889</v>
      </c>
      <c r="E70" s="32" t="n">
        <v>45962.73819444444</v>
      </c>
      <c r="F70" s="32" t="n">
        <v>45962.80902777778</v>
      </c>
      <c r="G70" t="inlineStr">
        <is>
          <t>Discharged</t>
        </is>
      </c>
      <c r="H70" s="33" t="n"/>
    </row>
    <row r="71">
      <c r="A71" t="inlineStr">
        <is>
          <t>ED211189</t>
        </is>
      </c>
      <c r="B71" t="n">
        <v>3</v>
      </c>
      <c r="C71" s="32" t="n">
        <v>45963.37430555555</v>
      </c>
      <c r="D71" s="32" t="n">
        <v>45963.38055555556</v>
      </c>
      <c r="E71" s="32" t="n">
        <v>45963.42222222222</v>
      </c>
      <c r="F71" s="32" t="n">
        <v>45963.55625</v>
      </c>
      <c r="G71" t="inlineStr">
        <is>
          <t>Discharged</t>
        </is>
      </c>
      <c r="H71" s="33" t="n"/>
    </row>
    <row r="72">
      <c r="A72" t="inlineStr">
        <is>
          <t>ED211202</t>
        </is>
      </c>
      <c r="B72" t="n">
        <v>3</v>
      </c>
      <c r="C72" s="32" t="n">
        <v>45964.03680555556</v>
      </c>
      <c r="D72" s="32" t="n">
        <v>45964.04027777778</v>
      </c>
      <c r="E72" s="32" t="n">
        <v>45964.05138888889</v>
      </c>
      <c r="F72" s="32" t="n">
        <v>45964.15347222222</v>
      </c>
      <c r="G72" t="inlineStr">
        <is>
          <t>Admitted</t>
        </is>
      </c>
      <c r="H72" s="33" t="n"/>
    </row>
    <row r="73">
      <c r="A73" t="inlineStr">
        <is>
          <t>ED211215</t>
        </is>
      </c>
      <c r="B73" t="n">
        <v>2</v>
      </c>
      <c r="C73" s="32" t="n">
        <v>45964.46666666667</v>
      </c>
      <c r="D73" s="32" t="n">
        <v>45964.47638888889</v>
      </c>
      <c r="E73" s="32" t="n">
        <v>45964.48402777778</v>
      </c>
      <c r="F73" s="32" t="n">
        <v>45964.77430555555</v>
      </c>
      <c r="G73" t="inlineStr">
        <is>
          <t>Observation</t>
        </is>
      </c>
      <c r="H73" s="33" t="n"/>
    </row>
    <row r="74">
      <c r="A74" t="inlineStr">
        <is>
          <t>ED211216</t>
        </is>
      </c>
      <c r="B74" t="n">
        <v>2</v>
      </c>
      <c r="C74" s="32" t="n">
        <v>45964.5125</v>
      </c>
      <c r="D74" s="32" t="n">
        <v>45964.51944444444</v>
      </c>
      <c r="E74" s="32" t="n">
        <v>45964.52013888889</v>
      </c>
      <c r="F74" s="32" t="n">
        <v>45964.66944444444</v>
      </c>
      <c r="G74" t="inlineStr">
        <is>
          <t>Admitted</t>
        </is>
      </c>
      <c r="H74" s="33" t="n"/>
    </row>
    <row r="75">
      <c r="A75" t="inlineStr">
        <is>
          <t>ED211233</t>
        </is>
      </c>
      <c r="B75" t="n">
        <v>3</v>
      </c>
      <c r="C75" s="32" t="n">
        <v>45965.46180555555</v>
      </c>
      <c r="D75" s="32" t="n">
        <v>45965.46736111111</v>
      </c>
      <c r="E75" s="32" t="n">
        <v>45965.47152777778</v>
      </c>
      <c r="F75" s="32" t="n">
        <v>45965.57638888889</v>
      </c>
      <c r="G75" t="inlineStr">
        <is>
          <t>Discharged</t>
        </is>
      </c>
      <c r="H75" s="33" t="n"/>
    </row>
    <row r="76">
      <c r="A76" t="inlineStr">
        <is>
          <t>ED211235</t>
        </is>
      </c>
      <c r="B76" t="n">
        <v>2</v>
      </c>
      <c r="C76" s="32" t="n">
        <v>45965.50763888889</v>
      </c>
      <c r="D76" s="32" t="n">
        <v>45965.50972222222</v>
      </c>
      <c r="E76" s="32" t="n">
        <v>45965.51805555556</v>
      </c>
      <c r="F76" s="32" t="n">
        <v>45965.66111111111</v>
      </c>
      <c r="G76" t="inlineStr">
        <is>
          <t>Discharged</t>
        </is>
      </c>
      <c r="H76" s="33" t="n"/>
    </row>
    <row r="77">
      <c r="A77" t="inlineStr">
        <is>
          <t>ED211241</t>
        </is>
      </c>
      <c r="B77" t="n">
        <v>3</v>
      </c>
      <c r="C77" s="32" t="n">
        <v>45965.74305555555</v>
      </c>
      <c r="D77" s="32" t="n">
        <v>45965.74791666667</v>
      </c>
      <c r="E77" s="32" t="n">
        <v>45965.77361111111</v>
      </c>
      <c r="F77" s="32" t="n">
        <v>45965.90486111111</v>
      </c>
      <c r="G77" t="inlineStr">
        <is>
          <t>Discharged</t>
        </is>
      </c>
      <c r="H77" s="33" t="n"/>
    </row>
    <row r="78">
      <c r="A78" t="inlineStr">
        <is>
          <t>ED211243</t>
        </is>
      </c>
      <c r="B78" t="n">
        <v>4</v>
      </c>
      <c r="C78" s="32" t="n">
        <v>45965.76527777778</v>
      </c>
      <c r="D78" s="32" t="n">
        <v>45965.76805555556</v>
      </c>
      <c r="E78" s="32" t="n">
        <v>45965.79305555556</v>
      </c>
      <c r="F78" s="32" t="n">
        <v>45965.82986111111</v>
      </c>
      <c r="G78" t="inlineStr">
        <is>
          <t>Discharged</t>
        </is>
      </c>
      <c r="H78" s="33" t="n"/>
    </row>
    <row r="79">
      <c r="A79" t="inlineStr">
        <is>
          <t>ED211244</t>
        </is>
      </c>
      <c r="B79" t="n">
        <v>3</v>
      </c>
      <c r="C79" s="32" t="n">
        <v>45965.90277777778</v>
      </c>
      <c r="D79" s="32" t="n">
        <v>45965.90902777778</v>
      </c>
      <c r="E79" s="32" t="n">
        <v>45965.91597222222</v>
      </c>
      <c r="F79" s="32" t="n">
        <v>45966.05277777778</v>
      </c>
      <c r="G79" t="inlineStr">
        <is>
          <t>Discharged</t>
        </is>
      </c>
      <c r="H79" s="33" t="n"/>
    </row>
    <row r="80">
      <c r="A80" t="inlineStr">
        <is>
          <t>ED211251</t>
        </is>
      </c>
      <c r="B80" t="n">
        <v>3</v>
      </c>
      <c r="C80" s="32" t="n">
        <v>45966.425</v>
      </c>
      <c r="D80" s="32" t="n">
        <v>45966.42847222222</v>
      </c>
      <c r="E80" s="32" t="n">
        <v>45966.45277777778</v>
      </c>
      <c r="F80" s="32" t="n">
        <v>45966.63194444445</v>
      </c>
      <c r="G80" t="inlineStr">
        <is>
          <t>Admitted</t>
        </is>
      </c>
      <c r="H80" s="33" t="n"/>
    </row>
    <row r="81">
      <c r="A81" t="inlineStr">
        <is>
          <t>ED211258</t>
        </is>
      </c>
      <c r="B81" t="n">
        <v>3</v>
      </c>
      <c r="C81" s="32" t="n">
        <v>45966.63402777778</v>
      </c>
      <c r="D81" s="32" t="n">
        <v>45966.6375</v>
      </c>
      <c r="E81" s="32" t="n">
        <v>45966.71180555555</v>
      </c>
      <c r="F81" s="32" t="n">
        <v>45966.87777777778</v>
      </c>
      <c r="G81" t="inlineStr">
        <is>
          <t>Discharged</t>
        </is>
      </c>
      <c r="H81" s="33" t="n"/>
    </row>
    <row r="82">
      <c r="A82" t="inlineStr">
        <is>
          <t>ED211261</t>
        </is>
      </c>
      <c r="B82" t="n">
        <v>3</v>
      </c>
      <c r="C82" s="32" t="n">
        <v>45966.78680555556</v>
      </c>
      <c r="D82" s="32" t="n">
        <v>45966.78958333333</v>
      </c>
      <c r="E82" s="32" t="n">
        <v>45966.82222222222</v>
      </c>
      <c r="F82" s="32" t="n">
        <v>45967.05555555555</v>
      </c>
      <c r="G82" t="inlineStr">
        <is>
          <t>Admitted</t>
        </is>
      </c>
      <c r="H82" s="33" t="n"/>
    </row>
    <row r="83">
      <c r="A83" t="inlineStr">
        <is>
          <t>ED211281</t>
        </is>
      </c>
      <c r="B83" t="n">
        <v>2</v>
      </c>
      <c r="C83" s="32" t="n">
        <v>45967.99375</v>
      </c>
      <c r="D83" s="32" t="n">
        <v>45968.00138888889</v>
      </c>
      <c r="E83" s="32" t="n">
        <v>45968.00208333333</v>
      </c>
      <c r="F83" s="32" t="n">
        <v>45968.12708333333</v>
      </c>
      <c r="G83" t="inlineStr">
        <is>
          <t>Discharged</t>
        </is>
      </c>
      <c r="H83" s="33" t="n"/>
    </row>
    <row r="84">
      <c r="A84" t="inlineStr">
        <is>
          <t>ED211288</t>
        </is>
      </c>
      <c r="B84" t="n">
        <v>3</v>
      </c>
      <c r="C84" s="32" t="n">
        <v>45968.61111111111</v>
      </c>
      <c r="D84" s="32" t="n">
        <v>45968.61666666667</v>
      </c>
      <c r="E84" s="32" t="n">
        <v>45968.65416666667</v>
      </c>
      <c r="F84" s="32" t="n">
        <v>45968.77638888889</v>
      </c>
      <c r="G84" t="inlineStr">
        <is>
          <t>Discharged</t>
        </is>
      </c>
      <c r="H84" s="33" t="n"/>
    </row>
    <row r="85">
      <c r="A85" t="inlineStr">
        <is>
          <t>ED211298</t>
        </is>
      </c>
      <c r="B85" t="n">
        <v>3</v>
      </c>
      <c r="C85" s="32" t="n">
        <v>45969.09236111111</v>
      </c>
      <c r="D85" s="32" t="n">
        <v>45969.09652777778</v>
      </c>
      <c r="E85" s="32" t="n">
        <v>45969.1375</v>
      </c>
      <c r="F85" s="32" t="n">
        <v>45969.2375</v>
      </c>
      <c r="G85" t="inlineStr">
        <is>
          <t>Observation</t>
        </is>
      </c>
      <c r="H85" s="33" t="n"/>
    </row>
    <row r="86">
      <c r="A86" t="inlineStr">
        <is>
          <t>ED211303</t>
        </is>
      </c>
      <c r="B86" t="n">
        <v>3</v>
      </c>
      <c r="C86" s="32" t="n">
        <v>45969.41319444445</v>
      </c>
      <c r="D86" s="32" t="n">
        <v>45969.42013888889</v>
      </c>
      <c r="E86" s="32" t="n">
        <v>45969.46111111111</v>
      </c>
      <c r="F86" s="32" t="n">
        <v>45969.59930555556</v>
      </c>
      <c r="G86" t="inlineStr">
        <is>
          <t>Discharged</t>
        </is>
      </c>
      <c r="H86" s="33" t="n"/>
    </row>
    <row r="87">
      <c r="A87" t="inlineStr">
        <is>
          <t>ED211312</t>
        </is>
      </c>
      <c r="B87" t="n">
        <v>4</v>
      </c>
      <c r="C87" s="32" t="n">
        <v>45969.71041666667</v>
      </c>
      <c r="D87" s="32" t="n">
        <v>45969.71458333333</v>
      </c>
      <c r="E87" s="32" t="n">
        <v>45969.81458333333</v>
      </c>
      <c r="F87" s="32" t="n">
        <v>45969.87708333333</v>
      </c>
      <c r="G87" t="inlineStr">
        <is>
          <t>Discharged</t>
        </is>
      </c>
      <c r="H87" s="33" t="n"/>
    </row>
    <row r="88">
      <c r="A88" t="inlineStr">
        <is>
          <t>ED211322</t>
        </is>
      </c>
      <c r="B88" t="n">
        <v>4</v>
      </c>
      <c r="C88" s="32" t="n">
        <v>45970.42222222222</v>
      </c>
      <c r="D88" s="32" t="n">
        <v>45970.43055555555</v>
      </c>
      <c r="E88" s="32" t="n">
        <v>45970.47361111111</v>
      </c>
      <c r="F88" s="32" t="n">
        <v>45970.51388888889</v>
      </c>
      <c r="G88" t="inlineStr">
        <is>
          <t>Discharged</t>
        </is>
      </c>
      <c r="H88" s="33" t="n"/>
    </row>
    <row r="89">
      <c r="A89" t="inlineStr">
        <is>
          <t>ED211324</t>
        </is>
      </c>
      <c r="B89" t="n">
        <v>5</v>
      </c>
      <c r="C89" s="32" t="n">
        <v>45970.55555555555</v>
      </c>
      <c r="D89" s="32" t="n">
        <v>45970.56111111111</v>
      </c>
      <c r="E89" s="32" t="n">
        <v>45970.60347222222</v>
      </c>
      <c r="F89" s="32" t="n">
        <v>45970.66388888889</v>
      </c>
      <c r="G89" t="inlineStr">
        <is>
          <t>Discharged</t>
        </is>
      </c>
      <c r="H89" s="33" t="n"/>
    </row>
    <row r="90">
      <c r="A90" t="inlineStr">
        <is>
          <t>ED211329</t>
        </is>
      </c>
      <c r="B90" t="n">
        <v>1</v>
      </c>
      <c r="C90" s="32" t="n">
        <v>45971.30694444444</v>
      </c>
      <c r="D90" s="32" t="n">
        <v>45971.30763888889</v>
      </c>
      <c r="E90" s="32" t="n">
        <v>45971.30972222222</v>
      </c>
      <c r="F90" s="32" t="n">
        <v>45971.48333333333</v>
      </c>
      <c r="G90" t="inlineStr">
        <is>
          <t>Admitted</t>
        </is>
      </c>
      <c r="H90" s="33" t="n"/>
    </row>
    <row r="91">
      <c r="A91" t="inlineStr">
        <is>
          <t>ED211338</t>
        </is>
      </c>
      <c r="B91" t="n">
        <v>4</v>
      </c>
      <c r="C91" s="32" t="n">
        <v>45971.61388888889</v>
      </c>
      <c r="D91" s="32" t="n">
        <v>45971.61875</v>
      </c>
      <c r="E91" s="32" t="n">
        <v>45971.64166666667</v>
      </c>
      <c r="F91" s="32" t="n">
        <v>45971.70069444444</v>
      </c>
      <c r="G91" t="inlineStr">
        <is>
          <t>Discharged</t>
        </is>
      </c>
      <c r="H91" s="33" t="n"/>
    </row>
    <row r="92">
      <c r="A92" t="inlineStr">
        <is>
          <t>ED211339</t>
        </is>
      </c>
      <c r="B92" t="n">
        <v>3</v>
      </c>
      <c r="C92" s="32" t="n">
        <v>45971.66319444445</v>
      </c>
      <c r="D92" s="32" t="n">
        <v>45971.66944444444</v>
      </c>
      <c r="E92" s="32" t="n">
        <v>45971.68611111111</v>
      </c>
      <c r="F92" s="32" t="n">
        <v>45971.8625</v>
      </c>
      <c r="G92" t="inlineStr">
        <is>
          <t>Observation</t>
        </is>
      </c>
      <c r="H92" s="33" t="n"/>
    </row>
    <row r="93">
      <c r="A93" t="inlineStr">
        <is>
          <t>ED211340</t>
        </is>
      </c>
      <c r="B93" t="n">
        <v>3</v>
      </c>
      <c r="C93" s="32" t="n">
        <v>45971.74583333333</v>
      </c>
      <c r="D93" s="32" t="n">
        <v>45971.75208333333</v>
      </c>
      <c r="E93" s="32" t="n">
        <v>45971.75972222222</v>
      </c>
      <c r="F93" s="32" t="n">
        <v>45971.92986111111</v>
      </c>
      <c r="G93" t="inlineStr">
        <is>
          <t>Discharged</t>
        </is>
      </c>
      <c r="H93" s="33" t="n"/>
    </row>
    <row r="94">
      <c r="A94" t="inlineStr">
        <is>
          <t>ED211349</t>
        </is>
      </c>
      <c r="B94" t="n">
        <v>3</v>
      </c>
      <c r="C94" s="32" t="n">
        <v>45972.43125</v>
      </c>
      <c r="D94" s="32" t="n">
        <v>45972.43263888889</v>
      </c>
      <c r="E94" s="32" t="n">
        <v>45972.45138888889</v>
      </c>
      <c r="F94" s="32" t="n">
        <v>45972.58819444444</v>
      </c>
      <c r="G94" t="inlineStr">
        <is>
          <t>Discharged</t>
        </is>
      </c>
      <c r="H94" s="33" t="n"/>
    </row>
    <row r="95">
      <c r="A95" t="inlineStr">
        <is>
          <t>ED211356</t>
        </is>
      </c>
      <c r="B95" t="n">
        <v>3</v>
      </c>
      <c r="C95" s="32" t="n">
        <v>45972.51875</v>
      </c>
      <c r="D95" s="32" t="n">
        <v>45972.52430555555</v>
      </c>
      <c r="E95" s="32" t="n">
        <v>45972.53819444445</v>
      </c>
      <c r="F95" s="32" t="n">
        <v>45972.62638888889</v>
      </c>
      <c r="G95" t="inlineStr">
        <is>
          <t>Discharged</t>
        </is>
      </c>
      <c r="H95" s="33" t="n"/>
    </row>
    <row r="96">
      <c r="A96" t="inlineStr">
        <is>
          <t>ED211361</t>
        </is>
      </c>
      <c r="B96" t="n">
        <v>5</v>
      </c>
      <c r="C96" s="32" t="n">
        <v>45972.54305555556</v>
      </c>
      <c r="D96" s="32" t="n">
        <v>45972.54652777778</v>
      </c>
      <c r="E96" s="32" t="n">
        <v>45972.61180555556</v>
      </c>
      <c r="F96" s="32" t="n">
        <v>45972.67569444444</v>
      </c>
      <c r="G96" t="inlineStr">
        <is>
          <t>Discharged</t>
        </is>
      </c>
      <c r="H96" s="33" t="n"/>
    </row>
    <row r="97">
      <c r="A97" t="inlineStr">
        <is>
          <t>ED211367</t>
        </is>
      </c>
      <c r="B97" t="n">
        <v>4</v>
      </c>
      <c r="C97" s="32" t="n">
        <v>45972.87361111111</v>
      </c>
      <c r="D97" s="32" t="n">
        <v>45972.87708333333</v>
      </c>
      <c r="E97" s="32" t="n">
        <v>45972.92847222222</v>
      </c>
      <c r="F97" s="32" t="n">
        <v>45973.00486111111</v>
      </c>
      <c r="G97" t="inlineStr">
        <is>
          <t>Discharged</t>
        </is>
      </c>
      <c r="H97" s="33" t="n"/>
    </row>
    <row r="98">
      <c r="A98" t="inlineStr">
        <is>
          <t>ED211373</t>
        </is>
      </c>
      <c r="B98" t="n">
        <v>2</v>
      </c>
      <c r="C98" s="32" t="n">
        <v>45973.47013888889</v>
      </c>
      <c r="D98" s="32" t="n">
        <v>45973.47361111111</v>
      </c>
      <c r="E98" s="32" t="n">
        <v>45973.48680555556</v>
      </c>
      <c r="F98" s="32" t="n">
        <v>45973.67708333334</v>
      </c>
      <c r="G98" t="inlineStr">
        <is>
          <t>Discharged</t>
        </is>
      </c>
      <c r="H98" s="33" t="n"/>
    </row>
    <row r="99">
      <c r="A99" t="inlineStr">
        <is>
          <t>ED211379</t>
        </is>
      </c>
      <c r="B99" t="n">
        <v>3</v>
      </c>
      <c r="C99" s="32" t="n">
        <v>45973.65347222222</v>
      </c>
      <c r="D99" s="32" t="n">
        <v>45973.65694444445</v>
      </c>
      <c r="E99" s="32" t="n">
        <v>45973.69791666666</v>
      </c>
      <c r="F99" s="32" t="n">
        <v>45973.77847222222</v>
      </c>
      <c r="G99" t="inlineStr">
        <is>
          <t>Discharged</t>
        </is>
      </c>
      <c r="H99" s="33" t="n"/>
    </row>
    <row r="100">
      <c r="A100" t="inlineStr">
        <is>
          <t>ED211383</t>
        </is>
      </c>
      <c r="B100" t="n">
        <v>3</v>
      </c>
      <c r="C100" s="32" t="n">
        <v>45973.81319444445</v>
      </c>
      <c r="D100" s="32" t="n">
        <v>45973.82083333333</v>
      </c>
      <c r="E100" s="32" t="n">
        <v>45973.86597222222</v>
      </c>
      <c r="F100" s="32" t="n">
        <v>45973.97013888889</v>
      </c>
      <c r="G100" t="inlineStr">
        <is>
          <t>Discharged</t>
        </is>
      </c>
      <c r="H100" s="33" t="n"/>
    </row>
    <row r="101">
      <c r="A101" t="inlineStr">
        <is>
          <t>ED211384</t>
        </is>
      </c>
      <c r="B101" t="n">
        <v>3</v>
      </c>
      <c r="C101" s="32" t="n">
        <v>45973.84722222222</v>
      </c>
      <c r="D101" s="32" t="n">
        <v>45973.85833333333</v>
      </c>
      <c r="E101" s="32" t="n">
        <v>45973.88888888889</v>
      </c>
      <c r="F101" s="32" t="n">
        <v>45973.975</v>
      </c>
      <c r="G101" t="inlineStr">
        <is>
          <t>Discharged</t>
        </is>
      </c>
      <c r="H101" s="33" t="n"/>
    </row>
    <row r="102">
      <c r="A102" t="inlineStr">
        <is>
          <t>ED211393</t>
        </is>
      </c>
      <c r="B102" t="n">
        <v>2</v>
      </c>
      <c r="C102" s="32" t="n">
        <v>45974.43194444444</v>
      </c>
      <c r="D102" s="32" t="n">
        <v>45974.43333333333</v>
      </c>
      <c r="E102" s="32" t="n">
        <v>45974.44097222222</v>
      </c>
      <c r="F102" s="32" t="n">
        <v>45974.62222222222</v>
      </c>
      <c r="G102" t="inlineStr">
        <is>
          <t>Admitted</t>
        </is>
      </c>
      <c r="H102" s="33" t="n"/>
    </row>
    <row r="103">
      <c r="A103" t="inlineStr">
        <is>
          <t>ED211406</t>
        </is>
      </c>
      <c r="B103" t="n">
        <v>4</v>
      </c>
      <c r="C103" s="32" t="n">
        <v>45975.58680555555</v>
      </c>
      <c r="D103" s="32" t="n">
        <v>45975.59375</v>
      </c>
      <c r="E103" s="32" t="n">
        <v>45975.68888888889</v>
      </c>
      <c r="F103" s="32" t="n">
        <v>45975.77083333334</v>
      </c>
      <c r="G103" t="inlineStr">
        <is>
          <t>Discharged</t>
        </is>
      </c>
      <c r="H103" s="33" t="n"/>
    </row>
    <row r="104">
      <c r="A104" t="inlineStr">
        <is>
          <t>ED211407</t>
        </is>
      </c>
      <c r="B104" t="n">
        <v>2</v>
      </c>
      <c r="C104" s="32" t="n">
        <v>45975.77847222222</v>
      </c>
      <c r="D104" s="32" t="n">
        <v>45975.79236111111</v>
      </c>
      <c r="E104" s="32" t="n">
        <v>45975.79305555556</v>
      </c>
      <c r="F104" s="32" t="n">
        <v>45975.92777777778</v>
      </c>
      <c r="G104" t="inlineStr">
        <is>
          <t>Admitted</t>
        </is>
      </c>
      <c r="H104" s="33" t="n"/>
    </row>
    <row r="105">
      <c r="A105" t="inlineStr">
        <is>
          <t>ED211412</t>
        </is>
      </c>
      <c r="B105" t="n">
        <v>4</v>
      </c>
      <c r="C105" s="32" t="n">
        <v>45976.12708333333</v>
      </c>
      <c r="D105" s="32" t="n">
        <v>45976.13194444445</v>
      </c>
      <c r="E105" s="32" t="n">
        <v>45976.17152777778</v>
      </c>
      <c r="F105" s="32" t="n">
        <v>45976.23402777778</v>
      </c>
      <c r="G105" t="inlineStr">
        <is>
          <t>Discharged</t>
        </is>
      </c>
      <c r="H105" s="33" t="n"/>
    </row>
    <row r="106">
      <c r="A106" t="inlineStr">
        <is>
          <t>ED211421</t>
        </is>
      </c>
      <c r="B106" t="n">
        <v>3</v>
      </c>
      <c r="C106" s="32" t="n">
        <v>45976.67361111111</v>
      </c>
      <c r="D106" s="32" t="n">
        <v>45976.68125</v>
      </c>
      <c r="E106" s="32" t="n">
        <v>45976.7125</v>
      </c>
      <c r="F106" s="32" t="n">
        <v>45977.06666666667</v>
      </c>
      <c r="G106" t="inlineStr">
        <is>
          <t>Admitted</t>
        </is>
      </c>
      <c r="H106" s="33" t="n"/>
    </row>
    <row r="107">
      <c r="A107" t="inlineStr">
        <is>
          <t>ED211434</t>
        </is>
      </c>
      <c r="B107" t="n">
        <v>4</v>
      </c>
      <c r="C107" s="32" t="n">
        <v>45977.4375</v>
      </c>
      <c r="D107" s="32" t="n">
        <v>45977.44097222222</v>
      </c>
      <c r="E107" s="32" t="n">
        <v>45977.52291666667</v>
      </c>
      <c r="F107" s="32" t="n">
        <v>45977.59305555555</v>
      </c>
      <c r="G107" t="inlineStr">
        <is>
          <t>Discharged</t>
        </is>
      </c>
      <c r="H107" s="33" t="n"/>
    </row>
    <row r="108">
      <c r="A108" t="inlineStr">
        <is>
          <t>ED211443</t>
        </is>
      </c>
      <c r="B108" t="n">
        <v>4</v>
      </c>
      <c r="C108" s="32" t="n">
        <v>45977.77777777778</v>
      </c>
      <c r="D108" s="32" t="n">
        <v>45977.78263888889</v>
      </c>
      <c r="E108" s="32" t="n">
        <v>45977.80208333334</v>
      </c>
      <c r="F108" s="32" t="n">
        <v>45978.03472222222</v>
      </c>
      <c r="G108" t="inlineStr">
        <is>
          <t>Observation</t>
        </is>
      </c>
      <c r="H108" s="33" t="n"/>
    </row>
    <row r="109">
      <c r="A109" t="inlineStr">
        <is>
          <t>ED211444</t>
        </is>
      </c>
      <c r="B109" t="n">
        <v>3</v>
      </c>
      <c r="C109" s="32" t="n">
        <v>45977.78333333333</v>
      </c>
      <c r="D109" s="32" t="n">
        <v>45977.78819444445</v>
      </c>
      <c r="E109" s="32" t="n">
        <v>45977.8</v>
      </c>
      <c r="F109" s="32" t="n">
        <v>45977.88680555556</v>
      </c>
      <c r="G109" t="inlineStr">
        <is>
          <t>Discharged</t>
        </is>
      </c>
      <c r="H109" s="33" t="n"/>
    </row>
    <row r="110">
      <c r="A110" t="inlineStr">
        <is>
          <t>ED211460</t>
        </is>
      </c>
      <c r="B110" t="n">
        <v>3</v>
      </c>
      <c r="C110" s="32" t="n">
        <v>45978.45694444444</v>
      </c>
      <c r="D110" s="32" t="n">
        <v>45978.46180555555</v>
      </c>
      <c r="E110" s="32" t="n">
        <v>45978.50694444445</v>
      </c>
      <c r="F110" s="32" t="n">
        <v>45978.65763888889</v>
      </c>
      <c r="G110" t="inlineStr">
        <is>
          <t>Discharged</t>
        </is>
      </c>
      <c r="H110" s="33" t="n"/>
    </row>
    <row r="111">
      <c r="A111" t="inlineStr">
        <is>
          <t>ED211463</t>
        </is>
      </c>
      <c r="B111" t="n">
        <v>3</v>
      </c>
      <c r="C111" s="32" t="n">
        <v>45978.58194444444</v>
      </c>
      <c r="D111" s="32" t="n">
        <v>45978.59166666667</v>
      </c>
      <c r="E111" s="32" t="n">
        <v>45978.61944444444</v>
      </c>
      <c r="F111" s="32" t="n">
        <v>45978.72291666667</v>
      </c>
      <c r="G111" t="inlineStr">
        <is>
          <t>Discharged</t>
        </is>
      </c>
      <c r="H111" s="33" t="n"/>
    </row>
    <row r="112">
      <c r="A112" t="inlineStr">
        <is>
          <t>ED211473</t>
        </is>
      </c>
      <c r="B112" t="n">
        <v>4</v>
      </c>
      <c r="C112" s="32" t="n">
        <v>45979.3875</v>
      </c>
      <c r="D112" s="32" t="n">
        <v>45979.39236111111</v>
      </c>
      <c r="E112" s="32" t="n">
        <v>45979.44930555556</v>
      </c>
      <c r="F112" s="32" t="n">
        <v>45979.52916666667</v>
      </c>
      <c r="G112" t="inlineStr">
        <is>
          <t>Discharged</t>
        </is>
      </c>
      <c r="H112" s="33" t="n"/>
    </row>
    <row r="113">
      <c r="A113" t="inlineStr">
        <is>
          <t>ED211494</t>
        </is>
      </c>
      <c r="B113" t="n">
        <v>4</v>
      </c>
      <c r="C113" s="32" t="n">
        <v>45980.30347222222</v>
      </c>
      <c r="D113" s="32" t="n">
        <v>45980.31388888889</v>
      </c>
      <c r="E113" s="32" t="n">
        <v>45980.42222222222</v>
      </c>
      <c r="F113" s="32" t="n">
        <v>45980.48402777778</v>
      </c>
      <c r="G113" t="inlineStr">
        <is>
          <t>Discharged</t>
        </is>
      </c>
      <c r="H113" s="33" t="n"/>
    </row>
    <row r="114">
      <c r="A114" t="inlineStr">
        <is>
          <t>ED211495</t>
        </is>
      </c>
      <c r="B114" t="n">
        <v>3</v>
      </c>
      <c r="C114" s="32" t="n">
        <v>45980.31319444445</v>
      </c>
      <c r="D114" s="32" t="n">
        <v>45980.31666666667</v>
      </c>
      <c r="E114" s="32" t="n">
        <v>45980.32777777778</v>
      </c>
      <c r="F114" s="32" t="n">
        <v>45980.46944444445</v>
      </c>
      <c r="G114" t="inlineStr">
        <is>
          <t>Admitted</t>
        </is>
      </c>
      <c r="H114" s="33" t="n"/>
    </row>
    <row r="115">
      <c r="A115" t="inlineStr">
        <is>
          <t>ED211496</t>
        </is>
      </c>
      <c r="B115" t="n">
        <v>1</v>
      </c>
      <c r="C115" s="32" t="n">
        <v>45980.34652777778</v>
      </c>
      <c r="D115" s="32" t="n">
        <v>45980.34652777778</v>
      </c>
      <c r="E115" s="32" t="n">
        <v>45980.34791666667</v>
      </c>
      <c r="F115" s="32" t="n">
        <v>45980.64513888889</v>
      </c>
      <c r="G115" t="inlineStr">
        <is>
          <t>Admitted</t>
        </is>
      </c>
      <c r="H115" s="33" t="n"/>
    </row>
    <row r="116">
      <c r="A116" t="inlineStr">
        <is>
          <t>ED211498</t>
        </is>
      </c>
      <c r="B116" t="n">
        <v>2</v>
      </c>
      <c r="C116" s="32" t="n">
        <v>45980.43958333333</v>
      </c>
      <c r="D116" s="32" t="n">
        <v>45980.44305555556</v>
      </c>
      <c r="E116" s="32" t="n">
        <v>45980.47708333333</v>
      </c>
      <c r="F116" s="32" t="n">
        <v>45980.58194444444</v>
      </c>
      <c r="G116" t="inlineStr">
        <is>
          <t>Discharged</t>
        </is>
      </c>
      <c r="H116" s="33" t="n"/>
    </row>
    <row r="117">
      <c r="A117" t="inlineStr">
        <is>
          <t>ED211504</t>
        </is>
      </c>
      <c r="B117" t="n">
        <v>4</v>
      </c>
      <c r="C117" s="32" t="n">
        <v>45980.62777777778</v>
      </c>
      <c r="D117" s="32" t="n">
        <v>45980.63194444445</v>
      </c>
      <c r="E117" s="32" t="n">
        <v>45980.67152777778</v>
      </c>
      <c r="F117" s="32" t="n">
        <v>45980.75</v>
      </c>
      <c r="G117" t="inlineStr">
        <is>
          <t>Discharged</t>
        </is>
      </c>
      <c r="H117" s="33" t="n"/>
    </row>
    <row r="118">
      <c r="A118" t="inlineStr">
        <is>
          <t>ED211511</t>
        </is>
      </c>
      <c r="B118" t="n">
        <v>3</v>
      </c>
      <c r="C118" s="32" t="n">
        <v>45980.90902777778</v>
      </c>
      <c r="D118" s="32" t="n">
        <v>45980.91458333333</v>
      </c>
      <c r="E118" s="32" t="n">
        <v>45980.93125</v>
      </c>
      <c r="F118" s="32" t="n">
        <v>45981.19027777778</v>
      </c>
      <c r="G118" t="inlineStr">
        <is>
          <t>Admitted</t>
        </is>
      </c>
      <c r="H118" s="33" t="n"/>
    </row>
    <row r="119">
      <c r="A119" t="inlineStr">
        <is>
          <t>ED211512</t>
        </is>
      </c>
      <c r="B119" t="n">
        <v>2</v>
      </c>
      <c r="C119" s="32" t="n">
        <v>45980.9875</v>
      </c>
      <c r="D119" s="32" t="n">
        <v>45980.99236111111</v>
      </c>
      <c r="E119" s="32" t="n">
        <v>45980.99444444444</v>
      </c>
      <c r="F119" s="32" t="n">
        <v>45981.23055555556</v>
      </c>
      <c r="G119" t="inlineStr">
        <is>
          <t>Observation</t>
        </is>
      </c>
      <c r="H119" s="33" t="n"/>
    </row>
    <row r="120">
      <c r="A120" t="inlineStr">
        <is>
          <t>ED211516</t>
        </is>
      </c>
      <c r="B120" t="n">
        <v>2</v>
      </c>
      <c r="C120" s="32" t="n">
        <v>45981.33472222222</v>
      </c>
      <c r="D120" s="32" t="n">
        <v>45981.33958333333</v>
      </c>
      <c r="E120" s="32" t="n">
        <v>45981.34791666667</v>
      </c>
      <c r="F120" s="32" t="n">
        <v>45981.52986111111</v>
      </c>
      <c r="G120" t="inlineStr">
        <is>
          <t>Admitted</t>
        </is>
      </c>
      <c r="H120" s="33" t="n"/>
    </row>
    <row r="121">
      <c r="A121" t="inlineStr">
        <is>
          <t>ED211518</t>
        </is>
      </c>
      <c r="B121" t="n">
        <v>4</v>
      </c>
      <c r="C121" s="32" t="n">
        <v>45981.42013888889</v>
      </c>
      <c r="D121" s="32" t="n">
        <v>45981.42361111111</v>
      </c>
      <c r="E121" s="32" t="n">
        <v>45981.53472222222</v>
      </c>
      <c r="F121" s="32" t="n">
        <v>45981.58472222222</v>
      </c>
      <c r="G121" t="inlineStr">
        <is>
          <t>Discharged</t>
        </is>
      </c>
      <c r="H121" s="33" t="n"/>
    </row>
    <row r="122">
      <c r="A122" t="inlineStr">
        <is>
          <t>ED211521</t>
        </is>
      </c>
      <c r="B122" t="n">
        <v>4</v>
      </c>
      <c r="C122" s="32" t="n">
        <v>45981.44722222222</v>
      </c>
      <c r="D122" s="32" t="n">
        <v>45981.45208333333</v>
      </c>
      <c r="E122" s="32" t="n">
        <v>45981.48680555556</v>
      </c>
      <c r="F122" s="32" t="n">
        <v>45981.53333333333</v>
      </c>
      <c r="G122" t="inlineStr">
        <is>
          <t>Discharged</t>
        </is>
      </c>
      <c r="H122" s="33" t="n"/>
    </row>
    <row r="123">
      <c r="A123" t="inlineStr">
        <is>
          <t>ED211522</t>
        </is>
      </c>
      <c r="B123" t="n">
        <v>3</v>
      </c>
      <c r="C123" s="32" t="n">
        <v>45981.44791666666</v>
      </c>
      <c r="D123" s="32" t="n">
        <v>45981.45277777778</v>
      </c>
      <c r="E123" s="32" t="n">
        <v>45981.4625</v>
      </c>
      <c r="F123" s="32" t="n">
        <v>45981.53541666667</v>
      </c>
      <c r="G123" t="inlineStr">
        <is>
          <t>Discharged</t>
        </is>
      </c>
      <c r="H123" s="33" t="n"/>
    </row>
    <row r="124">
      <c r="A124" t="inlineStr">
        <is>
          <t>ED211551</t>
        </is>
      </c>
      <c r="B124" t="n">
        <v>3</v>
      </c>
      <c r="C124" s="32" t="n">
        <v>45982.95138888889</v>
      </c>
      <c r="D124" s="32" t="n">
        <v>45982.95833333334</v>
      </c>
      <c r="E124" s="32" t="n">
        <v>45982.98194444444</v>
      </c>
      <c r="F124" s="32" t="n">
        <v>45983.20833333334</v>
      </c>
      <c r="G124" t="inlineStr">
        <is>
          <t>Observation</t>
        </is>
      </c>
      <c r="H124" s="33" t="n"/>
    </row>
    <row r="125">
      <c r="A125" t="inlineStr">
        <is>
          <t>ED211563</t>
        </is>
      </c>
      <c r="B125" t="n">
        <v>2</v>
      </c>
      <c r="C125" s="32" t="n">
        <v>45983.89444444444</v>
      </c>
      <c r="D125" s="32" t="n">
        <v>45983.90138888889</v>
      </c>
      <c r="E125" s="32" t="n">
        <v>45983.90902777778</v>
      </c>
      <c r="F125" s="32" t="n">
        <v>45984.15694444445</v>
      </c>
      <c r="G125" t="inlineStr">
        <is>
          <t>Admitted</t>
        </is>
      </c>
      <c r="H125" s="33" t="n"/>
    </row>
    <row r="126">
      <c r="A126" t="inlineStr">
        <is>
          <t>ED211567</t>
        </is>
      </c>
      <c r="B126" t="n">
        <v>4</v>
      </c>
      <c r="C126" s="32" t="n">
        <v>45984.50138888889</v>
      </c>
      <c r="D126" s="32" t="n">
        <v>45984.50763888889</v>
      </c>
      <c r="E126" s="32" t="n">
        <v>45984.56319444445</v>
      </c>
      <c r="F126" s="32" t="n">
        <v>45984.63472222222</v>
      </c>
      <c r="G126" t="inlineStr">
        <is>
          <t>Discharged</t>
        </is>
      </c>
      <c r="H126" s="33" t="n"/>
    </row>
    <row r="127">
      <c r="A127" t="inlineStr">
        <is>
          <t>ED211569</t>
        </is>
      </c>
      <c r="B127" t="n">
        <v>5</v>
      </c>
      <c r="C127" s="32" t="n">
        <v>45984.62430555555</v>
      </c>
      <c r="D127" s="32" t="n">
        <v>45984.62638888889</v>
      </c>
      <c r="E127" s="32" t="n">
        <v>45984.67013888889</v>
      </c>
      <c r="F127" s="32" t="n">
        <v>45984.70694444444</v>
      </c>
      <c r="G127" t="inlineStr">
        <is>
          <t>Discharged</t>
        </is>
      </c>
      <c r="H127" s="33" t="n"/>
    </row>
    <row r="128">
      <c r="A128" t="inlineStr">
        <is>
          <t>ED211572</t>
        </is>
      </c>
      <c r="B128" t="n">
        <v>2</v>
      </c>
      <c r="C128" s="32" t="n">
        <v>45984.65833333333</v>
      </c>
      <c r="D128" s="32" t="n">
        <v>45984.6625</v>
      </c>
      <c r="E128" s="32" t="n">
        <v>45984.67708333334</v>
      </c>
      <c r="F128" s="32" t="n">
        <v>45984.93611111111</v>
      </c>
      <c r="G128" t="inlineStr">
        <is>
          <t>Admitted</t>
        </is>
      </c>
      <c r="H128" s="33" t="n"/>
    </row>
    <row r="129">
      <c r="A129" t="inlineStr">
        <is>
          <t>ED211573</t>
        </is>
      </c>
      <c r="B129" t="n">
        <v>3</v>
      </c>
      <c r="C129" s="32" t="n">
        <v>45984.66666666666</v>
      </c>
      <c r="D129" s="32" t="n">
        <v>45984.675</v>
      </c>
      <c r="E129" s="32" t="n">
        <v>45984.68263888889</v>
      </c>
      <c r="F129" s="32" t="n">
        <v>45984.79791666667</v>
      </c>
      <c r="G129" t="inlineStr">
        <is>
          <t>Admitted</t>
        </is>
      </c>
      <c r="H129" s="33" t="n"/>
    </row>
    <row r="130">
      <c r="A130" t="inlineStr">
        <is>
          <t>ED211585</t>
        </is>
      </c>
      <c r="B130" t="n">
        <v>2</v>
      </c>
      <c r="C130" s="32" t="n">
        <v>45985.23402777778</v>
      </c>
      <c r="D130" s="32" t="n">
        <v>45985.24097222222</v>
      </c>
      <c r="E130" s="32" t="n">
        <v>45985.24166666667</v>
      </c>
      <c r="F130" s="32" t="n">
        <v>45985.62152777778</v>
      </c>
      <c r="G130" t="inlineStr">
        <is>
          <t>Admitted</t>
        </is>
      </c>
      <c r="H130" s="33" t="n"/>
    </row>
    <row r="131">
      <c r="A131" t="inlineStr">
        <is>
          <t>ED211589</t>
        </is>
      </c>
      <c r="B131" t="n">
        <v>1</v>
      </c>
      <c r="C131" s="32" t="n">
        <v>45985.41180555556</v>
      </c>
      <c r="D131" s="32" t="n">
        <v>45985.41319444445</v>
      </c>
      <c r="E131" s="32" t="n">
        <v>45985.41388888889</v>
      </c>
      <c r="F131" s="32" t="n">
        <v>45985.63611111111</v>
      </c>
      <c r="G131" t="inlineStr">
        <is>
          <t>Admitted</t>
        </is>
      </c>
      <c r="H131" s="33" t="n"/>
    </row>
    <row r="132">
      <c r="A132" t="inlineStr">
        <is>
          <t>ED211596</t>
        </is>
      </c>
      <c r="B132" t="n">
        <v>3</v>
      </c>
      <c r="C132" s="32" t="n">
        <v>45985.70625</v>
      </c>
      <c r="D132" s="32" t="n">
        <v>45985.71111111111</v>
      </c>
      <c r="E132" s="32" t="n">
        <v>45985.75416666667</v>
      </c>
      <c r="F132" s="32" t="n">
        <v>45985.91180555556</v>
      </c>
      <c r="G132" t="inlineStr">
        <is>
          <t>Discharged</t>
        </is>
      </c>
      <c r="H132" s="33" t="n"/>
    </row>
    <row r="133">
      <c r="A133" t="inlineStr">
        <is>
          <t>ED211605</t>
        </is>
      </c>
      <c r="B133" t="n">
        <v>4</v>
      </c>
      <c r="C133" s="32" t="n">
        <v>45986.43194444444</v>
      </c>
      <c r="D133" s="32" t="n">
        <v>45986.43680555555</v>
      </c>
      <c r="E133" s="32" t="n">
        <v>45986.50486111111</v>
      </c>
      <c r="F133" s="32" t="n">
        <v>45986.55555555555</v>
      </c>
      <c r="G133" t="inlineStr">
        <is>
          <t>Discharged</t>
        </is>
      </c>
      <c r="H133" s="33" t="n"/>
    </row>
    <row r="134">
      <c r="A134" t="inlineStr">
        <is>
          <t>ED211607</t>
        </is>
      </c>
      <c r="B134" t="n">
        <v>4</v>
      </c>
      <c r="C134" s="32" t="n">
        <v>45986.46458333333</v>
      </c>
      <c r="D134" s="32" t="n">
        <v>45986.46944444445</v>
      </c>
      <c r="E134" s="32" t="n">
        <v>45986.49722222222</v>
      </c>
      <c r="F134" s="32" t="n">
        <v>45986.55277777778</v>
      </c>
      <c r="G134" t="inlineStr">
        <is>
          <t>Discharged</t>
        </is>
      </c>
      <c r="H134" s="33" t="n"/>
    </row>
    <row r="135">
      <c r="A135" t="inlineStr">
        <is>
          <t>ED211608</t>
        </is>
      </c>
      <c r="B135" t="n">
        <v>4</v>
      </c>
      <c r="C135" s="32" t="n">
        <v>45986.47638888889</v>
      </c>
      <c r="D135" s="32" t="n">
        <v>45986.47986111111</v>
      </c>
      <c r="E135" s="32" t="n">
        <v>45986.54513888889</v>
      </c>
      <c r="F135" s="32" t="n">
        <v>45986.57916666667</v>
      </c>
      <c r="G135" t="inlineStr">
        <is>
          <t>Discharged</t>
        </is>
      </c>
      <c r="H135" s="33" t="n"/>
    </row>
    <row r="136">
      <c r="A136" t="inlineStr">
        <is>
          <t>ED211617</t>
        </is>
      </c>
      <c r="B136" t="n">
        <v>4</v>
      </c>
      <c r="C136" s="32" t="n">
        <v>45987.45277777778</v>
      </c>
      <c r="D136" s="32" t="n">
        <v>45987.45555555556</v>
      </c>
      <c r="E136" s="32" t="n">
        <v>45987.47430555556</v>
      </c>
      <c r="F136" s="32" t="n">
        <v>45987.53541666667</v>
      </c>
      <c r="G136" t="inlineStr">
        <is>
          <t>Discharged</t>
        </is>
      </c>
      <c r="H136" s="33" t="n"/>
    </row>
    <row r="137">
      <c r="A137" t="inlineStr">
        <is>
          <t>ED211621</t>
        </is>
      </c>
      <c r="B137" t="n">
        <v>2</v>
      </c>
      <c r="C137" s="32" t="n">
        <v>45987.67569444444</v>
      </c>
      <c r="D137" s="32" t="n">
        <v>45987.68055555555</v>
      </c>
      <c r="E137" s="32" t="n">
        <v>45987.69861111111</v>
      </c>
      <c r="F137" s="32" t="n">
        <v>45987.86805555555</v>
      </c>
      <c r="G137" t="inlineStr">
        <is>
          <t>Admitted</t>
        </is>
      </c>
      <c r="H137" s="33" t="n"/>
    </row>
    <row r="138">
      <c r="A138" t="inlineStr">
        <is>
          <t>ED211625</t>
        </is>
      </c>
      <c r="B138" t="n">
        <v>3</v>
      </c>
      <c r="C138" s="32" t="n">
        <v>45988.00625</v>
      </c>
      <c r="D138" s="32" t="n">
        <v>45988.01180555556</v>
      </c>
      <c r="E138" s="32" t="n">
        <v>45988.03194444445</v>
      </c>
      <c r="F138" s="32" t="n">
        <v>45988.28263888889</v>
      </c>
      <c r="G138" t="inlineStr">
        <is>
          <t>Admitted</t>
        </is>
      </c>
      <c r="H138" s="33" t="n"/>
    </row>
    <row r="139">
      <c r="A139" t="inlineStr">
        <is>
          <t>ED211641</t>
        </is>
      </c>
      <c r="B139" t="n">
        <v>2</v>
      </c>
      <c r="C139" s="32" t="n">
        <v>45988.89652777778</v>
      </c>
      <c r="D139" s="32" t="n">
        <v>45988.90277777778</v>
      </c>
      <c r="E139" s="32" t="n">
        <v>45988.90347222222</v>
      </c>
      <c r="F139" s="32" t="n">
        <v>45989.17083333333</v>
      </c>
      <c r="G139" t="inlineStr">
        <is>
          <t>Admitted</t>
        </is>
      </c>
      <c r="H139" s="33" t="n"/>
    </row>
    <row r="140">
      <c r="A140" t="inlineStr">
        <is>
          <t>ED211650</t>
        </is>
      </c>
      <c r="B140" t="n">
        <v>2</v>
      </c>
      <c r="C140" s="32" t="n">
        <v>45989.51527777778</v>
      </c>
      <c r="D140" s="32" t="n">
        <v>45989.52291666667</v>
      </c>
      <c r="E140" s="32" t="n">
        <v>45989.52638888889</v>
      </c>
      <c r="F140" s="32" t="n">
        <v>45989.68819444445</v>
      </c>
      <c r="G140" t="inlineStr">
        <is>
          <t>Admitted</t>
        </is>
      </c>
      <c r="H140" s="33" t="n"/>
    </row>
    <row r="141">
      <c r="A141" t="inlineStr">
        <is>
          <t>ED211651</t>
        </is>
      </c>
      <c r="B141" t="n">
        <v>4</v>
      </c>
      <c r="C141" s="32" t="n">
        <v>45989.56180555555</v>
      </c>
      <c r="D141" s="32" t="n">
        <v>45989.56666666667</v>
      </c>
      <c r="E141" s="32" t="n">
        <v>45989.62083333333</v>
      </c>
      <c r="F141" s="32" t="n">
        <v>45989.90138888889</v>
      </c>
      <c r="G141" t="inlineStr">
        <is>
          <t>Admitted</t>
        </is>
      </c>
      <c r="H141" s="33" t="n"/>
    </row>
    <row r="142">
      <c r="A142" t="inlineStr">
        <is>
          <t>ED211656</t>
        </is>
      </c>
      <c r="B142" t="n">
        <v>3</v>
      </c>
      <c r="C142" s="32" t="n">
        <v>45989.67708333334</v>
      </c>
      <c r="D142" s="32" t="n">
        <v>45989.68194444444</v>
      </c>
      <c r="E142" s="32" t="n">
        <v>45989.69027777778</v>
      </c>
      <c r="F142" s="32" t="n">
        <v>45989.97777777778</v>
      </c>
      <c r="G142" t="inlineStr">
        <is>
          <t>Admitted</t>
        </is>
      </c>
      <c r="H142" s="33" t="n"/>
    </row>
    <row r="143">
      <c r="A143" t="inlineStr">
        <is>
          <t>ED211659</t>
        </is>
      </c>
      <c r="B143" t="n">
        <v>2</v>
      </c>
      <c r="C143" s="32" t="n">
        <v>45989.75208333333</v>
      </c>
      <c r="D143" s="32" t="n">
        <v>45989.75694444445</v>
      </c>
      <c r="E143" s="32" t="n">
        <v>45989.77291666667</v>
      </c>
      <c r="F143" s="32" t="n">
        <v>45989.93055555555</v>
      </c>
      <c r="G143" t="inlineStr">
        <is>
          <t>Admitted</t>
        </is>
      </c>
      <c r="H143" s="33" t="n"/>
    </row>
    <row r="144">
      <c r="A144" t="inlineStr">
        <is>
          <t>ED211663</t>
        </is>
      </c>
      <c r="B144" t="n">
        <v>3</v>
      </c>
      <c r="C144" s="32" t="n">
        <v>45989.84236111111</v>
      </c>
      <c r="D144" s="32" t="n">
        <v>45989.84444444445</v>
      </c>
      <c r="E144" s="32" t="n">
        <v>45989.86319444444</v>
      </c>
      <c r="F144" s="32" t="n">
        <v>45989.96388888889</v>
      </c>
      <c r="G144" t="inlineStr">
        <is>
          <t>Discharged</t>
        </is>
      </c>
      <c r="H144" s="33" t="n"/>
    </row>
    <row r="145">
      <c r="A145" t="inlineStr">
        <is>
          <t>ED211671</t>
        </is>
      </c>
      <c r="B145" t="n">
        <v>1</v>
      </c>
      <c r="C145" s="32" t="n">
        <v>45990.62361111111</v>
      </c>
      <c r="D145" s="32" t="n">
        <v>45990.625</v>
      </c>
      <c r="E145" s="32" t="n">
        <v>45990.62569444445</v>
      </c>
      <c r="F145" s="32" t="n">
        <v>45991.02152777778</v>
      </c>
      <c r="G145" t="inlineStr">
        <is>
          <t>Admitted</t>
        </is>
      </c>
      <c r="H145" s="33" t="n"/>
    </row>
    <row r="146">
      <c r="A146" t="inlineStr">
        <is>
          <t>ED211672</t>
        </is>
      </c>
      <c r="B146" t="n">
        <v>2</v>
      </c>
      <c r="C146" s="32" t="n">
        <v>45990.70069444444</v>
      </c>
      <c r="D146" s="32" t="n">
        <v>45990.70555555556</v>
      </c>
      <c r="E146" s="32" t="n">
        <v>45990.72291666667</v>
      </c>
      <c r="F146" s="32" t="n">
        <v>45990.82222222222</v>
      </c>
      <c r="G146" t="inlineStr">
        <is>
          <t>Discharged</t>
        </is>
      </c>
      <c r="H146" s="33" t="n"/>
    </row>
    <row r="147">
      <c r="A147" t="inlineStr">
        <is>
          <t>ED211688</t>
        </is>
      </c>
      <c r="B147" t="n">
        <v>4</v>
      </c>
      <c r="C147" s="32" t="n">
        <v>45991.61458333334</v>
      </c>
      <c r="D147" s="32" t="n">
        <v>45991.61944444444</v>
      </c>
      <c r="E147" s="32" t="n">
        <v>45991.67361111111</v>
      </c>
      <c r="F147" s="32" t="n">
        <v>45991.78680555556</v>
      </c>
      <c r="G147" t="inlineStr">
        <is>
          <t>Observation</t>
        </is>
      </c>
      <c r="H147" s="33" t="n"/>
    </row>
    <row r="148">
      <c r="A148" t="inlineStr">
        <is>
          <t>ED211689</t>
        </is>
      </c>
      <c r="B148" t="n">
        <v>4</v>
      </c>
      <c r="C148" s="32" t="n">
        <v>45991.65069444444</v>
      </c>
      <c r="D148" s="32" t="n">
        <v>45991.65972222222</v>
      </c>
      <c r="E148" s="32" t="n">
        <v>45991.69097222222</v>
      </c>
      <c r="F148" s="32" t="n">
        <v>45991.76736111111</v>
      </c>
      <c r="G148" t="inlineStr">
        <is>
          <t>Discharged</t>
        </is>
      </c>
      <c r="H148" s="33" t="n"/>
    </row>
    <row r="149">
      <c r="A149" t="inlineStr">
        <is>
          <t>ED211702</t>
        </is>
      </c>
      <c r="B149" t="n">
        <v>5</v>
      </c>
      <c r="C149" s="32" t="n">
        <v>45992.42986111111</v>
      </c>
      <c r="D149" s="32" t="n">
        <v>45992.43472222222</v>
      </c>
      <c r="E149" s="32" t="n">
        <v>45992.49791666667</v>
      </c>
      <c r="F149" s="32" t="n">
        <v>45992.55972222222</v>
      </c>
      <c r="G149" t="inlineStr">
        <is>
          <t>Discharged</t>
        </is>
      </c>
      <c r="H149" s="33" t="n"/>
    </row>
    <row r="150">
      <c r="A150" t="inlineStr">
        <is>
          <t>ED211714</t>
        </is>
      </c>
      <c r="B150" t="n">
        <v>4</v>
      </c>
      <c r="C150" s="32" t="n">
        <v>45992.83611111111</v>
      </c>
      <c r="D150" s="32" t="n">
        <v>45992.83958333333</v>
      </c>
      <c r="E150" s="32" t="n">
        <v>45992.89652777778</v>
      </c>
      <c r="F150" s="32" t="n">
        <v>45992.95347222222</v>
      </c>
      <c r="G150" t="inlineStr">
        <is>
          <t>Discharged</t>
        </is>
      </c>
      <c r="H150" s="33" t="n"/>
    </row>
    <row r="151">
      <c r="A151" t="inlineStr">
        <is>
          <t>ED211731</t>
        </is>
      </c>
      <c r="B151" t="n">
        <v>3</v>
      </c>
      <c r="C151" s="32" t="n">
        <v>45993.67152777778</v>
      </c>
      <c r="D151" s="32" t="n">
        <v>45993.67708333334</v>
      </c>
      <c r="E151" s="32" t="n">
        <v>45993.74027777778</v>
      </c>
      <c r="F151" s="32" t="n">
        <v>45993.88472222222</v>
      </c>
      <c r="G151" t="inlineStr">
        <is>
          <t>Admitted</t>
        </is>
      </c>
      <c r="H151" s="33" t="n"/>
    </row>
    <row r="152">
      <c r="A152" t="inlineStr">
        <is>
          <t>ED211740</t>
        </is>
      </c>
      <c r="B152" t="n">
        <v>2</v>
      </c>
      <c r="C152" s="32" t="n">
        <v>45994.10694444444</v>
      </c>
      <c r="D152" s="32" t="n">
        <v>45994.11458333334</v>
      </c>
      <c r="E152" s="32" t="n">
        <v>45994.11527777778</v>
      </c>
      <c r="F152" s="32" t="n">
        <v>45994.62638888889</v>
      </c>
      <c r="G152" t="inlineStr">
        <is>
          <t>Admitted</t>
        </is>
      </c>
      <c r="H152" s="33" t="n"/>
    </row>
    <row r="153">
      <c r="A153" t="inlineStr">
        <is>
          <t>ED211746</t>
        </is>
      </c>
      <c r="B153" t="n">
        <v>2</v>
      </c>
      <c r="C153" s="32" t="n">
        <v>45994.47152777778</v>
      </c>
      <c r="D153" s="32" t="n">
        <v>45994.48055555556</v>
      </c>
      <c r="E153" s="32" t="n">
        <v>45994.49791666667</v>
      </c>
      <c r="F153" s="32" t="n">
        <v>45994.64236111111</v>
      </c>
      <c r="G153" t="inlineStr">
        <is>
          <t>Admitted</t>
        </is>
      </c>
      <c r="H153" s="33" t="n"/>
    </row>
    <row r="154">
      <c r="A154" t="inlineStr">
        <is>
          <t>ED211747</t>
        </is>
      </c>
      <c r="B154" t="n">
        <v>4</v>
      </c>
      <c r="C154" s="32" t="n">
        <v>45994.55</v>
      </c>
      <c r="D154" s="32" t="n">
        <v>45994.55555555555</v>
      </c>
      <c r="E154" s="32" t="n">
        <v>45994.58263888889</v>
      </c>
      <c r="F154" s="32" t="n">
        <v>45994.62777777778</v>
      </c>
      <c r="G154" t="inlineStr">
        <is>
          <t>Discharged</t>
        </is>
      </c>
      <c r="H154" s="33" t="n"/>
    </row>
    <row r="155">
      <c r="A155" t="inlineStr">
        <is>
          <t>ED211752</t>
        </is>
      </c>
      <c r="B155" t="n">
        <v>4</v>
      </c>
      <c r="C155" s="32" t="n">
        <v>45994.75486111111</v>
      </c>
      <c r="D155" s="32" t="n">
        <v>45994.76041666666</v>
      </c>
      <c r="F155" s="32" t="n">
        <v>45994.83680555555</v>
      </c>
      <c r="G155" t="inlineStr">
        <is>
          <t>LWBS</t>
        </is>
      </c>
      <c r="H155" s="33" t="n"/>
    </row>
    <row r="156">
      <c r="A156" t="inlineStr">
        <is>
          <t>ED211753</t>
        </is>
      </c>
      <c r="B156" t="n">
        <v>5</v>
      </c>
      <c r="C156" s="32" t="n">
        <v>45994.77847222222</v>
      </c>
      <c r="D156" s="32" t="n">
        <v>45994.78055555555</v>
      </c>
      <c r="E156" s="32" t="n">
        <v>45994.81527777778</v>
      </c>
      <c r="F156" s="32" t="n">
        <v>45994.87361111111</v>
      </c>
      <c r="G156" t="inlineStr">
        <is>
          <t>Discharged</t>
        </is>
      </c>
      <c r="H156" s="33" t="n"/>
    </row>
    <row r="157">
      <c r="A157" t="inlineStr">
        <is>
          <t>ED211760</t>
        </is>
      </c>
      <c r="B157" t="n">
        <v>3</v>
      </c>
      <c r="C157" s="32" t="n">
        <v>45995.25625</v>
      </c>
      <c r="D157" s="32" t="n">
        <v>45995.26180555556</v>
      </c>
      <c r="E157" s="32" t="n">
        <v>45995.28125</v>
      </c>
      <c r="F157" s="32" t="n">
        <v>45995.45902777778</v>
      </c>
      <c r="G157" t="inlineStr">
        <is>
          <t>Admitted</t>
        </is>
      </c>
      <c r="H157" s="33" t="n"/>
    </row>
    <row r="158">
      <c r="A158" t="inlineStr">
        <is>
          <t>ED211765</t>
        </is>
      </c>
      <c r="B158" t="n">
        <v>2</v>
      </c>
      <c r="C158" s="32" t="n">
        <v>45995.49652777778</v>
      </c>
      <c r="D158" s="32" t="n">
        <v>45995.50277777778</v>
      </c>
      <c r="E158" s="32" t="n">
        <v>45995.50555555556</v>
      </c>
      <c r="F158" s="32" t="n">
        <v>45995.72430555556</v>
      </c>
      <c r="G158" t="inlineStr">
        <is>
          <t>Admitted</t>
        </is>
      </c>
      <c r="H158" s="33" t="n"/>
    </row>
    <row r="159">
      <c r="A159" t="inlineStr">
        <is>
          <t>ED211767</t>
        </is>
      </c>
      <c r="B159" t="n">
        <v>4</v>
      </c>
      <c r="C159" s="32" t="n">
        <v>45995.51875</v>
      </c>
      <c r="D159" s="32" t="n">
        <v>45995.52152777778</v>
      </c>
      <c r="E159" s="32" t="n">
        <v>45995.56041666667</v>
      </c>
      <c r="F159" s="32" t="n">
        <v>45995.59652777778</v>
      </c>
      <c r="G159" t="inlineStr">
        <is>
          <t>Discharged</t>
        </is>
      </c>
      <c r="H159" s="33" t="n"/>
    </row>
    <row r="160">
      <c r="A160" t="inlineStr">
        <is>
          <t>ED211771</t>
        </is>
      </c>
      <c r="B160" t="n">
        <v>3</v>
      </c>
      <c r="C160" s="32" t="n">
        <v>45995.68194444444</v>
      </c>
      <c r="D160" s="32" t="n">
        <v>45995.69097222222</v>
      </c>
      <c r="E160" s="32" t="n">
        <v>45995.73680555556</v>
      </c>
      <c r="F160" s="32" t="n">
        <v>45996.0125</v>
      </c>
      <c r="G160" t="inlineStr">
        <is>
          <t>Observation</t>
        </is>
      </c>
      <c r="H160" s="33" t="n"/>
    </row>
    <row r="161">
      <c r="A161" t="inlineStr">
        <is>
          <t>ED211800</t>
        </is>
      </c>
      <c r="B161" t="n">
        <v>3</v>
      </c>
      <c r="C161" s="32" t="n">
        <v>45997.05069444444</v>
      </c>
      <c r="D161" s="32" t="n">
        <v>45997.05555555555</v>
      </c>
      <c r="E161" s="32" t="n">
        <v>45997.07430555556</v>
      </c>
      <c r="F161" s="32" t="n">
        <v>45997.2875</v>
      </c>
      <c r="G161" t="inlineStr">
        <is>
          <t>Admitted</t>
        </is>
      </c>
      <c r="H161" s="33" t="n"/>
    </row>
    <row r="162">
      <c r="A162" t="inlineStr">
        <is>
          <t>ED211810</t>
        </is>
      </c>
      <c r="B162" t="n">
        <v>2</v>
      </c>
      <c r="C162" s="32" t="n">
        <v>45997.51875</v>
      </c>
      <c r="D162" s="32" t="n">
        <v>45997.52361111111</v>
      </c>
      <c r="E162" s="32" t="n">
        <v>45997.54027777778</v>
      </c>
      <c r="F162" s="32" t="n">
        <v>45997.75138888889</v>
      </c>
      <c r="G162" t="inlineStr">
        <is>
          <t>Admitted</t>
        </is>
      </c>
      <c r="H162" s="33" t="n"/>
    </row>
    <row r="163">
      <c r="A163" t="inlineStr">
        <is>
          <t>ED211814</t>
        </is>
      </c>
      <c r="B163" t="n">
        <v>4</v>
      </c>
      <c r="C163" s="32" t="n">
        <v>45997.77638888889</v>
      </c>
      <c r="D163" s="32" t="n">
        <v>45997.78194444445</v>
      </c>
      <c r="E163" s="32" t="n">
        <v>45997.94722222222</v>
      </c>
      <c r="F163" s="32" t="n">
        <v>45998.01527777778</v>
      </c>
      <c r="G163" t="inlineStr">
        <is>
          <t>Discharged</t>
        </is>
      </c>
      <c r="H163" s="33" t="n"/>
    </row>
    <row r="164">
      <c r="A164" t="inlineStr">
        <is>
          <t>ED211816</t>
        </is>
      </c>
      <c r="B164" t="n">
        <v>2</v>
      </c>
      <c r="C164" s="32" t="n">
        <v>45997.80972222222</v>
      </c>
      <c r="D164" s="32" t="n">
        <v>45997.81527777778</v>
      </c>
      <c r="E164" s="32" t="n">
        <v>45997.81944444445</v>
      </c>
      <c r="F164" s="32" t="n">
        <v>45998.05694444444</v>
      </c>
      <c r="G164" t="inlineStr">
        <is>
          <t>Admitted</t>
        </is>
      </c>
      <c r="H164" s="33" t="n"/>
    </row>
    <row r="165">
      <c r="A165" t="inlineStr">
        <is>
          <t>ED211829</t>
        </is>
      </c>
      <c r="B165" t="n">
        <v>4</v>
      </c>
      <c r="C165" s="32" t="n">
        <v>45998.88958333333</v>
      </c>
      <c r="D165" s="32" t="n">
        <v>45998.89375</v>
      </c>
      <c r="E165" s="32" t="n">
        <v>45998.92291666667</v>
      </c>
      <c r="F165" s="32" t="n">
        <v>45999.22777777778</v>
      </c>
      <c r="G165" t="inlineStr">
        <is>
          <t>Observation</t>
        </is>
      </c>
      <c r="H165" s="33" t="n"/>
    </row>
    <row r="166">
      <c r="A166" t="inlineStr">
        <is>
          <t>ED211846</t>
        </is>
      </c>
      <c r="B166" t="n">
        <v>3</v>
      </c>
      <c r="C166" s="32" t="n">
        <v>45999.58819444444</v>
      </c>
      <c r="D166" s="32" t="n">
        <v>45999.59444444445</v>
      </c>
      <c r="E166" s="32" t="n">
        <v>45999.68958333333</v>
      </c>
      <c r="F166" s="32" t="n">
        <v>45999.78541666667</v>
      </c>
      <c r="G166" t="inlineStr">
        <is>
          <t>Discharged</t>
        </is>
      </c>
      <c r="H166" s="33" t="n"/>
    </row>
    <row r="167">
      <c r="A167" t="inlineStr">
        <is>
          <t>ED211849</t>
        </is>
      </c>
      <c r="B167" t="n">
        <v>4</v>
      </c>
      <c r="C167" s="32" t="n">
        <v>45999.61111111111</v>
      </c>
      <c r="D167" s="32" t="n">
        <v>45999.61527777778</v>
      </c>
      <c r="E167" s="32" t="n">
        <v>45999.68541666667</v>
      </c>
      <c r="F167" s="32" t="n">
        <v>45999.93680555555</v>
      </c>
      <c r="G167" t="inlineStr">
        <is>
          <t>Admitted</t>
        </is>
      </c>
      <c r="H167" s="33" t="n"/>
    </row>
    <row r="168">
      <c r="A168" t="inlineStr">
        <is>
          <t>ED211858</t>
        </is>
      </c>
      <c r="B168" t="n">
        <v>3</v>
      </c>
      <c r="C168" s="32" t="n">
        <v>45999.91944444444</v>
      </c>
      <c r="D168" s="32" t="n">
        <v>45999.92986111111</v>
      </c>
      <c r="E168" s="32" t="n">
        <v>45999.94861111111</v>
      </c>
      <c r="F168" s="32" t="n">
        <v>46000.08402777778</v>
      </c>
      <c r="G168" t="inlineStr">
        <is>
          <t>Discharged</t>
        </is>
      </c>
      <c r="H168" s="33" t="n"/>
    </row>
    <row r="169">
      <c r="A169" t="inlineStr">
        <is>
          <t>ED211860</t>
        </is>
      </c>
      <c r="B169" t="n">
        <v>3</v>
      </c>
      <c r="C169" s="32" t="n">
        <v>46000.00972222222</v>
      </c>
      <c r="D169" s="32" t="n">
        <v>46000.02013888889</v>
      </c>
      <c r="E169" s="32" t="n">
        <v>46000.02083333334</v>
      </c>
      <c r="F169" s="32" t="n">
        <v>46000.21388888889</v>
      </c>
      <c r="G169" t="inlineStr">
        <is>
          <t>Admitted</t>
        </is>
      </c>
      <c r="H169" s="33" t="n"/>
    </row>
    <row r="170">
      <c r="A170" t="inlineStr">
        <is>
          <t>ED211874</t>
        </is>
      </c>
      <c r="B170" t="n">
        <v>4</v>
      </c>
      <c r="C170" s="32" t="n">
        <v>46000.58194444444</v>
      </c>
      <c r="D170" s="32" t="n">
        <v>46000.59027777778</v>
      </c>
      <c r="E170" s="32" t="n">
        <v>46000.64305555556</v>
      </c>
      <c r="F170" s="32" t="n">
        <v>46000.68680555555</v>
      </c>
      <c r="G170" t="inlineStr">
        <is>
          <t>Discharged</t>
        </is>
      </c>
      <c r="H170" s="33" t="n"/>
    </row>
    <row r="171">
      <c r="A171" t="inlineStr">
        <is>
          <t>ED211878</t>
        </is>
      </c>
      <c r="B171" t="n">
        <v>3</v>
      </c>
      <c r="C171" s="32" t="n">
        <v>46000.68958333333</v>
      </c>
      <c r="D171" s="32" t="n">
        <v>46000.69861111111</v>
      </c>
      <c r="E171" s="32" t="n">
        <v>46000.72083333333</v>
      </c>
      <c r="F171" s="32" t="n">
        <v>46000.85416666666</v>
      </c>
      <c r="G171" t="inlineStr">
        <is>
          <t>Admitted</t>
        </is>
      </c>
      <c r="H171" s="33" t="n"/>
    </row>
    <row r="172">
      <c r="A172" t="inlineStr">
        <is>
          <t>ED211883</t>
        </is>
      </c>
      <c r="B172" t="n">
        <v>3</v>
      </c>
      <c r="C172" s="32" t="n">
        <v>46000.84930555556</v>
      </c>
      <c r="D172" s="32" t="n">
        <v>46000.85277777778</v>
      </c>
      <c r="E172" s="32" t="n">
        <v>46000.88680555556</v>
      </c>
      <c r="F172" s="32" t="n">
        <v>46001.47638888889</v>
      </c>
      <c r="G172" t="inlineStr">
        <is>
          <t>Admitted</t>
        </is>
      </c>
      <c r="H172" s="33" t="n"/>
    </row>
    <row r="173">
      <c r="A173" t="inlineStr">
        <is>
          <t>ED211887</t>
        </is>
      </c>
      <c r="B173" t="n">
        <v>4</v>
      </c>
      <c r="C173" s="32" t="n">
        <v>46001.38958333333</v>
      </c>
      <c r="D173" s="32" t="n">
        <v>46001.39722222222</v>
      </c>
      <c r="F173" s="32" t="n">
        <v>46001.50069444445</v>
      </c>
      <c r="G173" t="inlineStr">
        <is>
          <t>LWBS</t>
        </is>
      </c>
      <c r="H173" s="33" t="n"/>
    </row>
    <row r="174">
      <c r="A174" t="inlineStr">
        <is>
          <t>ED211888</t>
        </is>
      </c>
      <c r="B174" t="n">
        <v>3</v>
      </c>
      <c r="C174" s="32" t="n">
        <v>46001.43055555555</v>
      </c>
      <c r="D174" s="32" t="n">
        <v>46001.44652777778</v>
      </c>
      <c r="E174" s="32" t="n">
        <v>46001.44722222222</v>
      </c>
      <c r="F174" s="32" t="n">
        <v>46001.58472222222</v>
      </c>
      <c r="G174" t="inlineStr">
        <is>
          <t>Discharged</t>
        </is>
      </c>
      <c r="H174" s="33" t="n"/>
    </row>
    <row r="175">
      <c r="A175" t="inlineStr">
        <is>
          <t>ED211891</t>
        </is>
      </c>
      <c r="B175" t="n">
        <v>5</v>
      </c>
      <c r="C175" s="32" t="n">
        <v>46001.58958333333</v>
      </c>
      <c r="D175" s="32" t="n">
        <v>46001.59166666667</v>
      </c>
      <c r="E175" s="32" t="n">
        <v>46001.64722222222</v>
      </c>
      <c r="F175" s="32" t="n">
        <v>46001.69930555556</v>
      </c>
      <c r="G175" t="inlineStr">
        <is>
          <t>Discharged</t>
        </is>
      </c>
      <c r="H175" s="33" t="n"/>
    </row>
    <row r="176">
      <c r="A176" t="inlineStr">
        <is>
          <t>ED211893</t>
        </is>
      </c>
      <c r="B176" t="n">
        <v>3</v>
      </c>
      <c r="C176" s="32" t="n">
        <v>46001.62083333333</v>
      </c>
      <c r="D176" s="32" t="n">
        <v>46001.62361111111</v>
      </c>
      <c r="E176" s="32" t="n">
        <v>46001.65208333333</v>
      </c>
      <c r="F176" s="32" t="n">
        <v>46001.725</v>
      </c>
      <c r="G176" t="inlineStr">
        <is>
          <t>Discharged</t>
        </is>
      </c>
      <c r="H176" s="33" t="n"/>
    </row>
    <row r="177">
      <c r="A177" t="inlineStr">
        <is>
          <t>ED211901</t>
        </is>
      </c>
      <c r="B177" t="n">
        <v>3</v>
      </c>
      <c r="C177" s="32" t="n">
        <v>46001.82083333333</v>
      </c>
      <c r="D177" s="32" t="n">
        <v>46001.82430555556</v>
      </c>
      <c r="E177" s="32" t="n">
        <v>46001.87777777778</v>
      </c>
      <c r="F177" s="32" t="n">
        <v>46002.10416666666</v>
      </c>
      <c r="G177" t="inlineStr">
        <is>
          <t>Admitted</t>
        </is>
      </c>
      <c r="H177" s="33" t="n"/>
    </row>
    <row r="178">
      <c r="A178" t="inlineStr">
        <is>
          <t>ED211908</t>
        </is>
      </c>
      <c r="B178" t="n">
        <v>3</v>
      </c>
      <c r="C178" s="32" t="n">
        <v>46002.39097222222</v>
      </c>
      <c r="D178" s="32" t="n">
        <v>46002.39513888889</v>
      </c>
      <c r="E178" s="32" t="n">
        <v>46002.41944444444</v>
      </c>
      <c r="F178" s="32" t="n">
        <v>46002.58541666667</v>
      </c>
      <c r="G178" t="inlineStr">
        <is>
          <t>Admitted</t>
        </is>
      </c>
      <c r="H178" s="33" t="n"/>
    </row>
    <row r="179">
      <c r="A179" t="inlineStr">
        <is>
          <t>ED211909</t>
        </is>
      </c>
      <c r="B179" t="n">
        <v>4</v>
      </c>
      <c r="C179" s="32" t="n">
        <v>46002.43333333333</v>
      </c>
      <c r="D179" s="32" t="n">
        <v>46002.44305555556</v>
      </c>
      <c r="E179" s="32" t="n">
        <v>46002.49722222222</v>
      </c>
      <c r="F179" s="32" t="n">
        <v>46002.55833333333</v>
      </c>
      <c r="G179" t="inlineStr">
        <is>
          <t>Discharged</t>
        </is>
      </c>
      <c r="H179" s="33" t="n"/>
    </row>
    <row r="180">
      <c r="A180" t="inlineStr">
        <is>
          <t>ED211918</t>
        </is>
      </c>
      <c r="B180" t="n">
        <v>3</v>
      </c>
      <c r="C180" s="32" t="n">
        <v>46003.07222222222</v>
      </c>
      <c r="D180" s="32" t="n">
        <v>46003.07777777778</v>
      </c>
      <c r="E180" s="32" t="n">
        <v>46003.11388888889</v>
      </c>
      <c r="F180" s="32" t="n">
        <v>46003.22152777778</v>
      </c>
      <c r="G180" t="inlineStr">
        <is>
          <t>Discharged</t>
        </is>
      </c>
      <c r="H180" s="33" t="n"/>
    </row>
    <row r="181">
      <c r="A181" t="inlineStr">
        <is>
          <t>ED211941</t>
        </is>
      </c>
      <c r="B181" t="n">
        <v>4</v>
      </c>
      <c r="C181" s="32" t="n">
        <v>46004.47361111111</v>
      </c>
      <c r="D181" s="32" t="n">
        <v>46004.48402777778</v>
      </c>
      <c r="E181" s="32" t="n">
        <v>46004.50138888889</v>
      </c>
      <c r="F181" s="32" t="n">
        <v>46004.56041666667</v>
      </c>
      <c r="G181" t="inlineStr">
        <is>
          <t>Discharged</t>
        </is>
      </c>
      <c r="H181" s="33" t="n"/>
    </row>
    <row r="182">
      <c r="A182" t="inlineStr">
        <is>
          <t>ED211946</t>
        </is>
      </c>
      <c r="B182" t="n">
        <v>4</v>
      </c>
      <c r="C182" s="32" t="n">
        <v>46004.70277777778</v>
      </c>
      <c r="D182" s="32" t="n">
        <v>46004.71527777778</v>
      </c>
      <c r="E182" s="32" t="n">
        <v>46004.82430555556</v>
      </c>
      <c r="F182" s="32" t="n">
        <v>46004.90486111111</v>
      </c>
      <c r="G182" t="inlineStr">
        <is>
          <t>Discharged</t>
        </is>
      </c>
      <c r="H182" s="33" t="n"/>
    </row>
    <row r="183">
      <c r="A183" t="inlineStr">
        <is>
          <t>ED211975</t>
        </is>
      </c>
      <c r="B183" t="n">
        <v>2</v>
      </c>
      <c r="C183" s="32" t="n">
        <v>46006.42222222222</v>
      </c>
      <c r="D183" s="32" t="n">
        <v>46006.42777777778</v>
      </c>
      <c r="E183" s="32" t="n">
        <v>46006.44097222222</v>
      </c>
      <c r="F183" s="32" t="n">
        <v>46006.55208333334</v>
      </c>
      <c r="G183" t="inlineStr">
        <is>
          <t>Admitted</t>
        </is>
      </c>
      <c r="H183" s="33" t="n"/>
    </row>
    <row r="184">
      <c r="A184" t="inlineStr">
        <is>
          <t>ED211982</t>
        </is>
      </c>
      <c r="B184" t="n">
        <v>4</v>
      </c>
      <c r="C184" s="32" t="n">
        <v>46006.57569444444</v>
      </c>
      <c r="D184" s="32" t="n">
        <v>46006.57916666667</v>
      </c>
      <c r="F184" s="32" t="n">
        <v>46006.65555555555</v>
      </c>
      <c r="G184" t="inlineStr">
        <is>
          <t>LWBS</t>
        </is>
      </c>
      <c r="H184" s="33" t="n"/>
    </row>
    <row r="185">
      <c r="A185" t="inlineStr">
        <is>
          <t>ED211983</t>
        </is>
      </c>
      <c r="B185" t="n">
        <v>3</v>
      </c>
      <c r="C185" s="32" t="n">
        <v>46006.58194444444</v>
      </c>
      <c r="D185" s="32" t="n">
        <v>46006.59236111111</v>
      </c>
      <c r="E185" s="32" t="n">
        <v>46006.65138888889</v>
      </c>
      <c r="F185" s="32" t="n">
        <v>46006.79861111111</v>
      </c>
      <c r="G185" t="inlineStr">
        <is>
          <t>Discharged</t>
        </is>
      </c>
      <c r="H185" s="33" t="n"/>
    </row>
    <row r="186">
      <c r="A186" t="inlineStr">
        <is>
          <t>ED211994</t>
        </is>
      </c>
      <c r="B186" t="n">
        <v>3</v>
      </c>
      <c r="C186" s="32" t="n">
        <v>46007.40763888889</v>
      </c>
      <c r="D186" s="32" t="n">
        <v>46007.40972222222</v>
      </c>
      <c r="E186" s="32" t="n">
        <v>46007.44722222222</v>
      </c>
      <c r="F186" s="32" t="n">
        <v>46007.54166666666</v>
      </c>
      <c r="G186" t="inlineStr">
        <is>
          <t>Discharged</t>
        </is>
      </c>
      <c r="H186" s="33" t="n"/>
    </row>
    <row r="187">
      <c r="A187" t="inlineStr">
        <is>
          <t>ED211997</t>
        </is>
      </c>
      <c r="B187" t="n">
        <v>3</v>
      </c>
      <c r="C187" s="32" t="n">
        <v>46007.44722222222</v>
      </c>
      <c r="D187" s="32" t="n">
        <v>46007.45208333333</v>
      </c>
      <c r="E187" s="32" t="n">
        <v>46007.47222222222</v>
      </c>
      <c r="F187" s="32" t="n">
        <v>46007.59722222222</v>
      </c>
      <c r="G187" t="inlineStr">
        <is>
          <t>Discharged</t>
        </is>
      </c>
      <c r="H187" s="33" t="n"/>
    </row>
    <row r="188">
      <c r="A188" t="inlineStr">
        <is>
          <t>ED211999</t>
        </is>
      </c>
      <c r="B188" t="n">
        <v>4</v>
      </c>
      <c r="C188" s="32" t="n">
        <v>46007.46805555555</v>
      </c>
      <c r="D188" s="32" t="n">
        <v>46007.47361111111</v>
      </c>
      <c r="E188" s="32" t="n">
        <v>46007.55416666667</v>
      </c>
      <c r="F188" s="32" t="n">
        <v>46007.60416666666</v>
      </c>
      <c r="G188" t="inlineStr">
        <is>
          <t>Discharged</t>
        </is>
      </c>
      <c r="H188" s="33" t="n"/>
    </row>
    <row r="189">
      <c r="A189" t="inlineStr">
        <is>
          <t>ED212002</t>
        </is>
      </c>
      <c r="B189" t="n">
        <v>2</v>
      </c>
      <c r="C189" s="32" t="n">
        <v>46007.68541666667</v>
      </c>
      <c r="D189" s="32" t="n">
        <v>46007.69166666667</v>
      </c>
      <c r="E189" s="32" t="n">
        <v>46007.69861111111</v>
      </c>
      <c r="F189" s="32" t="n">
        <v>46007.87708333333</v>
      </c>
      <c r="G189" t="inlineStr">
        <is>
          <t>Admitted</t>
        </is>
      </c>
      <c r="H189" s="33" t="n"/>
    </row>
    <row r="190">
      <c r="A190" t="inlineStr">
        <is>
          <t>ED212016</t>
        </is>
      </c>
      <c r="B190" t="n">
        <v>3</v>
      </c>
      <c r="C190" s="32" t="n">
        <v>46007.91875</v>
      </c>
      <c r="D190" s="32" t="n">
        <v>46007.925</v>
      </c>
      <c r="E190" s="32" t="n">
        <v>46007.93888888889</v>
      </c>
      <c r="F190" s="32" t="n">
        <v>46008.05694444444</v>
      </c>
      <c r="G190" t="inlineStr">
        <is>
          <t>Discharged</t>
        </is>
      </c>
      <c r="H190" s="33" t="n"/>
    </row>
    <row r="191">
      <c r="A191" t="inlineStr">
        <is>
          <t>ED212031</t>
        </is>
      </c>
      <c r="B191" t="n">
        <v>4</v>
      </c>
      <c r="C191" s="32" t="n">
        <v>46008.70208333333</v>
      </c>
      <c r="D191" s="32" t="n">
        <v>46008.70416666667</v>
      </c>
      <c r="E191" s="32" t="n">
        <v>46008.7375</v>
      </c>
      <c r="F191" s="32" t="n">
        <v>46008.80277777778</v>
      </c>
      <c r="G191" t="inlineStr">
        <is>
          <t>Discharged</t>
        </is>
      </c>
      <c r="H191" s="33" t="n"/>
    </row>
    <row r="192">
      <c r="A192" t="inlineStr">
        <is>
          <t>ED212035</t>
        </is>
      </c>
      <c r="B192" t="n">
        <v>4</v>
      </c>
      <c r="C192" s="32" t="n">
        <v>46008.87291666667</v>
      </c>
      <c r="D192" s="32" t="n">
        <v>46008.87916666667</v>
      </c>
      <c r="E192" s="32" t="n">
        <v>46008.90208333333</v>
      </c>
      <c r="F192" s="32" t="n">
        <v>46008.98611111111</v>
      </c>
      <c r="G192" t="inlineStr">
        <is>
          <t>Discharged</t>
        </is>
      </c>
      <c r="H192" s="33" t="n"/>
    </row>
    <row r="193">
      <c r="A193" t="inlineStr">
        <is>
          <t>ED212047</t>
        </is>
      </c>
      <c r="B193" t="n">
        <v>4</v>
      </c>
      <c r="C193" s="32" t="n">
        <v>46009.375</v>
      </c>
      <c r="D193" s="32" t="n">
        <v>46009.38263888889</v>
      </c>
      <c r="E193" s="32" t="n">
        <v>46009.65972222222</v>
      </c>
      <c r="F193" s="32" t="n">
        <v>46009.72013888889</v>
      </c>
      <c r="G193" t="inlineStr">
        <is>
          <t>Discharged</t>
        </is>
      </c>
      <c r="H193" s="33" t="n"/>
    </row>
    <row r="194">
      <c r="A194" t="inlineStr">
        <is>
          <t>ED212051</t>
        </is>
      </c>
      <c r="B194" t="n">
        <v>2</v>
      </c>
      <c r="C194" s="32" t="n">
        <v>46009.45208333333</v>
      </c>
      <c r="D194" s="32" t="n">
        <v>46009.45486111111</v>
      </c>
      <c r="E194" s="32" t="n">
        <v>46009.46944444445</v>
      </c>
      <c r="F194" s="32" t="n">
        <v>46009.58611111111</v>
      </c>
      <c r="G194" t="inlineStr">
        <is>
          <t>Discharged</t>
        </is>
      </c>
      <c r="H194" s="33" t="n"/>
    </row>
    <row r="195">
      <c r="A195" t="inlineStr">
        <is>
          <t>ED212053</t>
        </is>
      </c>
      <c r="B195" t="n">
        <v>3</v>
      </c>
      <c r="C195" s="32" t="n">
        <v>46009.52847222222</v>
      </c>
      <c r="D195" s="32" t="n">
        <v>46009.53194444445</v>
      </c>
      <c r="E195" s="32" t="n">
        <v>46009.5625</v>
      </c>
      <c r="F195" s="32" t="n">
        <v>46009.68402777778</v>
      </c>
      <c r="G195" t="inlineStr">
        <is>
          <t>Discharged</t>
        </is>
      </c>
      <c r="H195" s="33" t="n"/>
    </row>
    <row r="196">
      <c r="A196" t="inlineStr">
        <is>
          <t>ED212058</t>
        </is>
      </c>
      <c r="B196" t="n">
        <v>3</v>
      </c>
      <c r="C196" s="32" t="n">
        <v>46009.73402777778</v>
      </c>
      <c r="D196" s="32" t="n">
        <v>46009.73888888889</v>
      </c>
      <c r="E196" s="32" t="n">
        <v>46009.79513888889</v>
      </c>
      <c r="F196" s="32" t="n">
        <v>46009.89375</v>
      </c>
      <c r="G196" t="inlineStr">
        <is>
          <t>Discharged</t>
        </is>
      </c>
      <c r="H196" s="33" t="n"/>
    </row>
    <row r="197">
      <c r="A197" t="inlineStr">
        <is>
          <t>ED212060</t>
        </is>
      </c>
      <c r="B197" t="n">
        <v>2</v>
      </c>
      <c r="C197" s="32" t="n">
        <v>46009.87638888889</v>
      </c>
      <c r="D197" s="32" t="n">
        <v>46009.88263888889</v>
      </c>
      <c r="E197" s="32" t="n">
        <v>46009.89791666667</v>
      </c>
      <c r="F197" s="32" t="n">
        <v>46010.15972222222</v>
      </c>
      <c r="G197" t="inlineStr">
        <is>
          <t>Admitted</t>
        </is>
      </c>
      <c r="H197" s="33" t="n"/>
    </row>
    <row r="198">
      <c r="A198" t="inlineStr">
        <is>
          <t>ED212063</t>
        </is>
      </c>
      <c r="B198" t="n">
        <v>3</v>
      </c>
      <c r="C198" s="32" t="n">
        <v>46009.98194444444</v>
      </c>
      <c r="D198" s="32" t="n">
        <v>46009.98819444444</v>
      </c>
      <c r="E198" s="32" t="n">
        <v>46010.05347222222</v>
      </c>
      <c r="F198" s="32" t="n">
        <v>46010.15972222222</v>
      </c>
      <c r="G198" t="inlineStr">
        <is>
          <t>Discharged</t>
        </is>
      </c>
      <c r="H198" s="33" t="n"/>
    </row>
    <row r="199">
      <c r="A199" t="inlineStr">
        <is>
          <t>ED212070</t>
        </is>
      </c>
      <c r="B199" t="n">
        <v>3</v>
      </c>
      <c r="C199" s="32" t="n">
        <v>46010.59444444445</v>
      </c>
      <c r="D199" s="32" t="n">
        <v>46010.6</v>
      </c>
      <c r="E199" s="32" t="n">
        <v>46010.64097222222</v>
      </c>
      <c r="F199" s="32" t="n">
        <v>46010.84791666667</v>
      </c>
      <c r="G199" t="inlineStr">
        <is>
          <t>Admitted</t>
        </is>
      </c>
      <c r="H199" s="33" t="n"/>
    </row>
    <row r="200">
      <c r="A200" t="inlineStr">
        <is>
          <t>ED212071</t>
        </is>
      </c>
      <c r="B200" t="n">
        <v>3</v>
      </c>
      <c r="C200" s="32" t="n">
        <v>46010.64097222222</v>
      </c>
      <c r="D200" s="32" t="n">
        <v>46010.64513888889</v>
      </c>
      <c r="E200" s="32" t="n">
        <v>46010.66944444444</v>
      </c>
      <c r="F200" s="32" t="n">
        <v>46010.8</v>
      </c>
      <c r="G200" t="inlineStr">
        <is>
          <t>Discharged</t>
        </is>
      </c>
      <c r="H200" s="33" t="n"/>
    </row>
    <row r="201">
      <c r="A201" t="inlineStr">
        <is>
          <t>ED212073</t>
        </is>
      </c>
      <c r="B201" t="n">
        <v>3</v>
      </c>
      <c r="C201" s="32" t="n">
        <v>46010.68958333333</v>
      </c>
      <c r="D201" s="32" t="n">
        <v>46010.69861111111</v>
      </c>
      <c r="E201" s="32" t="n">
        <v>46010.70486111111</v>
      </c>
      <c r="F201" s="32" t="n">
        <v>46010.78402777778</v>
      </c>
      <c r="G201" t="inlineStr">
        <is>
          <t>Discharged</t>
        </is>
      </c>
      <c r="H201" s="33" t="n"/>
    </row>
    <row r="202">
      <c r="A202" t="inlineStr">
        <is>
          <t>ED212074</t>
        </is>
      </c>
      <c r="B202" t="n">
        <v>3</v>
      </c>
      <c r="C202" s="32" t="n">
        <v>46010.72430555556</v>
      </c>
      <c r="D202" s="32" t="n">
        <v>46010.73125</v>
      </c>
      <c r="E202" s="32" t="n">
        <v>46010.74027777778</v>
      </c>
      <c r="F202" s="32" t="n">
        <v>46010.89097222222</v>
      </c>
      <c r="G202" t="inlineStr">
        <is>
          <t>Admitted</t>
        </is>
      </c>
      <c r="H202" s="33" t="n"/>
    </row>
    <row r="203">
      <c r="A203" t="inlineStr">
        <is>
          <t>ED212077</t>
        </is>
      </c>
      <c r="B203" t="n">
        <v>2</v>
      </c>
      <c r="C203" s="32" t="n">
        <v>46010.80069444444</v>
      </c>
      <c r="D203" s="32" t="n">
        <v>46010.80416666667</v>
      </c>
      <c r="E203" s="32" t="n">
        <v>46010.81319444445</v>
      </c>
      <c r="F203" s="32" t="n">
        <v>46010.9375</v>
      </c>
      <c r="G203" t="inlineStr">
        <is>
          <t>Admitted</t>
        </is>
      </c>
      <c r="H203" s="33" t="n"/>
    </row>
    <row r="204">
      <c r="A204" t="inlineStr">
        <is>
          <t>ED212091</t>
        </is>
      </c>
      <c r="B204" t="n">
        <v>2</v>
      </c>
      <c r="C204" s="32" t="n">
        <v>46011.53541666667</v>
      </c>
      <c r="D204" s="32" t="n">
        <v>46011.54375</v>
      </c>
      <c r="E204" s="32" t="n">
        <v>46011.55277777778</v>
      </c>
      <c r="F204" s="32" t="n">
        <v>46011.81388888889</v>
      </c>
      <c r="G204" t="inlineStr">
        <is>
          <t>Admitted</t>
        </is>
      </c>
      <c r="H204" s="33" t="n"/>
    </row>
    <row r="205">
      <c r="A205" t="inlineStr">
        <is>
          <t>ED212098</t>
        </is>
      </c>
      <c r="B205" t="n">
        <v>3</v>
      </c>
      <c r="C205" s="32" t="n">
        <v>46011.97847222222</v>
      </c>
      <c r="D205" s="32" t="n">
        <v>46011.98402777778</v>
      </c>
      <c r="E205" s="32" t="n">
        <v>46011.98680555556</v>
      </c>
      <c r="F205" s="32" t="n">
        <v>46012.11805555555</v>
      </c>
      <c r="G205" t="inlineStr">
        <is>
          <t>Admitted</t>
        </is>
      </c>
      <c r="H205" s="33" t="n"/>
    </row>
    <row r="206">
      <c r="A206" t="inlineStr">
        <is>
          <t>ED212104</t>
        </is>
      </c>
      <c r="B206" t="n">
        <v>2</v>
      </c>
      <c r="C206" s="32" t="n">
        <v>46012.40694444445</v>
      </c>
      <c r="D206" s="32" t="n">
        <v>46012.42013888889</v>
      </c>
      <c r="E206" s="32" t="n">
        <v>46012.42083333333</v>
      </c>
      <c r="F206" s="32" t="n">
        <v>46012.63263888889</v>
      </c>
      <c r="G206" t="inlineStr">
        <is>
          <t>Admitted</t>
        </is>
      </c>
      <c r="H206" s="33" t="n"/>
    </row>
    <row r="207">
      <c r="A207" t="inlineStr">
        <is>
          <t>ED212119</t>
        </is>
      </c>
      <c r="B207" t="n">
        <v>5</v>
      </c>
      <c r="C207" s="32" t="n">
        <v>46013.38819444444</v>
      </c>
      <c r="D207" s="32" t="n">
        <v>46013.39236111111</v>
      </c>
      <c r="F207" s="32" t="n">
        <v>46013.5</v>
      </c>
      <c r="G207" t="inlineStr">
        <is>
          <t>LWBS</t>
        </is>
      </c>
      <c r="H207" s="33" t="n"/>
    </row>
    <row r="208">
      <c r="A208" t="inlineStr">
        <is>
          <t>ED212121</t>
        </is>
      </c>
      <c r="B208" t="n">
        <v>4</v>
      </c>
      <c r="C208" s="32" t="n">
        <v>46013.42847222222</v>
      </c>
      <c r="D208" s="32" t="n">
        <v>46013.42986111111</v>
      </c>
      <c r="E208" s="32" t="n">
        <v>46013.49930555555</v>
      </c>
      <c r="F208" s="32" t="n">
        <v>46013.57638888889</v>
      </c>
      <c r="G208" t="inlineStr">
        <is>
          <t>Discharged</t>
        </is>
      </c>
      <c r="H208" s="33" t="n"/>
    </row>
    <row r="209">
      <c r="A209" t="inlineStr">
        <is>
          <t>ED212135</t>
        </is>
      </c>
      <c r="B209" t="n">
        <v>3</v>
      </c>
      <c r="C209" s="32" t="n">
        <v>46013.80486111111</v>
      </c>
      <c r="D209" s="32" t="n">
        <v>46013.80902777778</v>
      </c>
      <c r="E209" s="32" t="n">
        <v>46013.88194444445</v>
      </c>
      <c r="F209" s="32" t="n">
        <v>46014.01041666666</v>
      </c>
      <c r="G209" t="inlineStr">
        <is>
          <t>Discharged</t>
        </is>
      </c>
      <c r="H209" s="33" t="n"/>
    </row>
    <row r="210">
      <c r="A210" t="inlineStr">
        <is>
          <t>ED212153</t>
        </is>
      </c>
      <c r="B210" t="n">
        <v>5</v>
      </c>
      <c r="C210" s="32" t="n">
        <v>46014.67152777778</v>
      </c>
      <c r="D210" s="32" t="n">
        <v>46014.67708333334</v>
      </c>
      <c r="E210" s="32" t="n">
        <v>46014.75138888889</v>
      </c>
      <c r="F210" s="32" t="n">
        <v>46014.78680555556</v>
      </c>
      <c r="G210" t="inlineStr">
        <is>
          <t>Discharged</t>
        </is>
      </c>
      <c r="H210" s="33" t="n"/>
    </row>
    <row r="211">
      <c r="A211" t="inlineStr">
        <is>
          <t>ED212155</t>
        </is>
      </c>
      <c r="B211" t="n">
        <v>5</v>
      </c>
      <c r="C211" s="32" t="n">
        <v>46014.6875</v>
      </c>
      <c r="D211" s="32" t="n">
        <v>46014.68958333333</v>
      </c>
      <c r="E211" s="32" t="n">
        <v>46014.74791666667</v>
      </c>
      <c r="F211" s="32" t="n">
        <v>46014.78819444445</v>
      </c>
      <c r="G211" t="inlineStr">
        <is>
          <t>Discharged</t>
        </is>
      </c>
      <c r="H211" s="33" t="n"/>
    </row>
    <row r="212">
      <c r="A212" t="inlineStr">
        <is>
          <t>ED212159</t>
        </is>
      </c>
      <c r="B212" t="n">
        <v>4</v>
      </c>
      <c r="C212" s="32" t="n">
        <v>46014.78055555555</v>
      </c>
      <c r="D212" s="32" t="n">
        <v>46014.78402777778</v>
      </c>
      <c r="F212" s="32" t="n">
        <v>46014.86875</v>
      </c>
      <c r="G212" t="inlineStr">
        <is>
          <t>LWBS</t>
        </is>
      </c>
      <c r="H212" s="33" t="n"/>
    </row>
    <row r="213">
      <c r="A213" t="inlineStr">
        <is>
          <t>ED212166</t>
        </is>
      </c>
      <c r="B213" t="n">
        <v>3</v>
      </c>
      <c r="C213" s="32" t="n">
        <v>46014.91180555556</v>
      </c>
      <c r="D213" s="32" t="n">
        <v>46014.91458333333</v>
      </c>
      <c r="E213" s="32" t="n">
        <v>46014.92222222222</v>
      </c>
      <c r="F213" s="32" t="n">
        <v>46015.03958333333</v>
      </c>
      <c r="G213" t="inlineStr">
        <is>
          <t>Admitted</t>
        </is>
      </c>
      <c r="H213" s="33" t="n"/>
    </row>
    <row r="214">
      <c r="A214" t="inlineStr">
        <is>
          <t>ED212170</t>
        </is>
      </c>
      <c r="B214" t="n">
        <v>2</v>
      </c>
      <c r="C214" s="32" t="n">
        <v>46015.32361111111</v>
      </c>
      <c r="D214" s="32" t="n">
        <v>46015.32708333333</v>
      </c>
      <c r="E214" s="32" t="n">
        <v>46015.32847222222</v>
      </c>
      <c r="F214" s="32" t="n">
        <v>46015.63819444444</v>
      </c>
      <c r="G214" t="inlineStr">
        <is>
          <t>Admitted</t>
        </is>
      </c>
      <c r="H214" s="33" t="n"/>
    </row>
    <row r="215">
      <c r="A215" t="inlineStr">
        <is>
          <t>ED212182</t>
        </is>
      </c>
      <c r="B215" t="n">
        <v>1</v>
      </c>
      <c r="C215" s="32" t="n">
        <v>46015.92708333334</v>
      </c>
      <c r="D215" s="32" t="n">
        <v>46015.92847222222</v>
      </c>
      <c r="E215" s="32" t="n">
        <v>46015.92916666667</v>
      </c>
      <c r="F215" s="32" t="n">
        <v>46016.19652777778</v>
      </c>
      <c r="G215" t="inlineStr">
        <is>
          <t>Admitted</t>
        </is>
      </c>
      <c r="H215" s="33" t="n"/>
    </row>
    <row r="216">
      <c r="A216" t="inlineStr">
        <is>
          <t>ED212188</t>
        </is>
      </c>
      <c r="B216" t="n">
        <v>2</v>
      </c>
      <c r="C216" s="32" t="n">
        <v>46016.34722222222</v>
      </c>
      <c r="D216" s="32" t="n">
        <v>46016.35347222222</v>
      </c>
      <c r="E216" s="32" t="n">
        <v>46016.35763888889</v>
      </c>
      <c r="F216" s="32" t="n">
        <v>46016.45486111111</v>
      </c>
      <c r="G216" t="inlineStr">
        <is>
          <t>Discharged</t>
        </is>
      </c>
      <c r="H216" s="33" t="n"/>
    </row>
    <row r="217">
      <c r="A217" t="inlineStr">
        <is>
          <t>ED212190</t>
        </is>
      </c>
      <c r="B217" t="n">
        <v>2</v>
      </c>
      <c r="C217" s="32" t="n">
        <v>46016.38541666666</v>
      </c>
      <c r="D217" s="32" t="n">
        <v>46016.39791666667</v>
      </c>
      <c r="E217" s="32" t="n">
        <v>46016.39861111111</v>
      </c>
      <c r="F217" s="32" t="n">
        <v>46016.59236111111</v>
      </c>
      <c r="G217" t="inlineStr">
        <is>
          <t>Admitted</t>
        </is>
      </c>
      <c r="H217" s="33" t="n"/>
    </row>
    <row r="218">
      <c r="A218" t="inlineStr">
        <is>
          <t>ED212202</t>
        </is>
      </c>
      <c r="B218" t="n">
        <v>5</v>
      </c>
      <c r="C218" s="32" t="n">
        <v>46016.68402777778</v>
      </c>
      <c r="D218" s="32" t="n">
        <v>46016.68680555555</v>
      </c>
      <c r="E218" s="32" t="n">
        <v>46016.72847222222</v>
      </c>
      <c r="F218" s="32" t="n">
        <v>46016.7625</v>
      </c>
      <c r="G218" t="inlineStr">
        <is>
          <t>Discharged</t>
        </is>
      </c>
      <c r="H218" s="33" t="n"/>
    </row>
    <row r="219">
      <c r="A219" t="inlineStr">
        <is>
          <t>ED212210</t>
        </is>
      </c>
      <c r="B219" t="n">
        <v>2</v>
      </c>
      <c r="C219" s="32" t="n">
        <v>46017.16597222222</v>
      </c>
      <c r="D219" s="32" t="n">
        <v>46017.18055555555</v>
      </c>
      <c r="E219" s="32" t="n">
        <v>46017.18125</v>
      </c>
      <c r="F219" s="32" t="n">
        <v>46017.40625</v>
      </c>
      <c r="G219" t="inlineStr">
        <is>
          <t>Admitted</t>
        </is>
      </c>
      <c r="H219" s="33" t="n"/>
    </row>
    <row r="220">
      <c r="A220" t="inlineStr">
        <is>
          <t>ED212213</t>
        </is>
      </c>
      <c r="B220" t="n">
        <v>4</v>
      </c>
      <c r="C220" s="32" t="n">
        <v>46017.35972222222</v>
      </c>
      <c r="D220" s="32" t="n">
        <v>46017.36666666667</v>
      </c>
      <c r="E220" s="32" t="n">
        <v>46017.39930555555</v>
      </c>
      <c r="F220" s="32" t="n">
        <v>46017.45694444444</v>
      </c>
      <c r="G220" t="inlineStr">
        <is>
          <t>Observation</t>
        </is>
      </c>
      <c r="H220" s="33" t="n"/>
    </row>
    <row r="221">
      <c r="A221" t="inlineStr">
        <is>
          <t>ED212216</t>
        </is>
      </c>
      <c r="B221" t="n">
        <v>4</v>
      </c>
      <c r="C221" s="32" t="n">
        <v>46017.6125</v>
      </c>
      <c r="D221" s="32" t="n">
        <v>46017.61527777778</v>
      </c>
      <c r="F221" s="32" t="n">
        <v>46017.83888888889</v>
      </c>
      <c r="G221" t="inlineStr">
        <is>
          <t>LWBS</t>
        </is>
      </c>
      <c r="H221" s="33" t="n"/>
    </row>
    <row r="222">
      <c r="A222" t="inlineStr">
        <is>
          <t>ED212218</t>
        </is>
      </c>
      <c r="B222" t="n">
        <v>2</v>
      </c>
      <c r="C222" s="32" t="n">
        <v>46017.81041666667</v>
      </c>
      <c r="D222" s="32" t="n">
        <v>46017.81458333333</v>
      </c>
      <c r="E222" s="32" t="n">
        <v>46017.81666666667</v>
      </c>
      <c r="F222" s="32" t="n">
        <v>46017.99722222222</v>
      </c>
      <c r="G222" t="inlineStr">
        <is>
          <t>Discharged</t>
        </is>
      </c>
      <c r="H222" s="33" t="n"/>
    </row>
    <row r="223">
      <c r="A223" t="inlineStr">
        <is>
          <t>ED212225</t>
        </is>
      </c>
      <c r="B223" t="n">
        <v>3</v>
      </c>
      <c r="C223" s="32" t="n">
        <v>46018.31111111111</v>
      </c>
      <c r="D223" s="32" t="n">
        <v>46018.31736111111</v>
      </c>
      <c r="E223" s="32" t="n">
        <v>46018.36180555556</v>
      </c>
      <c r="F223" s="32" t="n">
        <v>46018.52777777778</v>
      </c>
      <c r="G223" t="inlineStr">
        <is>
          <t>Admitted</t>
        </is>
      </c>
      <c r="H223" s="33" t="n"/>
    </row>
    <row r="224">
      <c r="A224" t="inlineStr">
        <is>
          <t>ED212246</t>
        </is>
      </c>
      <c r="B224" t="n">
        <v>4</v>
      </c>
      <c r="C224" s="32" t="n">
        <v>46019.74652777778</v>
      </c>
      <c r="D224" s="32" t="n">
        <v>46019.74930555555</v>
      </c>
      <c r="F224" s="32" t="n">
        <v>46019.8375</v>
      </c>
      <c r="G224" t="inlineStr">
        <is>
          <t>LWBS</t>
        </is>
      </c>
      <c r="H224" s="33" t="n"/>
    </row>
    <row r="225">
      <c r="A225" t="inlineStr">
        <is>
          <t>ED212252</t>
        </is>
      </c>
      <c r="B225" t="n">
        <v>3</v>
      </c>
      <c r="C225" s="32" t="n">
        <v>46020.36736111111</v>
      </c>
      <c r="D225" s="32" t="n">
        <v>46020.37152777778</v>
      </c>
      <c r="E225" s="32" t="n">
        <v>46020.39652777778</v>
      </c>
      <c r="F225" s="32" t="n">
        <v>46020.49166666667</v>
      </c>
      <c r="G225" t="inlineStr">
        <is>
          <t>Discharged</t>
        </is>
      </c>
      <c r="H225" s="33" t="n"/>
    </row>
    <row r="226">
      <c r="A226" t="inlineStr">
        <is>
          <t>ED212280</t>
        </is>
      </c>
      <c r="B226" t="n">
        <v>4</v>
      </c>
      <c r="C226" s="32" t="n">
        <v>46022.42013888889</v>
      </c>
      <c r="D226" s="32" t="n">
        <v>46022.42361111111</v>
      </c>
      <c r="E226" s="32" t="n">
        <v>46022.50625</v>
      </c>
      <c r="F226" s="32" t="n">
        <v>46022.55069444444</v>
      </c>
      <c r="G226" t="inlineStr">
        <is>
          <t>Discharged</t>
        </is>
      </c>
      <c r="H226" s="33" t="n"/>
    </row>
    <row r="227">
      <c r="A227" t="inlineStr">
        <is>
          <t>ED212285</t>
        </is>
      </c>
      <c r="B227" t="n">
        <v>3</v>
      </c>
      <c r="C227" s="32" t="n">
        <v>46022.53888888889</v>
      </c>
      <c r="D227" s="32" t="n">
        <v>46022.54513888889</v>
      </c>
      <c r="E227" s="32" t="n">
        <v>46022.57847222222</v>
      </c>
      <c r="F227" s="32" t="n">
        <v>46022.71597222222</v>
      </c>
      <c r="G227" t="inlineStr">
        <is>
          <t>Discharged</t>
        </is>
      </c>
      <c r="H227" s="33" t="n"/>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H186"/>
  <sheetViews>
    <sheetView tabSelected="0" workbookViewId="0">
      <pane ySplit="1" topLeftCell="A2"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12" customWidth="1" min="5" max="5"/>
    <col width="10" customWidth="1" min="6" max="6"/>
    <col width="10" customWidth="1" min="7" max="7"/>
    <col width="11" customWidth="1" min="8" max="8"/>
  </cols>
  <sheetData>
    <row r="1">
      <c r="A1" s="29" t="inlineStr">
        <is>
          <t>ShiftID</t>
        </is>
      </c>
      <c r="B1" s="29" t="inlineStr">
        <is>
          <t>EmployeeID</t>
        </is>
      </c>
      <c r="C1" s="29" t="inlineStr">
        <is>
          <t>JobTitle</t>
        </is>
      </c>
      <c r="D1" s="29" t="inlineStr">
        <is>
          <t>ShiftDate</t>
        </is>
      </c>
      <c r="E1" s="29" t="inlineStr">
        <is>
          <t>ShiftType</t>
        </is>
      </c>
      <c r="F1" s="29" t="inlineStr">
        <is>
          <t>ClockIn</t>
        </is>
      </c>
      <c r="G1" s="29" t="inlineStr">
        <is>
          <t>ClockOut</t>
        </is>
      </c>
      <c r="H1" s="30" t="inlineStr">
        <is>
          <t>PaidTime</t>
        </is>
      </c>
    </row>
    <row r="2">
      <c r="A2" t="inlineStr">
        <is>
          <t>SH915361</t>
        </is>
      </c>
      <c r="B2" t="inlineStr">
        <is>
          <t>EMP2060</t>
        </is>
      </c>
      <c r="C2" t="inlineStr">
        <is>
          <t>Registered Nurse</t>
        </is>
      </c>
      <c r="D2" s="31" t="n">
        <v>46005</v>
      </c>
      <c r="E2" t="inlineStr">
        <is>
          <t>Day 12h</t>
        </is>
      </c>
      <c r="F2" s="36" t="n">
        <v>0.2895833333333334</v>
      </c>
      <c r="G2" s="36" t="n">
        <v>0.8145833333333333</v>
      </c>
      <c r="H2" s="37" t="n"/>
    </row>
    <row r="3">
      <c r="A3" t="inlineStr">
        <is>
          <t>SH915362</t>
        </is>
      </c>
      <c r="B3" t="inlineStr">
        <is>
          <t>EMP2070</t>
        </is>
      </c>
      <c r="C3" t="inlineStr">
        <is>
          <t>Registered Nurse</t>
        </is>
      </c>
      <c r="D3" s="31" t="n">
        <v>46005</v>
      </c>
      <c r="E3" t="inlineStr">
        <is>
          <t>Day 12h</t>
        </is>
      </c>
      <c r="F3" s="36" t="n">
        <v>0.2826388888888889</v>
      </c>
      <c r="G3" s="36" t="n">
        <v>0.8194444444444444</v>
      </c>
      <c r="H3" s="37" t="n"/>
    </row>
    <row r="4">
      <c r="A4" t="inlineStr">
        <is>
          <t>SH915363</t>
        </is>
      </c>
      <c r="B4" t="inlineStr">
        <is>
          <t>EMP2073</t>
        </is>
      </c>
      <c r="C4" t="inlineStr">
        <is>
          <t>Registered Nurse</t>
        </is>
      </c>
      <c r="D4" s="31" t="n">
        <v>46005</v>
      </c>
      <c r="E4" t="inlineStr">
        <is>
          <t>Day 12h</t>
        </is>
      </c>
      <c r="F4" s="36" t="n">
        <v>0.2881944444444444</v>
      </c>
      <c r="G4" s="36" t="n">
        <v>0.8138888888888889</v>
      </c>
      <c r="H4" s="37" t="n"/>
    </row>
    <row r="5">
      <c r="A5" t="inlineStr">
        <is>
          <t>SH915364</t>
        </is>
      </c>
      <c r="B5" t="inlineStr">
        <is>
          <t>EMP2074</t>
        </is>
      </c>
      <c r="C5" t="inlineStr">
        <is>
          <t>Registered Nurse</t>
        </is>
      </c>
      <c r="D5" s="31" t="n">
        <v>46005</v>
      </c>
      <c r="E5" t="inlineStr">
        <is>
          <t>Day 12h</t>
        </is>
      </c>
      <c r="F5" s="36" t="n">
        <v>0.2895833333333334</v>
      </c>
      <c r="G5" s="36" t="n">
        <v>0.8194444444444444</v>
      </c>
      <c r="H5" s="37" t="n"/>
    </row>
    <row r="6">
      <c r="A6" t="inlineStr">
        <is>
          <t>SH915365</t>
        </is>
      </c>
      <c r="B6" t="inlineStr">
        <is>
          <t>EMP2075</t>
        </is>
      </c>
      <c r="C6" t="inlineStr">
        <is>
          <t>Registered Nurse</t>
        </is>
      </c>
      <c r="D6" s="31" t="n">
        <v>46005</v>
      </c>
      <c r="E6" t="inlineStr">
        <is>
          <t>Day 12h</t>
        </is>
      </c>
      <c r="F6" s="36" t="n">
        <v>0.2923611111111111</v>
      </c>
      <c r="G6" s="36" t="n">
        <v>0.8180555555555555</v>
      </c>
      <c r="H6" s="37" t="n"/>
    </row>
    <row r="7">
      <c r="A7" t="inlineStr">
        <is>
          <t>SH915366</t>
        </is>
      </c>
      <c r="B7" t="inlineStr">
        <is>
          <t>EMP2086</t>
        </is>
      </c>
      <c r="C7" t="inlineStr">
        <is>
          <t>Registered Nurse</t>
        </is>
      </c>
      <c r="D7" s="31" t="n">
        <v>46005</v>
      </c>
      <c r="E7" t="inlineStr">
        <is>
          <t>Day 12h</t>
        </is>
      </c>
      <c r="F7" s="36" t="n">
        <v>0.28125</v>
      </c>
      <c r="G7" s="36" t="n">
        <v>0.8138888888888889</v>
      </c>
      <c r="H7" s="37" t="n"/>
    </row>
    <row r="8">
      <c r="A8" t="inlineStr">
        <is>
          <t>SH915367</t>
        </is>
      </c>
      <c r="B8" t="inlineStr">
        <is>
          <t>EMP2087</t>
        </is>
      </c>
      <c r="C8" t="inlineStr">
        <is>
          <t>Registered Nurse</t>
        </is>
      </c>
      <c r="D8" s="31" t="n">
        <v>46005</v>
      </c>
      <c r="E8" t="inlineStr">
        <is>
          <t>Day 12h</t>
        </is>
      </c>
      <c r="F8" s="36" t="n">
        <v>0.2888888888888889</v>
      </c>
      <c r="G8" s="36" t="n">
        <v>0.8159722222222222</v>
      </c>
      <c r="H8" s="37" t="n"/>
    </row>
    <row r="9">
      <c r="A9" t="inlineStr">
        <is>
          <t>SH915368</t>
        </is>
      </c>
      <c r="B9" t="inlineStr">
        <is>
          <t>EMP2089</t>
        </is>
      </c>
      <c r="C9" t="inlineStr">
        <is>
          <t>Registered Nurse</t>
        </is>
      </c>
      <c r="D9" s="31" t="n">
        <v>46005</v>
      </c>
      <c r="E9" t="inlineStr">
        <is>
          <t>Day 12h</t>
        </is>
      </c>
      <c r="F9" s="36" t="n">
        <v>0.2875</v>
      </c>
      <c r="G9" s="36" t="n">
        <v>0.8097222222222222</v>
      </c>
      <c r="H9" s="37" t="n"/>
    </row>
    <row r="10">
      <c r="A10" t="inlineStr">
        <is>
          <t>SH915369</t>
        </is>
      </c>
      <c r="B10" t="inlineStr">
        <is>
          <t>EMP2096</t>
        </is>
      </c>
      <c r="C10" t="inlineStr">
        <is>
          <t>Registered Nurse</t>
        </is>
      </c>
      <c r="D10" s="31" t="n">
        <v>46005</v>
      </c>
      <c r="E10" t="inlineStr">
        <is>
          <t>Day 12h</t>
        </is>
      </c>
      <c r="F10" s="36" t="n">
        <v>0.2888888888888889</v>
      </c>
      <c r="G10" s="36" t="n">
        <v>0.8173611111111111</v>
      </c>
      <c r="H10" s="37" t="n"/>
    </row>
    <row r="11">
      <c r="A11" t="inlineStr">
        <is>
          <t>SH915370</t>
        </is>
      </c>
      <c r="B11" t="inlineStr">
        <is>
          <t>EMP2101</t>
        </is>
      </c>
      <c r="C11" t="inlineStr">
        <is>
          <t>Registered Nurse</t>
        </is>
      </c>
      <c r="D11" s="31" t="n">
        <v>46005</v>
      </c>
      <c r="E11" t="inlineStr">
        <is>
          <t>Day 12h</t>
        </is>
      </c>
      <c r="F11" s="36" t="n">
        <v>0.2909722222222222</v>
      </c>
      <c r="G11" s="36" t="n">
        <v>0.8208333333333333</v>
      </c>
      <c r="H11" s="37" t="n"/>
    </row>
    <row r="12">
      <c r="A12" t="inlineStr">
        <is>
          <t>SH915371</t>
        </is>
      </c>
      <c r="B12" t="inlineStr">
        <is>
          <t>EMP2112</t>
        </is>
      </c>
      <c r="C12" t="inlineStr">
        <is>
          <t>Certified Nursing Assistant</t>
        </is>
      </c>
      <c r="D12" s="31" t="n">
        <v>46005</v>
      </c>
      <c r="E12" t="inlineStr">
        <is>
          <t>Day 12h</t>
        </is>
      </c>
      <c r="F12" s="36" t="n">
        <v>0.2847222222222222</v>
      </c>
      <c r="G12" s="36" t="n">
        <v>0.88125</v>
      </c>
      <c r="H12" s="37" t="n"/>
    </row>
    <row r="13">
      <c r="A13" t="inlineStr">
        <is>
          <t>SH915372</t>
        </is>
      </c>
      <c r="B13" t="inlineStr">
        <is>
          <t>EMP2114</t>
        </is>
      </c>
      <c r="C13" t="inlineStr">
        <is>
          <t>Certified Nursing Assistant</t>
        </is>
      </c>
      <c r="D13" s="31" t="n">
        <v>46005</v>
      </c>
      <c r="E13" t="inlineStr">
        <is>
          <t>Day 12h</t>
        </is>
      </c>
      <c r="F13" s="36" t="n">
        <v>0.2895833333333334</v>
      </c>
      <c r="G13" s="36" t="n">
        <v>0.8138888888888889</v>
      </c>
      <c r="H13" s="37" t="n"/>
    </row>
    <row r="14">
      <c r="A14" t="inlineStr">
        <is>
          <t>SH915373</t>
        </is>
      </c>
      <c r="B14" t="inlineStr">
        <is>
          <t>EMP2117</t>
        </is>
      </c>
      <c r="C14" t="inlineStr">
        <is>
          <t>Certified Nursing Assistant</t>
        </is>
      </c>
      <c r="D14" s="31" t="n">
        <v>46005</v>
      </c>
      <c r="E14" t="inlineStr">
        <is>
          <t>Day 12h</t>
        </is>
      </c>
      <c r="F14" s="36" t="n">
        <v>0.2868055555555555</v>
      </c>
      <c r="G14" s="36" t="n">
        <v>0.8159722222222222</v>
      </c>
      <c r="H14" s="37" t="n"/>
    </row>
    <row r="15">
      <c r="A15" t="inlineStr">
        <is>
          <t>SH915374</t>
        </is>
      </c>
      <c r="B15" t="inlineStr">
        <is>
          <t>EMP2120</t>
        </is>
      </c>
      <c r="C15" t="inlineStr">
        <is>
          <t>Certified Nursing Assistant</t>
        </is>
      </c>
      <c r="D15" s="31" t="n">
        <v>46005</v>
      </c>
      <c r="E15" t="inlineStr">
        <is>
          <t>Day 12h</t>
        </is>
      </c>
      <c r="F15" s="36" t="n">
        <v>0.2895833333333334</v>
      </c>
      <c r="G15" s="36" t="n">
        <v>0.8215277777777777</v>
      </c>
      <c r="H15" s="37" t="n"/>
    </row>
    <row r="16">
      <c r="A16" t="inlineStr">
        <is>
          <t>SH915375</t>
        </is>
      </c>
      <c r="B16" t="inlineStr">
        <is>
          <t>EMP2123</t>
        </is>
      </c>
      <c r="C16" t="inlineStr">
        <is>
          <t>Certified Nursing Assistant</t>
        </is>
      </c>
      <c r="D16" s="31" t="n">
        <v>46005</v>
      </c>
      <c r="E16" t="inlineStr">
        <is>
          <t>Day 12h</t>
        </is>
      </c>
      <c r="F16" s="36" t="n">
        <v>0.2881944444444444</v>
      </c>
      <c r="G16" s="36" t="n">
        <v>0.8458333333333333</v>
      </c>
      <c r="H16" s="37" t="n"/>
    </row>
    <row r="17">
      <c r="A17" t="inlineStr">
        <is>
          <t>SH915376</t>
        </is>
      </c>
      <c r="B17" t="inlineStr">
        <is>
          <t>EMP2124</t>
        </is>
      </c>
      <c r="C17" t="inlineStr">
        <is>
          <t>Unit Secretary</t>
        </is>
      </c>
      <c r="D17" s="31" t="n">
        <v>46005</v>
      </c>
      <c r="E17" t="inlineStr">
        <is>
          <t>Day 8h</t>
        </is>
      </c>
      <c r="F17" s="36" t="n">
        <v>0.2854166666666667</v>
      </c>
      <c r="G17" s="36" t="n">
        <v>0.6506944444444445</v>
      </c>
      <c r="H17" s="37" t="n"/>
    </row>
    <row r="18">
      <c r="A18" t="inlineStr">
        <is>
          <t>SH915377</t>
        </is>
      </c>
      <c r="B18" t="inlineStr">
        <is>
          <t>EMP2126</t>
        </is>
      </c>
      <c r="C18" t="inlineStr">
        <is>
          <t>Unit Secretary</t>
        </is>
      </c>
      <c r="D18" s="31" t="n">
        <v>46005</v>
      </c>
      <c r="E18" t="inlineStr">
        <is>
          <t>Day 8h</t>
        </is>
      </c>
      <c r="F18" s="36" t="n">
        <v>0.2881944444444444</v>
      </c>
      <c r="G18" s="36" t="n">
        <v>0.6486111111111111</v>
      </c>
      <c r="H18" s="37" t="n"/>
    </row>
    <row r="19">
      <c r="A19" t="inlineStr">
        <is>
          <t>SH915378</t>
        </is>
      </c>
      <c r="B19" t="inlineStr">
        <is>
          <t>EMP2129</t>
        </is>
      </c>
      <c r="C19" t="inlineStr">
        <is>
          <t>Respiratory Therapist</t>
        </is>
      </c>
      <c r="D19" s="31" t="n">
        <v>46005</v>
      </c>
      <c r="E19" t="inlineStr">
        <is>
          <t>Day 12h</t>
        </is>
      </c>
      <c r="F19" s="36" t="n">
        <v>0.29375</v>
      </c>
      <c r="G19" s="36" t="n">
        <v>0.8201388888888889</v>
      </c>
      <c r="H19" s="37" t="n"/>
    </row>
    <row r="20">
      <c r="A20" t="inlineStr">
        <is>
          <t>SH915484</t>
        </is>
      </c>
      <c r="B20" t="inlineStr">
        <is>
          <t>EMP2067</t>
        </is>
      </c>
      <c r="C20" t="inlineStr">
        <is>
          <t>Registered Nurse</t>
        </is>
      </c>
      <c r="D20" s="31" t="n">
        <v>46005</v>
      </c>
      <c r="E20" t="inlineStr">
        <is>
          <t>Night 12h</t>
        </is>
      </c>
      <c r="F20" s="36" t="n">
        <v>0.7833333333333333</v>
      </c>
      <c r="G20" s="36" t="n">
        <v>0.3472222222222222</v>
      </c>
      <c r="H20" s="37" t="n"/>
    </row>
    <row r="21">
      <c r="A21" t="inlineStr">
        <is>
          <t>SH915485</t>
        </is>
      </c>
      <c r="B21" t="inlineStr">
        <is>
          <t>EMP2069</t>
        </is>
      </c>
      <c r="C21" t="inlineStr">
        <is>
          <t>Registered Nurse</t>
        </is>
      </c>
      <c r="D21" s="31" t="n">
        <v>46005</v>
      </c>
      <c r="E21" t="inlineStr">
        <is>
          <t>Night 12h</t>
        </is>
      </c>
      <c r="F21" s="36" t="n">
        <v>0.7881944444444444</v>
      </c>
      <c r="G21" s="36" t="n">
        <v>0.31875</v>
      </c>
      <c r="H21" s="37" t="n"/>
    </row>
    <row r="22">
      <c r="A22" t="inlineStr">
        <is>
          <t>SH915486</t>
        </is>
      </c>
      <c r="B22" t="inlineStr">
        <is>
          <t>EMP2082</t>
        </is>
      </c>
      <c r="C22" t="inlineStr">
        <is>
          <t>Registered Nurse</t>
        </is>
      </c>
      <c r="D22" s="31" t="n">
        <v>46005</v>
      </c>
      <c r="E22" t="inlineStr">
        <is>
          <t>Night 12h</t>
        </is>
      </c>
      <c r="F22" s="36" t="n">
        <v>0.7847222222222222</v>
      </c>
      <c r="G22" s="36" t="n">
        <v>0.3208333333333334</v>
      </c>
      <c r="H22" s="37" t="n"/>
    </row>
    <row r="23">
      <c r="A23" t="inlineStr">
        <is>
          <t>SH915487</t>
        </is>
      </c>
      <c r="B23" t="inlineStr">
        <is>
          <t>EMP2084</t>
        </is>
      </c>
      <c r="C23" t="inlineStr">
        <is>
          <t>Registered Nurse</t>
        </is>
      </c>
      <c r="D23" s="31" t="n">
        <v>46005</v>
      </c>
      <c r="E23" t="inlineStr">
        <is>
          <t>Night 12h</t>
        </is>
      </c>
      <c r="F23" s="36" t="n">
        <v>0.7840277777777778</v>
      </c>
      <c r="G23" s="36" t="n">
        <v>0.3159722222222222</v>
      </c>
      <c r="H23" s="37" t="n"/>
    </row>
    <row r="24">
      <c r="A24" t="inlineStr">
        <is>
          <t>SH915488</t>
        </is>
      </c>
      <c r="B24" t="inlineStr">
        <is>
          <t>EMP2090</t>
        </is>
      </c>
      <c r="C24" t="inlineStr">
        <is>
          <t>Registered Nurse</t>
        </is>
      </c>
      <c r="D24" s="31" t="n">
        <v>46005</v>
      </c>
      <c r="E24" t="inlineStr">
        <is>
          <t>Night 12h</t>
        </is>
      </c>
      <c r="F24" s="36" t="n">
        <v>0.7854166666666667</v>
      </c>
      <c r="G24" s="36" t="n">
        <v>0.3215277777777778</v>
      </c>
      <c r="H24" s="37" t="n"/>
    </row>
    <row r="25">
      <c r="A25" t="inlineStr">
        <is>
          <t>SH915489</t>
        </is>
      </c>
      <c r="B25" t="inlineStr">
        <is>
          <t>EMP2095</t>
        </is>
      </c>
      <c r="C25" t="inlineStr">
        <is>
          <t>Registered Nurse</t>
        </is>
      </c>
      <c r="D25" s="31" t="n">
        <v>46005</v>
      </c>
      <c r="E25" t="inlineStr">
        <is>
          <t>Night 12h</t>
        </is>
      </c>
      <c r="F25" s="36" t="n">
        <v>0.7895833333333333</v>
      </c>
      <c r="G25" s="36" t="n">
        <v>0.3368055555555556</v>
      </c>
      <c r="H25" s="37" t="n"/>
    </row>
    <row r="26">
      <c r="A26" t="inlineStr">
        <is>
          <t>SH915490</t>
        </is>
      </c>
      <c r="B26" t="inlineStr">
        <is>
          <t>EMP2097</t>
        </is>
      </c>
      <c r="C26" t="inlineStr">
        <is>
          <t>Registered Nurse</t>
        </is>
      </c>
      <c r="D26" s="31" t="n">
        <v>46005</v>
      </c>
      <c r="E26" t="inlineStr">
        <is>
          <t>Night 12h</t>
        </is>
      </c>
      <c r="F26" s="36" t="n">
        <v>0.7791666666666667</v>
      </c>
      <c r="G26" s="36" t="n">
        <v>0.3166666666666667</v>
      </c>
      <c r="H26" s="37" t="n"/>
    </row>
    <row r="27">
      <c r="A27" t="inlineStr">
        <is>
          <t>SH915491</t>
        </is>
      </c>
      <c r="B27" t="inlineStr">
        <is>
          <t>EMP2098</t>
        </is>
      </c>
      <c r="C27" t="inlineStr">
        <is>
          <t>Registered Nurse</t>
        </is>
      </c>
      <c r="D27" s="31" t="n">
        <v>46005</v>
      </c>
      <c r="E27" t="inlineStr">
        <is>
          <t>Night 12h</t>
        </is>
      </c>
      <c r="F27" s="36" t="n">
        <v>0.7895833333333333</v>
      </c>
      <c r="G27" s="36" t="n">
        <v>0.3506944444444444</v>
      </c>
      <c r="H27" s="37" t="n"/>
    </row>
    <row r="28">
      <c r="A28" t="inlineStr">
        <is>
          <t>SH915492</t>
        </is>
      </c>
      <c r="B28" t="inlineStr">
        <is>
          <t>EMP2099</t>
        </is>
      </c>
      <c r="C28" t="inlineStr">
        <is>
          <t>Registered Nurse</t>
        </is>
      </c>
      <c r="D28" s="31" t="n">
        <v>46005</v>
      </c>
      <c r="E28" t="inlineStr">
        <is>
          <t>Night 12h</t>
        </is>
      </c>
      <c r="F28" s="36" t="n">
        <v>0.7875</v>
      </c>
      <c r="G28" s="36" t="n">
        <v>0.3229166666666667</v>
      </c>
      <c r="H28" s="37" t="n"/>
    </row>
    <row r="29">
      <c r="A29" t="inlineStr">
        <is>
          <t>SH915493</t>
        </is>
      </c>
      <c r="B29" t="inlineStr">
        <is>
          <t>EMP2108</t>
        </is>
      </c>
      <c r="C29" t="inlineStr">
        <is>
          <t>Certified Nursing Assistant</t>
        </is>
      </c>
      <c r="D29" s="31" t="n">
        <v>46005</v>
      </c>
      <c r="E29" t="inlineStr">
        <is>
          <t>Night 12h</t>
        </is>
      </c>
      <c r="F29" s="36" t="n">
        <v>0.7868055555555555</v>
      </c>
      <c r="G29" s="36" t="n">
        <v>0.3173611111111111</v>
      </c>
      <c r="H29" s="37" t="n"/>
    </row>
    <row r="30">
      <c r="A30" t="inlineStr">
        <is>
          <t>SH915494</t>
        </is>
      </c>
      <c r="B30" t="inlineStr">
        <is>
          <t>EMP2109</t>
        </is>
      </c>
      <c r="C30" t="inlineStr">
        <is>
          <t>Certified Nursing Assistant</t>
        </is>
      </c>
      <c r="D30" s="31" t="n">
        <v>46005</v>
      </c>
      <c r="E30" t="inlineStr">
        <is>
          <t>Night 12h</t>
        </is>
      </c>
      <c r="F30" s="36" t="n">
        <v>0.7902777777777777</v>
      </c>
      <c r="G30" s="36" t="n">
        <v>0.3208333333333334</v>
      </c>
      <c r="H30" s="37" t="n"/>
    </row>
    <row r="31">
      <c r="A31" t="inlineStr">
        <is>
          <t>SH915495</t>
        </is>
      </c>
      <c r="B31" t="inlineStr">
        <is>
          <t>EMP2113</t>
        </is>
      </c>
      <c r="C31" t="inlineStr">
        <is>
          <t>Certified Nursing Assistant</t>
        </is>
      </c>
      <c r="D31" s="31" t="n">
        <v>46005</v>
      </c>
      <c r="E31" t="inlineStr">
        <is>
          <t>Night 12h</t>
        </is>
      </c>
      <c r="F31" s="36" t="n">
        <v>0.7944444444444444</v>
      </c>
      <c r="G31" s="36" t="n">
        <v>0.3194444444444444</v>
      </c>
      <c r="H31" s="37" t="n"/>
    </row>
    <row r="32">
      <c r="A32" t="inlineStr">
        <is>
          <t>SH915496</t>
        </is>
      </c>
      <c r="B32" t="inlineStr">
        <is>
          <t>EMP2116</t>
        </is>
      </c>
      <c r="C32" t="inlineStr">
        <is>
          <t>Certified Nursing Assistant</t>
        </is>
      </c>
      <c r="D32" s="31" t="n">
        <v>46005</v>
      </c>
      <c r="E32" t="inlineStr">
        <is>
          <t>Night 12h</t>
        </is>
      </c>
      <c r="F32" s="36" t="n">
        <v>0.7930555555555555</v>
      </c>
      <c r="G32" s="36" t="n">
        <v>0.3506944444444444</v>
      </c>
      <c r="H32" s="37" t="n"/>
    </row>
    <row r="33">
      <c r="A33" t="inlineStr">
        <is>
          <t>SH915576</t>
        </is>
      </c>
      <c r="B33" t="inlineStr">
        <is>
          <t>EMP2060</t>
        </is>
      </c>
      <c r="C33" t="inlineStr">
        <is>
          <t>Registered Nurse</t>
        </is>
      </c>
      <c r="D33" s="31" t="n">
        <v>46006</v>
      </c>
      <c r="E33" t="inlineStr">
        <is>
          <t>Day 12h</t>
        </is>
      </c>
      <c r="F33" s="36" t="n">
        <v>0.2861111111111111</v>
      </c>
      <c r="G33" s="36" t="n">
        <v>0.8243055555555555</v>
      </c>
      <c r="H33" s="37" t="n"/>
    </row>
    <row r="34">
      <c r="A34" t="inlineStr">
        <is>
          <t>SH915577</t>
        </is>
      </c>
      <c r="B34" t="inlineStr">
        <is>
          <t>EMP2071</t>
        </is>
      </c>
      <c r="C34" t="inlineStr">
        <is>
          <t>Registered Nurse</t>
        </is>
      </c>
      <c r="D34" s="31" t="n">
        <v>46006</v>
      </c>
      <c r="E34" t="inlineStr">
        <is>
          <t>Day 12h</t>
        </is>
      </c>
      <c r="F34" s="36" t="n">
        <v>0.2916666666666667</v>
      </c>
      <c r="G34" s="36" t="n">
        <v>0.8131944444444444</v>
      </c>
      <c r="H34" s="37" t="n"/>
    </row>
    <row r="35">
      <c r="A35" t="inlineStr">
        <is>
          <t>SH915578</t>
        </is>
      </c>
      <c r="B35" t="inlineStr">
        <is>
          <t>EMP2075</t>
        </is>
      </c>
      <c r="C35" t="inlineStr">
        <is>
          <t>Registered Nurse</t>
        </is>
      </c>
      <c r="D35" s="31" t="n">
        <v>46006</v>
      </c>
      <c r="E35" t="inlineStr">
        <is>
          <t>Day 12h</t>
        </is>
      </c>
      <c r="F35" s="36" t="n">
        <v>0.2875</v>
      </c>
      <c r="G35" s="36" t="n">
        <v>0.8201388888888889</v>
      </c>
      <c r="H35" s="37" t="n"/>
    </row>
    <row r="36">
      <c r="A36" t="inlineStr">
        <is>
          <t>SH915579</t>
        </is>
      </c>
      <c r="B36" t="inlineStr">
        <is>
          <t>EMP2076</t>
        </is>
      </c>
      <c r="C36" t="inlineStr">
        <is>
          <t>Registered Nurse</t>
        </is>
      </c>
      <c r="D36" s="31" t="n">
        <v>46006</v>
      </c>
      <c r="E36" t="inlineStr">
        <is>
          <t>Day 12h</t>
        </is>
      </c>
      <c r="F36" s="36" t="n">
        <v>0.2902777777777778</v>
      </c>
      <c r="G36" s="36" t="n">
        <v>0.8111111111111111</v>
      </c>
      <c r="H36" s="37" t="n"/>
    </row>
    <row r="37">
      <c r="A37" t="inlineStr">
        <is>
          <t>SH915580</t>
        </is>
      </c>
      <c r="B37" t="inlineStr">
        <is>
          <t>EMP2083</t>
        </is>
      </c>
      <c r="C37" t="inlineStr">
        <is>
          <t>Registered Nurse</t>
        </is>
      </c>
      <c r="D37" s="31" t="n">
        <v>46006</v>
      </c>
      <c r="E37" t="inlineStr">
        <is>
          <t>Day 12h</t>
        </is>
      </c>
      <c r="F37" s="36" t="n">
        <v>0.2854166666666667</v>
      </c>
      <c r="G37" s="36" t="n">
        <v>0.8402777777777778</v>
      </c>
      <c r="H37" s="37" t="n"/>
    </row>
    <row r="38">
      <c r="A38" t="inlineStr">
        <is>
          <t>SH915581</t>
        </is>
      </c>
      <c r="B38" t="inlineStr">
        <is>
          <t>EMP2085</t>
        </is>
      </c>
      <c r="C38" t="inlineStr">
        <is>
          <t>Registered Nurse</t>
        </is>
      </c>
      <c r="D38" s="31" t="n">
        <v>46006</v>
      </c>
      <c r="E38" t="inlineStr">
        <is>
          <t>Day 12h</t>
        </is>
      </c>
      <c r="F38" s="36" t="n">
        <v>0.2881944444444444</v>
      </c>
      <c r="G38" s="36" t="n">
        <v>0.8138888888888889</v>
      </c>
      <c r="H38" s="37" t="n"/>
    </row>
    <row r="39">
      <c r="A39" t="inlineStr">
        <is>
          <t>SH915582</t>
        </is>
      </c>
      <c r="B39" t="inlineStr">
        <is>
          <t>EMP2096</t>
        </is>
      </c>
      <c r="C39" t="inlineStr">
        <is>
          <t>Registered Nurse</t>
        </is>
      </c>
      <c r="D39" s="31" t="n">
        <v>46006</v>
      </c>
      <c r="E39" t="inlineStr">
        <is>
          <t>Day 12h</t>
        </is>
      </c>
      <c r="F39" s="36" t="n">
        <v>0.2916666666666667</v>
      </c>
      <c r="G39" s="36" t="n">
        <v>0.8222222222222222</v>
      </c>
      <c r="H39" s="37" t="n"/>
    </row>
    <row r="40">
      <c r="A40" t="inlineStr">
        <is>
          <t>SH915583</t>
        </is>
      </c>
      <c r="B40" t="inlineStr">
        <is>
          <t>EMP2098</t>
        </is>
      </c>
      <c r="C40" t="inlineStr">
        <is>
          <t>Registered Nurse</t>
        </is>
      </c>
      <c r="D40" s="31" t="n">
        <v>46006</v>
      </c>
      <c r="E40" t="inlineStr">
        <is>
          <t>Day 12h</t>
        </is>
      </c>
      <c r="F40" s="36" t="n">
        <v>0.2916666666666667</v>
      </c>
      <c r="G40" s="36" t="n">
        <v>0.8152777777777778</v>
      </c>
      <c r="H40" s="37" t="n"/>
    </row>
    <row r="41">
      <c r="A41" t="inlineStr">
        <is>
          <t>SH915584</t>
        </is>
      </c>
      <c r="B41" t="inlineStr">
        <is>
          <t>EMP2102</t>
        </is>
      </c>
      <c r="C41" t="inlineStr">
        <is>
          <t>Registered Nurse</t>
        </is>
      </c>
      <c r="D41" s="31" t="n">
        <v>46006</v>
      </c>
      <c r="E41" t="inlineStr">
        <is>
          <t>Day 12h</t>
        </is>
      </c>
      <c r="F41" s="36" t="n">
        <v>0.2923611111111111</v>
      </c>
      <c r="G41" s="36" t="n">
        <v>0.8125</v>
      </c>
      <c r="H41" s="37" t="n"/>
    </row>
    <row r="42">
      <c r="A42" t="inlineStr">
        <is>
          <t>SH915585</t>
        </is>
      </c>
      <c r="B42" t="inlineStr">
        <is>
          <t>EMP2112</t>
        </is>
      </c>
      <c r="C42" t="inlineStr">
        <is>
          <t>Certified Nursing Assistant</t>
        </is>
      </c>
      <c r="D42" s="31" t="n">
        <v>46006</v>
      </c>
      <c r="E42" t="inlineStr">
        <is>
          <t>Day 12h</t>
        </is>
      </c>
      <c r="F42" s="36" t="n">
        <v>0.2854166666666667</v>
      </c>
      <c r="G42" s="36" t="n">
        <v>0.9756944444444444</v>
      </c>
      <c r="H42" s="37" t="n"/>
    </row>
    <row r="43">
      <c r="A43" t="inlineStr">
        <is>
          <t>SH915586</t>
        </is>
      </c>
      <c r="B43" t="inlineStr">
        <is>
          <t>EMP2114</t>
        </is>
      </c>
      <c r="C43" t="inlineStr">
        <is>
          <t>Certified Nursing Assistant</t>
        </is>
      </c>
      <c r="D43" s="31" t="n">
        <v>46006</v>
      </c>
      <c r="E43" t="inlineStr">
        <is>
          <t>Day 12h</t>
        </is>
      </c>
      <c r="F43" s="36" t="n">
        <v>0.2909722222222222</v>
      </c>
      <c r="G43" s="36" t="n">
        <v>0.8159722222222222</v>
      </c>
      <c r="H43" s="37" t="n"/>
    </row>
    <row r="44">
      <c r="A44" t="inlineStr">
        <is>
          <t>SH915587</t>
        </is>
      </c>
      <c r="B44" t="inlineStr">
        <is>
          <t>EMP2123</t>
        </is>
      </c>
      <c r="C44" t="inlineStr">
        <is>
          <t>Certified Nursing Assistant</t>
        </is>
      </c>
      <c r="D44" s="31" t="n">
        <v>46006</v>
      </c>
      <c r="E44" t="inlineStr">
        <is>
          <t>Day 12h</t>
        </is>
      </c>
      <c r="F44" s="36" t="n">
        <v>0.2861111111111111</v>
      </c>
      <c r="G44" s="36" t="n">
        <v>0.8361111111111111</v>
      </c>
      <c r="H44" s="37" t="n"/>
    </row>
    <row r="45">
      <c r="A45" t="inlineStr">
        <is>
          <t>SH915588</t>
        </is>
      </c>
      <c r="B45" t="inlineStr">
        <is>
          <t>EMP2125</t>
        </is>
      </c>
      <c r="C45" t="inlineStr">
        <is>
          <t>Unit Secretary</t>
        </is>
      </c>
      <c r="D45" s="31" t="n">
        <v>46006</v>
      </c>
      <c r="E45" t="inlineStr">
        <is>
          <t>Day 8h</t>
        </is>
      </c>
      <c r="F45" s="36" t="n">
        <v>0.2819444444444444</v>
      </c>
      <c r="G45" s="36" t="n">
        <v>0.6465277777777778</v>
      </c>
      <c r="H45" s="37" t="n"/>
    </row>
    <row r="46">
      <c r="A46" t="inlineStr">
        <is>
          <t>SH915589</t>
        </is>
      </c>
      <c r="B46" t="inlineStr">
        <is>
          <t>EMP2127</t>
        </is>
      </c>
      <c r="C46" t="inlineStr">
        <is>
          <t>Nurse Manager</t>
        </is>
      </c>
      <c r="D46" s="31" t="n">
        <v>46006</v>
      </c>
      <c r="E46" t="inlineStr">
        <is>
          <t>Day 8h</t>
        </is>
      </c>
      <c r="F46" s="36" t="n">
        <v>0.2861111111111111</v>
      </c>
      <c r="G46" s="36" t="n">
        <v>0.6451388888888889</v>
      </c>
      <c r="H46" s="37" t="n"/>
    </row>
    <row r="47">
      <c r="A47" t="inlineStr">
        <is>
          <t>SH915590</t>
        </is>
      </c>
      <c r="B47" t="inlineStr">
        <is>
          <t>EMP2129</t>
        </is>
      </c>
      <c r="C47" t="inlineStr">
        <is>
          <t>Respiratory Therapist</t>
        </is>
      </c>
      <c r="D47" s="31" t="n">
        <v>46006</v>
      </c>
      <c r="E47" t="inlineStr">
        <is>
          <t>Day 12h</t>
        </is>
      </c>
      <c r="F47" s="36" t="n">
        <v>0.2868055555555555</v>
      </c>
      <c r="G47" s="36" t="n">
        <v>0.8097222222222222</v>
      </c>
      <c r="H47" s="37" t="n"/>
    </row>
    <row r="48">
      <c r="A48" t="inlineStr">
        <is>
          <t>SH915696</t>
        </is>
      </c>
      <c r="B48" t="inlineStr">
        <is>
          <t>EMP2124</t>
        </is>
      </c>
      <c r="C48" t="inlineStr">
        <is>
          <t>Unit Secretary</t>
        </is>
      </c>
      <c r="D48" s="31" t="n">
        <v>46006</v>
      </c>
      <c r="E48" t="inlineStr">
        <is>
          <t>Evening 8h</t>
        </is>
      </c>
      <c r="F48" s="36" t="n">
        <v>0.6222222222222222</v>
      </c>
      <c r="G48" s="36" t="n">
        <v>0.9881944444444445</v>
      </c>
      <c r="H48" s="37" t="n"/>
    </row>
    <row r="49">
      <c r="A49" t="inlineStr">
        <is>
          <t>SH915712</t>
        </is>
      </c>
      <c r="B49" t="inlineStr">
        <is>
          <t>EMP2062</t>
        </is>
      </c>
      <c r="C49" t="inlineStr">
        <is>
          <t>Registered Nurse</t>
        </is>
      </c>
      <c r="D49" s="31" t="n">
        <v>46006</v>
      </c>
      <c r="E49" t="inlineStr">
        <is>
          <t>Night 12h</t>
        </is>
      </c>
      <c r="F49" s="36" t="n">
        <v>0.7923611111111111</v>
      </c>
      <c r="G49" s="36" t="n">
        <v>0.3194444444444444</v>
      </c>
      <c r="H49" s="37" t="n"/>
    </row>
    <row r="50">
      <c r="A50" t="inlineStr">
        <is>
          <t>SH915713</t>
        </is>
      </c>
      <c r="B50" t="inlineStr">
        <is>
          <t>EMP2077</t>
        </is>
      </c>
      <c r="C50" t="inlineStr">
        <is>
          <t>Registered Nurse</t>
        </is>
      </c>
      <c r="D50" s="31" t="n">
        <v>46006</v>
      </c>
      <c r="E50" t="inlineStr">
        <is>
          <t>Night 12h</t>
        </is>
      </c>
      <c r="F50" s="36" t="n">
        <v>0.7854166666666667</v>
      </c>
      <c r="G50" s="36" t="n">
        <v>0.3097222222222222</v>
      </c>
      <c r="H50" s="37" t="n"/>
    </row>
    <row r="51">
      <c r="A51" t="inlineStr">
        <is>
          <t>SH915714</t>
        </is>
      </c>
      <c r="B51" t="inlineStr">
        <is>
          <t>EMP2099</t>
        </is>
      </c>
      <c r="C51" t="inlineStr">
        <is>
          <t>Registered Nurse</t>
        </is>
      </c>
      <c r="D51" s="31" t="n">
        <v>46006</v>
      </c>
      <c r="E51" t="inlineStr">
        <is>
          <t>Night 12h</t>
        </is>
      </c>
      <c r="F51" s="36" t="n">
        <v>0.7833333333333333</v>
      </c>
      <c r="G51" s="36" t="n">
        <v>0.3354166666666666</v>
      </c>
      <c r="H51" s="37" t="n"/>
    </row>
    <row r="52">
      <c r="A52" t="inlineStr">
        <is>
          <t>SH915715</t>
        </is>
      </c>
      <c r="B52" t="inlineStr">
        <is>
          <t>EMP2108</t>
        </is>
      </c>
      <c r="C52" t="inlineStr">
        <is>
          <t>Certified Nursing Assistant</t>
        </is>
      </c>
      <c r="D52" s="31" t="n">
        <v>46006</v>
      </c>
      <c r="E52" t="inlineStr">
        <is>
          <t>Night 12h</t>
        </is>
      </c>
      <c r="F52" s="36" t="n">
        <v>0.7840277777777778</v>
      </c>
      <c r="G52" s="36" t="n">
        <v>0.3152777777777778</v>
      </c>
      <c r="H52" s="37" t="n"/>
    </row>
    <row r="53">
      <c r="A53" t="inlineStr">
        <is>
          <t>SH915716</t>
        </is>
      </c>
      <c r="B53" t="inlineStr">
        <is>
          <t>EMP2113</t>
        </is>
      </c>
      <c r="C53" t="inlineStr">
        <is>
          <t>Certified Nursing Assistant</t>
        </is>
      </c>
      <c r="D53" s="31" t="n">
        <v>46006</v>
      </c>
      <c r="E53" t="inlineStr">
        <is>
          <t>Night 12h</t>
        </is>
      </c>
      <c r="F53" s="36" t="n">
        <v>0.7847222222222222</v>
      </c>
      <c r="G53" s="36" t="n">
        <v>0.3152777777777778</v>
      </c>
      <c r="H53" s="37" t="n"/>
    </row>
    <row r="54">
      <c r="A54" t="inlineStr">
        <is>
          <t>SH915717</t>
        </is>
      </c>
      <c r="B54" t="inlineStr">
        <is>
          <t>EMP2116</t>
        </is>
      </c>
      <c r="C54" t="inlineStr">
        <is>
          <t>Certified Nursing Assistant</t>
        </is>
      </c>
      <c r="D54" s="31" t="n">
        <v>46006</v>
      </c>
      <c r="E54" t="inlineStr">
        <is>
          <t>Night 12h</t>
        </is>
      </c>
      <c r="F54" s="36" t="n">
        <v>0.7840277777777778</v>
      </c>
      <c r="G54" s="36" t="n">
        <v>0.3138888888888889</v>
      </c>
      <c r="H54" s="37" t="n"/>
    </row>
    <row r="55">
      <c r="A55" t="inlineStr">
        <is>
          <t>SH915718</t>
        </is>
      </c>
      <c r="B55" t="inlineStr">
        <is>
          <t>EMP2118</t>
        </is>
      </c>
      <c r="C55" t="inlineStr">
        <is>
          <t>Certified Nursing Assistant</t>
        </is>
      </c>
      <c r="D55" s="31" t="n">
        <v>46006</v>
      </c>
      <c r="E55" t="inlineStr">
        <is>
          <t>Night 12h</t>
        </is>
      </c>
      <c r="F55" s="36" t="n">
        <v>0.7888888888888889</v>
      </c>
      <c r="G55" s="36" t="n">
        <v>0.3118055555555556</v>
      </c>
      <c r="H55" s="37" t="n"/>
    </row>
    <row r="56">
      <c r="A56" t="inlineStr">
        <is>
          <t>SH915790</t>
        </is>
      </c>
      <c r="B56" t="inlineStr">
        <is>
          <t>EMP2059</t>
        </is>
      </c>
      <c r="C56" t="inlineStr">
        <is>
          <t>Registered Nurse</t>
        </is>
      </c>
      <c r="D56" s="31" t="n">
        <v>46007</v>
      </c>
      <c r="E56" t="inlineStr">
        <is>
          <t>Day 12h</t>
        </is>
      </c>
      <c r="F56" s="36" t="n">
        <v>0.2847222222222222</v>
      </c>
      <c r="G56" s="36" t="n">
        <v>0.8208333333333333</v>
      </c>
      <c r="H56" s="37" t="n"/>
    </row>
    <row r="57">
      <c r="A57" t="inlineStr">
        <is>
          <t>SH915792</t>
        </is>
      </c>
      <c r="B57" t="inlineStr">
        <is>
          <t>EMP2070</t>
        </is>
      </c>
      <c r="C57" t="inlineStr">
        <is>
          <t>Registered Nurse</t>
        </is>
      </c>
      <c r="D57" s="31" t="n">
        <v>46007</v>
      </c>
      <c r="E57" t="inlineStr">
        <is>
          <t>Day 12h</t>
        </is>
      </c>
      <c r="F57" s="36" t="n">
        <v>0.2875</v>
      </c>
      <c r="G57" s="36" t="n">
        <v>0.8166666666666667</v>
      </c>
      <c r="H57" s="37" t="n"/>
    </row>
    <row r="58">
      <c r="A58" t="inlineStr">
        <is>
          <t>SH915793</t>
        </is>
      </c>
      <c r="B58" t="inlineStr">
        <is>
          <t>EMP2086</t>
        </is>
      </c>
      <c r="C58" t="inlineStr">
        <is>
          <t>Registered Nurse</t>
        </is>
      </c>
      <c r="D58" s="31" t="n">
        <v>46007</v>
      </c>
      <c r="E58" t="inlineStr">
        <is>
          <t>Day 12h</t>
        </is>
      </c>
      <c r="F58" s="36" t="n">
        <v>0.28125</v>
      </c>
      <c r="G58" s="36" t="n">
        <v>0.8173611111111111</v>
      </c>
      <c r="H58" s="37" t="n"/>
    </row>
    <row r="59">
      <c r="A59" t="inlineStr">
        <is>
          <t>SH915794</t>
        </is>
      </c>
      <c r="B59" t="inlineStr">
        <is>
          <t>EMP2089</t>
        </is>
      </c>
      <c r="C59" t="inlineStr">
        <is>
          <t>Registered Nurse</t>
        </is>
      </c>
      <c r="D59" s="31" t="n">
        <v>46007</v>
      </c>
      <c r="E59" t="inlineStr">
        <is>
          <t>Day 12h</t>
        </is>
      </c>
      <c r="F59" s="36" t="n">
        <v>0.2861111111111111</v>
      </c>
      <c r="G59" s="36" t="n">
        <v>0.8138888888888889</v>
      </c>
      <c r="H59" s="37" t="n"/>
    </row>
    <row r="60">
      <c r="A60" t="inlineStr">
        <is>
          <t>SH915795</t>
        </is>
      </c>
      <c r="B60" t="inlineStr">
        <is>
          <t>EMP2093</t>
        </is>
      </c>
      <c r="C60" t="inlineStr">
        <is>
          <t>Registered Nurse</t>
        </is>
      </c>
      <c r="D60" s="31" t="n">
        <v>46007</v>
      </c>
      <c r="E60" t="inlineStr">
        <is>
          <t>Day 12h</t>
        </is>
      </c>
      <c r="F60" s="36" t="n">
        <v>0.2833333333333333</v>
      </c>
      <c r="G60" s="36" t="n">
        <v>0.9402777777777778</v>
      </c>
      <c r="H60" s="37" t="n"/>
    </row>
    <row r="61">
      <c r="A61" t="inlineStr">
        <is>
          <t>SH915796</t>
        </is>
      </c>
      <c r="B61" t="inlineStr">
        <is>
          <t>EMP2096</t>
        </is>
      </c>
      <c r="C61" t="inlineStr">
        <is>
          <t>Registered Nurse</t>
        </is>
      </c>
      <c r="D61" s="31" t="n">
        <v>46007</v>
      </c>
      <c r="E61" t="inlineStr">
        <is>
          <t>Day 12h</t>
        </is>
      </c>
      <c r="F61" s="36" t="n">
        <v>0.2888888888888889</v>
      </c>
      <c r="G61" s="36" t="n">
        <v>0.81875</v>
      </c>
      <c r="H61" s="37" t="n"/>
    </row>
    <row r="62">
      <c r="A62" t="inlineStr">
        <is>
          <t>SH915797</t>
        </is>
      </c>
      <c r="B62" t="inlineStr">
        <is>
          <t>EMP2100</t>
        </is>
      </c>
      <c r="C62" t="inlineStr">
        <is>
          <t>Registered Nurse</t>
        </is>
      </c>
      <c r="D62" s="31" t="n">
        <v>46007</v>
      </c>
      <c r="E62" t="inlineStr">
        <is>
          <t>Day 12h</t>
        </is>
      </c>
      <c r="F62" s="36" t="n">
        <v>0.2895833333333334</v>
      </c>
      <c r="G62" s="36" t="n">
        <v>0.8118055555555556</v>
      </c>
      <c r="H62" s="37" t="n"/>
    </row>
    <row r="63">
      <c r="A63" t="inlineStr">
        <is>
          <t>SH915798</t>
        </is>
      </c>
      <c r="B63" t="inlineStr">
        <is>
          <t>EMP2112</t>
        </is>
      </c>
      <c r="C63" t="inlineStr">
        <is>
          <t>Certified Nursing Assistant</t>
        </is>
      </c>
      <c r="D63" s="31" t="n">
        <v>46007</v>
      </c>
      <c r="E63" t="inlineStr">
        <is>
          <t>Day 12h</t>
        </is>
      </c>
      <c r="F63" s="36" t="n">
        <v>0.2777777777777778</v>
      </c>
      <c r="G63" s="36" t="n">
        <v>0.81875</v>
      </c>
      <c r="H63" s="37" t="n"/>
    </row>
    <row r="64">
      <c r="A64" t="inlineStr">
        <is>
          <t>SH915799</t>
        </is>
      </c>
      <c r="B64" t="inlineStr">
        <is>
          <t>EMP2121</t>
        </is>
      </c>
      <c r="C64" t="inlineStr">
        <is>
          <t>Certified Nursing Assistant</t>
        </is>
      </c>
      <c r="D64" s="31" t="n">
        <v>46007</v>
      </c>
      <c r="E64" t="inlineStr">
        <is>
          <t>Day 12h</t>
        </is>
      </c>
      <c r="F64" s="36" t="n">
        <v>0.2902777777777778</v>
      </c>
      <c r="G64" s="36" t="n">
        <v>0.85</v>
      </c>
      <c r="H64" s="37" t="n"/>
    </row>
    <row r="65">
      <c r="A65" t="inlineStr">
        <is>
          <t>SH915800</t>
        </is>
      </c>
      <c r="B65" t="inlineStr">
        <is>
          <t>EMP2124</t>
        </is>
      </c>
      <c r="C65" t="inlineStr">
        <is>
          <t>Unit Secretary</t>
        </is>
      </c>
      <c r="D65" s="31" t="n">
        <v>46007</v>
      </c>
      <c r="E65" t="inlineStr">
        <is>
          <t>Day 8h</t>
        </is>
      </c>
      <c r="F65" s="36" t="n">
        <v>0.2895833333333334</v>
      </c>
      <c r="G65" s="36" t="n">
        <v>0.6527777777777778</v>
      </c>
      <c r="H65" s="37" t="n"/>
    </row>
    <row r="66">
      <c r="A66" t="inlineStr">
        <is>
          <t>SH915801</t>
        </is>
      </c>
      <c r="B66" t="inlineStr">
        <is>
          <t>EMP2127</t>
        </is>
      </c>
      <c r="C66" t="inlineStr">
        <is>
          <t>Nurse Manager</t>
        </is>
      </c>
      <c r="D66" s="31" t="n">
        <v>46007</v>
      </c>
      <c r="E66" t="inlineStr">
        <is>
          <t>Day 8h</t>
        </is>
      </c>
      <c r="F66" s="36" t="n">
        <v>0.2868055555555555</v>
      </c>
      <c r="G66" s="36" t="n">
        <v>0.65</v>
      </c>
      <c r="H66" s="37" t="n"/>
    </row>
    <row r="67">
      <c r="A67" t="inlineStr">
        <is>
          <t>SH915802</t>
        </is>
      </c>
      <c r="B67" t="inlineStr">
        <is>
          <t>EMP2130</t>
        </is>
      </c>
      <c r="C67" t="inlineStr">
        <is>
          <t>Respiratory Therapist</t>
        </is>
      </c>
      <c r="D67" s="31" t="n">
        <v>46007</v>
      </c>
      <c r="E67" t="inlineStr">
        <is>
          <t>Day 12h</t>
        </is>
      </c>
      <c r="F67" s="36" t="n">
        <v>0.2902777777777778</v>
      </c>
      <c r="G67" s="36" t="n">
        <v>0.8756944444444444</v>
      </c>
      <c r="H67" s="37" t="n"/>
    </row>
    <row r="68">
      <c r="A68" t="inlineStr">
        <is>
          <t>SH915894</t>
        </is>
      </c>
      <c r="B68" t="inlineStr">
        <is>
          <t>EMP2126</t>
        </is>
      </c>
      <c r="C68" t="inlineStr">
        <is>
          <t>Unit Secretary</t>
        </is>
      </c>
      <c r="D68" s="31" t="n">
        <v>46007</v>
      </c>
      <c r="E68" t="inlineStr">
        <is>
          <t>Evening 8h</t>
        </is>
      </c>
      <c r="F68" s="36" t="n">
        <v>0.6243055555555556</v>
      </c>
      <c r="G68" s="36" t="n">
        <v>0.9958333333333333</v>
      </c>
      <c r="H68" s="37" t="n"/>
    </row>
    <row r="69">
      <c r="A69" t="inlineStr">
        <is>
          <t>SH915910</t>
        </is>
      </c>
      <c r="B69" t="inlineStr">
        <is>
          <t>EMP2061</t>
        </is>
      </c>
      <c r="C69" t="inlineStr">
        <is>
          <t>Registered Nurse</t>
        </is>
      </c>
      <c r="D69" s="31" t="n">
        <v>46007</v>
      </c>
      <c r="E69" t="inlineStr">
        <is>
          <t>Night 12h</t>
        </is>
      </c>
      <c r="F69" s="36" t="n">
        <v>0.7888888888888889</v>
      </c>
      <c r="G69" s="36" t="n">
        <v>0.3430555555555556</v>
      </c>
      <c r="H69" s="37" t="n"/>
    </row>
    <row r="70">
      <c r="A70" t="inlineStr">
        <is>
          <t>SH915911</t>
        </is>
      </c>
      <c r="B70" t="inlineStr">
        <is>
          <t>EMP2063</t>
        </is>
      </c>
      <c r="C70" t="inlineStr">
        <is>
          <t>Registered Nurse</t>
        </is>
      </c>
      <c r="D70" s="31" t="n">
        <v>46007</v>
      </c>
      <c r="E70" t="inlineStr">
        <is>
          <t>Night 12h</t>
        </is>
      </c>
      <c r="F70" s="36" t="n">
        <v>0.7868055555555555</v>
      </c>
      <c r="G70" s="36" t="n">
        <v>0.3236111111111111</v>
      </c>
      <c r="H70" s="37" t="n"/>
    </row>
    <row r="71">
      <c r="A71" t="inlineStr">
        <is>
          <t>SH915912</t>
        </is>
      </c>
      <c r="B71" t="inlineStr">
        <is>
          <t>EMP2066</t>
        </is>
      </c>
      <c r="C71" t="inlineStr">
        <is>
          <t>Registered Nurse</t>
        </is>
      </c>
      <c r="D71" s="31" t="n">
        <v>46007</v>
      </c>
      <c r="E71" t="inlineStr">
        <is>
          <t>Night 12h</t>
        </is>
      </c>
      <c r="F71" s="36" t="n">
        <v>0.7902777777777777</v>
      </c>
      <c r="G71" s="36" t="n">
        <v>0.3173611111111111</v>
      </c>
      <c r="H71" s="37" t="n"/>
    </row>
    <row r="72">
      <c r="A72" t="inlineStr">
        <is>
          <t>SH915913</t>
        </is>
      </c>
      <c r="B72" t="inlineStr">
        <is>
          <t>EMP2067</t>
        </is>
      </c>
      <c r="C72" t="inlineStr">
        <is>
          <t>Registered Nurse</t>
        </is>
      </c>
      <c r="D72" s="31" t="n">
        <v>46007</v>
      </c>
      <c r="E72" t="inlineStr">
        <is>
          <t>Night 12h</t>
        </is>
      </c>
      <c r="F72" s="36" t="n">
        <v>0.7819444444444444</v>
      </c>
      <c r="G72" s="36" t="n">
        <v>0.3138888888888889</v>
      </c>
      <c r="H72" s="37" t="n"/>
    </row>
    <row r="73">
      <c r="A73" t="inlineStr">
        <is>
          <t>SH915914</t>
        </is>
      </c>
      <c r="B73" t="inlineStr">
        <is>
          <t>EMP2069</t>
        </is>
      </c>
      <c r="C73" t="inlineStr">
        <is>
          <t>Registered Nurse</t>
        </is>
      </c>
      <c r="D73" s="31" t="n">
        <v>46007</v>
      </c>
      <c r="E73" t="inlineStr">
        <is>
          <t>Night 12h</t>
        </is>
      </c>
      <c r="F73" s="36" t="n">
        <v>0.7916666666666666</v>
      </c>
      <c r="G73" s="36" t="n">
        <v>0.3152777777777778</v>
      </c>
      <c r="H73" s="37" t="n"/>
    </row>
    <row r="74">
      <c r="A74" t="inlineStr">
        <is>
          <t>SH915915</t>
        </is>
      </c>
      <c r="B74" t="inlineStr">
        <is>
          <t>EMP2082</t>
        </is>
      </c>
      <c r="C74" t="inlineStr">
        <is>
          <t>Registered Nurse</t>
        </is>
      </c>
      <c r="D74" s="31" t="n">
        <v>46007</v>
      </c>
      <c r="E74" t="inlineStr">
        <is>
          <t>Night 12h</t>
        </is>
      </c>
      <c r="F74" s="36" t="n">
        <v>0.7847222222222222</v>
      </c>
      <c r="G74" s="36" t="n">
        <v>0.3208333333333334</v>
      </c>
      <c r="H74" s="37" t="n"/>
    </row>
    <row r="75">
      <c r="A75" t="inlineStr">
        <is>
          <t>SH915916</t>
        </is>
      </c>
      <c r="B75" t="inlineStr">
        <is>
          <t>EMP2092</t>
        </is>
      </c>
      <c r="C75" t="inlineStr">
        <is>
          <t>Registered Nurse</t>
        </is>
      </c>
      <c r="D75" s="31" t="n">
        <v>46007</v>
      </c>
      <c r="E75" t="inlineStr">
        <is>
          <t>Night 12h</t>
        </is>
      </c>
      <c r="F75" s="36" t="n">
        <v>0.7902777777777777</v>
      </c>
      <c r="G75" s="36" t="n">
        <v>0.3083333333333333</v>
      </c>
      <c r="H75" s="37" t="n"/>
    </row>
    <row r="76">
      <c r="A76" t="inlineStr">
        <is>
          <t>SH915917</t>
        </is>
      </c>
      <c r="B76" t="inlineStr">
        <is>
          <t>EMP2094</t>
        </is>
      </c>
      <c r="C76" t="inlineStr">
        <is>
          <t>Registered Nurse</t>
        </is>
      </c>
      <c r="D76" s="31" t="n">
        <v>46007</v>
      </c>
      <c r="E76" t="inlineStr">
        <is>
          <t>Night 12h</t>
        </is>
      </c>
      <c r="F76" s="36" t="n">
        <v>0.7833333333333333</v>
      </c>
      <c r="G76" s="36" t="n">
        <v>0.3194444444444444</v>
      </c>
      <c r="H76" s="37" t="n"/>
    </row>
    <row r="77">
      <c r="A77" t="inlineStr">
        <is>
          <t>SH915918</t>
        </is>
      </c>
      <c r="B77" t="inlineStr">
        <is>
          <t>EMP2097</t>
        </is>
      </c>
      <c r="C77" t="inlineStr">
        <is>
          <t>Registered Nurse</t>
        </is>
      </c>
      <c r="D77" s="31" t="n">
        <v>46007</v>
      </c>
      <c r="E77" t="inlineStr">
        <is>
          <t>Night 12h</t>
        </is>
      </c>
      <c r="F77" s="36" t="n">
        <v>0.7784722222222222</v>
      </c>
      <c r="G77" s="36" t="n">
        <v>0.3256944444444445</v>
      </c>
      <c r="H77" s="37" t="n"/>
    </row>
    <row r="78">
      <c r="A78" t="inlineStr">
        <is>
          <t>SH915919</t>
        </is>
      </c>
      <c r="B78" t="inlineStr">
        <is>
          <t>EMP2108</t>
        </is>
      </c>
      <c r="C78" t="inlineStr">
        <is>
          <t>Certified Nursing Assistant</t>
        </is>
      </c>
      <c r="D78" s="31" t="n">
        <v>46007</v>
      </c>
      <c r="E78" t="inlineStr">
        <is>
          <t>Night 12h</t>
        </is>
      </c>
      <c r="F78" s="36" t="n">
        <v>0.7826388888888889</v>
      </c>
      <c r="G78" s="36" t="n">
        <v>0.3152777777777778</v>
      </c>
      <c r="H78" s="37" t="n"/>
    </row>
    <row r="79">
      <c r="A79" t="inlineStr">
        <is>
          <t>SH915920</t>
        </is>
      </c>
      <c r="B79" t="inlineStr">
        <is>
          <t>EMP2109</t>
        </is>
      </c>
      <c r="C79" t="inlineStr">
        <is>
          <t>Certified Nursing Assistant</t>
        </is>
      </c>
      <c r="D79" s="31" t="n">
        <v>46007</v>
      </c>
      <c r="E79" t="inlineStr">
        <is>
          <t>Night 12h</t>
        </is>
      </c>
      <c r="F79" s="36" t="n">
        <v>0.7854166666666667</v>
      </c>
      <c r="G79" s="36" t="n">
        <v>0.31875</v>
      </c>
      <c r="H79" s="37" t="n"/>
    </row>
    <row r="80">
      <c r="A80" t="inlineStr">
        <is>
          <t>SH915921</t>
        </is>
      </c>
      <c r="B80" t="inlineStr">
        <is>
          <t>EMP2115</t>
        </is>
      </c>
      <c r="C80" t="inlineStr">
        <is>
          <t>Certified Nursing Assistant</t>
        </is>
      </c>
      <c r="D80" s="31" t="n">
        <v>46007</v>
      </c>
      <c r="E80" t="inlineStr">
        <is>
          <t>Night 12h</t>
        </is>
      </c>
      <c r="F80" s="36" t="n">
        <v>0.7881944444444444</v>
      </c>
      <c r="G80" s="36" t="n">
        <v>0.3166666666666667</v>
      </c>
      <c r="H80" s="37" t="n"/>
    </row>
    <row r="81">
      <c r="A81" t="inlineStr">
        <is>
          <t>SH915922</t>
        </is>
      </c>
      <c r="B81" t="inlineStr">
        <is>
          <t>EMP2116</t>
        </is>
      </c>
      <c r="C81" t="inlineStr">
        <is>
          <t>Certified Nursing Assistant</t>
        </is>
      </c>
      <c r="D81" s="31" t="n">
        <v>46007</v>
      </c>
      <c r="E81" t="inlineStr">
        <is>
          <t>Night 12h</t>
        </is>
      </c>
      <c r="F81" s="36" t="n">
        <v>0.7881944444444444</v>
      </c>
      <c r="G81" s="36" t="n">
        <v>0.3131944444444444</v>
      </c>
      <c r="H81" s="37" t="n"/>
    </row>
    <row r="82">
      <c r="A82" t="inlineStr">
        <is>
          <t>SH916005</t>
        </is>
      </c>
      <c r="B82" t="inlineStr">
        <is>
          <t>EMP2060</t>
        </is>
      </c>
      <c r="C82" t="inlineStr">
        <is>
          <t>Registered Nurse</t>
        </is>
      </c>
      <c r="D82" s="31" t="n">
        <v>46008</v>
      </c>
      <c r="E82" t="inlineStr">
        <is>
          <t>Day 12h</t>
        </is>
      </c>
      <c r="F82" s="36" t="n">
        <v>0.2881944444444444</v>
      </c>
      <c r="G82" s="36" t="n">
        <v>0.8138888888888889</v>
      </c>
      <c r="H82" s="37" t="n"/>
    </row>
    <row r="83">
      <c r="A83" t="inlineStr">
        <is>
          <t>SH916006</t>
        </is>
      </c>
      <c r="B83" t="inlineStr">
        <is>
          <t>EMP2072</t>
        </is>
      </c>
      <c r="C83" t="inlineStr">
        <is>
          <t>Registered Nurse</t>
        </is>
      </c>
      <c r="D83" s="31" t="n">
        <v>46008</v>
      </c>
      <c r="E83" t="inlineStr">
        <is>
          <t>Day 12h</t>
        </is>
      </c>
      <c r="F83" s="36" t="n">
        <v>0.2826388888888889</v>
      </c>
      <c r="G83" s="36" t="n">
        <v>0.81875</v>
      </c>
      <c r="H83" s="37" t="n"/>
    </row>
    <row r="84">
      <c r="A84" t="inlineStr">
        <is>
          <t>SH916007</t>
        </is>
      </c>
      <c r="B84" t="inlineStr">
        <is>
          <t>EMP2083</t>
        </is>
      </c>
      <c r="C84" t="inlineStr">
        <is>
          <t>Registered Nurse</t>
        </is>
      </c>
      <c r="D84" s="31" t="n">
        <v>46008</v>
      </c>
      <c r="E84" t="inlineStr">
        <is>
          <t>Day 12h</t>
        </is>
      </c>
      <c r="F84" s="36" t="n">
        <v>0.2847222222222222</v>
      </c>
      <c r="G84" s="36" t="n">
        <v>0.8090277777777778</v>
      </c>
      <c r="H84" s="37" t="n"/>
    </row>
    <row r="85">
      <c r="A85" t="inlineStr">
        <is>
          <t>SH916009</t>
        </is>
      </c>
      <c r="B85" t="inlineStr">
        <is>
          <t>EMP2088</t>
        </is>
      </c>
      <c r="C85" t="inlineStr">
        <is>
          <t>Registered Nurse</t>
        </is>
      </c>
      <c r="D85" s="31" t="n">
        <v>46008</v>
      </c>
      <c r="E85" t="inlineStr">
        <is>
          <t>Day 12h</t>
        </is>
      </c>
      <c r="F85" s="36" t="n">
        <v>0.2916666666666667</v>
      </c>
      <c r="G85" s="36" t="n">
        <v>0.8236111111111111</v>
      </c>
      <c r="H85" s="37" t="n"/>
    </row>
    <row r="86">
      <c r="A86" t="inlineStr">
        <is>
          <t>SH916010</t>
        </is>
      </c>
      <c r="B86" t="inlineStr">
        <is>
          <t>EMP2089</t>
        </is>
      </c>
      <c r="C86" t="inlineStr">
        <is>
          <t>Registered Nurse</t>
        </is>
      </c>
      <c r="D86" s="31" t="n">
        <v>46008</v>
      </c>
      <c r="E86" t="inlineStr">
        <is>
          <t>Day 12h</t>
        </is>
      </c>
      <c r="F86" s="36" t="n">
        <v>0.2861111111111111</v>
      </c>
      <c r="G86" s="36" t="n">
        <v>0.8145833333333333</v>
      </c>
      <c r="H86" s="37" t="n"/>
    </row>
    <row r="87">
      <c r="A87" t="inlineStr">
        <is>
          <t>SH916011</t>
        </is>
      </c>
      <c r="B87" t="inlineStr">
        <is>
          <t>EMP2102</t>
        </is>
      </c>
      <c r="C87" t="inlineStr">
        <is>
          <t>Registered Nurse</t>
        </is>
      </c>
      <c r="D87" s="31" t="n">
        <v>46008</v>
      </c>
      <c r="E87" t="inlineStr">
        <is>
          <t>Day 12h</t>
        </is>
      </c>
      <c r="F87" s="36" t="n">
        <v>0.2861111111111111</v>
      </c>
      <c r="G87" s="36" t="n">
        <v>0.8215277777777777</v>
      </c>
      <c r="H87" s="37" t="n"/>
    </row>
    <row r="88">
      <c r="A88" t="inlineStr">
        <is>
          <t>SH916012</t>
        </is>
      </c>
      <c r="B88" t="inlineStr">
        <is>
          <t>EMP2104</t>
        </is>
      </c>
      <c r="C88" t="inlineStr">
        <is>
          <t>Licensed Practical Nurse</t>
        </is>
      </c>
      <c r="D88" s="31" t="n">
        <v>46008</v>
      </c>
      <c r="E88" t="inlineStr">
        <is>
          <t>Day 12h</t>
        </is>
      </c>
      <c r="F88" s="36" t="n">
        <v>0.2875</v>
      </c>
      <c r="G88" s="36" t="n">
        <v>0.8152777777777778</v>
      </c>
      <c r="H88" s="37" t="n"/>
    </row>
    <row r="89">
      <c r="A89" t="inlineStr">
        <is>
          <t>SH916013</t>
        </is>
      </c>
      <c r="B89" t="inlineStr">
        <is>
          <t>EMP2117</t>
        </is>
      </c>
      <c r="C89" t="inlineStr">
        <is>
          <t>Certified Nursing Assistant</t>
        </is>
      </c>
      <c r="D89" s="31" t="n">
        <v>46008</v>
      </c>
      <c r="E89" t="inlineStr">
        <is>
          <t>Day 12h</t>
        </is>
      </c>
      <c r="F89" s="36" t="n">
        <v>0.2902777777777778</v>
      </c>
      <c r="G89" s="36" t="n">
        <v>0.8090277777777778</v>
      </c>
      <c r="H89" s="37" t="n"/>
    </row>
    <row r="90">
      <c r="A90" t="inlineStr">
        <is>
          <t>SH916014</t>
        </is>
      </c>
      <c r="B90" t="inlineStr">
        <is>
          <t>EMP2119</t>
        </is>
      </c>
      <c r="C90" t="inlineStr">
        <is>
          <t>Certified Nursing Assistant</t>
        </is>
      </c>
      <c r="D90" s="31" t="n">
        <v>46008</v>
      </c>
      <c r="E90" t="inlineStr">
        <is>
          <t>Day 12h</t>
        </is>
      </c>
      <c r="F90" s="36" t="n">
        <v>0.2847222222222222</v>
      </c>
      <c r="G90" s="36" t="n">
        <v>0.8125</v>
      </c>
      <c r="H90" s="37" t="n"/>
    </row>
    <row r="91">
      <c r="A91" t="inlineStr">
        <is>
          <t>SH916015</t>
        </is>
      </c>
      <c r="B91" t="inlineStr">
        <is>
          <t>EMP2120</t>
        </is>
      </c>
      <c r="C91" t="inlineStr">
        <is>
          <t>Certified Nursing Assistant</t>
        </is>
      </c>
      <c r="D91" s="31" t="n">
        <v>46008</v>
      </c>
      <c r="E91" t="inlineStr">
        <is>
          <t>Day 12h</t>
        </is>
      </c>
      <c r="F91" s="36" t="n">
        <v>0.2881944444444444</v>
      </c>
      <c r="G91" s="36" t="n">
        <v>0.88125</v>
      </c>
      <c r="H91" s="37" t="n"/>
    </row>
    <row r="92">
      <c r="A92" t="inlineStr">
        <is>
          <t>SH916016</t>
        </is>
      </c>
      <c r="B92" t="inlineStr">
        <is>
          <t>EMP2123</t>
        </is>
      </c>
      <c r="C92" t="inlineStr">
        <is>
          <t>Certified Nursing Assistant</t>
        </is>
      </c>
      <c r="D92" s="31" t="n">
        <v>46008</v>
      </c>
      <c r="E92" t="inlineStr">
        <is>
          <t>Day 12h</t>
        </is>
      </c>
      <c r="F92" s="36" t="n">
        <v>0.2888888888888889</v>
      </c>
      <c r="G92" s="36" t="n">
        <v>0.8083333333333333</v>
      </c>
      <c r="H92" s="37" t="n"/>
    </row>
    <row r="93">
      <c r="A93" t="inlineStr">
        <is>
          <t>SH916017</t>
        </is>
      </c>
      <c r="B93" t="inlineStr">
        <is>
          <t>EMP2124</t>
        </is>
      </c>
      <c r="C93" t="inlineStr">
        <is>
          <t>Unit Secretary</t>
        </is>
      </c>
      <c r="D93" s="31" t="n">
        <v>46008</v>
      </c>
      <c r="E93" t="inlineStr">
        <is>
          <t>Day 8h</t>
        </is>
      </c>
      <c r="F93" s="36" t="n">
        <v>0.2847222222222222</v>
      </c>
      <c r="G93" s="36" t="n">
        <v>0.6402777777777777</v>
      </c>
      <c r="H93" s="37" t="n"/>
    </row>
    <row r="94">
      <c r="A94" t="inlineStr">
        <is>
          <t>SH916018</t>
        </is>
      </c>
      <c r="B94" t="inlineStr">
        <is>
          <t>EMP2127</t>
        </is>
      </c>
      <c r="C94" t="inlineStr">
        <is>
          <t>Nurse Manager</t>
        </is>
      </c>
      <c r="D94" s="31" t="n">
        <v>46008</v>
      </c>
      <c r="E94" t="inlineStr">
        <is>
          <t>Day 8h</t>
        </is>
      </c>
      <c r="F94" s="36" t="n">
        <v>0.29375</v>
      </c>
      <c r="G94" s="36" t="n">
        <v>0.6479166666666667</v>
      </c>
      <c r="H94" s="37" t="n"/>
    </row>
    <row r="95">
      <c r="A95" t="inlineStr">
        <is>
          <t>SH916129</t>
        </is>
      </c>
      <c r="B95" t="inlineStr">
        <is>
          <t>EMP2126</t>
        </is>
      </c>
      <c r="C95" t="inlineStr">
        <is>
          <t>Unit Secretary</t>
        </is>
      </c>
      <c r="D95" s="31" t="n">
        <v>46008</v>
      </c>
      <c r="E95" t="inlineStr">
        <is>
          <t>Evening 8h</t>
        </is>
      </c>
      <c r="F95" s="36" t="n">
        <v>0.6208333333333333</v>
      </c>
      <c r="G95" s="36" t="n">
        <v>0.9826388888888888</v>
      </c>
      <c r="H95" s="37" t="n"/>
    </row>
    <row r="96">
      <c r="A96" t="inlineStr">
        <is>
          <t>SH916148</t>
        </is>
      </c>
      <c r="B96" t="inlineStr">
        <is>
          <t>EMP2074</t>
        </is>
      </c>
      <c r="C96" t="inlineStr">
        <is>
          <t>Registered Nurse</t>
        </is>
      </c>
      <c r="D96" s="31" t="n">
        <v>46008</v>
      </c>
      <c r="E96" t="inlineStr">
        <is>
          <t>Night 12h</t>
        </is>
      </c>
      <c r="F96" s="36" t="n">
        <v>0.7826388888888889</v>
      </c>
      <c r="G96" s="36" t="n">
        <v>0.3180555555555555</v>
      </c>
      <c r="H96" s="37" t="n"/>
    </row>
    <row r="97">
      <c r="A97" t="inlineStr">
        <is>
          <t>SH916149</t>
        </is>
      </c>
      <c r="B97" t="inlineStr">
        <is>
          <t>EMP2077</t>
        </is>
      </c>
      <c r="C97" t="inlineStr">
        <is>
          <t>Registered Nurse</t>
        </is>
      </c>
      <c r="D97" s="31" t="n">
        <v>46008</v>
      </c>
      <c r="E97" t="inlineStr">
        <is>
          <t>Night 12h</t>
        </is>
      </c>
      <c r="F97" s="36" t="n">
        <v>0.7888888888888889</v>
      </c>
      <c r="G97" s="36" t="n">
        <v>0.3159722222222222</v>
      </c>
      <c r="H97" s="37" t="n"/>
    </row>
    <row r="98">
      <c r="A98" t="inlineStr">
        <is>
          <t>SH916150</t>
        </is>
      </c>
      <c r="B98" t="inlineStr">
        <is>
          <t>EMP2084</t>
        </is>
      </c>
      <c r="C98" t="inlineStr">
        <is>
          <t>Registered Nurse</t>
        </is>
      </c>
      <c r="D98" s="31" t="n">
        <v>46008</v>
      </c>
      <c r="E98" t="inlineStr">
        <is>
          <t>Night 12h</t>
        </is>
      </c>
      <c r="F98" s="36" t="n">
        <v>0.7791666666666667</v>
      </c>
      <c r="G98" s="36" t="n">
        <v>0.3173611111111111</v>
      </c>
      <c r="H98" s="37" t="n"/>
    </row>
    <row r="99">
      <c r="A99" t="inlineStr">
        <is>
          <t>SH916151</t>
        </is>
      </c>
      <c r="B99" t="inlineStr">
        <is>
          <t>EMP2090</t>
        </is>
      </c>
      <c r="C99" t="inlineStr">
        <is>
          <t>Registered Nurse</t>
        </is>
      </c>
      <c r="D99" s="31" t="n">
        <v>46008</v>
      </c>
      <c r="E99" t="inlineStr">
        <is>
          <t>Night 12h</t>
        </is>
      </c>
      <c r="F99" s="36" t="n">
        <v>0.7923611111111111</v>
      </c>
      <c r="G99" s="36" t="n">
        <v>0.3180555555555555</v>
      </c>
      <c r="H99" s="37" t="n"/>
    </row>
    <row r="100">
      <c r="A100" t="inlineStr">
        <is>
          <t>SH916152</t>
        </is>
      </c>
      <c r="B100" t="inlineStr">
        <is>
          <t>EMP2094</t>
        </is>
      </c>
      <c r="C100" t="inlineStr">
        <is>
          <t>Registered Nurse</t>
        </is>
      </c>
      <c r="D100" s="31" t="n">
        <v>46008</v>
      </c>
      <c r="E100" t="inlineStr">
        <is>
          <t>Night 12h</t>
        </is>
      </c>
      <c r="F100" s="36" t="n">
        <v>0.7840277777777778</v>
      </c>
      <c r="G100" s="36" t="n">
        <v>0.3229166666666667</v>
      </c>
      <c r="H100" s="37" t="n"/>
    </row>
    <row r="101">
      <c r="A101" t="inlineStr">
        <is>
          <t>SH916153</t>
        </is>
      </c>
      <c r="B101" t="inlineStr">
        <is>
          <t>EMP2097</t>
        </is>
      </c>
      <c r="C101" t="inlineStr">
        <is>
          <t>Registered Nurse</t>
        </is>
      </c>
      <c r="D101" s="31" t="n">
        <v>46008</v>
      </c>
      <c r="E101" t="inlineStr">
        <is>
          <t>Night 12h</t>
        </is>
      </c>
      <c r="F101" s="36" t="n">
        <v>0.7888888888888889</v>
      </c>
      <c r="G101" s="36" t="n">
        <v>0.3236111111111111</v>
      </c>
      <c r="H101" s="37" t="n"/>
    </row>
    <row r="102">
      <c r="A102" t="inlineStr">
        <is>
          <t>SH916154</t>
        </is>
      </c>
      <c r="B102" t="inlineStr">
        <is>
          <t>EMP2115</t>
        </is>
      </c>
      <c r="C102" t="inlineStr">
        <is>
          <t>Certified Nursing Assistant</t>
        </is>
      </c>
      <c r="D102" s="31" t="n">
        <v>46008</v>
      </c>
      <c r="E102" t="inlineStr">
        <is>
          <t>Night 12h</t>
        </is>
      </c>
      <c r="F102" s="36" t="n">
        <v>0.7840277777777778</v>
      </c>
      <c r="G102" s="36" t="n">
        <v>0.3152777777777778</v>
      </c>
      <c r="H102" s="37" t="n"/>
    </row>
    <row r="103">
      <c r="A103" t="inlineStr">
        <is>
          <t>SH916220</t>
        </is>
      </c>
      <c r="B103" t="inlineStr">
        <is>
          <t>EMP2073</t>
        </is>
      </c>
      <c r="C103" t="inlineStr">
        <is>
          <t>Registered Nurse</t>
        </is>
      </c>
      <c r="D103" s="31" t="n">
        <v>46009</v>
      </c>
      <c r="E103" t="inlineStr">
        <is>
          <t>Day 12h</t>
        </is>
      </c>
      <c r="F103" s="36" t="n">
        <v>0.2881944444444444</v>
      </c>
      <c r="G103" s="36" t="n">
        <v>0.8152777777777778</v>
      </c>
      <c r="H103" s="37" t="n"/>
    </row>
    <row r="104">
      <c r="A104" t="inlineStr">
        <is>
          <t>SH916221</t>
        </is>
      </c>
      <c r="B104" t="inlineStr">
        <is>
          <t>EMP2086</t>
        </is>
      </c>
      <c r="C104" t="inlineStr">
        <is>
          <t>Registered Nurse</t>
        </is>
      </c>
      <c r="D104" s="31" t="n">
        <v>46009</v>
      </c>
      <c r="E104" t="inlineStr">
        <is>
          <t>Day 12h</t>
        </is>
      </c>
      <c r="F104" s="36" t="n">
        <v>0.2881944444444444</v>
      </c>
      <c r="G104" s="36" t="n">
        <v>0.8215277777777777</v>
      </c>
      <c r="H104" s="37" t="n"/>
    </row>
    <row r="105">
      <c r="A105" t="inlineStr">
        <is>
          <t>SH916222</t>
        </is>
      </c>
      <c r="B105" t="inlineStr">
        <is>
          <t>EMP2087</t>
        </is>
      </c>
      <c r="C105" t="inlineStr">
        <is>
          <t>Registered Nurse</t>
        </is>
      </c>
      <c r="D105" s="31" t="n">
        <v>46009</v>
      </c>
      <c r="E105" t="inlineStr">
        <is>
          <t>Day 12h</t>
        </is>
      </c>
      <c r="F105" s="36" t="n">
        <v>0.2888888888888889</v>
      </c>
      <c r="G105" s="36" t="n">
        <v>0.8840277777777777</v>
      </c>
      <c r="H105" s="37" t="n"/>
    </row>
    <row r="106">
      <c r="A106" t="inlineStr">
        <is>
          <t>SH916223</t>
        </is>
      </c>
      <c r="B106" t="inlineStr">
        <is>
          <t>EMP2088</t>
        </is>
      </c>
      <c r="C106" t="inlineStr">
        <is>
          <t>Registered Nurse</t>
        </is>
      </c>
      <c r="D106" s="31" t="n">
        <v>46009</v>
      </c>
      <c r="E106" t="inlineStr">
        <is>
          <t>Day 12h</t>
        </is>
      </c>
      <c r="F106" s="36" t="n">
        <v>0.2847222222222222</v>
      </c>
      <c r="G106" s="36" t="n">
        <v>0.8277777777777777</v>
      </c>
      <c r="H106" s="37" t="n"/>
    </row>
    <row r="107">
      <c r="A107" t="inlineStr">
        <is>
          <t>SH916224</t>
        </is>
      </c>
      <c r="B107" t="inlineStr">
        <is>
          <t>EMP2089</t>
        </is>
      </c>
      <c r="C107" t="inlineStr">
        <is>
          <t>Registered Nurse</t>
        </is>
      </c>
      <c r="D107" s="31" t="n">
        <v>46009</v>
      </c>
      <c r="E107" t="inlineStr">
        <is>
          <t>Day 12h</t>
        </is>
      </c>
      <c r="F107" s="36" t="n">
        <v>0.2888888888888889</v>
      </c>
      <c r="G107" s="36" t="n">
        <v>0.8159722222222222</v>
      </c>
      <c r="H107" s="37" t="n"/>
    </row>
    <row r="108">
      <c r="A108" t="inlineStr">
        <is>
          <t>SH916225</t>
        </is>
      </c>
      <c r="B108" t="inlineStr">
        <is>
          <t>EMP2091</t>
        </is>
      </c>
      <c r="C108" t="inlineStr">
        <is>
          <t>Registered Nurse</t>
        </is>
      </c>
      <c r="D108" s="31" t="n">
        <v>46009</v>
      </c>
      <c r="E108" t="inlineStr">
        <is>
          <t>Day 12h</t>
        </is>
      </c>
      <c r="F108" s="36" t="n">
        <v>0.2840277777777778</v>
      </c>
      <c r="G108" s="36" t="n">
        <v>0.8194444444444444</v>
      </c>
      <c r="H108" s="37" t="n"/>
    </row>
    <row r="109">
      <c r="A109" t="inlineStr">
        <is>
          <t>SH916226</t>
        </is>
      </c>
      <c r="B109" t="inlineStr">
        <is>
          <t>EMP2093</t>
        </is>
      </c>
      <c r="C109" t="inlineStr">
        <is>
          <t>Registered Nurse</t>
        </is>
      </c>
      <c r="D109" s="31" t="n">
        <v>46009</v>
      </c>
      <c r="E109" t="inlineStr">
        <is>
          <t>Day 12h</t>
        </is>
      </c>
      <c r="F109" s="36" t="n">
        <v>0.2840277777777778</v>
      </c>
      <c r="G109" s="36" t="n">
        <v>0.8131944444444444</v>
      </c>
      <c r="H109" s="37" t="n"/>
    </row>
    <row r="110">
      <c r="A110" t="inlineStr">
        <is>
          <t>SH916227</t>
        </is>
      </c>
      <c r="B110" t="inlineStr">
        <is>
          <t>EMP2100</t>
        </is>
      </c>
      <c r="C110" t="inlineStr">
        <is>
          <t>Registered Nurse</t>
        </is>
      </c>
      <c r="D110" s="31" t="n">
        <v>46009</v>
      </c>
      <c r="E110" t="inlineStr">
        <is>
          <t>Day 12h</t>
        </is>
      </c>
      <c r="F110" s="36" t="n">
        <v>0.2909722222222222</v>
      </c>
      <c r="G110" s="36" t="n">
        <v>0.8215277777777777</v>
      </c>
      <c r="H110" s="37" t="n"/>
    </row>
    <row r="111">
      <c r="A111" t="inlineStr">
        <is>
          <t>SH916228</t>
        </is>
      </c>
      <c r="B111" t="inlineStr">
        <is>
          <t>EMP2102</t>
        </is>
      </c>
      <c r="C111" t="inlineStr">
        <is>
          <t>Registered Nurse</t>
        </is>
      </c>
      <c r="D111" s="31" t="n">
        <v>46009</v>
      </c>
      <c r="E111" t="inlineStr">
        <is>
          <t>Day 12h</t>
        </is>
      </c>
      <c r="F111" s="36" t="n">
        <v>0.2861111111111111</v>
      </c>
      <c r="G111" s="36" t="n">
        <v>0.8111111111111111</v>
      </c>
      <c r="H111" s="37" t="n"/>
    </row>
    <row r="112">
      <c r="A112" t="inlineStr">
        <is>
          <t>SH916229</t>
        </is>
      </c>
      <c r="B112" t="inlineStr">
        <is>
          <t>EMP2106</t>
        </is>
      </c>
      <c r="C112" t="inlineStr">
        <is>
          <t>Licensed Practical Nurse</t>
        </is>
      </c>
      <c r="D112" s="31" t="n">
        <v>46009</v>
      </c>
      <c r="E112" t="inlineStr">
        <is>
          <t>Day 12h</t>
        </is>
      </c>
      <c r="F112" s="36" t="n">
        <v>0.2840277777777778</v>
      </c>
      <c r="G112" s="36" t="n">
        <v>0.8340277777777778</v>
      </c>
      <c r="H112" s="37" t="n"/>
    </row>
    <row r="113">
      <c r="A113" t="inlineStr">
        <is>
          <t>SH916230</t>
        </is>
      </c>
      <c r="B113" t="inlineStr">
        <is>
          <t>EMP2113</t>
        </is>
      </c>
      <c r="C113" t="inlineStr">
        <is>
          <t>Certified Nursing Assistant</t>
        </is>
      </c>
      <c r="D113" s="31" t="n">
        <v>46009</v>
      </c>
      <c r="E113" t="inlineStr">
        <is>
          <t>Day 12h</t>
        </is>
      </c>
      <c r="F113" s="36" t="n">
        <v>0.2881944444444444</v>
      </c>
      <c r="G113" s="36" t="n">
        <v>0.8201388888888889</v>
      </c>
      <c r="H113" s="37" t="n"/>
    </row>
    <row r="114">
      <c r="A114" t="inlineStr">
        <is>
          <t>SH916231</t>
        </is>
      </c>
      <c r="B114" t="inlineStr">
        <is>
          <t>EMP2114</t>
        </is>
      </c>
      <c r="C114" t="inlineStr">
        <is>
          <t>Certified Nursing Assistant</t>
        </is>
      </c>
      <c r="D114" s="31" t="n">
        <v>46009</v>
      </c>
      <c r="E114" t="inlineStr">
        <is>
          <t>Day 12h</t>
        </is>
      </c>
      <c r="F114" s="36" t="n">
        <v>0.2916666666666667</v>
      </c>
      <c r="G114" s="36" t="n">
        <v>0.8194444444444444</v>
      </c>
      <c r="H114" s="37" t="n"/>
    </row>
    <row r="115">
      <c r="A115" t="inlineStr">
        <is>
          <t>SH916232</t>
        </is>
      </c>
      <c r="B115" t="inlineStr">
        <is>
          <t>EMP2119</t>
        </is>
      </c>
      <c r="C115" t="inlineStr">
        <is>
          <t>Certified Nursing Assistant</t>
        </is>
      </c>
      <c r="D115" s="31" t="n">
        <v>46009</v>
      </c>
      <c r="E115" t="inlineStr">
        <is>
          <t>Day 12h</t>
        </is>
      </c>
      <c r="F115" s="36" t="n">
        <v>0.2791666666666667</v>
      </c>
      <c r="G115" s="36" t="n">
        <v>0.8236111111111111</v>
      </c>
      <c r="H115" s="37" t="n"/>
    </row>
    <row r="116">
      <c r="A116" t="inlineStr">
        <is>
          <t>SH916233</t>
        </is>
      </c>
      <c r="B116" t="inlineStr">
        <is>
          <t>EMP2120</t>
        </is>
      </c>
      <c r="C116" t="inlineStr">
        <is>
          <t>Certified Nursing Assistant</t>
        </is>
      </c>
      <c r="D116" s="31" t="n">
        <v>46009</v>
      </c>
      <c r="E116" t="inlineStr">
        <is>
          <t>Day 12h</t>
        </is>
      </c>
      <c r="F116" s="36" t="n">
        <v>0.2868055555555555</v>
      </c>
      <c r="G116" s="36" t="n">
        <v>0.8236111111111111</v>
      </c>
      <c r="H116" s="37" t="n"/>
    </row>
    <row r="117">
      <c r="A117" t="inlineStr">
        <is>
          <t>SH916234</t>
        </is>
      </c>
      <c r="B117" t="inlineStr">
        <is>
          <t>EMP2122</t>
        </is>
      </c>
      <c r="C117" t="inlineStr">
        <is>
          <t>Certified Nursing Assistant</t>
        </is>
      </c>
      <c r="D117" s="31" t="n">
        <v>46009</v>
      </c>
      <c r="E117" t="inlineStr">
        <is>
          <t>Day 12h</t>
        </is>
      </c>
      <c r="F117" s="36" t="n">
        <v>0.2916666666666667</v>
      </c>
      <c r="G117" s="36" t="n">
        <v>0.8090277777777778</v>
      </c>
      <c r="H117" s="37" t="n"/>
    </row>
    <row r="118">
      <c r="A118" t="inlineStr">
        <is>
          <t>SH916235</t>
        </is>
      </c>
      <c r="B118" t="inlineStr">
        <is>
          <t>EMP2125</t>
        </is>
      </c>
      <c r="C118" t="inlineStr">
        <is>
          <t>Unit Secretary</t>
        </is>
      </c>
      <c r="D118" s="31" t="n">
        <v>46009</v>
      </c>
      <c r="E118" t="inlineStr">
        <is>
          <t>Day 8h</t>
        </is>
      </c>
      <c r="F118" s="36" t="n">
        <v>0.2895833333333334</v>
      </c>
      <c r="G118" s="36" t="n">
        <v>0.6583333333333333</v>
      </c>
      <c r="H118" s="37" t="n"/>
    </row>
    <row r="119">
      <c r="A119" t="inlineStr">
        <is>
          <t>SH916236</t>
        </is>
      </c>
      <c r="B119" t="inlineStr">
        <is>
          <t>EMP2127</t>
        </is>
      </c>
      <c r="C119" t="inlineStr">
        <is>
          <t>Nurse Manager</t>
        </is>
      </c>
      <c r="D119" s="31" t="n">
        <v>46009</v>
      </c>
      <c r="E119" t="inlineStr">
        <is>
          <t>Day 8h</t>
        </is>
      </c>
      <c r="F119" s="36" t="n">
        <v>0.2833333333333333</v>
      </c>
      <c r="G119" s="36" t="n">
        <v>0.6423611111111112</v>
      </c>
      <c r="H119" s="37" t="n"/>
    </row>
    <row r="120">
      <c r="A120" t="inlineStr">
        <is>
          <t>SH916237</t>
        </is>
      </c>
      <c r="B120" t="inlineStr">
        <is>
          <t>EMP2129</t>
        </is>
      </c>
      <c r="C120" t="inlineStr">
        <is>
          <t>Respiratory Therapist</t>
        </is>
      </c>
      <c r="D120" s="31" t="n">
        <v>46009</v>
      </c>
      <c r="E120" t="inlineStr">
        <is>
          <t>Day 12h</t>
        </is>
      </c>
      <c r="F120" s="36" t="n">
        <v>0.2833333333333333</v>
      </c>
      <c r="G120" s="36" t="n">
        <v>0.8375</v>
      </c>
      <c r="H120" s="37" t="n"/>
    </row>
    <row r="121">
      <c r="A121" t="inlineStr">
        <is>
          <t>SH916329</t>
        </is>
      </c>
      <c r="B121" t="inlineStr">
        <is>
          <t>EMP2126</t>
        </is>
      </c>
      <c r="C121" t="inlineStr">
        <is>
          <t>Unit Secretary</t>
        </is>
      </c>
      <c r="D121" s="31" t="n">
        <v>46009</v>
      </c>
      <c r="E121" t="inlineStr">
        <is>
          <t>Evening 8h</t>
        </is>
      </c>
      <c r="F121" s="36" t="n">
        <v>0.6194444444444445</v>
      </c>
      <c r="G121" s="36" t="n">
        <v>0.9868055555555556</v>
      </c>
      <c r="H121" s="37" t="n"/>
    </row>
    <row r="122">
      <c r="A122" t="inlineStr">
        <is>
          <t>SH916348</t>
        </is>
      </c>
      <c r="B122" t="inlineStr">
        <is>
          <t>EMP2063</t>
        </is>
      </c>
      <c r="C122" t="inlineStr">
        <is>
          <t>Registered Nurse</t>
        </is>
      </c>
      <c r="D122" s="31" t="n">
        <v>46009</v>
      </c>
      <c r="E122" t="inlineStr">
        <is>
          <t>Night 12h</t>
        </is>
      </c>
      <c r="F122" s="36" t="n">
        <v>0.7902777777777777</v>
      </c>
      <c r="G122" s="36" t="n">
        <v>0.3152777777777778</v>
      </c>
      <c r="H122" s="37" t="n"/>
    </row>
    <row r="123">
      <c r="A123" t="inlineStr">
        <is>
          <t>SH916349</t>
        </is>
      </c>
      <c r="B123" t="inlineStr">
        <is>
          <t>EMP2066</t>
        </is>
      </c>
      <c r="C123" t="inlineStr">
        <is>
          <t>Registered Nurse</t>
        </is>
      </c>
      <c r="D123" s="31" t="n">
        <v>46009</v>
      </c>
      <c r="E123" t="inlineStr">
        <is>
          <t>Night 12h</t>
        </is>
      </c>
      <c r="F123" s="36" t="n">
        <v>0.7861111111111111</v>
      </c>
      <c r="G123" s="36" t="n">
        <v>0.3368055555555556</v>
      </c>
      <c r="H123" s="37" t="n"/>
    </row>
    <row r="124">
      <c r="A124" t="inlineStr">
        <is>
          <t>SH916350</t>
        </is>
      </c>
      <c r="B124" t="inlineStr">
        <is>
          <t>EMP2067</t>
        </is>
      </c>
      <c r="C124" t="inlineStr">
        <is>
          <t>Registered Nurse</t>
        </is>
      </c>
      <c r="D124" s="31" t="n">
        <v>46009</v>
      </c>
      <c r="E124" t="inlineStr">
        <is>
          <t>Night 12h</t>
        </is>
      </c>
      <c r="F124" s="36" t="n">
        <v>0.7902777777777777</v>
      </c>
      <c r="G124" s="36" t="n">
        <v>0.3145833333333333</v>
      </c>
      <c r="H124" s="37" t="n"/>
    </row>
    <row r="125">
      <c r="A125" t="inlineStr">
        <is>
          <t>SH916351</t>
        </is>
      </c>
      <c r="B125" t="inlineStr">
        <is>
          <t>EMP2082</t>
        </is>
      </c>
      <c r="C125" t="inlineStr">
        <is>
          <t>Registered Nurse</t>
        </is>
      </c>
      <c r="D125" s="31" t="n">
        <v>46009</v>
      </c>
      <c r="E125" t="inlineStr">
        <is>
          <t>Night 12h</t>
        </is>
      </c>
      <c r="F125" s="36" t="n">
        <v>0.7895833333333333</v>
      </c>
      <c r="G125" s="36" t="n">
        <v>0.3138888888888889</v>
      </c>
      <c r="H125" s="37" t="n"/>
    </row>
    <row r="126">
      <c r="A126" t="inlineStr">
        <is>
          <t>SH916352</t>
        </is>
      </c>
      <c r="B126" t="inlineStr">
        <is>
          <t>EMP2090</t>
        </is>
      </c>
      <c r="C126" t="inlineStr">
        <is>
          <t>Registered Nurse</t>
        </is>
      </c>
      <c r="D126" s="31" t="n">
        <v>46009</v>
      </c>
      <c r="E126" t="inlineStr">
        <is>
          <t>Night 12h</t>
        </is>
      </c>
      <c r="F126" s="36" t="n">
        <v>0.7881944444444444</v>
      </c>
      <c r="G126" s="36" t="n">
        <v>0.3166666666666667</v>
      </c>
      <c r="H126" s="37" t="n"/>
    </row>
    <row r="127">
      <c r="A127" t="inlineStr">
        <is>
          <t>SH916353</t>
        </is>
      </c>
      <c r="B127" t="inlineStr">
        <is>
          <t>EMP2094</t>
        </is>
      </c>
      <c r="C127" t="inlineStr">
        <is>
          <t>Registered Nurse</t>
        </is>
      </c>
      <c r="D127" s="31" t="n">
        <v>46009</v>
      </c>
      <c r="E127" t="inlineStr">
        <is>
          <t>Night 12h</t>
        </is>
      </c>
      <c r="F127" s="36" t="n">
        <v>0.7868055555555555</v>
      </c>
      <c r="G127" s="36" t="n">
        <v>0.3166666666666667</v>
      </c>
      <c r="H127" s="37" t="n"/>
    </row>
    <row r="128">
      <c r="A128" t="inlineStr">
        <is>
          <t>SH916354</t>
        </is>
      </c>
      <c r="B128" t="inlineStr">
        <is>
          <t>EMP2095</t>
        </is>
      </c>
      <c r="C128" t="inlineStr">
        <is>
          <t>Registered Nurse</t>
        </is>
      </c>
      <c r="D128" s="31" t="n">
        <v>46009</v>
      </c>
      <c r="E128" t="inlineStr">
        <is>
          <t>Night 12h</t>
        </is>
      </c>
      <c r="F128" s="36" t="n">
        <v>0.7826388888888889</v>
      </c>
      <c r="G128" s="36" t="n">
        <v>0.3131944444444444</v>
      </c>
      <c r="H128" s="37" t="n"/>
    </row>
    <row r="129">
      <c r="A129" t="inlineStr">
        <is>
          <t>SH916355</t>
        </is>
      </c>
      <c r="B129" t="inlineStr">
        <is>
          <t>EMP2103</t>
        </is>
      </c>
      <c r="C129" t="inlineStr">
        <is>
          <t>Registered Nurse</t>
        </is>
      </c>
      <c r="D129" s="31" t="n">
        <v>46009</v>
      </c>
      <c r="E129" t="inlineStr">
        <is>
          <t>Night 12h</t>
        </is>
      </c>
      <c r="F129" s="36" t="n">
        <v>0.7875</v>
      </c>
      <c r="G129" s="36" t="n">
        <v>0.4638888888888889</v>
      </c>
      <c r="H129" s="37" t="n"/>
    </row>
    <row r="130">
      <c r="A130" t="inlineStr">
        <is>
          <t>SH916356</t>
        </is>
      </c>
      <c r="B130" t="inlineStr">
        <is>
          <t>EMP2118</t>
        </is>
      </c>
      <c r="C130" t="inlineStr">
        <is>
          <t>Certified Nursing Assistant</t>
        </is>
      </c>
      <c r="D130" s="31" t="n">
        <v>46009</v>
      </c>
      <c r="E130" t="inlineStr">
        <is>
          <t>Night 12h</t>
        </is>
      </c>
      <c r="F130" s="36" t="n">
        <v>0.7916666666666666</v>
      </c>
      <c r="G130" s="36" t="n">
        <v>0.3263888888888889</v>
      </c>
      <c r="H130" s="37" t="n"/>
    </row>
    <row r="131">
      <c r="A131" t="inlineStr">
        <is>
          <t>SH916432</t>
        </is>
      </c>
      <c r="B131" t="inlineStr">
        <is>
          <t>EMP2068</t>
        </is>
      </c>
      <c r="C131" t="inlineStr">
        <is>
          <t>Registered Nurse</t>
        </is>
      </c>
      <c r="D131" s="31" t="n">
        <v>46010</v>
      </c>
      <c r="E131" t="inlineStr">
        <is>
          <t>Day 12h</t>
        </is>
      </c>
      <c r="F131" s="36" t="n">
        <v>0.2881944444444444</v>
      </c>
      <c r="G131" s="36" t="n">
        <v>0.8479166666666667</v>
      </c>
      <c r="H131" s="37" t="n"/>
    </row>
    <row r="132">
      <c r="A132" t="inlineStr">
        <is>
          <t>SH916433</t>
        </is>
      </c>
      <c r="B132" t="inlineStr">
        <is>
          <t>EMP2072</t>
        </is>
      </c>
      <c r="C132" t="inlineStr">
        <is>
          <t>Registered Nurse</t>
        </is>
      </c>
      <c r="D132" s="31" t="n">
        <v>46010</v>
      </c>
      <c r="E132" t="inlineStr">
        <is>
          <t>Day 12h</t>
        </is>
      </c>
      <c r="F132" s="36" t="n">
        <v>0.2840277777777778</v>
      </c>
      <c r="G132" s="36" t="n">
        <v>0.8215277777777777</v>
      </c>
      <c r="H132" s="37" t="n"/>
    </row>
    <row r="133">
      <c r="A133" t="inlineStr">
        <is>
          <t>SH916434</t>
        </is>
      </c>
      <c r="B133" t="inlineStr">
        <is>
          <t>EMP2073</t>
        </is>
      </c>
      <c r="C133" t="inlineStr">
        <is>
          <t>Registered Nurse</t>
        </is>
      </c>
      <c r="D133" s="31" t="n">
        <v>46010</v>
      </c>
      <c r="E133" t="inlineStr">
        <is>
          <t>Day 12h</t>
        </is>
      </c>
      <c r="F133" s="36" t="n">
        <v>0.2833333333333333</v>
      </c>
      <c r="G133" s="36" t="n">
        <v>0.8083333333333333</v>
      </c>
      <c r="H133" s="37" t="n"/>
    </row>
    <row r="134">
      <c r="A134" t="inlineStr">
        <is>
          <t>SH916435</t>
        </is>
      </c>
      <c r="B134" t="inlineStr">
        <is>
          <t>EMP2074</t>
        </is>
      </c>
      <c r="C134" t="inlineStr">
        <is>
          <t>Registered Nurse</t>
        </is>
      </c>
      <c r="D134" s="31" t="n">
        <v>46010</v>
      </c>
      <c r="E134" t="inlineStr">
        <is>
          <t>Day 12h</t>
        </is>
      </c>
      <c r="F134" s="36" t="n">
        <v>0.2833333333333333</v>
      </c>
      <c r="G134" s="36" t="n">
        <v>0.8583333333333333</v>
      </c>
      <c r="H134" s="37" t="n"/>
    </row>
    <row r="135">
      <c r="A135" t="inlineStr">
        <is>
          <t>SH916436</t>
        </is>
      </c>
      <c r="B135" t="inlineStr">
        <is>
          <t>EMP2075</t>
        </is>
      </c>
      <c r="C135" t="inlineStr">
        <is>
          <t>Registered Nurse</t>
        </is>
      </c>
      <c r="D135" s="31" t="n">
        <v>46010</v>
      </c>
      <c r="E135" t="inlineStr">
        <is>
          <t>Day 12h</t>
        </is>
      </c>
      <c r="F135" s="36" t="n">
        <v>0.2854166666666667</v>
      </c>
      <c r="G135" s="36" t="n">
        <v>0.8076388888888889</v>
      </c>
      <c r="H135" s="37" t="n"/>
    </row>
    <row r="136">
      <c r="A136" t="inlineStr">
        <is>
          <t>SH916437</t>
        </is>
      </c>
      <c r="B136" t="inlineStr">
        <is>
          <t>EMP2078</t>
        </is>
      </c>
      <c r="C136" t="inlineStr">
        <is>
          <t>Registered Nurse</t>
        </is>
      </c>
      <c r="D136" s="31" t="n">
        <v>46010</v>
      </c>
      <c r="E136" t="inlineStr">
        <is>
          <t>Day 12h</t>
        </is>
      </c>
      <c r="F136" s="36" t="n">
        <v>0.2833333333333333</v>
      </c>
      <c r="G136" s="36" t="n">
        <v>0.8083333333333333</v>
      </c>
      <c r="H136" s="37" t="n"/>
    </row>
    <row r="137">
      <c r="A137" t="inlineStr">
        <is>
          <t>SH916438</t>
        </is>
      </c>
      <c r="B137" t="inlineStr">
        <is>
          <t>EMP2083</t>
        </is>
      </c>
      <c r="C137" t="inlineStr">
        <is>
          <t>Registered Nurse</t>
        </is>
      </c>
      <c r="D137" s="31" t="n">
        <v>46010</v>
      </c>
      <c r="E137" t="inlineStr">
        <is>
          <t>Day 12h</t>
        </is>
      </c>
      <c r="F137" s="36" t="n">
        <v>0.2888888888888889</v>
      </c>
      <c r="G137" s="36" t="n">
        <v>0.8083333333333333</v>
      </c>
      <c r="H137" s="37" t="n"/>
    </row>
    <row r="138">
      <c r="A138" t="inlineStr">
        <is>
          <t>SH916439</t>
        </is>
      </c>
      <c r="B138" t="inlineStr">
        <is>
          <t>EMP2085</t>
        </is>
      </c>
      <c r="C138" t="inlineStr">
        <is>
          <t>Registered Nurse</t>
        </is>
      </c>
      <c r="D138" s="31" t="n">
        <v>46010</v>
      </c>
      <c r="E138" t="inlineStr">
        <is>
          <t>Day 12h</t>
        </is>
      </c>
      <c r="F138" s="36" t="n">
        <v>0.2875</v>
      </c>
      <c r="G138" s="36" t="n">
        <v>0.8166666666666667</v>
      </c>
      <c r="H138" s="37" t="n"/>
    </row>
    <row r="139">
      <c r="A139" t="inlineStr">
        <is>
          <t>SH916440</t>
        </is>
      </c>
      <c r="B139" t="inlineStr">
        <is>
          <t>EMP2086</t>
        </is>
      </c>
      <c r="C139" t="inlineStr">
        <is>
          <t>Registered Nurse</t>
        </is>
      </c>
      <c r="D139" s="31" t="n">
        <v>46010</v>
      </c>
      <c r="E139" t="inlineStr">
        <is>
          <t>Day 12h</t>
        </is>
      </c>
      <c r="F139" s="36" t="n">
        <v>0.2826388888888889</v>
      </c>
      <c r="G139" s="36" t="n">
        <v>0.8180555555555555</v>
      </c>
      <c r="H139" s="37" t="n"/>
    </row>
    <row r="140">
      <c r="A140" t="inlineStr">
        <is>
          <t>SH916441</t>
        </is>
      </c>
      <c r="B140" t="inlineStr">
        <is>
          <t>EMP2093</t>
        </is>
      </c>
      <c r="C140" t="inlineStr">
        <is>
          <t>Registered Nurse</t>
        </is>
      </c>
      <c r="D140" s="31" t="n">
        <v>46010</v>
      </c>
      <c r="E140" t="inlineStr">
        <is>
          <t>Day 12h</t>
        </is>
      </c>
      <c r="F140" s="36" t="n">
        <v>0.2826388888888889</v>
      </c>
      <c r="G140" s="36" t="n">
        <v>0.8118055555555556</v>
      </c>
      <c r="H140" s="37" t="n"/>
    </row>
    <row r="141">
      <c r="A141" t="inlineStr">
        <is>
          <t>SH916442</t>
        </is>
      </c>
      <c r="B141" t="inlineStr">
        <is>
          <t>EMP2099</t>
        </is>
      </c>
      <c r="C141" t="inlineStr">
        <is>
          <t>Registered Nurse</t>
        </is>
      </c>
      <c r="D141" s="31" t="n">
        <v>46010</v>
      </c>
      <c r="E141" t="inlineStr">
        <is>
          <t>Day 12h</t>
        </is>
      </c>
      <c r="F141" s="36" t="n">
        <v>0.2826388888888889</v>
      </c>
      <c r="G141" s="36" t="n">
        <v>0.8145833333333333</v>
      </c>
      <c r="H141" s="37" t="n"/>
    </row>
    <row r="142">
      <c r="A142" t="inlineStr">
        <is>
          <t>SH916443</t>
        </is>
      </c>
      <c r="B142" t="inlineStr">
        <is>
          <t>EMP2120</t>
        </is>
      </c>
      <c r="C142" t="inlineStr">
        <is>
          <t>Certified Nursing Assistant</t>
        </is>
      </c>
      <c r="D142" s="31" t="n">
        <v>46010</v>
      </c>
      <c r="E142" t="inlineStr">
        <is>
          <t>Day 12h</t>
        </is>
      </c>
      <c r="F142" s="36" t="n">
        <v>0.2881944444444444</v>
      </c>
      <c r="G142" s="36" t="n">
        <v>0.8166666666666667</v>
      </c>
      <c r="H142" s="37" t="n"/>
    </row>
    <row r="143">
      <c r="A143" t="inlineStr">
        <is>
          <t>SH916444</t>
        </is>
      </c>
      <c r="B143" t="inlineStr">
        <is>
          <t>EMP2125</t>
        </is>
      </c>
      <c r="C143" t="inlineStr">
        <is>
          <t>Unit Secretary</t>
        </is>
      </c>
      <c r="D143" s="31" t="n">
        <v>46010</v>
      </c>
      <c r="E143" t="inlineStr">
        <is>
          <t>Day 8h</t>
        </is>
      </c>
      <c r="F143" s="36" t="n">
        <v>0.2840277777777778</v>
      </c>
      <c r="G143" s="36" t="n">
        <v>0.6486111111111111</v>
      </c>
      <c r="H143" s="37" t="n"/>
    </row>
    <row r="144">
      <c r="A144" t="inlineStr">
        <is>
          <t>SH916445</t>
        </is>
      </c>
      <c r="B144" t="inlineStr">
        <is>
          <t>EMP2126</t>
        </is>
      </c>
      <c r="C144" t="inlineStr">
        <is>
          <t>Unit Secretary</t>
        </is>
      </c>
      <c r="D144" s="31" t="n">
        <v>46010</v>
      </c>
      <c r="E144" t="inlineStr">
        <is>
          <t>Day 8h</t>
        </is>
      </c>
      <c r="F144" s="36" t="n">
        <v>0.2902777777777778</v>
      </c>
      <c r="G144" s="36" t="n">
        <v>0.6465277777777778</v>
      </c>
      <c r="H144" s="37" t="n"/>
    </row>
    <row r="145">
      <c r="A145" t="inlineStr">
        <is>
          <t>SH916446</t>
        </is>
      </c>
      <c r="B145" t="inlineStr">
        <is>
          <t>EMP2127</t>
        </is>
      </c>
      <c r="C145" t="inlineStr">
        <is>
          <t>Nurse Manager</t>
        </is>
      </c>
      <c r="D145" s="31" t="n">
        <v>46010</v>
      </c>
      <c r="E145" t="inlineStr">
        <is>
          <t>Day 8h</t>
        </is>
      </c>
      <c r="F145" s="36" t="n">
        <v>0.2854166666666667</v>
      </c>
      <c r="G145" s="36" t="n">
        <v>0.6513888888888889</v>
      </c>
      <c r="H145" s="37" t="n"/>
    </row>
    <row r="146">
      <c r="A146" t="inlineStr">
        <is>
          <t>SH916447</t>
        </is>
      </c>
      <c r="B146" t="inlineStr">
        <is>
          <t>EMP2129</t>
        </is>
      </c>
      <c r="C146" t="inlineStr">
        <is>
          <t>Respiratory Therapist</t>
        </is>
      </c>
      <c r="D146" s="31" t="n">
        <v>46010</v>
      </c>
      <c r="E146" t="inlineStr">
        <is>
          <t>Day 12h</t>
        </is>
      </c>
      <c r="F146" s="36" t="n">
        <v>0.2923611111111111</v>
      </c>
      <c r="G146" s="36" t="n">
        <v>0.8486111111111111</v>
      </c>
      <c r="H146" s="37" t="n"/>
    </row>
    <row r="147">
      <c r="A147" t="inlineStr">
        <is>
          <t>SH916577</t>
        </is>
      </c>
      <c r="B147" t="inlineStr">
        <is>
          <t>EMP2059</t>
        </is>
      </c>
      <c r="C147" t="inlineStr">
        <is>
          <t>Registered Nurse</t>
        </is>
      </c>
      <c r="D147" s="31" t="n">
        <v>46010</v>
      </c>
      <c r="E147" t="inlineStr">
        <is>
          <t>Night 12h</t>
        </is>
      </c>
      <c r="F147" s="36" t="n">
        <v>0.7826388888888889</v>
      </c>
      <c r="G147" s="36" t="n">
        <v>0.3138888888888889</v>
      </c>
      <c r="H147" s="37" t="n"/>
    </row>
    <row r="148">
      <c r="A148" t="inlineStr">
        <is>
          <t>SH916578</t>
        </is>
      </c>
      <c r="B148" t="inlineStr">
        <is>
          <t>EMP2067</t>
        </is>
      </c>
      <c r="C148" t="inlineStr">
        <is>
          <t>Registered Nurse</t>
        </is>
      </c>
      <c r="D148" s="31" t="n">
        <v>46010</v>
      </c>
      <c r="E148" t="inlineStr">
        <is>
          <t>Night 12h</t>
        </is>
      </c>
      <c r="F148" s="36" t="n">
        <v>0.7826388888888889</v>
      </c>
      <c r="G148" s="36" t="n">
        <v>0.3194444444444444</v>
      </c>
      <c r="H148" s="37" t="n"/>
    </row>
    <row r="149">
      <c r="A149" t="inlineStr">
        <is>
          <t>SH916579</t>
        </is>
      </c>
      <c r="B149" t="inlineStr">
        <is>
          <t>EMP2069</t>
        </is>
      </c>
      <c r="C149" t="inlineStr">
        <is>
          <t>Registered Nurse</t>
        </is>
      </c>
      <c r="D149" s="31" t="n">
        <v>46010</v>
      </c>
      <c r="E149" t="inlineStr">
        <is>
          <t>Night 12h</t>
        </is>
      </c>
      <c r="F149" s="36" t="n">
        <v>0.7840277777777778</v>
      </c>
      <c r="G149" s="36" t="n">
        <v>0.3159722222222222</v>
      </c>
      <c r="H149" s="37" t="n"/>
    </row>
    <row r="150">
      <c r="A150" t="inlineStr">
        <is>
          <t>SH916580</t>
        </is>
      </c>
      <c r="B150" t="inlineStr">
        <is>
          <t>EMP2080</t>
        </is>
      </c>
      <c r="C150" t="inlineStr">
        <is>
          <t>Registered Nurse</t>
        </is>
      </c>
      <c r="D150" s="31" t="n">
        <v>46010</v>
      </c>
      <c r="E150" t="inlineStr">
        <is>
          <t>Night 12h</t>
        </is>
      </c>
      <c r="F150" s="36" t="n">
        <v>0.7902777777777777</v>
      </c>
      <c r="G150" s="36" t="n">
        <v>0.3131944444444444</v>
      </c>
      <c r="H150" s="37" t="n"/>
    </row>
    <row r="151">
      <c r="A151" t="inlineStr">
        <is>
          <t>SH916581</t>
        </is>
      </c>
      <c r="B151" t="inlineStr">
        <is>
          <t>EMP2084</t>
        </is>
      </c>
      <c r="C151" t="inlineStr">
        <is>
          <t>Registered Nurse</t>
        </is>
      </c>
      <c r="D151" s="31" t="n">
        <v>46010</v>
      </c>
      <c r="E151" t="inlineStr">
        <is>
          <t>Night 12h</t>
        </is>
      </c>
      <c r="F151" s="36" t="n">
        <v>0.7916666666666666</v>
      </c>
      <c r="G151" s="36" t="n">
        <v>0.3180555555555555</v>
      </c>
      <c r="H151" s="37" t="n"/>
    </row>
    <row r="152">
      <c r="A152" t="inlineStr">
        <is>
          <t>SH916582</t>
        </is>
      </c>
      <c r="B152" t="inlineStr">
        <is>
          <t>EMP2090</t>
        </is>
      </c>
      <c r="C152" t="inlineStr">
        <is>
          <t>Registered Nurse</t>
        </is>
      </c>
      <c r="D152" s="31" t="n">
        <v>46010</v>
      </c>
      <c r="E152" t="inlineStr">
        <is>
          <t>Night 12h</t>
        </is>
      </c>
      <c r="F152" s="36" t="n">
        <v>0.79375</v>
      </c>
      <c r="G152" s="36" t="n">
        <v>0.3180555555555555</v>
      </c>
      <c r="H152" s="37" t="n"/>
    </row>
    <row r="153">
      <c r="A153" t="inlineStr">
        <is>
          <t>SH916583</t>
        </is>
      </c>
      <c r="B153" t="inlineStr">
        <is>
          <t>EMP2095</t>
        </is>
      </c>
      <c r="C153" t="inlineStr">
        <is>
          <t>Registered Nurse</t>
        </is>
      </c>
      <c r="D153" s="31" t="n">
        <v>46010</v>
      </c>
      <c r="E153" t="inlineStr">
        <is>
          <t>Night 12h</t>
        </is>
      </c>
      <c r="F153" s="36" t="n">
        <v>0.7847222222222222</v>
      </c>
      <c r="G153" s="36" t="n">
        <v>0.3173611111111111</v>
      </c>
      <c r="H153" s="37" t="n"/>
    </row>
    <row r="154">
      <c r="A154" t="inlineStr">
        <is>
          <t>SH916584</t>
        </is>
      </c>
      <c r="B154" t="inlineStr">
        <is>
          <t>EMP2098</t>
        </is>
      </c>
      <c r="C154" t="inlineStr">
        <is>
          <t>Registered Nurse</t>
        </is>
      </c>
      <c r="D154" s="31" t="n">
        <v>46010</v>
      </c>
      <c r="E154" t="inlineStr">
        <is>
          <t>Night 12h</t>
        </is>
      </c>
      <c r="F154" s="36" t="n">
        <v>0.7888888888888889</v>
      </c>
      <c r="G154" s="36" t="n">
        <v>0.3194444444444444</v>
      </c>
      <c r="H154" s="37" t="n"/>
    </row>
    <row r="155">
      <c r="A155" t="inlineStr">
        <is>
          <t>SH916585</t>
        </is>
      </c>
      <c r="B155" t="inlineStr">
        <is>
          <t>EMP2108</t>
        </is>
      </c>
      <c r="C155" t="inlineStr">
        <is>
          <t>Certified Nursing Assistant</t>
        </is>
      </c>
      <c r="D155" s="31" t="n">
        <v>46010</v>
      </c>
      <c r="E155" t="inlineStr">
        <is>
          <t>Night 12h</t>
        </is>
      </c>
      <c r="F155" s="36" t="n">
        <v>0.7972222222222223</v>
      </c>
      <c r="G155" s="36" t="n">
        <v>0.3270833333333333</v>
      </c>
      <c r="H155" s="37" t="n"/>
    </row>
    <row r="156">
      <c r="A156" t="inlineStr">
        <is>
          <t>SH916586</t>
        </is>
      </c>
      <c r="B156" t="inlineStr">
        <is>
          <t>EMP2109</t>
        </is>
      </c>
      <c r="C156" t="inlineStr">
        <is>
          <t>Certified Nursing Assistant</t>
        </is>
      </c>
      <c r="D156" s="31" t="n">
        <v>46010</v>
      </c>
      <c r="E156" t="inlineStr">
        <is>
          <t>Night 12h</t>
        </is>
      </c>
      <c r="F156" s="36" t="n">
        <v>0.7868055555555555</v>
      </c>
      <c r="G156" s="36" t="n">
        <v>0.3138888888888889</v>
      </c>
      <c r="H156" s="37" t="n"/>
    </row>
    <row r="157">
      <c r="A157" t="inlineStr">
        <is>
          <t>SH916587</t>
        </is>
      </c>
      <c r="B157" t="inlineStr">
        <is>
          <t>EMP2118</t>
        </is>
      </c>
      <c r="C157" t="inlineStr">
        <is>
          <t>Certified Nursing Assistant</t>
        </is>
      </c>
      <c r="D157" s="31" t="n">
        <v>46010</v>
      </c>
      <c r="E157" t="inlineStr">
        <is>
          <t>Night 12h</t>
        </is>
      </c>
      <c r="F157" s="36" t="n">
        <v>0.7881944444444444</v>
      </c>
      <c r="G157" s="36" t="n">
        <v>0.3180555555555555</v>
      </c>
      <c r="H157" s="37" t="n"/>
    </row>
    <row r="158">
      <c r="A158" t="inlineStr">
        <is>
          <t>SH916664</t>
        </is>
      </c>
      <c r="B158" t="inlineStr">
        <is>
          <t>EMP2059</t>
        </is>
      </c>
      <c r="C158" t="inlineStr">
        <is>
          <t>Registered Nurse</t>
        </is>
      </c>
      <c r="D158" s="31" t="n">
        <v>46011</v>
      </c>
      <c r="E158" t="inlineStr">
        <is>
          <t>Day 12h</t>
        </is>
      </c>
      <c r="F158" s="36" t="n">
        <v>0.2944444444444445</v>
      </c>
      <c r="G158" s="36" t="n">
        <v>0.8125</v>
      </c>
      <c r="H158" s="37" t="n"/>
    </row>
    <row r="159">
      <c r="A159" t="inlineStr">
        <is>
          <t>SH916665</t>
        </is>
      </c>
      <c r="B159" t="inlineStr">
        <is>
          <t>EMP2060</t>
        </is>
      </c>
      <c r="C159" t="inlineStr">
        <is>
          <t>Registered Nurse</t>
        </is>
      </c>
      <c r="D159" s="31" t="n">
        <v>46011</v>
      </c>
      <c r="E159" t="inlineStr">
        <is>
          <t>Day 12h</t>
        </is>
      </c>
      <c r="F159" s="36" t="n">
        <v>0.2881944444444444</v>
      </c>
      <c r="G159" s="36" t="n">
        <v>0.8152777777777778</v>
      </c>
      <c r="H159" s="37" t="n"/>
    </row>
    <row r="160">
      <c r="A160" t="inlineStr">
        <is>
          <t>SH916666</t>
        </is>
      </c>
      <c r="B160" t="inlineStr">
        <is>
          <t>EMP2070</t>
        </is>
      </c>
      <c r="C160" t="inlineStr">
        <is>
          <t>Registered Nurse</t>
        </is>
      </c>
      <c r="D160" s="31" t="n">
        <v>46011</v>
      </c>
      <c r="E160" t="inlineStr">
        <is>
          <t>Day 12h</t>
        </is>
      </c>
      <c r="F160" s="36" t="n">
        <v>0.2902777777777778</v>
      </c>
      <c r="G160" s="36" t="n">
        <v>0.8201388888888889</v>
      </c>
      <c r="H160" s="37" t="n"/>
    </row>
    <row r="161">
      <c r="A161" t="inlineStr">
        <is>
          <t>SH916667</t>
        </is>
      </c>
      <c r="B161" t="inlineStr">
        <is>
          <t>EMP2073</t>
        </is>
      </c>
      <c r="C161" t="inlineStr">
        <is>
          <t>Registered Nurse</t>
        </is>
      </c>
      <c r="D161" s="31" t="n">
        <v>46011</v>
      </c>
      <c r="E161" t="inlineStr">
        <is>
          <t>Day 12h</t>
        </is>
      </c>
      <c r="F161" s="36" t="n">
        <v>0.2916666666666667</v>
      </c>
      <c r="G161" s="36" t="n">
        <v>0.81875</v>
      </c>
      <c r="H161" s="37" t="n"/>
    </row>
    <row r="162">
      <c r="A162" t="inlineStr">
        <is>
          <t>SH916668</t>
        </is>
      </c>
      <c r="B162" t="inlineStr">
        <is>
          <t>EMP2075</t>
        </is>
      </c>
      <c r="C162" t="inlineStr">
        <is>
          <t>Registered Nurse</t>
        </is>
      </c>
      <c r="D162" s="31" t="n">
        <v>46011</v>
      </c>
      <c r="E162" t="inlineStr">
        <is>
          <t>Day 12h</t>
        </is>
      </c>
      <c r="F162" s="36" t="n">
        <v>0.2833333333333333</v>
      </c>
      <c r="G162" s="36" t="n">
        <v>0.8118055555555556</v>
      </c>
      <c r="H162" s="37" t="n"/>
    </row>
    <row r="163">
      <c r="A163" t="inlineStr">
        <is>
          <t>SH916669</t>
        </is>
      </c>
      <c r="B163" t="inlineStr">
        <is>
          <t>EMP2087</t>
        </is>
      </c>
      <c r="C163" t="inlineStr">
        <is>
          <t>Registered Nurse</t>
        </is>
      </c>
      <c r="D163" s="31" t="n">
        <v>46011</v>
      </c>
      <c r="E163" t="inlineStr">
        <is>
          <t>Day 12h</t>
        </is>
      </c>
      <c r="F163" s="36" t="n">
        <v>0.2840277777777778</v>
      </c>
      <c r="G163" s="36" t="n">
        <v>0.8180555555555555</v>
      </c>
      <c r="H163" s="37" t="n"/>
    </row>
    <row r="164">
      <c r="A164" t="inlineStr">
        <is>
          <t>SH916670</t>
        </is>
      </c>
      <c r="B164" t="inlineStr">
        <is>
          <t>EMP2088</t>
        </is>
      </c>
      <c r="C164" t="inlineStr">
        <is>
          <t>Registered Nurse</t>
        </is>
      </c>
      <c r="D164" s="31" t="n">
        <v>46011</v>
      </c>
      <c r="E164" t="inlineStr">
        <is>
          <t>Day 12h</t>
        </is>
      </c>
      <c r="F164" s="36" t="n">
        <v>0.2819444444444444</v>
      </c>
      <c r="G164" s="36" t="n">
        <v>0.8152777777777778</v>
      </c>
      <c r="H164" s="37" t="n"/>
    </row>
    <row r="165">
      <c r="A165" t="inlineStr">
        <is>
          <t>SH916671</t>
        </is>
      </c>
      <c r="B165" t="inlineStr">
        <is>
          <t>EMP2092</t>
        </is>
      </c>
      <c r="C165" t="inlineStr">
        <is>
          <t>Registered Nurse</t>
        </is>
      </c>
      <c r="D165" s="31" t="n">
        <v>46011</v>
      </c>
      <c r="E165" t="inlineStr">
        <is>
          <t>Day 12h</t>
        </is>
      </c>
      <c r="F165" s="36" t="n">
        <v>0.2902777777777778</v>
      </c>
      <c r="G165" s="36" t="n">
        <v>0.8145833333333333</v>
      </c>
      <c r="H165" s="37" t="n"/>
    </row>
    <row r="166">
      <c r="A166" t="inlineStr">
        <is>
          <t>SH916672</t>
        </is>
      </c>
      <c r="B166" t="inlineStr">
        <is>
          <t>EMP2098</t>
        </is>
      </c>
      <c r="C166" t="inlineStr">
        <is>
          <t>Registered Nurse</t>
        </is>
      </c>
      <c r="D166" s="31" t="n">
        <v>46011</v>
      </c>
      <c r="E166" t="inlineStr">
        <is>
          <t>Day 12h</t>
        </is>
      </c>
      <c r="F166" s="36" t="n">
        <v>0.2868055555555555</v>
      </c>
      <c r="G166" s="36" t="n">
        <v>0.8145833333333333</v>
      </c>
      <c r="H166" s="37" t="n"/>
    </row>
    <row r="167">
      <c r="A167" t="inlineStr">
        <is>
          <t>SH916673</t>
        </is>
      </c>
      <c r="B167" t="inlineStr">
        <is>
          <t>EMP2099</t>
        </is>
      </c>
      <c r="C167" t="inlineStr">
        <is>
          <t>Registered Nurse</t>
        </is>
      </c>
      <c r="D167" s="31" t="n">
        <v>46011</v>
      </c>
      <c r="E167" t="inlineStr">
        <is>
          <t>Day 12h</t>
        </is>
      </c>
      <c r="F167" s="36" t="n">
        <v>0.2861111111111111</v>
      </c>
      <c r="G167" s="36" t="n">
        <v>0.8243055555555555</v>
      </c>
      <c r="H167" s="37" t="n"/>
    </row>
    <row r="168">
      <c r="A168" t="inlineStr">
        <is>
          <t>SH916674</t>
        </is>
      </c>
      <c r="B168" t="inlineStr">
        <is>
          <t>EMP2100</t>
        </is>
      </c>
      <c r="C168" t="inlineStr">
        <is>
          <t>Registered Nurse</t>
        </is>
      </c>
      <c r="D168" s="31" t="n">
        <v>46011</v>
      </c>
      <c r="E168" t="inlineStr">
        <is>
          <t>Day 12h</t>
        </is>
      </c>
      <c r="F168" s="36" t="n">
        <v>0.2888888888888889</v>
      </c>
      <c r="G168" s="36" t="n">
        <v>0.8131944444444444</v>
      </c>
      <c r="H168" s="37" t="n"/>
    </row>
    <row r="169">
      <c r="A169" t="inlineStr">
        <is>
          <t>SH916675</t>
        </is>
      </c>
      <c r="B169" t="inlineStr">
        <is>
          <t>EMP2101</t>
        </is>
      </c>
      <c r="C169" t="inlineStr">
        <is>
          <t>Registered Nurse</t>
        </is>
      </c>
      <c r="D169" s="31" t="n">
        <v>46011</v>
      </c>
      <c r="E169" t="inlineStr">
        <is>
          <t>Day 12h</t>
        </is>
      </c>
      <c r="F169" s="36" t="n">
        <v>0.28125</v>
      </c>
      <c r="G169" s="36" t="n">
        <v>0.8118055555555556</v>
      </c>
      <c r="H169" s="37" t="n"/>
    </row>
    <row r="170">
      <c r="A170" t="inlineStr">
        <is>
          <t>SH916676</t>
        </is>
      </c>
      <c r="B170" t="inlineStr">
        <is>
          <t>EMP2106</t>
        </is>
      </c>
      <c r="C170" t="inlineStr">
        <is>
          <t>Licensed Practical Nurse</t>
        </is>
      </c>
      <c r="D170" s="31" t="n">
        <v>46011</v>
      </c>
      <c r="E170" t="inlineStr">
        <is>
          <t>Day 12h</t>
        </is>
      </c>
      <c r="F170" s="36" t="n">
        <v>0.2868055555555555</v>
      </c>
      <c r="G170" s="36" t="n">
        <v>0.8368055555555556</v>
      </c>
      <c r="H170" s="37" t="n"/>
    </row>
    <row r="171">
      <c r="A171" t="inlineStr">
        <is>
          <t>SH916677</t>
        </is>
      </c>
      <c r="B171" t="inlineStr">
        <is>
          <t>EMP2112</t>
        </is>
      </c>
      <c r="C171" t="inlineStr">
        <is>
          <t>Certified Nursing Assistant</t>
        </is>
      </c>
      <c r="D171" s="31" t="n">
        <v>46011</v>
      </c>
      <c r="E171" t="inlineStr">
        <is>
          <t>Day 12h</t>
        </is>
      </c>
      <c r="F171" s="36" t="n">
        <v>0.2875</v>
      </c>
      <c r="G171" s="36" t="n">
        <v>0.8125</v>
      </c>
      <c r="H171" s="37" t="n"/>
    </row>
    <row r="172">
      <c r="A172" t="inlineStr">
        <is>
          <t>SH916678</t>
        </is>
      </c>
      <c r="B172" t="inlineStr">
        <is>
          <t>EMP2117</t>
        </is>
      </c>
      <c r="C172" t="inlineStr">
        <is>
          <t>Certified Nursing Assistant</t>
        </is>
      </c>
      <c r="D172" s="31" t="n">
        <v>46011</v>
      </c>
      <c r="E172" t="inlineStr">
        <is>
          <t>Day 12h</t>
        </is>
      </c>
      <c r="F172" s="36" t="n">
        <v>0.2951388888888889</v>
      </c>
      <c r="G172" s="36" t="n">
        <v>0.8381944444444445</v>
      </c>
      <c r="H172" s="37" t="n"/>
    </row>
    <row r="173">
      <c r="A173" t="inlineStr">
        <is>
          <t>SH916679</t>
        </is>
      </c>
      <c r="B173" t="inlineStr">
        <is>
          <t>EMP2119</t>
        </is>
      </c>
      <c r="C173" t="inlineStr">
        <is>
          <t>Certified Nursing Assistant</t>
        </is>
      </c>
      <c r="D173" s="31" t="n">
        <v>46011</v>
      </c>
      <c r="E173" t="inlineStr">
        <is>
          <t>Day 12h</t>
        </is>
      </c>
      <c r="F173" s="36" t="n">
        <v>0.2847222222222222</v>
      </c>
      <c r="G173" s="36" t="n">
        <v>0.8159722222222222</v>
      </c>
      <c r="H173" s="37" t="n"/>
    </row>
    <row r="174">
      <c r="A174" t="inlineStr">
        <is>
          <t>SH916680</t>
        </is>
      </c>
      <c r="B174" t="inlineStr">
        <is>
          <t>EMP2121</t>
        </is>
      </c>
      <c r="C174" t="inlineStr">
        <is>
          <t>Certified Nursing Assistant</t>
        </is>
      </c>
      <c r="D174" s="31" t="n">
        <v>46011</v>
      </c>
      <c r="E174" t="inlineStr">
        <is>
          <t>Day 12h</t>
        </is>
      </c>
      <c r="F174" s="36" t="n">
        <v>0.2881944444444444</v>
      </c>
      <c r="G174" s="36" t="n">
        <v>0.8215277777777777</v>
      </c>
      <c r="H174" s="37" t="n"/>
    </row>
    <row r="175">
      <c r="A175" t="inlineStr">
        <is>
          <t>SH916681</t>
        </is>
      </c>
      <c r="B175" t="inlineStr">
        <is>
          <t>EMP2122</t>
        </is>
      </c>
      <c r="C175" t="inlineStr">
        <is>
          <t>Certified Nursing Assistant</t>
        </is>
      </c>
      <c r="D175" s="31" t="n">
        <v>46011</v>
      </c>
      <c r="E175" t="inlineStr">
        <is>
          <t>Day 12h</t>
        </is>
      </c>
      <c r="F175" s="36" t="n">
        <v>0.2854166666666667</v>
      </c>
      <c r="G175" s="36" t="n">
        <v>0.8104166666666667</v>
      </c>
      <c r="H175" s="37" t="n"/>
    </row>
    <row r="176">
      <c r="A176" t="inlineStr">
        <is>
          <t>SH916682</t>
        </is>
      </c>
      <c r="B176" t="inlineStr">
        <is>
          <t>EMP2123</t>
        </is>
      </c>
      <c r="C176" t="inlineStr">
        <is>
          <t>Certified Nursing Assistant</t>
        </is>
      </c>
      <c r="D176" s="31" t="n">
        <v>46011</v>
      </c>
      <c r="E176" t="inlineStr">
        <is>
          <t>Day 12h</t>
        </is>
      </c>
      <c r="F176" s="36" t="n">
        <v>0.2833333333333333</v>
      </c>
      <c r="G176" s="36" t="n">
        <v>0.8194444444444444</v>
      </c>
      <c r="H176" s="37" t="n"/>
    </row>
    <row r="177">
      <c r="A177" t="inlineStr">
        <is>
          <t>SH916683</t>
        </is>
      </c>
      <c r="B177" t="inlineStr">
        <is>
          <t>EMP2124</t>
        </is>
      </c>
      <c r="C177" t="inlineStr">
        <is>
          <t>Unit Secretary</t>
        </is>
      </c>
      <c r="D177" s="31" t="n">
        <v>46011</v>
      </c>
      <c r="E177" t="inlineStr">
        <is>
          <t>Day 8h</t>
        </is>
      </c>
      <c r="F177" s="36" t="n">
        <v>0.2909722222222222</v>
      </c>
      <c r="G177" s="36" t="n">
        <v>0.6409722222222223</v>
      </c>
      <c r="H177" s="37" t="n"/>
    </row>
    <row r="178">
      <c r="A178" t="inlineStr">
        <is>
          <t>SH916774</t>
        </is>
      </c>
      <c r="B178" t="inlineStr">
        <is>
          <t>EMP2061</t>
        </is>
      </c>
      <c r="C178" t="inlineStr">
        <is>
          <t>Registered Nurse</t>
        </is>
      </c>
      <c r="D178" s="31" t="n">
        <v>46011</v>
      </c>
      <c r="E178" t="inlineStr">
        <is>
          <t>Night 12h</t>
        </is>
      </c>
      <c r="F178" s="36" t="n">
        <v>0.7819444444444444</v>
      </c>
      <c r="G178" s="36" t="n">
        <v>0.30625</v>
      </c>
      <c r="H178" s="37" t="n"/>
    </row>
    <row r="179">
      <c r="A179" t="inlineStr">
        <is>
          <t>SH916775</t>
        </is>
      </c>
      <c r="B179" t="inlineStr">
        <is>
          <t>EMP2062</t>
        </is>
      </c>
      <c r="C179" t="inlineStr">
        <is>
          <t>Registered Nurse</t>
        </is>
      </c>
      <c r="D179" s="31" t="n">
        <v>46011</v>
      </c>
      <c r="E179" t="inlineStr">
        <is>
          <t>Night 12h</t>
        </is>
      </c>
      <c r="F179" s="36" t="n">
        <v>0.7875</v>
      </c>
      <c r="G179" s="36" t="n">
        <v>0.3166666666666667</v>
      </c>
      <c r="H179" s="37" t="n"/>
    </row>
    <row r="180">
      <c r="A180" t="inlineStr">
        <is>
          <t>SH916776</t>
        </is>
      </c>
      <c r="B180" t="inlineStr">
        <is>
          <t>EMP2068</t>
        </is>
      </c>
      <c r="C180" t="inlineStr">
        <is>
          <t>Registered Nurse</t>
        </is>
      </c>
      <c r="D180" s="31" t="n">
        <v>46011</v>
      </c>
      <c r="E180" t="inlineStr">
        <is>
          <t>Night 12h</t>
        </is>
      </c>
      <c r="F180" s="36" t="n">
        <v>0.7916666666666666</v>
      </c>
      <c r="G180" s="36" t="n">
        <v>0.3222222222222222</v>
      </c>
      <c r="H180" s="37" t="n"/>
    </row>
    <row r="181">
      <c r="A181" t="inlineStr">
        <is>
          <t>SH916777</t>
        </is>
      </c>
      <c r="B181" t="inlineStr">
        <is>
          <t>EMP2069</t>
        </is>
      </c>
      <c r="C181" t="inlineStr">
        <is>
          <t>Registered Nurse</t>
        </is>
      </c>
      <c r="D181" s="31" t="n">
        <v>46011</v>
      </c>
      <c r="E181" t="inlineStr">
        <is>
          <t>Night 12h</t>
        </is>
      </c>
      <c r="F181" s="36" t="n">
        <v>0.7826388888888889</v>
      </c>
      <c r="G181" s="36" t="n">
        <v>0.3090277777777778</v>
      </c>
      <c r="H181" s="37" t="n"/>
    </row>
    <row r="182">
      <c r="A182" t="inlineStr">
        <is>
          <t>SH916778</t>
        </is>
      </c>
      <c r="B182" t="inlineStr">
        <is>
          <t>EMP2077</t>
        </is>
      </c>
      <c r="C182" t="inlineStr">
        <is>
          <t>Registered Nurse</t>
        </is>
      </c>
      <c r="D182" s="31" t="n">
        <v>46011</v>
      </c>
      <c r="E182" t="inlineStr">
        <is>
          <t>Night 12h</t>
        </is>
      </c>
      <c r="F182" s="36" t="n">
        <v>0.7916666666666666</v>
      </c>
      <c r="G182" s="36" t="n">
        <v>0.3194444444444444</v>
      </c>
      <c r="H182" s="37" t="n"/>
    </row>
    <row r="183">
      <c r="A183" t="inlineStr">
        <is>
          <t>SH916779</t>
        </is>
      </c>
      <c r="B183" t="inlineStr">
        <is>
          <t>EMP2081</t>
        </is>
      </c>
      <c r="C183" t="inlineStr">
        <is>
          <t>Registered Nurse</t>
        </is>
      </c>
      <c r="D183" s="31" t="n">
        <v>46011</v>
      </c>
      <c r="E183" t="inlineStr">
        <is>
          <t>Night 12h</t>
        </is>
      </c>
      <c r="F183" s="36" t="n">
        <v>0.7909722222222222</v>
      </c>
      <c r="G183" s="36" t="n">
        <v>0.3159722222222222</v>
      </c>
      <c r="H183" s="37" t="n"/>
    </row>
    <row r="184">
      <c r="A184" t="inlineStr">
        <is>
          <t>SH916780</t>
        </is>
      </c>
      <c r="B184" t="inlineStr">
        <is>
          <t>EMP2084</t>
        </is>
      </c>
      <c r="C184" t="inlineStr">
        <is>
          <t>Registered Nurse</t>
        </is>
      </c>
      <c r="D184" s="31" t="n">
        <v>46011</v>
      </c>
      <c r="E184" t="inlineStr">
        <is>
          <t>Night 12h</t>
        </is>
      </c>
      <c r="F184" s="36" t="n">
        <v>0.7861111111111111</v>
      </c>
      <c r="G184" s="36" t="n">
        <v>0.3222222222222222</v>
      </c>
      <c r="H184" s="37" t="n"/>
    </row>
    <row r="185">
      <c r="A185" t="inlineStr">
        <is>
          <t>SH916781</t>
        </is>
      </c>
      <c r="B185" t="inlineStr">
        <is>
          <t>EMP2113</t>
        </is>
      </c>
      <c r="C185" t="inlineStr">
        <is>
          <t>Certified Nursing Assistant</t>
        </is>
      </c>
      <c r="D185" s="31" t="n">
        <v>46011</v>
      </c>
      <c r="E185" t="inlineStr">
        <is>
          <t>Night 12h</t>
        </is>
      </c>
      <c r="F185" s="36" t="n">
        <v>0.7861111111111111</v>
      </c>
      <c r="G185" s="36" t="n">
        <v>0.3111111111111111</v>
      </c>
      <c r="H185" s="37" t="n"/>
    </row>
    <row r="186">
      <c r="A186" t="inlineStr">
        <is>
          <t>SH916782</t>
        </is>
      </c>
      <c r="B186" t="inlineStr">
        <is>
          <t>EMP2115</t>
        </is>
      </c>
      <c r="C186" t="inlineStr">
        <is>
          <t>Certified Nursing Assistant</t>
        </is>
      </c>
      <c r="D186" s="31" t="n">
        <v>46011</v>
      </c>
      <c r="E186" t="inlineStr">
        <is>
          <t>Night 12h</t>
        </is>
      </c>
      <c r="F186" s="36" t="n">
        <v>0.7875</v>
      </c>
      <c r="G186" s="36" t="n">
        <v>0.3229166666666667</v>
      </c>
      <c r="H186" s="37" t="n"/>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C19"/>
  <sheetViews>
    <sheetView tabSelected="0" workbookViewId="0">
      <pane ySplit="1" topLeftCell="A2" activePane="bottomLeft" state="frozen"/>
      <selection pane="bottomLeft" activeCell="A1" sqref="A1"/>
    </sheetView>
  </sheetViews>
  <sheetFormatPr baseColWidth="8" defaultRowHeight="15"/>
  <cols>
    <col width="12" customWidth="1" min="1" max="1"/>
    <col width="34" customWidth="1" min="2" max="2"/>
    <col width="7" customWidth="1" min="3" max="3"/>
  </cols>
  <sheetData>
    <row r="1">
      <c r="A1" s="29" t="inlineStr">
        <is>
          <t>Date</t>
        </is>
      </c>
      <c r="B1" s="29" t="inlineStr">
        <is>
          <t>Holiday</t>
        </is>
      </c>
      <c r="C1" s="29" t="inlineStr">
        <is>
          <t>Day</t>
        </is>
      </c>
    </row>
    <row r="2">
      <c r="A2" s="31" t="n">
        <v>45658</v>
      </c>
      <c r="B2" t="inlineStr">
        <is>
          <t>New Year's Day</t>
        </is>
      </c>
      <c r="C2" t="inlineStr">
        <is>
          <t>Wed</t>
        </is>
      </c>
    </row>
    <row r="3">
      <c r="A3" s="31" t="n">
        <v>45677</v>
      </c>
      <c r="B3" t="inlineStr">
        <is>
          <t>Martin Luther King Jr. Day</t>
        </is>
      </c>
      <c r="C3" t="inlineStr">
        <is>
          <t>Mon</t>
        </is>
      </c>
    </row>
    <row r="4">
      <c r="A4" s="31" t="n">
        <v>45803</v>
      </c>
      <c r="B4" t="inlineStr">
        <is>
          <t>Memorial Day</t>
        </is>
      </c>
      <c r="C4" t="inlineStr">
        <is>
          <t>Mon</t>
        </is>
      </c>
    </row>
    <row r="5">
      <c r="A5" s="31" t="n">
        <v>45827</v>
      </c>
      <c r="B5" t="inlineStr">
        <is>
          <t>Juneteenth</t>
        </is>
      </c>
      <c r="C5" t="inlineStr">
        <is>
          <t>Thu</t>
        </is>
      </c>
    </row>
    <row r="6">
      <c r="A6" s="31" t="n">
        <v>45842</v>
      </c>
      <c r="B6" t="inlineStr">
        <is>
          <t>Independence Day</t>
        </is>
      </c>
      <c r="C6" t="inlineStr">
        <is>
          <t>Fri</t>
        </is>
      </c>
    </row>
    <row r="7">
      <c r="A7" s="31" t="n">
        <v>45901</v>
      </c>
      <c r="B7" t="inlineStr">
        <is>
          <t>Labor Day</t>
        </is>
      </c>
      <c r="C7" t="inlineStr">
        <is>
          <t>Mon</t>
        </is>
      </c>
    </row>
    <row r="8">
      <c r="A8" s="31" t="n">
        <v>45988</v>
      </c>
      <c r="B8" t="inlineStr">
        <is>
          <t>Thanksgiving Day</t>
        </is>
      </c>
      <c r="C8" t="inlineStr">
        <is>
          <t>Thu</t>
        </is>
      </c>
    </row>
    <row r="9">
      <c r="A9" s="31" t="n">
        <v>45989</v>
      </c>
      <c r="B9" t="inlineStr">
        <is>
          <t>Day after Thanksgiving</t>
        </is>
      </c>
      <c r="C9" t="inlineStr">
        <is>
          <t>Fri</t>
        </is>
      </c>
    </row>
    <row r="10">
      <c r="A10" s="31" t="n">
        <v>46016</v>
      </c>
      <c r="B10" t="inlineStr">
        <is>
          <t>Christmas Day</t>
        </is>
      </c>
      <c r="C10" t="inlineStr">
        <is>
          <t>Thu</t>
        </is>
      </c>
    </row>
    <row r="11">
      <c r="A11" s="31" t="n">
        <v>46023</v>
      </c>
      <c r="B11" t="inlineStr">
        <is>
          <t>New Year's Day</t>
        </is>
      </c>
      <c r="C11" t="inlineStr">
        <is>
          <t>Thu</t>
        </is>
      </c>
    </row>
    <row r="12">
      <c r="A12" s="31" t="n">
        <v>46041</v>
      </c>
      <c r="B12" t="inlineStr">
        <is>
          <t>Martin Luther King Jr. Day</t>
        </is>
      </c>
      <c r="C12" t="inlineStr">
        <is>
          <t>Mon</t>
        </is>
      </c>
    </row>
    <row r="13">
      <c r="A13" s="31" t="n">
        <v>46167</v>
      </c>
      <c r="B13" t="inlineStr">
        <is>
          <t>Memorial Day</t>
        </is>
      </c>
      <c r="C13" t="inlineStr">
        <is>
          <t>Mon</t>
        </is>
      </c>
    </row>
    <row r="14">
      <c r="A14" s="31" t="n">
        <v>46192</v>
      </c>
      <c r="B14" t="inlineStr">
        <is>
          <t>Juneteenth</t>
        </is>
      </c>
      <c r="C14" t="inlineStr">
        <is>
          <t>Fri</t>
        </is>
      </c>
    </row>
    <row r="15">
      <c r="A15" s="31" t="n">
        <v>46206</v>
      </c>
      <c r="B15" t="inlineStr">
        <is>
          <t>Independence Day (observed)</t>
        </is>
      </c>
      <c r="C15" t="inlineStr">
        <is>
          <t>Fri</t>
        </is>
      </c>
    </row>
    <row r="16">
      <c r="A16" s="31" t="n">
        <v>46272</v>
      </c>
      <c r="B16" t="inlineStr">
        <is>
          <t>Labor Day</t>
        </is>
      </c>
      <c r="C16" t="inlineStr">
        <is>
          <t>Mon</t>
        </is>
      </c>
    </row>
    <row r="17">
      <c r="A17" s="31" t="n">
        <v>46352</v>
      </c>
      <c r="B17" t="inlineStr">
        <is>
          <t>Thanksgiving Day</t>
        </is>
      </c>
      <c r="C17" t="inlineStr">
        <is>
          <t>Thu</t>
        </is>
      </c>
    </row>
    <row r="18">
      <c r="A18" s="31" t="n">
        <v>46353</v>
      </c>
      <c r="B18" t="inlineStr">
        <is>
          <t>Day after Thanksgiving</t>
        </is>
      </c>
      <c r="C18" t="inlineStr">
        <is>
          <t>Fri</t>
        </is>
      </c>
    </row>
    <row r="19">
      <c r="A19" s="31" t="n">
        <v>46381</v>
      </c>
      <c r="B19" t="inlineStr">
        <is>
          <t>Christmas Day</t>
        </is>
      </c>
      <c r="C19" t="inlineStr">
        <is>
          <t>Fri</t>
        </is>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C2"/>
  <sheetViews>
    <sheetView tabSelected="0" workbookViewId="0">
      <pane ySplit="1" topLeftCell="A2" activePane="bottomLeft" state="frozen"/>
      <selection pane="bottomLeft" activeCell="A1" sqref="A1"/>
    </sheetView>
  </sheetViews>
  <sheetFormatPr baseColWidth="8" defaultRowHeight="15"/>
  <cols>
    <col width="14" customWidth="1" min="1" max="1"/>
    <col width="12" customWidth="1" min="2" max="2"/>
    <col width="90" customWidth="1" min="3" max="3"/>
  </cols>
  <sheetData>
    <row r="1">
      <c r="A1" s="38" t="inlineStr">
        <is>
          <t>Setting</t>
        </is>
      </c>
      <c r="B1" s="38" t="inlineStr">
        <is>
          <t>Value</t>
        </is>
      </c>
      <c r="C1" s="38" t="inlineStr">
        <is>
          <t>Notes</t>
        </is>
      </c>
    </row>
    <row r="2">
      <c r="A2" t="inlineStr">
        <is>
          <t>ReportDate</t>
        </is>
      </c>
      <c r="B2" s="31" t="n">
        <v>46022</v>
      </c>
      <c r="C2" t="inlineStr">
        <is>
          <t>The course's 'today'. Use this cell instead of TODAY() so your answers never change.</t>
        </is>
      </c>
    </row>
  </sheetData>
  <pageMargins left="0.75" right="0.75" top="1" bottom="1" header="0.5" footer="0.5"/>
</worksheet>
</file>

<file path=xl/worksheets/sheet9.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2.3 · Bonus: The two-midnight check</t>
        </is>
      </c>
    </row>
    <row r="2" ht="79" customHeight="1">
      <c r="A2" s="14" t="inlineStr">
        <is>
          <t>Ashby Falls' utilization review nurse is preparing for a Medicare audit. Under the CMS two-midnight benchmark, an inpatient admission is generally expected to span at least two midnights of hospital care. This bonus uses a simplified, educational version (not billing guidance): count the midnights between two date-times by comparing their dates, not the hours between them. The nurse also wants to know whether the day of the week a patient is admitted affects how long they stay. Fill the yellow Midnights, BenchMidnights, and AdmitDay columns on the Stays sheet as you go. B2, B4, and B5 also use your LOSDays column from task 7.</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Fill the Midnights column with the number of midnights each stay crossed between AdmitDateTime and DischargeDateTime. Start in K2. The gray cell counts your rows with 2 or more. How many stays crossed at least two midnights?</t>
        </is>
      </c>
      <c r="C6" s="20" t="inlineStr">
        <is>
          <t>INT strips the time from a date-time. Subtract the two dates</t>
        </is>
      </c>
      <c r="D6" cm="1" s="39">
        <f t="array" ref="D6">IF(COUNT('Stays'!$K$2:$K$370)=0,"",COUNTIF('Stays'!$K$2:$K$370,"&gt;=2"))</f>
        <v/>
      </c>
      <c r="E6" s="22">
        <f>IF(IFERROR(D6="",FALSE),"",IF(IFERROR(AND(ISNUMBER(D6),OR(ABS(D6-'Bonus Key'!$C$5)&lt;=0.0001)),FALSE),"✔ Correct","✘ Not yet"))</f>
        <v/>
      </c>
    </row>
    <row r="7" ht="51" customHeight="1">
      <c r="A7" s="18" t="inlineStr">
        <is>
          <t>B2</t>
        </is>
      </c>
      <c r="B7" s="19" t="inlineStr">
        <is>
          <t>How many stays crossed two or more midnights even though they lasted LESS than 48 hours?</t>
        </is>
      </c>
      <c r="C7" s="20" t="inlineStr">
        <is>
          <t>Two conditions on two of your columns: multiply the TRUE/FALSE lists. 48 hours is 2 days</t>
        </is>
      </c>
      <c r="D7" s="26" t="n"/>
      <c r="E7" s="22">
        <f>IF(IFERROR(D7="",FALSE),"",IF(IFERROR(AND(ISNUMBER(D7),OR(ABS(D7-'Bonus Key'!$C$6)&lt;=0.0001)),FALSE),"✔ Correct","✘ Not yet"))</f>
        <v/>
      </c>
    </row>
    <row r="8" ht="81" customHeight="1">
      <c r="A8" s="18" t="inlineStr">
        <is>
          <t>B3</t>
        </is>
      </c>
      <c r="B8" s="19" t="inlineStr">
        <is>
          <t>CMS starts the benchmark clock when hospital care begins, which for ED admissions is the ED arrival, not the inpatient admit order. Fill the BenchMidnights column: midnights from EDArrivalDateTime to DischargeDateTime, or from AdmitDateTime when EDArrivalDateTime is blank. Start in L2. The gray cell counts your rows with 2 or more. How many stays meet the benchmark when ED time counts?</t>
        </is>
      </c>
      <c r="C8" s="20" t="inlineStr">
        <is>
          <t>Use IF to pick the clock start for each row, then count midnights the same way as in B1</t>
        </is>
      </c>
      <c r="D8" cm="1" s="39">
        <f t="array" ref="D8">IF(COUNT('Stays'!$L$2:$L$370)=0,"",COUNTIF('Stays'!$L$2:$L$370,"&gt;=2"))</f>
        <v/>
      </c>
      <c r="E8" s="22">
        <f>IF(IFERROR(D8="",FALSE),"",IF(IFERROR(AND(ISNUMBER(D8),OR(ABS(D8-'Bonus Key'!$C$7)&lt;=0.0001)),FALSE),"✔ Correct","✘ Not yet"))</f>
        <v/>
      </c>
    </row>
    <row r="9" ht="66" customHeight="1">
      <c r="A9" s="18" t="inlineStr">
        <is>
          <t>B4</t>
        </is>
      </c>
      <c r="B9" s="19" t="inlineStr">
        <is>
          <t>Fill the AdmitDay column with the weekday name of each AdmitDateTime (Monday, Tuesday, …). Start in M2. What was the average length of stay, in HOURS, for patients admitted on a Friday? Use your LOSDays column and round to 1 decimal place.</t>
        </is>
      </c>
      <c r="C9" s="20" t="inlineStr">
        <is>
          <t>TEXT(date, "dddd") gives the weekday name. AVERAGEIF (a preview of Lesson 2.5) or AVERAGE(IF(…)) averages the Friday rows</t>
        </is>
      </c>
      <c r="D9" s="40" t="n"/>
      <c r="E9" s="22">
        <f>IF(IFERROR(D9="",FALSE),"",IF(IFERROR(AND(ISNUMBER(D9),OR(ABS(D9-'Bonus Key'!$C$8)&lt;=0.051)),FALSE),"✔ Correct","✘ Not yet"))</f>
        <v/>
      </c>
    </row>
    <row r="10" ht="36" customHeight="1">
      <c r="A10" s="18" t="inlineStr">
        <is>
          <t>B5</t>
        </is>
      </c>
      <c r="B10" s="19" t="inlineStr">
        <is>
          <t>Which weekday of admission has the LONGEST average length of stay? Type the weekday name.</t>
        </is>
      </c>
      <c r="C10" s="20" t="inlineStr">
        <is>
          <t>Build a small seven-row table of averages, one per weekday</t>
        </is>
      </c>
      <c r="D10" s="41" t="n"/>
      <c r="E10" s="22">
        <f>IF(IFERROR(D10="",FALSE),"",IF(IFERROR(OR(LOWER(TRIM(D10&amp;""))=LOWER(TRIM('Bonus Key'!$C$9&amp;"")),LOWER(TRIM(D10&amp;""))="thu"),FALSE),"✔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0.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2" t="inlineStr">
        <is>
          <t>🔑 Answer Key — Lesson 2.3</t>
        </is>
      </c>
    </row>
    <row r="2" ht="32" customHeight="1">
      <c r="A2" s="43"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126" customHeight="1">
      <c r="A5" s="18" t="inlineStr">
        <is>
          <t>1</t>
        </is>
      </c>
      <c r="B5" s="19" t="inlineStr">
        <is>
          <t>Stays!G2 shows the first admission of 2025: 01/01/2025 21:09. What number does Excel actually store in that cell? Enter a formula that refers to the cell. The answer cell is already formatted to show 5 decimal places, so you'll see the stored number instead of a date.</t>
        </is>
      </c>
      <c r="C5" s="45" t="n">
        <v>45658.88125</v>
      </c>
      <c r="D5" s="46" t="inlineStr">
        <is>
          <t>=Stays!G2</t>
        </is>
      </c>
      <c r="E5" cm="1" s="47">
        <f t="array" ref="E5">Stays!G2</f>
        <v/>
      </c>
      <c r="F5" s="19" t="inlineStr">
        <is>
          <t>The whole part, 45,658, is the date serial number: January 1, 2025 is day 45,658 counting from January 1, 1900. The decimal part, 0.88125, is the time as a fraction of a 24-hour day: 21:09 is 1,269 minutes ÷ 1,440 minutes per day. You can also see the number by giving the cell the General format with Ctrl + Shift + ~ (Mac: Control + Shift + ~). Because dates and times are numbers, you can add, subtract, and compare them.</t>
        </is>
      </c>
    </row>
    <row r="6" ht="111" customHeight="1">
      <c r="A6" s="18" t="inlineStr">
        <is>
          <t>2</t>
        </is>
      </c>
      <c r="B6" s="19" t="inlineStr">
        <is>
          <t>The patient in Stays row 15 (encounter ENC110973) was 64 at admission. On what date does the patient turn 65, the usual age of Medicare eligibility? Use the DOB in that row.</t>
        </is>
      </c>
      <c r="C6" s="48" t="n">
        <v>45735</v>
      </c>
      <c r="D6" s="46" t="inlineStr">
        <is>
          <t>=EDATE(Stays!E15,65*12)</t>
        </is>
      </c>
      <c r="E6" cm="1" s="49">
        <f t="array" ref="E6">EDATE(Stays!E15,65*12)</f>
        <v/>
      </c>
      <c r="F6" s="19" t="inlineStr">
        <is>
          <t>EDATE moves a date forward (or back) by whole months and keeps the day number, so 65 × 12 = 780 months after the DOB is the 65th birthday. =DATE(YEAR(Stays!E15)+65,MONTH(Stays!E15),DAY(Stays!E15)) gives the same date. It takes the date apart with YEAR, MONTH, and DAY, adds 65 to the year, and builds it again with DATE. Adding 65 × 365 days would land 16 days early, because it ignores the 16 leap days in between.</t>
        </is>
      </c>
    </row>
    <row r="7" ht="111" customHeight="1">
      <c r="A7" s="18" t="inlineStr">
        <is>
          <t>3</t>
        </is>
      </c>
      <c r="B7" s="19" t="inlineStr">
        <is>
          <t>Fill the yellow AgeAtAdmit column on the Stays sheet with each patient's age in completed years on the admit date. Start in I2. The gray cell averages your column. What was the average age at admission?</t>
        </is>
      </c>
      <c r="C7" s="50" t="n">
        <v>58.12466124661247</v>
      </c>
      <c r="D7" s="46" t="inlineStr">
        <is>
          <t>=DATEDIF(E2,G2,"Y")</t>
        </is>
      </c>
      <c r="E7" cm="1" s="51">
        <f t="array" ref="E7">SUMPRODUCT(YEAR(Stays!G2:G370)-YEAR(Stays!E2:E370)-((MONTH(Stays!G2:G370)*100+DAY(Stays!G2:G370))&lt;(MONTH(Stays!E2:E370)*100+DAY(Stays!E2:E370))))/COUNT(Stays!E2:E370)</f>
        <v/>
      </c>
      <c r="F7" s="19" t="inlineStr">
        <is>
          <t>DATEDIF counts whole birthdays passed, which is how age is stated on a chart. Shortcuts like =INT((G2-E2)/365) drift by a day for every leap year lived, and in this data they make 14 patients a year too old. Excel doesn't list DATEDIF in AutoComplete or Insert Function, so type it in full. The start date must come first, or DATEDIF returns #NUM!. 159 of the 369 patients were 65 or older at admission.</t>
        </is>
      </c>
    </row>
    <row r="8" ht="126" customHeight="1">
      <c r="A8" s="18" t="inlineStr">
        <is>
          <t>4</t>
        </is>
      </c>
      <c r="B8" s="19" t="inlineStr">
        <is>
          <t>The youngest patient (Stays row 42, encounter ENC112029) was an infant. Calculate the exact age in years at admission with YEARFRAC, using basis 1 (actual/actual). Round to 2 decimal places.</t>
        </is>
      </c>
      <c r="C8" s="50" t="n">
        <v>0.7</v>
      </c>
      <c r="D8" s="46" t="inlineStr">
        <is>
          <t>=ROUND(YEARFRAC(Stays!E42,Stays!G42,1),2)</t>
        </is>
      </c>
      <c r="E8" cm="1" s="51">
        <f t="array" ref="E8">ROUND(YEARFRAC(Stays!E42,Stays!G42,1),2)</f>
        <v/>
      </c>
      <c r="F8" s="19" t="inlineStr">
        <is>
          <t>YEARFRAC returns the fraction of a year between two dates: 0.6959 here. Basis 1 counts the real days (254 of them) and divides by the real length of the year. Without the basis argument YEARFRAC uses basis 0 (the 30/360 banking convention, where every month has 30 days) and returns 0.6889, which rounds to 0.69. Use basis 1 for ages. For infants, clinicians usually state age in months instead: =DATEDIF(Stays!E42,Stays!G42,"M") returns 8.</t>
        </is>
      </c>
    </row>
    <row r="9" ht="111" customHeight="1">
      <c r="A9" s="18" t="inlineStr">
        <is>
          <t>5</t>
        </is>
      </c>
      <c r="B9" s="19" t="inlineStr">
        <is>
          <t>How many stays were admitted on a weekend (Saturday or Sunday)? Use the AdmitDateTime column.</t>
        </is>
      </c>
      <c r="C9" s="52" t="n">
        <v>95</v>
      </c>
      <c r="D9" s="46" t="inlineStr">
        <is>
          <t>=SUMPRODUCT(--(WEEKDAY(Stays!G2:G370,2)&gt;5))</t>
        </is>
      </c>
      <c r="E9" cm="1" s="53">
        <f t="array" ref="E9">SUMPRODUCT(--(WEEKDAY(Stays!G2:G370,2)&gt;5))</f>
        <v/>
      </c>
      <c r="F9" s="19" t="inlineStr">
        <is>
          <t>WEEKDAY(date,2) returns 1 for Monday through 7 for Sunday, so Saturday and Sunday are exactly the values above 5. Comparing the whole column gives a list of TRUE/FALSE values, -- turns them into 1s and 0s, and SUMPRODUCT adds them (Lesson 2.1). With the default return_type 1 (Sunday = 1, Saturday = 7) you'd need two tests: =SUMPRODUCT((WEEKDAY(Stays!G2:G370)=1)+(WEEKDAY(Stays!G2:G370)=7)).</t>
        </is>
      </c>
    </row>
    <row r="10" ht="126" customHeight="1">
      <c r="A10" s="18" t="inlineStr">
        <is>
          <t>6</t>
        </is>
      </c>
      <c r="B10" s="19" t="inlineStr">
        <is>
          <t>How many stays were admitted in April 2025? Compare AdmitDateTime with dates you build with DATE.</t>
        </is>
      </c>
      <c r="C10" s="52" t="n">
        <v>27</v>
      </c>
      <c r="D10" s="46" t="inlineStr">
        <is>
          <t>=SUMPRODUCT((Stays!G2:G370&gt;=DATE(2025,4,1))*(Stays!G2:G370&lt;DATE(2025,5,1)))</t>
        </is>
      </c>
      <c r="E10" cm="1" s="53">
        <f t="array" ref="E10">SUMPRODUCT((Stays!G2:G370&gt;=DATE(2025,4,1))*(Stays!G2:G370&lt;DATE(2025,5,1)))</f>
        <v/>
      </c>
      <c r="F10" s="19" t="inlineStr">
        <is>
          <t>DATE(2025,4,1) builds the serial number for April 1, and multiplying the two TRUE/FALSE lists keeps only rows that pass both tests (AND logic). The upper bound is before May 1, not on or before April 30. AdmitDateTime includes a time, so 04/30/2025 19:59 is *greater* than DATE(2025,4,30), which means midnight. &lt;=DATE(2025,4,30) would miss the 3 admissions on April 30 and return 24. =SUMPRODUCT((MONTH(Stays!G2:G370)=4)*(YEAR(Stays!G2:G370)=2025)) also works.</t>
        </is>
      </c>
    </row>
    <row r="11" ht="126" customHeight="1">
      <c r="A11" s="18" t="inlineStr">
        <is>
          <t>7</t>
        </is>
      </c>
      <c r="B11" s="19" t="inlineStr">
        <is>
          <t>Fill the yellow LOSDays column with each stay's length of stay in days, including the fraction of a day (DischargeDateTime minus AdmitDateTime). Start in J2. The gray cell averages your column. What was the average length of stay?</t>
        </is>
      </c>
      <c r="C11" s="50" t="n">
        <v>4.544229900632341</v>
      </c>
      <c r="D11" s="46" t="inlineStr">
        <is>
          <t>=H2-G2</t>
        </is>
      </c>
      <c r="E11" cm="1" s="51">
        <f t="array" ref="E11">(SUM(Stays!H2:H370)-SUM(Stays!G2:G370))/COUNT(Stays!G2:G370)</f>
        <v/>
      </c>
      <c r="F11" s="19" t="inlineStr">
        <is>
          <t>Subtracting two date-times gives the elapsed days, with the hours as a decimal: 2.50 is two and a half days. The LOSDays column is already formatted as a number. In a General cell, Excel may copy the date format from the cells you referenced and show 4.5 days as 01/04/1900 12:00, so change the format to Number when that happens. Multiply by 24 to get hours. The live formula in the key uses a shortcut: the sum of the differences equals the difference of the sums.</t>
        </is>
      </c>
    </row>
    <row r="12" ht="96" customHeight="1">
      <c r="A12" s="18" t="inlineStr">
        <is>
          <t>8</t>
        </is>
      </c>
      <c r="B12" s="19" t="inlineStr">
        <is>
          <t>Ashby Falls' billing standard says a claim must be submitted by the last day of the month after the month of service. What is the deadline for claim CLM511227 (Claims row 29, ServiceDate 01/30/2025)?</t>
        </is>
      </c>
      <c r="C12" s="48" t="n">
        <v>45716</v>
      </c>
      <c r="D12" s="46" t="inlineStr">
        <is>
          <t>=EOMONTH(Claims!E29,1)</t>
        </is>
      </c>
      <c r="E12" cm="1" s="49">
        <f t="array" ref="E12">EOMONTH(Claims!E29,1)</f>
        <v/>
      </c>
      <c r="F12" s="19" t="inlineStr">
        <is>
          <t>EOMONTH(date,0) is the last day of the date's own month, and EOMONTH(date,1) is the last day of the next month. It handles 28-, 29-, 30-, and 31-day months for you. Adding 30 days instead would give 03/01/2025, which is in the wrong month. =EOMONTH(date,-1)+1 gives the first day of the date's month, another pattern you'll use often.</t>
        </is>
      </c>
    </row>
    <row r="13" ht="111" customHeight="1">
      <c r="A13" s="18" t="inlineStr">
        <is>
          <t>9</t>
        </is>
      </c>
      <c r="B13" s="19" t="inlineStr">
        <is>
          <t>Fill the yellow DaysToPay column on the Claims sheet with the calendar days from SubmitDate to PaidDate. 94 claims have no PaidDate yet, so make those rows return "" (empty text). Start in H2. The gray cell averages your column. What is the average days to pay?</t>
        </is>
      </c>
      <c r="C13" s="54" t="n">
        <v>27.62181818181818</v>
      </c>
      <c r="D13" s="46" t="inlineStr">
        <is>
          <t>=IF(G2="","",G2-F2)</t>
        </is>
      </c>
      <c r="E13" cm="1" s="55">
        <f t="array" ref="E13">SUMPRODUCT((Claims!G2:G370&lt;&gt;"")*(Claims!G2:G370-Claims!F2:F370))/COUNT(Claims!G2:G370)</f>
        <v/>
      </c>
      <c r="F13" s="19" t="inlineStr">
        <is>
          <t>An empty PaidDate counts as 0 in arithmetic, so a bare =G2-F2 returns minus the submit date's serial number for every unpaid claim (−45,666 for the first one), which wrecks the average. The IF returns empty text for those rows, and AVERAGE ignores text. =IF(G2="","",DAYS(G2,F2)) gives the same result. Notice that DAYS takes the end date first, and that it needs the same blank guard.</t>
        </is>
      </c>
    </row>
    <row r="14" ht="111" customHeight="1">
      <c r="A14" s="18" t="inlineStr">
        <is>
          <t>10</t>
        </is>
      </c>
      <c r="B14" s="19" t="inlineStr">
        <is>
          <t>Claim CLM520056 (Claims row 307) is still Pending. As of the report date in Settings!B2, how many business days has it been waiting? Count from its SubmitDate through the report date, both days included, skipping weekends and the dates on the Holidays sheet.</t>
        </is>
      </c>
      <c r="C14" s="52" t="n">
        <v>28</v>
      </c>
      <c r="D14" s="46" t="inlineStr">
        <is>
          <t>=NETWORKDAYS(Claims!F307,Settings!$B$2,Holidays!$A$2:$A$19)</t>
        </is>
      </c>
      <c r="E14" cm="1" s="53">
        <f t="array" ref="E14">NETWORKDAYS(Claims!F307,Settings!$B$2,Holidays!$A$2:$A$19)</f>
        <v/>
      </c>
      <c r="F14" s="19" t="inlineStr">
        <is>
          <t>NETWORKDAYS counts Monday-to-Friday dates from the start date through the end date, including both, and skips any date in the holidays range. Without the holiday list the answer would be 31. The three missing days are Thanksgiving, the day after, and Christmas. The $ signs lock the Settings and Holidays references, so you can copy the formula down a column without them moving.</t>
        </is>
      </c>
    </row>
    <row r="15" ht="141" customHeight="1">
      <c r="A15" s="18" t="inlineStr">
        <is>
          <t>11</t>
        </is>
      </c>
      <c r="B15" s="19" t="inlineStr">
        <is>
          <t>Claim CLM517132 (Claims row 207) was only partially paid by Evergreen Mutual Insurance, and the payment posted on its PaidDate. Bluestone Health's policy gives the appeals team 10 business days to send an underpayment appeal, so the deadline is the 10th business day after the PaidDate (the PaidDate itself doesn't count). Weekends and the dates on the Holidays sheet aren't business days. What is the deadline?</t>
        </is>
      </c>
      <c r="C15" s="48" t="n">
        <v>45994</v>
      </c>
      <c r="D15" s="46" t="inlineStr">
        <is>
          <t>=WORKDAY(Claims!G207,10,Holidays!$A$2:$A$19)</t>
        </is>
      </c>
      <c r="E15" cm="1" s="49">
        <f t="array" ref="E15">WORKDAY(Claims!G207,10,Holidays!$A$2:$A$19)</f>
        <v/>
      </c>
      <c r="F15" s="19" t="inlineStr">
        <is>
          <t>WORKDAY steps forward the given number of business days, never counting the start date itself, and skips weekends and holidays. This window crosses 2 holidays (Thanksgiving Day, Day after Thanksgiving). Without the holiday list WORKDAY would return 12/01/2025, 2 days too early. WORKDAY returns a serial number, so if you see a number like 46000 instead of a date, give the cell a Date format. NETWORKDAYS measures a span you already have, and WORKDAY finds the date at the end of a span.</t>
        </is>
      </c>
    </row>
    <row r="16" ht="111" customHeight="1">
      <c r="A16" s="18" t="inlineStr">
        <is>
          <t>12</t>
        </is>
      </c>
      <c r="B16" s="19" t="inlineStr">
        <is>
          <t>Fill the yellow DoorToProviderMin column on the ED sheet with the minutes from ArrivalDateTime to ProviderSeenDateTime. 9 patients left without being seen and have no ProviderSeenDateTime, so make those rows return "". Start in H2. The gray cell averages your column. What is the average door-to-provider time in minutes?</t>
        </is>
      </c>
      <c r="C16" s="54" t="n">
        <v>49.14746543778802</v>
      </c>
      <c r="D16" s="46" t="inlineStr">
        <is>
          <t>=IF(E2="","",(E2-C2)*1440)</t>
        </is>
      </c>
      <c r="E16" cm="1" s="55">
        <f t="array" ref="E16">SUMPRODUCT((ED!E2:E227&lt;&gt;"")*(ED!E2:E227-ED!C2:C227))*1440/COUNT(ED!E2:E227)</f>
        <v/>
      </c>
      <c r="F16" s="19" t="inlineStr">
        <is>
          <t>Subtracting gives a fraction of a day (0.0347 is 50 minutes), and multiplying by 1,440 converts days to minutes. Because these columns hold the full date *and* time, visit ED211281 (arrived 23:51, seen at 00:03 the next morning) still gives a positive 12 minutes, with no special handling. The IF keeps LWBS visits out of the average instead of counting them as huge negative waits.</t>
        </is>
      </c>
    </row>
    <row r="17" ht="171" customHeight="1">
      <c r="A17" s="18" t="inlineStr">
        <is>
          <t>13</t>
        </is>
      </c>
      <c r="B17" s="19" t="inlineStr">
        <is>
          <t>The Shifts sheet's ClockIn and ClockOut columns hold clock times only, with no dates, and 69 shifts end after midnight. Fill the yellow PaidTime column with each shift's paid time: clock-out minus clock-in, corrected for shifts that cross midnight, minus a 30-minute unpaid meal break. Keep each result as a time value (don't multiply by 24). Start in H2. The gray cell totals your column in [h]:mm format. What is the total paid time for the week?</t>
        </is>
      </c>
      <c r="C17" s="56" t="n">
        <v>92.24166666666666</v>
      </c>
      <c r="D17" s="46" t="inlineStr">
        <is>
          <t>=MOD(G2-F2,1)-TIME(0,30,0)</t>
        </is>
      </c>
      <c r="E17" cm="1" s="57">
        <f t="array" ref="E17">SUMPRODUCT(MOD(Shifts!G2:G186-Shifts!F2:F186,1))-COUNT(Shifts!F2:F186)*TIME(0,30,0)</f>
        <v/>
      </c>
      <c r="F17" s="19" t="inlineStr">
        <is>
          <t>Shift SH915484 clocked in at 18:48 and out at 08:20. 08:20 − 18:48 is negative (−0.4361 of a day). MOD(…, 1) adds one whole day to a negative result and leaves positive results alone, so the shift becomes 13:32. Subtract the meal break as a time, TIME(0,30,0) or "0:30" or 30/1440. Subtracting 0.5 would remove half a *day*. The total is 2,213.8 hours, so it needs [h]:mm. Plain h:mm would wrap past every 24 hours and show only the leftover hours. Without MOD the week totals 557.8 hours, because every overnight shift comes out negative. The PaidTime column is formatted h:mm, so a shift that comes out negative shows ######## instead of a time.</t>
        </is>
      </c>
    </row>
  </sheetData>
  <mergeCells count="1">
    <mergeCell ref="A2:F2"/>
  </mergeCells>
  <pageMargins left="0.75" right="0.75" top="1" bottom="1" header="0.5" footer="0.5"/>
  <pageSetup orientation="landscape" fitToHeight="0" fitToWidth="1"/>
</worksheet>
</file>

<file path=xl/worksheets/sheet11.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6" customWidth="1" min="5" max="5"/>
    <col width="62" customWidth="1" min="6" max="6"/>
  </cols>
  <sheetData>
    <row r="1">
      <c r="A1" s="42" t="inlineStr">
        <is>
          <t>🔑 Bonus Key — Lesson 2.3</t>
        </is>
      </c>
    </row>
    <row r="2" ht="32" customHeight="1">
      <c r="A2" s="43" t="inlineStr">
        <is>
          <t>Spoiler alert — try every task before reading this sheet. Column C is the value the Check column compares against. Column D is a sample solution; column E is that same formula, live, proving it works.</t>
        </is>
      </c>
    </row>
    <row r="4">
      <c r="A4" s="44" t="inlineStr">
        <is>
          <t>#</t>
        </is>
      </c>
      <c r="B4" s="44" t="inlineStr">
        <is>
          <t>Task</t>
        </is>
      </c>
      <c r="C4" s="44" t="inlineStr">
        <is>
          <t>Answer</t>
        </is>
      </c>
      <c r="D4" s="44" t="inlineStr">
        <is>
          <t>Sample solution</t>
        </is>
      </c>
      <c r="E4" s="44" t="inlineStr">
        <is>
          <t>Live result</t>
        </is>
      </c>
      <c r="F4" s="44" t="inlineStr">
        <is>
          <t>Explanation</t>
        </is>
      </c>
    </row>
    <row r="5" ht="96" customHeight="1">
      <c r="A5" s="18" t="inlineStr">
        <is>
          <t>B1</t>
        </is>
      </c>
      <c r="B5" s="19" t="inlineStr">
        <is>
          <t>Fill the Midnights column with the number of midnights each stay crossed between AdmitDateTime and DischargeDateTime. Start in K2. The gray cell counts your rows with 2 or more. How many stays crossed at least two midnights?</t>
        </is>
      </c>
      <c r="C5" s="52" t="n">
        <v>356</v>
      </c>
      <c r="D5" s="46" t="inlineStr">
        <is>
          <t>=INT(H2)-INT(G2)</t>
        </is>
      </c>
      <c r="E5" cm="1" s="53">
        <f t="array" ref="E5">SUMPRODUCT(--((INT(Stays!H2:H370)-INT(Stays!G2:G370))&gt;=2))</f>
        <v/>
      </c>
      <c r="F5" s="19" t="inlineStr">
        <is>
          <t>INT(date-time) drops the decimal part, leaving the date at midnight. The difference between two dates is the number of midnights crossed: admitted Monday 23:00 and discharged Wednesday 01:00 is 2 midnights in only 26 hours. Rounding LOSDays doesn't work: that stay's LOSDays is 1.08, which rounds to 1. 13 stays fall short of the benchmark.</t>
        </is>
      </c>
    </row>
    <row r="6" ht="81" customHeight="1">
      <c r="A6" s="18" t="inlineStr">
        <is>
          <t>B2</t>
        </is>
      </c>
      <c r="B6" s="19" t="inlineStr">
        <is>
          <t>How many stays crossed two or more midnights even though they lasted LESS than 48 hours?</t>
        </is>
      </c>
      <c r="C6" s="52" t="n">
        <v>28</v>
      </c>
      <c r="D6" s="46" t="inlineStr">
        <is>
          <t>=SUMPRODUCT((Stays!K2:K370&gt;=2)*(Stays!J2:J370&lt;2))</t>
        </is>
      </c>
      <c r="E6" cm="1" s="53">
        <f t="array" ref="E6">SUMPRODUCT(((INT(Stays!H2:H370)-INT(Stays!G2:G370))&gt;=2)*((Stays!H2:H370-Stays!G2:G370)&lt;2))</f>
        <v/>
      </c>
      <c r="F6" s="19" t="inlineStr">
        <is>
          <t>LOSDays measures elapsed time, and 2 days is 48 hours. Midnights measures calendar dates. A patient admitted late in the evening crosses a midnight within minutes, so a stay of 30 hours can span 2 midnights. That's why a two-midnight review can't use "LOS ≥ 2 days" as a shortcut.</t>
        </is>
      </c>
    </row>
    <row r="7" ht="126" customHeight="1">
      <c r="A7" s="18" t="inlineStr">
        <is>
          <t>B3</t>
        </is>
      </c>
      <c r="B7" s="19" t="inlineStr">
        <is>
          <t>CMS starts the benchmark clock when hospital care begins, which for ED admissions is the ED arrival, not the inpatient admit order. Fill the BenchMidnights column: midnights from EDArrivalDateTime to DischargeDateTime, or from AdmitDateTime when EDArrivalDateTime is blank. Start in L2. The gray cell counts your rows with 2 or more. How many stays meet the benchmark when ED time counts?</t>
        </is>
      </c>
      <c r="C7" s="52" t="n">
        <v>357</v>
      </c>
      <c r="D7" s="46" t="inlineStr">
        <is>
          <t>=INT(H2)-INT(IF(F2="",G2,F2))</t>
        </is>
      </c>
      <c r="E7" cm="1" s="53">
        <f t="array" ref="E7">SUMPRODUCT(--((INT(Stays!H2:H370)-(INT(Stays!G2:G370)*(Stays!F2:F370="")+INT(Stays!F2:F370)*(Stays!F2:F370&lt;&gt;"")))&gt;=2))</f>
        <v/>
      </c>
      <c r="F7" s="19" t="inlineStr">
        <is>
          <t>The IF picks the start of care for each row, and INT turns it into a date. 23 ED patients arrived before midnight and were admitted after it, so each gains a midnight. Only 1 of them moves from below the benchmark to meeting it. The rest already had 2 or more. =INT(H2)-INT(MIN(F2:G2)) is a shorter trick that works because MIN ignores the blank cell, but the IF says what you mean.</t>
        </is>
      </c>
    </row>
    <row r="8" ht="141" customHeight="1">
      <c r="A8" s="18" t="inlineStr">
        <is>
          <t>B4</t>
        </is>
      </c>
      <c r="B8" s="19" t="inlineStr">
        <is>
          <t>Fill the AdmitDay column with the weekday name of each AdmitDateTime (Monday, Tuesday, …). Start in M2. What was the average length of stay, in HOURS, for patients admitted on a Friday? Use your LOSDays column and round to 1 decimal place.</t>
        </is>
      </c>
      <c r="C8" s="54" t="n">
        <v>108.3</v>
      </c>
      <c r="D8" s="46" t="inlineStr">
        <is>
          <t>=ROUND(AVERAGEIF(Stays!M2:M370,"Friday",Stays!J2:J370)*24,1)</t>
        </is>
      </c>
      <c r="E8" cm="1" s="55">
        <f t="array" ref="E8">ROUND(SUMPRODUCT((WEEKDAY(Stays!G2:G370,2)=5)*(Stays!H2:H370-Stays!G2:G370))*24/SUMPRODUCT(--(WEEKDAY(Stays!G2:G370,2)=5)),1)</f>
        <v/>
      </c>
      <c r="F8" s="19" t="inlineStr">
        <is>
          <t>Fill AdmitDay with =TEXT(G2,"dddd"), which returns full weekday names. AVERAGEIF averages the LOSDays values on rows where AdmitDay is "Friday", and × 24 converts days to hours. The array formula from Lesson 2.1, =ROUND(AVERAGE(IF(Stays!M2:M370="Friday",Stays!J2:J370))*24,1), also works. Microsoft 365 and Excel 2021 calculate it automatically, and Excel 2019 and earlier need Ctrl + Shift + Enter (Mac: ⌘ + Shift + Return). TEXT returns weekday names in your Office language, so a German Excel shows "Freitag".</t>
        </is>
      </c>
    </row>
    <row r="9" ht="156" customHeight="1">
      <c r="A9" s="18" t="inlineStr">
        <is>
          <t>B5</t>
        </is>
      </c>
      <c r="B9" s="19" t="inlineStr">
        <is>
          <t>Which weekday of admission has the LONGEST average length of stay? Type the weekday name.</t>
        </is>
      </c>
      <c r="C9" s="52" t="inlineStr">
        <is>
          <t>Thursday</t>
        </is>
      </c>
      <c r="D9" s="46" t="inlineStr">
        <is>
          <t>1. On the Bonus sheet, type Monday in G2 and drag the fill handle down to G8. AutoFill (Lesson 1.2) completes the week through Sunday.
2. In H2, enter `=AVERAGEIF(Stays!$M$2:$M$370,G2,Stays!$J$2:$J$370)*24` and fill it down to H8.
3. Find the largest average by eye, or let Excel find it: `=INDEX(G2:G8,MATCH(MAX(H2:H8),H2:H8,0))` (INDEX and MATCH are covered in Lesson 2.6).</t>
        </is>
      </c>
      <c r="E9" s="18" t="inlineStr">
        <is>
          <t>—</t>
        </is>
      </c>
      <c r="F9" s="19" t="inlineStr">
        <is>
          <t>Thursday admissions stay longest, at 121.8 hours on average, against 113.1 for Monday, the runner-up, and 98.8 for Sunday. A weekly pattern like this often points to weekend gaps in services: a patient admitted late in the week may wait through the weekend for a test, a procedure, or a discharge placement.</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2.3 — Dates &amp; Times</dc:title>
  <dcterms:created xsi:type="dcterms:W3CDTF">2026-10-02T16:56:58Z</dcterms:created>
  <dcterms:modified xsi:type="dcterms:W3CDTF">2026-10-02T16:56:58Z</dcterms:modified>
</cp:coreProperties>
</file>